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E:\SRAVANI OFFICE\sravani 12-08-2024\sravani updated\ICICI\CC\ICICI FR\2026\JUNE''26 FR\"/>
    </mc:Choice>
  </mc:AlternateContent>
  <xr:revisionPtr revIDLastSave="0" documentId="13_ncr:1_{DCAE75BE-2934-4BF2-A4BC-AF5ED7134AD3}" xr6:coauthVersionLast="47" xr6:coauthVersionMax="47" xr10:uidLastSave="{00000000-0000-0000-0000-000000000000}"/>
  <bookViews>
    <workbookView xWindow="-120" yWindow="-120" windowWidth="20730" windowHeight="11040" tabRatio="565" xr2:uid="{00000000-000D-0000-FFFF-FFFF00000000}"/>
  </bookViews>
  <sheets>
    <sheet name="MIS" sheetId="4" r:id="rId1"/>
    <sheet name="MAIN" sheetId="1" r:id="rId2"/>
    <sheet name="RE" sheetId="2" r:id="rId3"/>
    <sheet name="file" sheetId="5" r:id="rId4"/>
    <sheet name="Sheet1" sheetId="6" r:id="rId5"/>
    <sheet name="Sheet3" sheetId="3" r:id="rId6"/>
  </sheets>
  <externalReferences>
    <externalReference r:id="rId7"/>
    <externalReference r:id="rId8"/>
  </externalReferences>
  <definedNames>
    <definedName name="_xlnm._FilterDatabase" localSheetId="0" hidden="1">MIS!$AR$3:$BB$22</definedName>
    <definedName name="_xlnm._FilterDatabase" localSheetId="2" hidden="1">RE!#REF!</definedName>
    <definedName name="Slicer_AREA">#N/A</definedName>
    <definedName name="Slicer_CALLER">#N/A</definedName>
    <definedName name="Slicer_CYC">#N/A</definedName>
    <definedName name="Slicer_DATE">#N/A</definedName>
    <definedName name="Slicer_FOS_NAME">#N/A</definedName>
    <definedName name="Slicer_FPR">#N/A</definedName>
    <definedName name="Slicer_V_DATE">#N/A</definedName>
  </definedNames>
  <calcPr calcId="191029"/>
  <pivotCaches>
    <pivotCache cacheId="35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07" i="1" l="1"/>
  <c r="K399" i="1"/>
  <c r="K411" i="1"/>
  <c r="K379" i="1"/>
  <c r="K390" i="1"/>
  <c r="K380" i="1"/>
  <c r="K386" i="1"/>
  <c r="K404" i="1"/>
  <c r="K389" i="1"/>
  <c r="K463" i="1"/>
  <c r="K474" i="1"/>
  <c r="K470" i="1"/>
  <c r="K498" i="1"/>
  <c r="K473" i="1"/>
  <c r="K493" i="1"/>
  <c r="K462" i="1"/>
  <c r="K490" i="1"/>
  <c r="K479" i="1"/>
  <c r="K550" i="1"/>
  <c r="K574" i="1"/>
  <c r="K584" i="1"/>
  <c r="K579" i="1"/>
  <c r="K577" i="1"/>
  <c r="K576" i="1"/>
  <c r="K591" i="1"/>
  <c r="K582" i="1"/>
  <c r="K575" i="1"/>
  <c r="K581" i="1"/>
  <c r="V407" i="1"/>
  <c r="V399" i="1"/>
  <c r="V411" i="1"/>
  <c r="V379" i="1"/>
  <c r="V390" i="1"/>
  <c r="V386" i="1"/>
  <c r="V389" i="1"/>
  <c r="V463" i="1"/>
  <c r="V474" i="1"/>
  <c r="V470" i="1"/>
  <c r="V493" i="1"/>
  <c r="V490" i="1"/>
  <c r="V550" i="1"/>
  <c r="V574" i="1"/>
  <c r="V584" i="1"/>
  <c r="V579" i="1"/>
  <c r="V577" i="1"/>
  <c r="V576" i="1"/>
  <c r="V591" i="1"/>
  <c r="V582" i="1"/>
  <c r="V575" i="1"/>
  <c r="V581" i="1"/>
  <c r="K413" i="1"/>
  <c r="K398" i="1"/>
  <c r="K459" i="1"/>
  <c r="K388" i="1"/>
  <c r="V413" i="1"/>
  <c r="V398" i="1"/>
  <c r="V459" i="1"/>
  <c r="V388" i="1"/>
  <c r="K344" i="1"/>
  <c r="V344" i="1"/>
  <c r="K552" i="1"/>
  <c r="K554" i="1"/>
  <c r="K551" i="1"/>
  <c r="K555" i="1"/>
  <c r="K553" i="1"/>
  <c r="K572" i="1"/>
  <c r="K567" i="1"/>
  <c r="K565" i="1"/>
  <c r="K563" i="1"/>
  <c r="K562" i="1"/>
  <c r="K570" i="1"/>
  <c r="K569" i="1"/>
  <c r="K571" i="1"/>
  <c r="K558" i="1"/>
  <c r="K568" i="1"/>
  <c r="K561" i="1"/>
  <c r="K564" i="1"/>
  <c r="K566" i="1"/>
  <c r="K597" i="1"/>
  <c r="K587" i="1"/>
  <c r="K578" i="1"/>
  <c r="K589" i="1"/>
  <c r="K592" i="1"/>
  <c r="K598" i="1"/>
  <c r="K603" i="1"/>
  <c r="K599" i="1"/>
  <c r="K595" i="1"/>
  <c r="K593" i="1"/>
  <c r="K588" i="1"/>
  <c r="K583" i="1"/>
  <c r="K580" i="1"/>
  <c r="K594" i="1"/>
  <c r="K590" i="1"/>
  <c r="K600" i="1"/>
  <c r="K573" i="1"/>
  <c r="K596" i="1"/>
  <c r="K601" i="1"/>
  <c r="K585" i="1"/>
  <c r="K602" i="1"/>
  <c r="K586" i="1"/>
  <c r="V552" i="1"/>
  <c r="V554" i="1"/>
  <c r="V555" i="1"/>
  <c r="V553" i="1"/>
  <c r="V567" i="1"/>
  <c r="V565" i="1"/>
  <c r="V563" i="1"/>
  <c r="V562" i="1"/>
  <c r="V570" i="1"/>
  <c r="V569" i="1"/>
  <c r="V571" i="1"/>
  <c r="V558" i="1"/>
  <c r="V561" i="1"/>
  <c r="V566" i="1"/>
  <c r="V587" i="1"/>
  <c r="V578" i="1"/>
  <c r="V589" i="1"/>
  <c r="V592" i="1"/>
  <c r="V598" i="1"/>
  <c r="V603" i="1"/>
  <c r="V599" i="1"/>
  <c r="V595" i="1"/>
  <c r="V588" i="1"/>
  <c r="V580" i="1"/>
  <c r="V594" i="1"/>
  <c r="V590" i="1"/>
  <c r="V600" i="1"/>
  <c r="V573" i="1"/>
  <c r="V596" i="1"/>
  <c r="V601" i="1"/>
  <c r="V585" i="1"/>
  <c r="V602" i="1"/>
  <c r="K483" i="1"/>
  <c r="K489" i="1"/>
  <c r="K516" i="1"/>
  <c r="K514" i="1"/>
  <c r="K539" i="1"/>
  <c r="K507" i="1"/>
  <c r="K503" i="1"/>
  <c r="K499" i="1"/>
  <c r="K472" i="1"/>
  <c r="K481" i="1"/>
  <c r="K524" i="1"/>
  <c r="K496" i="1"/>
  <c r="K541" i="1"/>
  <c r="K486" i="1"/>
  <c r="K520" i="1"/>
  <c r="K497" i="1"/>
  <c r="K477" i="1"/>
  <c r="K500" i="1"/>
  <c r="K517" i="1"/>
  <c r="K536" i="1"/>
  <c r="K543" i="1"/>
  <c r="K538" i="1"/>
  <c r="K501" i="1"/>
  <c r="K515" i="1"/>
  <c r="K508" i="1"/>
  <c r="K528" i="1"/>
  <c r="K545" i="1"/>
  <c r="K502" i="1"/>
  <c r="K537" i="1"/>
  <c r="K482" i="1"/>
  <c r="K521" i="1"/>
  <c r="K494" i="1"/>
  <c r="K513" i="1"/>
  <c r="K495" i="1"/>
  <c r="K540" i="1"/>
  <c r="K548" i="1"/>
  <c r="K529" i="1"/>
  <c r="K478" i="1"/>
  <c r="K530" i="1"/>
  <c r="K492" i="1"/>
  <c r="K504" i="1"/>
  <c r="K505" i="1"/>
  <c r="K560" i="1"/>
  <c r="K559" i="1"/>
  <c r="K557" i="1"/>
  <c r="K556" i="1"/>
  <c r="V486" i="1"/>
  <c r="V520" i="1"/>
  <c r="V497" i="1"/>
  <c r="V477" i="1"/>
  <c r="V500" i="1"/>
  <c r="V536" i="1"/>
  <c r="V543" i="1"/>
  <c r="V538" i="1"/>
  <c r="V501" i="1"/>
  <c r="V515" i="1"/>
  <c r="V528" i="1"/>
  <c r="V545" i="1"/>
  <c r="V502" i="1"/>
  <c r="V537" i="1"/>
  <c r="V482" i="1"/>
  <c r="V521" i="1"/>
  <c r="V494" i="1"/>
  <c r="V513" i="1"/>
  <c r="V540" i="1"/>
  <c r="V548" i="1"/>
  <c r="V529" i="1"/>
  <c r="V478" i="1"/>
  <c r="V530" i="1"/>
  <c r="V492" i="1"/>
  <c r="V504" i="1"/>
  <c r="V505" i="1"/>
  <c r="V560" i="1"/>
  <c r="G5" i="6"/>
  <c r="K287" i="1"/>
  <c r="K286" i="1"/>
  <c r="K285" i="1"/>
  <c r="K281" i="1"/>
  <c r="K279" i="1"/>
  <c r="K280" i="1"/>
  <c r="K278" i="1"/>
  <c r="K276" i="1"/>
  <c r="K275" i="1"/>
  <c r="K262" i="1"/>
  <c r="K254" i="1"/>
  <c r="K253" i="1"/>
  <c r="K260" i="1"/>
  <c r="K259" i="1"/>
  <c r="K257" i="1"/>
  <c r="K240" i="1"/>
  <c r="K274" i="1"/>
  <c r="K330" i="1"/>
  <c r="K323" i="1"/>
  <c r="K321" i="1"/>
  <c r="K303" i="1"/>
  <c r="K277" i="1"/>
  <c r="K264" i="1"/>
  <c r="K290" i="1"/>
  <c r="K266" i="1"/>
  <c r="K326" i="1"/>
  <c r="K342" i="1"/>
  <c r="K318" i="1"/>
  <c r="K296" i="1"/>
  <c r="K295" i="1"/>
  <c r="K338" i="1"/>
  <c r="K328" i="1"/>
  <c r="K178" i="1"/>
  <c r="K217" i="1"/>
  <c r="K188" i="1"/>
  <c r="K197" i="1"/>
  <c r="K212" i="1"/>
  <c r="K211" i="1"/>
  <c r="K192" i="1"/>
  <c r="K210" i="1"/>
  <c r="K179" i="1"/>
  <c r="K208" i="1"/>
  <c r="K206" i="1"/>
  <c r="K205" i="1"/>
  <c r="K202" i="1"/>
  <c r="K200" i="1"/>
  <c r="K198" i="1"/>
  <c r="K194" i="1"/>
  <c r="K185" i="1"/>
  <c r="K183" i="1"/>
  <c r="K182" i="1"/>
  <c r="K180" i="1"/>
  <c r="K175" i="1"/>
  <c r="K173" i="1"/>
  <c r="K168" i="1"/>
  <c r="K162" i="1"/>
  <c r="K159" i="1"/>
  <c r="V163" i="1"/>
  <c r="V176" i="1"/>
  <c r="V177" i="1"/>
  <c r="V175" i="1"/>
  <c r="V152" i="1"/>
  <c r="V158" i="1"/>
  <c r="V99" i="1"/>
  <c r="K48" i="1"/>
  <c r="V53" i="1"/>
  <c r="V48" i="1"/>
  <c r="V444" i="1"/>
  <c r="V438" i="1"/>
  <c r="V447" i="1"/>
  <c r="V436" i="1"/>
  <c r="V424" i="1"/>
  <c r="V395" i="1"/>
  <c r="V452" i="1"/>
  <c r="V480" i="1"/>
  <c r="V509" i="1"/>
  <c r="V544" i="1"/>
  <c r="V549" i="1"/>
  <c r="V506" i="1"/>
  <c r="V535" i="1"/>
  <c r="V532" i="1"/>
  <c r="V522" i="1"/>
  <c r="V491" i="1"/>
  <c r="V516" i="1"/>
  <c r="V524" i="1"/>
  <c r="V348" i="1"/>
  <c r="V355" i="1"/>
  <c r="V361" i="1"/>
  <c r="V366" i="1"/>
  <c r="V373" i="1"/>
  <c r="V426" i="1"/>
  <c r="V408" i="1"/>
  <c r="V419" i="1"/>
  <c r="V453" i="1"/>
  <c r="V405" i="1"/>
  <c r="V430" i="1"/>
  <c r="V400" i="1"/>
  <c r="V448" i="1"/>
  <c r="V484" i="1"/>
  <c r="V510" i="1"/>
  <c r="V487" i="1"/>
  <c r="V525" i="1"/>
  <c r="V518" i="1"/>
  <c r="V519" i="1"/>
  <c r="V546" i="1"/>
  <c r="V488" i="1"/>
  <c r="V483" i="1"/>
  <c r="V499" i="1"/>
  <c r="V496" i="1"/>
  <c r="V541" i="1"/>
  <c r="V359" i="1"/>
  <c r="V371" i="1"/>
  <c r="V365" i="1"/>
  <c r="V367" i="1"/>
  <c r="V363" i="1"/>
  <c r="V356" i="1"/>
  <c r="V370" i="1"/>
  <c r="V352" i="1"/>
  <c r="V416" i="1"/>
  <c r="V394" i="1"/>
  <c r="V450" i="1"/>
  <c r="V420" i="1"/>
  <c r="V387" i="1"/>
  <c r="V421" i="1"/>
  <c r="V456" i="1"/>
  <c r="V445" i="1"/>
  <c r="V458" i="1"/>
  <c r="V441" i="1"/>
  <c r="V415" i="1"/>
  <c r="V451" i="1"/>
  <c r="V432" i="1"/>
  <c r="V457" i="1"/>
  <c r="V531" i="1"/>
  <c r="V547" i="1"/>
  <c r="V523" i="1"/>
  <c r="V485" i="1"/>
  <c r="V464" i="1"/>
  <c r="V534" i="1"/>
  <c r="V542" i="1"/>
  <c r="V489" i="1"/>
  <c r="V503" i="1"/>
  <c r="V481" i="1"/>
  <c r="V364" i="1"/>
  <c r="V369" i="1"/>
  <c r="V362" i="1"/>
  <c r="V368" i="1"/>
  <c r="K158" i="1"/>
  <c r="K152" i="1"/>
  <c r="K177" i="1"/>
  <c r="K176" i="1"/>
  <c r="K163" i="1"/>
  <c r="K99" i="1"/>
  <c r="K53" i="1"/>
  <c r="K368" i="1"/>
  <c r="K304" i="1"/>
  <c r="K283" i="1"/>
  <c r="K475" i="1"/>
  <c r="K305" i="1"/>
  <c r="K335" i="1"/>
  <c r="K256" i="1"/>
  <c r="K322" i="1"/>
  <c r="K307" i="1"/>
  <c r="K311" i="1"/>
  <c r="K315" i="1"/>
  <c r="K288" i="1"/>
  <c r="K263" i="1"/>
  <c r="K418" i="1"/>
  <c r="K425" i="1"/>
  <c r="K446" i="1"/>
  <c r="K384" i="1"/>
  <c r="K349" i="1"/>
  <c r="K245" i="1"/>
  <c r="K244" i="1"/>
  <c r="K246" i="1"/>
  <c r="K431" i="1"/>
  <c r="K426" i="1"/>
  <c r="K381" i="1"/>
  <c r="K416" i="1"/>
  <c r="K396" i="1"/>
  <c r="K394" i="1"/>
  <c r="K391" i="1"/>
  <c r="K455" i="1"/>
  <c r="K450" i="1"/>
  <c r="K429" i="1"/>
  <c r="K420" i="1"/>
  <c r="K393" i="1"/>
  <c r="K437" i="1"/>
  <c r="K387" i="1"/>
  <c r="K444" i="1"/>
  <c r="K440" i="1"/>
  <c r="K385" i="1"/>
  <c r="K422" i="1"/>
  <c r="K408" i="1"/>
  <c r="K421" i="1"/>
  <c r="K419" i="1"/>
  <c r="K438" i="1"/>
  <c r="K456" i="1"/>
  <c r="K449" i="1"/>
  <c r="K453" i="1"/>
  <c r="K445" i="1"/>
  <c r="K409" i="1"/>
  <c r="K400" i="1"/>
  <c r="K428" i="1"/>
  <c r="K448" i="1"/>
  <c r="K511" i="1"/>
  <c r="K531" i="1"/>
  <c r="K512" i="1"/>
  <c r="K510" i="1"/>
  <c r="K487" i="1"/>
  <c r="K533" i="1"/>
  <c r="K526" i="1"/>
  <c r="K506" i="1"/>
  <c r="K518" i="1"/>
  <c r="K532" i="1"/>
  <c r="K519" i="1"/>
  <c r="K546" i="1"/>
  <c r="K488" i="1"/>
  <c r="K542" i="1"/>
  <c r="K374" i="1"/>
  <c r="K299" i="1"/>
  <c r="K298" i="1"/>
  <c r="K271" i="1"/>
  <c r="K468" i="1"/>
  <c r="K467" i="1"/>
  <c r="K343" i="1"/>
  <c r="K337" i="1"/>
  <c r="K308" i="1"/>
  <c r="K316" i="1"/>
  <c r="K272" i="1"/>
  <c r="K329" i="1"/>
  <c r="K293" i="1"/>
  <c r="K340" i="1"/>
  <c r="K319" i="1"/>
  <c r="K284" i="1"/>
  <c r="K434" i="1"/>
  <c r="K410" i="1"/>
  <c r="K383" i="1"/>
  <c r="K347" i="1"/>
  <c r="K346" i="1"/>
  <c r="K252" i="1"/>
  <c r="K78" i="1"/>
  <c r="K243" i="1"/>
  <c r="K352" i="1"/>
  <c r="K300" i="1"/>
  <c r="K465" i="1"/>
  <c r="K466" i="1"/>
  <c r="K331" i="1"/>
  <c r="K341" i="1"/>
  <c r="K333" i="1"/>
  <c r="K320" i="1"/>
  <c r="K289" i="1"/>
  <c r="K91" i="1"/>
  <c r="K317" i="1"/>
  <c r="K282" i="1"/>
  <c r="K269" i="1"/>
  <c r="K309" i="1"/>
  <c r="K392" i="1"/>
  <c r="K401" i="1"/>
  <c r="K412" i="1"/>
  <c r="K403" i="1"/>
  <c r="K345" i="1"/>
  <c r="K249" i="1"/>
  <c r="K90" i="1"/>
  <c r="K251" i="1"/>
  <c r="K461" i="1"/>
  <c r="K458" i="1"/>
  <c r="K442" i="1"/>
  <c r="K447" i="1"/>
  <c r="K441" i="1"/>
  <c r="K427" i="1"/>
  <c r="K414" i="1"/>
  <c r="K397" i="1"/>
  <c r="K460" i="1"/>
  <c r="K436" i="1"/>
  <c r="K415" i="1"/>
  <c r="K405" i="1"/>
  <c r="K424" i="1"/>
  <c r="K435" i="1"/>
  <c r="K439" i="1"/>
  <c r="K451" i="1"/>
  <c r="K395" i="1"/>
  <c r="K430" i="1"/>
  <c r="K432" i="1"/>
  <c r="K452" i="1"/>
  <c r="K423" i="1"/>
  <c r="K382" i="1"/>
  <c r="K454" i="1"/>
  <c r="K457" i="1"/>
  <c r="K433" i="1"/>
  <c r="K480" i="1"/>
  <c r="K484" i="1"/>
  <c r="K509" i="1"/>
  <c r="K547" i="1"/>
  <c r="K544" i="1"/>
  <c r="K523" i="1"/>
  <c r="K549" i="1"/>
  <c r="K525" i="1"/>
  <c r="K485" i="1"/>
  <c r="K535" i="1"/>
  <c r="K464" i="1"/>
  <c r="K522" i="1"/>
  <c r="K534" i="1"/>
  <c r="K491" i="1"/>
  <c r="K527" i="1"/>
  <c r="K360" i="1"/>
  <c r="K261" i="1"/>
  <c r="K258" i="1"/>
  <c r="K306" i="1"/>
  <c r="K469" i="1"/>
  <c r="K273" i="1"/>
  <c r="K332" i="1"/>
  <c r="K324" i="1"/>
  <c r="K313" i="1"/>
  <c r="K291" i="1"/>
  <c r="K327" i="1"/>
  <c r="K297" i="1"/>
  <c r="K267" i="1"/>
  <c r="K339" i="1"/>
  <c r="K402" i="1"/>
  <c r="K406" i="1"/>
  <c r="K377" i="1"/>
  <c r="K353" i="1"/>
  <c r="K242" i="1"/>
  <c r="K255" i="1"/>
  <c r="K250" i="1"/>
  <c r="K364" i="1"/>
  <c r="K348" i="1"/>
  <c r="K359" i="1"/>
  <c r="K376" i="1"/>
  <c r="K371" i="1"/>
  <c r="K350" i="1"/>
  <c r="K355" i="1"/>
  <c r="K375" i="1"/>
  <c r="K365" i="1"/>
  <c r="K354" i="1"/>
  <c r="K367" i="1"/>
  <c r="K369" i="1"/>
  <c r="K361" i="1"/>
  <c r="K363" i="1"/>
  <c r="K362" i="1"/>
  <c r="K366" i="1"/>
  <c r="K356" i="1"/>
  <c r="K358" i="1"/>
  <c r="K372" i="1"/>
  <c r="K370" i="1"/>
  <c r="K373" i="1"/>
  <c r="K357" i="1"/>
  <c r="K292" i="1"/>
  <c r="K270" i="1"/>
  <c r="K302" i="1"/>
  <c r="K471" i="1"/>
  <c r="K476" i="1"/>
  <c r="K265" i="1"/>
  <c r="K334" i="1"/>
  <c r="K325" i="1"/>
  <c r="K314" i="1"/>
  <c r="K294" i="1"/>
  <c r="K310" i="1"/>
  <c r="K301" i="1"/>
  <c r="K312" i="1"/>
  <c r="K268" i="1"/>
  <c r="K336" i="1"/>
  <c r="K417" i="1"/>
  <c r="K443" i="1"/>
  <c r="K378" i="1"/>
  <c r="K351" i="1"/>
  <c r="K241" i="1"/>
  <c r="K247" i="1"/>
  <c r="K248" i="1"/>
  <c r="K157" i="1"/>
  <c r="K203" i="1"/>
  <c r="K199" i="1"/>
  <c r="K170" i="1"/>
  <c r="K207" i="1"/>
  <c r="K171" i="1"/>
  <c r="K155" i="1"/>
  <c r="K196" i="1"/>
  <c r="K239" i="1"/>
  <c r="K230" i="1"/>
  <c r="K216" i="1"/>
  <c r="K214" i="1"/>
  <c r="K226" i="1"/>
  <c r="K215" i="1"/>
  <c r="K231" i="1"/>
  <c r="K227" i="1"/>
  <c r="K228" i="1"/>
  <c r="K222" i="1"/>
  <c r="K195" i="1"/>
  <c r="K172" i="1"/>
  <c r="K213" i="1"/>
  <c r="K193" i="1"/>
  <c r="K169" i="1"/>
  <c r="K165" i="1"/>
  <c r="K174" i="1"/>
  <c r="K154" i="1"/>
  <c r="K186" i="1"/>
  <c r="K184" i="1"/>
  <c r="K237" i="1"/>
  <c r="K238" i="1"/>
  <c r="K225" i="1"/>
  <c r="K204" i="1"/>
  <c r="K201" i="1"/>
  <c r="K223" i="1"/>
  <c r="K234" i="1"/>
  <c r="K236" i="1"/>
  <c r="K191" i="1"/>
  <c r="K235" i="1"/>
  <c r="K233" i="1"/>
  <c r="K232" i="1"/>
  <c r="K209" i="1"/>
  <c r="K229" i="1"/>
  <c r="K221" i="1"/>
  <c r="K187" i="1"/>
  <c r="K224" i="1"/>
  <c r="K220" i="1"/>
  <c r="K219" i="1"/>
  <c r="K218" i="1"/>
  <c r="K190" i="1"/>
  <c r="K189" i="1"/>
  <c r="K181" i="1"/>
  <c r="K133" i="1"/>
  <c r="K109" i="1"/>
  <c r="K143" i="1"/>
  <c r="K96" i="1"/>
  <c r="K120" i="1"/>
  <c r="K103" i="1"/>
  <c r="K141" i="1"/>
  <c r="K119" i="1"/>
  <c r="K104" i="1"/>
  <c r="K122" i="1"/>
  <c r="K127" i="1"/>
  <c r="K140" i="1"/>
  <c r="K144" i="1"/>
  <c r="K117" i="1"/>
  <c r="K115" i="1"/>
  <c r="K97" i="1"/>
  <c r="K132" i="1"/>
  <c r="K131" i="1"/>
  <c r="K145" i="1"/>
  <c r="K101" i="1"/>
  <c r="K116" i="1"/>
  <c r="K107" i="1"/>
  <c r="K105" i="1"/>
  <c r="K113" i="1"/>
  <c r="K110" i="1"/>
  <c r="K100" i="1"/>
  <c r="K126" i="1"/>
  <c r="K125" i="1"/>
  <c r="K130" i="1"/>
  <c r="K134" i="1"/>
  <c r="K138" i="1"/>
  <c r="K148" i="1"/>
  <c r="K146" i="1"/>
  <c r="K139" i="1"/>
  <c r="K142" i="1"/>
  <c r="K106" i="1"/>
  <c r="K82" i="1"/>
  <c r="K83" i="1"/>
  <c r="K85" i="1"/>
  <c r="K86" i="1"/>
  <c r="K88" i="1"/>
  <c r="K93" i="1"/>
  <c r="K95" i="1"/>
  <c r="K149" i="1"/>
  <c r="K151" i="1"/>
  <c r="K156" i="1"/>
  <c r="K161" i="1"/>
  <c r="K166" i="1"/>
  <c r="K71" i="1"/>
  <c r="K75" i="1"/>
  <c r="K73" i="1"/>
  <c r="K72" i="1"/>
  <c r="K66" i="1"/>
  <c r="K64" i="1"/>
  <c r="K76" i="1"/>
  <c r="K68" i="1"/>
  <c r="K63" i="1"/>
  <c r="K65" i="1"/>
  <c r="K54" i="1"/>
  <c r="K137" i="1"/>
  <c r="K114" i="1"/>
  <c r="K81" i="1"/>
  <c r="K84" i="1"/>
  <c r="K87" i="1"/>
  <c r="K89" i="1"/>
  <c r="K92" i="1"/>
  <c r="K94" i="1"/>
  <c r="K98" i="1"/>
  <c r="K150" i="1"/>
  <c r="K153" i="1"/>
  <c r="K160" i="1"/>
  <c r="K164" i="1"/>
  <c r="K167" i="1"/>
  <c r="K74" i="1"/>
  <c r="K77" i="1"/>
  <c r="K59" i="1"/>
  <c r="K67" i="1"/>
  <c r="K62" i="1"/>
  <c r="K61" i="1"/>
  <c r="K56" i="1"/>
  <c r="K60" i="1"/>
  <c r="K69" i="1"/>
  <c r="K70" i="1"/>
  <c r="K102" i="1"/>
  <c r="K112" i="1"/>
  <c r="K108" i="1"/>
  <c r="K128" i="1"/>
  <c r="K123" i="1"/>
  <c r="K124" i="1"/>
  <c r="K129" i="1"/>
  <c r="K118" i="1"/>
  <c r="K135" i="1"/>
  <c r="K121" i="1"/>
  <c r="K147" i="1"/>
  <c r="K136" i="1"/>
  <c r="K111" i="1"/>
  <c r="K79" i="1"/>
  <c r="K80" i="1"/>
  <c r="K50" i="1"/>
  <c r="K49" i="1"/>
  <c r="K51" i="1"/>
  <c r="K47" i="1"/>
  <c r="V308" i="1"/>
  <c r="V347" i="1"/>
  <c r="V249" i="1"/>
  <c r="V243" i="1"/>
  <c r="V239" i="1"/>
  <c r="V193" i="1"/>
  <c r="V261" i="1"/>
  <c r="V304" i="1"/>
  <c r="V298" i="1"/>
  <c r="V306" i="1"/>
  <c r="V466" i="1"/>
  <c r="V324" i="1"/>
  <c r="V317" i="1"/>
  <c r="V392" i="1"/>
  <c r="V417" i="1"/>
  <c r="V446" i="1"/>
  <c r="V403" i="1"/>
  <c r="V349" i="1"/>
  <c r="V242" i="1"/>
  <c r="V251" i="1"/>
  <c r="V203" i="1"/>
  <c r="V196" i="1"/>
  <c r="V215" i="1"/>
  <c r="V271" i="1"/>
  <c r="V302" i="1"/>
  <c r="V471" i="1"/>
  <c r="V475" i="1"/>
  <c r="V476" i="1"/>
  <c r="V325" i="1"/>
  <c r="V279" i="1"/>
  <c r="V275" i="1"/>
  <c r="V254" i="1"/>
  <c r="V257" i="1"/>
  <c r="V277" i="1"/>
  <c r="V342" i="1"/>
  <c r="V310" i="1"/>
  <c r="V315" i="1"/>
  <c r="V336" i="1"/>
  <c r="V434" i="1"/>
  <c r="V412" i="1"/>
  <c r="V384" i="1"/>
  <c r="V351" i="1"/>
  <c r="V241" i="1"/>
  <c r="V255" i="1"/>
  <c r="V157" i="1"/>
  <c r="V214" i="1"/>
  <c r="V228" i="1"/>
  <c r="V305" i="1"/>
  <c r="V331" i="1"/>
  <c r="V273" i="1"/>
  <c r="V343" i="1"/>
  <c r="V341" i="1"/>
  <c r="V337" i="1"/>
  <c r="V333" i="1"/>
  <c r="V256" i="1"/>
  <c r="V320" i="1"/>
  <c r="V291" i="1"/>
  <c r="V286" i="1"/>
  <c r="V280" i="1"/>
  <c r="V240" i="1"/>
  <c r="V264" i="1"/>
  <c r="V266" i="1"/>
  <c r="V311" i="1"/>
  <c r="V282" i="1"/>
  <c r="V312" i="1"/>
  <c r="V406" i="1"/>
  <c r="V353" i="1"/>
  <c r="V245" i="1"/>
  <c r="V78" i="1"/>
  <c r="V248" i="1"/>
  <c r="V170" i="1"/>
  <c r="V231" i="1"/>
  <c r="V321" i="1"/>
  <c r="V339" i="1"/>
  <c r="V401" i="1"/>
  <c r="V378" i="1"/>
  <c r="V346" i="1"/>
  <c r="V90" i="1"/>
  <c r="V230" i="1"/>
  <c r="V206" i="1"/>
  <c r="V194" i="1"/>
  <c r="V208" i="1"/>
  <c r="V200" i="1"/>
  <c r="V183" i="1"/>
  <c r="V198" i="1"/>
  <c r="V185" i="1"/>
  <c r="V119" i="1"/>
  <c r="V144" i="1"/>
  <c r="V97" i="1"/>
  <c r="V101" i="1"/>
  <c r="V96" i="1"/>
  <c r="V104" i="1"/>
  <c r="V140" i="1"/>
  <c r="V132" i="1"/>
  <c r="V133" i="1"/>
  <c r="V109" i="1"/>
  <c r="V127" i="1"/>
  <c r="V131" i="1"/>
  <c r="V107" i="1"/>
  <c r="V190" i="1"/>
  <c r="V141" i="1"/>
  <c r="V117" i="1"/>
  <c r="V145" i="1"/>
  <c r="V102" i="1"/>
  <c r="V113" i="1"/>
  <c r="V112" i="1"/>
  <c r="V126" i="1"/>
  <c r="V147" i="1"/>
  <c r="V139" i="1"/>
  <c r="V106" i="1"/>
  <c r="V92" i="1"/>
  <c r="V149" i="1"/>
  <c r="V156" i="1"/>
  <c r="V164" i="1"/>
  <c r="V71" i="1"/>
  <c r="V65" i="1"/>
  <c r="V54" i="1"/>
  <c r="V51" i="1"/>
  <c r="V50" i="1"/>
  <c r="V49" i="1"/>
  <c r="V47" i="1"/>
  <c r="K27" i="1"/>
  <c r="K41" i="1"/>
  <c r="K13" i="1"/>
  <c r="K33" i="1"/>
  <c r="K28" i="1"/>
  <c r="K35" i="1"/>
  <c r="K38" i="1"/>
  <c r="V27" i="1"/>
  <c r="V41" i="1"/>
  <c r="V13" i="1"/>
  <c r="V33" i="1"/>
  <c r="V35" i="1"/>
  <c r="V38" i="1"/>
  <c r="K5" i="1"/>
  <c r="K15" i="1"/>
  <c r="K10" i="1"/>
  <c r="K14" i="1"/>
  <c r="V14" i="1"/>
  <c r="K8" i="1"/>
  <c r="K40" i="1"/>
  <c r="K39" i="1"/>
  <c r="K31" i="1"/>
  <c r="K36" i="1"/>
  <c r="K34" i="1"/>
  <c r="K17" i="1"/>
  <c r="K32" i="1"/>
  <c r="K29" i="1"/>
  <c r="K25" i="1"/>
  <c r="K24" i="1"/>
  <c r="K20" i="1"/>
  <c r="K19" i="1"/>
  <c r="K18" i="1"/>
  <c r="K16" i="1"/>
  <c r="V8" i="1"/>
  <c r="V39" i="1"/>
  <c r="V31" i="1"/>
  <c r="V36" i="1"/>
  <c r="V34" i="1"/>
  <c r="V25" i="1"/>
  <c r="V24" i="1"/>
  <c r="V19" i="1"/>
  <c r="V18" i="1"/>
  <c r="V16" i="1"/>
  <c r="K37" i="1"/>
  <c r="K30" i="1"/>
  <c r="K21" i="1"/>
  <c r="K46" i="1"/>
  <c r="K45" i="1"/>
  <c r="K2" i="1"/>
  <c r="K44" i="1"/>
  <c r="K43" i="1"/>
  <c r="K26" i="1"/>
  <c r="K42" i="1"/>
  <c r="K22" i="1"/>
  <c r="V30" i="1"/>
  <c r="V21" i="1"/>
  <c r="V46" i="1"/>
  <c r="V45" i="1"/>
  <c r="V2" i="1"/>
  <c r="V44" i="1"/>
  <c r="V43" i="1"/>
  <c r="V26" i="1"/>
  <c r="V42" i="1"/>
  <c r="K23" i="1"/>
  <c r="V213" i="1"/>
  <c r="V350" i="1"/>
  <c r="V354" i="1"/>
  <c r="V360" i="1"/>
  <c r="V100" i="1"/>
  <c r="V303" i="1"/>
  <c r="V314" i="1"/>
  <c r="V276" i="1"/>
  <c r="V260" i="1"/>
  <c r="V326" i="1"/>
  <c r="V322" i="1"/>
  <c r="V287" i="1"/>
  <c r="V327" i="1"/>
  <c r="V345" i="1"/>
  <c r="V252" i="1"/>
  <c r="V250" i="1"/>
  <c r="V155" i="1"/>
  <c r="V226" i="1"/>
  <c r="V299" i="1"/>
  <c r="V292" i="1"/>
  <c r="V300" i="1"/>
  <c r="V468" i="1"/>
  <c r="V469" i="1"/>
  <c r="V307" i="1"/>
  <c r="V285" i="1"/>
  <c r="V278" i="1"/>
  <c r="V253" i="1"/>
  <c r="V330" i="1"/>
  <c r="V329" i="1"/>
  <c r="V293" i="1"/>
  <c r="V297" i="1"/>
  <c r="V418" i="1"/>
  <c r="V425" i="1"/>
  <c r="V383" i="1"/>
  <c r="V272" i="1"/>
  <c r="V91" i="1"/>
  <c r="V281" i="1"/>
  <c r="V274" i="1"/>
  <c r="V338" i="1"/>
  <c r="V222" i="1"/>
  <c r="V168" i="1"/>
  <c r="V165" i="1"/>
  <c r="V162" i="1"/>
  <c r="V169" i="1"/>
  <c r="V180" i="1"/>
  <c r="V154" i="1"/>
  <c r="V186" i="1"/>
  <c r="V184" i="1"/>
  <c r="V225" i="1"/>
  <c r="V223" i="1"/>
  <c r="V209" i="1"/>
  <c r="V187" i="1"/>
  <c r="V218" i="1"/>
  <c r="V188" i="1"/>
  <c r="V211" i="1"/>
  <c r="V201" i="1"/>
  <c r="V191" i="1"/>
  <c r="V232" i="1"/>
  <c r="V217" i="1"/>
  <c r="V212" i="1"/>
  <c r="V192" i="1"/>
  <c r="V237" i="1"/>
  <c r="V204" i="1"/>
  <c r="V234" i="1"/>
  <c r="V220" i="1"/>
  <c r="V178" i="1"/>
  <c r="V179" i="1"/>
  <c r="V189" i="1"/>
  <c r="V181" i="1"/>
  <c r="V129" i="1"/>
  <c r="V148" i="1"/>
  <c r="V136" i="1"/>
  <c r="V79" i="1"/>
  <c r="V88" i="1"/>
  <c r="V89" i="1"/>
  <c r="V95" i="1"/>
  <c r="V150" i="1"/>
  <c r="V160" i="1"/>
  <c r="V75" i="1"/>
  <c r="V59" i="1"/>
  <c r="V67" i="1"/>
  <c r="V61" i="1"/>
  <c r="V56" i="1"/>
  <c r="V68" i="1"/>
  <c r="V105" i="1"/>
  <c r="V93" i="1"/>
  <c r="V128" i="1"/>
  <c r="V123" i="1"/>
  <c r="V124" i="1"/>
  <c r="V130" i="1"/>
  <c r="V118" i="1"/>
  <c r="V146" i="1"/>
  <c r="V114" i="1"/>
  <c r="V81" i="1"/>
  <c r="V87" i="1"/>
  <c r="V94" i="1"/>
  <c r="V98" i="1"/>
  <c r="V151" i="1"/>
  <c r="V161" i="1"/>
  <c r="V74" i="1"/>
  <c r="V73" i="1"/>
  <c r="V66" i="1"/>
  <c r="V64" i="1"/>
  <c r="V76" i="1"/>
  <c r="V69" i="1"/>
  <c r="V70" i="1"/>
  <c r="V80" i="1"/>
  <c r="K52" i="1"/>
  <c r="K57" i="1"/>
  <c r="K58" i="1"/>
  <c r="K55" i="1"/>
  <c r="V52" i="1"/>
  <c r="V58" i="1"/>
  <c r="V55" i="1"/>
  <c r="K9" i="1"/>
  <c r="V9" i="1"/>
  <c r="K4" i="1"/>
  <c r="V4" i="1"/>
  <c r="K3" i="1"/>
  <c r="K11" i="1"/>
  <c r="K7" i="1"/>
  <c r="K12" i="1"/>
  <c r="K6" i="1"/>
  <c r="AE4" i="4"/>
  <c r="V12" i="1"/>
  <c r="V7" i="1"/>
  <c r="V3" i="1"/>
  <c r="V6" i="1"/>
  <c r="AO45" i="4"/>
  <c r="AN45" i="4"/>
  <c r="AM45" i="4"/>
  <c r="AL45" i="4"/>
  <c r="AI45" i="4"/>
  <c r="AH45" i="4"/>
  <c r="AG45" i="4"/>
  <c r="AF45" i="4"/>
  <c r="AE45" i="4"/>
  <c r="AO44" i="4"/>
  <c r="AN44" i="4"/>
  <c r="AM44" i="4"/>
  <c r="AL44" i="4"/>
  <c r="AI44" i="4"/>
  <c r="AH44" i="4"/>
  <c r="AG44" i="4"/>
  <c r="AF44" i="4"/>
  <c r="AE44" i="4"/>
  <c r="AO43" i="4"/>
  <c r="AN43" i="4"/>
  <c r="AM43" i="4"/>
  <c r="AL43" i="4"/>
  <c r="AI43" i="4"/>
  <c r="AK43" i="4"/>
  <c r="AH43" i="4"/>
  <c r="AG43" i="4"/>
  <c r="AF43" i="4"/>
  <c r="AE43" i="4"/>
  <c r="AO42" i="4"/>
  <c r="AN42" i="4"/>
  <c r="AM42" i="4"/>
  <c r="AL42" i="4"/>
  <c r="AI42" i="4"/>
  <c r="AH42" i="4"/>
  <c r="AG42" i="4"/>
  <c r="AF42" i="4"/>
  <c r="AE42" i="4"/>
  <c r="AO41" i="4"/>
  <c r="AN41" i="4"/>
  <c r="AM41" i="4"/>
  <c r="AL41" i="4"/>
  <c r="AI41" i="4"/>
  <c r="AH41" i="4"/>
  <c r="AG41" i="4"/>
  <c r="AF41" i="4"/>
  <c r="AE41" i="4"/>
  <c r="AO40" i="4"/>
  <c r="AN40" i="4"/>
  <c r="AM40" i="4"/>
  <c r="AL40" i="4"/>
  <c r="AI40" i="4"/>
  <c r="AH40" i="4"/>
  <c r="AG40" i="4"/>
  <c r="AF40" i="4"/>
  <c r="AE40" i="4"/>
  <c r="AO39" i="4"/>
  <c r="AN39" i="4"/>
  <c r="AM39" i="4"/>
  <c r="AL39" i="4"/>
  <c r="AI39" i="4"/>
  <c r="AH39" i="4"/>
  <c r="AG39" i="4"/>
  <c r="AF39" i="4"/>
  <c r="AE39" i="4"/>
  <c r="AO38" i="4"/>
  <c r="AN38" i="4"/>
  <c r="AM38" i="4"/>
  <c r="AL38" i="4"/>
  <c r="AI38" i="4"/>
  <c r="AH38" i="4"/>
  <c r="AG38" i="4"/>
  <c r="AF38" i="4"/>
  <c r="AE38" i="4"/>
  <c r="AO37" i="4"/>
  <c r="AN37" i="4"/>
  <c r="AM37" i="4"/>
  <c r="AL37" i="4"/>
  <c r="AI37" i="4"/>
  <c r="AH37" i="4"/>
  <c r="AG37" i="4"/>
  <c r="AF37" i="4"/>
  <c r="AE37" i="4"/>
  <c r="AO36" i="4"/>
  <c r="AN36" i="4"/>
  <c r="AM36" i="4"/>
  <c r="AL36" i="4"/>
  <c r="AI36" i="4"/>
  <c r="AH36" i="4"/>
  <c r="AG36" i="4"/>
  <c r="AF36" i="4"/>
  <c r="AE36" i="4"/>
  <c r="AO35" i="4"/>
  <c r="AN35" i="4"/>
  <c r="AM35" i="4"/>
  <c r="AL35" i="4"/>
  <c r="AI35" i="4"/>
  <c r="AH35" i="4"/>
  <c r="AG35" i="4"/>
  <c r="AF35" i="4"/>
  <c r="AE35" i="4"/>
  <c r="AO34" i="4"/>
  <c r="AN34" i="4"/>
  <c r="AM34" i="4"/>
  <c r="AL34" i="4"/>
  <c r="AI34" i="4"/>
  <c r="AH34" i="4"/>
  <c r="AG34" i="4"/>
  <c r="AF34" i="4"/>
  <c r="AE34" i="4"/>
  <c r="AO33" i="4"/>
  <c r="AN33" i="4"/>
  <c r="AM33" i="4"/>
  <c r="AL33" i="4"/>
  <c r="AI33" i="4"/>
  <c r="AH33" i="4"/>
  <c r="AG33" i="4"/>
  <c r="AF33" i="4"/>
  <c r="AE33" i="4"/>
  <c r="AO32" i="4"/>
  <c r="AN32" i="4"/>
  <c r="AM32" i="4"/>
  <c r="AL32" i="4"/>
  <c r="AI32" i="4"/>
  <c r="AH32" i="4"/>
  <c r="AG32" i="4"/>
  <c r="AF32" i="4"/>
  <c r="AE32" i="4"/>
  <c r="AO31" i="4"/>
  <c r="AN31" i="4"/>
  <c r="AM31" i="4"/>
  <c r="AL31" i="4"/>
  <c r="AI31" i="4"/>
  <c r="AH31" i="4"/>
  <c r="AG31" i="4"/>
  <c r="AF31" i="4"/>
  <c r="AE31" i="4"/>
  <c r="AO30" i="4"/>
  <c r="AN30" i="4"/>
  <c r="AM30" i="4"/>
  <c r="AL30" i="4"/>
  <c r="AI30" i="4"/>
  <c r="AH30" i="4"/>
  <c r="AG30" i="4"/>
  <c r="AF30" i="4"/>
  <c r="AE30" i="4"/>
  <c r="AO29" i="4"/>
  <c r="AN29" i="4"/>
  <c r="AM29" i="4"/>
  <c r="AL29" i="4"/>
  <c r="AI29" i="4"/>
  <c r="AH29" i="4"/>
  <c r="AG29" i="4"/>
  <c r="AF29" i="4"/>
  <c r="AE29" i="4"/>
  <c r="AO28" i="4"/>
  <c r="AN28" i="4"/>
  <c r="AM28" i="4"/>
  <c r="AL28" i="4"/>
  <c r="AI28" i="4"/>
  <c r="AH28" i="4"/>
  <c r="AG28" i="4"/>
  <c r="AF28" i="4"/>
  <c r="AE28" i="4"/>
  <c r="AO27" i="4"/>
  <c r="AN27" i="4"/>
  <c r="AM27" i="4"/>
  <c r="AL27" i="4"/>
  <c r="AI27" i="4"/>
  <c r="AH27" i="4"/>
  <c r="AG27" i="4"/>
  <c r="AF27" i="4"/>
  <c r="AE27" i="4"/>
  <c r="AO26" i="4"/>
  <c r="AN26" i="4"/>
  <c r="AM26" i="4"/>
  <c r="AL26" i="4"/>
  <c r="AI26" i="4"/>
  <c r="AH26" i="4"/>
  <c r="AG26" i="4"/>
  <c r="AF26" i="4"/>
  <c r="AE26" i="4"/>
  <c r="AO25" i="4"/>
  <c r="AN25" i="4"/>
  <c r="AM25" i="4"/>
  <c r="AL25" i="4"/>
  <c r="AI25" i="4"/>
  <c r="AH25" i="4"/>
  <c r="AG25" i="4"/>
  <c r="AF25" i="4"/>
  <c r="AE25" i="4"/>
  <c r="AO24" i="4"/>
  <c r="AN24" i="4"/>
  <c r="AM24" i="4"/>
  <c r="AL24" i="4"/>
  <c r="AI24" i="4"/>
  <c r="AH24" i="4"/>
  <c r="AG24" i="4"/>
  <c r="AF24" i="4"/>
  <c r="AE24" i="4"/>
  <c r="AO23" i="4"/>
  <c r="AN23" i="4"/>
  <c r="AM23" i="4"/>
  <c r="AL23" i="4"/>
  <c r="AI23" i="4"/>
  <c r="AH23" i="4"/>
  <c r="AG23" i="4"/>
  <c r="AF23" i="4"/>
  <c r="AE23" i="4"/>
  <c r="AO22" i="4"/>
  <c r="AN22" i="4"/>
  <c r="AM22" i="4"/>
  <c r="AL22" i="4"/>
  <c r="AI22" i="4"/>
  <c r="AH22" i="4"/>
  <c r="AG22" i="4"/>
  <c r="AF22" i="4"/>
  <c r="AE22" i="4"/>
  <c r="AO21" i="4"/>
  <c r="AN21" i="4"/>
  <c r="AM21" i="4"/>
  <c r="AL21" i="4"/>
  <c r="AI21" i="4"/>
  <c r="AH21" i="4"/>
  <c r="AG21" i="4"/>
  <c r="AF21" i="4"/>
  <c r="AE21" i="4"/>
  <c r="AO20" i="4"/>
  <c r="AN20" i="4"/>
  <c r="AM20" i="4"/>
  <c r="AL20" i="4"/>
  <c r="AI20" i="4"/>
  <c r="AH20" i="4"/>
  <c r="AG20" i="4"/>
  <c r="AF20" i="4"/>
  <c r="AE20" i="4"/>
  <c r="AO19" i="4"/>
  <c r="AN19" i="4"/>
  <c r="AM19" i="4"/>
  <c r="AL19" i="4"/>
  <c r="AI19" i="4"/>
  <c r="AH19" i="4"/>
  <c r="AG19" i="4"/>
  <c r="AF19" i="4"/>
  <c r="AE19" i="4"/>
  <c r="AO18" i="4"/>
  <c r="AN18" i="4"/>
  <c r="AM18" i="4"/>
  <c r="AL18" i="4"/>
  <c r="AI18" i="4"/>
  <c r="AH18" i="4"/>
  <c r="AG18" i="4"/>
  <c r="AF18" i="4"/>
  <c r="AE18" i="4"/>
  <c r="AO17" i="4"/>
  <c r="AN17" i="4"/>
  <c r="AM17" i="4"/>
  <c r="AL17" i="4"/>
  <c r="AI17" i="4"/>
  <c r="AH17" i="4"/>
  <c r="AG17" i="4"/>
  <c r="AF17" i="4"/>
  <c r="AE17" i="4"/>
  <c r="AO16" i="4"/>
  <c r="AN16" i="4"/>
  <c r="AM16" i="4"/>
  <c r="AL16" i="4"/>
  <c r="AI16" i="4"/>
  <c r="AH16" i="4"/>
  <c r="AG16" i="4"/>
  <c r="AF16" i="4"/>
  <c r="AE16" i="4"/>
  <c r="AO15" i="4"/>
  <c r="AN15" i="4"/>
  <c r="AM15" i="4"/>
  <c r="AL15" i="4"/>
  <c r="AI15" i="4"/>
  <c r="AH15" i="4"/>
  <c r="AG15" i="4"/>
  <c r="AF15" i="4"/>
  <c r="AE15" i="4"/>
  <c r="AO14" i="4"/>
  <c r="AN14" i="4"/>
  <c r="AM14" i="4"/>
  <c r="AL14" i="4"/>
  <c r="AI14" i="4"/>
  <c r="AH14" i="4"/>
  <c r="AG14" i="4"/>
  <c r="AF14" i="4"/>
  <c r="AE14" i="4"/>
  <c r="AO13" i="4"/>
  <c r="AN13" i="4"/>
  <c r="AM13" i="4"/>
  <c r="AL13" i="4"/>
  <c r="AI13" i="4"/>
  <c r="AH13" i="4"/>
  <c r="AG13" i="4"/>
  <c r="AF13" i="4"/>
  <c r="AE13" i="4"/>
  <c r="AO12" i="4"/>
  <c r="AN12" i="4"/>
  <c r="AM12" i="4"/>
  <c r="AL12" i="4"/>
  <c r="AI12" i="4"/>
  <c r="AH12" i="4"/>
  <c r="AG12" i="4"/>
  <c r="AF12" i="4"/>
  <c r="AE12" i="4"/>
  <c r="AO11" i="4"/>
  <c r="AN11" i="4"/>
  <c r="AM11" i="4"/>
  <c r="AL11" i="4"/>
  <c r="AI11" i="4"/>
  <c r="AH11" i="4"/>
  <c r="AG11" i="4"/>
  <c r="AF11" i="4"/>
  <c r="AE11" i="4"/>
  <c r="AO10" i="4"/>
  <c r="AN10" i="4"/>
  <c r="AM10" i="4"/>
  <c r="AL10" i="4"/>
  <c r="AI10" i="4"/>
  <c r="AH10" i="4"/>
  <c r="AG10" i="4"/>
  <c r="AF10" i="4"/>
  <c r="AE10" i="4"/>
  <c r="AO9" i="4"/>
  <c r="AN9" i="4"/>
  <c r="AM9" i="4"/>
  <c r="AL9" i="4"/>
  <c r="AI9" i="4"/>
  <c r="AH9" i="4"/>
  <c r="AG9" i="4"/>
  <c r="AF9" i="4"/>
  <c r="AE9" i="4"/>
  <c r="AO8" i="4"/>
  <c r="AN8" i="4"/>
  <c r="AM8" i="4"/>
  <c r="AL8" i="4"/>
  <c r="AI8" i="4"/>
  <c r="AH8" i="4"/>
  <c r="AG8" i="4"/>
  <c r="AF8" i="4"/>
  <c r="AE8" i="4"/>
  <c r="AO7" i="4"/>
  <c r="AN7" i="4"/>
  <c r="AM7" i="4"/>
  <c r="AL7" i="4"/>
  <c r="AI7" i="4"/>
  <c r="AH7" i="4"/>
  <c r="AG7" i="4"/>
  <c r="AF7" i="4"/>
  <c r="AE7" i="4"/>
  <c r="AO6" i="4"/>
  <c r="AN6" i="4"/>
  <c r="AM6" i="4"/>
  <c r="AL6" i="4"/>
  <c r="AI6" i="4"/>
  <c r="AH6" i="4"/>
  <c r="AG6" i="4"/>
  <c r="AF6" i="4"/>
  <c r="AE6" i="4"/>
  <c r="AO5" i="4"/>
  <c r="AN5" i="4"/>
  <c r="AM5" i="4"/>
  <c r="AL5" i="4"/>
  <c r="AI5" i="4"/>
  <c r="AH5" i="4"/>
  <c r="AG5" i="4"/>
  <c r="AF5" i="4"/>
  <c r="AE5" i="4"/>
  <c r="AO4" i="4"/>
  <c r="AN4" i="4"/>
  <c r="AM4" i="4"/>
  <c r="AL4" i="4"/>
  <c r="AI4" i="4"/>
  <c r="AK4" i="4"/>
  <c r="AH4" i="4"/>
  <c r="AG4" i="4"/>
  <c r="AF4" i="4"/>
  <c r="AK5" i="4"/>
  <c r="AK40" i="4"/>
  <c r="AK42" i="4"/>
  <c r="AK6" i="4"/>
  <c r="AK45" i="4"/>
  <c r="AK37" i="4"/>
  <c r="AK39" i="4"/>
  <c r="AK38" i="4"/>
  <c r="AK33" i="4"/>
  <c r="V479" i="1" l="1"/>
  <c r="V380" i="1"/>
  <c r="V586" i="1"/>
  <c r="V557" i="1"/>
  <c r="V533" i="1"/>
  <c r="V527" i="1"/>
  <c r="V514" i="1"/>
  <c r="V507" i="1"/>
  <c r="V472" i="1"/>
  <c r="V461" i="1"/>
  <c r="V460" i="1"/>
  <c r="V443" i="1"/>
  <c r="V442" i="1"/>
  <c r="V439" i="1"/>
  <c r="V431" i="1"/>
  <c r="V429" i="1"/>
  <c r="V427" i="1"/>
  <c r="V423" i="1"/>
  <c r="V410" i="1"/>
  <c r="V396" i="1"/>
  <c r="V391" i="1"/>
  <c r="V377" i="1"/>
  <c r="V375" i="1"/>
  <c r="V374" i="1"/>
  <c r="V372" i="1"/>
  <c r="V358" i="1"/>
  <c r="V334" i="1"/>
  <c r="V323" i="1"/>
  <c r="V296" i="1"/>
  <c r="V290" i="1"/>
  <c r="V289" i="1"/>
  <c r="V283" i="1"/>
  <c r="V259" i="1"/>
  <c r="V247" i="1"/>
  <c r="V238" i="1"/>
  <c r="V235" i="1"/>
  <c r="V224" i="1"/>
  <c r="V221" i="1"/>
  <c r="V174" i="1"/>
  <c r="V173" i="1"/>
  <c r="V171" i="1"/>
  <c r="V153" i="1"/>
  <c r="V137" i="1"/>
  <c r="V135" i="1"/>
  <c r="V122" i="1"/>
  <c r="V121" i="1"/>
  <c r="V115" i="1"/>
  <c r="V110" i="1"/>
  <c r="V86" i="1"/>
  <c r="V85" i="1"/>
  <c r="V84" i="1"/>
  <c r="V82" i="1"/>
  <c r="V60" i="1"/>
  <c r="V57" i="1"/>
  <c r="V40" i="1"/>
  <c r="V23" i="1"/>
  <c r="V22" i="1"/>
  <c r="V5" i="1"/>
  <c r="V462" i="1"/>
  <c r="V473" i="1"/>
  <c r="V404" i="1"/>
  <c r="V583" i="1"/>
  <c r="V593" i="1"/>
  <c r="V564" i="1"/>
  <c r="V551" i="1"/>
  <c r="V556" i="1"/>
  <c r="V559" i="1"/>
  <c r="V539" i="1"/>
  <c r="V526" i="1"/>
  <c r="V517" i="1"/>
  <c r="V512" i="1"/>
  <c r="V511" i="1"/>
  <c r="V508" i="1"/>
  <c r="V495" i="1"/>
  <c r="V467" i="1"/>
  <c r="V465" i="1"/>
  <c r="V455" i="1"/>
  <c r="V454" i="1"/>
  <c r="V449" i="1"/>
  <c r="V440" i="1"/>
  <c r="V437" i="1"/>
  <c r="V435" i="1"/>
  <c r="V428" i="1"/>
  <c r="V422" i="1"/>
  <c r="V414" i="1"/>
  <c r="V409" i="1"/>
  <c r="V402" i="1"/>
  <c r="V397" i="1"/>
  <c r="V393" i="1"/>
  <c r="AK7" i="4"/>
  <c r="V597" i="1"/>
  <c r="AK31" i="4"/>
  <c r="AK30" i="4"/>
  <c r="AK26" i="4"/>
  <c r="AK27" i="4"/>
  <c r="AK20" i="4"/>
  <c r="AK25" i="4"/>
  <c r="AK19" i="4"/>
  <c r="AK32" i="4"/>
  <c r="AK22" i="4"/>
  <c r="AK15" i="4"/>
  <c r="AK29" i="4"/>
  <c r="AK28" i="4"/>
  <c r="AK11" i="4"/>
  <c r="AK23" i="4"/>
  <c r="AK16" i="4"/>
  <c r="AK9" i="4"/>
  <c r="AK21" i="4"/>
  <c r="AK17" i="4"/>
  <c r="AK14" i="4"/>
  <c r="AK18" i="4"/>
  <c r="AK12" i="4"/>
  <c r="AK24" i="4"/>
  <c r="AK8" i="4"/>
  <c r="AK10" i="4"/>
  <c r="V568" i="1"/>
  <c r="AK34" i="4"/>
  <c r="AK36" i="4"/>
  <c r="AK41" i="4"/>
  <c r="AK13" i="4"/>
  <c r="AK35" i="4"/>
  <c r="AK44" i="4"/>
  <c r="V498" i="1"/>
  <c r="V385" i="1" l="1"/>
  <c r="V381" i="1"/>
  <c r="V382" i="1"/>
  <c r="V376" i="1"/>
  <c r="V357" i="1"/>
  <c r="V340" i="1"/>
  <c r="V335" i="1"/>
  <c r="V332" i="1"/>
  <c r="V328" i="1"/>
  <c r="V319" i="1"/>
  <c r="V318" i="1"/>
  <c r="V316" i="1"/>
  <c r="V313" i="1"/>
  <c r="V309" i="1"/>
  <c r="V301" i="1"/>
  <c r="V295" i="1"/>
  <c r="V294" i="1"/>
  <c r="V288" i="1"/>
  <c r="V284" i="1"/>
  <c r="V267" i="1"/>
  <c r="V269" i="1"/>
  <c r="V268" i="1"/>
  <c r="V270" i="1"/>
  <c r="V265" i="1"/>
  <c r="V262" i="1"/>
  <c r="V263" i="1"/>
  <c r="V258" i="1"/>
  <c r="V246" i="1"/>
  <c r="V244" i="1"/>
  <c r="V236" i="1"/>
  <c r="V233" i="1"/>
  <c r="V229" i="1"/>
  <c r="V227" i="1"/>
  <c r="V219" i="1"/>
  <c r="V216" i="1"/>
  <c r="V210" i="1"/>
  <c r="V207" i="1"/>
  <c r="V205" i="1"/>
  <c r="V202" i="1"/>
  <c r="V199" i="1"/>
  <c r="V197" i="1"/>
  <c r="V195" i="1"/>
  <c r="V182" i="1"/>
  <c r="V172" i="1"/>
  <c r="V167" i="1"/>
  <c r="V166" i="1"/>
  <c r="V159" i="1"/>
  <c r="V142" i="1"/>
  <c r="V143" i="1"/>
  <c r="V138" i="1"/>
  <c r="V134" i="1"/>
  <c r="V125" i="1"/>
  <c r="V120" i="1"/>
  <c r="V116" i="1"/>
  <c r="V111" i="1"/>
  <c r="V108" i="1"/>
  <c r="V103" i="1"/>
  <c r="V83" i="1"/>
  <c r="V77" i="1"/>
  <c r="V72" i="1"/>
  <c r="V63" i="1"/>
  <c r="V62" i="1"/>
  <c r="V37" i="1"/>
  <c r="V32" i="1"/>
  <c r="V29" i="1"/>
  <c r="V28" i="1"/>
  <c r="V20" i="1"/>
  <c r="V17" i="1"/>
  <c r="V15" i="1"/>
  <c r="V11" i="1"/>
  <c r="V10" i="1"/>
  <c r="V572" i="1"/>
  <c r="V433" i="1"/>
</calcChain>
</file>

<file path=xl/sharedStrings.xml><?xml version="1.0" encoding="utf-8"?>
<sst xmlns="http://schemas.openxmlformats.org/spreadsheetml/2006/main" count="16101" uniqueCount="3682">
  <si>
    <t>ACC.NO</t>
  </si>
  <si>
    <t>NAMES</t>
  </si>
  <si>
    <t>FPR</t>
  </si>
  <si>
    <t>O/N</t>
  </si>
  <si>
    <t>CYC</t>
  </si>
  <si>
    <t>MOBILE</t>
  </si>
  <si>
    <t>BLOCK</t>
  </si>
  <si>
    <t>EXCESS LIMIT</t>
  </si>
  <si>
    <t>CREDIT</t>
  </si>
  <si>
    <t>ENR</t>
  </si>
  <si>
    <t>EMI 0/S</t>
  </si>
  <si>
    <t>CURR_BAL</t>
  </si>
  <si>
    <t>PRI</t>
  </si>
  <si>
    <t>NORM</t>
  </si>
  <si>
    <t>STAB</t>
  </si>
  <si>
    <t>PAID/UNPAID</t>
  </si>
  <si>
    <t>STATUS</t>
  </si>
  <si>
    <t>AMOUNT</t>
  </si>
  <si>
    <t>PENDING</t>
  </si>
  <si>
    <t>DATE</t>
  </si>
  <si>
    <t>DONE BY</t>
  </si>
  <si>
    <t>MODE</t>
  </si>
  <si>
    <t>CALLER</t>
  </si>
  <si>
    <t>CAT ALLO</t>
  </si>
  <si>
    <t>ADD 1</t>
  </si>
  <si>
    <t>ADD 2</t>
  </si>
  <si>
    <t>LOCATION</t>
  </si>
  <si>
    <t>AREA</t>
  </si>
  <si>
    <t>FOS NAME</t>
  </si>
  <si>
    <t>MARC</t>
  </si>
  <si>
    <t>MARC ID</t>
  </si>
  <si>
    <t>MARC PW</t>
  </si>
  <si>
    <t>TC DISPO</t>
  </si>
  <si>
    <t>TC REMARK</t>
  </si>
  <si>
    <t>VISITS</t>
  </si>
  <si>
    <t>FOS DISPO</t>
  </si>
  <si>
    <t>REMARKS</t>
  </si>
  <si>
    <t>V DATE</t>
  </si>
  <si>
    <t>LAST PAYMENT DATE</t>
  </si>
  <si>
    <t>LAST PAYMENT AMOUNT</t>
  </si>
  <si>
    <t>CARD TYPE</t>
  </si>
  <si>
    <t>ALLOC DATE</t>
  </si>
  <si>
    <t>X</t>
  </si>
  <si>
    <t/>
  </si>
  <si>
    <t>UNPAID</t>
  </si>
  <si>
    <t>RF</t>
  </si>
  <si>
    <t>NOT VISITED</t>
  </si>
  <si>
    <t>Amazon Pay ICICI Bank Credit Card</t>
  </si>
  <si>
    <t>ICICI Bank Coral RuPay Credit Card</t>
  </si>
  <si>
    <t>Row Labels</t>
  </si>
  <si>
    <t>Grand Total</t>
  </si>
  <si>
    <t>Sum of AMOUNT</t>
  </si>
  <si>
    <t>N</t>
  </si>
  <si>
    <t>KDP</t>
  </si>
  <si>
    <t>TS</t>
  </si>
  <si>
    <t>SRIKANTH/ANANTHAPUR , 9182336153</t>
  </si>
  <si>
    <t>KRISHNA/EAST , 8985743534</t>
  </si>
  <si>
    <t>SRINIU/WEST , 9154934446</t>
  </si>
  <si>
    <t>PAID</t>
  </si>
  <si>
    <t>B RANJITH/BADRACHALAM , 9154994666</t>
  </si>
  <si>
    <t>LIKITH/KHAMMAM , 7981063429</t>
  </si>
  <si>
    <t>PRASHANTH/TS , 9652386391</t>
  </si>
  <si>
    <t>RAHUL/TS , 9642288392</t>
  </si>
  <si>
    <t>TULASI/NELLORE , 8897907043</t>
  </si>
  <si>
    <t>VISITED</t>
  </si>
  <si>
    <t>%</t>
  </si>
  <si>
    <t>Total %</t>
  </si>
  <si>
    <t>MIS</t>
  </si>
  <si>
    <t>COUNT.</t>
  </si>
  <si>
    <t>Total COUNT.</t>
  </si>
  <si>
    <t>ENR.</t>
  </si>
  <si>
    <t>Total ENR.</t>
  </si>
  <si>
    <t>AMT.</t>
  </si>
  <si>
    <t>Total AMT.</t>
  </si>
  <si>
    <t>EMP NAME</t>
  </si>
  <si>
    <t>COUNT</t>
  </si>
  <si>
    <t>TARGET %</t>
  </si>
  <si>
    <t>TARGET ENR</t>
  </si>
  <si>
    <t>ACHIEVED %</t>
  </si>
  <si>
    <t>ACHIEVED ENR</t>
  </si>
  <si>
    <t>PENDING VISIT</t>
  </si>
  <si>
    <t>CASH COLL</t>
  </si>
  <si>
    <t>DueDate</t>
  </si>
  <si>
    <t>NA</t>
  </si>
  <si>
    <t>GTR</t>
  </si>
  <si>
    <t>SAMBA</t>
  </si>
  <si>
    <t>SAI</t>
  </si>
  <si>
    <t>TEAM</t>
  </si>
  <si>
    <t>DURGA</t>
  </si>
  <si>
    <t>NAYAB/PRODDATUR , 6305351203</t>
  </si>
  <si>
    <t>O</t>
  </si>
  <si>
    <t>MANI</t>
  </si>
  <si>
    <t>KARIMNAGAR</t>
  </si>
  <si>
    <t>VALLI/GTR , 9963854572</t>
  </si>
  <si>
    <t>LOHITH/ELLURU , 9705411758</t>
  </si>
  <si>
    <t>SRIKANTH/NALGONDA , 9603185469</t>
  </si>
  <si>
    <t>UDAY/KAKINADA , 9032220101</t>
  </si>
  <si>
    <t>INAMUL/GTR , 8367073588</t>
  </si>
  <si>
    <t>UNPAID Total</t>
  </si>
  <si>
    <t>Ssde@9290</t>
  </si>
  <si>
    <t>KHAMMAM</t>
  </si>
  <si>
    <t>SANTHOSH/KARIMNAGAR , 9963176593</t>
  </si>
  <si>
    <t>Column1</t>
  </si>
  <si>
    <t>CUDDAPAH</t>
  </si>
  <si>
    <t>WARANGAL</t>
  </si>
  <si>
    <t>RABBANI/KURNOOL , 9052323785</t>
  </si>
  <si>
    <t>SUDHAKAR/VJW , 7893124290</t>
  </si>
  <si>
    <t>GANESH/GTR , 7013441521</t>
  </si>
  <si>
    <t>ALL</t>
  </si>
  <si>
    <t>KARUNAKAR/WARANGAL , 9989734512</t>
  </si>
  <si>
    <t>6528680717842016</t>
  </si>
  <si>
    <t>MR CHOLLANGI SRI JAYA PRAKASH NAR</t>
  </si>
  <si>
    <t>8639898537</t>
  </si>
  <si>
    <t xml:space="preserve">DNO 3-5-47 NEAR BALARAKSHAK BHAVAN  GOGULAMALLAYYA BAZAR MAHABUBABAD NEAR MAIN ROAD BHEEMARAM TNG 506101 </t>
  </si>
  <si>
    <t>V RAMANA/ANANTHAPUR , 9885633687</t>
  </si>
  <si>
    <t>LIVE</t>
  </si>
  <si>
    <t>KISHORE/GTR , 8688104987</t>
  </si>
  <si>
    <t>MADHU/NANDYAL , 9550812050</t>
  </si>
  <si>
    <t>NAGARAJU/TS , 6281603130</t>
  </si>
  <si>
    <t>MAHESH/NIZAMABAD , 9177861515</t>
  </si>
  <si>
    <t>ANIL KUMAR/TS , 6305285702</t>
  </si>
  <si>
    <t>6528682041717013</t>
  </si>
  <si>
    <t>MR Dappili Sailendra Reddy</t>
  </si>
  <si>
    <t>KAKINADA</t>
  </si>
  <si>
    <t>TADEPALLIGUDEM</t>
  </si>
  <si>
    <t>AMALAPURAM</t>
  </si>
  <si>
    <t>ICICI Rubyx Master PLT Chip Card</t>
  </si>
  <si>
    <t>EG&amp;WG</t>
  </si>
  <si>
    <t>RAKESH/WEST , 9121493562</t>
  </si>
  <si>
    <t>SWAGATH/ADILABAD , 9666210999</t>
  </si>
  <si>
    <t>RAJKUMAR/MEDAK , 7670935091</t>
  </si>
  <si>
    <t>ESWARRAO/TIRUPATI , 9030151410</t>
  </si>
  <si>
    <t>RE</t>
  </si>
  <si>
    <t>WANAPARTHY</t>
  </si>
  <si>
    <t>"HNO,FLAT NO 203 VINAYAKA,APARTMENT FLR,NEAR,"  "R AND B GUST HOUSE,KHAMMAM,KHANAPURAM HAWELI"  KHAMMAM TNG 507002</t>
  </si>
  <si>
    <t>"T2-538 KRISHNA COLONY,BHUPALPALLE,BHUPAL"  "PALLE," NEAR SHIVALAYAM WARANGAL TNG 506169</t>
  </si>
  <si>
    <t>14-64  QUAZI PURAQUAZI PURA Mahabubnagar WANAPARTHY TNG 509208</t>
  </si>
  <si>
    <t>"3-1-71,KOTTAGUDEM BAZAR,NEAR MRO OFFICE"    SURYAPET TNG 508213</t>
  </si>
  <si>
    <t>1-74 VILLIAGE BANDARAM  MDL - KONDAPAK  MEDAK TNG 502277</t>
  </si>
  <si>
    <t xml:space="preserve">Not Applicable  4-2-340srinvas nagar Gandhi chowk Gandhi chowk KHAMMAM TNG 507003 </t>
  </si>
  <si>
    <t xml:space="preserve">CAPGEMINI TECHNOLOGY SERVICES INDIA LIMI  1 7 FLOORS BUILDING H 07 PHOENIX INFOCITY SPECIAL ECONOMIC ZONE INFOCITY SPECIAL ECONOMIC ZONE HYDERABAD TNG 500081 </t>
  </si>
  <si>
    <t xml:space="preserve">AS INTERIOR  QUAZI PURA MAKTHAL  NARAYAMPET MAKTHAL  NARAYAMPET WANAPARTHY TNG 509208 </t>
  </si>
  <si>
    <t xml:space="preserve">Not Applicable  Suryapet Nallalbavi Nallalbavi BIBINAGAR TNG 508201 </t>
  </si>
  <si>
    <t xml:space="preserve">WOCKHARDT LIMITED  WOCKHARDT GARD ENTERPRISES LINGA REDDY MANSION 2 FLOOR TA BUND MANSION 2 FLOOR TA BUND Hyderabad TNG 500003 </t>
  </si>
  <si>
    <t>ICICI Sapphiro Master PLT Chip Card</t>
  </si>
  <si>
    <t>RTP</t>
  </si>
  <si>
    <t>PRAVEEN/ADILABAD , 8639562425</t>
  </si>
  <si>
    <t>RANJITH/TS , 7794980652</t>
  </si>
  <si>
    <t>ONGOLE</t>
  </si>
  <si>
    <t>SUBBU ,  9985844576</t>
  </si>
  <si>
    <t>4501721193741003</t>
  </si>
  <si>
    <t>4748460896251001</t>
  </si>
  <si>
    <t>MS LAKAVATH LEELAVATHI</t>
  </si>
  <si>
    <t>MR BONAGIRI NVSSMK DEEP</t>
  </si>
  <si>
    <t>4315810004648014</t>
  </si>
  <si>
    <t>Mr GHOUSE SAMDHANI SHAIK</t>
  </si>
  <si>
    <t>6528680971157002</t>
  </si>
  <si>
    <t>6528682033785002</t>
  </si>
  <si>
    <t>6528682024549003</t>
  </si>
  <si>
    <t>6528682051021009</t>
  </si>
  <si>
    <t>4315813880944002</t>
  </si>
  <si>
    <t>4315812610511016</t>
  </si>
  <si>
    <t>MR PANDI ADI SHANKER</t>
  </si>
  <si>
    <t>MR Bobba Venkateswara Rao</t>
  </si>
  <si>
    <t>MR Chennur Prasanth Reddy</t>
  </si>
  <si>
    <t>MR KRISHNAMOHAN TUMTUM</t>
  </si>
  <si>
    <t>MR CHAKALI SHEKAR</t>
  </si>
  <si>
    <t>MR Utukoori Vineeth</t>
  </si>
  <si>
    <t>8885165105</t>
  </si>
  <si>
    <t>9985615707</t>
  </si>
  <si>
    <t>9160999848</t>
  </si>
  <si>
    <t>9985011155</t>
  </si>
  <si>
    <t>8143811132</t>
  </si>
  <si>
    <t>8919990707</t>
  </si>
  <si>
    <t xml:space="preserve">"HOUSE NO 9-2-112 MADHURA BASTHI,"  "KOTHAGUDEM MAIN ROAD, KOTHAGUDEM" "KHAMMAM, OPP CHILDRENS PARK" BESIDE JAGADAMBHA SUPER MARKET KHAMMAM TNG 507101 </t>
  </si>
  <si>
    <t xml:space="preserve">9-19-4  perala andhra ratna nagar beside perala high school Prakasam ANP 523157 </t>
  </si>
  <si>
    <t xml:space="preserve">1/7  C K Dinne Mandalam Papa Saheb Peta Cuddapah CUDDAPAH ANP 516003 </t>
  </si>
  <si>
    <t xml:space="preserve">5-1-2  SIRCILLA REDDY WADA REDDY WADA GodavariKhani TNG 505301 </t>
  </si>
  <si>
    <t xml:space="preserve">"H NO,5-64 BOMRASPET DUDYAL,DUDYAL,.,.,.,"  ...  NEAR BUS STOP WANAPARTHY TNG 509350 </t>
  </si>
  <si>
    <t xml:space="preserve">1-42/2    Warangal WARANGAL TNG 506349 </t>
  </si>
  <si>
    <t>LARSENTOUBRO INFOTECH LIMITED "SY NO 83/1, BUILDING NO 20,14TH AND 15TH" "FLOOR,RAIDURGAM VILLAGE, SERLINGAMPALLY"  "FLOOR,RAIDURGAM VILLAGE, SERLINGAMPALLY" HYDERABAD TNG 500081</t>
  </si>
  <si>
    <t>VENKY EDTID VISIONS "VIJAYA COMPLEX , SHOP NO 116" "KURNOOL ROAD, ONGOLE"  "KURNOOL ROAD, ONGOLE" ONGOLE ANP 523001</t>
  </si>
  <si>
    <t>MILK PRODUCTION 1/7 PAPASAHEBPETA VILLAGE C.K DINNE MANDAL KADAPA  C.K DINNE MANDAL KADAPA CUDDAPAH ANP 516003</t>
  </si>
  <si>
    <t>NAKSHTRA MOBIL SERVICES SIRCIILA REDDY WADA  REDDY WADA GodavariKhani TNG 505301</t>
  </si>
  <si>
    <t>TAVANT TECHNOLOGIES INDIA PRIVATE LIMITE 21 3RD FLOOR SECTOR 2 VILLAGE MADHAPUR SERILIGAMAPALLY R R DISTRICT  MADHAPUR SERILIGAMAPALLY R R DISTRICT HYDERABAD TNG 500081</t>
  </si>
  <si>
    <t>DRIVING SCHOOL TEACHERS COLONY HANAMKONA  HANAMKONA WARANGAL TNG 506001</t>
  </si>
  <si>
    <t>OTHERS GOVERNMENT NORTHERN POWER DISTRIB NORTHEN POWER DISTRIBUTION COMPANY SEROLE MAHABUBABAD SEROLE MANDAL  SEROLE MAHABUBABAD SEROLE MANDAL WARANGAL TNG 506105</t>
  </si>
  <si>
    <t>21ST MAY</t>
  </si>
  <si>
    <t>GAFOOR/KDP , 9392457562</t>
  </si>
  <si>
    <t>Nihan@2421</t>
  </si>
  <si>
    <t>Ssd@9290</t>
  </si>
  <si>
    <t>Sgr@9290</t>
  </si>
  <si>
    <t>Ssde@9876</t>
  </si>
  <si>
    <t>POORNIMA</t>
  </si>
  <si>
    <t>PAVAN</t>
  </si>
  <si>
    <t>PRASHANTH</t>
  </si>
  <si>
    <t>CHAITANYA</t>
  </si>
  <si>
    <t>SUMANTH</t>
  </si>
  <si>
    <t>4315812081564007</t>
  </si>
  <si>
    <t>4315811789647007</t>
  </si>
  <si>
    <t>4315811754195016</t>
  </si>
  <si>
    <t>4315813239499005</t>
  </si>
  <si>
    <t>MR Marabathula Abhilash</t>
  </si>
  <si>
    <t>MR Pudari Praveen Kumar</t>
  </si>
  <si>
    <t>MR Gundeti Nagaprashanth</t>
  </si>
  <si>
    <t>MR Baji Shaik</t>
  </si>
  <si>
    <t>9666311234</t>
  </si>
  <si>
    <t>9493110442</t>
  </si>
  <si>
    <t>9700850848</t>
  </si>
  <si>
    <t>7207407696</t>
  </si>
  <si>
    <t>"FLAT,,NO.301" "3RD FLOOR,." SRAVANI RESIDENCY 6/3 SVN COLONY  GUNTUR ANP 522006</t>
  </si>
  <si>
    <t>3-10/12 Jagtial mandal dharur Karimnagar KARIMNAGAR TNG 505455</t>
  </si>
  <si>
    <t>1-5-82/1 JAGITHYAL ARAVIND NAGAR BESIDE OXFORD HIGH SCHOOL KARIMNAGAR TNG 505327</t>
  </si>
  <si>
    <t>S/O Shaik Kalesha Vali House No 15-15-6 9 Tarakarama Nagar 2nd Lane Kakani Road Guntur  Guntur Andhra Pradesh 522001 BEST PRICE GUNTUR ANP 522001</t>
  </si>
  <si>
    <t>KRISHNA FAST FOODS AND JUICE "4-22-66E, 1ST FLOOR" "4TH-LINE, MUTYALA REDDY NAGAR AMARAVATHI" "4TH-LINE, MUTYALA REDDY NAGAR AMARAVATHI" GUNTUR ANP 522007</t>
  </si>
  <si>
    <t>SHIVA SAI SERVICES H. NO 3-10/12 DHAROOR DHAROOR KARIMNAGAR TNG 505327</t>
  </si>
  <si>
    <t>QUBE CINEMA TECHNOLOGIES "317/A/B, MLA COLONY" "BANJARA HILLS ROAD NO 12, HYDERABAD" "BANJARA HILLS ROAD NO 12, HYDERABAD" HYDERABAD TNG 500034</t>
  </si>
  <si>
    <t>ACCENTURE SOLUTIONS PRIVATE LIMITED "DIVYASHREE ORION TOWER A, B B SY.NO.66/1" NAGA HILLS ROAD SERLINGAMPALLY RAIDURG NAGA HILLS ROAD SERLINGAMPALLY RAIDURG HYDERABAD TNG 500032</t>
  </si>
  <si>
    <t>GUNTUR</t>
  </si>
  <si>
    <t>SKIP</t>
  </si>
  <si>
    <t>22ND M</t>
  </si>
  <si>
    <t>MESS</t>
  </si>
  <si>
    <t>6528682033572004</t>
  </si>
  <si>
    <t>6528682031307007</t>
  </si>
  <si>
    <t>6528682414496005</t>
  </si>
  <si>
    <t>6528682273643002</t>
  </si>
  <si>
    <t>6528680131410002</t>
  </si>
  <si>
    <t>4315813522484003</t>
  </si>
  <si>
    <t>4375518880038005</t>
  </si>
  <si>
    <t>6528680631720009</t>
  </si>
  <si>
    <t>6528681853329008</t>
  </si>
  <si>
    <t>6528682447241006</t>
  </si>
  <si>
    <t>6528681067474004</t>
  </si>
  <si>
    <t>6528680604530005</t>
  </si>
  <si>
    <t>6528681074101004</t>
  </si>
  <si>
    <t>4748469515361000</t>
  </si>
  <si>
    <t>6528681265515004</t>
  </si>
  <si>
    <t>6528682602404001</t>
  </si>
  <si>
    <t>6528681107937002</t>
  </si>
  <si>
    <t>6528680796381001</t>
  </si>
  <si>
    <t>4315811772992006</t>
  </si>
  <si>
    <t>6528681825561001</t>
  </si>
  <si>
    <t>5241933447783010</t>
  </si>
  <si>
    <t>376944773817007</t>
  </si>
  <si>
    <t>4315813937704011</t>
  </si>
  <si>
    <t>6528681119369004</t>
  </si>
  <si>
    <t>6528680752399005</t>
  </si>
  <si>
    <t>4375514852142008</t>
  </si>
  <si>
    <t>6528680988655006</t>
  </si>
  <si>
    <t>6528680976473008</t>
  </si>
  <si>
    <t>6528681841755009</t>
  </si>
  <si>
    <t>4035620803388020</t>
  </si>
  <si>
    <t>4035620875792018</t>
  </si>
  <si>
    <t>4748469615661002</t>
  </si>
  <si>
    <t>6528680167020006</t>
  </si>
  <si>
    <t>6528680219177002</t>
  </si>
  <si>
    <t>6528680554431006</t>
  </si>
  <si>
    <t>6528682190024013</t>
  </si>
  <si>
    <t>6528682826514007</t>
  </si>
  <si>
    <t>6528683055826005</t>
  </si>
  <si>
    <t>MR Durgam Shyam Sunder</t>
  </si>
  <si>
    <t>MR Nagothi Balagangadhar Tilak</t>
  </si>
  <si>
    <t>MR DADHEPOGU SHANTHANNA</t>
  </si>
  <si>
    <t>MR Jagadeeshwar Darna</t>
  </si>
  <si>
    <t>MR TALIGAMMA SAI NATH GOUND</t>
  </si>
  <si>
    <t>MR PINAPOTHU BALA SRINIVAS</t>
  </si>
  <si>
    <t>Mr SUBBA Namburi Venkata Raju</t>
  </si>
  <si>
    <t>MR M YELLAIAH</t>
  </si>
  <si>
    <t>MR P VINOD KUMAR</t>
  </si>
  <si>
    <t>MR JV KODAMATI</t>
  </si>
  <si>
    <t>Mr ANUMANTHA Karanam Rao</t>
  </si>
  <si>
    <t>MS GRANDHI VENKATANAGR SURYAKUMAR</t>
  </si>
  <si>
    <t>MRS CHINNAMULA RAJITHA</t>
  </si>
  <si>
    <t>MR GANDI ADITYA</t>
  </si>
  <si>
    <t>MR ADAPA SUDHAKARA REDDY</t>
  </si>
  <si>
    <t>MR Gadde Kumar</t>
  </si>
  <si>
    <t>MR GUDA AJAY KUMAR</t>
  </si>
  <si>
    <t>MR MOHD NAZEERUDDIN</t>
  </si>
  <si>
    <t>MR Indukuri D V</t>
  </si>
  <si>
    <t>MR KUMMARI AVINASH</t>
  </si>
  <si>
    <t>MR. SRIHARI SANKALAMADDI</t>
  </si>
  <si>
    <t>MR BATHINA MALAKONDAIAH</t>
  </si>
  <si>
    <t>MR Dasari Uday Prakash</t>
  </si>
  <si>
    <t>MR ANURAG DUBEY</t>
  </si>
  <si>
    <t>MR KACHIREDDY SURESHREDDY</t>
  </si>
  <si>
    <t>MR PAVAN KUMAR CHALLA</t>
  </si>
  <si>
    <t>MR RAYINI ROHITH SUNNY</t>
  </si>
  <si>
    <t>MR PANDIPATI NARASIMHULU</t>
  </si>
  <si>
    <t>MR MADISHETTY PRAVEEN KUMAR</t>
  </si>
  <si>
    <t>MR P SAI MAHESH</t>
  </si>
  <si>
    <t>MS TATICHERLA SOWMYA</t>
  </si>
  <si>
    <t>MS KONDAVEETI LOVA DURGA</t>
  </si>
  <si>
    <t>MR YARRAMUDDAIAH BALAJI</t>
  </si>
  <si>
    <t>MS MALATHI ADLURI</t>
  </si>
  <si>
    <t>MR PAMMI CHANDRASEKHAR BABU</t>
  </si>
  <si>
    <t>MR DUBBA ISSACRAJU</t>
  </si>
  <si>
    <t>Mr Gudise Srinivas</t>
  </si>
  <si>
    <t>MR Shaik Feroz</t>
  </si>
  <si>
    <t>7416186352</t>
  </si>
  <si>
    <t>7013883770</t>
  </si>
  <si>
    <t>9705951772</t>
  </si>
  <si>
    <t>9642658862</t>
  </si>
  <si>
    <t>9494172105</t>
  </si>
  <si>
    <t>9912664243</t>
  </si>
  <si>
    <t>9490485908</t>
  </si>
  <si>
    <t>9010866903</t>
  </si>
  <si>
    <t>8142428143</t>
  </si>
  <si>
    <t>9949842225</t>
  </si>
  <si>
    <t>9985134418</t>
  </si>
  <si>
    <t>8686879988</t>
  </si>
  <si>
    <t>9177409707</t>
  </si>
  <si>
    <t>8143653721</t>
  </si>
  <si>
    <t>9849419027</t>
  </si>
  <si>
    <t>8184813732</t>
  </si>
  <si>
    <t>9063154457</t>
  </si>
  <si>
    <t>9948786983</t>
  </si>
  <si>
    <t>9666736174</t>
  </si>
  <si>
    <t>9177997691</t>
  </si>
  <si>
    <t>9985883962</t>
  </si>
  <si>
    <t>7842381113</t>
  </si>
  <si>
    <t>8106947949</t>
  </si>
  <si>
    <t>7275925608</t>
  </si>
  <si>
    <t>9676665157</t>
  </si>
  <si>
    <t>8639651305</t>
  </si>
  <si>
    <t>9676804949</t>
  </si>
  <si>
    <t>8919065532</t>
  </si>
  <si>
    <t>9030107333</t>
  </si>
  <si>
    <t>8328155934</t>
  </si>
  <si>
    <t>6303239209</t>
  </si>
  <si>
    <t>6281119619</t>
  </si>
  <si>
    <t>7075519620</t>
  </si>
  <si>
    <t>9494500500</t>
  </si>
  <si>
    <t>9494153381</t>
  </si>
  <si>
    <t>9849310046</t>
  </si>
  <si>
    <t>9959002937</t>
  </si>
  <si>
    <t>9666670211</t>
  </si>
  <si>
    <t>W</t>
  </si>
  <si>
    <t>1.252.9.1 REBBENA EDAVELLY Komaram Bheem ADILABAD TNG 504292</t>
  </si>
  <si>
    <t>9.68.20 Kothapet Cotton.Factory.Street Fish Market VIJAYAWADA ANP 520001</t>
  </si>
  <si>
    <t>H NO 44JRN159 "JANARDHAN RAO NAGAR,KURNOOL,,KARALMARKS NAGAR"  Kurnool KNO ANP 518004</t>
  </si>
  <si>
    <t>3.634 near.jyothi.rice.mill ..near.jyothi.rice.mill vellampally road WARANGAL TNG 506164</t>
  </si>
  <si>
    <t>HOUSE NO 3-13 MEENJIPETA AMBEDKAR STATUE  AMBEDKAR STATUE MEDAK TNG 502336</t>
  </si>
  <si>
    <t>14 137 MAHALAKSHMI NAGAR JAGANADHAPURAM EAST GODAVARI KAKINADA   KAKINADA ANP 533016</t>
  </si>
  <si>
    <t>"5-161,SARASWATHI NAGAR,UPPARA GUDEM"    BHIMAVARAM ANP 534204</t>
  </si>
  <si>
    <t>OLD 5-41 NEW NO 5-61 KASHIREDDYGUDA BURGUL FAROOQNAGAR NEAR BUS STOP WANAPARTHY TNG 509202</t>
  </si>
  <si>
    <t>H NO 9 79 UPPAL IEEJA MANDAL UPPAL  MAHBOOBNAGAR TNG 509135</t>
  </si>
  <si>
    <t>23-5-19 avasarala vari street near vinayaka temple  East Godavari KKN ANP 533001</t>
  </si>
  <si>
    <t>"81-15-8H5,PARAVATHI NAGAR,KURNOOL," OPP REGISTAR OFFICE KAROLI - KAROLI ANP 518002</t>
  </si>
  <si>
    <t>KINGS OPERA APARTMENT HNO 19-1-322/1-203 BANK COLONY PEDDAPURAM  NEAR CHACHA SCHOOL PEDDAPURAM ANP 533437</t>
  </si>
  <si>
    <t>"4-4-,188 SUBHASH NAGAR,PEDDAPALLE,PEDDAPALLI"    KARIMNAGAR TNG 505172</t>
  </si>
  <si>
    <t>2-19 NEAR MPP SCHOOL KOTIPALLI ROAD TOORANGI KAKINADA RURAL  EAST GODAVARI BESIDE MPP SCHOOL KAKINADA ANP 533016</t>
  </si>
  <si>
    <t>201 VENUGOPALNILAYAM 2 FLR 6TH LINE NGO COLONY  GUNTUR ANP 522004</t>
  </si>
  <si>
    <t>2-16medak mandalam nagapur  medak mandalamMedak HYD TNG 502113</t>
  </si>
  <si>
    <t>HNO 18-217/2 MANCHERIAL LABOUR COLONY MANCHERIAL ADILABAD  NEAR BUS STOP ADILABAD TNG 504208</t>
  </si>
  <si>
    <t>9-16-92 AHMEDPURA "GAJULAPET, NIZAMABAD" WATER TANK NIZAMABAD TNG 503001</t>
  </si>
  <si>
    <t>2-121/1   West Godavari West Godavari ANP 534156</t>
  </si>
  <si>
    <t>"H.NO.11-29-282,MV COLONY ROAD NO.3,WARAN" GAL  . WARANGAL TNG 506002</t>
  </si>
  <si>
    <t>"NALGONDA ,12-236,KAMALANAGAR" NEREDCHERLA SURYAPET NEAR KAMALANAGAR SURYAPET TNG 508218</t>
  </si>
  <si>
    <t>7-6-197 VASANTHARAYAPURAM 1ST LINE GUNTUR OPP TO BURIAL GROUNDS   GUNTUR ANP 522002</t>
  </si>
  <si>
    <t>6.90 Thimmapur.Mandal ..Thimmapur.Mandal Karimnagar KARIMNAGAR TNG 505527</t>
  </si>
  <si>
    <t>2ND FLOOR FLAT NO 201 VENKATESH NILAYAM FAROOW NAGAR SHADNAGAR BACK SIDE OF SBI BANK G TRAFFIC P S Hyderabad TNG 500001</t>
  </si>
  <si>
    <t>1-135 SHIVVARAM SHIVVARAM KURNOOL ANDRAPRADHESH  NEAR MAIN ROAD NANDYAL ANP 518122</t>
  </si>
  <si>
    <t>"CHILLAKUR,CHILLAKUR,CHILLAKUR" - NELLORE - NELLORE ANP 524412</t>
  </si>
  <si>
    <t>H NO 35-2-1080 SAIKESHAVA COLONY GOPALPUR BHIMARAM  NEAR KALLU MANDUVA BHIMARAM RURAL WARANGAL ANP 506015</t>
  </si>
  <si>
    <t>"39/49-59,SRI KRISHNADEVARAYA,CHINNACHOWK" ", COLONY"  CHINNACHOWK COLONY CUDDAPAH ANP 516002</t>
  </si>
  <si>
    <t>6-6-1046 SHIVAJI NAGAR Karimnagar NR SUBASHCHANDRA BOSE STATUE KARIM NAGAR TNG 505001</t>
  </si>
  <si>
    <t>"1-44,CHAGANAM,SYDAPURAM," "NELLORE," ANDHRA PRADESH "NEAR, POST OFFICE" GUDUR ANP 524407</t>
  </si>
  <si>
    <t>"4,1782 3 A STATE BANK,COLONY,NEAR JAINA" "AND,,SCHOOL,PAPAMPETA ANANTAPUR 515001"  XXXX ANAPARTHI ANP 515001</t>
  </si>
  <si>
    <t>2-20 NEAR LIBRARY A.KOTHAPALLI THONDANGI MANDAL LIBRARY KAKINADA ANP 533408</t>
  </si>
  <si>
    <t>"1/150,KANDUKURU B C COLONY,ANANTAPUR,,KA" NDUKURU  NEAR BUS STOP ANANTAPUR ANP 515721</t>
  </si>
  <si>
    <t>HNO 1- 100036 SRI VINAYAKA COLONY KAYATH AMPALLY GADDERAGADI MANCHERIAL ADILABAD NEAR MAIN ROAD ADILABAD TNG 504209</t>
  </si>
  <si>
    <t>6-58 MEESALA CHINNAYYA PETA TOORANGI  NR GOVT ELIMENTRY SCHOOL KAKINADA ANP 533016</t>
  </si>
  <si>
    <t>HNO 5-10-131  MANYAM CHALKAN NALGONDA NALGONDA NEAR DISTRICT JAIL NALGONDA TNG 508001</t>
  </si>
  <si>
    <t>"HNO,6-16 GURRALAGONDI,CHINNAKODUR, GURRALAGONDI"    Medak TNG 502276</t>
  </si>
  <si>
    <t>202.121.35.karthikeya apartment.Pragathi.nagar. turakapalem.road NRI college GUNTUR ANP 522005</t>
  </si>
  <si>
    <t>PREM.KIRANA.AND.GENERAL.STORE EDAVELLY KAIRGAM. KAIRGAM. ADILABAD TNG 504292</t>
  </si>
  <si>
    <t>MANASA.ENTERPRISES 9.68.20.COTTON.FACTORY.STREET.KOTHAPET.V 9.68.20.COTTON.FACTORY.STREET. 9.68.20.COTTON.FACTORY.STREET. VIJAYAWADA ANP 520001</t>
  </si>
  <si>
    <t>5 FLOOR SHOP 126 KARNUL BRILA GATE GOOTY ROAD   KNO ANP 518002</t>
  </si>
  <si>
    <t>JAGAN H.NO3.634 NEAR.JYOTI.RICE.MILL.PARKAL. NEAR.JYOTI.RICE.MILL.PARKAL. WARANGAL TNG 506164</t>
  </si>
  <si>
    <t>RELIANCE SMSL LIMITED H NO 7-20 SRINIVAS NAGAR OPP GRAMMA PANCHAITHI OFFICE CHEYAGUNTA OFFICE PANCHAITHI OFFICE CHEYAGUNTA OFFICE MEDAK TNG 502255</t>
  </si>
  <si>
    <t>CYIENT LIMITED It Sez gate Madhavapatnam Madhavapatnam KAKINADA ANP 533003</t>
  </si>
  <si>
    <t>SKYQUAd electronics and applainces Skyquad Electronics And Aplainces Medchal Medchal Rangareddy TNG 501401</t>
  </si>
  <si>
    <t>CABLE OPERATOR OLD 5-41 NEW NO 5-61 KASHIREDDYGUDA BURGUL FAROOQNAGAR BURGUL FAROOQNAGAR WANAPARTHY TNG 509202</t>
  </si>
  <si>
    <t>IDEA CELLULAR PRIVATE LIMITED UPPAL IEEJA IEEJA MAHBOOBNAGAR TNG 509135</t>
  </si>
  <si>
    <t>W6WQ-2MX TILAK ST SURYANARAYANAPURAM KAKINADA EASTGODAVARI   KKN ANP 533001</t>
  </si>
  <si>
    <t>BRINDAVAN INSTITUTE OF TECHNOLOGY AND SCIENCE Peddatekur   KURNOOL ANP 518218</t>
  </si>
  <si>
    <t>SRI LAKSHMI ENTERPRISES HNO 19-1-390/3 SUDHA COLONY   PEDDAPURAM ANP 533437</t>
  </si>
  <si>
    <t>CHINNAMULA RANJITHA HNo 4 - 4 - 188 Subhash Nagar Subhash Nagar PEDDA PALLI TNG 505172</t>
  </si>
  <si>
    <t>BAJAJ FINANCE LIMITED 7-2-27 CHITOORI COMPLEX ABOVE BANK OF MAHARASTRA MAIN ROAD AMALAPURAM MAHARASTRA MAIN ROAD AMALAPURAM AMALAPURAM ANP 533201</t>
  </si>
  <si>
    <t>VIJAYA KARTHIK TRADERS KODANDA RAMA COMPLEX PATNAM BAZAR GUNTUR PATNAM BAZAR GUNTUR GUNTUR ANP 522003</t>
  </si>
  <si>
    <t>s g digital land surveys 5 th wards Medak Telangana   HYD TNG 502113</t>
  </si>
  <si>
    <t>SINGARENI COLLIERIES COMPANY LIMITED SRP-3 MINE 1 MANCHERIAL MANCHERIAL ADILABAD TNG 504303</t>
  </si>
  <si>
    <t>NS REDIUM MAIN ROAD GHANDHI CHOWK GHANDHI CHOWK NIZAMABAD TNG 503001</t>
  </si>
  <si>
    <t>TATA CONSULTANCY SERVICES LIMITED TATA CONSULTANCY SERVICES "BRIGADE BHUWALKA,ITPL ROAD WHITE FIELD" "BRIGADE BHUWALKA,ITPL ROAD WHITE FIELD" BANGALORE KAR 560066</t>
  </si>
  <si>
    <t>VALUELABS SOLUTIONS LLP 360 INDIA 360 GACHIBOWLI HYDERABAD HYDERABAD HYDERABAD TNG 500032</t>
  </si>
  <si>
    <t>ATOS GLOBAL IT SOLUTIONS AND SERVICE PVT AIROLI KNOWLEDGE PARK AIROLI NAVI MUMBAI BUILDING NO 3 7TH FLOOR GIGAPLEX SPECIAL BUILDING NO 3 7TH FLOOR GIGAPLEX SPECIAL MUMBAI MAH 400708</t>
  </si>
  <si>
    <t>Byjus "7-6-196," "Vasantharayapurum, 1st lane" "Vasantharayapurum, 1st lane" GUNTUR ANP 522001</t>
  </si>
  <si>
    <t>USHODAYA.ENTERPRISES.PRIVATE.LIMITED EENADU.OFFICE.HYD.ROAD ALUGUNUR.. ALUGUNUR.. KARIMNAGAR TNG 505527</t>
  </si>
  <si>
    <t>AUROBINDO PHARMA LTD UNIT V11 SEZ SY NO 411 TO 458 GREEN INDUSTRIAL PARK POLEPALLY JADOHARLA INDUSTRIAL PARK POLEPALLY JADOHARLA Mahbubnagar TNG 509301</t>
  </si>
  <si>
    <t>CAPGEMINI TECHNOLOGY SERVICES INDIA LIMI 115-32-35 10B ROAD FINACIAL DISTRICT NANAKARAMGUDA HYDERABAD NANAKARAMGUDA HYDERABAD HYDERABAD TNG 500032</t>
  </si>
  <si>
    <t>INFOSYS LTD NO 44 ELECTRONICS CITY HOSUR ROAD HOSUR ROAD BANGALORE KAR 560100</t>
  </si>
  <si>
    <t>MAHESHWARI INDISTRES SAIKESHAVA COLONY BHIMARAM RURAL GOPALPUR HANAM KONDA GOPALPUR HANAM KONDA WARANGAL ANP 506015</t>
  </si>
  <si>
    <t>ACCENTURE SOLUTIONS PRIVATE LIMITED "DIVYAHSHREE ORION TOWER A,SY NO.661," "SERILINGAM,NAGA HILLS ROAD,RAIDURG" "SERILINGAM,NAGA HILLS ROAD,RAIDURG" HYDERABAD TNG 500032</t>
  </si>
  <si>
    <t>MEGHANA LADIES EMPORIUM NO 4-1-283 ANNAPURNA COMPLEC NR SAGAR   Karimnagar TNG 505101</t>
  </si>
  <si>
    <t>COGNIZANT TECHNOLOGY SOLUTIONS INDIA PRI "MANYATA EMBASSY TECH PARK, NAGAWARA" "BANGALORE, KARNATAKA" "BANGALORE, KARNATAKA" BANGALORE KAR 560045</t>
  </si>
  <si>
    <t>GENPACT INDIA PVT LTD 3RD  4TH DLF CYBER CITY BLOCK 2 PLOT NO ". 129-132, OPP. APHB COLONY, SEZ, GACHIB" ". 129-132, OPP. APHB COLONY, SEZ, GACHIB" HYDERABAD TNG 500019</t>
  </si>
  <si>
    <t>GOVERNMENT OF ANDHRAPRADESH GRAMA SACHIVALAYAM THONDANGI-1 KAKINADA KAKINADA KAKINADA ANP 533408</t>
  </si>
  <si>
    <t>TATA CONSULTANCY SERVICES LIMITED "NO-2-56/1/36,PHASE-2,GACHIBOWLI ROAD" "TCS SYNERGY PARK,SERILINGAMPALLY" "TCS SYNERGY PARK,SERILINGAMPALLY" HYDERABAD TNG 500019</t>
  </si>
  <si>
    <t>GOVT OF TELANGANA MPPS KANNEPALLY MANCHERIAL MANCHIRIAL SRIPUR MANCHIRIAL SRIPUR ADILABAD TNG 504273</t>
  </si>
  <si>
    <t>IFB APPLIANCES LIMITED C/O RELIANCE DIGITAL RAMASOMAYAJULU STREET SURYARAO PETA RAMASOMAYAJULU STREET SURYARAO PETA Nizamabad TNG 503001</t>
  </si>
  <si>
    <t>GENERAL STATE GOVERNEMENT GOVT OF TELANGANA SC CORPORATION SAMKSHEMA BHAVAN COLLECTORATE COMPLEXE SAMKSHEMA BHAVAN COLLECTORATE COMPLEXE NALGONDA TNG 508001</t>
  </si>
  <si>
    <t>Former Gurralagondi Siddipet Siddipet Medak TNG 502276</t>
  </si>
  <si>
    <t>FEROZ.SERVICES 202.121.35.karthikeya apartment.Pragathi.nagar..turakapalem.ro apartment.Pragathi.nagar..turakapalem.ro GUNTUR ANP 522005</t>
  </si>
  <si>
    <t>ADILABAD</t>
  </si>
  <si>
    <t>VIJAYAWADA</t>
  </si>
  <si>
    <t>KURNOOL</t>
  </si>
  <si>
    <t>MEDAK</t>
  </si>
  <si>
    <t>BHIMAVARAM</t>
  </si>
  <si>
    <t>MAHBOOBNAGAR</t>
  </si>
  <si>
    <t>PEDDAPURAM</t>
  </si>
  <si>
    <t>PEDDAPALLI</t>
  </si>
  <si>
    <t>NIZAMABAD</t>
  </si>
  <si>
    <t>WEST GODAVARI</t>
  </si>
  <si>
    <t>SURYAPET</t>
  </si>
  <si>
    <t>JEDCHERLA</t>
  </si>
  <si>
    <t>NANDYAL</t>
  </si>
  <si>
    <t>GUDUR</t>
  </si>
  <si>
    <t>ANAPARTHI</t>
  </si>
  <si>
    <t>ANANTAPUR</t>
  </si>
  <si>
    <t>NALGONDA</t>
  </si>
  <si>
    <t>ICICI Bank Coral Credit Card</t>
  </si>
  <si>
    <t>ICICI Bank MasterCard Coral Credit Card</t>
  </si>
  <si>
    <t>ICICI Bank HPCL Super Saver RuPay Credit Card</t>
  </si>
  <si>
    <t>ICICI Bank HPCL Super Saver Master Credit Card</t>
  </si>
  <si>
    <t>ICICI Bank Coral American Express Credit Card</t>
  </si>
  <si>
    <t>ICICI Bank HPCL Coral VISA Credit Card</t>
  </si>
  <si>
    <t>ICICI Bank HPCL Super Saver Visa Credit Card</t>
  </si>
  <si>
    <t>ICICI Bank Expressions Credit Card</t>
  </si>
  <si>
    <t>22ND MAY</t>
  </si>
  <si>
    <t>NLR</t>
  </si>
  <si>
    <t>CC</t>
  </si>
  <si>
    <t>NO FOS</t>
  </si>
  <si>
    <t>customer not available and phone respond he not able to pay right now because he loss money in business and he working in Hyderabad</t>
  </si>
  <si>
    <t>23RD M</t>
  </si>
  <si>
    <t>TC</t>
  </si>
  <si>
    <t xml:space="preserve"> customer not available fack adders</t>
  </si>
  <si>
    <t>DL</t>
  </si>
  <si>
    <t>MAHESH</t>
  </si>
  <si>
    <t>Custmor PTP    30 may</t>
  </si>
  <si>
    <t>Customer not staying here doing job in Hyderabad customer not lifting the call informed to mother he will pass the information revisit again sir. // Revisited customer given address Customer mother informed to customer given PTP 30th Customer will credit salary on that day sir.</t>
  </si>
  <si>
    <t>CUSTOMER GIVEN HOUSE ADDRESS VISITED BUT CUSTOMER NOT AVAILABLE LIVING AT US CUSTOMER FATHER AVAILABLE DISCUSSING ABOUT PAYMENT</t>
  </si>
  <si>
    <t>FE</t>
  </si>
  <si>
    <t>Visit near customer.he not available contact by phone he told that he had send lawyer notes . &amp; Refund to pay amount</t>
  </si>
  <si>
    <t>Customer address live house door locked sir customer my calls not responding revisit tomorrow sir</t>
  </si>
  <si>
    <t>25TH M</t>
  </si>
  <si>
    <t>Customer address visit ch not available door lock call response ptp on 28th sir</t>
  </si>
  <si>
    <t>Customer address visited customer shiftd to Hyderabad Confirmed by is friend call not answring and call back evening sir</t>
  </si>
  <si>
    <t>customer not available at given address cus  not responding my phone cals  sir</t>
  </si>
  <si>
    <t>Sgr@0987</t>
  </si>
  <si>
    <t>IMAMVALLI</t>
  </si>
  <si>
    <t>SUDHAKAR</t>
  </si>
  <si>
    <t>UDAY</t>
  </si>
  <si>
    <t>B NAGABABU</t>
  </si>
  <si>
    <t>K RAMU</t>
  </si>
  <si>
    <t>MANIKANTA</t>
  </si>
  <si>
    <t>INAMUL</t>
  </si>
  <si>
    <t>HARI</t>
  </si>
  <si>
    <t>B SURESH</t>
  </si>
  <si>
    <t>T SRINIVAS</t>
  </si>
  <si>
    <t>RAJKUMAR</t>
  </si>
  <si>
    <t>Customer address visit ch not msg left to family customer call response call back in Tommorow sir</t>
  </si>
  <si>
    <t>Customer new address visited customer live at home respond to payment said that call back on Monday // Customer new working address visited customer present not available respond to phone call given ptp today afternoon</t>
  </si>
  <si>
    <t>26TH M</t>
  </si>
  <si>
    <t>PAID Total</t>
  </si>
  <si>
    <t>4315812114541006</t>
  </si>
  <si>
    <t>4315815094755009</t>
  </si>
  <si>
    <t>4375517598230003</t>
  </si>
  <si>
    <t>4748466925864003</t>
  </si>
  <si>
    <t>4315811978111005</t>
  </si>
  <si>
    <t>4315812615474004</t>
  </si>
  <si>
    <t>4315811528261003</t>
  </si>
  <si>
    <t>4315811569817010</t>
  </si>
  <si>
    <t>4315812242800001</t>
  </si>
  <si>
    <t>4315812714442001</t>
  </si>
  <si>
    <t>4748464730268007</t>
  </si>
  <si>
    <t>4315813529963017</t>
  </si>
  <si>
    <t>6529190056764002</t>
  </si>
  <si>
    <t>4315811576908000</t>
  </si>
  <si>
    <t>4315812108663006</t>
  </si>
  <si>
    <t>4315811704218009</t>
  </si>
  <si>
    <t>4315812067436006</t>
  </si>
  <si>
    <t>4315811650771001</t>
  </si>
  <si>
    <t>4315811848969004</t>
  </si>
  <si>
    <t>4315811989424009</t>
  </si>
  <si>
    <t>4315812130353014</t>
  </si>
  <si>
    <t>4315812145247003</t>
  </si>
  <si>
    <t>4315812175162007</t>
  </si>
  <si>
    <t>4315813973497009</t>
  </si>
  <si>
    <t>4315814519173005</t>
  </si>
  <si>
    <t>4501721086208003</t>
  </si>
  <si>
    <t>MR GOTLA UMESH</t>
  </si>
  <si>
    <t>MR KAMATALA LALSA</t>
  </si>
  <si>
    <t>MR TADI VENKATA VIJAYA</t>
  </si>
  <si>
    <t>MR TADIMERI CHANDRA SEKHAR</t>
  </si>
  <si>
    <t>MR KOMMA REDDY</t>
  </si>
  <si>
    <t>MR Badugu Venkateswrlu</t>
  </si>
  <si>
    <t>MR Gunturu Sai Kireet</t>
  </si>
  <si>
    <t>MR Pendyala Vijaya Kumar</t>
  </si>
  <si>
    <t>MR JOHN WESLY PYDIPAMALA</t>
  </si>
  <si>
    <t>MR DARNAM RAJESH</t>
  </si>
  <si>
    <t>MR ADEPU SRI KARAN</t>
  </si>
  <si>
    <t>MR YALAVARTHI SRINIVASARAO</t>
  </si>
  <si>
    <t>MR Matta Satish</t>
  </si>
  <si>
    <t>MR SHAIK RIYAZUDDIN</t>
  </si>
  <si>
    <t>MS UMARANI GANGIREDDY</t>
  </si>
  <si>
    <t>MR RURDRA GANGADHAR RAO</t>
  </si>
  <si>
    <t>MR Pasala Suresh</t>
  </si>
  <si>
    <t>MR Bolli Anilkumar</t>
  </si>
  <si>
    <t>MS Lingala Usharani</t>
  </si>
  <si>
    <t>MR Vegesna Appalaraju</t>
  </si>
  <si>
    <t>Mr KARTHIK Nethi Kumar</t>
  </si>
  <si>
    <t>MR Parankusham Avinash Chandra</t>
  </si>
  <si>
    <t>MR Kathraji Raghuveer</t>
  </si>
  <si>
    <t>MR JADI NAGARAJU</t>
  </si>
  <si>
    <t>MR ALLAGADDA YADAV</t>
  </si>
  <si>
    <t>8978699287</t>
  </si>
  <si>
    <t>6281264210</t>
  </si>
  <si>
    <t>7997714444</t>
  </si>
  <si>
    <t>9573137279</t>
  </si>
  <si>
    <t>8142152181</t>
  </si>
  <si>
    <t>9490947774</t>
  </si>
  <si>
    <t>9441774951</t>
  </si>
  <si>
    <t>9441933989</t>
  </si>
  <si>
    <t>9663731945</t>
  </si>
  <si>
    <t>9010427704</t>
  </si>
  <si>
    <t>9177578043</t>
  </si>
  <si>
    <t>9395396190</t>
  </si>
  <si>
    <t>8985187132</t>
  </si>
  <si>
    <t>9948733826</t>
  </si>
  <si>
    <t>9866989173</t>
  </si>
  <si>
    <t>7736284229</t>
  </si>
  <si>
    <t>9177111115</t>
  </si>
  <si>
    <t>8500091887</t>
  </si>
  <si>
    <t>9000197668</t>
  </si>
  <si>
    <t>9652455666</t>
  </si>
  <si>
    <t>8142132992</t>
  </si>
  <si>
    <t>9701074509</t>
  </si>
  <si>
    <t>8466008822</t>
  </si>
  <si>
    <t>7382354888</t>
  </si>
  <si>
    <t>9052510066</t>
  </si>
  <si>
    <t>Y</t>
  </si>
  <si>
    <t xml:space="preserve">7/46  THERU BAZAR THERU BAZAR YEMMIGANUR KURNOOL ANP 518360 </t>
  </si>
  <si>
    <t xml:space="preserve">H..NO.3.4.158  ROAD.NO8 ..ROAD.NO8 ROAD NO8 KHAMMAM TNG 507002 </t>
  </si>
  <si>
    <t xml:space="preserve">"24-1,114/A,"  "Ward-16,Varidhanam Road" Palacole Pragathi Nagar WEST GODAVARI ANP 534260 </t>
  </si>
  <si>
    <t xml:space="preserve">5-36 KOTANKA ANANTAPUR  ANANTAPUR  MAIN ROAD ANANTAPUR ANP 515731 </t>
  </si>
  <si>
    <t xml:space="preserve">"1-12A,THELLURU THONDUR,T THUMMALAPALLE,"  "THELLUR,THELLURU"   CUDDAPAH ANP 516401 </t>
  </si>
  <si>
    <t xml:space="preserve">23-1248  fathekhan peta akkana vari street near rtc NELLORE ANP 524003 </t>
  </si>
  <si>
    <t xml:space="preserve">"19-1-317, SBI Colony"  Peddapuram 1 st Lane Opp .AP Agricultral Office PEDDAPURAM ANP 533437 </t>
  </si>
  <si>
    <t xml:space="preserve">SRIKIRAN EYE HOSPITAL  BALL GATE CENTER BALL GATE CENTER MUMMIDIVARAM AMALAPURAM ANP 533216 </t>
  </si>
  <si>
    <t xml:space="preserve">"36-7-14/A NEHRU NAGAR,VIJAYAWADA,LABBIPET,"  NEAR GABRIEL CHURCH KRISHNA - KRISHNA ANP 520010 </t>
  </si>
  <si>
    <t xml:space="preserve">2-74    MAHABUBABAD KHAMMAM TNG 507210 </t>
  </si>
  <si>
    <t xml:space="preserve">8 3 41 A 1 OLD BEET BAZAR WARANGAL     WARANGAL TNG 506002 </t>
  </si>
  <si>
    <t xml:space="preserve">3-813  Undavalli Centre  Guntur GTR ANP 522501 </t>
  </si>
  <si>
    <t xml:space="preserve">3-6-22  Pathuru Nagarjuna rice mill lane "Behind Srinivasa theatre, 3rd lane" GUNTUR ANP 522601 </t>
  </si>
  <si>
    <t xml:space="preserve">HOUSE NO 28 1208  SADIQ NAGAR NOONEPALLI NEAR GOVT HOSPITAL NANDYAL ANP 518501 </t>
  </si>
  <si>
    <t xml:space="preserve">"1-176/8-74,,, Flat No 101(First Floor)"  "Vikas Nagar," Paradise Residential Apartment Mancherial Manchiryal TNG 504208 </t>
  </si>
  <si>
    <t xml:space="preserve">1-91/4 MOGALIKUDURU  MAMIDIKUDURU MANDAL   AMALAPURAM ANP 533249 </t>
  </si>
  <si>
    <t xml:space="preserve">"7/84, C-42"  Basavatarak Nagar "Dwaraka Villas,kalyandurgam Road" Near Jai Jawan School ANAPARTHI ANP 515004 </t>
  </si>
  <si>
    <t xml:space="preserve">8-28/1    Karimnagar HYDERABAD TNG 505467 </t>
  </si>
  <si>
    <t xml:space="preserve">H No 3-140  Jangareddygudem Mandal Jangareddygudem Mandal Near Raice Mill JANGAREDDIGUDUM ANP 534447 </t>
  </si>
  <si>
    <t xml:space="preserve">4-66/1  Allavaram Allavaram shivalayam veedhi AMALAPURAM ANP 533217 </t>
  </si>
  <si>
    <t xml:space="preserve">"29/178-29AB-303A,NANDYAL,S B I COLONY,"  "SINGH APARTMEMT,NANDYALA NANDYAL NANDYAL"   NANDYAL ANP 518501 </t>
  </si>
  <si>
    <t xml:space="preserve">2-11-293/206  SARVAGNA RESIDENCY KU CROS ROAD HANAMKONDA BVB  HIGH SCHOOL WARANGAL TNG 506001 </t>
  </si>
  <si>
    <t xml:space="preserve">H.NO.11.1.67.MIG.1  KANTESHWAR NEW.HOUSING.BOARD.COLONY Nizamabad NIZAMABAD TNG 503002 </t>
  </si>
  <si>
    <t xml:space="preserve">14-125/1  "RAMAKRISHNAPUR, MANDAMARRI MANDAL" ASHOK NAGAR "NEAR C S P, B ZONE" ADILABAD TNG 504301 </t>
  </si>
  <si>
    <t xml:space="preserve">"103,APARTMENTS CHANAKYAPURI,KPS GRAND,COLONY,"  "ADITYA NAGAR,A CAMP," MONTESSORI SCHOOL BACK SIDE  KURNOOL ANP 518002 </t>
  </si>
  <si>
    <t xml:space="preserve">INDIVILLAGE TECH SOLUTIONS LLP 1/2293 WEAVERS COLONY WEAVERS COLONY KURNOOL ANP 518360 </t>
  </si>
  <si>
    <t xml:space="preserve">KAPIL.CHIT.FUNDS.PVT.LTDPKLCF 11.8.223. 1.st.floor...Mamillagudem 1.st.floor...Mamillagudem KHAMMAM TNG 507002 </t>
  </si>
  <si>
    <t xml:space="preserve">B CREATIVE BANK STREET DIGITAL SHOPPEE UPSTAIRS RANGAMANNAR PETA RANGAMANNAR PETA PALAKOL ANP 534260 </t>
  </si>
  <si>
    <t xml:space="preserve">TROPICAL AGROSYSTEM INDIA PVT LTD D NO 76-18-18 PLOT NO 18 GROUND FLOOR 1S FLOOR IRON COMPLEX BHAVANIURAM BY PASS R FLOOR IRON COMPLEX BHAVANIURAM BY PASS R VIJAYAWADA ANP 520012 </t>
  </si>
  <si>
    <t xml:space="preserve">Accenture Divyasree Tech Park Bangalore Near Vydegi Hospital Near Vydegi Hospital BANGALORE KAR 560066 </t>
  </si>
  <si>
    <t xml:space="preserve">MILK PRODUCTION 1/7 PAPASAHEBPETA VILLAGE C.K DINNE MANDAL KADAPA C.K DINNE MANDAL KADAPA CUDDAPAH ANP 516003 </t>
  </si>
  <si>
    <t xml:space="preserve">AADITYA DEGREE AND PG COLLEGE AADITYA NAGAR THIRD LINE THIRD LINE NELLORE ANP 524002 </t>
  </si>
  <si>
    <t xml:space="preserve">COGNIZANT TECHNOLOGY SOLUTIONS "2nd Cross St, Madras Export Processing Z" TAMBARAM TAMBARAM CHENNAI TMN 600045 </t>
  </si>
  <si>
    <t xml:space="preserve">Srikiran eye hospital Penumarthy road ATCHAMPETA JUNCTION ATCHAMPETA JUNCTION KAKINADA ANP 533003 </t>
  </si>
  <si>
    <t xml:space="preserve">SYNECHRON TECHNOLOGIES PVT LTD BHARTIYA CITY BLOCK 1 THANISANDRA MAIN ROAD THANNISANDRA MAIN ROAD THANNISANDRA BANGALORE KAR 560077 </t>
  </si>
  <si>
    <t xml:space="preserve">RELIANCE SMSL LIMITED "C/O RELIANCEDIGITAL,H NO 5-1-662,VYRA RD" "RR COMPLEX,KHANAPURAM HAVELI,KHAMMAM" "RR COMPLEX,KHANAPURAM HAVELI,KHAMMAM" KHAMMAM TNG 507001 </t>
  </si>
  <si>
    <t xml:space="preserve">Vazrh studios Jsp imperia  5th floor  patrika nagar Hitech city Hitech city HYDERABAD TNG 500081 </t>
  </si>
  <si>
    <t xml:space="preserve">Nulaka peta krishna nagar 14-1088/2   VJW ANP 522502 </t>
  </si>
  <si>
    <t xml:space="preserve">DELHIVERY PRIVATE LIMITED BARAMPETA NEAR ANJANEYA SWAMI TEMPLE OPP LINE NEAR ANJANEYA SWAMI TEMPLE OPP LINE GUNTUR ANP 522601 </t>
  </si>
  <si>
    <t xml:space="preserve">GOVT OF ANDHRAPRADESH SUPERINTENDING ENGINEER TGP CICLE NANDYAL DEPARTMENT TEKKE NANDYAL DEPARTMENT TEKKE NANDYAL ANP 518501 </t>
  </si>
  <si>
    <t xml:space="preserve">Goldstone technologies Pvt ltd "Gold stone TECHNOLOGIES Limited, HYDERAB" "2nd floor,GNRS" "2nd floor,GNRS" HYDERABAD TNG 500081 </t>
  </si>
  <si>
    <t xml:space="preserve">EPAM SYSTEMS INDIA PVT LTD Mogalikuduru junnuri Nagar junnuri Nagar AMALAPURAM ANP 533249 </t>
  </si>
  <si>
    <t xml:space="preserve">SVS INFRA "DWARAKA VILLAS, PILLIGUNDLA, PAPAMPETA," C 42 C 42 ANAPARTHI ANP 515001 </t>
  </si>
  <si>
    <t xml:space="preserve">SURABHI INSTITUTE OF MEDICAL SCIENCES SURABHI HOSPITAL METTAPALLY METTAPALLY MEDAK TNG 502375 </t>
  </si>
  <si>
    <t xml:space="preserve">EDUCATIONAL DEVELOPMENT YARRAMPETA MPUP SCHOOL KOYYALAGUDEM MANDAL MPUP SCHOOL KOYYALAGUDEM MANDAL ELURU ANP 534312 </t>
  </si>
  <si>
    <t xml:space="preserve">DISHITA ENTERPRISES ALLAVARAM ALLAVARAM ALLAVARAM AMALAPURAM ANP 533217 </t>
  </si>
  <si>
    <t xml:space="preserve">S k consultancy service 25-684-150 Padmavathi Nagar Padmavathi Nagar NANDYAL ANP 518501 </t>
  </si>
  <si>
    <t xml:space="preserve">GOVT DIET WARANGAL NEAR CENTRAL LIBRARY BESIDE PUBLIC GARDEN HANAMKONDA BESIDE PUBLIC GARDEN HANAMKONDA WARANGAL TNG 506001 </t>
  </si>
  <si>
    <t xml:space="preserve">DEPARTMENT.OF.POSTS EDAPALLI.POST.OFFICE. EDAPALLI.. EDAPALLI.. NIZAMABAD TNG 503202 </t>
  </si>
  <si>
    <t xml:space="preserve">JADI  REAL ESTATE H NO 14-125/1 ASHOK NAGAR KYATHANPALLI RAMAKRISHNAPUR MANCHERIAL 504301 TS RAMAKRISHNAPUR MANCHERIAL 504301 TS ADILABAD TNG 504301 </t>
  </si>
  <si>
    <t xml:space="preserve">BUSYBEES LOGISTICS SOLUTIONS P Hyderabad Hyderbad Hyderbad HYDERABAD TNG 500085 </t>
  </si>
  <si>
    <t>PALAKOL</t>
  </si>
  <si>
    <t>PRODDATUR</t>
  </si>
  <si>
    <t>NELLORE</t>
  </si>
  <si>
    <t>ELURU</t>
  </si>
  <si>
    <t>Chennai Super Kings ICICI Bank Credit Card</t>
  </si>
  <si>
    <t>ICICI Bank Rubyx RuPay Credit Card</t>
  </si>
  <si>
    <t>ICICI Bank Sapphiro Visa Credit Card</t>
  </si>
  <si>
    <t>26TH MAY</t>
  </si>
  <si>
    <t>SAGAR/WARANGAL , 7396297747</t>
  </si>
  <si>
    <t>RAGHU</t>
  </si>
  <si>
    <t>SIVA</t>
  </si>
  <si>
    <t>SRINU</t>
  </si>
  <si>
    <t>Customer given House address visited but customer not living at given address shifted to Hyderabad responded to phone call customer Job loss from 6 month's asking time</t>
  </si>
  <si>
    <t>Visited Customer Office Adress Customer Live Customer Given Commitment Tommorow Sir</t>
  </si>
  <si>
    <t>Customer house address visited sir door locked 🔐 his not available phone call not responding his living in Maharashtra</t>
  </si>
  <si>
    <t>Waiting for cm sir.</t>
  </si>
  <si>
    <t>27TH M</t>
  </si>
  <si>
    <t>Visited Customer Given Adress Customer Not Available Naibours Saying Customer Staying in Hyderabad Sir</t>
  </si>
  <si>
    <t>Met cust's mother and given ptp on 30th</t>
  </si>
  <si>
    <t>I have Visited given work address customer not available and office was removed from here 2 yrs ago but customer call answered saying that I'm in Hyderabad will reach Tommorow Khammam Customer meet Tommorow</t>
  </si>
  <si>
    <t>Cust was out of station respond to calls and given ptp on 01st</t>
  </si>
  <si>
    <t xml:space="preserve"> cmr not living in given address, cmr house door locked and cmr not answering calls</t>
  </si>
  <si>
    <t>V Sridhar</t>
  </si>
  <si>
    <t xml:space="preserve">T RAMESH </t>
  </si>
  <si>
    <t>D RAMU</t>
  </si>
  <si>
    <t>AKHIL</t>
  </si>
  <si>
    <t>BHARAT CHANDRA</t>
  </si>
  <si>
    <t>28TH M</t>
  </si>
  <si>
    <t>Customer given address skip customer shift to Kakinada Port location
Call not answering neighbours confirm sir</t>
  </si>
  <si>
    <t>Customer already stab part amount paid remaining amount tomorrow afternoon sir</t>
  </si>
  <si>
    <t>Customer given address shift to other place customer have owne flat sir call not answering sir // Customer office address visit ch available address ptp on today evening sir</t>
  </si>
  <si>
    <t>Cmr given address visited customer  Not here in this place cmr call answering cmr shifted to machilipatanam cmr given phone PTP tomorrow evening 6 pm sir</t>
  </si>
  <si>
    <t>cm shifted from here sir and cm call answered at present he was in Hyderabad job loss wants 2 months time to pay sir</t>
  </si>
  <si>
    <t>cm door locked sir and cm call not answering sir</t>
  </si>
  <si>
    <t>Cm given home address visited but cm not available,cm mob responded will pay on 31 st..or Monday if possible sir.. // Cm given home address visited live,but cm went to outside,cm mother responded will inform then pay,cm not lifting my calls..sir..</t>
  </si>
  <si>
    <t>Customer house address visit customer not in a home customer mobile responding call back // Customer out side meet customer asking for some time</t>
  </si>
  <si>
    <t>Customer shop address visited. Present cm not avillable. Call not answering left message to workers and call back // Court order</t>
  </si>
  <si>
    <t>29TH M</t>
  </si>
  <si>
    <t>Customer address visited customer shiftd in address going to second address sir // Visited customer second adress this adeess also shifted sir</t>
  </si>
  <si>
    <t>Ch not living in giving address mobile answering asking time to pay</t>
  </si>
  <si>
    <t>4375519052714001</t>
  </si>
  <si>
    <t>Mr Shaik Rohoman</t>
  </si>
  <si>
    <t>4748469400011009</t>
  </si>
  <si>
    <t>MR. PANDILLA SAI KRISHNA</t>
  </si>
  <si>
    <t>5241935739639008</t>
  </si>
  <si>
    <t>MR GIDDALURU SUMANTH</t>
  </si>
  <si>
    <t>4375512049405007</t>
  </si>
  <si>
    <t>MR SATYA MUDDAMSETTY</t>
  </si>
  <si>
    <t>4375518880239017</t>
  </si>
  <si>
    <t>Mr M Vishnuvivek</t>
  </si>
  <si>
    <t>4375518928046010</t>
  </si>
  <si>
    <t>Ms Shilpa Nandru</t>
  </si>
  <si>
    <t>4315814802594008</t>
  </si>
  <si>
    <t>MR TelukutlaNagaSai Satish Babu</t>
  </si>
  <si>
    <t>4375518937759009</t>
  </si>
  <si>
    <t>Mr PAVAN Gadde Kumar</t>
  </si>
  <si>
    <t>4375519438157008</t>
  </si>
  <si>
    <t>Mr RAMA Bokkasam Krishnaiah</t>
  </si>
  <si>
    <t>4375514188320005</t>
  </si>
  <si>
    <t>MR SIVA RAMA KRISHNA S</t>
  </si>
  <si>
    <t>4375519001407004</t>
  </si>
  <si>
    <t>MR ABDULBAQI Mohammed Farooqi</t>
  </si>
  <si>
    <t>4748469766587006</t>
  </si>
  <si>
    <t>MR PALLE REDDY</t>
  </si>
  <si>
    <t>4315811079490001</t>
  </si>
  <si>
    <t>Mr ARSHAD Mohammed Ali</t>
  </si>
  <si>
    <t>4629864079909000</t>
  </si>
  <si>
    <t>Mr. PAVANKUMAR REDDY V</t>
  </si>
  <si>
    <t>374741097824004</t>
  </si>
  <si>
    <t>MR SITA GIRI</t>
  </si>
  <si>
    <t>4748469618146001</t>
  </si>
  <si>
    <t>MR MADDI VINAY</t>
  </si>
  <si>
    <t>4315813492107006</t>
  </si>
  <si>
    <t>MR Kammari Ramesh</t>
  </si>
  <si>
    <t>4315813515125001</t>
  </si>
  <si>
    <t>MR Sure Murali</t>
  </si>
  <si>
    <t>4315813584232001</t>
  </si>
  <si>
    <t>Mr NANDAN REDDY MADDULA</t>
  </si>
  <si>
    <t>4315812500983002</t>
  </si>
  <si>
    <t>MR Guduru Kiran</t>
  </si>
  <si>
    <t>4315813989055007</t>
  </si>
  <si>
    <t>MR Kalikota Adithya Chary</t>
  </si>
  <si>
    <t>4315813522624012</t>
  </si>
  <si>
    <t>MR Vadlamudi Leela Krishna</t>
  </si>
  <si>
    <t>4315814470853009</t>
  </si>
  <si>
    <t>MR Kola Tarakaprasad</t>
  </si>
  <si>
    <t>4315814048903005</t>
  </si>
  <si>
    <t>MR MADDA L DAMODHAR GUPTA</t>
  </si>
  <si>
    <t>4748469409053002</t>
  </si>
  <si>
    <t>MR JAMMALADINNE MANILLA SUDHAKAR</t>
  </si>
  <si>
    <t>4315813883418004</t>
  </si>
  <si>
    <t>MR SATYASURESH VV KOTIPALLI</t>
  </si>
  <si>
    <t>9293949777</t>
  </si>
  <si>
    <t>9676767760</t>
  </si>
  <si>
    <t>9010811029</t>
  </si>
  <si>
    <t>9515406939</t>
  </si>
  <si>
    <t>7799322644</t>
  </si>
  <si>
    <t>9849722052</t>
  </si>
  <si>
    <t>7993366764</t>
  </si>
  <si>
    <t>9553956668</t>
  </si>
  <si>
    <t>9550804483</t>
  </si>
  <si>
    <t>9963030607</t>
  </si>
  <si>
    <t>8919894063</t>
  </si>
  <si>
    <t>7013597744</t>
  </si>
  <si>
    <t>8501955553</t>
  </si>
  <si>
    <t>8790019779</t>
  </si>
  <si>
    <t>9885545352</t>
  </si>
  <si>
    <t>7013423901</t>
  </si>
  <si>
    <t>9281422298</t>
  </si>
  <si>
    <t>9391989848</t>
  </si>
  <si>
    <t>9959063344</t>
  </si>
  <si>
    <t>9866430670</t>
  </si>
  <si>
    <t>9533889880</t>
  </si>
  <si>
    <t>9959865035</t>
  </si>
  <si>
    <t>8332874468</t>
  </si>
  <si>
    <t>9966766421</t>
  </si>
  <si>
    <t>8179796510</t>
  </si>
  <si>
    <t>7702233044</t>
  </si>
  <si>
    <t>1-7-3,NAZARPETA,GUNTUR,TENALI     VIJAYAWADAANP 522201</t>
  </si>
  <si>
    <t>1-57,MITTA STREET VAVVERU,BUCHI,REDDY,.,  .,  NEAR BY MILK DAIRY NELLOREANP 524305</t>
  </si>
  <si>
    <t>JAYAMPU BALAYAPALLI  NELLORE  NEAR MAIN ROAD GUDURANP 524131</t>
  </si>
  <si>
    <t>S/O RANGANADAM,1-B,  KUMMARI STREET,EAST GUDURU   NELLOREANP 524101</t>
  </si>
  <si>
    <t>2-1931,PILER FLR,CHENNAREDDY STREET,PILERU, SV MAHAL     PILERANP 517214</t>
  </si>
  <si>
    <t>8-4-,VENUGOPAL NAGAR,81 FLR, KHANAPURAM HAWELI,KHAMMAM     KhammamTNG 507002</t>
  </si>
  <si>
    <t>12.628.12  SUNDARAIAH.NAGAR ..SUNDARAIAH.NAGAR Guntur GUNTURANP 522501</t>
  </si>
  <si>
    <t>3,MOGULURU,-121 FLR,MOGULURU,KANCHIKACHARLA, SIVALAYAM     VIJAYAWADAANP 521180</t>
  </si>
  <si>
    <t>7/38,KRISTAMPALLI,T KAMMAPALLI,PULLAMPET     CUDDAPAHANP 516107</t>
  </si>
  <si>
    <t>2 24,LB NAGAR,GARIDE PALLE GARIDEPALLY    Beside Transformer NALGONDATNG 508201</t>
  </si>
  <si>
    <t>1-2-9,MITTA BAZAR,BARAM PET,NARASARAOPET, NEAR JANDA CHETTU     VIJAYAWADAANP 522601</t>
  </si>
  <si>
    <t>1/88 ,CHINNAMUDIUM VILLAGE,  PEDDAMUDIUM MANDAL, YSR DISTRICT KADAPA CUDDAPAH, ANDHRAPRADESH NEAR TEMPLE PRODDATURANP 516411</t>
  </si>
  <si>
    <t>H NO 1-4-164/4 ADARSH NAGAR     AdilabadTNG 504106</t>
  </si>
  <si>
    <t>E205  ELITE AVENUE  MYDUKUR RD PRODDATUR - KADAPAANP 516360</t>
  </si>
  <si>
    <t>D NO 3-202 MADHURA NAGAR  NEAR SUNSHINE PLAY SCHOOL   KAKINADAANP 533004</t>
  </si>
  <si>
    <t>H NO,26-1-1330 DORATOTA,KONDAYAPALEM ROAD,  STEEL FACTORY,BACK SIDE   NELLOREANP 524001</t>
  </si>
  <si>
    <t>2 63 E  NAGIREDDY PALLI NANDALUR BESIDE POLICE STATION CUDDAPAHANP 516150</t>
  </si>
  <si>
    <t>Flot No 301  Guntur Sri Venkateswara Capital 5/8 West Annapurna Nagar GUNTURANP 522034</t>
  </si>
  <si>
    <t>H NO1-1-579/1,PHULLONG,NIZAMABAD,PADMA NAGAR     NIZAMABADTNG 503001</t>
  </si>
  <si>
    <t>4-110  palakendram palakendram Khammam KHAMMAMTNG 507101</t>
  </si>
  <si>
    <t>10.2.239  VIDYANAGAR ..VIDYANAGAR OPP INDIAN BANK LINE KARIMNAGARTNG 505002</t>
  </si>
  <si>
    <t>8 233  Rupenaguntla Rupenaguntla Guntur NARASAPURAMANP 522603</t>
  </si>
  <si>
    <t>5.31  nimmakayala.kotta.palli Kaluva.Veedhi East Godavari AMALAPURAMANP 533222</t>
  </si>
  <si>
    <t>MADDALI.BHARATHI.LAKSHMI.25.13.1.VINUKON  VINUKONDA ISUKA.VAGU.BAZAR VINUKONDA NARASAPURAMANP 522647</t>
  </si>
  <si>
    <t>18-29,,KUMMARI STREET   CHAGALAMARRI AZIM PUBLIC SCHOOL NANDYALANP 518553</t>
  </si>
  <si>
    <t>.  METTAKURU  G N NAIDU COLONY YANAM METTAKUR KAKINADAANP 533464</t>
  </si>
  <si>
    <t>TIRUPATHI</t>
  </si>
  <si>
    <t>NARASARAOPET</t>
  </si>
  <si>
    <t>29TH MAY</t>
  </si>
  <si>
    <t>PRUDHVI/GTR , 8185079989</t>
  </si>
  <si>
    <t>SRINU/GTR , 9704963641</t>
  </si>
  <si>
    <t>customer not available at house door lock mobile number switch off mess pass to neighbours.....</t>
  </si>
  <si>
    <t>GUNASEKAR</t>
  </si>
  <si>
    <t>KANTH</t>
  </si>
  <si>
    <t>customer paymet on 4date</t>
  </si>
  <si>
    <t>Customer visit Shop address not available Talk to phone prasent he was going to Hyderabad</t>
  </si>
  <si>
    <t>30TH M</t>
  </si>
  <si>
    <t>cmr not there message left to father , cmr phone not working, revisit required // cmr neighbour house , cmr not there , cmr not answering calls, neighbour will inform to cmr // cmr house door locked, yesterday visited cmr requested to come today, waiting for cmr</t>
  </si>
  <si>
    <t>Customer house address visit customer house door lock neighbours told customer shifted to Hyderabad customer mobile not responding</t>
  </si>
  <si>
    <t>12111-ICICI BANK COLLECTION PAYMENT</t>
  </si>
  <si>
    <t>30501-BBPS Payment received</t>
  </si>
  <si>
    <t>D</t>
  </si>
  <si>
    <t>ICICI Bank Rubyx Visa Credit Card</t>
  </si>
  <si>
    <t>ICICI Bank Secured Coral Credit Card</t>
  </si>
  <si>
    <t>Accelero ICICI Bank Credit Card</t>
  </si>
  <si>
    <t>ENMAS O &amp; M SERVICES PRIVATE LIMITED 3-121 Moguluru Moguluru KANCHIKACHERLA ANP 521180</t>
  </si>
  <si>
    <t>Sri Lakshmi gowri TEXTILES Sapthagiri Complex "Lbs Rload ,piler" "Lbs Rload ,piler" CHITTOOR ANP 517214</t>
  </si>
  <si>
    <t>THOMAS.COOK BESIDE.ANJANEYA.RESTAURANT. LABBIPETA. LABBIPETA. VIJAYAWADA ANP 520010</t>
  </si>
  <si>
    <t>Govt hospital Wyra Road Zp Center Zp Center Khammam TNG 507001</t>
  </si>
  <si>
    <t>"S/O RANGANADAM,1-B," "KUMMARI STREET,EAST GUDURU"   NELLORE ANP 524101</t>
  </si>
  <si>
    <t>HDB FINANCIAL SERVICES LIMITED 27-18-60 Governor Pet Governor Pet VIJAYAWADA ANP 520003</t>
  </si>
  <si>
    <t>Vinay Kumar Nellore Nellore Nellore NELLORE ANP 524001</t>
  </si>
  <si>
    <t>INDUSIND BANK LIMITED INDUSIND BANK LTD 3RD FLOOR 1-10-60/3A SURYODAYA CHAMBER BEGUMPET SURYODAYA CHAMBER BEGUMPET HYDERABAD TNG 500016</t>
  </si>
  <si>
    <t>GUPTA.COMMUNICATIONS 15.56..Sannidhi.Vari.Street. Post.office.Back.side.. Post.office.Back.side.. NARASAPURAM ANP 522647</t>
  </si>
  <si>
    <t>TRANSPACKS FLAT NO 302 CHOODAMANI APPARTMENT   DHARAMKARAN ROAD CHOODAMANI APPARTMENT   DHARAMKARAN ROAD HYDERABAD TNG 500016</t>
  </si>
  <si>
    <t>RELIANCE.SMSL.LIMITED RELIANCE.IT.PARK VALILALAPALLY. VALILALAPALLY. KARIMNAGAR TNG 505002</t>
  </si>
  <si>
    <t>INDIN RAILWAY NANDALUR NANDALUR KADAPA NANDALUR KADAPA CUDDAPAH ANP 516150</t>
  </si>
  <si>
    <t>Not Applicable Dno 64-4-2 S Achuthapuram S Achuthapuram KAKINADA ANP 533004</t>
  </si>
  <si>
    <t>ICICI FOUNDATION H no 1-1-579-1 Phulong x road Phulong x road NIZAMABAD TNG 503001</t>
  </si>
  <si>
    <t>SRI SIVA DURGA AGROS INDUSTRIES PLOT NO189 INDUSTRIAL AREA INDUSTRIAL AREA PRODDATUR ANP 516360</t>
  </si>
  <si>
    <t>SURE INTERIORS KORITEPADU DOOR 28 DOOR 28 GUNTUR ANP 522007</t>
  </si>
  <si>
    <t>SRI ANJANEANEYA JEWELARRY CHINNA BAZAR CHINNA BAZAR CHINNA BAZAR KHAMMAM TNG 507101</t>
  </si>
  <si>
    <t>CYIENT LIMITED PLOT NO 1 TO 5A APIIC SEZ 2  AUTO NAGAR madhavapatanam madhavapatanam KAKINADA ANP 533005</t>
  </si>
  <si>
    <t>TARAK.KOLA 5.31..kalluvva.vedhi nimmakayala.kothapalli.uppalaguptam.Near nimmakayala.kothapalli.uppalaguptam.Near AMALAPURAM ANP 533222</t>
  </si>
  <si>
    <t>VIRTUOSO MANAGEMENT CONSULTANTS PVT LTD UNIT NO 110 111 TOWER B3 B4 SPACE IT PARK SEC 49 SPACE IT PARK SEC 49 GURGAON HAR 122001</t>
  </si>
  <si>
    <t>Self employed 1-2-9 Mitta Bazar Janda Chettu Janda Chettu NARASARAOPET ANP 522601</t>
  </si>
  <si>
    <t>KARVY STOCK BROK LTD Karvy Building Gachibowili Gachibowili Rangareddy TNG 500032</t>
  </si>
  <si>
    <t>INFOSYS CONSULTING INDIA LIMITED BLOCK NO8 PLOT NO 210 MADHAVREDDY COLONY GACHIBOUULI HYDRABAD COLONY GACHIBOUULI HYDRABAD HYDERABAD TNG 500032</t>
  </si>
  <si>
    <t>QUESS CORP LIMITED ASCENDAS IT PARK MAHINDRA WORLD CITY CHENGALPATTU CHENNAI CHENGALPATTU CHENNAI MAHINDRA WORLD CITY TMN 603004</t>
  </si>
  <si>
    <t>LIFE INSURANCE CORPORATION OF INDIA Shine Weighbridge Manchrial Road Manchrial Road Adilabad TNG 504106</t>
  </si>
  <si>
    <t>DHARA PROJECTS G1  ELITE AVENUE MYDUKUR RD PRODDATUR MYDUKUR RD PRODDATUR KADAPA ANP 516360</t>
  </si>
  <si>
    <t>J3</t>
  </si>
  <si>
    <t>Customer given House address visited but customer not living at given address shifted from given address calls not responding inform to relative's // Customer given House address visited but customer not living at given address calls not answering need alternative address</t>
  </si>
  <si>
    <t>Customer shifted to another address and owner  said we don't about him we heared first time his name</t>
  </si>
  <si>
    <t>Custmor go to job  inform father</t>
  </si>
  <si>
    <t>liner</t>
  </si>
  <si>
    <t>31ST M</t>
  </si>
  <si>
    <t>Customer given working office address visited sir his not available shifted from address phone call not reachable // Customer permenent house address visited sir his not available phone call not responding inform to his brother and family members  given commitment on 3 rd</t>
  </si>
  <si>
    <t>CM not available infomed to  father cs ptp 3/6</t>
  </si>
  <si>
    <t>Visited Customer Residence Address Customer Live Commitment Tommorow Sir // Visited Customer Residence Address Customer Not Available Inform To His Father Customer Father Given Commitment Tommorow Sir // Visited Customer Residence Customer Live  Customer Given Commitment On 28th Sir // Visited Customer Residence Address Customer Not Available Inform To His Mother Customer Phone Call Answered Given PTP Today Evining Sir // Visited Customer Residence Customer Not Available Inform To His Mother Customer Call Answered Given Commitment Afternoon Sir</t>
  </si>
  <si>
    <t>1ST J</t>
  </si>
  <si>
    <t>:cm door locked sir and cm call not answering sir // cm office address sir and cm shifted from here sir and cm call not answering sir</t>
  </si>
  <si>
    <t>CUSTOMER GIVEN HOUSE ADDRESS VISITED CUSTOMER NOT AVAILABLE SHIFTED 6 MONTH'S BACK CONFORMED BY NEIGHBOUR'S AND RENTERS OF THIS APARTMENT GOING FOR SECOND ADDRESS TO VISIT CUSTOMER // CUSTOMER NOT AVAILABLE AT GIVEN HOUSE ADDRESS CUSTOMER PROVIDED INJECTION LETTER // CUSTOMER GIVEN HOUSE ADDRESS VISITED CUSTOMER NOT AVAILABLE SHIFTED 6 MONTH'S BACK CONFORMED BY NEIGHBOUR'S AND RENTERS OF THIS APARTMENT CUSTOMER NOT READY TO PAY BILL PAYMENT PROVIDED INJECTION LETTER</t>
  </si>
  <si>
    <t>Customer PTP on 1 hour</t>
  </si>
  <si>
    <t>Visited Customer Given Adress Customer Not Available Call Answered Customer Saying Already Some Amount Clear Plese Chek it Sir // Visited Customer Residence Address Customer Not Available Phone Call Answered Customer Wants to Settlement Sir</t>
  </si>
  <si>
    <t>customer address visit ch available address ch business loss customer have many debites customer tekan court indtion order customer not ready to pay given RTP // Court orders // Customer meet office place ch not ready to pay customer taken court indtion order given RTP</t>
  </si>
  <si>
    <t>cm not available sir and cm call not answering sir</t>
  </si>
  <si>
    <t>4748469525982019</t>
  </si>
  <si>
    <t>4748469553609005</t>
  </si>
  <si>
    <t>4748460158118005</t>
  </si>
  <si>
    <t>4748469497118006</t>
  </si>
  <si>
    <t>4748469561652005</t>
  </si>
  <si>
    <t>4748469802593000</t>
  </si>
  <si>
    <t>4748460127413008</t>
  </si>
  <si>
    <t>374742424216005</t>
  </si>
  <si>
    <t>4748469305846004</t>
  </si>
  <si>
    <t>5241930841816008</t>
  </si>
  <si>
    <t>5241935219174013</t>
  </si>
  <si>
    <t>4748469567373002</t>
  </si>
  <si>
    <t>4748469332636006</t>
  </si>
  <si>
    <t>374740349805001</t>
  </si>
  <si>
    <t>4748469431381009</t>
  </si>
  <si>
    <t>4748469638718003</t>
  </si>
  <si>
    <t>4748469391264005</t>
  </si>
  <si>
    <t>4748469470522000</t>
  </si>
  <si>
    <t>374742296097004</t>
  </si>
  <si>
    <t>4748469626388009</t>
  </si>
  <si>
    <t>4375513089743000</t>
  </si>
  <si>
    <t>4748469627974013</t>
  </si>
  <si>
    <t>5241930521196002</t>
  </si>
  <si>
    <t>4748469282711015</t>
  </si>
  <si>
    <t>4315811826107007</t>
  </si>
  <si>
    <t>5241930474615016</t>
  </si>
  <si>
    <t>5241933873465009</t>
  </si>
  <si>
    <t>4748469385302001</t>
  </si>
  <si>
    <t>4748469489347019</t>
  </si>
  <si>
    <t>4748469469310003</t>
  </si>
  <si>
    <t>4748469490657000</t>
  </si>
  <si>
    <t>374741149803006</t>
  </si>
  <si>
    <t>374742628658002</t>
  </si>
  <si>
    <t>4375513061750007</t>
  </si>
  <si>
    <t>4375517576990024</t>
  </si>
  <si>
    <t>4443410147780009</t>
  </si>
  <si>
    <t>4748469211298001</t>
  </si>
  <si>
    <t>4748469338187004</t>
  </si>
  <si>
    <t>4748469350447005</t>
  </si>
  <si>
    <t>4748469375281009</t>
  </si>
  <si>
    <t>4748469432890008</t>
  </si>
  <si>
    <t>4748469472339007</t>
  </si>
  <si>
    <t>4748469504930005</t>
  </si>
  <si>
    <t>4748469519344002</t>
  </si>
  <si>
    <t>4748469542957002</t>
  </si>
  <si>
    <t>4748469556430003</t>
  </si>
  <si>
    <t>4748469605195011</t>
  </si>
  <si>
    <t>4748469617132002</t>
  </si>
  <si>
    <t>5241930494410000</t>
  </si>
  <si>
    <t>5241930597424007</t>
  </si>
  <si>
    <t>5241934351873003</t>
  </si>
  <si>
    <t>5241934362390005</t>
  </si>
  <si>
    <t>5241935210467002</t>
  </si>
  <si>
    <t>MR KALUVA MAHESH</t>
  </si>
  <si>
    <t>MS CHIPPADA VASAVI DEVI</t>
  </si>
  <si>
    <t>Mr RATHODSWETHA</t>
  </si>
  <si>
    <t>MR GUNDA GANESH</t>
  </si>
  <si>
    <t>MS TADIKONDA ALEKHYA</t>
  </si>
  <si>
    <t>MR Mohammed Shahebaz Ahemad</t>
  </si>
  <si>
    <t>MR THUMMALURU KUMAR REDDY</t>
  </si>
  <si>
    <t>MR BINENI  BINENI ANJANEYULU</t>
  </si>
  <si>
    <t>MR GUMMADI RAVITHEJA</t>
  </si>
  <si>
    <t>MR KOTA SRINIVAS</t>
  </si>
  <si>
    <t>MR BATHINA SANJAY KUMAR</t>
  </si>
  <si>
    <t>MR KOGANTI CHANDRA SEKHAR</t>
  </si>
  <si>
    <t>MS DANGE SAVITHA</t>
  </si>
  <si>
    <t>MS DANDALA PADMAVATHI</t>
  </si>
  <si>
    <t>MS CHUNDURU NAGA SARANYA</t>
  </si>
  <si>
    <t>MR PENIKALAPATI PARAMESH</t>
  </si>
  <si>
    <t>MR ASHODA GOVARDHAN</t>
  </si>
  <si>
    <t>MR YASHWANTH RAJ PERIKA</t>
  </si>
  <si>
    <t>MS VADDI SANGHAVI</t>
  </si>
  <si>
    <t>MR MATURU PANCHAKSHARI</t>
  </si>
  <si>
    <t>MR Gadasu Rajendar</t>
  </si>
  <si>
    <t>MR NAZAAR MOHAMMAD ABDULLAH</t>
  </si>
  <si>
    <t>MR VENNAPUSA REDDY</t>
  </si>
  <si>
    <t>MR Pallerla Sai Dhikshith</t>
  </si>
  <si>
    <t>MR LOKESWARA SANKU RAO</t>
  </si>
  <si>
    <t>Mr TARLAPU VEERASWAMY</t>
  </si>
  <si>
    <t>MR NAGARJUNA Y</t>
  </si>
  <si>
    <t>MR SREEVISHNU UPPUNUTHULA</t>
  </si>
  <si>
    <t>MR JALAGAM MAHESH</t>
  </si>
  <si>
    <t>MR RAJULAPUDI KIRAN GOWD</t>
  </si>
  <si>
    <t>MR ALMEIDA JOSLIN</t>
  </si>
  <si>
    <t>Mr SAGGAM PRASAD</t>
  </si>
  <si>
    <t>MR BATTU  BATTU NAGA VARAPRASAD</t>
  </si>
  <si>
    <t>MR P S VIJAYKUMAR</t>
  </si>
  <si>
    <t>MR MOHAMMED JAVEED RAHMAN</t>
  </si>
  <si>
    <t>Mr. RAMA NARAYANA MADDU</t>
  </si>
  <si>
    <t>MR BHEEMSEEN KUMAR</t>
  </si>
  <si>
    <t>MR TUPAKULA SRINIVASULU</t>
  </si>
  <si>
    <t>MR K S GUNA</t>
  </si>
  <si>
    <t>MR ASEEF SYED</t>
  </si>
  <si>
    <t>MR KOLE RANGA NAYAKULU</t>
  </si>
  <si>
    <t>MR DORA PANNEERU</t>
  </si>
  <si>
    <t>MR NAGABABU LANKA</t>
  </si>
  <si>
    <t>MR ABONASA VENKATESWARULU</t>
  </si>
  <si>
    <t>MR MUKKAMALLA VENKATA KRISHNA</t>
  </si>
  <si>
    <t>MR BODDELA VIJAYA KUMAR</t>
  </si>
  <si>
    <t>MR CHOWHAN SRINIVAS</t>
  </si>
  <si>
    <t>MR KOKKURTHI DURGABABU</t>
  </si>
  <si>
    <t>Mr VANACHARLA SATEESH</t>
  </si>
  <si>
    <t>MR MADATALA MANIKANTA</t>
  </si>
  <si>
    <t>MS DANTULURI VANI</t>
  </si>
  <si>
    <t>MR PRASANTH KAGITHA</t>
  </si>
  <si>
    <t>MR SAARAVA ANIL KUMAR</t>
  </si>
  <si>
    <t>9581638071</t>
  </si>
  <si>
    <t>9542270174</t>
  </si>
  <si>
    <t>6304277283</t>
  </si>
  <si>
    <t>9502273674</t>
  </si>
  <si>
    <t>9346748486</t>
  </si>
  <si>
    <t>9640196633</t>
  </si>
  <si>
    <t>9912485014</t>
  </si>
  <si>
    <t>7569486732</t>
  </si>
  <si>
    <t>9704269369</t>
  </si>
  <si>
    <t>8985854303</t>
  </si>
  <si>
    <t>9666282210</t>
  </si>
  <si>
    <t>9491958767</t>
  </si>
  <si>
    <t>8523064017</t>
  </si>
  <si>
    <t>9502676890</t>
  </si>
  <si>
    <t>8555905999</t>
  </si>
  <si>
    <t>8790739761</t>
  </si>
  <si>
    <t>8328618522</t>
  </si>
  <si>
    <t>7036669686</t>
  </si>
  <si>
    <t>9177710730</t>
  </si>
  <si>
    <t>9848112700</t>
  </si>
  <si>
    <t>9666338047</t>
  </si>
  <si>
    <t>9966766078</t>
  </si>
  <si>
    <t>8886276331</t>
  </si>
  <si>
    <t>7661809906</t>
  </si>
  <si>
    <t>9866011351</t>
  </si>
  <si>
    <t>9392926181</t>
  </si>
  <si>
    <t>9505127473</t>
  </si>
  <si>
    <t>9949248315</t>
  </si>
  <si>
    <t>9014966757</t>
  </si>
  <si>
    <t>7702073260</t>
  </si>
  <si>
    <t>9949534076</t>
  </si>
  <si>
    <t>7338006718</t>
  </si>
  <si>
    <t>9809803336</t>
  </si>
  <si>
    <t>9618786148</t>
  </si>
  <si>
    <t>9032673862</t>
  </si>
  <si>
    <t>9963027202</t>
  </si>
  <si>
    <t>7799636354</t>
  </si>
  <si>
    <t>9989762095</t>
  </si>
  <si>
    <t>8142635263</t>
  </si>
  <si>
    <t>8143976636</t>
  </si>
  <si>
    <t>9490601554</t>
  </si>
  <si>
    <t>9866848236</t>
  </si>
  <si>
    <t>9985864657</t>
  </si>
  <si>
    <t>9885627374</t>
  </si>
  <si>
    <t>9014096764</t>
  </si>
  <si>
    <t>9866027679</t>
  </si>
  <si>
    <t>6302421741</t>
  </si>
  <si>
    <t>6281808282</t>
  </si>
  <si>
    <t>9491311792</t>
  </si>
  <si>
    <t>7993778911</t>
  </si>
  <si>
    <t>7396552296</t>
  </si>
  <si>
    <t>9700776977</t>
  </si>
  <si>
    <t>9912629912</t>
  </si>
  <si>
    <t>4/22-1-17 RAJAMPETA MADANAGOPALAPURAM CUDDAPAH CUDDAPAH ANP 516126</t>
  </si>
  <si>
    <t>2-87 KOVVURU MANDAL NEAR GANDHI STATUE NEAR GANDHI STATUE West Godavari ANP 534342</t>
  </si>
  <si>
    <t>"1-187,LINGAPUR LINGAPUR,LINGAPUR,LINGAPUR"    ADILABAD TNG 504313</t>
  </si>
  <si>
    <t>3-12 ATHMAKUR  KURELLA NALGONDA TNG 508111</t>
  </si>
  <si>
    <t>"1-0,PEDANANDIPADU GRAMAM,PEDANANDIPADU,," "PEDANANDIPADU,MANDAL PEDANANDIPADU"  NEAR MAIN ROAD NARASAPURAM ANP 522235</t>
  </si>
  <si>
    <t>1-67/1 Islampura Islampura Boath ADILABAD TNG 504304</t>
  </si>
  <si>
    <t>00 SANNAPALLI MIDUTHURU CUDDAPAH    CUDDAPAH ANP 516203</t>
  </si>
  <si>
    <t>"0-39,THIRUMALAPURAM,THIRUMALAPURAM,YELLA"    ANANTAPUR ANP 515465</t>
  </si>
  <si>
    <t>"FLAT NO 206, SRI DURGA TOWERS" "SADHAK ROAD, IBRAHIMPATNAM" VIJAYAWADA BESIDE GAJULAPETA VIJAYAWADA ANP 521456</t>
  </si>
  <si>
    <t>H NO 5 5 6 VALLAMKUNTA KARIMNAGAR KARIMNAGAR INDIA NR RD KARIMNAGAR TNG 505503</t>
  </si>
  <si>
    <t>"H NO,40-691 DHARMAPETA,.," ...  ATM KURNOOL ANP 518004</t>
  </si>
  <si>
    <t>"FLAT NO. 401, SRI DHATRI ENCLAVE" RTC COLONY FERRY ROAD NEAR BLUE BELLS EM SCHOOL VIJAYAWADA ANP 521456</t>
  </si>
  <si>
    <t>HOUSE NUMBER 4-27 NAGAPOORBALKONDA MANDALJALALPUR NIZAMABAD  MAIN ROAD NIZAMABAD TNG 503217</t>
  </si>
  <si>
    <t>RAMNAGAR 2ND STREET DARGAMEETTA NELLORE NO 24-6-428 NELLORE  NEAR PARK CITY ENCLAVE APARTENTS NELLORE ANP 524003</t>
  </si>
  <si>
    <t>LALUPURAM 7-28 CHERUVUKATTA CENTER  NEAR WATER PLANT GUNTUR ANP 522017</t>
  </si>
  <si>
    <t>1-63 MUNTI MADUGU KOTHAPALLI   ANANTAPUR ANP 515774</t>
  </si>
  <si>
    <t>19-10-36/C/1 RANGASHAIPET RUDRAMA NAGAR ROAD NUMBER 5 NEAR RATNAM SCHOOL WARANGAL TNG 506005</t>
  </si>
  <si>
    <t>"PLOT NO 110, A BLOCK, POOJITHA APARTMENT" HYDERABAD ROAD NALGONDA  BESIDE PRASAD UDIPI HOTEL NALGONDA TNG 508001</t>
  </si>
  <si>
    <t>5- 10 KHAJAPURAM KHAJAPURAM GORNTLA MANDAL DALLAPALLE SRI SATHYA SAI NR BUS STOP HINDAPUR ANDHRAPRADESH NR BUS STOP HINDUPUR ANP 515231</t>
  </si>
  <si>
    <t>"3-33,2 VENKATARAO STREET,SUBBARAO," PETA TADEPALLIGUDEM   WEST GODAVARI ANP 534101</t>
  </si>
  <si>
    <t>2-205   Karimnagar KARIMNAGAR TNG 505526</t>
  </si>
  <si>
    <t>15-40 NANDYAL BOLLEDDULA STREET NEAR AMMAVARISALA TEMPLE NANDYAL ANP 518501</t>
  </si>
  <si>
    <t>"DUVVURU MANDAL,GUDIPADU,GUDIPADU"    CUDDAPAH ANP 516175</t>
  </si>
  <si>
    <t>4-1-117 Peddapalli Mandal Amar Nagar Karimnagar PEDDAPALLI TNG 505172</t>
  </si>
  <si>
    <t>"8-162,SODISETTY FLR,PRASADAMPADU," RAMALAYAMSTREET BESIDE PANCHAYATI OFFICE ROAD RAMALAYAMSTREET VIJAYAWADA ANP 521108</t>
  </si>
  <si>
    <t>"VENKATA RAMANA NAGAR,11-127 FLR,ZED BRIDGE," "EAST GODAVARI,INDRAPALEM"   KAKINADA ANP 533006</t>
  </si>
  <si>
    <t>"HOUSE,NUMBER 1-65 PONNEKAL,THALLAMPADU,," "TALLAMPADU,TALLAMPAHAD"  MAIN RD KHAMMAM TNG 507170</t>
  </si>
  <si>
    <t>H NO 1 77 ARVAYYAPALLE RAMTHEERTHAM SHANIGARAM  NEAR MAIN ROAD WARANGAL TNG 506349</t>
  </si>
  <si>
    <t>APOLLO PHARMACY OLD LIC OFFICE "KHAMMAM,TS" OPPOSITE UNION BANK ATM KHAMMAM TNG 507002</t>
  </si>
  <si>
    <t>4-266 KAMANA GARUVU MAIN VILLAGE EAST GODAVARI AMALAPURAM ANP 533201</t>
  </si>
  <si>
    <t>"61-7/3-4 BALAJI NAGAR,NEAR ICE,,FACTORY" "KRISHNA,LANKA,VIJAYAWADA  URBAN"  NEAR ICE FACTORY VIJAYAWADA ANP 520013</t>
  </si>
  <si>
    <t>",," "," Yerravari Palem Varanasi Vari Palli CHITTOOR ANP 517192</t>
  </si>
  <si>
    <t>"5-883A, KOPPURAO,COLONY,MANGALAGIRI,9TH"    GUNTUR ANP 522503</t>
  </si>
  <si>
    <t>NO 6-32 MAIN ROAD BHAKTARA PALLI   NEAR LAKSHMI NARASIMHA SWAMY TEMPLE HINDUPUR ANP 515301</t>
  </si>
  <si>
    <t>"H NO 4-1-557 WARD 35,SHAKAR," "NAGAR X ROAD BODHAN,BODHAN"   NIZAMABAD TNG 503180</t>
  </si>
  <si>
    <t>NO 24-5-48 AGRAHARAM NARASIMHAVARI STREET  AGRAHARAM NEAR GUNTUR ANP 522004</t>
  </si>
  <si>
    <t>H NO-5-27/2 VISWANAGAR AMARCHINTHA   NEAR UNION BANK MAHBOOBNAGAR TNG 509130</t>
  </si>
  <si>
    <t>"6-2-36 L A SAGARAM NAIDU,PET,NAIDUPETA,," L A SAGARAM  L A SAGARAM GUDUR ANP 524126</t>
  </si>
  <si>
    <t>20-3-35/18 TIRUPATHI SHIVA JYOTHI NAGAR CHITTOOR TIRUPATHI ANP 517501</t>
  </si>
  <si>
    <t>NORTH MOPURU ALLURU MABDALAM NELLORE NEAR MEESEVA NELLORE ANP 524315</t>
  </si>
  <si>
    <t>D NO E 2 LAKEVIEW APARTMENT PRASANTH NAG "MADANAPALLI ,MADANAPALLE ,,ANDHRA"  MAIN ROAD MADANAPALLE ANP 517325</t>
  </si>
  <si>
    <t>"DNO 1 -1,APSP CAMP,SAMARLAKOTA,MADHAVAPATNAM"    . ANP 533005</t>
  </si>
  <si>
    <t>"3-3-107, MANGAYAMMA RAO PETA" "PITHAPURAM, PITHAPURAM" "EAST GODAVARI, ANDHRAPRADESH" NEAR CHURCH KAKINADA ANP 533450</t>
  </si>
  <si>
    <t>"6-36 GANDHI CHOWK,CHAKALAVEEDHI" WANAPARTHY  100M GANDHI STATUE WANAPARTHY TNG 509104</t>
  </si>
  <si>
    <t>97/182-1 CHINTHAKOMMA DINNE SANTHI NAGAR CUDDAPAH CUDDAPAH ANP 516003</t>
  </si>
  <si>
    <t>50/348/H27 KOTLA PEDDA NAGIREDDY COLONY POST B -CAMP KURNOOOL ANDHRAPRADESH TEMPLE KURNOOL ANP 518002</t>
  </si>
  <si>
    <t>NO 5/1/85/A/6 MARK NAGAR SANGAREDDY NO 5/1/85/A/6 MARK NAGAR SANGAREDDY  NEAR BY ATM HYDERABAD TNG 502001</t>
  </si>
  <si>
    <t>3-51 GOLLAPROLU MANDALAM   KAKINADA ANP 533449</t>
  </si>
  <si>
    <t>"1-7/1,KOPPIGUNTA,NADAVAPALLI,GEDDANAPALLI"    AMALAPURAM ANP 533212</t>
  </si>
  <si>
    <t>"1-389,AGIRIPALLI,."    KRISHNA ANP 521211</t>
  </si>
  <si>
    <t>3 "18,A 2 1 AYODHYA NAGAR 5,KOTHA,,KAKINADA KAKI"  East Godavari KKN ANP 533001</t>
  </si>
  <si>
    <t>4-5-10 "UPPALAPATI,RAMACHANDRA RAJU,,STREET TANNER,PE"  AJITH SINGH NAGARKrishna VJW ANP 520001</t>
  </si>
  <si>
    <t>1-6-699 INDHIRA NAGAR CHITTOOR CHITTOOR NR INDHIRA NAGAR TIRUPATHI ANP 517501</t>
  </si>
  <si>
    <t xml:space="preserve">ANNAMACHARYA INSTITUE OF TECHNOLOGYSCIEN RAJAMPET NEWBOYANAPALLI NEWBOYANAPALLI CUDDAPAH ANP 516126 </t>
  </si>
  <si>
    <t xml:space="preserve">EASTERN POWER DISTRIBUTION COMPANY OF AP JAMPET RD ANNAPURANAMMA PETA RAJAMAHENDRAVARAM RAJAMAHENDRAVARAM RAJAHMUNDRY ANP 533101 </t>
  </si>
  <si>
    <t xml:space="preserve">EASTMAN EXPORTSPPA-E Lingapur Lingapur Lingapur ADILABAD TNG 504313 </t>
  </si>
  <si>
    <t xml:space="preserve">BIOCON LIMITED "PLOT NOB213,214 AND 215,PHASE 2" "IDA PASHAMYLARAM,SANGAREDDY" "IDA PASHAMYLARAM,SANGAREDDY" HYDERABAD TNG 502307 </t>
  </si>
  <si>
    <t xml:space="preserve">ICICI BANK LIMITED "D NO 5-37-151, KRISHNA PLAZA" 4/15 BRODIPET 4/15 BRODIPET GUNTUR ANP 522002 </t>
  </si>
  <si>
    <t xml:space="preserve">SK TAX CONSULTANCY NEAR BUSTAND BOATH BUSTAND ADILABAD BUSTAND ADILABAD ADILABAD TNG 504304 </t>
  </si>
  <si>
    <t xml:space="preserve">ACCENTURE SOLUTIONS PRIVATE LIMITED Divya sree point   sholignalur Chennai Chennai CHENNAI TMN 600096 </t>
  </si>
  <si>
    <t xml:space="preserve">       </t>
  </si>
  <si>
    <t xml:space="preserve">GOVERNMENT OF ANDHRAPRADESH "DIRECTOR OF TREASURY, C-BLOCK, 2NDFLOOR" "ANJANEYA TOWERS, IBRAHIMPATNAM,VIJAYWADA" "ANJANEYA TOWERS, IBRAHIMPATNAM,VIJAYWADA" VIJAYAWADA ANP 521456 </t>
  </si>
  <si>
    <t xml:space="preserve">GOVT OF TELANGANA GOVERNMENT OF TELANGANA AYUSH HOSPITAL MAHADEVAPURA HOSPITAL MAHADEVAPURA KARIMNAGAR TNG 505504 </t>
  </si>
  <si>
    <t xml:space="preserve">CAPGEMINI TECHNOLOGY SERVICES INDIA LIMI NO 158-162P 165-170P EPIP PHASE 11 WHITEFIELD BANGALORE KARANTAKA WHITEFIELD BANGALORE KARANTAKA BANGALORE KAR 560066 </t>
  </si>
  <si>
    <t xml:space="preserve">AP CENTRAL POWER DISTRIBITION CORPORATIO "OFFICE OF ASSISTANT ACCOUNTS,ERO,APCPDCL" "IBRAHIMPATNAM,AP" "IBRAHIMPATNAM,AP" VIJAYAWADA ANP 521456 </t>
  </si>
  <si>
    <t xml:space="preserve">OTHERS GOVERMENTGOVERMENT OF TELANGANA MP UPSKODICHERA MANDAL MADNOOR KAMAREDDY   NIZAMABAD TNG 503111 </t>
  </si>
  <si>
    <t xml:space="preserve">GOVERNMENT OF ANDHRAPRADESH ZPP HIGHSCHO ZPHS VENKATACHALAM VENKATACHALAM MANDAL O/O ZPHS VENKATACHALAM VENKATACHALAM O/O ZPHS VENKATACHALAM VENKATACHALAM GUDUR ANP 524320 </t>
  </si>
  <si>
    <t xml:space="preserve">INDUSIND BANK LIMITED "6-9-17,RATNA DEEPIKA PLAZA" "9 TH LANE,ARUNDALPETA,GUNTUR" "9 TH LANE,ARUNDALPETA,GUNTUR" GUNTUR ANP 522002 </t>
  </si>
  <si>
    <t xml:space="preserve">INFOSYS LIMITED B BLOCK POCHARAM MALKAJIGIRI MALKAJIGIRI HYDERABAD TNG 500088 </t>
  </si>
  <si>
    <t xml:space="preserve">HEAD POST OFFICE WARANGAL HEAD POST OFFICE WARANGAL WARANGAL WARANGAL TNG 506002 </t>
  </si>
  <si>
    <t xml:space="preserve">GOVERNMENT OF TELANGANA DISTRICT COLLECTORATE OFFICE NALGONDA NALGONDA NALGONDA TNG 508001 </t>
  </si>
  <si>
    <t xml:space="preserve">POONAWALLA FINCORP LIMITED OFFICE NO G-1 TO 4 GROUND FLR B BLOCK ROXANA TOWER BEGUMPET HYDERABAD ROXANA TOWER BEGUMPET HYDERABAD HYDERABAD TNG 500016 </t>
  </si>
  <si>
    <t xml:space="preserve">Not Applicable "D No 13-2-62, good shed, near railway track road" West godavari West godavari THADEPALLI GUDEM ANP 534102 </t>
  </si>
  <si>
    <t xml:space="preserve">THIRUMLA ELECTRICAL AND ENGINEERING CO VELGATOOR NEAR POLICE STATION NEAR POLICE STATION KARIMNAGAR TNG 505526 </t>
  </si>
  <si>
    <t xml:space="preserve">VERIFONE INDIA TECHNOLOGY PRIVATE LIMITE "2ND FLOOR,WEST TOWERS,GOLD HILL SUPREME" "SOFTWARE PARK,ELECTRONIC CITY,PHASE 2," "SOFTWARE PARK,ELECTRONIC CITY,PHASE 2," BANGALORE KAR 560100 </t>
  </si>
  <si>
    <t xml:space="preserve">Jagadeeswara Reddy vennapusa "Gudupadu Village,duvvur mandal" "Kadapa district,Andra Pradesh" "Kadapa district,Andra Pradesh" PRODDATUR ANP 516175 </t>
  </si>
  <si>
    <t xml:space="preserve">BLOCKCHAIN INTERNATIONALE WAKAD NEAR SANSKRITI SOCIETY NEAR SANSKRITI SOCIETY PUNE MAH 411057 </t>
  </si>
  <si>
    <t xml:space="preserve">Shri Tulasi Organic Products LIG-1-307 APHB Colony APHB Colony TADEPALLIGUDEM ANP 534101 </t>
  </si>
  <si>
    <t xml:space="preserve">Not Applicable venkata rama nagar flred east godavari flred east godavari KAKINADA ANP 533006 </t>
  </si>
  <si>
    <t xml:space="preserve">COGNIZANT TECHNOLOGY SOLUTIONS INDIA PRI DLF BUILDING 2 3 FLOOR GACHIBOWLI HYDERABAD TELANGANA GACHIBOWLI HYDERABAD TELANGANA HYDERABAD TNG 500032 </t>
  </si>
  <si>
    <t xml:space="preserve">GOVERNMENT OF TELANGANA TSWRS JR B ETURNAGARAM MANGAPETA MULUGU WARANGAL MANGAPETA MULUGU WARANGAL BHOOPALPALLY TNG 506172 </t>
  </si>
  <si>
    <t xml:space="preserve">APOLLO HOSPITALS ENTERPRISE LIMITED "APOLLO PHARMACY,OLD LIC OFFICE" "KHAMMAM,TS" "KHAMMAM,TS" KHAMMAM TNG 507002 </t>
  </si>
  <si>
    <t xml:space="preserve">GOVT OF AP SOCIETY RURAL DEVELOP SERVICE "MPDO OFFICE COMPOUND,EDARALPALLI,AMALAPU" "TOWN,EAST GODAVARI,ANDHRA PRADESH" "TOWN,EAST GODAVARI,ANDHRA PRADESH" AMALAPURAM ANP 533201 </t>
  </si>
  <si>
    <t xml:space="preserve">ST JOHNS EDUCATIONAL SOCIETY H NO 74-13/2-16 "PATAMATA, VIJAYAWADA" "PATAMATA, VIJAYAWADA" VIJAYAWADA ANP 520007 </t>
  </si>
  <si>
    <t xml:space="preserve">Saggam and Associates "No.26, Tulasi House," Nandini Layout Nandini Layout BANGALORE KAR 560096 </t>
  </si>
  <si>
    <t xml:space="preserve">PS ENTERPRISES NEAR SRI RAMA SWAMY TEMPLE MADAKASIRA ANANTHAPUR MAIN ROAD ANANTHAPUR MAIN ROAD HINDUPUR ANP 515301 </t>
  </si>
  <si>
    <t xml:space="preserve">Mohammed javeed rahman H no 4-1-557 shakanagar x Road bodhan 503185 H no 4-1-557 shakanagar x Road bodhan 503185 H no 4-1-557 shakanagar x Road bodhan 503185 NIZAMABAD TNG 503185 </t>
  </si>
  <si>
    <t xml:space="preserve">FINT COMM PVT LTD NO 4/6 GODOWN NO 13 &amp; 14 VJR ESTATE VJR ESTATE GUNTUR ANP 522001 </t>
  </si>
  <si>
    <t xml:space="preserve">MEENAKSHI ELCTRITRONICS SHOP NO-18-89 ATMKOR WANAPARTHY   MAHBOOBNAGAR TNG 509131 </t>
  </si>
  <si>
    <t xml:space="preserve">NURSERY AND RENTAL INCOME "6 2 36 L A SAGARAM,NAIDUPETA" NELLORE NELLORE GUDUR ANP 524126 </t>
  </si>
  <si>
    <t xml:space="preserve">IDFC FIRST BANK LTD IDFC BANK LTD "20/1/202/G, 1ST FLOOR" "KORLAGUNTA, TIRUPATI" "KORLAGUNTA, TIRUPATI" TIRUPATHI ANP 517501 </t>
  </si>
  <si>
    <t xml:space="preserve">ENTERPRICESS ALLURU NELLORE NELLORE NELLORE ANP 524315 </t>
  </si>
  <si>
    <t xml:space="preserve">GOVERNMENT OF AP "A P T W RESIDENTIAL SCHOOL, BESIDE MLL H" "MLL HOSPITAL, PUNGANUR ROAD, MADANAPALLI" "MLL HOSPITAL, PUNGANUR ROAD, MADANAPALLI" MADANAPALLE ANP 517325 </t>
  </si>
  <si>
    <t xml:space="preserve">IBM 1-125 Madhavapatnam Samalkot madal east godavari district Samalkot madal east godavari district KAKINADA ANP 533005 </t>
  </si>
  <si>
    <t xml:space="preserve">GOVERNMENT OF ANDHRAPRADESH "MUNCIAL OFFICE, PITHAPURAM" "EAST GODAVARI , ANDHRAPRADESH" "EAST GODAVARI , ANDHRAPRADESH" KAKINADA ANP 533450 </t>
  </si>
  <si>
    <t xml:space="preserve">GOVT OF TELANGANA AAO ELECTRIVITY REVENUE OFFICE TSSPDCL TSSPDCL WANAPARTHY TNG 509104 </t>
  </si>
  <si>
    <t xml:space="preserve">GOVERNMENT OF ANDHRA PRADESH DEO OFFICE KADAPA   CUDDAPAH ANP 516004 </t>
  </si>
  <si>
    <t xml:space="preserve">SVN CONSTRUCTIONS 50/348/H27 KOTHLA PEDDA NAGIREDDY COLONY KURNOOL NAGIREDDY COLONY KURNOOL KURNOOL ANP 518002 </t>
  </si>
  <si>
    <t xml:space="preserve">SOUTHERN POWER DISTRIBUTION COMPANY SE/OP/TSSPDCL/SANGAREDDY SR. ASST / GENERAL SECTION CO/TSSPDCL/SR SR. ASST / GENERAL SECTION CO/TSSPDCL/SR HYDERABAD TNG 502001 </t>
  </si>
  <si>
    <t xml:space="preserve">GOVERNMENT OF ANDHRA PRADESH GOPAPATNAM GRAMAWARD SACHIVALAYAM EAST GODAVARI THONDANGI MANDAL EAST GODAVARI THONDANGI MANDAL KAKINADA ANP 533449 </t>
  </si>
  <si>
    <t xml:space="preserve">Self "1-7/1 koppigunta ,nadavapalli" "Geddanapalle,geddanapalli,East godavari" "Geddanapalle,geddanapalli,East godavari" AMALAPURAM ANP 533212 </t>
  </si>
  <si>
    <t xml:space="preserve">Not Applicable Nill Nill Nill VIJAYAWADA ANP 521211 </t>
  </si>
  <si>
    <t xml:space="preserve">3-192/2Varun apartment Government school   KKN ANP 533005 </t>
  </si>
  <si>
    <t xml:space="preserve">48-13-18/1 FLAT NO 302 RAMSAI AVENUE RAMSAI AVENUE RAMACHANDRANAGAR VIJAYAWADA   VJW ANP 520008 </t>
  </si>
  <si>
    <t xml:space="preserve">HETERO HEALTHCARE LIMITED 32/34 W.T SUREN ROAD ANDHENI MUMBAI ANDHENI MUMBAI MUMBAI MAH 400093 </t>
  </si>
  <si>
    <t>HINDUPUR</t>
  </si>
  <si>
    <t>MADANAPALLE</t>
  </si>
  <si>
    <t>ICICI Rubyx PLT Credit Card (AMEX)</t>
  </si>
  <si>
    <t>ICICI Sapphiro Card (Amex)</t>
  </si>
  <si>
    <t>ICICI Bank MasterCard  Platinum chip Credit Card</t>
  </si>
  <si>
    <t>ICICI Bank HPCL Coral Platinum Credit Card</t>
  </si>
  <si>
    <t>1ST JUNE</t>
  </si>
  <si>
    <t>I have Visited Customer given working address customer not available Customer came at 2pm Customer call not answering need to revisit // ReVisited Customer given working address customer not available Customer Call not answering // ReVisited Customer given working address customer not available Customer call answer Saying that because of Customer father health issue Customer not ready to pay Customer asking for settlement sir</t>
  </si>
  <si>
    <t>Ch not living in giving address mobile not answering need kyc // Ch card used his brother, customer living in Iran war problem phone not reachable but bank giving number not answering // Customer shifted frm working address 1 year ago</t>
  </si>
  <si>
    <t>Customer house door locked 
Customer calls not responding // Customer house shifted 
Customer calls not responding // Customer house shifted 
Customer calls not Responding</t>
  </si>
  <si>
    <t>cm door locked sir and cm call answered will call back sir</t>
  </si>
  <si>
    <t>Visited cys adrs sir 
Cus present live bangalore sir 
Cus ask settlement sir Or cus have intrest charges to high sir // PTP ON TODAY 4 PM</t>
  </si>
  <si>
    <t>Customer given address visit customer not available informed to mother // Customer given address visit customer not available informed to mother // Customer given address visit customer not available informed to mother, call not answer // Customer given address visit customer not available door locked, call not answer // Customer given address visit customer available agree to pay today EOD</t>
  </si>
  <si>
    <t>12101-INFINITY PYMT RCVD</t>
  </si>
  <si>
    <t>12124 - UPI Payment Received</t>
  </si>
  <si>
    <t>MADHUSUDHAN/TS , 8367481163</t>
  </si>
  <si>
    <t>4315815330187009</t>
  </si>
  <si>
    <t>4315815798715002</t>
  </si>
  <si>
    <t>4315815860677007</t>
  </si>
  <si>
    <t>4315813740352008</t>
  </si>
  <si>
    <t>4315814585635002</t>
  </si>
  <si>
    <t>4315813720224003</t>
  </si>
  <si>
    <t>4315814284150006</t>
  </si>
  <si>
    <t>4315813590575005</t>
  </si>
  <si>
    <t>4315813963907009</t>
  </si>
  <si>
    <t>4315813408926002</t>
  </si>
  <si>
    <t>4315814140591005</t>
  </si>
  <si>
    <t>4315814536823004</t>
  </si>
  <si>
    <t>4315812738534007</t>
  </si>
  <si>
    <t>4315812976597005</t>
  </si>
  <si>
    <t>4315814903386007</t>
  </si>
  <si>
    <t>4315814376534000</t>
  </si>
  <si>
    <t>4315813913955017</t>
  </si>
  <si>
    <t>4315815594162003</t>
  </si>
  <si>
    <t>4315814857928002</t>
  </si>
  <si>
    <t>4315815349579006</t>
  </si>
  <si>
    <t>4315814964884007</t>
  </si>
  <si>
    <t>4315814014255000</t>
  </si>
  <si>
    <t>4315814599310006</t>
  </si>
  <si>
    <t>4315812548325000</t>
  </si>
  <si>
    <t>4315812969804004</t>
  </si>
  <si>
    <t>4315812047113006</t>
  </si>
  <si>
    <t>4315813416454005</t>
  </si>
  <si>
    <t>4315815002014002</t>
  </si>
  <si>
    <t>4315814785179009</t>
  </si>
  <si>
    <t>4315813850772003</t>
  </si>
  <si>
    <t>4315814529615003</t>
  </si>
  <si>
    <t>4315813772533004</t>
  </si>
  <si>
    <t>4315814411767003</t>
  </si>
  <si>
    <t>4315813417631007</t>
  </si>
  <si>
    <t>4315815510415006</t>
  </si>
  <si>
    <t>4315814522112008</t>
  </si>
  <si>
    <t>4315815025151005</t>
  </si>
  <si>
    <t>4315813915006009</t>
  </si>
  <si>
    <t>4315813468717002</t>
  </si>
  <si>
    <t>4315813773557002</t>
  </si>
  <si>
    <t>4315814429955004</t>
  </si>
  <si>
    <t>4315815436913019</t>
  </si>
  <si>
    <t>4315814518458001</t>
  </si>
  <si>
    <t>4315812667735005</t>
  </si>
  <si>
    <t>4315812739969004</t>
  </si>
  <si>
    <t>4315815000983000</t>
  </si>
  <si>
    <t>4315812573315009</t>
  </si>
  <si>
    <t>4315812678474008</t>
  </si>
  <si>
    <t>4315813997334006</t>
  </si>
  <si>
    <t>4315813913798003</t>
  </si>
  <si>
    <t>4315814133732004</t>
  </si>
  <si>
    <t>4315813685327007</t>
  </si>
  <si>
    <t>4315814270455005</t>
  </si>
  <si>
    <t>4315815270003018</t>
  </si>
  <si>
    <t>6528680760468008</t>
  </si>
  <si>
    <t>4315815509031004</t>
  </si>
  <si>
    <t>4315812368965000</t>
  </si>
  <si>
    <t>4315813270531005</t>
  </si>
  <si>
    <t>4315813671475018</t>
  </si>
  <si>
    <t>4315812427970009</t>
  </si>
  <si>
    <t>4315813403304007</t>
  </si>
  <si>
    <t>4315812801647017</t>
  </si>
  <si>
    <t>4315812771908001</t>
  </si>
  <si>
    <t>4315815161504009</t>
  </si>
  <si>
    <t>4315812681820007</t>
  </si>
  <si>
    <t>4315812542375001</t>
  </si>
  <si>
    <t>4315812826236002</t>
  </si>
  <si>
    <t>4315813998001000</t>
  </si>
  <si>
    <t>4315814265918009</t>
  </si>
  <si>
    <t>4315812769223009</t>
  </si>
  <si>
    <t>4375517502312004</t>
  </si>
  <si>
    <t>4315814096236001</t>
  </si>
  <si>
    <t>4375517685435002</t>
  </si>
  <si>
    <t>4315814959338001</t>
  </si>
  <si>
    <t>4315813401900004</t>
  </si>
  <si>
    <t>4315813787619004</t>
  </si>
  <si>
    <t>4315814202028003</t>
  </si>
  <si>
    <t>4315812313651002</t>
  </si>
  <si>
    <t>4315812321310005</t>
  </si>
  <si>
    <t>4315813564988002</t>
  </si>
  <si>
    <t>4315815007882007</t>
  </si>
  <si>
    <t>MR Bathula Ravindra Murali</t>
  </si>
  <si>
    <t>MR SUTRALA SRIDHAR</t>
  </si>
  <si>
    <t>MR Shaik Noor Ahamad</t>
  </si>
  <si>
    <t>MR Vardineni Naveen Rao</t>
  </si>
  <si>
    <t>MR MannuruNanda Kishore Reddy</t>
  </si>
  <si>
    <t>MR GUVVALA VENKATESWARLU</t>
  </si>
  <si>
    <t>MR Gandham Naresh</t>
  </si>
  <si>
    <t>MR Mulla Jishan</t>
  </si>
  <si>
    <t>MR Katika Pedda Raju</t>
  </si>
  <si>
    <t>MS LAKKIMSETTY RAMA VENKATA</t>
  </si>
  <si>
    <t>MR BOGARAM RAJASHEKAR</t>
  </si>
  <si>
    <t>MR Pasupuleti Mohan Teja</t>
  </si>
  <si>
    <t>MR Jureddy Veera Venkata</t>
  </si>
  <si>
    <t>MR Golla Sarat Kumar</t>
  </si>
  <si>
    <t>MR Valluri Dinesh Raju</t>
  </si>
  <si>
    <t>MR Yaddanapudi Srividhya Nandha</t>
  </si>
  <si>
    <t>MR SVamshi Krishna Reddy</t>
  </si>
  <si>
    <t>MS Bada Naga Mani</t>
  </si>
  <si>
    <t>MR Aleti Ravinder Reddy</t>
  </si>
  <si>
    <t>MR Murikipudi Rajasekhar</t>
  </si>
  <si>
    <t>MR Gummedela Varaprasad</t>
  </si>
  <si>
    <t>MR GangavarapuChandra Sekhar Naid</t>
  </si>
  <si>
    <t>MR PITANI SRINIVAS</t>
  </si>
  <si>
    <t>MR Mandli Sandeep Kumar</t>
  </si>
  <si>
    <t>MR Annam Sathyanarayana</t>
  </si>
  <si>
    <t>MR Vutukuri Mohana Bala</t>
  </si>
  <si>
    <t>MS T ARUNA</t>
  </si>
  <si>
    <t>MR Choppari Maruthi</t>
  </si>
  <si>
    <t>MR AnipiReddyVenkata Harinadh Red</t>
  </si>
  <si>
    <t>MR PAGILLAPALLI VINAY KUMAR</t>
  </si>
  <si>
    <t>MR Shaik Abdul Azeez</t>
  </si>
  <si>
    <t>MR Venkata Srinivas</t>
  </si>
  <si>
    <t>MR Gangadhar Sarnala</t>
  </si>
  <si>
    <t>MR Ranjith Kumar Marripelli</t>
  </si>
  <si>
    <t>MR Mohammed Abdul Razak</t>
  </si>
  <si>
    <t>MS TELLA VANI</t>
  </si>
  <si>
    <t>MR Ashok Vattipally</t>
  </si>
  <si>
    <t>MR MannuruSai Rishith Reddy</t>
  </si>
  <si>
    <t>MR Jagadeesh Rayudu</t>
  </si>
  <si>
    <t>MR Illuri Jagadeesh</t>
  </si>
  <si>
    <t>MS Manne Rathna Deepika</t>
  </si>
  <si>
    <t>MR TallapuReddyMuni Mohan Reddy</t>
  </si>
  <si>
    <t>MR CHIRRA RAMAKOTI REDDY</t>
  </si>
  <si>
    <t>MR Mididoddi Ramulu</t>
  </si>
  <si>
    <t>MR. MRUDUL A</t>
  </si>
  <si>
    <t>MR Penugonda Krishnamurthi</t>
  </si>
  <si>
    <t>MR Shaik Abdul Raheem</t>
  </si>
  <si>
    <t>MR Remala Srinivasa Rao</t>
  </si>
  <si>
    <t>MR Panjala Raju</t>
  </si>
  <si>
    <t>MR Koritala Ravitheja</t>
  </si>
  <si>
    <t>MR KATTA SAI KIRAN</t>
  </si>
  <si>
    <t>MR Vijay Dasari</t>
  </si>
  <si>
    <t>MR NASINA SIVA PRASAD</t>
  </si>
  <si>
    <t>MR SOMESWARARAO Chittiboyina</t>
  </si>
  <si>
    <t>MR RASAMALLA RAJESH KUMAR</t>
  </si>
  <si>
    <t>MR P Gopal Singh</t>
  </si>
  <si>
    <t>MR Vadlani Reddy Prasanna</t>
  </si>
  <si>
    <t>MR marripally satheesh</t>
  </si>
  <si>
    <t>MR Nuvusetty Hemanth Kumar</t>
  </si>
  <si>
    <t>MS Gannu Lakshmi Prabha</t>
  </si>
  <si>
    <t>MR S G Mahammad</t>
  </si>
  <si>
    <t>MR Aadi Hareesh</t>
  </si>
  <si>
    <t>MR Vollore Sham Prabhath</t>
  </si>
  <si>
    <t>MR KOTHAPALLI GIREESH</t>
  </si>
  <si>
    <t>MR Borra Sri Pranava</t>
  </si>
  <si>
    <t>MR GUNDEPUDI PRASANTH</t>
  </si>
  <si>
    <t>MR Patti Pati Naresh</t>
  </si>
  <si>
    <t>MR GODDUMARRI SATYA NARAYANA</t>
  </si>
  <si>
    <t>MR Mallemadugula Rama Sekhar</t>
  </si>
  <si>
    <t>MR Mulenti Vamsidhar Reddy</t>
  </si>
  <si>
    <t>MR INUMULA SAIKUMAR</t>
  </si>
  <si>
    <t>MR KADIYALAVENKATA KRISHNA MOHAN</t>
  </si>
  <si>
    <t>MR VARADAIAH MARAPPAGARI X</t>
  </si>
  <si>
    <t>MR Marisetty Thirumala Rao</t>
  </si>
  <si>
    <t>MR Vankdoth Rana Prathap</t>
  </si>
  <si>
    <t>MR Battu Swamy</t>
  </si>
  <si>
    <t>MR Kammur Mohammed Luqman</t>
  </si>
  <si>
    <t>MR Chappidi Veera Prathap</t>
  </si>
  <si>
    <t>MR BANAVATH RAJANNA</t>
  </si>
  <si>
    <t>MS Vundinti Pooja Teja</t>
  </si>
  <si>
    <t>MR POTTI KUMAR</t>
  </si>
  <si>
    <t>9010700248</t>
  </si>
  <si>
    <t>7337510662</t>
  </si>
  <si>
    <t>9000186897</t>
  </si>
  <si>
    <t>9550905041</t>
  </si>
  <si>
    <t>8688501985</t>
  </si>
  <si>
    <t>9492626818</t>
  </si>
  <si>
    <t>8885863328</t>
  </si>
  <si>
    <t>9966898107</t>
  </si>
  <si>
    <t>7095625605</t>
  </si>
  <si>
    <t>8179590773</t>
  </si>
  <si>
    <t>7893556964</t>
  </si>
  <si>
    <t>9629668688</t>
  </si>
  <si>
    <t>9293055973</t>
  </si>
  <si>
    <t>9490497801</t>
  </si>
  <si>
    <t>8074679426</t>
  </si>
  <si>
    <t>9493171333</t>
  </si>
  <si>
    <t>7989391884</t>
  </si>
  <si>
    <t>7569374336</t>
  </si>
  <si>
    <t>9989302431</t>
  </si>
  <si>
    <t>9121452620</t>
  </si>
  <si>
    <t>6300257101</t>
  </si>
  <si>
    <t>9032184388</t>
  </si>
  <si>
    <t>9848713273</t>
  </si>
  <si>
    <t>9731971793</t>
  </si>
  <si>
    <t>9849919703</t>
  </si>
  <si>
    <t>9963959966</t>
  </si>
  <si>
    <t>9700005519</t>
  </si>
  <si>
    <t>9573511318</t>
  </si>
  <si>
    <t>9490905351</t>
  </si>
  <si>
    <t>8919633050</t>
  </si>
  <si>
    <t>9666797617</t>
  </si>
  <si>
    <t>9505805138</t>
  </si>
  <si>
    <t>8978341155</t>
  </si>
  <si>
    <t>8309390092</t>
  </si>
  <si>
    <t>9121482145</t>
  </si>
  <si>
    <t>7093393063</t>
  </si>
  <si>
    <t>9949236389</t>
  </si>
  <si>
    <t>6304221218</t>
  </si>
  <si>
    <t>8008823229</t>
  </si>
  <si>
    <t>8328299581</t>
  </si>
  <si>
    <t>9032449149</t>
  </si>
  <si>
    <t>9160195115</t>
  </si>
  <si>
    <t>9848164816</t>
  </si>
  <si>
    <t>8464921683</t>
  </si>
  <si>
    <t>7799677765</t>
  </si>
  <si>
    <t>9390274913</t>
  </si>
  <si>
    <t>7702378674</t>
  </si>
  <si>
    <t>9866555587</t>
  </si>
  <si>
    <t>7036839494</t>
  </si>
  <si>
    <t>8886815933</t>
  </si>
  <si>
    <t>9666421477</t>
  </si>
  <si>
    <t>9177214387</t>
  </si>
  <si>
    <t>8309052586</t>
  </si>
  <si>
    <t>9848079698</t>
  </si>
  <si>
    <t>9949810854</t>
  </si>
  <si>
    <t>9676111026</t>
  </si>
  <si>
    <t>7386618242</t>
  </si>
  <si>
    <t>9908298263</t>
  </si>
  <si>
    <t>9505085118</t>
  </si>
  <si>
    <t>9390115710</t>
  </si>
  <si>
    <t>9010229395</t>
  </si>
  <si>
    <t>9491721666</t>
  </si>
  <si>
    <t>7386625920</t>
  </si>
  <si>
    <t>9515973733</t>
  </si>
  <si>
    <t>9666553598</t>
  </si>
  <si>
    <t>9030042042</t>
  </si>
  <si>
    <t>8919005853</t>
  </si>
  <si>
    <t>8340031680</t>
  </si>
  <si>
    <t>9493286858</t>
  </si>
  <si>
    <t>9014606006</t>
  </si>
  <si>
    <t>7386230771</t>
  </si>
  <si>
    <t>9700936644</t>
  </si>
  <si>
    <t>9502008182</t>
  </si>
  <si>
    <t>8142588644</t>
  </si>
  <si>
    <t>9100591667</t>
  </si>
  <si>
    <t>8125146394</t>
  </si>
  <si>
    <t>9160681237</t>
  </si>
  <si>
    <t>9492156296</t>
  </si>
  <si>
    <t>9493158627</t>
  </si>
  <si>
    <t>7674093137</t>
  </si>
  <si>
    <t>9849321077</t>
  </si>
  <si>
    <t>32.245 PAMIDIPADU MAIN.STREET BODDU RAYI NARASAPURAM ANP 522660</t>
  </si>
  <si>
    <t>H NO 11-10-593 BURHAPURAM NAVYA BRAHMANA COLONY KHAMMAM  KHAMMAM TNG 507001</t>
  </si>
  <si>
    <t>445D02 RAJAMPETA USMAN.NAGAR Cuddapah CUDDAPAH ANP 516115</t>
  </si>
  <si>
    <t>2 129 New velmal New velmal Adilabad ADILABAD TNG 504105</t>
  </si>
  <si>
    <t>3.23 lakshmi.puram ..lakshmi.puram Cuddapah CUDDAPAH ANP 516104</t>
  </si>
  <si>
    <t>5 30 GANDLA BAZAR GANDLA BAZAR DAMERACHERLA POST SURYAPET TNG 508355</t>
  </si>
  <si>
    <t>H.No.16.1.239 Godavarikhani Shivaji.nagar Near Krishna Cycle Store PEDDAPALLI TNG 505209</t>
  </si>
  <si>
    <t>4 65 main road main road bejina vemula NANDYAL ANP 518134</t>
  </si>
  <si>
    <t>13.16 Ayyapureddy.Colony ..Ayyapureddy.Colony Bihend Policestation NANDYAL ANP 518112</t>
  </si>
  <si>
    <t>5-22/1 RAZOLE MANDALAM KIRANA STREET EAST GODAVARI AMALAPURAM ANP 533249</t>
  </si>
  <si>
    <t>4-33 AROOR VALIGONDA YADHADRE BHONGIR TELANGA RENUKA YELLAMMA TEMPLE NALGONDA TNG 508112</t>
  </si>
  <si>
    <t>16.2.24.3 POORNANANDAM.PETA LAKSHMANA.RAO.STREET Krishna VIJAYAWADA ANP 520003</t>
  </si>
  <si>
    <t>16-02-2005 president vari veedi president vari veedi East Godavari KAKINADA ANP 533440</t>
  </si>
  <si>
    <t>VENKAYYA NAIDU STREET BESIDE SBI MAIN BRANCH RKS ROSEMILK MSS PLAZA BHIMAVARAM BHIMAVARAM ANP 534201</t>
  </si>
  <si>
    <t>2.11.1 akiveedu.mandalam christian.peta near cheruvu BHIMAVARAM ANP 534235</t>
  </si>
  <si>
    <t>H.No.3.155 Devarapalli.Mandalam Gandhinagarm West Godavari West Godavari ANP 534313</t>
  </si>
  <si>
    <t>1.134 Hanwada.mandalam gudi.malkapur.village Mahabubnagar MAHBOOBNAGAR TNG 509334</t>
  </si>
  <si>
    <t>.. Ananthavarappadu.. VATTICHERUKURU  GUNTUR ANP 522017</t>
  </si>
  <si>
    <t>2.68 Bheemadevara.Pally Dharmaram Karimnagar HYDERABAD TNG 505471</t>
  </si>
  <si>
    <t>H.no.10.552B.ankarao.building. 10th.vard.ramalakshmana.street ..10th.vard.ramalakshmana.street Vivekananda school NANDYAL ANP 523316</t>
  </si>
  <si>
    <t>25.2.1441.PRAGATHI.NAGAR.1ST.STREET. B.BLOCK.PODALKUR.ROAD. ..B.BLOCK.PODALKUR.ROAD. NEAR CANCER HOSPITAL NELLORE ANP 524004</t>
  </si>
  <si>
    <t>18.2.48 VENU.GOPAL.NAGAR GOOTY.ROAD RAJAHAMSA DELUX APPARTMENTS ANAPARTHI ANP 515001</t>
  </si>
  <si>
    <t>Oct-24 KOTHAPETA KOPPISETTI VARI VEEDHI  AMALAPURAM ANP 533223</t>
  </si>
  <si>
    <t>Jun-84 G.M.C STREET G.M.C STREET Cuddapah CUDDAPAH ANP 516115</t>
  </si>
  <si>
    <t>S/O Chandraiah 4-84/1 l m d x road thim mapur mandal Alugunur  Karimnagar Telang ana 505527 Karimnagar KARIMNAGAR TNG 505527</t>
  </si>
  <si>
    <t>41-3-75/A Krishnalanka Rice Shops Bazaar Krishna VIJAYAWADA ANP 520013</t>
  </si>
  <si>
    <t>May-50 SHESHADRI NAGAR SHESHADRI NAGAR MAHABUBNAGAR MAHBOOBNAGAR TNG 509001</t>
  </si>
  <si>
    <t>H.NO.3.57.1 korutla.mandal ..korutla.mandal Karimnagar KARIMNAGAR TNG 505330</t>
  </si>
  <si>
    <t>18.19 YANADI.COLONY ..YANADI.COLONY Cuddapah PRODDATUR ANP 516360</t>
  </si>
  <si>
    <t>6 1 12 1 CHERUVU BAZAAR BESIDE HANUMAN TEMPLE LANE HANUMAN TEMPLE KHAMMAM TNG 507001</t>
  </si>
  <si>
    <t>3.1.154.1 Laxmi.Talkies.Road ..Laxmi.Talkies.Road Warangal WARANGAL TNG 506381</t>
  </si>
  <si>
    <t>H NO 3 3 588 A SAINAGER SAINAGER NEAR VISHWAVIKAS SCHOOL NIZAMABAD TNG 503001</t>
  </si>
  <si>
    <t>4.169 nunna ..nunna Krishna VIJAYAWADA ANP 521212</t>
  </si>
  <si>
    <t>HNO 23 6 135 1 1 IV 401 SRI DATTA SAI RESIDENCY HUNTER RODA BESIDE TEJASWI SCHOOL WARANGAL TNG 506001</t>
  </si>
  <si>
    <t>1123399 L.B.Nagar ..L.B.Nagar  WARANGAL TNG 506002</t>
  </si>
  <si>
    <t>6.169 L.M..COMPOUND ..L.M..COMPOUND Cuddapah PRODDATUR ANP 516380</t>
  </si>
  <si>
    <t>1.212 KONAPURAM ..KONAPURAM CHENNARAOPET MANDALAM WARANGAL TNG 506332</t>
  </si>
  <si>
    <t>FALT.NO.915.4THFLOOR SAIRESIDENCY.APARTMENT.1 BAIRAGIPATEDI INFRONT OF PULSE RESTAURENT TIRUPATHI ANP 517501</t>
  </si>
  <si>
    <t>4 3 1  mattaparthi varipalem totharamudi Totharamudi NEAR KARVY ROAD AMALAPURAM ANP 533211</t>
  </si>
  <si>
    <t>3 237 Kanuru  Penamaluru Mandal Masid Center Krishna VIJAYAWADA ANP 520007</t>
  </si>
  <si>
    <t>FLAT.NO.207.KRISHNA.SAI.RESIDENCY.KUNCHA KUNCHANAPALLI. KLU.ROAD. KL UNIVERSITY ROAD GUNTUR ANP 522501</t>
  </si>
  <si>
    <t>2.20.a.b PeddaPasupula PeddaPasupula Cuddapah PRODDATUR ANP 516411</t>
  </si>
  <si>
    <t>.. ..2.165.1A Kaza NEAR OLD ANDHRA BANK VIJAYAWADA ANP 522503</t>
  </si>
  <si>
    <t>Oct-30   Karimnagar HYDERABAD TNG 505405</t>
  </si>
  <si>
    <t>"H NO,/6/D/3 SHANTHI NAGAR,5-1-1 FLR,SANGA," "REDDY SANGAREDDY,MEDAK,MEDAK" MEDAK - MEDAK TNG 502001</t>
  </si>
  <si>
    <t>41.1.126.3 Krishnalanka Varma.Gari.Street Krishna VIJAYAWADA ANP 520013</t>
  </si>
  <si>
    <t>17-51 Yanamalakuduru Seetha Ram Nagar Dabba Pampu Center VIJAYAWADA ANP 520007</t>
  </si>
  <si>
    <t>FLAT NO -2773 NEW RAJARAJESWERI PETA AJITH SINGHNAGAR NEAR SAI BABA TEMPLE VIJAYAWADA ANP 520015</t>
  </si>
  <si>
    <t>S.D.655 Ramakrishnapur sivaji.nagar Adilabad ADILABAD TNG 504301</t>
  </si>
  <si>
    <t>4.66B ramalaya.veedhi ..ramalaya.veedhi Guntur NARASAPURAM ANP 522549</t>
  </si>
  <si>
    <t>4.36.1..BONDADA.VILLAGE..KALLA.MANDAL WEST.GODAVARI.DISTRICT...534206 ..WEST.GODAVARI.DISTRICT...534206 NEAR HANUMAN TEMPLE VIJAYAWADA ANP 534206</t>
  </si>
  <si>
    <t>1 100146 A 1 Kotha Thimmapur Amma Garden Road Mancherial ADILABAD TNG 504209</t>
  </si>
  <si>
    <t>1.244..MYPADU.MAIN.ROAD.NARAYANA.REDDY.P NELLORE ..  NELLORE ANP 524314</t>
  </si>
  <si>
    <t>8.71.1..srisai.siri.nilayam. indrapalem.chaitanya.nagar ..indrapalem.chaitanya.nagar Kakinada KAKINADA ANP 533006</t>
  </si>
  <si>
    <t>HOUSE NO 8 58 BC COLONY NEKKONDA MANDAL NEAR SURYA THEATER Warangal TNG 506122</t>
  </si>
  <si>
    <t>2146 Indervelly.Mandal Galiya.Bai.thanda Adilabad ADILABAD TNG 504346</t>
  </si>
  <si>
    <t>4/146 gaandla veedhi gaandla veedhi Cuddapah PRODDATUR ANP 516329</t>
  </si>
  <si>
    <t>PLOT NO 26 MLG ROAD GARUDADRI NAGAR NEAR COLLECTORATE NALGONDA TNG 508001</t>
  </si>
  <si>
    <t>23 784 NELLORE YADAVA STREET HATHE KHAN PETA NELLORE ANP 524003</t>
  </si>
  <si>
    <t>11-23-1796/1 EKASHILA NAGAR EKASHILA NAGAR Warangal Urban WARANGAL TNG 506002</t>
  </si>
  <si>
    <t>4 4 UPSTAIR BAZAR STREET BAZAR STREET Cuddapah CUDDAPAH ANP 516162</t>
  </si>
  <si>
    <t>1-87B OC COLANY OC COLANY West Godavari TADEPALLIGUDEM ANP 534112</t>
  </si>
  <si>
    <t>21/404/35 INDIRA NAGAR INDIRA NAGAR NEAR RTC BUSTAND KURNOOL ANP 518301</t>
  </si>
  <si>
    <t>4 PATHAPATIVARI PALLE PATHAPATIVARI PALLE CHINNARAMAPURAM   CHITTOOR ANP 517102</t>
  </si>
  <si>
    <t>"8-16-27,Rajgopal nagar 1st line" Kakani road  Near church GUNTUR ANP 522002</t>
  </si>
  <si>
    <t>"H NO,4215166 OPPSATYA SAI,BABA,ASRAMAM," "SRINIVAS NAGAR,."   KHAMMAM TNG 507003</t>
  </si>
  <si>
    <t>1-74a mitta meeda palli mitta meeda palli Cuddapah CUDDAPAH ANP 516126</t>
  </si>
  <si>
    <t>3.342.YMR.COLONY.YMR.COLONY  ..  PRODDATUR ANP 516360</t>
  </si>
  <si>
    <t>1.99 virawada pallapu.veedhi near saibaba temple KAKINADA ANP 533450</t>
  </si>
  <si>
    <t>6-141 Mekalasompally B C Colony Mahabubnagar ATMAKUR TNG 509132</t>
  </si>
  <si>
    <t>HNO 16 2 69 ASHOK NAGAR STREET JANGAREDDIGUDEM BEHIND PADMA THEATER  JANGAREDDIGUDUM ANP 534447</t>
  </si>
  <si>
    <t>7.17.60.Ebnizers.raj.bhavan 3rd.line.Srinagar ..3rd.line.Srinagar OPPOSITE A K SIGNS GUNTUR ANP 522002</t>
  </si>
  <si>
    <t>11 124 TIRUPATI YOGIMALLAVARAM TIRUCHANOOR NEAR PADMAVATHI SCHOOL TIRUPATHI ANP 517503</t>
  </si>
  <si>
    <t>nagaram.palem.opp.stall.girls.high.schoo nagaram.palem.opp.stall.girls.high.schoo ..nagaram.palem.opp.stall.girls.high.sch 26-04-2019 GUNTUR ANP 522004</t>
  </si>
  <si>
    <t>31 3 545 6 Hanamkonda  Warangal Police Colony Komatipally WARANGAL TNG 506370</t>
  </si>
  <si>
    <t>13 163 YADAVA BAZAR YADAVA BAZAR HUZUR NAGAR SURYAPET TNG 508204</t>
  </si>
  <si>
    <t>13.2.170 Ramachandra.nagar Ramachandra.nagar.EXT. Anantapur ANAPARTHI ANP 515001</t>
  </si>
  <si>
    <t>Jan-14 Pasarlapudilanka Main road Near canal bridz AMALAPURAM ANP 533247</t>
  </si>
  <si>
    <t>H NO 10-5-238/A KISAN NAGAR KARIMNAGAR  OPP SURYA PAPER OFFICE ADILABAD TNG 505001</t>
  </si>
  <si>
    <t>3 10 268 Budda Bavan Reddy Colony Warangal WARANGAL TNG 506001</t>
  </si>
  <si>
    <t>"6-1-390 SINGARAJU VARI,STREET," "NEAR WATER TANK,STONE HOUSE,PETA"   NELLORE ANP 524002</t>
  </si>
  <si>
    <t>TATA.CONSULTANCY.SERVICES.LIMITED S.O.BATHULA.BRAHMAIAH..DR..NO 32.245.MAIN.ROAD.PAMIDIPADU..pamidipadu 32.245.MAIN.ROAD.PAMIDIPADU..pamidipadu NARASAPURAM ANP522660</t>
  </si>
  <si>
    <t xml:space="preserve">     </t>
  </si>
  <si>
    <t>MMJ.GOLD 4.45.D02.usman.nagar..Rajampet Usman.nagar.RAJAMPET. Usman.nagar.RAJAMPET. CUDDAPAH ANP516115</t>
  </si>
  <si>
    <t>RELIANCE RETAIL LIMITED BALAJI TOWERS CHAIN GATE CHAIN GATE ADILABAD TNG504106</t>
  </si>
  <si>
    <t>GOVERNMENT.OF.ANDHRA.PRADESH Chitvel..2.Secreateriat Main.road. Main.road. CUDDAPAH ANP516104</t>
  </si>
  <si>
    <t>GOVERNMENT SCHOOL THALLA VEERAPPA GUDEM UPS THALLA VEERAPPA GUDEM MANDAL DAMARACHELA  DISTRICT NALGONDA MANDAL DAMARACHELA  DISTRICT NALGONDA SURYAPET TNG508355</t>
  </si>
  <si>
    <t>MUNICIPALITY H.NO.16.1.239. SHIVAJI.NAGAR.. SHIVAJI.NAGAR.. PEDDAPALLI TNG505209</t>
  </si>
  <si>
    <t>HOMELANE 4 65 MAIN ROAD BIJANAVEMULA VILLAGE KOILAKUNTLA MANDAL KURNOOL DST KOILAKUNTLA MANDAL KURNOOL DST NANDYAL ANP518134</t>
  </si>
  <si>
    <t>HOTEL.CHANDAMAMA PANYAM KURNOOL. KURNOOL. NANDYAL ANP518112</t>
  </si>
  <si>
    <t>SHREE RAGAVENDRA SAMI BUILDING MATERIAL HOUSE NO 5-22/1 KIRANA STREET THATTIPAKK HOUSE NO 5-22/1 KIRANA STREET THATTIPAKK HOUSE NO 5-22/1 KIRANA STREET THATTIPAKK AMALAPURAM ANP533249</t>
  </si>
  <si>
    <t>JOHNDEVERE TRACTOR SHOWROOM VILLAGE AND MANDAL VALIGONDA DIST YADADRI BHUVANAGIRI STATE TELANGAN DIST YADADRI BHUVANAGIRI STATE TELANGAN NALGONDA TNG508112</t>
  </si>
  <si>
    <t>LORRY.OFFICE 16.2.24.3.PURNANANDAMPET LAXMANA.RAO.STREET. LAXMANA.RAO.STREET. VIJAYAWADA ANP520003</t>
  </si>
  <si>
    <t>VOLTA IMPEX PVT LTD G.RAGAMPETA 386/10 SAMALKOT 386/10 SAMALKOT PEDDAPURAM ANP533437</t>
  </si>
  <si>
    <t>INVENTURUS KNOWLEDGE SOLUTIONS "IKS HEALTH PVT LTD, BLOCK-1" "11TH FLOOR, UPPAL MAIN RD,UPPAL DIST, HY" "11TH FLOOR, UPPAL MAIN RD,UPPAL DIST, HY" HYDERABAD TNG500039</t>
  </si>
  <si>
    <t>VISSION.PHOTOGRAPHY CHANDRAGIRI. TIRUPATI.. TIRUPATI.. TIRUPATHI ANP517101</t>
  </si>
  <si>
    <t>SRI.TRADER GANDHINAGARAM SANGAYAGUDEM.POST.DEVARAPALLI.MANDAL SANGAYAGUDEM.POST.DEVARAPALLI.MANDAL West Godavari ANP534313</t>
  </si>
  <si>
    <t>BAJAJ.ELECTRICALS.LIMITED NEWTOWN. MAHABUBNAGAR. MAHABUBNAGAR. MAHBOOBNAGAR TNG509001</t>
  </si>
  <si>
    <t>VENKATA.RAJESH.POULTRY.FRAMS Ananthavarapaddu Poultry.frams. Poultry.frams. GUNTUR ANP522017</t>
  </si>
  <si>
    <t>NXT.GEN.COMPUTER.SOLUTIONS SHOP.NO.41 NEW.AENNAPURNA.COMPLEX.PARKING.PLACE. NEW.AENNAPURNA.COMPLEX.PARKING.PLACE. ADILABAD TNG505001</t>
  </si>
  <si>
    <t>SAIKRISHNA.FANCY 4.283.RAJAAJI.STREET MAIN.BAZAR. MAIN.BAZAR. NANDYAL ANP523316</t>
  </si>
  <si>
    <t>VARAPRA.PROVISIONS.AND.FANCY PRAGATHI.NAGAR.10TH.STREET.A.BLOCK PIPE.LINE.STREET.PODALKUR.ROAD. PIPE.LINE.STREET.PODALKUR.ROAD. NELLORE ANP524004</t>
  </si>
  <si>
    <t>CAPGEMINI.TECHNOLOGY.SERVICES.INDIA.LTD 6B.ECOSPACE BELANDHUR. BELANDHUR. BANGALORE KAR560103</t>
  </si>
  <si>
    <t>GOVERNMENT OF ANDHRA PRADESH PANCHYAT RAJ DEPARTMENT  KOTHAPETA GRAMA SACHIVALAYAM  2    AVIDI V GRAMA SACHIVALAYAM  2    AVIDI V AMALAPURAM ANP533229</t>
  </si>
  <si>
    <t>CERNER HEALTHCARE SOLUTIONS PVT LTD GROUND WING-B BLOCK H2 MANYATHA EMBASSY BUSINESS PARK MANYATHA EMBASSY BUSINESS PARK BANGALORE KAR560045</t>
  </si>
  <si>
    <t>ZERODHA BROKING LIMITED CLIENT AC ALUGUNOOR LMD X ROAD THIMMAPUR MANDAL KA L M D X ROAD ALUGUNOOR HOSE NO 4-84 KARI L M D X ROAD ALUGUNOOR HOSE NO 4-84 KARI KARIMNAGAR TNG505527</t>
  </si>
  <si>
    <t>AMRITHA SCHOOL OF ENGINEERING SATYAM GARI HOTEL STREET ROCE SHOPS BAZAR 41-3-75A ROCE SHOPS BAZAR 41-3-75A VIJAYAWADA ANP520013</t>
  </si>
  <si>
    <t>GOVERNMENT OF TELANGANA "MPPS THIRUMALAGIRI," "BALANAGAR,MAHABUBNAGAR" "BALANAGAR,MAHABUBNAGAR" WANAPARTHY TNG509202</t>
  </si>
  <si>
    <t>SAISITICABLE.NETWORK Yousufnagar.Mudhiraj.sanga bhavanam...yousufnagar. bhavanam...yousufnagar. KARIMNAGAR TNG505330</t>
  </si>
  <si>
    <t>SREE.YASHUVANTH.SAREES 18.190YANADHICOLONY YANADHI.COLONY..POTTIPADU. YANADHI.COLONY..POTTIPADU. PRODDATUR ANP516360</t>
  </si>
  <si>
    <t>GENERAL ENERGY MANAGEMENT SYSTEMS PVT LT H NO 11 2 15 2 1 NEAR UNION BANK SEETHAPHALMANDI NEAR UNION BANK SEETHAPHALMANDI HYDERABAD TNG500061</t>
  </si>
  <si>
    <t>STAR.TRADERS RATHI.DARWAZA.MOMINAN.BAZAR AZAD.ROAD.. AZAD.ROAD.. KHAMMAM TNG507001</t>
  </si>
  <si>
    <t>TEA KAHANI TEA KAHANI VARNI CHOWRASTA OPP SBI BANK VARNI CHOWRASTA OPP SBI BANK NIZAMABAD TNG503001</t>
  </si>
  <si>
    <t>RELIANCE.RETAIL.LIMITED M.G.ROAD PVP.MALL.. PVP.MALL.. VIJAYAWADA ANP520010</t>
  </si>
  <si>
    <t>MANIKNATA CONSULTANCY HNO23 6 135 1 1 IV 402 SRI DATTA SAI RESIDENCY HUNTER ROAD SRI DATTA SAI RESIDENCY HUNTER ROAD WARANGAL TNG506001</t>
  </si>
  <si>
    <t>SHARADHA.MEDICAL Charbowli Sharadha.medical. Sharadha.medical. WARANGAL TNG506002</t>
  </si>
  <si>
    <t>APVVP GAVINI.CIRCLE DISTRICT.HOSPITAL. DISTRICT.HOSPITAL. PRODDATUR ANP516360</t>
  </si>
  <si>
    <t>SIDDHARTHA.DEGREE..COLLEGE Siddhartha.Degree.Pg.college SIDDHARTHA.NAGAR.. SIDDHARTHA.NAGAR.. WARANGAL TNG506132</t>
  </si>
  <si>
    <t>RITHYA.BULIDERS.AND.DEVELOPERS DOOR.NO.39 BAIRAGIPATEDI.ARCH.ROAD. BAIRAGIPATEDI.ARCH.ROAD. TIRUPATHI ANP517501</t>
  </si>
  <si>
    <t>AMERICAN ONCOLOGY INSTITUTE    VIJAYAWADA ANP520007</t>
  </si>
  <si>
    <t>HCL TECHNOLOGIES LIMITED S NO 203 NH 5 KESARAPALLI GANNAVARAM KESARAPALLI GANNAVARAM VIJAYAWADA ANP521102</t>
  </si>
  <si>
    <t>PRIME.VENTURES PRIME.HILL.CREST.VADDESWARAM VADDESWARAM. VADDESWARAM. GUNTUR ANP522502</t>
  </si>
  <si>
    <t>ONUS.ROBOTIC.HOSPITALS Sri.Padmavathi.High.School Sri.Ram.Nagar. Sri.Ram.Nagar. PRODDATUR ANP516434</t>
  </si>
  <si>
    <t>IJM.INDIA.INFRASTRUCTURE.PVT.LTD Vijayawada.tollway.pvt.Ltd Kaza.post..mangalagiri.mandal.. Kaza.post..mangalagiri.mandal.. VIJAYAWADA ANP522503</t>
  </si>
  <si>
    <t>PSK STUDIOS Oct-30 THANGALLAPALLY RAJANNA SIRICILLA THANGALLAPALLY RAJANNA SIRICILLA HYDERABAD TNG505405</t>
  </si>
  <si>
    <t>ICICI BANK LTD PLOT NO 12 NANGRAMGUDA 2ND FLOOR DERPARTMENT 2ND FLOOR DERPARTMENT Rangareddy TNG500032</t>
  </si>
  <si>
    <t>SRI.SATYA.SAI.CALENDAR.AGENCIES 11.41.47..Kandulavari.Street 1.TOWN. 1.TOWN. VIJAYAWADA ANP520001</t>
  </si>
  <si>
    <t>RAHEEM MOBILES "SHOP NO 14,SIDDIQIA MASJID COMPLEX" OPPOSITE MADHURIMA RESTAURANT OLD CHECKP OPPOSITE MADHURIMA RESTAURANT OLD CHECKP VIJAYAWADA ANP520007</t>
  </si>
  <si>
    <t>ELISHA WALLETS AND BAGS SHOP NO -35 BRUNDHAVAN COMPLEX GOVERNER PETA BRUNDHAVAN COMPLEX GOVERNER PETA VIJAYAWADA ANP520002</t>
  </si>
  <si>
    <t>SINGARENI.COLLIERIES.CO.LIMITED KASIPETA SOMAGUDEM.. SOMAGUDEM.. ADILABAD TNG504304</t>
  </si>
  <si>
    <t>360.DEGREE.CLOUD.TECHNOLOGIES SCO.11..SECOND.FLOOR ABOVE.CANARA.BANK..SECTOR...16.FARIDABAD ABOVE.CANARA.BANK..SECTOR...16.FARIDABAD FARIDABAD HAR121002</t>
  </si>
  <si>
    <t>BARCLAYS.GLOBAL.SERVICE.CENTRE.PVT.LTD KHARADI. PUNE...MAHARASHTRA.. PUNE...MAHARASHTRA.. PUNE MAH411014</t>
  </si>
  <si>
    <t>SCCL 1 100146 A 1 AMMA GARDENS AMMA GARDENS ADILABAD TNG504209</t>
  </si>
  <si>
    <t>HEXAGON.CAPABILITY.CENTER.INDIA.PVT.LTD Hyderabad Hitech.city Hitech.city HYDERABAD TNG500081</t>
  </si>
  <si>
    <t>INVASYSTEM 1B..NANO.SPACE.IT.PARK..5..2 Baner...Pashan.Link.Rd..Baner.. Baner...Pashan.Link.Rd..Baner.. PUNE MAH411045</t>
  </si>
  <si>
    <t>TVS CREDIT SERVICES LIMITED DOOR NO 15 3 54 2 ND FLOOR RANGAMPET RANGAMPET Warangal TNG506002</t>
  </si>
  <si>
    <t>COGNIZANT.TECH.SOLU.IND.PVT.LTD Cognizant.technology.solutions 12.A.building..Mindspace.Madhapur 12.A.building..Mindspace.Madhapur HYDERABAD TNG500081</t>
  </si>
  <si>
    <t>KSRM COLLEGE OF ENGINEERING KSRM ENGINEERING COLLEGE YERRAMASUPALLI YERRAMASUPALLI CUDDAPAH ANP516003</t>
  </si>
  <si>
    <t>GOVERNMENT OF TELANGANA NEAR GANDHI SCHOOL S T O CHANDUR SIRDEPALLY S T O CHANDUR SIRDEPALLY NALGONDA TNG508255</t>
  </si>
  <si>
    <t>VRL Logistics Ltd 23 1 911 RAJAGARI STREET MULAPET NELLORE NELLORE NELLORE NELLORE ANP524003</t>
  </si>
  <si>
    <t>SRI SRINIVASA ENTERPRISES 8-11-190 "JPN ROAD CHOWRASTHA,.  WARANGAL" "JPN ROAD CHOWRASTHA,.  WARANGAL" WARANGAL TNG506002</t>
  </si>
  <si>
    <t>LARSEN   TOUBRO INFOTECH LIMITED STPI CAMPUS WHITEFIELD WHITEFIELD BANGALORE KAR560066</t>
  </si>
  <si>
    <t>PANCHAYAT RAJ AND RURAL DEVELOPMENT RAJIV BHAVAN AVAPADU AVAPADU AVAPADU AVAPADU TADEPALLIGUDEM ANP534112</t>
  </si>
  <si>
    <t>SUVISION HOLDINGS PRIVATE LIMITED "NO.50,VINAY ARCADE" K.H ROAD K.H ROAD BANGALORE KAR560027</t>
  </si>
  <si>
    <t>Gireesh 4 Pathapattivari pallii Pathapattivari pallii TIRUPATHI ANP517102</t>
  </si>
  <si>
    <t>VET MEDICALS VET MEDICALS PW MARKET MG ROAD PW MARKET MG ROAD VIZIANAGARAM ANP535002</t>
  </si>
  <si>
    <t>BIRLA SOFT LTD "Level 15,16 tsi business parks" Wave rock project apiic it/ites Wave rock project apiic it/ites HYDERABAD TNG500008</t>
  </si>
  <si>
    <t>APSPDCL MITTAMIDAPALLI 1-74A RAJAMPET MITTAMIDAPALLI 1-74A RAJAMPET MITTAMIDAPALLI 1-74A RAJAMPET CUDDAPAH ANP516126</t>
  </si>
  <si>
    <t>Kvs.fast.foods 11.224.1 Acharla.colony Acharla.colony PRODDATUR ANP516360</t>
  </si>
  <si>
    <t>LALITHA.MEDICAL.DISTRIBUTIOR PALLAPU.VEEDHI.NEAR.SAIBABA.TEMPLE 1.99.VIRAWADA..SAI.BABA.TEMPLE. 1.99.VIRAWADA..SAI.BABA.TEMPLE. KAKINADA ANP533450</t>
  </si>
  <si>
    <t>SEED ORGANISER GADWAL JOGULAMBA GADWAL JOGULAMBA GADWAL ATMAKUR TNG509132</t>
  </si>
  <si>
    <t>NATIONAL INSTITUTE OF ANIMAL SURVEY NO 37 4 GOWALIDOODI AREA GOPANPALLY NEAR MYSAMMA TEMPLE ON MAIN GOPANPALLY NEAR MYSAMMA TEMPLE ON MAIN HYDERABAD ANP500032</t>
  </si>
  <si>
    <t>MOMS.REHAB.SOLUTIONS MOMS.REHAB.SOLUTIONS KALYANAM.VARI.STREET..BESIDE.POLICE.STAT KALYANAM.VARI.STREET..BESIDE.POLICE.STAT GUNTUR ANP522002</t>
  </si>
  <si>
    <t>SRI CHAITANYA EDUCATIONAL INSTITUTIOS 11 1 37 AGK BUILDING GANDHI ROAD GANDHI ROAD TIRUPATHI ANP517501</t>
  </si>
  <si>
    <t>CHAITANYA.PACKAGINGS.PVT.LTD ARANDALPET GUNTUR. GUNTUR. GUNTUR ANP522002</t>
  </si>
  <si>
    <t>ADITYA BIRLA SUN LIFE INSURANCE CO LTD 4TH FLOOR MAIFAIR COMPLEX  BEGUMPET MAIFAIR COMPLEX  BEGUMPET HYDERABAD TNG500003</t>
  </si>
  <si>
    <t>Oppo Mobiles India Pvt Ltd HNO 13 163 HUZUNAGAR  YADAV BAZER HUZUNAGAR  YADAV BAZER SURYAPET TNG508204</t>
  </si>
  <si>
    <t>OLD.SCHOOL NEAR.RAJAHAMSA.PARADISE...D.NO.13.2.170 RAM.CHANDR.NAGAR. RAM.CHANDR.NAGAR. ANAPARTHI ANP515001</t>
  </si>
  <si>
    <t>DEVI SRI TRAVELS PASARLAPUDI ESSAR PETROL BUNK ESSAR PETROL BUNK AMALAPURAM ANP533247</t>
  </si>
  <si>
    <t>DISTRICT AGRICULTURE OFFICE FIRST FLOOR COLLECTORATE COMPLEX   ADILABAD TNG505001</t>
  </si>
  <si>
    <t>COTELLIGENT SKY VIEW 20 UG RAIDURG RAIDURG HYDERABAD TNG500081</t>
  </si>
  <si>
    <t>FIRSTSOURCE SOLUTIONS LIMITED 4th campus 5a/b Rmz eco space internal road Rmz eco space internal road BANGALORE KAR560103</t>
  </si>
  <si>
    <t>JANGAREDDIGUDUM</t>
  </si>
  <si>
    <t>ICICI Bank Platinum Chip Credit Card</t>
  </si>
  <si>
    <t>Customer given address visit customer not available door locked, call not answer // Customer given address visit customer not available informed to husband, call not answer // Customer given address visit customer available trying to payment // Customer given address visit customer available trying to payment</t>
  </si>
  <si>
    <t>Visited Customer Residence Address Customer Not Available Inform To His Mother Sir // Visited Customer Residence Address Customer Not Available Inform To His Mother Customer Call Not Answering // Visited Customer Residence Customer Not Available Inform To His Mother Revisit Evening Sir // Visited Customer Residence Door locked Sir</t>
  </si>
  <si>
    <t>Customer shifted frm here // Met Customer Father in law Asking time to pay
Need to revisit on Monday // Customer Willing to pay by Today Eod // Cash pick up 4500 sir remaining amount 1 hr</t>
  </si>
  <si>
    <t>2ND J</t>
  </si>
  <si>
    <t>Customer visit home address not available meet her father talk to customer phone Present Job loss Financial problems ask the customer some time</t>
  </si>
  <si>
    <t>customer paymet on 5th date</t>
  </si>
  <si>
    <t>IMAM/GTR , 6302979798</t>
  </si>
  <si>
    <t>MANAIH/SANGAREDDY , 9440683493</t>
  </si>
  <si>
    <t>Customer shifted another address he staying karimnagar call answered he is have financial issues and he asking settlement // Customer staying in karimnagar customer met he is have financial issues and he asking settlement or 3months time</t>
  </si>
  <si>
    <t>Visited Customer Given Adress Customer Not Available Phone Call Answered Customer Given Commitment On 5th Sir</t>
  </si>
  <si>
    <t>CUSTOMER PTP on 6th</t>
  </si>
  <si>
    <t>ustomer paymet on 3days</t>
  </si>
  <si>
    <t>Cm paid nor amount sir.</t>
  </si>
  <si>
    <t>Customer visit office address meet customer Customer ask the Satelment due Health issue and funcial problem</t>
  </si>
  <si>
    <t>Customer Given House address visited but customer not available living at Hyderabad no one is there at home responded to phone call said that call back on 4/06/26</t>
  </si>
  <si>
    <t>Customer not available contact by phone he given ptp on 30th // Customer not . Contact by phone given ptp on monday sir . 
Visit with magbool basha. // Customer mother death sir . He told that if he adjusted amount today evening he will clear . Other wise he will pay with in 2 days.</t>
  </si>
  <si>
    <t>I have visited Customer Given house address Customer not available in home Customer staying &amp; doing job in Hyderabad Customer call answered given ptp on Thursday</t>
  </si>
  <si>
    <t>Customer live in address Present not avillable.call not responding Left message to his mother</t>
  </si>
  <si>
    <t>Cm home address visited live,but cm was in Banglore,cm mob still not lifting,now waiting for cm respond.. // Cm house live customer living in Hyderabad customer call not answering waiting for response</t>
  </si>
  <si>
    <t xml:space="preserve"> cm door locked sir and cm call not answering sir // cm door locked sir and cm call not answering sir // cm not available sir and cm call answered wants settlement sir</t>
  </si>
  <si>
    <t>Customer given address visit customer not available informed to relatives // ustomer given address visit customer not available , trying by call</t>
  </si>
  <si>
    <t xml:space="preserve"> have visited Customer Given house address Customer not available in home Found house locked Customer call answered Saying that we are in Hyderabad Customer given ptp by Sunday</t>
  </si>
  <si>
    <t>Custmor shifted  Hyderabad sir</t>
  </si>
  <si>
    <t>Custmor PTP  friday</t>
  </si>
  <si>
    <t>I have visited Customer Village address customer meet outside of his village Customer paid 40,000/-
Remaining amount given PTP by today eod</t>
  </si>
  <si>
    <t>Customer not available 
Customer phone PTP on 6th</t>
  </si>
  <si>
    <t>Cm is in leave will meet tomorrow sir.</t>
  </si>
  <si>
    <t>Customer address door locked</t>
  </si>
  <si>
    <t>Customer address visit ch not msg left to family call not answering sir // Customer address visit ch not msg left to family call  response ptp on 2hours // Customer address visit ch not msg left to family call  response ptp on 12pm // Waiting for customer home</t>
  </si>
  <si>
    <t>Visited cus adrs sir 
Cus went company 
Phone not allowed sir 
Cus not respond the call  
Inform to his family sir // No one available on that name in given address sir</t>
  </si>
  <si>
    <t>I have visited Customer given Working Street address Can't find Customer work address Enquired about Shop no Shop available in this area Customer call not answering // I have visited Customer given house address customer not available here Customer sold the house Before 3 yrs ago Customer present Staying in Hyderabad Towlichowki Customer call not answering</t>
  </si>
  <si>
    <t>:cm shift from here last 3 years sir and cm call not answered sir</t>
  </si>
  <si>
    <t>LO</t>
  </si>
  <si>
    <t xml:space="preserve">Customer given address skip customer shift to Kakinada Port location
Call not answering neighbours confirm sir // customer tracing address visit ch not available skip customer given address aslo skip need to kyc sir </t>
  </si>
  <si>
    <t>3RD J</t>
  </si>
  <si>
    <t>Customer not available at given address by phone call given PTP on 6th</t>
  </si>
  <si>
    <t xml:space="preserve"> Cmr given address visited customer present not available at the home in fom to is family members,s &amp; go to the 2 address sir</t>
  </si>
  <si>
    <t>Cmr given address visited customer address not found enquired with in this, area neighbour, s not available area with in the sir &amp; cmr call 
 Not answering 
   Ineed cmr photo &amp; kyc details iam waiting for cmr location sir</t>
  </si>
  <si>
    <t>4035625544284008</t>
  </si>
  <si>
    <t>4748469525259004</t>
  </si>
  <si>
    <t>4748464742584003</t>
  </si>
  <si>
    <t>4035625829849004</t>
  </si>
  <si>
    <t>4035625752459003</t>
  </si>
  <si>
    <t>5241932046525004</t>
  </si>
  <si>
    <t>4035625046164021</t>
  </si>
  <si>
    <t>4748469390401004</t>
  </si>
  <si>
    <t>4035625838039001</t>
  </si>
  <si>
    <t>4315813758139008</t>
  </si>
  <si>
    <t>4748464711956000</t>
  </si>
  <si>
    <t>4035625797223000</t>
  </si>
  <si>
    <t>5241939520950004</t>
  </si>
  <si>
    <t>4035625754932007</t>
  </si>
  <si>
    <t>5241933866214000</t>
  </si>
  <si>
    <t>MR RAYAVARAPU MOHAN</t>
  </si>
  <si>
    <t>MR VANEE KONASANI</t>
  </si>
  <si>
    <t>MR DOMMETI MANIKANTA SAI</t>
  </si>
  <si>
    <t>MR MODDUNAGALLA RAVINDRA</t>
  </si>
  <si>
    <t>MR PALA KUMAR</t>
  </si>
  <si>
    <t>MR. KANAKA RAJU LINGALA</t>
  </si>
  <si>
    <t>MR LINGAM BHUSHANAM</t>
  </si>
  <si>
    <t>MR GURRAM YADHARTHUDU</t>
  </si>
  <si>
    <t>MR BANDARU REDDY</t>
  </si>
  <si>
    <t>MR KALYANKAR RAVIKUMAR</t>
  </si>
  <si>
    <t>MR DHOOMPETTI SACHIN</t>
  </si>
  <si>
    <t>MR SHAIK BASHA</t>
  </si>
  <si>
    <t>MR RANAPRATHAP MUGALA</t>
  </si>
  <si>
    <t>MRS CHITYALA RAJAMANI</t>
  </si>
  <si>
    <t>MR DUPATI SUINIRAN GOUD</t>
  </si>
  <si>
    <t>9641999995</t>
  </si>
  <si>
    <t>9246666996</t>
  </si>
  <si>
    <t>9603979909</t>
  </si>
  <si>
    <t>9739959847</t>
  </si>
  <si>
    <t>8096640969</t>
  </si>
  <si>
    <t>9989234355</t>
  </si>
  <si>
    <t>9182425361</t>
  </si>
  <si>
    <t>9885208915</t>
  </si>
  <si>
    <t>9505379508</t>
  </si>
  <si>
    <t>9550885609</t>
  </si>
  <si>
    <t>9059107457</t>
  </si>
  <si>
    <t>9703542905</t>
  </si>
  <si>
    <t>7993803961</t>
  </si>
  <si>
    <t>9849687815</t>
  </si>
  <si>
    <t>9908017834</t>
  </si>
  <si>
    <t xml:space="preserve">"00,RAMAPURAM BC COLONY,.,DAMANCHERLA"    NELLORE ANP 524227 </t>
  </si>
  <si>
    <t xml:space="preserve">"2/123,SHREENAGAR COLONY," STATE BANK OF INDIA OLD ROAD   GANNAVARAM ANP 521101 </t>
  </si>
  <si>
    <t xml:space="preserve">1-62 DONTIKURRU DONTIKURRU MARIDAMMA GUDI AMALAPURAM ANP 533212 </t>
  </si>
  <si>
    <t xml:space="preserve">"2/32-B,MUCH MARRI,MUCHHU MARRI"    CUDDAPAH ANP 516444 </t>
  </si>
  <si>
    <t xml:space="preserve">"H NO,1-86 KOYYALAGUDEM MANDAL,MAINROAD," VEDANTHAPURAM   WEST GODAVARI ANP 534312 </t>
  </si>
  <si>
    <t xml:space="preserve">"27-2-160, PEDDANAPALLI, BELLAMPALLE" "PEDDANAPALLI, BELLAMPALLI" ADILABAD - ADILABAD TNG 504251 </t>
  </si>
  <si>
    <t xml:space="preserve">16-483 FLAT NO 405 PORANKI NIDAMANURU ROAD BLK-B SRI VENKATRAM AVENUE  OPP INDIAN OIL BUNK VIJAYAWADA ANP 521137 </t>
  </si>
  <si>
    <t xml:space="preserve">3-161-19-7-4 MADANAPALLE S B I COLONY CHITTOOR MADANAPALLE ANP 517325 </t>
  </si>
  <si>
    <t xml:space="preserve">"2-5,GADDAMPALLE,GADDAMPALLE,GADDAMPALLE"    MAHABUB NAGAR TNG 509385 </t>
  </si>
  <si>
    <t xml:space="preserve">"4 72,KURVAGADDA PALLY,ALWANPALLE GANGAPU" "R, MAHABUBNAGAR,JADCHERLA"  NEAR T SHIRT AHOP JEDCHERLA TNG 509301 </t>
  </si>
  <si>
    <t xml:space="preserve">2-98/1 KUBEER PARDI K PARDI K ADILABAD TNG 504103 </t>
  </si>
  <si>
    <t xml:space="preserve">"2-2,PENUMARRU NEAR SAI BABA,TEMPLE," "PENUMARRU POST,VEMURU"   GUNTUR ANP 522261 </t>
  </si>
  <si>
    <t xml:space="preserve">SUBHASHNAGAR 11-1-1682 NIZAMABAD NEAR SUBHASHNAGAR NIZAMABAD TNG 503002 </t>
  </si>
  <si>
    <t xml:space="preserve">"2-92/5 BURGUPALLY,BURGUPALLY,HAVELLIGHANPUR," MANDALAM BURUGUPALLE   MEDAK TNG 502113 </t>
  </si>
  <si>
    <t xml:space="preserve">"KACHARAM YADAGIRI GUTTA,MANDALAM,-,-,KACHARAM" - NALGONDA - NALGONDA TNG 508115 </t>
  </si>
  <si>
    <t xml:space="preserve">Not Applicable 2-123 Srinagar Colony Srinagar Colony KRISHNA ANP 521101 </t>
  </si>
  <si>
    <t xml:space="preserve">GOVERNMENT OF ANDHRA PRADESH S NO 172 SAVARAPPALEM VILLAGE SACHIVALAY M AMALAPURAM MANDAL WEST GODAVARI M AMALAPURAM MANDAL WEST GODAVARI AMALAPURAM ANP 533213 </t>
  </si>
  <si>
    <t xml:space="preserve">SHOPPERS STOP LTD. INORBIT MALL 2ND FLOOR SURVEY NO 64 HITECH CITY MADHAPUR CYBERABAD HITECH CITY MADHAPUR CYBERABAD Hyderabad TNG 500081 </t>
  </si>
  <si>
    <t xml:space="preserve">"FLATNO 405 BLOCK -BJ,VENKATARAM AVENUE," "PORANKI,NIDDAMANURU RD"   KRISHNA ANP 521137 </t>
  </si>
  <si>
    <t xml:space="preserve">RELIANCE SMSL LIMITED GROUND AND FRIST FLOUR N 14/2-5 PLOT N 3 SURVRY N 221 WARD N 14 CTM ROAD MADHANAP SURVRY N 221 WARD N 14 CTM ROAD MADHANAP MADANAPALLE ANP 517325 </t>
  </si>
  <si>
    <t xml:space="preserve">VISION R PHOTOGRAPHY RNGRAO THOTA   JEDCHERLA TNG 509301 </t>
  </si>
  <si>
    <t xml:space="preserve">YASH TECHNOLOGIES PRIVATE LIMITED "RAHEJA IT PARK ,BULDING 20,RABEJA MIND" "HUDA TECHNO ENCLAVE,HITEC CITY" "HUDA TECHNO ENCLAVE,HITEC CITY" HYDERABAD TNG 500081 </t>
  </si>
  <si>
    <t xml:space="preserve">MS R K GARO INDUSTRIES SY NO.22/F BICHKUNDA MENOOR DONGLI MANDA NIZAMABAD NIZAMABAD NIZAMABAD TNG 503309 </t>
  </si>
  <si>
    <t xml:space="preserve">FACTSET SYSTEM INDIA PVT LTD DIVYAJREE SEZ NSL ORION BLOCK NO 4 MADUVRA NAGAR COLONY GOCHIBOWLI MADUVRA NAGAR COLONY GOCHIBOWLI Rangareddy TNG 500032 </t>
  </si>
  <si>
    <t>ICICI Bank Instant  Platinum Chip Credit Card</t>
  </si>
  <si>
    <t>3RD JUNE</t>
  </si>
  <si>
    <t>customer given PTP on 2 nd // Customer not available.contact by phone he give ptp on 2nd // Customer out of station ptp Tommorow evening sir // Customer out of station ptp Tommorow evening sir</t>
  </si>
  <si>
    <t>Customer GIVEN address skip call not answering sir need to kyc sir @Samba Garu</t>
  </si>
  <si>
    <t>Customer given House address visited customer not available at given address shifted to another address going for working address // Customer given working address visited customer available given PTP today afternoon</t>
  </si>
  <si>
    <t>Customer not available at given address went outstation by phone call saying card not showing in app how can I pay clear me</t>
  </si>
  <si>
    <t>cm not available sir and cm call not answering sir contacted to they relatives present he was in Hyderabad sir</t>
  </si>
  <si>
    <t>Custmor go to feald PTP  tomorrow</t>
  </si>
  <si>
    <t>4375517693356000</t>
  </si>
  <si>
    <t>4501720817279002</t>
  </si>
  <si>
    <t>4501721389266005</t>
  </si>
  <si>
    <t>4501721423781001</t>
  </si>
  <si>
    <t>4501721454417004</t>
  </si>
  <si>
    <t>4501721854644009</t>
  </si>
  <si>
    <t>MR DINESH T REDDY</t>
  </si>
  <si>
    <t>MRS SANGALA MANJULA</t>
  </si>
  <si>
    <t>MS K UMAMAHESWARI</t>
  </si>
  <si>
    <t>Mr YANAMADALAVSSUBBA RAO   Y</t>
  </si>
  <si>
    <t>Mr NARABOINA SRISAILAM</t>
  </si>
  <si>
    <t>MR YENUGULA REDDY</t>
  </si>
  <si>
    <t>7026464703</t>
  </si>
  <si>
    <t>7337597481</t>
  </si>
  <si>
    <t>9113975915</t>
  </si>
  <si>
    <t>9900893753</t>
  </si>
  <si>
    <t>9951932983</t>
  </si>
  <si>
    <t>8555804733</t>
  </si>
  <si>
    <t xml:space="preserve">"26/3/,270,C/O T. Nagi Reddy" ",Vijaya Nagar Colony" Melapuram Near Choudeswari Silks HINDUPUR ANP 515201 </t>
  </si>
  <si>
    <t xml:space="preserve">"DOOR,NO 13-3-558 KHAJA NAGAR,."    ANANTAPUR ANP 515001 </t>
  </si>
  <si>
    <t xml:space="preserve">"D/O K,MURALI 15-438 AM PUTTUR,ISUKA," "DIBBA SRIKALAHASTI,CHITTOOR," ANDHRAPRADESH 517640  CHITTOOR ANP 517640 </t>
  </si>
  <si>
    <t xml:space="preserve">"4-15,PALLERIAMUDI,KRISHNA"    VIJAYAWADA ANP 521105 </t>
  </si>
  <si>
    <t xml:space="preserve">"10-49,VENKATAPURAM,CHITYALA,CHITYALA,CHITYALA"    NALGONDA TNG 508114 </t>
  </si>
  <si>
    <t xml:space="preserve">"1/13,MITTA PALLE MITTA PALLE,ANIMELA," "CUDDAPAH,CUDDAPAH"   CUDDAPAH ANP 516321 </t>
  </si>
  <si>
    <t>CAPGEMINI TECHNOLOGY SERVICES I LTD B3 YOSEMITE AIROLI SEZ 1ST FLOOR AIROLI WEST AIROLI WEST MUMBAI MAH 400708</t>
  </si>
  <si>
    <t>CHOLA PEOPLE AND MARKETING SER Nil Nil Nil ANANTAPUR ANP 515001</t>
  </si>
  <si>
    <t>CAPGEMINI TECHNOLOGY SERVICES Nill Nill Nill TIRUPATHI ANP 517640</t>
  </si>
  <si>
    <t>Not Applicable 4-15 Palleriamudi Palleriamudi VIJAYAWADA ANP 521105</t>
  </si>
  <si>
    <t>"Heritage Foods (india) ltd.," chityala narketapally narketapally NALGONDA TNG 508278</t>
  </si>
  <si>
    <t>VALUE LABS Na Na Na PRODDATUR ANP 516321</t>
  </si>
  <si>
    <t>Manchester United Signature Credit Card by ICICI Bank</t>
  </si>
  <si>
    <t>:cm not available sir and at present he was in Bangalore cm call not answered sir</t>
  </si>
  <si>
    <t>ustomer given address visit customer not available door locked, call not answer</t>
  </si>
  <si>
    <t>Customer given address shift neighbour enquiry customer shift to pitapuram 
Customer call response ptp on Saturday sir</t>
  </si>
  <si>
    <t>Customer given address visit customer not available informed to mother, call not answer // Customer given address visit customer not available informed to mother, call not answer</t>
  </si>
  <si>
    <t>Customer given address visit address not found, call not answer // Customer given address visit address not found trying by call</t>
  </si>
  <si>
    <t>4TH J</t>
  </si>
  <si>
    <t>USTOMER QUITE JOB IN THIS HOSPITAL SIR.HOSPITAL STAFF TOLD</t>
  </si>
  <si>
    <t>Visited Customer Residence Address Customer Live Given Commitment Tommorow Sir</t>
  </si>
  <si>
    <t>Customer given House address visited customer live at home customer RTP Response not ready to pay Bill payment // Customer given House address visited discussed about payment said that call back afternoon 1:00 pm // Customer given working address visited waiting for customer // Customer given House address visited  waiting for payment</t>
  </si>
  <si>
    <t>customer paymet on 10date</t>
  </si>
  <si>
    <t>CUSTOMER ADDRESS SKIP NEED TO KYC sir call not working sir // Customer 2nd address visit ch not available skip address need to kyc sir @Samba Garu</t>
  </si>
  <si>
    <t>Visited Customer Residence Customer Live Customer Given Commitment Tommorow Sir</t>
  </si>
  <si>
    <t>Visited Customer Residence Address 
Customer Not Available Call Not Answering Sir</t>
  </si>
  <si>
    <t>Customer Adress visit and customer prasent in office valigonda and customer call Answer and customer not intrested to paid, Customer Limit decreased so Customer asked settlement</t>
  </si>
  <si>
    <t>SIR CUSTOMER MOTHER TELLING HE IS IN MANIPUR.NEW MOBILE NUMBER WE DON'T KNOW</t>
  </si>
  <si>
    <t>Customer address not found phone number switch off need Kyc</t>
  </si>
  <si>
    <t>Customer address not found need kyc details sir</t>
  </si>
  <si>
    <t>CUSTOMER given address customer owne House 1year customer house sale shift 
3rd Street office // CUSTOMER office address visit ch left to one month back shop owner say customer used shop money  3lak aslo customer not come to office call aslo not answering sir // CUSTOMER tracing address gas bill  address visit ch not available skip call not answering sir</t>
  </si>
  <si>
    <t>RAVI/MAHBOOBNAGAR , 7842719686</t>
  </si>
  <si>
    <t>Customer address visited and Customer shifted in adrees Call not answering // Customer working address  visited and Customer transfer to Siddipet call not answering // Customer office address visited sir his not available phone call not responding inform to  colleague s. waiting for customer // Customer office address visited sir  meet him given payment commitment tomorrow  ofternoon</t>
  </si>
  <si>
    <t>cm shifted from here sir and cm call not answering sir</t>
  </si>
  <si>
    <t>Customer shift to London 
Call not working sir neighbour enquiry customer shift to London sir // Customer address door lock customer in our office country call not answering sir // Customer PAID sir</t>
  </si>
  <si>
    <t>Visit near customer house . Customer not available at house going near his office sir 
Visit with magbool basha // Meet with customer he refused to pay because of his family members health issu . We r wating to make payment sir 
But customer told that if he possible to make payment it will pay by today evening. Sir</t>
  </si>
  <si>
    <t>Customer address not found there is no village or area name need kyc call not answering</t>
  </si>
  <si>
    <t>ustomer not available phone not anasring</t>
  </si>
  <si>
    <t>customer giving house address visit ch out off cuntry information parents ptp 7/6</t>
  </si>
  <si>
    <t>customer office address visited cs not available phone not answering</t>
  </si>
  <si>
    <t>5TH J</t>
  </si>
  <si>
    <t>Customer shifted to another address and calls not connecting need kyc // Customer working address visited at reliance smsl pvt ltd and waiting for customer details need KYC // Customer kyc address visited and here his mother trailer shop his mother told he is in Hyderabad we don't have any contact to him</t>
  </si>
  <si>
    <t>Visited Customer Office Adress Customer Not Working Confirm to His Boss Sir // Visited Customer Residence Waiting for Customer Sir</t>
  </si>
  <si>
    <t>4035621893725006</t>
  </si>
  <si>
    <t>4035620652549003</t>
  </si>
  <si>
    <t>4315812383294006</t>
  </si>
  <si>
    <t>5253010004779015</t>
  </si>
  <si>
    <t>4375519777668003</t>
  </si>
  <si>
    <t>4035620651602001</t>
  </si>
  <si>
    <t>4035621179411008</t>
  </si>
  <si>
    <t>4035620713355002</t>
  </si>
  <si>
    <t>4035621411325008</t>
  </si>
  <si>
    <t>4035621434489005</t>
  </si>
  <si>
    <t>4035620888721004</t>
  </si>
  <si>
    <t>4375518197883002</t>
  </si>
  <si>
    <t>4035621534911007</t>
  </si>
  <si>
    <t>4035621351053008</t>
  </si>
  <si>
    <t>4035620574528002</t>
  </si>
  <si>
    <t>4035621151911009</t>
  </si>
  <si>
    <t>4035621365246002</t>
  </si>
  <si>
    <t>4035620890827005</t>
  </si>
  <si>
    <t>4035620582099004</t>
  </si>
  <si>
    <t>4035621425943002</t>
  </si>
  <si>
    <t>4035620860517008</t>
  </si>
  <si>
    <t>4035620485355008</t>
  </si>
  <si>
    <t>4035621396136008</t>
  </si>
  <si>
    <t>4035621264708003</t>
  </si>
  <si>
    <t>4035620776002004</t>
  </si>
  <si>
    <t>4748469872155003</t>
  </si>
  <si>
    <t>4035620660693009</t>
  </si>
  <si>
    <t>4375517540142009</t>
  </si>
  <si>
    <t>4035621042664007</t>
  </si>
  <si>
    <t>4035620434721003</t>
  </si>
  <si>
    <t>4035620787319009</t>
  </si>
  <si>
    <t>4035621674259001</t>
  </si>
  <si>
    <t>4035621082877006</t>
  </si>
  <si>
    <t>4035621545180006</t>
  </si>
  <si>
    <t>4035621212306009</t>
  </si>
  <si>
    <t>4315812243110012</t>
  </si>
  <si>
    <t>5241939787430005</t>
  </si>
  <si>
    <t>5241939387019000</t>
  </si>
  <si>
    <t>4748467765154018</t>
  </si>
  <si>
    <t>4035621356181002</t>
  </si>
  <si>
    <t>4035620584661009</t>
  </si>
  <si>
    <t>4200490045247015</t>
  </si>
  <si>
    <t>4035620089443010</t>
  </si>
  <si>
    <t>4035620252467002</t>
  </si>
  <si>
    <t>4035620307346003</t>
  </si>
  <si>
    <t>4035620516770019</t>
  </si>
  <si>
    <t>4035620551834001</t>
  </si>
  <si>
    <t>4035620719591006</t>
  </si>
  <si>
    <t>4035620831835000</t>
  </si>
  <si>
    <t>4035620871144008</t>
  </si>
  <si>
    <t>4035620937492003</t>
  </si>
  <si>
    <t>4035620961051006</t>
  </si>
  <si>
    <t>4035621136497009</t>
  </si>
  <si>
    <t>4035621284272006</t>
  </si>
  <si>
    <t>4035621360800001</t>
  </si>
  <si>
    <t>4035621408103004</t>
  </si>
  <si>
    <t>4035621545900007</t>
  </si>
  <si>
    <t>4035621562144000</t>
  </si>
  <si>
    <t>4035621675077006</t>
  </si>
  <si>
    <t>4035621788601007</t>
  </si>
  <si>
    <t>4035621828585004</t>
  </si>
  <si>
    <t>4035622088665007</t>
  </si>
  <si>
    <t>4035622100105008</t>
  </si>
  <si>
    <t>4102020158209004</t>
  </si>
  <si>
    <t>4102020446256007</t>
  </si>
  <si>
    <t>4102020455544004</t>
  </si>
  <si>
    <t>4102020455850005</t>
  </si>
  <si>
    <t>4102021090676003</t>
  </si>
  <si>
    <t>4102021108338000</t>
  </si>
  <si>
    <t>4102021153333005</t>
  </si>
  <si>
    <t>4102021165550000</t>
  </si>
  <si>
    <t>4102021184412000</t>
  </si>
  <si>
    <t>4102021192315005</t>
  </si>
  <si>
    <t>4102021230753001</t>
  </si>
  <si>
    <t>4102021251826009</t>
  </si>
  <si>
    <t>4315810015328044</t>
  </si>
  <si>
    <t>4315812800243016</t>
  </si>
  <si>
    <t>4375517555488008</t>
  </si>
  <si>
    <t>4748467721594000</t>
  </si>
  <si>
    <t>4748467748551017</t>
  </si>
  <si>
    <t>4035622656654003</t>
  </si>
  <si>
    <t>4035622735093009</t>
  </si>
  <si>
    <t>4035622876657000</t>
  </si>
  <si>
    <t>4035622967174006</t>
  </si>
  <si>
    <t>4035623185690013</t>
  </si>
  <si>
    <t>4035623402069009</t>
  </si>
  <si>
    <t>4035627476686002</t>
  </si>
  <si>
    <t>4315811574938017</t>
  </si>
  <si>
    <t>4315812550573000</t>
  </si>
  <si>
    <t>4315815102113001</t>
  </si>
  <si>
    <t>4315815430682008</t>
  </si>
  <si>
    <t>4375513125212002</t>
  </si>
  <si>
    <t>4375513602647001</t>
  </si>
  <si>
    <t>4748468039270002</t>
  </si>
  <si>
    <t>4748469493623009</t>
  </si>
  <si>
    <t>5241936601809000</t>
  </si>
  <si>
    <t>4315814549135008</t>
  </si>
  <si>
    <t>Mr GHATTEM YESU</t>
  </si>
  <si>
    <t>MR DEVARA NAVEEN</t>
  </si>
  <si>
    <t>MR Molla Faruk</t>
  </si>
  <si>
    <t>MR SEGIREDDY SAI PRANEETH REDDY</t>
  </si>
  <si>
    <t>MR KUMMARI SAI PRAKASH</t>
  </si>
  <si>
    <t>MR DEVATA CHARAN TEJA</t>
  </si>
  <si>
    <t>MR KUMMARI SRIHARI</t>
  </si>
  <si>
    <t>MR KODADHALA MALLESH</t>
  </si>
  <si>
    <t>Mr SURENDRA SINGH</t>
  </si>
  <si>
    <t>MR MANNEPALLI VAMSI</t>
  </si>
  <si>
    <t>Mr ARURIRAJASHEKAR</t>
  </si>
  <si>
    <t>MR GUDAVA VINOD KUMAR</t>
  </si>
  <si>
    <t>MR SYED QUADRI</t>
  </si>
  <si>
    <t>MRS P NAVEENA</t>
  </si>
  <si>
    <t>MR KARRE BHASKAR</t>
  </si>
  <si>
    <t>MR DASAGANI NARASIMHAR</t>
  </si>
  <si>
    <t>Mr CHIGULLAPALLY  RENUKA</t>
  </si>
  <si>
    <t>MR RATHOD JAIPAL</t>
  </si>
  <si>
    <t>MS EMMADISETTY HARIKA</t>
  </si>
  <si>
    <t>MR NANDINI DHANAVATHU</t>
  </si>
  <si>
    <t>MR RANGANADHAM PAVAN KUMAR</t>
  </si>
  <si>
    <t>MR P BHARATH REDDY</t>
  </si>
  <si>
    <t>MR VUNNAM KUMAR</t>
  </si>
  <si>
    <t>MR NAGISETTI MAHESH</t>
  </si>
  <si>
    <t>MR VUPPU HEMA SUDHEER</t>
  </si>
  <si>
    <t>MS Karri Kanakadurga</t>
  </si>
  <si>
    <t>MR SEETHAKA MANOHAR</t>
  </si>
  <si>
    <t>MR ADAVIKATLA SURESH</t>
  </si>
  <si>
    <t>MR KASTURI SRINIVAS</t>
  </si>
  <si>
    <t>MR BABBULA SRIRAM</t>
  </si>
  <si>
    <t>MS ELISETTY ARUNASRI</t>
  </si>
  <si>
    <t>MR GUNDEBOYINA NARENDER</t>
  </si>
  <si>
    <t>MR NIKHIL GURIMILLA</t>
  </si>
  <si>
    <t>MR P YOGESH</t>
  </si>
  <si>
    <t>MR SHAIK ABDUL RAVOOF</t>
  </si>
  <si>
    <t>MR GUDAVALLI VENKATA SAI</t>
  </si>
  <si>
    <t>MS ADDULA DIVYA</t>
  </si>
  <si>
    <t>MR MODALA ABHIRAM</t>
  </si>
  <si>
    <t>MR MANGILAL JATOTHU</t>
  </si>
  <si>
    <t>MR GUGULOTH RAJENDER NAIK</t>
  </si>
  <si>
    <t>MR POOSKURI KUMARASWAMY</t>
  </si>
  <si>
    <t>Ms. NEELAPALA  DHANANJANEYULU</t>
  </si>
  <si>
    <t>Mr T SAI PRUDVI RAJ</t>
  </si>
  <si>
    <t>MR BRAMHAIAH RAMESH</t>
  </si>
  <si>
    <t>MR NIMMALAPUDI PRADEEP CHOWDARY</t>
  </si>
  <si>
    <t>MR GODISELA SURYA VAMSHI</t>
  </si>
  <si>
    <t>Mr VENNAPUSA PARAMESWARA RED</t>
  </si>
  <si>
    <t>MR PITTA VENKATARAO</t>
  </si>
  <si>
    <t>MR BADRAIAH PABBA</t>
  </si>
  <si>
    <t>MS JULATHOTA SUJATHAMMA</t>
  </si>
  <si>
    <t>MR KATTA RADHAKRISHNA</t>
  </si>
  <si>
    <t>MR GADI NAVEENKUMAR</t>
  </si>
  <si>
    <t>MR BOMMEDA RANJITH</t>
  </si>
  <si>
    <t>MR RATHOD CHANDULAL</t>
  </si>
  <si>
    <t>MR CHINTA LIMBADRI</t>
  </si>
  <si>
    <t>MR VUTHURI RAJU</t>
  </si>
  <si>
    <t>MR LACHIRAM RAMAVATH</t>
  </si>
  <si>
    <t>MRS SHAIK BEGUM</t>
  </si>
  <si>
    <t>MR DANDUBOINA SATISH</t>
  </si>
  <si>
    <t>MR PURINI SAI KISHORE</t>
  </si>
  <si>
    <t>MR MACHERLA BIKSHAPATHI</t>
  </si>
  <si>
    <t>MR EDUGURALA  EDUGURALA SRINIVAS</t>
  </si>
  <si>
    <t>MS SINGARAM SAIPRIYA</t>
  </si>
  <si>
    <t>MR DANTHULURI REVATHI</t>
  </si>
  <si>
    <t>MR VEMULA THIRUMALESH</t>
  </si>
  <si>
    <t>Ms. YALLA  BALAIAH</t>
  </si>
  <si>
    <t>Ms. MANCHALA  MADAN</t>
  </si>
  <si>
    <t>Ms. CHALIVENDRAM PRASAD</t>
  </si>
  <si>
    <t>Ms. RAJASEKHAR NANNURU</t>
  </si>
  <si>
    <t>MR VELANGI ARAVINDHA SWAMY</t>
  </si>
  <si>
    <t>MR RUDRARAJU VEERAVENKATA SATYANA</t>
  </si>
  <si>
    <t>MR TIRUMANI SURYA PRAKASH</t>
  </si>
  <si>
    <t>Ms. VEERA SURADA VEERA VENKATA SATYA NAR</t>
  </si>
  <si>
    <t>Ms. BOMMINENI SUBBARAO</t>
  </si>
  <si>
    <t>MR MEDABALIMI KUMAR</t>
  </si>
  <si>
    <t>Mr VERAVALLI K CHAKRAVARTHI</t>
  </si>
  <si>
    <t>MR Reddy Sai Teja</t>
  </si>
  <si>
    <t>MS JHANSI PRIYA GARIKINA</t>
  </si>
  <si>
    <t>MR PENUBAKULA PRASAD</t>
  </si>
  <si>
    <t>MR BUNNI RAJENDER</t>
  </si>
  <si>
    <t>MR MAHAMMAD HANEEF</t>
  </si>
  <si>
    <t>MR PALEPU GAGAN</t>
  </si>
  <si>
    <t>MR SINGAVARAPU SRINIVAS</t>
  </si>
  <si>
    <t>MR VAMSI JATLA</t>
  </si>
  <si>
    <t>MR KUNCHAPOLLA KRISHNAIAH</t>
  </si>
  <si>
    <t>MR PEDDI SAI CHAND</t>
  </si>
  <si>
    <t>MR PUDARI SRAVAN KUMAR</t>
  </si>
  <si>
    <t>MR MADDI KUMARASWAMY</t>
  </si>
  <si>
    <t>MR Vanaparthi Veerachary</t>
  </si>
  <si>
    <t>MR Magudeeswaran Subramani</t>
  </si>
  <si>
    <t>MR MEDICHARLA MANIKANTA</t>
  </si>
  <si>
    <t>MR ERUGU YELLAIAH</t>
  </si>
  <si>
    <t>MR KRISHNA PODILA</t>
  </si>
  <si>
    <t>MR G NAGARAJU</t>
  </si>
  <si>
    <t>MR KURAGANTI MANOHAR</t>
  </si>
  <si>
    <t>MR THIRUMALA SANDEEP MUNTHA</t>
  </si>
  <si>
    <t>MR SHAIK CHANBASHA</t>
  </si>
  <si>
    <t>9603920144</t>
  </si>
  <si>
    <t>7032340930</t>
  </si>
  <si>
    <t>9963232623</t>
  </si>
  <si>
    <t>9963274760</t>
  </si>
  <si>
    <t>9298608070</t>
  </si>
  <si>
    <t>7660098846</t>
  </si>
  <si>
    <t>8106710396</t>
  </si>
  <si>
    <t>8465820097</t>
  </si>
  <si>
    <t>8855907773</t>
  </si>
  <si>
    <t>7995580281</t>
  </si>
  <si>
    <t>9701172750</t>
  </si>
  <si>
    <t>9959494096</t>
  </si>
  <si>
    <t>8501031167</t>
  </si>
  <si>
    <t>9052574150</t>
  </si>
  <si>
    <t>8374471027</t>
  </si>
  <si>
    <t>9493331433</t>
  </si>
  <si>
    <t>6304760529</t>
  </si>
  <si>
    <t>9676218854</t>
  </si>
  <si>
    <t>9333888143</t>
  </si>
  <si>
    <t>9390585418</t>
  </si>
  <si>
    <t>8639909101</t>
  </si>
  <si>
    <t>7032068885</t>
  </si>
  <si>
    <t>9491060853</t>
  </si>
  <si>
    <t>9959293174</t>
  </si>
  <si>
    <t>9704944112</t>
  </si>
  <si>
    <t>9948778927</t>
  </si>
  <si>
    <t>7993505653</t>
  </si>
  <si>
    <t>9393946633</t>
  </si>
  <si>
    <t>9848613052</t>
  </si>
  <si>
    <t>7680061898</t>
  </si>
  <si>
    <t>7993508235</t>
  </si>
  <si>
    <t>9000206057</t>
  </si>
  <si>
    <t>9705665444</t>
  </si>
  <si>
    <t>9886500646</t>
  </si>
  <si>
    <t>9559449551</t>
  </si>
  <si>
    <t>9912674939</t>
  </si>
  <si>
    <t>7989034070</t>
  </si>
  <si>
    <t>7013295077</t>
  </si>
  <si>
    <t>9949286794</t>
  </si>
  <si>
    <t>9866351508</t>
  </si>
  <si>
    <t>9581879449</t>
  </si>
  <si>
    <t>9059996585</t>
  </si>
  <si>
    <t>9550999109</t>
  </si>
  <si>
    <t>9703418143</t>
  </si>
  <si>
    <t>9515439312</t>
  </si>
  <si>
    <t>9182299093</t>
  </si>
  <si>
    <t>8008667717</t>
  </si>
  <si>
    <t>9908281860</t>
  </si>
  <si>
    <t>9703947166</t>
  </si>
  <si>
    <t>9618355305</t>
  </si>
  <si>
    <t>8074924369</t>
  </si>
  <si>
    <t>9089474468</t>
  </si>
  <si>
    <t>7893590574</t>
  </si>
  <si>
    <t>9177440557</t>
  </si>
  <si>
    <t>9603921104</t>
  </si>
  <si>
    <t>9966069666</t>
  </si>
  <si>
    <t>9390562596</t>
  </si>
  <si>
    <t>9177987029</t>
  </si>
  <si>
    <t>7995198678</t>
  </si>
  <si>
    <t>8790978796</t>
  </si>
  <si>
    <t>8555072268</t>
  </si>
  <si>
    <t>9059344151</t>
  </si>
  <si>
    <t>7396544104</t>
  </si>
  <si>
    <t>9949711566</t>
  </si>
  <si>
    <t>9885400916</t>
  </si>
  <si>
    <t>7013838685</t>
  </si>
  <si>
    <t>9490032926</t>
  </si>
  <si>
    <t>8143225801</t>
  </si>
  <si>
    <t>9440155064</t>
  </si>
  <si>
    <t>7036617785</t>
  </si>
  <si>
    <t>9959229666</t>
  </si>
  <si>
    <t>9777699999</t>
  </si>
  <si>
    <t>8639692425</t>
  </si>
  <si>
    <t>8142116111</t>
  </si>
  <si>
    <t>7893376375</t>
  </si>
  <si>
    <t>9963839302</t>
  </si>
  <si>
    <t>8464936408</t>
  </si>
  <si>
    <t>9666159781</t>
  </si>
  <si>
    <t>9398769196</t>
  </si>
  <si>
    <t>9866178887</t>
  </si>
  <si>
    <t>9966783476</t>
  </si>
  <si>
    <t>9494827616</t>
  </si>
  <si>
    <t>9959240344</t>
  </si>
  <si>
    <t>9550825678</t>
  </si>
  <si>
    <t>9848775458</t>
  </si>
  <si>
    <t>8008038984</t>
  </si>
  <si>
    <t>9849629380</t>
  </si>
  <si>
    <t>9849402557</t>
  </si>
  <si>
    <t>9542514241</t>
  </si>
  <si>
    <t>6374805657</t>
  </si>
  <si>
    <t>7287956493</t>
  </si>
  <si>
    <t>9912271520</t>
  </si>
  <si>
    <t>9701577454</t>
  </si>
  <si>
    <t>9844185539</t>
  </si>
  <si>
    <t>6304534895</t>
  </si>
  <si>
    <t>7799270073</t>
  </si>
  <si>
    <t>8500857453</t>
  </si>
  <si>
    <t xml:space="preserve">"5-209,ETIPORA PERUPALEM NORTH,MOGALTUR," "MANDALAM,PERUPALEM"   BHIMAVARAM ANP 534281 </t>
  </si>
  <si>
    <t xml:space="preserve">"1-174,SUNKU LAMMA PALEM SUNKU,LAMMA," "PALEM,,TADPATRI,. ANANTAPUR" ANDHRAPRADESH NR DURGA MATA TEMPLE ANANTAPUR ANP 515411 </t>
  </si>
  <si>
    <t xml:space="preserve">1-162 vempenta vempenta Kurnool KURNOOL ANP 518533 </t>
  </si>
  <si>
    <t xml:space="preserve">"H.NO 1-286 KALLURU MANDAL," "PANCHAYATHI OFFICE LINE BACKSIDE," KHAMMAM DISTIC. OPP. SOWMYA MEDICAL SHOP KHAMMAM TNG 507209 </t>
  </si>
  <si>
    <t xml:space="preserve">HNO 6-89 PULMAMIDI UTKOOR MANDAL  NEAR HANUMAN MANDIR WANAPARTHY TNG 509353 </t>
  </si>
  <si>
    <t xml:space="preserve">DOOR NON 85 1 90 GT ROAD LAKSHMI NARAYANA APARTMENTS LAKSHMI NARAYANA PURAM MEDICAL CLUB NEAR MAIN ROAD GUNTUR ANP 522004 </t>
  </si>
  <si>
    <t xml:space="preserve">"3-60,KUCHCHERKAL,KUCHERKAL,KUCHCHERKAL"    MAHABUB NAGAR TNG 509202 </t>
  </si>
  <si>
    <t xml:space="preserve">2 130 1 MUSHAMPALLY NALGONDA NALGONDA  NALGONDA TNG 508247 </t>
  </si>
  <si>
    <t xml:space="preserve">"P NO,1 VALIGONDA ROAD,CHOUTUPPAL OPP MS," GLASS WORKS   NALGONDA TNG 508252 </t>
  </si>
  <si>
    <t xml:space="preserve">"11/699,KATARI PALEM,A CSUBBAREDDYRD," NEAR SIRI CINIMAHALL  MAIN ROAD NELLORE ANP 524001 </t>
  </si>
  <si>
    <t xml:space="preserve">"1-10-12 SC COLONY,GHANPUR,STATION," "MANDAL NASHKAL,."   WARANGAL TNG 506144 </t>
  </si>
  <si>
    <t xml:space="preserve">"4-67,PEDA PALLI,PUTTAPARTHI,ANANTHAPUR"  ANANTAPUR - ANANTAPUR ANP 515231 </t>
  </si>
  <si>
    <t xml:space="preserve">"16-1-119 KHADAPURA,STREET,KHUBSURAT MASJID," "BACK SIDE,KURNOOL"   KURNOOL ANP 518001 </t>
  </si>
  <si>
    <t xml:space="preserve">TIRUPATI SIVAGANGANAR2 AVILALA Chittoor TRU ANP 517507 </t>
  </si>
  <si>
    <t xml:space="preserve">"6-17,MANDAL NARMETTA,TARIGIPPULA," "THARIGOPPULA,WARANGAL 506224 TG"  OPP MARAKADAYA TEMPLE WARANGAL TNG 506224 </t>
  </si>
  <si>
    <t xml:space="preserve">5 7 MOTAPURAM MOTAPURAM ENLAKONDAPLLI KONDAPALLI  KHAMMAM TNG 507160 </t>
  </si>
  <si>
    <t xml:space="preserve">"4 4,68 BRAHMANWADI,MAHABUBNAGAR"    NALGONDA TNG 509001 </t>
  </si>
  <si>
    <t xml:space="preserve">"1-38,LAL TEKIDI LAL TEKIDI,WALGANDA,.,.," ".,."  ADILABAD ADILABAD TNG 504346 </t>
  </si>
  <si>
    <t xml:space="preserve">"000,MAIN ROAD RUMMADIVARAM,PULLALACHERUV" "U,,PULLALACHERUVU"  NEAR BY TEMPLE NANDYAL ANP 523328 </t>
  </si>
  <si>
    <t xml:space="preserve">1-3 "RA 0001,MIRYALAGUDA RAVINDRA NAGAR" OPP DURGA PRASAD HOUSE NEAR GREEN CITY SURYAPET TNG 508207 </t>
  </si>
  <si>
    <t xml:space="preserve">KK COLONY KK COLONY BUJA BUJA NELLORE RURAL  NELLORE ANP 524004 </t>
  </si>
  <si>
    <t xml:space="preserve">H.NO 9-193 BIJINAPALLY MANDAL RAM NAGAR COLONY MAHBUBNAGAR WANAPARTHY TNG 509203 </t>
  </si>
  <si>
    <t xml:space="preserve">761114623113 BRUNDAVAN NAGAR KALLURU KALLUR   KURNOOL ANP 518003 </t>
  </si>
  <si>
    <t xml:space="preserve">"1-4,KASUKARRU KASUKARRU,.,CHINTALAPUDI,." ",PONNUR"  NEAR TEMPLE GUNTUR ANP 522124 </t>
  </si>
  <si>
    <t xml:space="preserve">"flat,,no 410" white house apartment kundula road Guntur  GUNTUR ANP 522006 </t>
  </si>
  <si>
    <t xml:space="preserve">"PANASAPADU GRAMA PANCHAYAT,NEAR CANARA BANK,B" "OLD S NO 240/1,NEW S NO 244/3,KUMARA VEEDHI"  PanasapaduEast Godavari KKN ANP 533005 </t>
  </si>
  <si>
    <t xml:space="preserve">"EGUVA AMILEPALLI,GURRAMKONDA MANDAL," AMILEPALLE  . TIRUPATHI ANP 517291 </t>
  </si>
  <si>
    <t xml:space="preserve">F 35 ACOLONY PALWANCHA NR BABA TEMPLE KHAMMAM ANP 507115 </t>
  </si>
  <si>
    <t xml:space="preserve">6-6-230 PADMANAGEAR JAGITIAL NEAR PADMANAGEAR KARIMNAGAR TNG 505327 </t>
  </si>
  <si>
    <t xml:space="preserve">NO 3 13 NARMATTA MANDAL NARSAPUR  NEAR WATER TANK WARANGAL TNG 506224 </t>
  </si>
  <si>
    <t xml:space="preserve">350 SUBBI REDDI GARI PALLI SARIMADUGU GURRAMKONDA MANDALAM CHITTOOR NEAR WATER TANK TIRUPATHI ANP 517297 </t>
  </si>
  <si>
    <t xml:space="preserve">KALVA PALLY MIRYALAGUDA NALGONDA GOVT SCHOOL SURYAPET TNG 508207 </t>
  </si>
  <si>
    <t xml:space="preserve">"1-24/B,MUDDUNOOR,DUGGONDI" "MANDAL,NEAR GOVT PRIMARY SCHOOL"   WARANGAL TNG 506349 </t>
  </si>
  <si>
    <t xml:space="preserve">"7-47,BALIJA STREET BALIJA,STREET,.,PILER" "U,"  NEAR PERUMAL TEMPLE TIRUPATHI ANP 517214 </t>
  </si>
  <si>
    <t xml:space="preserve">1-23 NABBINAGARAM NABBINAGARAM RAMALAYAM DAGGARA GUDUR ANP 524322 </t>
  </si>
  <si>
    <t xml:space="preserve">"14-39-21,,Tenali MATAM BAZAR," MORRIESPETA TENALI Tenali   TETALI ANP 522201 </t>
  </si>
  <si>
    <t xml:space="preserve">"5-74/B LINGAMPET KODGAL,STN JADCHARLA," JADCHARLA   MAHABUB NAGAR TNG 509301 </t>
  </si>
  <si>
    <t xml:space="preserve">"42-70/A SAI NAGAR COLONY,NEAR,RAMALAYAM," ",WANAPARTHY"  RAMALAYAM WANAPARTHY TNG 509103 </t>
  </si>
  <si>
    <t xml:space="preserve">H.NO.24-3-85/4/3 GANESH NAGAR PRAKASH REDDY PET HANAMAKONDA NEAR IDEAL SCHOOL WARANGAL TNG 506001 </t>
  </si>
  <si>
    <t xml:space="preserve">35/4/49 KANAKA DURGA COLONY GOPALPURAM WARANGAL NEAR SBI BANK WARANGAL TNG 506015 </t>
  </si>
  <si>
    <t xml:space="preserve">"1,92,VELLANKY RAMANNAPET,YELLANKI,," NALGONDA  ATM NALGONDA TNG 508113 </t>
  </si>
  <si>
    <t xml:space="preserve">"PLOT NO 273,S NO 164,SHANTHI NAGAR,ANANTAPUR"    ANT ANP 515001 </t>
  </si>
  <si>
    <t xml:space="preserve">"6-12-2B/2 K B LAYOUT K B,LAYOUT,.," TIRUPATIURBAN   TIRUPATHI ANP 517501 </t>
  </si>
  <si>
    <t xml:space="preserve">H NO-1-4-3/2A BHEEMNAGAR GADWAL   NEAR AMBEDKAR CHOWK MAHBOOBNAGAR TNG 509125 </t>
  </si>
  <si>
    <t xml:space="preserve">"12-23-3/49,,Tanuku" krishna nagar tanuku tanuku mandalam Tanuku WEST GODAVARI  TANUKU ANP 534211 </t>
  </si>
  <si>
    <t xml:space="preserve">"11-42,ground,godisela venkataswamy" "1,harijanawada" utnoor near angadi bazar ADILABAD TNG 504311 </t>
  </si>
  <si>
    <t xml:space="preserve">13/574A TADIPATRI K V REDDY NAGAR   TADPATRI ANP 515411 </t>
  </si>
  <si>
    <t xml:space="preserve">9/294 KHAJIPETA SIDDHANTHI PURAM CUDDAPAH CUDDAPAH ANP 516203 </t>
  </si>
  <si>
    <t xml:space="preserve">5-71/A AYIJA "NULL,MAHABUBNAGAR" MAIN ROAD MAHBOOBNAGAR TNG 509127 </t>
  </si>
  <si>
    <t xml:space="preserve">"2/294-2 MARUTHI NAGAR,MARUTHI,NAGAR CUDD" "APAH,,CUDDAPAH"  MAIN ROAD CUDDAPAH ANP 516001 </t>
  </si>
  <si>
    <t xml:space="preserve">"3-59,KAMMAVARIPALLI B MATTAM,MANDALAM" DIRASAVANCHA KADAPA  NEAR DIRASAVANCHA CUDDAPAH ANP 516502 </t>
  </si>
  <si>
    <t xml:space="preserve">"1-110/2 RUDRAGUDEM,MANDAL" NALLABELLY  NEAR BC COLONY WARANGAL TNG 506349 </t>
  </si>
  <si>
    <t xml:space="preserve">7 22 VENKATAPUR VENKATAPUR  WARANGAL TNG 506352 </t>
  </si>
  <si>
    <t xml:space="preserve">"5-1,ANJANI TANDA ANJANI,TANDA,TANDA,KUSL" "I,"  ANJANI TANDA ADILABAD TNG 504104 </t>
  </si>
  <si>
    <t xml:space="preserve">"H NO,1 85 NANDIPET NIZAMABAD," NANDIPET  NEAR HANUMAN TEMPLE NIZAMABAD TNG 503212 </t>
  </si>
  <si>
    <t xml:space="preserve">H NO 1-27/1 MEDIPALLE MANDAL KONDAPOOR ROAD NEAR BY MOD BAZAR LOOK KARIMNAGAR TNG 505453 </t>
  </si>
  <si>
    <t xml:space="preserve">AYYAPPA COLONY KALVAKUTHY ROAD "DEVARAKONDA, NALGONDA" NALGONDA NEAR MAIN ROAD NALGONDA TNG 508248 </t>
  </si>
  <si>
    <t xml:space="preserve">"FLAT,NO 503 SIVA NAGA SAI,RESIDENCY," "NAVABHARAT,COLONY 4TH LINE GUNTUR"   GUNTUR ANP 522001 </t>
  </si>
  <si>
    <t xml:space="preserve">"4-228,SAALI PETA RAMALAYAM,DAGGARA," "MALIKIPURAM,MALIKIPURAM MANDALAM"   EAST GODAVARI ANP 533253 </t>
  </si>
  <si>
    <t xml:space="preserve">"000,CHEMBADIPALEM CHAVALI,POST,.," "PELLAKURU CHAVALI,."  MAIN ROAD GUDUR ANP 524126 </t>
  </si>
  <si>
    <t xml:space="preserve">"H NO 8-72/18,DHARMASAGAR,DHARMASAGAR MND"    WARANGAL TNG 506142 </t>
  </si>
  <si>
    <t xml:space="preserve">"3-7-96,VAVILAPALLI,KARIMNAGAR"    RAMPUR TNG 505001 </t>
  </si>
  <si>
    <t xml:space="preserve">"H NO,1-89 FAROOQNAGAR MANDAL,HAJIPALLE," PIDIKIRYAL MAHABUB NAGAR - MAHABUB NAGAR TNG 509410 </t>
  </si>
  <si>
    <t xml:space="preserve">3 19 6 4 MR PETA   OPP SRI CHAITANYA FLAY GROUND KAKINADA ANP 533408 </t>
  </si>
  <si>
    <t xml:space="preserve">23 1 49 GANDHI ROAD INDHIRA GANDHI STATCHI  ONGOLE ONGOLE ANP 523001 </t>
  </si>
  <si>
    <t xml:space="preserve">"SURVEY NO 360,HYD ROAD,MANIKANTA ELECTRICALS"    NZM TNG 503230 </t>
  </si>
  <si>
    <t xml:space="preserve">"28/273,RAMESWARAM,PRODDATUR"    PRO ANP 516360 </t>
  </si>
  <si>
    <t xml:space="preserve">DOORNO 318 CHINAPALAKALURUVILLAGE GUNTUR MANDAL   GTR ANP 522005 </t>
  </si>
  <si>
    <t xml:space="preserve">16174CROWN TALKIES ROAD TILAK "NAGAR GUNTAKAL,ANANTAPUR, ANDHRA PRADESH 515801"   GTK ANP 515801 </t>
  </si>
  <si>
    <t xml:space="preserve">NO 2 7 KOTMAPETA VALUTHIMMAPURAM PEDDAPURAM NEAR DURGAMMA TEMPLE PEDDAPURAM ANP 533437 </t>
  </si>
  <si>
    <t xml:space="preserve">2 132 GAADIRAJU VARI MERAKA BEHIND SEETHAMARAJU STATUE KUMARAGIRI  AMALAPURAM ANP 533220 </t>
  </si>
  <si>
    <t xml:space="preserve">DOOR NO 19 10 33 10 NEAR SENT ANNS SCHOOL BHIMAVARAM NEAR SENT ANNS SCHOOL ROAD BANK COLONY BANK COLONY BHIMAVARAM ANP 534201 </t>
  </si>
  <si>
    <t xml:space="preserve">5147/7 SURADA PETA UKOTTAPALLI UPPADA    KKN ANP 533448 </t>
  </si>
  <si>
    <t xml:space="preserve">5 353PAPPULA STREETSTONEHOUSEPET MAIN "ROAD TADIKALA,BAZAAR CENTER NELLORE SRI"   NEL ANP 524002 </t>
  </si>
  <si>
    <t xml:space="preserve">2126/1 2126/1  Guntur GTR ANP 522601 </t>
  </si>
  <si>
    <t xml:space="preserve">"1-63,POTLURU,POTLURU,SAVALYAPURAM"    NARASARAOPET ANP 522646 </t>
  </si>
  <si>
    <t xml:space="preserve">11-54/1 amalapuram mandal near ramakrishna samithi konkapalli peruru AMALAPURAM ANP 533201 </t>
  </si>
  <si>
    <t xml:space="preserve">D O GAIKINA VEERA BHADRA RAO 13 2 12 SURYARAO PETA LACHIRAJU VERI STREET KAKINADA NEAR RAGHAV ENDRA SWAMY TEMPLE KAKINADA ANP 533001 </t>
  </si>
  <si>
    <t xml:space="preserve">21-10/3 86A SRWA 359 3RD LINE SRINAGAR COLONY  NR-SRI NAGAR COLONY VIJAYAWADA ANP 520011 </t>
  </si>
  <si>
    <t xml:space="preserve">H NO 3-7-133 NIZAMABAD KOTAGALLY NEAR RAJIV GANDHI STATUE NIZAMABAD TNG 503001 </t>
  </si>
  <si>
    <t xml:space="preserve">"HOUSE,NUMBER 5-99,CHENUGONIPALLY,,GADWAL" RURAL  NEAR BY PRAGATHI SCHOOL MAHBOOBNAGAR TNG 509125 </t>
  </si>
  <si>
    <t xml:space="preserve">"6-2-060 KURASAM PETA,YANAM" ...  "YANAM,PONDICHERRY" KAKINADA ANP 533464 </t>
  </si>
  <si>
    <t xml:space="preserve">"6-14 PANCHAYATHI,DAGGARA BADAMPUDI" "UNGUTURU VUNGUTURU,WEST GODAVARI"  NEAR PANCHAYATHI OFFICE TADEPALLIGUDEM ANP 534411 </t>
  </si>
  <si>
    <t xml:space="preserve">"7-613/1 LAXMIPURAM,KONIJERLA MD" ...  MAIN ROAD KHAMMAM TNG 507305 </t>
  </si>
  <si>
    <t xml:space="preserve">"MADANAPUR,1-79,KOTHAKOTA" ...  MADANAPUR WANAPARTHY TNG 509110 </t>
  </si>
  <si>
    <t xml:space="preserve">FLAT NO- 504 KRISHNA NAGAR OM SAI FREINDS ENCLAVES LB NAGAR WARANGAL TNG 506002 </t>
  </si>
  <si>
    <t xml:space="preserve">HNO 1-42/1 SABBEPALLY HAJIPUR ADILABAD ADILABAD NEAR MAIN ROAD ADILABAD TNG 504207 </t>
  </si>
  <si>
    <t xml:space="preserve">9-1-152 GIRMAJIPET WARANGAL "NEAR ICICI BANK LINE," WARANGAL ANP 506002 </t>
  </si>
  <si>
    <t xml:space="preserve">2-44/1 laxmipoor laxmipoor Karimnagar KARIMNAGAR TNG 505530 </t>
  </si>
  <si>
    <t xml:space="preserve">F.164.Andhrapradesh.cement works.F.164.Andhra.Pradesh cement.works..Bhogasamudram. "Mandal ,Ta" ANANTAPUR ANP 515415 </t>
  </si>
  <si>
    <t xml:space="preserve">"4-31,NEAR SUBRAHMANYA SWAMY,TEMPLE,,MALI" "KIPURAM,MANDALAM,RAMARAJULANKA"  NEAR SHIVA TEMPLE AMALAPURAM ANP 533253 </t>
  </si>
  <si>
    <t xml:space="preserve">HARIJANVADA MIRYALA   HARIJANVADA MIRYALA SURYAPET ANP 508221 </t>
  </si>
  <si>
    <t xml:space="preserve">2-119 GURIJALA BLOCK 2 NARSAMPET DIVISION   WARANGAL TNG 506331 </t>
  </si>
  <si>
    <t xml:space="preserve">1-19A BUGANIPALLI VI KALLAGERI PO GORANTLA MANDAL HINDUPUR TK   ANANTAPUR ANP 515241 </t>
  </si>
  <si>
    <t xml:space="preserve">"BALAJI NAGAR,AUTO NAGAR GATE" KRISHNA NILAYAM "VIJAYAWADA,ANDHRA PRADESH" OPPOSITE BUS STOP VIJAYAWADA ANP 520010 </t>
  </si>
  <si>
    <t xml:space="preserve">1ST FLOOR Srikanth nilayam OPP TVS SHOW ROOM Near panti revu Narasapuram  NARASAPURAM ANP 534275 </t>
  </si>
  <si>
    <t xml:space="preserve">D NO 18/30 BC COLONY VINJAMUR "VI POST,VINJAMURU MANDAL" BC COLONY NELLORE ANP 524228 </t>
  </si>
  <si>
    <t xml:space="preserve">Gettam yesu Etipora Perupalem Perupalem BHIMAVARAM ANP 534281 </t>
  </si>
  <si>
    <t xml:space="preserve">TATA CONSULTANCY SERVICES LIMITED "SAHYADRI PARK PLOT NO.2,3 PHASE 3 MAN" RAJIV GANDHI INFOTECH PARK PUNE RAJIV GANDHI INFOTECH PARK PUNE PUNE MAH 411057 </t>
  </si>
  <si>
    <t xml:space="preserve">R1 RCM GLOBAL PRIVATE LIMITED NSL ARENA BUILDING UPPAL UPPAL HYDERABAD TNG 500039 </t>
  </si>
  <si>
    <t xml:space="preserve">MAHINDRA UNIVERSITY "SURVEY NO 62/1A, BAHADURPALLY" "JEEDIMETLA, HYDERABAD, TELANGANA" "JEEDIMETLA, HYDERABAD, TELANGANA" HYDERABAD TNG 500043 </t>
  </si>
  <si>
    <t xml:space="preserve">FIDELITY FUND MANAGEMENT PVT LTD FIDELITY NATIONAL FINANCIAL BLOCK B1 4TH FLOOR BROOK FILED B1 4TH FLOOR BROOK FILED BANGALORE KAR 560037 </t>
  </si>
  <si>
    <t xml:space="preserve">BUBBLES HAIR AND BEAUTY 2 ND FLOOR  ASHOK NAGAR D NO 5 87 20 LAKSHMI PURAM MAIN ROAD D NO 5 87 20 LAKSHMI PURAM MAIN ROAD GUNTUR ANP 522007 </t>
  </si>
  <si>
    <t xml:space="preserve">Srihari 3-60 "Kucherkal, Rajapur" "Kucherkal, Rajapur" MAHABUBNAGAR TNG 509202 </t>
  </si>
  <si>
    <t xml:space="preserve">SRI RENUKA YELLAMMA POULTRY FROM NEAR NALGONDA NALGONDA NALGONDA NALGONDA TNG 508247 </t>
  </si>
  <si>
    <t xml:space="preserve">RAMDEV PLYWOOD AND HARDWARE PLOT NO 11/12 CHOUTUPPAL CHOUTUPPAL NALGONDA TNG 508252 </t>
  </si>
  <si>
    <t xml:space="preserve">HEXAWARE TECHNOLOGIES LTD CHENNAI CHENNAI CHENNAI CHENNAI TMN 600086 </t>
  </si>
  <si>
    <t xml:space="preserve">ACCLIN PATH LABS INDIA PVT LTD VIKRAMPURI COLONY KHARKANA KHARKANA HYDERABAD TNG 500009 </t>
  </si>
  <si>
    <t xml:space="preserve">INDIAN ARMY 122 SATA REGT PIN 926122 C/O 99 APO SHIV MANDIR ROAD SHIVMANDIR ROAD SHIV MANDIR ROAD SHIVMANDIR ROAD SILIGURI WBL 734013 </t>
  </si>
  <si>
    <t xml:space="preserve">Syed Arshad Quadri Nil Nil Nil KURNOOL ANP 518001 </t>
  </si>
  <si>
    <t xml:space="preserve">501 5TH FLOOR TIRUMALA TOWERS TIRUMALA TOWERS TRU ANP 517501 </t>
  </si>
  <si>
    <t xml:space="preserve">KRIAHNA TREDERS 6-17 TARIGOPPULA MANDAL NARMEETTA MANDAL NARMEETTA WARANGAL TNG 506224 </t>
  </si>
  <si>
    <t xml:space="preserve">SRI RAJA RAJESWARI CONSTRUCTIONS INDIA P KATTARAMPUR KARIMNAGAR NEAR MAHALAXMI NAGAR NEAR MAHALAXMI NAGAR ADILABAD TNG 505001 </t>
  </si>
  <si>
    <t xml:space="preserve">Not Applicable NAAA NAAA NAAA NALGONDA TNG 509001 </t>
  </si>
  <si>
    <t xml:space="preserve">INFOSYS LIMITED PLOT NO 1 RAJIV GANDHI INFOTECH PARK HINJEWADI PHASE 2 PIMPRI CHINCHWAD HINJEWADI PHASE 2 PIMPRI CHINCHWAD PUNE MAH 411057 </t>
  </si>
  <si>
    <t xml:space="preserve">AMARNATH AGENCIES D NO 2/31 KOLUKULA YARRAGONDAPALEM YARRAGONDAPALEM NANDYAL ANP 523327 </t>
  </si>
  <si>
    <t xml:space="preserve">MEDICAL COLLEGE RIMS COLLEGE ONGOLE ONGOLE ONGOLE ANP 523001 </t>
  </si>
  <si>
    <t xml:space="preserve">PAVANI DIGITALS KKANNEXE SUBEDHARPET KANAKAMAHAL SUBEDHARPET KANAKAMAHAL NELLORE ANP 524001 </t>
  </si>
  <si>
    <t xml:space="preserve">CGI INFORMATION SYSTEMS AND MANAGEMENT C 2ND FLOOR BLOCK NO 3 PLOT NO 129/132 DLF CYBER CITY APHB COLONY GACHIBOWLI DLF CYBER CITY APHB COLONY GACHIBOWLI HYDERABAD TNG 500032 </t>
  </si>
  <si>
    <t xml:space="preserve">VUNNAM SUNIL KUMAR "21/22, Shanmugam Building, Uday Shankar road, Near new briliant school" "21/22, Shanmugam Building, Uday Shankar road, Near new briliant school" "21/22, Shanmugam Building, Uday Shankar road, Near new briliant school" BANGALORE KAR 560016 </t>
  </si>
  <si>
    <t xml:space="preserve">INFOSYS LIMITED "NO 44 INFOSYS AVENUE HOSUR ROAD," "ELECTRONIC CITY PHASE 1," "ELECTRONIC CITY PHASE 1," BANGALORE KAR 560100 </t>
  </si>
  <si>
    <t xml:space="preserve">ACCENTURE SOLUTIONS PRIVATE LIMITED RMZ ECOSPACE -CAMPUS 2A AND 2BMARTHAHALI "SARJAPUR OUTER RING  ROAD,VARTHUR,HOBLI" "SARJAPUR OUTER RING  ROAD,VARTHUR,HOBLI" BANGALORE KAR 560103 </t>
  </si>
  <si>
    <t xml:space="preserve">"near old bus stand,ayodhya nagar,kakinada" "c/o health department,government general hosp"   KKN ANP 533001 </t>
  </si>
  <si>
    <t xml:space="preserve">VARITE INDIA PTIVATE LIMTED 301/302 3RD FLOOR SAKET CALLIPOLIS MARATHAHALLI SARJAPUR RD DODDAKANNELLI MARATHAHALLI SARJAPUR RD DODDAKANNELLI BANGALORE KAR 560035 </t>
  </si>
  <si>
    <t xml:space="preserve">SPOORTHY EDUCATION LTD 16 1 114 SPOORTHY EDUCATION LTD PALWANCHA SPOORTHY EDUCATION LTD PALWANCHA KHAMMAM ANP 507115 </t>
  </si>
  <si>
    <t xml:space="preserve">GAYATHRIMARKET 5-2-20 GUNJ ROAD JAGITIAL JAGITIAL KARIMNAGAR TNG 505327 </t>
  </si>
  <si>
    <t xml:space="preserve">REAL ESTATE NO 3 13 NARMATTA MANDAL NARSAPUR NARSAPUR WARANGAL TNG 506224 </t>
  </si>
  <si>
    <t xml:space="preserve">7 P93 P WEST ELECTRONICE CITY BENGALURU 7 AND 93 P WEST ELECTRONIC CITY HOSUR RD HOSUR RD BANGALORE KAR 560100 </t>
  </si>
  <si>
    <t xml:space="preserve">SRI LAXMI NARASIMHA SWAMY TURNING WORKS ROAD NO 10 THADAKAMALLA ROAD "CHAITANYA NAGAR ,MIRYALAGUDA" "CHAITANYA NAGAR ,MIRYALAGUDA" SURYAPET TNG 508207 </t>
  </si>
  <si>
    <t xml:space="preserve">RESILIENT INNOVATIONS PRIVATE Hyderabad Hyderabad Hyderabad HYDERABAD TNG 500004 </t>
  </si>
  <si>
    <t xml:space="preserve">QCENT IT PRIVATE LIMITED "1-2-33/20/4, PLOT NO.15, AS RAJU NAGAR N" "NIZAMPET ROAD, KUKATPALLY, HYDERABAD" "NIZAMPET ROAD, KUKATPALLY, HYDERABAD" HYDERABAD TNG 500073 </t>
  </si>
  <si>
    <t xml:space="preserve">GOVERNMENT OF ANDHRA PRADESH NUVVURUPADU SACHIVALAYAM "ATMAKUR,NELLOORE" "ATMAKUR,NELLOORE" GUDUR ANP 524322 </t>
  </si>
  <si>
    <t xml:space="preserve">KARNATAKA VIKAS GRAMEENA BANK Kabbur brancH Kabbur Kabbur CHIKODI KAR 591222 </t>
  </si>
  <si>
    <t xml:space="preserve">A divya reddy 5-74/b lingampet kodgal Jadcherla Jadcherla MAHBUBNAGAR TNG 509301 </t>
  </si>
  <si>
    <t xml:space="preserve">SAI SRINIVASA CEMENT PRODUCTS 137 AA NACHAHALLY VILLAGE NACHAHALLY VILLAGE WANAPARTHY TNG 509103 </t>
  </si>
  <si>
    <t xml:space="preserve">JATOTHU CONSTRUCTIONS H.NO.24-3-85/4/3 GANESH NAGAR "PRAKASH REDDY PET, HANAMAKONDA" "PRAKASH REDDY PET, HANAMAKONDA" WARANGAL TNG 506001 </t>
  </si>
  <si>
    <t xml:space="preserve">KAKATIYA INSTITUTE OF TECHNOLOGY AND SCI BLOCK 3 DEPARTMENT EEE KAKATIYA INSTITUT "OF T3CHNOLOGY ,, AND SCIENCE  HASABAPART" "OF T3CHNOLOGY ,, AND SCIENCE  HASABAPART" WARANGAL TNG 506015 </t>
  </si>
  <si>
    <t xml:space="preserve">IVY SOFTWARE DEVELOPMENT SERVICES PVT LT "5TH FLOOR B,BLOCK OMEGA,HITECH CITY ROAD" "KONDAPUT," "KONDAPUT," HYDERABAD TNG 500081 </t>
  </si>
  <si>
    <t xml:space="preserve">S A TECH SOFTWARE (I) PVT LTD 33-18-830 Mallikarjuna pet 5th lane Near kolphing community hall Near kolphing community hall GUNTUR ANP 522007 </t>
  </si>
  <si>
    <t xml:space="preserve">MS LAXMI BALAJI TRADERS PLOT NO-188 JOGULAMBA GADWAL   MAHBOOBNAGAR TNG 509128 </t>
  </si>
  <si>
    <t xml:space="preserve">CGI INFORMATION SYSTEMS AND MANAGEMENT C DELOITTE DR HITEC CITY   HYDERABAD TNG 500081 </t>
  </si>
  <si>
    <t xml:space="preserve">SELF EMPLOYED RANI SATHI COLONY BESIDE PANCHAVATI HOTE BESIDE KARUR VYSTABANK BESIDE KARUR VYSTABANK ADILABAD TNG 504001 </t>
  </si>
  <si>
    <t xml:space="preserve">INDIA INFOLINE LTD NIL NIL NIL TADPATRI ANP 515411 </t>
  </si>
  <si>
    <t xml:space="preserve">COGNIZANT TECHNOLOGY SOLUTIONS INDIA PRI WORK FROM HOME "2-294,KAJIPET MANDAL" "2-294,KAJIPET MANDAL" CUDDAPAH ANP 516203 </t>
  </si>
  <si>
    <t xml:space="preserve">GOVT OF ANDHRA PRADESH MAHABUBNAGAR   MAHBOOBNAGAR TNG 509127 </t>
  </si>
  <si>
    <t xml:space="preserve">GOVT OF AP VIDYA SAGAR AIDED UPPER PRIMARY SCHOOL V "VISVANATHAPURAM C. K DINNE KADAPA ,CUDDA" "VISVANATHAPURAM C. K DINNE KADAPA ,CUDDA" CUDDAPAH ANP 516004 </t>
  </si>
  <si>
    <t xml:space="preserve">INFOSYS LIMITED NO 44 INFOSYS AVENUE HOSUR ROAD ELECTRONIC CITY PHASE 1 KONAPANAAGRAHARA ELECTRONIC CITY PHASE 1 KONAPANAAGRAHARA BANGALORE KAR 560100 </t>
  </si>
  <si>
    <t xml:space="preserve">INFOSYS LIMITED SURVEY NO.210 MANIKONGA VILLAGE LINGMPALLY LINGMPALLY HYDERABAD TNG 500019 </t>
  </si>
  <si>
    <t xml:space="preserve">ALKEM LABORATORIES LTD ALKEM HOUSE SB ROAD LOWER PAREL WEST MUMBAI SB ROAD LOWER PAREL WEST MUMBAI MUMBAI MAH 400013 </t>
  </si>
  <si>
    <t xml:space="preserve">SELF H.NO 5-1 ANJANI TANDA 5-1 ANJANI TANDA ADILABAD TNG 504104 </t>
  </si>
  <si>
    <t xml:space="preserve">GOVERNMENT OF TELANGANA DIVISIONAL ENGINEER ELECTRICAL TSNPDCL OFFICE TSNPDCL OFFICE NIZAMABAD TNG 503001 </t>
  </si>
  <si>
    <t xml:space="preserve">CAPGEMINI TECHNOLOGY SERVICES INDIA LIMI "BUILDING NO 164,165 EPIP INDUSTRIAL AREA" EPIP ZONE PHASE2 WHITEFIELD BANGALORE EPIP ZONE PHASE2 WHITEFIELD BANGALORE BANGALORE KAR 560066 </t>
  </si>
  <si>
    <t xml:space="preserve">GOVT OF TELANGANA ZTHS THOUKLATURE GUNDATALLY NALGONDA NALGONDA NALGONDA TNG 508252 </t>
  </si>
  <si>
    <t xml:space="preserve">Cashfree payments India Pvt Lt Guntur Guntur Guntur GUNTUR ANP 522001 </t>
  </si>
  <si>
    <t xml:space="preserve">COGNIZANT TECHNOLOGY SOLUTIONS "Malikipuram,opposite maruthi showroom" Malikipuram mandal Malikipuram mandal SAKHINETIPALLI ANP 533250 </t>
  </si>
  <si>
    <t xml:space="preserve">COLLABERA TECHNOLOGIES PRIVATE LIMITED "3RD FLOOR, APEX PLAZA, NUNGAMBAKKAM HIGH" "RD, DR THIRUMOORTHY NAGAR MAIN RD, TIRUM" "RD, DR THIRUMOORTHY NAGAR MAIN RD, TIRUM" CHENNAI TMN 600034 </t>
  </si>
  <si>
    <t xml:space="preserve">Not Applicable "8-72/18, sc colony, dharmasagar village and mandal" Hanamkonda dist Hanamkonda dist WARANGAL TNG 506142 </t>
  </si>
  <si>
    <t xml:space="preserve">GITAM HYDERABAD BUSINESS SCHOOL HYDERABA GITAM COLLEGE "GITAM UNIVERSITY, RUDRARAM, TELANGANA" "GITAM UNIVERSITY, RUDRARAM, TELANGANA" HYDERABAD TNG 502329 </t>
  </si>
  <si>
    <t xml:space="preserve">KAMAKSHI ENTERPRISES 5 66 1 OPP CHURCH YELLAYYAPETA EAST GODAVARI ANDHRA PRADESH GODAVARI ANDHRA PRADESH KAKINADA ANP 533408 </t>
  </si>
  <si>
    <t xml:space="preserve">THIRUMALA DURGA JEWELLERS 23 1 345 GANDHI ROAD ONGOLE   ONGOLE ANP 523001 </t>
  </si>
  <si>
    <t xml:space="preserve">A S INFRA SERVICES NO 2 18 VALUTHIMMAPURAM VALUTHIMMAPURAM PEDDAPURAM ANP 533437 </t>
  </si>
  <si>
    <t xml:space="preserve">SATYAM AQUA 2 219 KUMARA GIRI POLAVARAM MANDAL INDIA AP INDIA AP AMALAPURAM ANP 533220 </t>
  </si>
  <si>
    <t xml:space="preserve">SURYA FILLING STATION DOOR NO 1 282 1 NH 216 HIGHWAY ROAD NAGIDIPALEM BHEEMAVARAM VILLAGE BHEEMAVARAM MANDAL BHEEMAVARAM VILLAGE BHEEMAVARAM MANDAL BHIMAVARAM ANP 534239 </t>
  </si>
  <si>
    <t xml:space="preserve">"2-126, 1 KESANAPALLE" "PALNADU, NARASARAOPET"   GTR ANP 522601 </t>
  </si>
  <si>
    <t xml:space="preserve">AMRITA SAI INSTITUTE OF SCIENCE AND TECHNOLOGY Paritala Kanchikacherla Kanchikacherla KANCHIKACHERLA ANP 521180 </t>
  </si>
  <si>
    <t xml:space="preserve">NIVA CORP "D. NO 11-54/1 ,NEAR RAMA KRISHNA SAMITHI" KONKAPALLY AMALAPURAM KONKAPALLY AMALAPURAM AMALAPURAM ANP 533201 </t>
  </si>
  <si>
    <t xml:space="preserve">MUNCIPAL CORPORATION DEPARTMENT MUNCIPAL CORPORATION BOYS HIGH SCHOOL PARADESAMMAPETA JAGANNAIKKPUR KAKINADA PARADESAMMAPETA JAGANNAIKKPUR KAKINADA KAKINADA ANP 533001 </t>
  </si>
  <si>
    <t xml:space="preserve">DR PRASADS ORTHODONTIC SUPER SPECIALITY DENTAL 23-11-86 SATYA NARYNA PURAM   VIJAYAWADA ANP 520011 </t>
  </si>
  <si>
    <t xml:space="preserve">EDUCATION DEPARTMENT "JILLA PRASHUT SCHOOL, MOSAR" NIZAMABED DIST NIZAMABED DIST NIZAMABAD TNG 503206 </t>
  </si>
  <si>
    <t xml:space="preserve">HANEEF PLUMBING WORKS SHOP NO 5-99 CHENUGONIPALLY CHENUGONIPALLY MAHBOOBNAGAR TNG 509125 </t>
  </si>
  <si>
    <t xml:space="preserve">PIERIAN SERVICES PVT LTD "INDUSTRIAL AREA ,VAKALAPUDI" KAKINADA KAKINADA KAKINADA ANP 533005 </t>
  </si>
  <si>
    <t xml:space="preserve">GOVERNMENT OF ANDHRA PRADESH MPPS SCHOOL BADAMPUDI WEST GODAVAR WEST GODAVAR TADEPALLIGUDEM ANP 534411 </t>
  </si>
  <si>
    <t xml:space="preserve">HCL TECHNOLOGIES LIMITED PLOT H-01B "PHOENIX AVANCE SY NO.30,34,36" "PHOENIX AVANCE SY NO.30,34,36" HYDERABAD TNG 500081 </t>
  </si>
  <si>
    <t xml:space="preserve">KRISHNAIAH REAL ESTATE 1 79 VADDERA COLONY KOTHAKOTA MANDAL   WANAPARTHY TNG 509110 </t>
  </si>
  <si>
    <t xml:space="preserve">PHYSICIANS INTERACTIVE INDIA PRIVATE LIM LIBERTY TOWER 8TH FLOOR 802 AND 801 NAVI MUMBAI NAVI MUMBAI MUMBAI MAH 400708 </t>
  </si>
  <si>
    <t xml:space="preserve">GOVT OF TELANGANA MPPS BUBBAPALLY NANEEL MANCHIRAL ADILABAD ADILABAD ADILABAD TNG 504207 </t>
  </si>
  <si>
    <t xml:space="preserve">PEDDI RAJAMOULI GOLD AND SILVER MERCHANT VISWAKARMA STREET JPN ROAD JPN ROAD WARANGAL ANP 506002 </t>
  </si>
  <si>
    <t xml:space="preserve">A LAXMIPOOR BEJJANKI SIDDIPET BEJJANKI SIDDIPET KARIMNAGAR TNG 505530 </t>
  </si>
  <si>
    <t xml:space="preserve">ULTRA.TECH F.164.Andhrapradesh.cement works.F.164.Andhra.Pradesh.cement.works. works.F.164.Andhra.Pradesh.cement.works. ANANTAPUR ANP 515415 </t>
  </si>
  <si>
    <t xml:space="preserve">INFOSYS LIMITED NO 44 HOSUR MAIN ROAD ELECTRONIC CITY GATE NO 6 GATE NO 6 BANGALORE KAR 560100 </t>
  </si>
  <si>
    <t xml:space="preserve">GOVERNMENT OF TELANGANA SCHOOL EDUCATION PS BANDARAMARAM THUGATHURTHY   SURYAPET ANP 508221 </t>
  </si>
  <si>
    <t xml:space="preserve">RANDSTAD INDIA PVT LTD Madhapoor Oop petrol pump Oop petrol pump HYDERABAD TNG 500038 </t>
  </si>
  <si>
    <t xml:space="preserve">Adecco India Pvt ltd "No 73/1,13th floor,summit b" "Brigade metropolis,gorudacharpalya,mahadevapura,white field,bangalore" "Brigade metropolis,gorudacharpalya,mahadevapura,white field,bangalore" BANGALORE KAR 560048 </t>
  </si>
  <si>
    <t xml:space="preserve">GOVERNMENT OF ANDHRA PRADESH "CGO COMPLEX,AUTO NAGAR" "VIJAYAWADA,ANDHRA PRADESH" "VIJAYAWADA,ANDHRA PRADESH" VIJAYAWADA ANP 520007 </t>
  </si>
  <si>
    <t xml:space="preserve">SISA CONSULTANCY PLOT NO 296  PHASE 2 KAMALAPURI COLONY  SRI NAGAR COLONY KAMALAPURI COLONY  SRI NAGAR COLONY HYDERABAD TNG 500073 </t>
  </si>
  <si>
    <t xml:space="preserve">MPDO OFFICE "MPDO OFFICE,VINJAMUR"   NELLORE ANP 524228 </t>
  </si>
  <si>
    <t>TANUKU</t>
  </si>
  <si>
    <t>GUNTAKAL</t>
  </si>
  <si>
    <t>Mine Credit Card by ICICI Bank Mastercard</t>
  </si>
  <si>
    <t>ICICI Bank Business Blue Advantage Card</t>
  </si>
  <si>
    <t>ICICI Gold Business Card (BCCL-V)</t>
  </si>
  <si>
    <t>5TH JUNE</t>
  </si>
  <si>
    <t>OGL</t>
  </si>
  <si>
    <t>AJEES/OOGOLE , 7093700713</t>
  </si>
  <si>
    <t>TUNI</t>
  </si>
  <si>
    <t>Customer house address not found mobile not responding give me kyc details // Customer office address not found mobile not responding // Customer house address visit customer not in a home customer mobile not responding // Customer office address visit customer not in a office customer mobile not responding // Customer house address visit customer house door lock customer mobile not responding // Customer house address visit customer not in a home customer wife told informed customer mobile not responding iam waiting for customer address // Customer house address visit customer not in a home but iam waiting for customer address // Customer house address visit customer not in a home but iam waiting for customer address // Customer office address visit customer not in a office customer mobile not responding</t>
  </si>
  <si>
    <t>Customer not available at shop sir.asking for emi option // CUSTOMER GIVEN PTP TO 7TH SIR</t>
  </si>
  <si>
    <t>Cmr given  address visited customer spoke to suffering from job loss in before 4 month,s  &amp; prosed the legal notice cmr not ready to pay pay the payment sir //  Customer not available call answering job loss in before 4 month,s  &amp; prosed the legal notice cmr not ready to pay</t>
  </si>
  <si>
    <t xml:space="preserve"> Cmr given address visited customer present not available in fom to is mother &amp; call back to evening sir // Customer not available customer husband available ptp tomorrow eod</t>
  </si>
  <si>
    <t>I have Visited given House address customer not available here Customer brother available Customer is in Hyderabad his brother will inform to Customer Call back with Customer evening // I have Visited customer Work address Customer is in live Customer Saying that will inform to My husband call back eveningI have Visited customer Work address Customer is in live Customer Saying that will inform to My husband call back evening // ReVisited customer Work address Customer not available Customer left after working the night shift Customer will available Tommorow Customer call not answering // ReVisited customer Work address Customer is in live Customer given ptp by Today eod</t>
  </si>
  <si>
    <t>Visited Customer Residence Address Customer Not Available Phone Call Answered Given Commitment On 8th Sir</t>
  </si>
  <si>
    <t>Customer given address visit customer not available  informed to brother, he saying he not living in address no information no contact about him,trying by call</t>
  </si>
  <si>
    <t>12118 - NEFT PAYMENT RECEIVED</t>
  </si>
  <si>
    <t>DPR</t>
  </si>
  <si>
    <t xml:space="preserve">  Cmr given address visited customer suffering from leg injured cmr asking for sometime sir // Customer live present not available call answering recently accident customer saide asking same time present not ready to pay</t>
  </si>
  <si>
    <t>Customer visit office address Not available close the Shop ask the nighbour no one not respond customer phone call not respond please provide the FULL KYC DETAILS</t>
  </si>
  <si>
    <t>Customer given address visit address not found, trying by call // Customer given address visit address not found, trying by call // Customer given alternative address visit address customer not available, no information from neighbors call not connecting // Customer given alternative address visit address customer not available door locked, no information from neighbors call not connecting // Customer given alternative address visit address customer not available door locked, no information from neighbors call not connecting // Customer given alternative address visit address customer not available door locked, no information from neighbors call not connecting</t>
  </si>
  <si>
    <t>Customer visit office address meet customer PTP 13th</t>
  </si>
  <si>
    <t>Meet Customer Customer Given Commitment Tommorow Sir</t>
  </si>
  <si>
    <t>CUSTOMER NOT AVAILABLE AT HOME SIR.RESPONDED TO THE CALL GIVEN PTP TO 30TH // CUSTOMER NOT AVAILABLE AT HOME. SECURITY NOT ALLOWED ME GO INSIDE SIR.RESPONDED TO THE CALL CUSTOMER TOLD I WILL PAY TO THE EOD // CUSTOMER NOT AVAILABLE AT HOME SIR WAITING FOR CUSTOMER AT HIS HOUSE</t>
  </si>
  <si>
    <t>No one available on that name in given address need kyc details sir</t>
  </si>
  <si>
    <t>6TH J</t>
  </si>
  <si>
    <t>cmr broken PTP, cmr not at home , waiting for cmr</t>
  </si>
  <si>
    <t>Visited customer given address No body staying here door lock enquired beside people they don't know any information about Customer Name. Contacted customer through phone responded not staying here shifted to own house given phone PTP 10th sir.</t>
  </si>
  <si>
    <t>Customer Adress visit and Customer House locked customer parents living in Hyderabd Chinthal and Customer call Answer and card used brother and brother number ( 7386141696 ), brother asking time</t>
  </si>
  <si>
    <t>Customer address live but currently door locked 
Informed to his neighbours // Customer Address still door locked // Customer unavailable informed to his mother // Customer address currently door locked</t>
  </si>
  <si>
    <t>Customer not available at home sir informed to his father</t>
  </si>
  <si>
    <t>Customer ptp today eod</t>
  </si>
  <si>
    <t>Customer out of station.contact by phone he told that he will meet on Sunday sir</t>
  </si>
  <si>
    <t>4073520450915013</t>
  </si>
  <si>
    <t>4748461084958001</t>
  </si>
  <si>
    <t>4748461340745002</t>
  </si>
  <si>
    <t>4748464744932002</t>
  </si>
  <si>
    <t>5241935708057000</t>
  </si>
  <si>
    <t>5241935774547009</t>
  </si>
  <si>
    <t>5241935788532005</t>
  </si>
  <si>
    <t>5241935806799008</t>
  </si>
  <si>
    <t>MR RAJU AKKALADEVI</t>
  </si>
  <si>
    <t>MR NARRA SEKHAR CHOWDARY</t>
  </si>
  <si>
    <t>MR C V RAJASEKHAR</t>
  </si>
  <si>
    <t>MR KOTAKONDA SIVA SAI</t>
  </si>
  <si>
    <t>MR SHAIK AGJAD BASHA</t>
  </si>
  <si>
    <t>MR BYRA LEELA SAILAKSMI PAVAN KUM</t>
  </si>
  <si>
    <t>MS KALA LALITHA</t>
  </si>
  <si>
    <t>MS PATTAPAGALU NAGALAKSHMI</t>
  </si>
  <si>
    <t>8247634979</t>
  </si>
  <si>
    <t>9248013123</t>
  </si>
  <si>
    <t>8317511542</t>
  </si>
  <si>
    <t>6301621743</t>
  </si>
  <si>
    <t>9160504042</t>
  </si>
  <si>
    <t>8897650009</t>
  </si>
  <si>
    <t>7032923803</t>
  </si>
  <si>
    <t>8790036312</t>
  </si>
  <si>
    <t xml:space="preserve">H.NO.13-1250 RAGAMAYURI GREEN HILLA PHASE 3 NANNUR NEAR BESIDE TEMPLE KURNOOL ANP 518002 </t>
  </si>
  <si>
    <t xml:space="preserve">101 DIVYA SHAKTI TOWERS ROY NAGAR GANNAVARAM NEAR KARUR VYSYA BANK VIJAYAWADA ANP 521101 </t>
  </si>
  <si>
    <t xml:space="preserve">26-4-3502 CHOWDESWARI COLONY CHOWDESWARI COLONY ANANTAPUR HINDUPUR ANP 515201 </t>
  </si>
  <si>
    <t xml:space="preserve">4/20A CHERUVU KINDHA PALLI   CUDDAPAH ANP 516215 </t>
  </si>
  <si>
    <t xml:space="preserve">1-70A CHINNAMANDEM CUDDAPAH KUMMARA VEEDHI CUDDAPAH ANP 516214 </t>
  </si>
  <si>
    <t xml:space="preserve">37-323 MAIN BAZAR PURUSHOTHAMA PATNAM CHILAKALURIPET GUNTUR PATNAM MAIN ROAD GUNTUR ANP 522616 </t>
  </si>
  <si>
    <t xml:space="preserve">"D.NO-1-196," CHEEDIGA KAKINADA NEAR  GANESH TEMPLE KAKINADA ANP 533006 </t>
  </si>
  <si>
    <t xml:space="preserve">"DO NO 22-12-40/9,TANUKU MANDALAM," "MUTYALA VARI STREET,BESIDE OF CHURCH," "SOCIETY BACK SIDE,TANUKU MANDALAM" BESIDE OF CHURCH TANUKU ANP 534211 </t>
  </si>
  <si>
    <t xml:space="preserve">GOVERNMENT OF AP "DISTRECT FOREST OFFICE,WILD DIVISION" "NANDYAL,NUNEPALLI" "NANDYAL,NUNEPALLI" NANDYAL ANP 518501 </t>
  </si>
  <si>
    <t xml:space="preserve">RAVITEJ PROJECTS 54-5-98 2 CROSS 4TH FLOOR AUTO NAGAR AUTO NAGAR VIJAYAWADA ANP 520007 </t>
  </si>
  <si>
    <t xml:space="preserve">OPTUM GLOBAL SOLUTIONS INDIA PVT LTD OPTUM GLOBAL SOLUTIONS INDIA PVT LTD PAR GROUND FLOOR BLOCK 01 AND GROUND FLOOR 1 GROUND FLOOR BLOCK 01 AND GROUND FLOOR 1 GURGAON HAR 122101 </t>
  </si>
  <si>
    <t xml:space="preserve">GOVERNMENT OF ANDHRA PRADESH GRAMA SACHIVALAYAM NARAYANAREDDY PALLI SAMBEPALLI MANDAL ANNAMAYYA SAMBEPALLI MANDAL ANNAMAYYA CUDDAPAH ANP 516215 </t>
  </si>
  <si>
    <t xml:space="preserve">QUESS CORP LIMITED 3/3/2 SARJAPUR BENGALURU BENGALURU BANGALORE KAR 560103 </t>
  </si>
  <si>
    <t xml:space="preserve">HCL TECHNOLOGIES LIMITED HI-08 PHOENIX INFOCITY MADHAPUR   HYDERABAD TNG 500081 </t>
  </si>
  <si>
    <t xml:space="preserve">ITC INFOTECH INDIA LIMITED ITC GREEN CENTER TECHNOLOGY PARK BANGALORE BANGALORE BANGALORE KAR 560005 </t>
  </si>
  <si>
    <t xml:space="preserve">STATE GOVERNMENT "STATE GOVERNMENT OF ANDHRAPRADESH," "AREA HOSPITAL,PALACOLE,PALACOLE" "AREA HOSPITAL,PALACOLE,PALACOLE" PALAKOL ANP 534260 </t>
  </si>
  <si>
    <t>MakeMyTrip ICICI Bank Signature Credit Card</t>
  </si>
  <si>
    <t>MakeMyTrip ICICI Bank Platinum Credit Card</t>
  </si>
  <si>
    <t>6TH JUNE</t>
  </si>
  <si>
    <t>SRINIVAS/GTR , 9966922101</t>
  </si>
  <si>
    <t>4035620023282003</t>
  </si>
  <si>
    <t>4375516047017003</t>
  </si>
  <si>
    <t>4035620947531006</t>
  </si>
  <si>
    <t>4035621410783009</t>
  </si>
  <si>
    <t>4035621508155003</t>
  </si>
  <si>
    <t>6528681658870008</t>
  </si>
  <si>
    <t>4035621020054007</t>
  </si>
  <si>
    <t>4035620103751000</t>
  </si>
  <si>
    <t>4035620273693008</t>
  </si>
  <si>
    <t>4085110073981000</t>
  </si>
  <si>
    <t>4102020477906009</t>
  </si>
  <si>
    <t>4102021188853001</t>
  </si>
  <si>
    <t>MR DASTAIAH K</t>
  </si>
  <si>
    <t>MR. K BALA MURALI</t>
  </si>
  <si>
    <t>MR MUNTIMADUGU SURYANARAYANA</t>
  </si>
  <si>
    <t>MR C SUDHAKAR</t>
  </si>
  <si>
    <t>MR SALEEM SHAIK</t>
  </si>
  <si>
    <t>MR SYED ISMAIL BASHA</t>
  </si>
  <si>
    <t>MR SURAKARAPU NAVEEN</t>
  </si>
  <si>
    <t>MR TATIMAKULA VINOD KUMARREDDY</t>
  </si>
  <si>
    <t>MR PULIDINDI AJAY</t>
  </si>
  <si>
    <t>MR PRAVEEN BANDANATHAM KUMAR</t>
  </si>
  <si>
    <t>MR PICHERI MASTHAN</t>
  </si>
  <si>
    <t>MRS KAMMALAPALLY SUJATHA</t>
  </si>
  <si>
    <t>8464882524</t>
  </si>
  <si>
    <t>9542067226</t>
  </si>
  <si>
    <t>9676662168</t>
  </si>
  <si>
    <t>6262728296</t>
  </si>
  <si>
    <t>9491917048</t>
  </si>
  <si>
    <t>8885104101</t>
  </si>
  <si>
    <t>7729953019</t>
  </si>
  <si>
    <t>9553440018</t>
  </si>
  <si>
    <t>9959038952</t>
  </si>
  <si>
    <t>7093209981</t>
  </si>
  <si>
    <t>9515292874</t>
  </si>
  <si>
    <t>9000660313</t>
  </si>
  <si>
    <t>2 238 GANDED MAHAMMADABAD MAHABUBNAGAR   NR SUB STATION MAHBOOBNAGAR MAHBOOBNAGAR TNG 509337</t>
  </si>
  <si>
    <t>"1,0,39/25-3-10" ",S.K.D.R Colony" sai nagar Near RTC colony KADAPA KADAPA ANP 516002</t>
  </si>
  <si>
    <t>"2-205,ANUMPALLI PAMIDI,ANUMPALLI,ANUMPAL" "LE,"  NAIN ROAD ANANTAPUR ANANTAPUR ANP 515775</t>
  </si>
  <si>
    <t>"2/82,KALAVAPALU,BELUGUPPA" NEAR MAIN ROAD ANANTHAPUR NEAR MAIN ROAD ANANTAPUR ANANTAPUR ANP 515761</t>
  </si>
  <si>
    <t>"PHASE 2,FLAT NO 12" SRINIVASA BRINDAVANAM "PEDDAPADUGUPADU,KOVUR" K C P CEMENT GODOWN NELLORE NELLORE ANP 524137</t>
  </si>
  <si>
    <t>HNO 17 21 32 GOD GIFT BUILDLING 1ST FLOOR NADAR STREET PLOT NO 4 NR RCM CHRUCH VIJAYAWADA VIJAYAWADA ANP 520003</t>
  </si>
  <si>
    <t>4-145 ANUMULA MANDALAM  RANGUNDLA TANDA SURYAPET SURYAPET TNG 508202</t>
  </si>
  <si>
    <t>5/13 THUVVAPALLI KOTHAGANGIREDDY PALLI NANMANDALAM CIDDAPAH NEAR TEMPLE CUDDAPAH CUDDAPAH ANP 516218</t>
  </si>
  <si>
    <t>"4-187,PULIDINDI VARI PETA,KAJULURU MANDAL," "PALLIPALLEM VILLAGE, INJARAM P"   EAST GODAVARI EAST GODAVARI ANP 533464</t>
  </si>
  <si>
    <t>"8-50-A GANDHI NAGAR,DHARMAVARAM," ANANTAPUR  MAIN ROAD HINDUPUR HINDUPUR ANP 515671</t>
  </si>
  <si>
    <t>H 38 MATHER MITTA VARADAHAPALAM   XX TIRUPATHI TIRUPATHI ANP 517541</t>
  </si>
  <si>
    <t>H NO 5 88 A2 B C COLONY OPP PRAIMARY SCHOOL NARKET PALLY MANDAL   NALGONDA NALGONDA TNG 508254</t>
  </si>
  <si>
    <t>DASTAIAH ENTERPRISES 2 238 GANDEDI MAHABUBNAGAR   MAHBOOBNAGAR TNG 509337</t>
  </si>
  <si>
    <t>GENPACT INDIA PLOT OFC NO 12 TRENDZ AVENUE 4TH FLOOR MADHAPUR MADHAPUR Hyderabad TNG 500081</t>
  </si>
  <si>
    <t>SPANDANA SPHOORTY FINANCIAL LIMITED PLOT NO 28 AMRENDRA NAGAR DINNEDEVARAPADU ROAD KURNOOL DINNEDEVARAPADU ROAD KURNOOL KURNOOL ANP 518001</t>
  </si>
  <si>
    <t>SHUCHI FILLING STATION "2/82,KALAVAPALU" "BELUGUPPA,ANANTHAPUR" "BELUGUPPA,ANANTHAPUR" ANANTAPUR ANP 515761</t>
  </si>
  <si>
    <t>GOVERNMENT OF ANDHRA PRADESH MPPS HIGH SCHOOL "PALLIPETA KUPPAM,TADA" "PALLIPETA KUPPAM,TADA" GUDUR ANP 524124</t>
  </si>
  <si>
    <t>INTEGRATED WIRELESS SOLUTIONS PVT LTF VIPURAM TILAK ROAD RAJAMNDRI RAJAMNDRI RAJAHMUNDRY ANP 533106</t>
  </si>
  <si>
    <t>MAHINDRA RURAL HOUSING FINANCE LTD "5-16,1ST FLOOR,SHOP NO-2" "SRILAXMI NARSIMHA CONPLEX,HALIYA,NALGOND" "SRILAXMI NARSIMHA CONPLEX,HALIYA,NALGOND" SURYAPET TNG 508202</t>
  </si>
  <si>
    <t>VALUELABS SERVICES PRIVATE LIMITED PLOT 41 HITECITY PHASE 2.MADHAPUR HYDERABAD HYDERABAD HYDERABAD TNG 500081</t>
  </si>
  <si>
    <t>S AND P CAPITAL IQ INDIA PVT L Skyview building 10 Raidurgam Raidurgam HYDERABAD TNG 500081</t>
  </si>
  <si>
    <t>HCL TECHNOLOGIES LIMITED "PLOT NO.H-01B,PHOENIX AVANCE SEZ" "INTERNAL RD,HYDERABAD" "INTERNAL RD,HYDERABAD" HYDERABAD TNG 500081</t>
  </si>
  <si>
    <t>SRI VENKATA SAI ENTERPRISES 1 38 MATHERI MITTA CHILAMATHURU   TIRUPATHI ANP 517541</t>
  </si>
  <si>
    <t>SRI MALLIKARJUNA SWAMY ENTERPRISES 5 88 A2 NARKATPALLY NALGONDA TELAGANA   NALGONDA TNG 508254</t>
  </si>
  <si>
    <t>Mine Credit Card by ICICI Bank Visa Card</t>
  </si>
  <si>
    <t>cm address not found sir and cm call not answering sir</t>
  </si>
  <si>
    <t>Customer house address live present not available inform to his family members customer call back in hour</t>
  </si>
  <si>
    <t>Customer house address live present remodeling call answered given PTP in 1hr</t>
  </si>
  <si>
    <t>Customer shifted from given address and not working in college also</t>
  </si>
  <si>
    <t>customer not available at house he was living in Eluru mobile number not working mess pass to brother......</t>
  </si>
  <si>
    <t>:cm not available sir and cm call answered given ptp 4th sir // cm not available sir and cm mother available cm call answered given ptp Monday sir</t>
  </si>
  <si>
    <t>Customer address visited Customer live in adrees and going ptp tomorrow evening</t>
  </si>
  <si>
    <t>7TH J</t>
  </si>
  <si>
    <t>Costumer house door locked calls not connecting need alternative number sir</t>
  </si>
  <si>
    <t>8TH J</t>
  </si>
  <si>
    <t>Custmor not lived  sir</t>
  </si>
  <si>
    <t>9TH J</t>
  </si>
  <si>
    <t>4315810096815000</t>
  </si>
  <si>
    <t>4315812817988009</t>
  </si>
  <si>
    <t>4315813218386009</t>
  </si>
  <si>
    <t>4375517881706008</t>
  </si>
  <si>
    <t>4375519937908000</t>
  </si>
  <si>
    <t>4501720962452008</t>
  </si>
  <si>
    <t>4501720971591010</t>
  </si>
  <si>
    <t>4501720971838007</t>
  </si>
  <si>
    <t>4501720988488002</t>
  </si>
  <si>
    <t>4501721002900006</t>
  </si>
  <si>
    <t>4501721012703002</t>
  </si>
  <si>
    <t>4501721016989003</t>
  </si>
  <si>
    <t>4501721078041008</t>
  </si>
  <si>
    <t>4501721078764005</t>
  </si>
  <si>
    <t>4501721099593003</t>
  </si>
  <si>
    <t>4501721126241006</t>
  </si>
  <si>
    <t>4501721132273001</t>
  </si>
  <si>
    <t>4501721155667006</t>
  </si>
  <si>
    <t>4501721184788005</t>
  </si>
  <si>
    <t>4501721187664005</t>
  </si>
  <si>
    <t>4501721193686000</t>
  </si>
  <si>
    <t>4501721195064057</t>
  </si>
  <si>
    <t>4501721813193007</t>
  </si>
  <si>
    <t>4501721849500001</t>
  </si>
  <si>
    <t>5241935130949006</t>
  </si>
  <si>
    <t>6528680425469003</t>
  </si>
  <si>
    <t>MR DACHAPALLY SHANKAR</t>
  </si>
  <si>
    <t>MR ANJANEYULU GOUD</t>
  </si>
  <si>
    <t>MR Macharla Sri Venkata</t>
  </si>
  <si>
    <t>MR VIJENDAR KAMPELLI</t>
  </si>
  <si>
    <t>MR PANPATTE NANDAKISOR</t>
  </si>
  <si>
    <t>MR NALLAGARI REDDY</t>
  </si>
  <si>
    <t>MR BANDARUPALLI GOPIKRISHNA</t>
  </si>
  <si>
    <t>MS CHELLUBOINA SRUTHI</t>
  </si>
  <si>
    <t>Mr THALUPURU SURENDRA</t>
  </si>
  <si>
    <t>MR KALAVALAPUDI SUDHA</t>
  </si>
  <si>
    <t>Mr PITTALASAIDULU</t>
  </si>
  <si>
    <t>MR GOGADA VENKSTA NAGENDRA BABU</t>
  </si>
  <si>
    <t>MRS OBULAMMA LINGUTLA</t>
  </si>
  <si>
    <t>MR MAGIRI ARUN</t>
  </si>
  <si>
    <t>MRS BOLLEPALLY SANDHYA</t>
  </si>
  <si>
    <t>MR VASPULA SRIKANTH</t>
  </si>
  <si>
    <t>MR PERUMANDLA PRASAD</t>
  </si>
  <si>
    <t>MS PEDDELLI SRAVANTHI</t>
  </si>
  <si>
    <t>MR MANTHRI GOVARDHAN</t>
  </si>
  <si>
    <t>MR VELPUKONDA MANOHAR</t>
  </si>
  <si>
    <t>MR GANTA NAVANEETH</t>
  </si>
  <si>
    <t>MR DURGAM TEJA</t>
  </si>
  <si>
    <t>MR YARADESI VEERABABU</t>
  </si>
  <si>
    <t>MR. RAJIREDDY HANAMANDLA</t>
  </si>
  <si>
    <t>MR MADRI SUVARNA</t>
  </si>
  <si>
    <t>9866164479</t>
  </si>
  <si>
    <t>9066244676</t>
  </si>
  <si>
    <t>9553066244</t>
  </si>
  <si>
    <t>9441546408</t>
  </si>
  <si>
    <t>9010856338</t>
  </si>
  <si>
    <t>7676638712</t>
  </si>
  <si>
    <t>7981852487</t>
  </si>
  <si>
    <t>9573043735</t>
  </si>
  <si>
    <t>9493508807</t>
  </si>
  <si>
    <t>9618553410</t>
  </si>
  <si>
    <t>7095030092</t>
  </si>
  <si>
    <t>9553519688</t>
  </si>
  <si>
    <t>9494657645</t>
  </si>
  <si>
    <t>9848136336</t>
  </si>
  <si>
    <t>9494070441</t>
  </si>
  <si>
    <t>9603071061</t>
  </si>
  <si>
    <t>8500334198</t>
  </si>
  <si>
    <t>9704053025</t>
  </si>
  <si>
    <t>6281893704</t>
  </si>
  <si>
    <t>9989575755</t>
  </si>
  <si>
    <t>9618756378</t>
  </si>
  <si>
    <t>9676469616</t>
  </si>
  <si>
    <t>8106011865</t>
  </si>
  <si>
    <t>9705876758</t>
  </si>
  <si>
    <t>7396210810</t>
  </si>
  <si>
    <t>8184898999</t>
  </si>
  <si>
    <t xml:space="preserve">18 17 17  HANUMANPET MIRYALAGUDA NEAR NIRMAL SCHOOL Nalgonda TNG 508207 </t>
  </si>
  <si>
    <t xml:space="preserve">"4-74 PREM NAGAR,THUMMANPET,MAHABUBNAGAR"  - BALMOOR - BALMOOR TNG 509375 </t>
  </si>
  <si>
    <t xml:space="preserve">FLAT NO 408  SRINIVASA NAGAR GAYATHRI SADAN Guntur GUNTUR ANP 522101 </t>
  </si>
  <si>
    <t xml:space="preserve">1-12 MUTHOJIPET    NEAR POST OFFICE Warangal TNG 506132 </t>
  </si>
  <si>
    <t xml:space="preserve">"104,JAMIDI,.,ADILABAD,ICCHODA"   ADILABAD - ADILABAD TNG 504307 </t>
  </si>
  <si>
    <t xml:space="preserve">"53-59-1 NABIKOT NEAR,.,SHIVALAYAM TEMPLE,."     YSR DISTRICT KADAPA CUDDAPAH ANP 516001 </t>
  </si>
  <si>
    <t xml:space="preserve">"2-64/1,THIMMAPURAM,GUNTUR"     GUNTUR ANP 522233 </t>
  </si>
  <si>
    <t xml:space="preserve">"1-99,ANTARVEDI PALEM NEAR,CHERUVU,GATTU,"  SAKHINETIPALLI   EAST GODAVARI ANP 533252 </t>
  </si>
  <si>
    <t xml:space="preserve">"1-11,ARUNA SANKARA NILAYAM,NEAR,"  "PANCHAYAT OFFICE,POTHIREDDY,PALEM KOVUR"   NELLORE ANP 524137 </t>
  </si>
  <si>
    <t xml:space="preserve">"1-26,GOLLAGUNTA CHILAMANURU BALAYAPALLI"  "GOLLAGUNTA,NELLORE"  . GUDUR ANP 524132 </t>
  </si>
  <si>
    <t xml:space="preserve">"3 108,GATTUSINGARAM SINGARAM P,NALGONDA,"  TELANGANA 508277   NALGONDA TNG 508277 </t>
  </si>
  <si>
    <t xml:space="preserve">13-2-88 KRISHNA NAGAR 1ST LINE NEAR  VENKAIAH SWAMY TEMPLE  . GUNTUR ANP 522006 </t>
  </si>
  <si>
    <t xml:space="preserve">"16/82,PEDDAPETA,YADIKI,RAYALACHERUVU"     ANANTAPUR ANP 515445 </t>
  </si>
  <si>
    <t xml:space="preserve">FLAT NO 305  PRODDUTURI TOWERS OPPOSITE TO MURALI KRISHNA TEMPLE TELANGANA NIZAMABAD TNG 503001 </t>
  </si>
  <si>
    <t xml:space="preserve">"25,339 1 PARTHASARATHI,NAGAR,DHARMAVARAM,"  "ANANTAPUR,ANDHRA PRADESH 515671"   ANANTAPUR ANP 515671 </t>
  </si>
  <si>
    <t xml:space="preserve">"HNO,1-42 BAHUPET VILLAGE,YADAGIRIGUTTA,"  "MANDALAM,MASAIPET NALGONDA"   NALGONDA TNG 508115 </t>
  </si>
  <si>
    <t xml:space="preserve">H NO 4-33  AMANGAL MANDAL PREM COLONY K.V. RANGAREDDY WANAPARTHY TNG 509321 </t>
  </si>
  <si>
    <t xml:space="preserve">4-2-338 KOTHURJENDDA  SHUBASH NAGAR HANAMKONDA NEAR MAIN ROAD WARANGAL TNG 506001 </t>
  </si>
  <si>
    <t xml:space="preserve">5-11-913  HANAMKONDA POCHAMMAKUNTA HANAMKONDA FINE CONVENCTION WARANGAL TNG 506001 </t>
  </si>
  <si>
    <t xml:space="preserve">5-8-1100/20/1  KAMAREDDY SRINIVASA NAGAR COLONY HARI HARA ENCLAVES NIZAMABAD TNG 503111 </t>
  </si>
  <si>
    <t xml:space="preserve">16-9-1095  "AC REDDY NAGAR,WARANGAL" "WARANGAL,SHIVANAGAR" NEAR BY KIRANAM SHOP WARANGAL TNG 506002 </t>
  </si>
  <si>
    <t xml:space="preserve">"6-13-14/A,SRINAGAR,JAKORE"  "VARNI,NIZAMABAD,TELANGANA"  VARNI NIZAMABAD TNG 503201 </t>
  </si>
  <si>
    <t xml:space="preserve">11-15/1  MANDAMARRI BURDHAGUDAM MANDAMARRI ADILABAD TNG 504231 </t>
  </si>
  <si>
    <t xml:space="preserve">HOUSE NO 2 1 91 1  TELUKA PALLI KANAPURAM HAVELI NEAR BY ANJANEYA SWAMY TEMPLE KHAMMAM TNG 507002 </t>
  </si>
  <si>
    <t xml:space="preserve">"10-7,GUDEM,VADLUR-BEGUMPET,VADLOORBEGUMPET"   KARIMNAGAR -- KARIMNAGAR TNG 505530 </t>
  </si>
  <si>
    <t xml:space="preserve">"H NO 1/339/45,"  "ARUNDATHI NAGAR, ADONI" "ARUNDATHI NAGAR, ADONI" NEAR RAMJALA ROAD KURNOOL ANP 518301 </t>
  </si>
  <si>
    <t xml:space="preserve">SRI BALAJI FRIENDS MOBIELS SHOP NO 6 NEW MUNCIPAL COMPLEX COMPLEX Nalgonda TNG 508207 </t>
  </si>
  <si>
    <t xml:space="preserve">VODAFONE INDIA SERVICES PRIVATE LIMITED BUSINESS MANTRI TOWER A 3RD FLR TO 4TH FLOOR WING A1 AND A2 TOWER-B WING FLOOR WING A1 AND A2 TOWER-B WING PUNE MAH 411014 </t>
  </si>
  <si>
    <t xml:space="preserve">COLGATE GLOBAL BUSINESS SERVICES PVT LTD "GATE NO.5 , TOWER B , 8 AND 9TH FLOOR" "L AND T BUSINESS PARK, SAKI VIHAR ROAD," "L AND T BUSINESS PARK, SAKI VIHAR ROAD," MUMBAI MAH 400072 </t>
  </si>
  <si>
    <t xml:space="preserve">CIVIL CONTRACTOR HN0-1-21 MUTHOJIPET   Warangal TNG 506132 </t>
  </si>
  <si>
    <t xml:space="preserve">ICICI BANK LTD ICICI PLOT NO 12 SURVEY 115 27 GACHIBOWLI NANKRAMGUDA GACHIBOWLI NANKRAMGUDA Rangareddy TNG 500032 </t>
  </si>
  <si>
    <t xml:space="preserve">SONATA SOFTWARE LTD "D No 53/59-1, Nabikot, Near Shivalayam Temple" Kadapa Kadapa CUDDAPAH ANP 516001 </t>
  </si>
  <si>
    <t xml:space="preserve">DELOITTE CONSULTING IND "2-64/1 , Thimmapuram, Behind shivalayam temple" "2-64/1 , Thimmapuram, Behind shivalayam temple" "2-64/1 , Thimmapuram, Behind shivalayam temple" NARASARAOPET ANP 522233 </t>
  </si>
  <si>
    <t xml:space="preserve">CAPGEMINI TECHNOLOGY SERVICES Gachibowli financial district financial district HYDERABAD TNG 500081 </t>
  </si>
  <si>
    <t xml:space="preserve">INNOTION TECHNOLOGIES PVT LTD Nellore Nellore Nellore NELLORE ANP 524137 </t>
  </si>
  <si>
    <t xml:space="preserve">INFOSYS LIMITED "NO 210,ISB ROAD,LINGAMPALLY ROAD" MANIKONDA JAGIR MANIKONDA JAGIR HYDERABAD TNG 500032 </t>
  </si>
  <si>
    <t xml:space="preserve">ICICI MANIPAL ACADEMYPICYA Singaram Addaguduru Addaguduru NALGONDA TNG 508277 </t>
  </si>
  <si>
    <t xml:space="preserve">VIRTUSA CONSULTING SERVICES PRIVATE LIMI 34 IT HIGHWAY NAVALUR   CHENNAI TMN 603103 </t>
  </si>
  <si>
    <t xml:space="preserve">FORAYS SERVICES CONSTRUCTIONS 16/82 peddapeta Peddapeta Peddapeta HOSUR TMN 635001 </t>
  </si>
  <si>
    <t xml:space="preserve">TATA CONSULTANCY SERVICES LIMITED DOOR NO 56/1/36    CMC CAMPUS SYNERGY PARK PREMISES SYNERGY PARK PREMISES HYDERABAD TNG 500032 </t>
  </si>
  <si>
    <t xml:space="preserve">Bharti AXA General Insurance C 25-339-1 Parthasarthi Nagar Dharmavaram Dharmavaram Dharmavaram GUNTAKAL ANP 515671 </t>
  </si>
  <si>
    <t xml:space="preserve">Not Applicable Main road Bhahupet Bhahupet NALGONDA TNG 508115 </t>
  </si>
  <si>
    <t xml:space="preserve">GOVERNMENT OF TELANGANA PANHYATH SECRETA 15-127/128/130 AMANGAL AMANGAL WANAPARTHY TNG 509321 </t>
  </si>
  <si>
    <t xml:space="preserve">GOVERNMENT OF TELANGANA 2-9-135/3 VIKASNAGAR HANAMKONDA VIKASNAGAR HANAMKONDA WARANGAL TNG 506001 </t>
  </si>
  <si>
    <t xml:space="preserve">DEPARTMENT OF SOCIAL WELFARE SAI NAGAR HANAMKONDA HANAMKONDA WARANGAL TNG 506001 </t>
  </si>
  <si>
    <t xml:space="preserve">HEALTH DEPARTMENT ASHOK NAGAR KAMAREDDY KAMAREDDY NIZAMABAD TNG 503111 </t>
  </si>
  <si>
    <t xml:space="preserve">DEPARTMENT OF POST NAKKALAGUTTA HANAMKONDA HANAMKONDA WARANGAL TNG 506001 </t>
  </si>
  <si>
    <t xml:space="preserve">Not Applicable icicibank KPHB KPHB NIZAMABAD TNG 503201 </t>
  </si>
  <si>
    <t xml:space="preserve">DEPARTMENT OF POST KALYANI KHANI BURDHAGUDAM BURDHAGUDAM ADILABAD TNG 504231 </t>
  </si>
  <si>
    <t xml:space="preserve">VEERABABU DAIRY FIRM HOUSE NO 2 1 91 1 TELUKA PALLI KANAPURAM HAVELI KANAPURAM HAVELI KHAMMAM TNG 507002 </t>
  </si>
  <si>
    <t xml:space="preserve">INFOSYS LTD SEZ CAMPUS POCHARAM GHATKESAR - - SECUNDERABAD TNG 500088 </t>
  </si>
  <si>
    <t xml:space="preserve">GOVERNMENT OF ANDHRA PRADESH GOVERNMENT OF ANDHRA PRAFEDH GURUKULA SCHOOL PATTIKONDA GURUKULA SCHOOL PATTIKONDA KURNOOL ANP 518380 </t>
  </si>
  <si>
    <t>8TH JUNE</t>
  </si>
  <si>
    <t>Visited customer address &amp; not in address 
Customer asking to make the payment phone contact</t>
  </si>
  <si>
    <t>Ch not living in giving address mobile  switch off asking his vaddina said living in guntur</t>
  </si>
  <si>
    <t>Cust respond to call and given ptp on today evening</t>
  </si>
  <si>
    <t>CUSTOMER GIVEN HOUSE ADDRESS AND WORKING VISITED CUSTOMER LIVE WAITING FOR SALARY SAID THAT CALL BACK TOMORROW // Waiting for customer // Customer given ptp today afternoon</t>
  </si>
  <si>
    <t>Visited Customer Residence Customer Not Available Customer Staying in Hyderabad Confirm to Niebours</t>
  </si>
  <si>
    <t>Custmor go to Australia</t>
  </si>
  <si>
    <t>Customer address not found 
Calls not responding</t>
  </si>
  <si>
    <t>customer not available at house door lock by call conversation he was living in Hyderabad asking for EMI option..... // customer not available at house door lock by call conversation he was living in Hyderabad asking for EMI option…</t>
  </si>
  <si>
    <t>Visited Customer Residence Address Door locked</t>
  </si>
  <si>
    <t>Customer address not found 
Customer phone PTP on 1hour</t>
  </si>
  <si>
    <t>:cm door locked sir and cm call answered cm has done fraud filed case in court cm will call back later sir</t>
  </si>
  <si>
    <t>Customer address visited Customer shifted in adrees Call not answering // Customer shops address  visited and Customer shops  6day back shifted and call not answering</t>
  </si>
  <si>
    <t>Customer Not available this location</t>
  </si>
  <si>
    <t>Customer address door locked 
Calls not responding // Customer paid short payment 4500/- 
Remaining By tomorrow eod</t>
  </si>
  <si>
    <t>ustomer given ptp on tomorrow evening sir // Give ptp today evening  // Customer not available meet with customer mother . Give ptp today by night confirm</t>
  </si>
  <si>
    <t>Customer live customer asking some time will have try to pay</t>
  </si>
  <si>
    <t>cm shifted from here sir cm relatives available cm call answered cm serious health issue sir  refused to pay amount sir</t>
  </si>
  <si>
    <t>Customer not available in home call not answering infom to wife call back evening</t>
  </si>
  <si>
    <t>ARAVIND/GTR , 9154094854</t>
  </si>
  <si>
    <t>customer paymet on this week // customer paymet twommro</t>
  </si>
  <si>
    <t>CUSTOMER NOT AVAILABLE AT HOME SIR INFORMED TO HIS MOTHER.AND CALL TO HIM RESPONDED TO THE CALL..GIVEN PTP TO 19TH</t>
  </si>
  <si>
    <t>Customer visit office address meet customer PTP 16th</t>
  </si>
  <si>
    <t>:cm door locked sir and cm call not answering sir // cm not available sir and cm call not answering sir // cm call back later sir // cm not available sir and cm mother will call back // :waiting for payment sir // cm not available sir and cm call answered will call back sir // waiting for payment sir</t>
  </si>
  <si>
    <t>Customer currently not available in the given working address // Customer not working in the given working address</t>
  </si>
  <si>
    <t>Customer shifted from given address 2years back call answered asking time to pay // customer live adress but not available he response the call he said try to make payment his work in Hyderabad</t>
  </si>
  <si>
    <t>Customer house address visit customer not in a home customer father told informed to customer customer mobile not responding // Customer house address visit customer not in a home customer customer mobile not responding iam waiting for customer address // Customer house address visit customer not in a home customer customer mobile not responding iam waiting for customer address</t>
  </si>
  <si>
    <t>Customer Adress visit, customer prasent in Hyderabd meerpet police station (purpose : plot issue ) and Customer call Answer and ptp on Friday</t>
  </si>
  <si>
    <t>Customer address door locked 
Calls not respondin</t>
  </si>
  <si>
    <t>Customer Adress visit, customer is Live and Customer catd used Father and Father is Govt teacher and prasent  going Janaganana program and call Answer and Call back evening and ptp on Tommorow and Father Number ( 9704589933 )</t>
  </si>
  <si>
    <t>Visited Customer Residence Address Customer Not Available Inform To His Mother</t>
  </si>
  <si>
    <t>Customer house visit sir customer not available Sir // Customer house visit sir customer not available Sir // Customer house visit sir customer not available Sir</t>
  </si>
  <si>
    <t>Customer Adress visit, Customer prasent living in Miryalguda town and calls not answer and going to Miryalguda shop adress // ustomer Miryalaguda Adress visit, and Customer parents is serious customer not living this house 3years</t>
  </si>
  <si>
    <t>Customer address visit ch not available door lock call response call back in evening sir // Customer meet office place ch not ready to pay used 3rd party used customer not pay asking for time and settlement sir // customer address visit ch not available door lock call response call back in evening sir // Customer address visit ch not available waiting for customer customer sir // Customer address meet home address asking for time facing financial issue saying sir</t>
  </si>
  <si>
    <t>Sir Visited Coustomer House 
Coustomer Given PTP 10th</t>
  </si>
  <si>
    <t>Visited customer shop address customer live given PTP 2nd sir..... // Revisited customer shop address given PTP today afternoon customer not available in shop contacted customer through phone given new PTP today evening sir.... // Customer paid already part payment sir remaining for Norm today EOD sir. // Customer paid already part payment sir remaining for Norm today 5pm  sir. // Customer paid already part payment  Waiting for remaining payment sir. // Customer paid already paid stab amount given PTP today for total outstanding 3pm sir...</t>
  </si>
  <si>
    <t>Customer PTP on 10th afternoon</t>
  </si>
  <si>
    <t>Customer shift from given address sir .not responding for calls . 
Visited with magbool basha // Customer live in Bangalore sir.
Contact with his father . He told that go to Bangalore &amp; collect near him only don't come again near house. We have contacted to customer by phone  he told that he will pay on 25th .untill don't disturb.other wise he will take serious action</t>
  </si>
  <si>
    <t>Custmor PTP  18</t>
  </si>
  <si>
    <t>Custmor PTP   18</t>
  </si>
  <si>
    <t>Customer out of station sir . contact by phone given ptp on 13th</t>
  </si>
  <si>
    <t>Sir Visited Coustomer House 
Coustomer Not available 
Coustomer son is available 
Call Back to Evning..</t>
  </si>
  <si>
    <t>Customer not working in the given working address // Customer given address visit customer not available in home call not answering infom mother
Mother side customer out of station // Customer not working in the given working address 
Not working since 3 months</t>
  </si>
  <si>
    <t>Customer Adress Visit, customer is Live and Customer Husband Ptp on friday</t>
  </si>
  <si>
    <t>cmr house address door locked and cmr not answering calls ,cmr not live , cmr living in Hyderabad</t>
  </si>
  <si>
    <t>Sir Visited Coustomer House 
Coustomer Not available 
Coustomer Given I will Call you tomorrow. On phone through</t>
  </si>
  <si>
    <t>Visited Customer Given Adress Customer Not Available Inform To His Fathar // Visited Customer Residence Customer Not Available // Visited Customer Residence Address Customer Not Available Inform To His Mother Sir</t>
  </si>
  <si>
    <t xml:space="preserve"> cm given ptp 15th sir</t>
  </si>
  <si>
    <t>Customer Adress Visit, Customer prasent in Sheri lingotam village going to work purpose call answer ptp on Thursday</t>
  </si>
  <si>
    <t>4748468690531007</t>
  </si>
  <si>
    <t>4035622754830000</t>
  </si>
  <si>
    <t>4035623241714005</t>
  </si>
  <si>
    <t>4748468554095008</t>
  </si>
  <si>
    <t>4035622528571005</t>
  </si>
  <si>
    <t>4035622535449013</t>
  </si>
  <si>
    <t>4035622547961021</t>
  </si>
  <si>
    <t>4035622551380001</t>
  </si>
  <si>
    <t>4035622598541003</t>
  </si>
  <si>
    <t>4035622600040002</t>
  </si>
  <si>
    <t>4035622605362013</t>
  </si>
  <si>
    <t>4035622772208023</t>
  </si>
  <si>
    <t>4035622906609005</t>
  </si>
  <si>
    <t>4035622907993002</t>
  </si>
  <si>
    <t>4035622925710008</t>
  </si>
  <si>
    <t>4035622933944003</t>
  </si>
  <si>
    <t>4035622934535008</t>
  </si>
  <si>
    <t>4035622973848007</t>
  </si>
  <si>
    <t>4035623037303005</t>
  </si>
  <si>
    <t>4035623049701006</t>
  </si>
  <si>
    <t>4035623093189009</t>
  </si>
  <si>
    <t>4035623105738017</t>
  </si>
  <si>
    <t>4035623166936005</t>
  </si>
  <si>
    <t>4035623263408007</t>
  </si>
  <si>
    <t>4035623322145004</t>
  </si>
  <si>
    <t>4035623340443001</t>
  </si>
  <si>
    <t>4035623384426003</t>
  </si>
  <si>
    <t>4035623390520005</t>
  </si>
  <si>
    <t>4035627702467003</t>
  </si>
  <si>
    <t>4035627749566007</t>
  </si>
  <si>
    <t>4035628008408006</t>
  </si>
  <si>
    <t>4315811677257026</t>
  </si>
  <si>
    <t>4315813629537000</t>
  </si>
  <si>
    <t>4315813803605003</t>
  </si>
  <si>
    <t>4315814057656015</t>
  </si>
  <si>
    <t>4315814382873004</t>
  </si>
  <si>
    <t>4375513662380006</t>
  </si>
  <si>
    <t>4375515496577004</t>
  </si>
  <si>
    <t>4375518931216006</t>
  </si>
  <si>
    <t>4748460129917006</t>
  </si>
  <si>
    <t>4748464732868002</t>
  </si>
  <si>
    <t>4748467945341006</t>
  </si>
  <si>
    <t>4748467949270011</t>
  </si>
  <si>
    <t>4748468233027000</t>
  </si>
  <si>
    <t>4748468325916011</t>
  </si>
  <si>
    <t>4748468456303005</t>
  </si>
  <si>
    <t>4748468518217003</t>
  </si>
  <si>
    <t>4748468594341008</t>
  </si>
  <si>
    <t>4748468816869000</t>
  </si>
  <si>
    <t>4748468865769002</t>
  </si>
  <si>
    <t>4748469452459007</t>
  </si>
  <si>
    <t>5241936776772009</t>
  </si>
  <si>
    <t>5241936858781001</t>
  </si>
  <si>
    <t>6528680394088008</t>
  </si>
  <si>
    <t>6528680627667008</t>
  </si>
  <si>
    <t>4035620925894012</t>
  </si>
  <si>
    <t>4073520068148015</t>
  </si>
  <si>
    <t>4073520149537004</t>
  </si>
  <si>
    <t>4073520278851010</t>
  </si>
  <si>
    <t>4073520308741009</t>
  </si>
  <si>
    <t>4073520320209001</t>
  </si>
  <si>
    <t>4073520361249007</t>
  </si>
  <si>
    <t>4073520399218008</t>
  </si>
  <si>
    <t>4073520406933003</t>
  </si>
  <si>
    <t>4073520412716004</t>
  </si>
  <si>
    <t>4375518349010017</t>
  </si>
  <si>
    <t>4748460733594019</t>
  </si>
  <si>
    <t>4748460819680005</t>
  </si>
  <si>
    <t>4748460950791017</t>
  </si>
  <si>
    <t>4748461011076018</t>
  </si>
  <si>
    <t>4748461058545016</t>
  </si>
  <si>
    <t>4748461080352001</t>
  </si>
  <si>
    <t>4748461169569012</t>
  </si>
  <si>
    <t>4748461213306007</t>
  </si>
  <si>
    <t>4748461216338007</t>
  </si>
  <si>
    <t>4748461247802005</t>
  </si>
  <si>
    <t>4748461506324006</t>
  </si>
  <si>
    <t>4748464700380006</t>
  </si>
  <si>
    <t>4748464712342002</t>
  </si>
  <si>
    <t>4748464719424019</t>
  </si>
  <si>
    <t>4748464719904002</t>
  </si>
  <si>
    <t>4748464723817000</t>
  </si>
  <si>
    <t>4748464725090002</t>
  </si>
  <si>
    <t>4748464726574004</t>
  </si>
  <si>
    <t>4748464726636001</t>
  </si>
  <si>
    <t>4748464727806009</t>
  </si>
  <si>
    <t>4748464729318003</t>
  </si>
  <si>
    <t>4748464730912000</t>
  </si>
  <si>
    <t>4748464731607005</t>
  </si>
  <si>
    <t>4748464732390007</t>
  </si>
  <si>
    <t>4748464733732009</t>
  </si>
  <si>
    <t>4748464734492009</t>
  </si>
  <si>
    <t>4748464734721001</t>
  </si>
  <si>
    <t>4748464735406008</t>
  </si>
  <si>
    <t>4748464736879005</t>
  </si>
  <si>
    <t>4748464737101003</t>
  </si>
  <si>
    <t>4748464737666005</t>
  </si>
  <si>
    <t>4748464740323008</t>
  </si>
  <si>
    <t>4748464740455008</t>
  </si>
  <si>
    <t>4748464740550006</t>
  </si>
  <si>
    <t>4748464744449015</t>
  </si>
  <si>
    <t>4748464744683001</t>
  </si>
  <si>
    <t>4748464745301009</t>
  </si>
  <si>
    <t>4748464746948006</t>
  </si>
  <si>
    <t>4748464752727005</t>
  </si>
  <si>
    <t>4748464753219002</t>
  </si>
  <si>
    <t>4748464754817002</t>
  </si>
  <si>
    <t>4748464755088009</t>
  </si>
  <si>
    <t>5241935707036005</t>
  </si>
  <si>
    <t>5241935713974009</t>
  </si>
  <si>
    <t>5241935714151003</t>
  </si>
  <si>
    <t>5241935730939001</t>
  </si>
  <si>
    <t>5241935736752010</t>
  </si>
  <si>
    <t>5241935753278006</t>
  </si>
  <si>
    <t>5241935776890001</t>
  </si>
  <si>
    <t>5241935783552008</t>
  </si>
  <si>
    <t>5241935787762009</t>
  </si>
  <si>
    <t>5241935788707003</t>
  </si>
  <si>
    <t>5241935796367006</t>
  </si>
  <si>
    <t>5241935799793000</t>
  </si>
  <si>
    <t>5241935810382007</t>
  </si>
  <si>
    <t>5241935810746003</t>
  </si>
  <si>
    <t>6528690017962000</t>
  </si>
  <si>
    <t>6528690035107000</t>
  </si>
  <si>
    <t>6528690147408007</t>
  </si>
  <si>
    <t>6528690170136004</t>
  </si>
  <si>
    <t>4315814673518011</t>
  </si>
  <si>
    <t>4375510765534018</t>
  </si>
  <si>
    <t>4375516423084015</t>
  </si>
  <si>
    <t>4501721396182005</t>
  </si>
  <si>
    <t>MR MAISA ABHIRAM</t>
  </si>
  <si>
    <t>MR PRABANJAN PRABANJAN</t>
  </si>
  <si>
    <t>MR NARAMAMIDI SURYACHANDRA SEKHAR</t>
  </si>
  <si>
    <t>MR CHANDU YEDUKONDALU</t>
  </si>
  <si>
    <t>MR KATIKAM ASHOK REDDY</t>
  </si>
  <si>
    <t>MR SHAIK SHAJAHAN</t>
  </si>
  <si>
    <t>MR KOTHA RAMA KOTESWARA PRASANTH</t>
  </si>
  <si>
    <t>MR VADLURI PRADEEP KUMAR</t>
  </si>
  <si>
    <t>MS DHANASRI BOJJA</t>
  </si>
  <si>
    <t>MR CHINTHA SRINIVAS</t>
  </si>
  <si>
    <t>MS AKKAM SIDDAVVA</t>
  </si>
  <si>
    <t>MR NEERATI CHANDRAIAH</t>
  </si>
  <si>
    <t>MR DHARLA HARISH</t>
  </si>
  <si>
    <t>MR PULIGADDA SANDEEP</t>
  </si>
  <si>
    <t>MR NARENDAR KAMBALA</t>
  </si>
  <si>
    <t>MR VUNUKONDA AKHIL BABU</t>
  </si>
  <si>
    <t>MR CHALLA JANARDHAN</t>
  </si>
  <si>
    <t>MS URKONDA SRAVANI</t>
  </si>
  <si>
    <t>MR TAMMU SATYANARAYANA</t>
  </si>
  <si>
    <t>MR KASU SRINIVAS</t>
  </si>
  <si>
    <t>MR RASUPALEM VEERAREDDY</t>
  </si>
  <si>
    <t>MR BAGE MAHENDER REDDY</t>
  </si>
  <si>
    <t>MR BILLA SEKHAR</t>
  </si>
  <si>
    <t>MR JATROTHU SAI</t>
  </si>
  <si>
    <t>MR GAJULA BABU</t>
  </si>
  <si>
    <t>MR SEELLA SUNIL KUMAR</t>
  </si>
  <si>
    <t>MS MUDDI BHAGYA</t>
  </si>
  <si>
    <t>MR MARAMULLA DAVIDRAJU</t>
  </si>
  <si>
    <t>Mr KOTIPALLI SRINIVASARAO</t>
  </si>
  <si>
    <t>Mr GADIBAVI SAI KALYANI</t>
  </si>
  <si>
    <t>MR BELLAMKONDA  BELLAMKONDA LAKSHMIKANTH</t>
  </si>
  <si>
    <t>MR Veluri Mani Naga</t>
  </si>
  <si>
    <t>MR GSurya Narayana Reddy</t>
  </si>
  <si>
    <t>MR Burra Chandrasen</t>
  </si>
  <si>
    <t>MS Sista Phani Sailaja</t>
  </si>
  <si>
    <t>MR KANKESH CHENNAIIAH DON</t>
  </si>
  <si>
    <t>MR YAPARLA SATYAM REDDY</t>
  </si>
  <si>
    <t>Mr Vishnu Salla</t>
  </si>
  <si>
    <t>MR Thadakala Kranthi Kumar</t>
  </si>
  <si>
    <t>MS MANDA MAHESHWARI</t>
  </si>
  <si>
    <t>MS ADEPU MEENA KUMARI</t>
  </si>
  <si>
    <t>MR S VIJAYANAND</t>
  </si>
  <si>
    <t>Mr VALLABANENI ROHITH</t>
  </si>
  <si>
    <t>MR SHAIK MASTAN VALI</t>
  </si>
  <si>
    <t>MR SHAIK JAMEER</t>
  </si>
  <si>
    <t>MR MADDIPATI CHANDU</t>
  </si>
  <si>
    <t>MS MRUDULA VISSAMSETTI</t>
  </si>
  <si>
    <t>MR SHANMUKHA NAGA VINAY KUKKALA</t>
  </si>
  <si>
    <t>Mr PERABATTULA CHINA PULLAYA</t>
  </si>
  <si>
    <t>MR SRIGIRI SIVA SUBRAHMANYAM</t>
  </si>
  <si>
    <t>MS B HEMA</t>
  </si>
  <si>
    <t>MR MARRIBOINA HARSHAVARDHAN</t>
  </si>
  <si>
    <t>MR KOTIKALAPUDI HEMANTH KUMAR</t>
  </si>
  <si>
    <t>MR K GOVARDHAN REDDY</t>
  </si>
  <si>
    <t>MR JUTTIKA S K CHAITANYA</t>
  </si>
  <si>
    <t>MR MD HASSAN</t>
  </si>
  <si>
    <t>MS ARUTLA SRAVANI</t>
  </si>
  <si>
    <t>MR REDDY RAVI TEJA</t>
  </si>
  <si>
    <t>MR PALEM SRIKANTH GOUD</t>
  </si>
  <si>
    <t>MR MOHAMMED ANWAR</t>
  </si>
  <si>
    <t>MR BANDARI VISHWA TEJA</t>
  </si>
  <si>
    <t>MS CHIPPALAPALLY UPARNA</t>
  </si>
  <si>
    <t>MR YESUPOGU SURYA PRAKASH</t>
  </si>
  <si>
    <t>MR VOORADI ARUN KUMAR</t>
  </si>
  <si>
    <t>MR BELLAM GOPI</t>
  </si>
  <si>
    <t>MR AENAPALLY YADAGIRI</t>
  </si>
  <si>
    <t>MR THALAKOTI SUKANYA</t>
  </si>
  <si>
    <t>MR KONDANNA GARI MAHAMMAD</t>
  </si>
  <si>
    <t>MR KOLLURU VENKATESH</t>
  </si>
  <si>
    <t>MR GANAPATIRAJU HARIKRISHNA</t>
  </si>
  <si>
    <t>MR AVULA MOHANREDDY</t>
  </si>
  <si>
    <t>MS KARUTURI JAHNAVI</t>
  </si>
  <si>
    <t>MR ANDRU MOHANA KRISHNA</t>
  </si>
  <si>
    <t>MR SINGARAJU SRIKANTH</t>
  </si>
  <si>
    <t>MR PERAMSETTY GURURAJESH</t>
  </si>
  <si>
    <t>MR SIRIGIRI GOPI</t>
  </si>
  <si>
    <t>MR MADDURU BALA CHANDRA</t>
  </si>
  <si>
    <t>MR D RAJA SEKHAR</t>
  </si>
  <si>
    <t>MR BODDU SHIVASOMANATH</t>
  </si>
  <si>
    <t>MR MUMMADI HARISH</t>
  </si>
  <si>
    <t>MR KATURI ANAND BABU</t>
  </si>
  <si>
    <t>MR THALLAPALLI RAKSHITH</t>
  </si>
  <si>
    <t>MR BAYYARAM PRAMOD</t>
  </si>
  <si>
    <t>MR PULLA VIPIN KUMAR</t>
  </si>
  <si>
    <t>MR ADIPALLY HARSHATH KUMAR</t>
  </si>
  <si>
    <t>MR KONANKI VENKATESWARLU</t>
  </si>
  <si>
    <t>MR MALUGA MANIKANTA</t>
  </si>
  <si>
    <t>MR THUNIKI PRASAD</t>
  </si>
  <si>
    <t>MR JAKKAM SURESH</t>
  </si>
  <si>
    <t>MR SADHANALA SURESH</t>
  </si>
  <si>
    <t>MR KANDA VENKATA RAMARAO</t>
  </si>
  <si>
    <t>MR PUDI VENKATA KRISHNA</t>
  </si>
  <si>
    <t>MR PONDUGU SRINIVAS</t>
  </si>
  <si>
    <t>MR BATTULA CHAITANYA</t>
  </si>
  <si>
    <t>MR SADIRE THIRUPATHI</t>
  </si>
  <si>
    <t>MR NALLAMALA PUNITH</t>
  </si>
  <si>
    <t>MR SAIDULA PARSHA RAMULU</t>
  </si>
  <si>
    <t>MR PULLURU RAMA KRISHNAIAH</t>
  </si>
  <si>
    <t>MR CHILUKURI SADASHIV</t>
  </si>
  <si>
    <t>MR CHETTUPOGU SRIKANTH</t>
  </si>
  <si>
    <t>MR KADIVENDI RAMANA CHARY</t>
  </si>
  <si>
    <t>MR KALLURI AJAY</t>
  </si>
  <si>
    <t>MR BAMPELLY SURESH</t>
  </si>
  <si>
    <t>MR DANTU DURGA PRASAD</t>
  </si>
  <si>
    <t>MS TANVEER SULTANA</t>
  </si>
  <si>
    <t>MR RAMINEEDI MANIKUMAR</t>
  </si>
  <si>
    <t>MR KUNCHA VENUGOPAL</t>
  </si>
  <si>
    <t>MR DILEEP S</t>
  </si>
  <si>
    <t>MR DEVARAKONDA BALAKOTESWARA RAO</t>
  </si>
  <si>
    <t>MR GOUNIPALLI GURUNADHA</t>
  </si>
  <si>
    <t>MR M SAI KIRAN REDDY</t>
  </si>
  <si>
    <t>MS VUTTERLA PADMA</t>
  </si>
  <si>
    <t>MR WASEEM SHAIK</t>
  </si>
  <si>
    <t>MR RAMAKRISHNA KUPPAGIRI</t>
  </si>
  <si>
    <t>MR SHAIK BAJI</t>
  </si>
  <si>
    <t>MR PERUMULLA CHANDRUDU</t>
  </si>
  <si>
    <t>MS GOLLAPALLI SUNITHA</t>
  </si>
  <si>
    <t>MR UBA VIJAYA KUMAR</t>
  </si>
  <si>
    <t>MR Sriram Shivakumar</t>
  </si>
  <si>
    <t>MR NALLURI SUDHAKAR</t>
  </si>
  <si>
    <t>MR KALLEPELLY POCHAMALLU</t>
  </si>
  <si>
    <t>MR GOTTAM MASTHAN</t>
  </si>
  <si>
    <t>MR Etukala Venkatesh</t>
  </si>
  <si>
    <t>MR Mokka Kumar</t>
  </si>
  <si>
    <t>MR SHAIK MOHAMMED RAFI</t>
  </si>
  <si>
    <t>MR. DASARI VENU</t>
  </si>
  <si>
    <t>MR ABDUL RIYAZ SHAIK</t>
  </si>
  <si>
    <t>MR PULIDINDI RAO</t>
  </si>
  <si>
    <t>6303118961</t>
  </si>
  <si>
    <t>7382266487</t>
  </si>
  <si>
    <t>9849723955</t>
  </si>
  <si>
    <t>8179724153</t>
  </si>
  <si>
    <t>9550675282</t>
  </si>
  <si>
    <t>6300697829</t>
  </si>
  <si>
    <t>8686016064</t>
  </si>
  <si>
    <t>9948603320</t>
  </si>
  <si>
    <t>7674054507</t>
  </si>
  <si>
    <t>8919514178</t>
  </si>
  <si>
    <t>9705618981</t>
  </si>
  <si>
    <t>8919105495</t>
  </si>
  <si>
    <t>9177189397</t>
  </si>
  <si>
    <t>7702107768</t>
  </si>
  <si>
    <t>9032032064</t>
  </si>
  <si>
    <t>8919286442</t>
  </si>
  <si>
    <t>9704429103</t>
  </si>
  <si>
    <t>7010489840</t>
  </si>
  <si>
    <t>9502626530</t>
  </si>
  <si>
    <t>9652916956</t>
  </si>
  <si>
    <t>7780710240</t>
  </si>
  <si>
    <t>9985688921</t>
  </si>
  <si>
    <t>9160780459</t>
  </si>
  <si>
    <t>7660800132</t>
  </si>
  <si>
    <t>9182022632</t>
  </si>
  <si>
    <t>9505581769</t>
  </si>
  <si>
    <t>6303683561</t>
  </si>
  <si>
    <t>7337308147</t>
  </si>
  <si>
    <t>9704108085</t>
  </si>
  <si>
    <t>7780371136</t>
  </si>
  <si>
    <t>8801370135</t>
  </si>
  <si>
    <t>8125050640</t>
  </si>
  <si>
    <t>9494492911</t>
  </si>
  <si>
    <t>8328535599</t>
  </si>
  <si>
    <t>9676375699</t>
  </si>
  <si>
    <t>9948506310</t>
  </si>
  <si>
    <t>9966521162</t>
  </si>
  <si>
    <t>9573383833</t>
  </si>
  <si>
    <t>9985996421</t>
  </si>
  <si>
    <t>9381038234</t>
  </si>
  <si>
    <t>7989059754</t>
  </si>
  <si>
    <t>9248759789</t>
  </si>
  <si>
    <t>9701667575</t>
  </si>
  <si>
    <t>8309976978</t>
  </si>
  <si>
    <t>7093628860</t>
  </si>
  <si>
    <t>9573675904</t>
  </si>
  <si>
    <t>7207467888</t>
  </si>
  <si>
    <t>9985998685</t>
  </si>
  <si>
    <t>9989343393</t>
  </si>
  <si>
    <t>9441195212</t>
  </si>
  <si>
    <t>9492379707</t>
  </si>
  <si>
    <t>6304470461</t>
  </si>
  <si>
    <t>9553030924</t>
  </si>
  <si>
    <t>8790132492</t>
  </si>
  <si>
    <t>9985265146</t>
  </si>
  <si>
    <t>7729869919</t>
  </si>
  <si>
    <t>7013062548</t>
  </si>
  <si>
    <t>8099996090</t>
  </si>
  <si>
    <t>9908364672</t>
  </si>
  <si>
    <t>9989648073</t>
  </si>
  <si>
    <t>7993177387</t>
  </si>
  <si>
    <t>9505626079</t>
  </si>
  <si>
    <t>9441911761</t>
  </si>
  <si>
    <t>7386668883</t>
  </si>
  <si>
    <t>9908229920</t>
  </si>
  <si>
    <t>9032682512</t>
  </si>
  <si>
    <t>9959054096</t>
  </si>
  <si>
    <t>9502410415</t>
  </si>
  <si>
    <t>9490984867</t>
  </si>
  <si>
    <t>6281224635</t>
  </si>
  <si>
    <t>7989777871</t>
  </si>
  <si>
    <t>6304676522</t>
  </si>
  <si>
    <t>9908340528</t>
  </si>
  <si>
    <t>9030120143</t>
  </si>
  <si>
    <t>8686862571</t>
  </si>
  <si>
    <t>9603880524</t>
  </si>
  <si>
    <t>9052678935</t>
  </si>
  <si>
    <t>9985676066</t>
  </si>
  <si>
    <t>8099948668</t>
  </si>
  <si>
    <t>9177585337</t>
  </si>
  <si>
    <t>6309255886</t>
  </si>
  <si>
    <t>8555066945</t>
  </si>
  <si>
    <t>7306883511</t>
  </si>
  <si>
    <t>7799111113</t>
  </si>
  <si>
    <t>9398041008</t>
  </si>
  <si>
    <t>9133114562</t>
  </si>
  <si>
    <t>9705552733</t>
  </si>
  <si>
    <t>9398272098</t>
  </si>
  <si>
    <t>9676481899</t>
  </si>
  <si>
    <t>9603363442</t>
  </si>
  <si>
    <t>8919169408</t>
  </si>
  <si>
    <t>8919454689</t>
  </si>
  <si>
    <t>9949760960</t>
  </si>
  <si>
    <t>9177002346</t>
  </si>
  <si>
    <t>9515580860</t>
  </si>
  <si>
    <t>9490508288</t>
  </si>
  <si>
    <t>9963771934</t>
  </si>
  <si>
    <t>9573307050</t>
  </si>
  <si>
    <t>7730904376</t>
  </si>
  <si>
    <t>9110738391</t>
  </si>
  <si>
    <t>8099822390</t>
  </si>
  <si>
    <t>9160233713</t>
  </si>
  <si>
    <t>8639164940</t>
  </si>
  <si>
    <t>7997499850</t>
  </si>
  <si>
    <t>7989775218</t>
  </si>
  <si>
    <t>7396167631</t>
  </si>
  <si>
    <t>9494503310</t>
  </si>
  <si>
    <t>9000873509</t>
  </si>
  <si>
    <t>9666161771</t>
  </si>
  <si>
    <t>8142417200</t>
  </si>
  <si>
    <t>7660808843</t>
  </si>
  <si>
    <t>9666652983</t>
  </si>
  <si>
    <t>9989414142</t>
  </si>
  <si>
    <t>9149667469</t>
  </si>
  <si>
    <t>9966943012</t>
  </si>
  <si>
    <t>8247804180</t>
  </si>
  <si>
    <t>8919665047</t>
  </si>
  <si>
    <t>9676613974</t>
  </si>
  <si>
    <t>9948299722</t>
  </si>
  <si>
    <t>8919906560</t>
  </si>
  <si>
    <t>7416135209</t>
  </si>
  <si>
    <t>8523823440</t>
  </si>
  <si>
    <t>7095367308</t>
  </si>
  <si>
    <t>9848715133</t>
  </si>
  <si>
    <t>8712341862</t>
  </si>
  <si>
    <t>9505880066</t>
  </si>
  <si>
    <t>7799278273</t>
  </si>
  <si>
    <t>9182171249</t>
  </si>
  <si>
    <t xml:space="preserve">"HOUSE,NUMBER 10-14-1888,SEETHARAM,NAGAR," ",COLONY NEAR VARNI,ROAD NIZAMABAD,SOUTH" MANDAL "NEAR ESI HOSPITAL ,RADIO STATION" NIZAMABAD TNG 503001 </t>
  </si>
  <si>
    <t xml:space="preserve">"3-33, KOTHAPALLI, KOTHAPALLI," "PEDDAMANTUR, GUNTHAKAL" ANANTHAPURAM NEAR MAIN ROAD HINDUPUR ANP 515124 </t>
  </si>
  <si>
    <t xml:space="preserve">2-97 RAMALAYAM VEEDHI   West Godavari ANP 534313 </t>
  </si>
  <si>
    <t xml:space="preserve">HNO 1-23 CHAKRAYAPALEM GUNTUR ANDHRA PRADESH GUNTUR NEAR HANUMAN TEMPLE GUNTUR ANP 522301 </t>
  </si>
  <si>
    <t xml:space="preserve">"1-29/13,.,WADI" ...  "MACHAREDDY,KAMAREDDY," NIZAMABAD TNG 503123 </t>
  </si>
  <si>
    <t xml:space="preserve">78/145 VINAYAKA MANYAM PODALAKURU NEAR KAKATHIYA JUNIOR COLLEGE GUDUR ANP 524345 </t>
  </si>
  <si>
    <t xml:space="preserve">"FLAT NO.11," "8, SESHADRI BLOCK, SRIHARI NIVASAM.," GUNTUR - GUNTUR ANP 522034 </t>
  </si>
  <si>
    <t xml:space="preserve">2-231/1 POOSALA ROAD  KARIMNAGAR KARIMNAGAR TNG 505185 </t>
  </si>
  <si>
    <t xml:space="preserve">4-143 GANNIDI VARI STREET PENTAPADU VALLAMMA PETA TADEPALLIGUDEM ANP 534166 </t>
  </si>
  <si>
    <t xml:space="preserve">3-45 TIMMAMPET DUGGONDI MANDAL TIMMAMPET NEAR ZP HIGH SCHOOL WARANGAL TNG 506331 </t>
  </si>
  <si>
    <t xml:space="preserve">"H NO,4-40 YADARAM DOMAKONDA,MANDALAM,YAD" YADARAM  NR WATER TANK NIZAMABAD TNG 503125 </t>
  </si>
  <si>
    <t xml:space="preserve">9-32/A SHABAD HARIJANAVADA SHABAD WANAPARTHY TNG 509217 </t>
  </si>
  <si>
    <t xml:space="preserve">10-20 CHIKKUDUGUNTA RAMANIJAVARAN MANUGURU NR BTS POWER PLANT KHAMMAM TNG 507117 </t>
  </si>
  <si>
    <t xml:space="preserve">2-16-1 RAMALAYAM STREET NEAR RAMALAYAM BALUSULAPALEM  NEAR RAMALAYAM GUNTUR ANP 522309 </t>
  </si>
  <si>
    <t xml:space="preserve">H NO 4-65/1/21/K GANESH NAGAR "SURYAPET DIST,KODAD" OPP C C REDDY SCHOOL SURYAPET TNG 508206 </t>
  </si>
  <si>
    <t xml:space="preserve">16-8-244/1 "GODAVARIKHANI, PEDDAPALLI" KAKATHIYA NAGAR KARIMNAGAR PEDDAPALLI TNG 505209 </t>
  </si>
  <si>
    <t xml:space="preserve">"1-36 VIDYANAGAR NELLORE, CHENDODU" NELLORE  BUS STOP GUDUR ANP 524413 </t>
  </si>
  <si>
    <t xml:space="preserve">"9-37,NANDANAVANAM TOWNSHIP,BESIDE,MADHUC" "ON,,GRANIT KHAMMAM,RURAL,MUTHAGUDEM"  "NEAR BY KARTHEKEYA VENTURE,MADHUCON GRAN" KHAMMAM TNG 507163 </t>
  </si>
  <si>
    <t xml:space="preserve">"1-288,/2,Mani Nilayam" ",DNR College Road" Rayalam Rural Abdul Kalam Nagar BHIMAVARAM ANP 534208 </t>
  </si>
  <si>
    <t xml:space="preserve">4-7-110/1 VIDYA NAGAR VIDYA NAGAR ADILABAD ADILABAD TNG 504001 </t>
  </si>
  <si>
    <t xml:space="preserve">9-1-61 SURENDRANAGAR  CUDDAPAH CUDDAPAH ANP 516227 </t>
  </si>
  <si>
    <t xml:space="preserve">18-204/2/A ESHWARY COLONY LATTU VIJAYA SRI SHADNAGAR NEAR VISWASHANTHI SCHOOL MAHBOOBNAGAR TNG 509126 </t>
  </si>
  <si>
    <t xml:space="preserve">"16-8-22/A NIMMA THOTA,NARASARAOPET GUNTU" "R, ANDHRAPRADESH,522601"  ATM GUNTUR ANP 522601 </t>
  </si>
  <si>
    <t xml:space="preserve">11-100/11 CHINTHAKUNTA SHANTHINAGAR TOWER BUILDING ADILABAD TNG 505001 </t>
  </si>
  <si>
    <t xml:space="preserve">"9-11,MAIN ROOD NUTHANAKAL,MANDALAM,NUTHA" "NKAL,,NUTHANKAL"  MAIN ROAD SURYAPET TNG 508221 </t>
  </si>
  <si>
    <t xml:space="preserve">"NALLA VAGU PALLE,NALLA VAGU PALLE" KURNOOL  MAIN ROAD NANDYAL ANP 518543 </t>
  </si>
  <si>
    <t xml:space="preserve">"2/19,AMBAKA PALLI AMBAKA,PALLE,CUDDAPAH," ",CHINNAKUDALA"  MAIN ROAD PRODDATUR ANP 516396 </t>
  </si>
  <si>
    <t xml:space="preserve">"6-150,YELESWARAM,MAIN RAOD,SIRIPURAM" ...  NEAR AMBEDKAR STATUE KAKINADA ANP 533432 </t>
  </si>
  <si>
    <t xml:space="preserve">"BLOCK,NO-48 GF-8 RAJIV GRUHA,KALPA," "DAIRY FARM CENTRER,KAKINADA  URBAN"   KAKINADA ANP 533001 </t>
  </si>
  <si>
    <t xml:space="preserve">"1-11,SANAGALAGUDURU,SANAGALAGUDURU,PUTLURU," SANAGALAGUDURU ANANTAPUR   TADPATRI ANP 515411 </t>
  </si>
  <si>
    <t xml:space="preserve">"D NO,63-7-812 BALAJI NAGAR,5TH LINE," "NEAR HINDU HIGH,SCHOOL OLD,GUNTUR"   GUNTUR ANP 522001 </t>
  </si>
  <si>
    <t xml:space="preserve">H NO 35-2-1080 SAIKESHAVA COLONY GOPALPUR BHIMARAM  NEAR KALLU MANDUVA BHIMARAM RURAL WARANGAL ANP 506015 </t>
  </si>
  <si>
    <t xml:space="preserve">43 106 1 22B Ajith Singh Nagar Indira Nayak Nagar Krishna VIJAYAWADA ANP 520015 </t>
  </si>
  <si>
    <t xml:space="preserve">4 106   JULEPALLE NANDYAL ANP 518674 </t>
  </si>
  <si>
    <t xml:space="preserve">1.289 Mudigubba Mudigubba Mudigubba HINDUPUR ANP 515511 </t>
  </si>
  <si>
    <t xml:space="preserve">53.4.23 PALAKOL SOMESWARA.AGRAHARAM PALAKOL PALAKOL ANP 534260 </t>
  </si>
  <si>
    <t xml:space="preserve">"-,1 58 0 YELLAREDDY PALLY,-,0," "YELLAREDDY PALLY,KOILKONDA,0 MAHABUBNAGAR" MAHABUB NAGAR - MAHABUB NAGAR TNG 509371 </t>
  </si>
  <si>
    <t xml:space="preserve">4 35 NAKKALAVAGULA PALLI DHONE  KURNOOL ANP 518222 </t>
  </si>
  <si>
    <t xml:space="preserve">1-236/14  MARUTHI NAGAR  NEAR RDO OFFICE MANCHERIAL  MANCHERIAL CEMENT WORKS   Adilabad TNG 504209 </t>
  </si>
  <si>
    <t xml:space="preserve">1-37/1 BRAHMANAPALLY BRAHMANAPALLY Karimnagar KARIMNAGAR TNG 505504 </t>
  </si>
  <si>
    <t xml:space="preserve">2 116/3 THAMADAPALLE I IPPAGUDEM  JANGOAN WARANGAL TNG 506143 </t>
  </si>
  <si>
    <t xml:space="preserve">H.NO3-5-153 KOTAGALLI NIZAAMABAD NIZAMABAD NEAR USHAMAYURI THEATRE NIZAMABAD TNG 503001 </t>
  </si>
  <si>
    <t xml:space="preserve">"D NO 15-8-103," 1ST LINE JAKEER HUSSEN NAGAR "OLD GUNTUR,GUNTUR" NEAR MUSJID GUNTUR ANP 522001 </t>
  </si>
  <si>
    <t xml:space="preserve">"4-80/2,SC COLONY HUZUR NAGAR MANDALAM" NALGONDA  OPP TRS FLAG SURYAPET TNG 508204 </t>
  </si>
  <si>
    <t xml:space="preserve">1 33 PULLAREDDY PALLE PRAKASAM  NEAR SCHOOL NANDYAL ANP 523373 </t>
  </si>
  <si>
    <t xml:space="preserve">6-3 KARANAM GANDAVARAM KODAVALUR NELLORE  . NELLORE ANP 524317 </t>
  </si>
  <si>
    <t xml:space="preserve">3-68 ADAMILLI ADAMILLI KAMAVARAPUKOTA   WEST GODAVARI ANP 534449 </t>
  </si>
  <si>
    <t xml:space="preserve">"33-18-11 CH VENKATA,.,KRISHNAIAH STREET M," "J NAIDU,HOSPITAL SURYARAOPET URBAN"   KRISHNA ANP 520002 </t>
  </si>
  <si>
    <t xml:space="preserve">3 93 2 CHINTHALAGARUVU VADDIPARRU    BHIMAVARAM ANP 534267 </t>
  </si>
  <si>
    <t xml:space="preserve">"2-76/3 VAKALAGARUVU,VAKALAGARUVU," VAAKALA GARUVU   AMALAPURAM ANP 533218 </t>
  </si>
  <si>
    <t xml:space="preserve">10-15/465B GUTALA MAIN ROAD DEVANAM West Godavari ANP 534341 </t>
  </si>
  <si>
    <t xml:space="preserve">"2-25/2 NAGIREDDI COLONY,PILERU,.,PILERU," ...  MAIN ROAD TIRUPATHI ANP 517214 </t>
  </si>
  <si>
    <t xml:space="preserve">1/199 1ST WARD VILLAGE KALLUR  Y.S.R. CUP ANP 516355 </t>
  </si>
  <si>
    <t xml:space="preserve">"26-12-1422 SNEHA NAGAR,NEAR,LEPRASI," "HOSPITAL B V NAGAR,NELLORE"   NELLORE ANP 524004 </t>
  </si>
  <si>
    <t xml:space="preserve">1/78 MOLLACHERUVU CUDDAPAH GOVT SCHOOL NEAR PRODDATUR ANP 516321 </t>
  </si>
  <si>
    <t xml:space="preserve">"5-2,PADAMATI GOPURAM,DRAKSHARAMA" - EAST GODAVARI - EAST GODAVARI ANP 533262 </t>
  </si>
  <si>
    <t xml:space="preserve">"H NO 6-5-75,NALSAB GADDA,SANGAREDDY"    MEDAK TNG 502001 </t>
  </si>
  <si>
    <t xml:space="preserve">3-10-20 BAHARPET  BHUVANAGIRI NALGONDA TNG 508116 </t>
  </si>
  <si>
    <t xml:space="preserve">5-175   MAHBUBNAGAR WANAPARTHY TNG 509203 </t>
  </si>
  <si>
    <t xml:space="preserve">3-69 RAJAPUR MANDALAM RAYAPALLY  WANAPARTHY TNG 509202 </t>
  </si>
  <si>
    <t xml:space="preserve">25-11 BADEPALLY FAZAL BANDA NEAR MADINA MASJID JEDCHERLA TNG 509301 </t>
  </si>
  <si>
    <t xml:space="preserve">14-85 SUBASH COLONY  WARANGAL WARANGAL TNG 506169 </t>
  </si>
  <si>
    <t xml:space="preserve">"4-11-434/4, CHAITANYAPURI COLONY," "FROM GV GUDAM ROAD TO NATION," NALGONDA NEAR NATIONAL FUNCTION HALL NALGONDA TNG 508001 </t>
  </si>
  <si>
    <t xml:space="preserve">4-8-265 SRISAILAM SC COLONY KOTHAPETA KURNOOL ANP 518101 </t>
  </si>
  <si>
    <t xml:space="preserve">"1-4-,KRISHNA NAGAR,98/1 FLR,JAGTIAL,JAGTIAL" - KARIMNAGAR - KARIMNAGAR TNG 505327 </t>
  </si>
  <si>
    <t xml:space="preserve">ROOM NO 114 A HOSTEL DIVIS LABS LINGOJI GUDEM  NEAR DIVIS LABS NALGONDA ANP 508252 </t>
  </si>
  <si>
    <t xml:space="preserve">1-1-119/A/7/2/B THALLA GADDA SURYAPET BESIDE MUNICIPAL WATER TANK GATE  NEXT LANE OF GOVT PRIMARY SCHOOL SURYAPET TNG 508213 </t>
  </si>
  <si>
    <t xml:space="preserve">1-1-931/303 SIDHARTHA NAGAR HANUMAKONDA KAZIPET  NEAR COMMUNITY HALL WARANGAL TNG 506004 </t>
  </si>
  <si>
    <t xml:space="preserve">"M,VARADAYAPALLI,.,PEDDAPAPPURU,MUCHUKOTA" - ANANTHAPUR - ANANTHAPUR ANP 515445 </t>
  </si>
  <si>
    <t xml:space="preserve">16-12-55 OLD GUNTUR ANJANEYASWAMY TEMPLE STREET GUNTUR GUNTUR ANP 522001 </t>
  </si>
  <si>
    <t xml:space="preserve">"25-9-283 4TH CROSS ROAD,Z P,COLONY PODAL" "AKUR,,ROAD"  RED CROSS SOCIETY NELLORE ANP 524004 </t>
  </si>
  <si>
    <t xml:space="preserve">"GANGUVARI PALLI K V,PALLI,.,.,." ...CHITTOOR ANDHRAPRADESH  HNO-46 TIRUPATHI ANP 517213 </t>
  </si>
  <si>
    <t xml:space="preserve">"2-3,TANUKU MANDALAM,MANDAPAKA,RURAL,.,.," "RURAL ,WEST GODAVARI," "WEST GODAVARI,ANDHRAPRADESH" NEAR MANIKANTA MILK CENTER BHIMAVARAM ANP 534218 </t>
  </si>
  <si>
    <t xml:space="preserve">DOOR NUMBER-21-36 CHINA PETA  WEST GODAVARI BHIMAVARAM ANP 534123 </t>
  </si>
  <si>
    <t xml:space="preserve">12-1-36 GANTA PALEM ONGOLE NEAR PARVATAMMA ONGOLE ANP 523001 </t>
  </si>
  <si>
    <t xml:space="preserve">000 NAIDUPETA MENAKURU NELLORE GUDUR ANP 524421 </t>
  </si>
  <si>
    <t xml:space="preserve">HOUSE NUMBER 0-1 TALAKONDAPALLY PADKAL K.V. RANGAREDDY WANAPARTHY TNG 509408 </t>
  </si>
  <si>
    <t xml:space="preserve">2/132-H KRANTHI NAGAR KRANTHI NAGAR CUDDAPAH PRODDATUR ANP 516309 </t>
  </si>
  <si>
    <t xml:space="preserve">5/171-B NAALA GADDA VEEDHI NAALA GADDA VEEDHI ANANTAPUR ANANTAPUR ANP 515402 </t>
  </si>
  <si>
    <t xml:space="preserve">7-75 RAMANNAPETA HARIJANA WADA NALGONDA NALGONDA TNG 508113 </t>
  </si>
  <si>
    <t xml:space="preserve">2-135 G KOTTHAPALLI BC PETA WEST GODAVARI ELURU ANP 534451 </t>
  </si>
  <si>
    <t xml:space="preserve">16-82 MARLAPALEM  KRISHNA VIJAYAWADA ANP 521101 </t>
  </si>
  <si>
    <t xml:space="preserve">4-5-23/3 JANGAON CHAMAN WARANGAL WARANGAL TNG 506167 </t>
  </si>
  <si>
    <t xml:space="preserve">PLOT 38 VALU HOME "THIMMAPUR," RTO OFFICE KARIMNAGAR TNG 505527 </t>
  </si>
  <si>
    <t xml:space="preserve">"5-11-1184,LAXMI MS RESIDENCY, HANUMAN NA" HANAMKONDA  BESIDE SS CONCEPT SCHOOL WARANGAL TNG 506001 </t>
  </si>
  <si>
    <t xml:space="preserve">H NO 6-6-898 AMBEDKAR NAGAR  KARIMNAGAR ADILABAD TNG 505001 </t>
  </si>
  <si>
    <t xml:space="preserve">5-69 GUDINARAVA  UDAYAGIRI NELLORE ANP 524236 </t>
  </si>
  <si>
    <t xml:space="preserve">6-131   NALGONDA NALGONDA TNG 508112 </t>
  </si>
  <si>
    <t xml:space="preserve">H NO 2-27/3 GHANPUR MANDAL BANGLAPALLY WARANGAL WARANGAL TNG 506345 </t>
  </si>
  <si>
    <t xml:space="preserve">"1-45/10 , GADDERAGADI" OPPOSIT AMMA GARDEN KHAMAN ROAD  NEAR GADDERAGADI BUS STOP ADILABAD TNG 504301 </t>
  </si>
  <si>
    <t xml:space="preserve">5-166/1 S C COLONY  WEST GODAVARI West Godavari ANP 534341 </t>
  </si>
  <si>
    <t xml:space="preserve">1-48/2 GOLLAPROLU MANDALAM KOTTAURU EAST GODAVARI KAKINADA ANP 533449 </t>
  </si>
  <si>
    <t xml:space="preserve">12-6-94/6 PEDDAPURAM MANDALAM BHASKAR COLONY EAST GODAVARI PEDDAPURAM ANP 533437 </t>
  </si>
  <si>
    <t xml:space="preserve">11-7-421/1161 8 INC LINE COLONY SANTHOSH NAGAR KARIMNAGAR KARIMNAGAR TNG 505211 </t>
  </si>
  <si>
    <t xml:space="preserve">3-163 PAMARRU MANDALAM ......................... EAST GODAVARI KAKINADA ANP 533262 </t>
  </si>
  <si>
    <t xml:space="preserve">H NO 1-99/1 THIMMAPUR MANDLAM  KARIMNAGAR HYDERABAD TNG 505469 </t>
  </si>
  <si>
    <t xml:space="preserve">H.NO 1/25 KOSOGI VILLAGE KOSIGI MANDAL KURNOOL OPPOSITE RTC BUSTAND SRI VISHNU MEDICAL KURNOOL ANP 518313 </t>
  </si>
  <si>
    <t xml:space="preserve">H.NO. 4-135/5 CHANDLAPUR   MEDAK TNG 502276 </t>
  </si>
  <si>
    <t xml:space="preserve">"DOOR NO 3-114-A,BC" "KHAJIPETA,KHAJIPETA" CUDDAPAH NEAR BY MANNAN CHURCH CUDDAPAH ANP 516203 </t>
  </si>
  <si>
    <t xml:space="preserve">1-116 RAJURA RAJURA  ADILABAD TNG 504310 </t>
  </si>
  <si>
    <t xml:space="preserve">H.NO 00 MACHERLA MUNICIPALITY MAIN ROAD MACHERLA MANDAL MACHERLA PALANADU NEAR HEAD WATER PAMPU HOUSE NARASAPURAM ANP 522426 </t>
  </si>
  <si>
    <t xml:space="preserve">H NO 1-75/2 PARAKAL MANDAL SEETHARAMPURAM  WARANGAL TNG 506164 </t>
  </si>
  <si>
    <t xml:space="preserve">9-71 BEJJANKI BEJJANKI NEAR BUS STOP KARIMNAGAR TNG 505528 </t>
  </si>
  <si>
    <t xml:space="preserve">55-1-325/1 BHEEMARAM BHEEMARAM NEAR RADHIKA HOSPITAL WARANGAL TNG 506009 </t>
  </si>
  <si>
    <t xml:space="preserve">3-92/1 PEDAVEGI MANDALAM KAVVAGUNTA VILLAGE  ELURU ANP 534475 </t>
  </si>
  <si>
    <t xml:space="preserve">H NO 1-1-988 BODHAN MUNCIPAL RAKASIPET  NIZAMABAD TNG 503185 </t>
  </si>
  <si>
    <t xml:space="preserve">13-2-1M/154 JAGGAYYA CHERUVU VERTERINARY HOSPITAL ROAD  KAKINADA ANP 533450 </t>
  </si>
  <si>
    <t xml:space="preserve">"26-03-2434/2B V NAGAR, NEAR SADHANA" "SCHOOL , NELLORE , NELLORE  2" NELLORE NEAR SADHANA SCHOOL NELLORE ANP 524003 </t>
  </si>
  <si>
    <t xml:space="preserve">H NO 9-231 TEACHERS COLONY ADILABAD  NEAR MAIN ROAD ADILABAD TNG 504001 </t>
  </si>
  <si>
    <t xml:space="preserve">5-145 KHAJIPALEM GUNTUR MAIN ROAD GUNTUR ANP 522329 </t>
  </si>
  <si>
    <t xml:space="preserve">12/13B MEDAPALLI KOTHAPALLI MALLUR CUDDAPAH CHINNAMANDEM DINNE MAIN ROAD CUDDAPAH ANP 516214 </t>
  </si>
  <si>
    <t xml:space="preserve">5-63 MAIN ROAD VALIGONDA EDULLAGUDA  NEAR ZPHS HIGH SCHOOL NALGONDA TNG 508112 </t>
  </si>
  <si>
    <t xml:space="preserve">2-6-149  CHANDRANNAKUNTA CHANDRANNAKUNTA NALGONDANALGONDATELANGANA NEAR MAIN ROAD SURYAPET TNG 508213 </t>
  </si>
  <si>
    <t xml:space="preserve">H NO QNB-11 VITTAL NAGAR NEAR SBI BANK GODAVARIKHANI VITTAL NAGAR KARIMNAGAR MAIN ROAD KARIMNAGAR TNG 505214 </t>
  </si>
  <si>
    <t xml:space="preserve">H NO-2 131 AMBTAANIPALLY HANWADA MANDAL  NEAR BUS STOP MAHBOOBNAGAR TNG 509334 </t>
  </si>
  <si>
    <t xml:space="preserve">15-12-153 "VENKATARAO PET,GUNTUR" 2ND LINE NEAR MAIN ROAD GUNTUR ANP 522001 </t>
  </si>
  <si>
    <t xml:space="preserve">"30-10-15 SURYANARAYANA,PURAM,,ATHAM VARI" "STREET,KAKINADA  URBAN"  NEAR ATHAM VARI STREET KAKINADA ANP 533001 </t>
  </si>
  <si>
    <t xml:space="preserve">H NO.9-6-32 SANYASI BATHI KOTHAGUDEM NEAR TEMPLE KHAMMAM TNG 507101 </t>
  </si>
  <si>
    <t xml:space="preserve">"DOOR NO 2-61," AREDU POST  UNDI BHIMAVARAM ANP 534199 </t>
  </si>
  <si>
    <t xml:space="preserve">1-14/2 chityala  Jayashankar Bhupalapally WNL TNG 506348 </t>
  </si>
  <si>
    <t xml:space="preserve">28 "6 340,HOUSING BOARD COLONY NEAR MASID ANANTAP"  Anantapur ANA ANP 515001 </t>
  </si>
  <si>
    <t xml:space="preserve">5-8 MANAKONDUR MANDALAM AMBETHKAR NAGAR  HYDERABAD TNG 505469 </t>
  </si>
  <si>
    <t xml:space="preserve">"CHAKRADHAR COLONY,6/384,TALLAPAKA,TALLAP" AKA  NEAR MAIN ROAD CUDDAPAH ANP 516126 </t>
  </si>
  <si>
    <t xml:space="preserve">1-138-A CHATLAMITTA PRAKASAM CHATLA MITTA  Prakasam ONG ANP 523320 </t>
  </si>
  <si>
    <t xml:space="preserve">House number - 5 3 90 "LATCHIRAJU VEEDHI , SURYARAOPETA, EAST GODAVA"  SURYARAOPETAEast Godavari KKN ANP 533001 </t>
  </si>
  <si>
    <t xml:space="preserve">25.17.219.2ND.ZENDA.CHETTU. STREET.NIZAM.BAZAR.SRINIVASARAO.PETA ..  GUNTUR ANP 522004 </t>
  </si>
  <si>
    <t xml:space="preserve">HNO C7VL QUATERS RDO BUNGALOW ACC MANCHERIAL  NEAR BUS STAND ADILABAD TNG 504208 </t>
  </si>
  <si>
    <t xml:space="preserve">"HAZI SAIDA MANZIL,8-6-14,VARAVAKATTA,,NA" RASARAOPET  GUNTAR GUNTUR ANP 522601 </t>
  </si>
  <si>
    <t xml:space="preserve">"12-147/1 HARIJANA PETA,PENTAPADU MANDALAM," "PENTAPADU WEST,GODAVARI ANDHRA PRADESH 534166"   WEST GODAVARI ANP 534166 </t>
  </si>
  <si>
    <t xml:space="preserve">CAPGEMINI TECHNOLOGY SERVICES INDIA LIMI CAPGEMINI KNOWLEGE PARK SEZ "IT3/IT4,THANE BELAPUR ROAD" "IT3/IT4,THANE BELAPUR ROAD" MUMBAI MAH 400708 </t>
  </si>
  <si>
    <t xml:space="preserve">GOVERNMENT OF ANDHRA PRADESH GOVERNMENT OF AP EDUCATION DEPARTMENT "MPLUPS, MODEL COLONY, HINDUPUR" "MPLUPS, MODEL COLONY, HINDUPUR" HINDUPUR ANP 515201 </t>
  </si>
  <si>
    <t xml:space="preserve">HANU SOFTWARE SOLUTIONS INDIA PRIVATE GLOBLE  DELIVAR CENTER INDIA UNIT F2 FIRST FLOOR PLOT NO 6 GRETAR NOIDA FIRST FLOOR PLOT NO 6 GRETAR NOIDA NOIDA UTP 201308 </t>
  </si>
  <si>
    <t xml:space="preserve">MAGIC SOFTWARE PRIVATE LIMITED FRIST FLOOR THE GREAT EASTERN CENTERE 70 NEHRU PLACE NEW DELHI 70 NEHRU PLACE NEW DELHI DELHI DEL 110019 </t>
  </si>
  <si>
    <t xml:space="preserve">INOVAR CONSULTING "REDBRICK PRIMEA,TECHOLUTION BLOCK C" "RD NO 2, FINANCIAL DIST,NANAKARAMGUDA" "RD NO 2, FINANCIAL DIST,NANAKARAMGUDA" HYDERABAD TNG 500032 </t>
  </si>
  <si>
    <t xml:space="preserve">GOVERNMENT OF ANDHRA PRADESH HEALTH DEPA PRIMARY HEALTH CENTER SRI POTTISRIRAMULU SRI POTTISRIRAMULU GUDUR ANP 524408 </t>
  </si>
  <si>
    <t xml:space="preserve">EXPLEO SOLUTIONS LIMITED RAJIV GANDHI SALAI KANDANCHAVADI KANDANCHAVADI CHENNAI TMN 600096 </t>
  </si>
  <si>
    <t xml:space="preserve">GOVERNMENT OF TELANGANA 5-262 IQBALAHMED NAGAR MANCHERIAL IQBALAHMED NAGAR MANCHERIAL ADILABAD TNG 504208 </t>
  </si>
  <si>
    <t xml:space="preserve">INFOSYS LIMITED 44 INF0SYS AVENUE ELECTRONIC CITY ELECTRONIC CITY BANGALORE KAR 560100 </t>
  </si>
  <si>
    <t xml:space="preserve">INTERIOR DESIGNERS TIMMAMPET TIMMAMPET TIMMAMPET WARANGAL TNG 506331 </t>
  </si>
  <si>
    <t xml:space="preserve">SIDDAVVA TAILORS NO 4 40 YADARAM DOMAKONDA MANDALAM YADARAM YADARAM NIZAMABAD TNG 503125 </t>
  </si>
  <si>
    <t xml:space="preserve">GOVERNMENT OF TELANGANA SECONDARY EDUCAT MANDAL PARISHAT PRIMARY SCHOOL "AIRPORT COLONY," "AIRPORT COLONY," RANGAREDDY TNG 501218 </t>
  </si>
  <si>
    <t xml:space="preserve">GOVT OF TELAGANA STATEPOWERGENERATION 10-20 CHIKKUDUGUNTA RAMANIJAVARAN MANUGURU RAMANIJAVARAN MANUGURU KHAMMAM TNG 507117 </t>
  </si>
  <si>
    <t xml:space="preserve">CRITICALRIVER TECHNOLOGIES PRIVATE LIMIT NO 5 1ST FLOOR NORTH BLOCK JVP BUILDING SOFTWER UNIT LAYOUT MADHAPUR SOFTWER UNIT LAYOUT MADHAPUR HYDERABAD TNG 500081 </t>
  </si>
  <si>
    <t xml:space="preserve">GENERAL STATE GOVT "OFFICE OF THE EXECUTIVE ENGINEER," "IRRIGITATION DIVISION NO 3,HUZURNAGAR," "IRRIGITATION DIVISION NO 3,HUZURNAGAR," SURYAPET TNG 508204 </t>
  </si>
  <si>
    <t xml:space="preserve">CUSHMAN AND WAKEFIELD INDIA PRIVATE LIMI MINDSPACE HYDERABAD HYDERABAD HYDERABAD TNG 500032 </t>
  </si>
  <si>
    <t xml:space="preserve">INFOSYS LIMITED 44 INFOSYS AVENUE ELECTRONICS CITY HOSUR ROAD BANGALORE CITY HOSUR ROAD BANGALORE BANGALORE KAR 560100 </t>
  </si>
  <si>
    <t xml:space="preserve">INTEQ SOFTWARE PRIVATE LIMITED "1365,ROADNO.45,JUBILEE HILLS" HYDERABAD HYDERABAD HYDERABAD TNG 500033 </t>
  </si>
  <si>
    <t xml:space="preserve">UST GLOBAL TECHNOLOGY SERVICES INDIA PRI 14TH FLOOR B BLOCK SHANTINIKETAN COMPLEX ROAD WHITWFIELD BANGLORE ROAD WHITWFIELD BANGLORE BANGALORE KAR 560066 </t>
  </si>
  <si>
    <t xml:space="preserve">GLOBUS INFORMATICS INDIA PRIVATE LIMITED VIDYA NAGAR COLONY NEAR ADITYA JUNIOR COLLAGE JUNIOR COLLAGE ADILABAD TNG 504001 </t>
  </si>
  <si>
    <t xml:space="preserve">INCUBIT GLOBAL BUSINESS SERVICE PVT LTD "OFFICE 12, 10TH FLOOR, WAVE 1ST SILVER T" "TOWER, SECTOR 18, NOIDA, UTTAR PRADESH" "TOWER, SECTOR 18, NOIDA, UTTAR PRADESH" NOIDA UTP 201301 </t>
  </si>
  <si>
    <t xml:space="preserve">MSN LABORATORIES PRIVATE LIMITED BOCK NO C 2 FLOOR   NANDIGRAM VILLAGE MA MANDAL  KUTTUR DIST RANGAREDDY MANDAL  KUTTUR DIST RANGAREDDY SHADNAGAR TNG 509216 </t>
  </si>
  <si>
    <t xml:space="preserve">PRAVALLIKA MEDI NEEDS PVT LTD NO.11-475-479 SANDB ESTATE FLATNO.327 SATTENAPALLI ROAD BEHIND SAI BABA SATTENAPALLI ROAD BEHIND SAI BABA GUNTUR ANP 522601 </t>
  </si>
  <si>
    <t xml:space="preserve">JAISEVALAL CEMENT SHOP GROUND FLOOR 11-100/6 SHANTI NAGAR CHINNTHAKUNTA SHANTI NAGAR CHINNTHAKUNTA ADILABAD TNG 505001 </t>
  </si>
  <si>
    <t xml:space="preserve">BHARATH HEALTHCARE LABORATORIES PVT LTD "PLOT NO 50/A, RAGHAVENDRA NAGAR COLONY" "JEEDIMETLA. SUCHITRA, BOWENPALLY HYDERAB" "JEEDIMETLA. SUCHITRA, BOWENPALLY HYDERAB" HYDERABAD TNG 500055 </t>
  </si>
  <si>
    <t xml:space="preserve">STEFANINI INDIA PVT LTD 5TH FLOOR SANALI SPAZIO PLOT NO 19 SOFTWARE  LAYOUT MADHAPUR SOFTWARE  LAYOUT MADHAPUR HYDERABAD TNG 500081 </t>
  </si>
  <si>
    <t xml:space="preserve">ORACLECERNER HEALTHCARESOLUTIONINDIAPVT "GROUND FLOOR,WING B-BLOCK,H2 MOUNTAIN" "ASH MANYATA EMBASSY BUSINESS PARK,BANGAL" "ASH MANYATA EMBASSY BUSINESS PARK,BANGAL" BANGALORE KAR 560045 </t>
  </si>
  <si>
    <t xml:space="preserve">MUTHOOT HOUSING FINANCE COMPANY LIMITED KAKINADA MAIN ROAD TEMPLE STREET NEAR HDFC BANK NEAR HDFC BANK KAKINADA ANP 533001 </t>
  </si>
  <si>
    <t xml:space="preserve">Kkd Kkd Kkd Kkd KAKINADA ANP 533001 </t>
  </si>
  <si>
    <t xml:space="preserve">not applicable tadipatri tadipatri tadipatri TADPATRI ANP 515411 </t>
  </si>
  <si>
    <t xml:space="preserve">MAHESHWARI INDISTRES SAIKESHAVA COLONY BHIMARAM RURAL GOPALPUR HANAM KONDA GOPALPUR HANAM KONDA WARANGAL ANP 506015 </t>
  </si>
  <si>
    <t xml:space="preserve">TRADING GANESH D NO 43 106 1 22B  POSTMAN RAMA CHANDRA INDIRA NAYAK NAGAR AJITH SINGH NAGAR INDIRA NAYAK NAGAR AJITH SINGH NAGAR VIJAYAWADA ANP 520015 </t>
  </si>
  <si>
    <t xml:space="preserve">SRINIVAS NAGAR SRINIVAS CENTER SRINIVAS NAGAR SRINIVAS NAGAR NANDYAL ANP 518501 </t>
  </si>
  <si>
    <t xml:space="preserve">SAILAJA.SARRY.CENTER MUDHIGBBA 1.567. 1.567. HINDUPUR ANP 515511 </t>
  </si>
  <si>
    <t xml:space="preserve">DEVI.SRI.AQUA.FEEDS.AND.NEEDS 53.7.23 PP.ROAD..NEAR.ANDHRA.BANK. PP.ROAD..NEAR.ANDHRA.BANK. PALAKOL ANP 534260 </t>
  </si>
  <si>
    <t xml:space="preserve">LAXMI NARAYAN ASSOICATES ZONE AT LAXMI NARAYANA ASSOCIT SZONE SHRIRM NAGAR PUSAD TIRUPATI PARK SHRIRM NAGAR PUSAD TIRUPATI PARK YAVATMAL MAH 445215 </t>
  </si>
  <si>
    <t xml:space="preserve">T STANES AND COMPANY LTD HOUSING BOARDCOLONY NEAR AUTO STAND KARIMNAGAR TELANGANA KARIMNAGAR TELANGANA Karimnagar TNG 505001 </t>
  </si>
  <si>
    <t xml:space="preserve">Lachler Mancherial Mancherial Mancherial Adilabad TNG 504209 </t>
  </si>
  <si>
    <t xml:space="preserve">KRANTHY 1-37/1 BRAMANPALLY BRAMANPALLY MAHADEVPUR KARIMNAGAR BRAMANPALLY MAHADEVPUR KARIMNAGAR KARIMNAGAR TNG 505504 </t>
  </si>
  <si>
    <t xml:space="preserve">GENIUS CONSULTANTS LTD "419,422 4TH FLOOR PRANK CHAMBERS" SAKIVARAR ROAD SAKINAKA ANDHERI MUMBAI SAKIVARAR ROAD SAKINAKA ANDHERI MUMBAI MUMBAI MAH 400072 </t>
  </si>
  <si>
    <t xml:space="preserve">SAINIVI TECHNOLOGIE SERVICES H.NO9-4-41/2B/1 HASMATHPET OLD BOWENPALLY HASMATHPET OLD BOWENPALLY HYDERABAD TNG 500009 </t>
  </si>
  <si>
    <t xml:space="preserve">ITC LIMITED "NAGARMPALEM," "NAGARMPALEM,GUNTUR" "NAGARMPALEM,GUNTUR" GUNTUR ANP 522004 </t>
  </si>
  <si>
    <t xml:space="preserve">FORAY SOFTWARE PRIVATE LIMITEDPRFAY "BLOCK SDB1 AND SDB2,SY NO 2551" IBRAHIMPATNAM IBRAHIMPATNAM RANGAREDDY TNG 501510 </t>
  </si>
  <si>
    <t xml:space="preserve">ICICI BANK LIMITED TOWERS FINANCIAL DIST BRANCH NANAKRAMGUDA NANAKRAMGUDA HYDERABAD TNG 500032 </t>
  </si>
  <si>
    <t xml:space="preserve">INFOSYS BPM LIMITED "UNIT IN RAMANUJAN IT CITY SEZ, HARDY TOW" "INFOPARK LIMITED, RAJIV GANDHI SALAI OM" "INFOPARK LIMITED, RAJIV GANDHI SALAI OM" CHENNAI TMN 600113 </t>
  </si>
  <si>
    <t xml:space="preserve">GURU GOWRIKRUPA TECHNOLOGIES P "Adamilli post, k Kota mandal" West Godavari district West Godavari district ELURU ANP 534449 </t>
  </si>
  <si>
    <t xml:space="preserve">ACCENTURE SOLUTIONS PVT LTD 76-14-226/4 teachers colony Sivalayam Street Swathi Theatre road bhava Modernmart beside Street 3rd right Sri sai bhavani nilayam 2nd floor Modernmart beside Street 3rd right Sri sai bhavani nilayam 2nd floor VIJAYAWADA ANP 520012 </t>
  </si>
  <si>
    <t xml:space="preserve">COGNIZANT TECHNOLOGY SOLUTIONS INDIA PVT LTD MANYATA EMBASSY BUSINESS PARK NEAR NAGAWARA NEAR NAGAWARA BANGALORE KAR 560045 </t>
  </si>
  <si>
    <t xml:space="preserve">Redchillies entertainment pvt NA1 NA2 NA2 AMALAPURAM ANP 533218 </t>
  </si>
  <si>
    <t xml:space="preserve">KYNDRYL PRIVATE AND CONFIDENTIAL H-01 BUILDING PHOENIX INFOCITY PVT LTD SEZ GACHIBOWLLI SERILINGAMPALLY SEZ GACHIBOWLLI SERILINGAMPALLY HYDERABAD TNG 500081 </t>
  </si>
  <si>
    <t xml:space="preserve">EPIONE PAINCARE PRIVATE LIMITED "HNO 8-2-293/A/A/1/4F,4TH FLOOR,ROAD NO 2" "BANJARA HILLS,HYDERABAD,TELANGANA" "BANJARA HILLS,HYDERABAD,TELANGANA" HYDERABAD TNG 500034 </t>
  </si>
  <si>
    <t xml:space="preserve">B BLOCK 59/2 KADERANAHALLI BENGALURU HERITAGE BUILDING OUTER RING ROAD   BNG KAR 560070 </t>
  </si>
  <si>
    <t xml:space="preserve">Sri Venkateswara Hardwares "Plot no 158, Phase-I," "Plot n0-158, Phase-I" "Plot n0-158, Phase-I" NELLORE ANP 524004 </t>
  </si>
  <si>
    <t xml:space="preserve">VINGEET TECHNOLOGIES PVT LTD BENGALURU   BANGALORE KAR 560071 </t>
  </si>
  <si>
    <t xml:space="preserve">NIIT TECHNOLOGIES LIMITED PLOT NO TZ 2 AND 2A SECTOR TECH ZONE YAMUNA EXPY YAMUNA EXPY NOIDA UTP 201308 </t>
  </si>
  <si>
    <t xml:space="preserve">VARA INFOTECH PVT LTD H NO 6-5-75 Nalsabgadda Sangareddy Sangareddy HYDERABAD TNG 502001 </t>
  </si>
  <si>
    <t xml:space="preserve">WNS GLOBAL SERVICES PRIVATE LIMITED "SY NO 64,UNIT NO1, 1ST FLRBUILDING NO 24" MAXIMUS TOWERS MINDSPACE HITECH CITY MAXIMUS TOWERS MINDSPACE HITECH CITY HYDERABAD TNG 500081 </t>
  </si>
  <si>
    <t xml:space="preserve">MENAG INFAR STRUCHER INGINIYARAING PLT MENAG INFAR STRUCHER INGINIYARAING PLT MENAG INFAR STRUCHER INGINIYARAING PLT MENAG INFAR STRUCHER INGINIYARAING PLT HYDERABAD TNG 500081 </t>
  </si>
  <si>
    <t xml:space="preserve">AMNEAL ONCOLOGY PRIVATE LIMITED PLOT NO S-3 S-4 S-5A TSIIC VIL POLEPALLY JADCHERALA MANDAL MAHABOOBNAGAR JADCHERALA MANDAL MAHABOOBNAGAR JEDCHERLA TNG 509301 </t>
  </si>
  <si>
    <t xml:space="preserve">CITY FASHION SHOPE NO 30/78 KVR COMPLEX NETA JI ROAD DIST MAHEBOOBNAGAR STATE TELANGANA DIST MAHEBOOBNAGAR STATE TELANGANA JEDCHERLA TNG 509301 </t>
  </si>
  <si>
    <t xml:space="preserve">QUESS CORP LIMITED "6-149,AMBEDKAR CIRCLE" BHUPALPALLY BHUPALPALLY WARANGAL TNG 506169 </t>
  </si>
  <si>
    <t xml:space="preserve">NEW NAGAPRASANNA AUTO CONSULTANCY "CHAITNYAPURI COLONY, NEAR NATIONAL FUNCT" "ION HALL, DVK ROAD,  NALGONDA" "ION HALL, DVK ROAD,  NALGONDA" NALGONDA TNG 508001 </t>
  </si>
  <si>
    <t xml:space="preserve">EY GLOBAL DELIVERY SERVICES INDIA LLP PLOT NO 1 2 3 SURVEY NO 8 6TH FLOOR KONDAPUR SERILINGAMPALLY MANDAL RANGARED KONDAPUR SERILINGAMPALLY MANDAL RANGARED HYDERABAD TNG 500084 </t>
  </si>
  <si>
    <t xml:space="preserve">COLLABERA TECHNOLOGIES PRIVATE LIMITED BUILDING NO 28 MAXIMUS TOWERS MAHAPUR HYDERABAD MAHAPUR HYDERABAD Hyderabad TNG 500081 </t>
  </si>
  <si>
    <t xml:space="preserve">DIVIS LABS LTD LINGOJI GUDEM V CHOUTUPPAL M   NALGONDA ANP 508252 </t>
  </si>
  <si>
    <t xml:space="preserve">MUNICIPAL ADMINISTRATION MUNICIPAL OFFICE BOYAWADA RAMAGIRI CENTRE CENTRE NALGONDA TNG 508001 </t>
  </si>
  <si>
    <t xml:space="preserve">GOVERNMENT OF TELENGANA ZPHS GIRLS JANGOAN CHITAKODUR   WARANGAL TNG 506167 </t>
  </si>
  <si>
    <t xml:space="preserve">GLOBALLOGIC INDIA PRIVATE LIMITED PRITECH PARK SEZ MARTHALLI SARJAPUR ORR BELLANDUR VILLAGE ORR BELLANDUR VILLAGE BANGALORE KAR 560103 </t>
  </si>
  <si>
    <t xml:space="preserve">COGNIZANT TECHNOLOGY SERVICES PRIVATE LI PLOT NO 129 130 DLF BLOCK CYBER CITY GACHIBOWLI GACHIBOWLI HYDERABAD TNG 500019 </t>
  </si>
  <si>
    <t xml:space="preserve">CONSERO SOLUTIONS INDIA PRIVATE LIMITED ABM GRAND NO 94 2ND MAIN RD DIGITAL PARK RD YESHWANTHPURA RD YESHWANTHPURA BANGALORE KAR 560022 </t>
  </si>
  <si>
    <t xml:space="preserve">GENPACT INDIA PVT LTD SURYA PARK...99 3RD CRSS RD ELCETRONIC TIRUPATHI ANDHRA PRADESH TIRUPATHI ANDHRA PRADESH TIRUPATHI ANP 517213 </t>
  </si>
  <si>
    <t xml:space="preserve">TATA CONSULTANCY SERVICES LIMITED PREMISES NO.2-56/1/36 PHASE 2 GACHIBOWLI "ROAD TCS,SERI LINGAMPALLY, GACHIBOWLI," "ROAD TCS,SERI LINGAMPALLY, GACHIBOWLI," HYDERABAD TNG 500019 </t>
  </si>
  <si>
    <t xml:space="preserve">HDB FINANCIAL SERVICES LIMITED "HDBFINANCIALSERVICELTD,TANUKU RASTRAPATI" "ROAD, TANUKU, WEST GODAVARI" "ROAD, TANUKU, WEST GODAVARI" TANUKU ANP 534211 </t>
  </si>
  <si>
    <t xml:space="preserve">CALLIDUSCLOUD INDIA PRIVATE LIMITED 12B PHASE 2 MINDSPACE HITECH CITY PHASE 2 MINDSPACE HITECH CITY HYDERABAD TNG 500081 </t>
  </si>
  <si>
    <t xml:space="preserve">INFOSYS LIMITED "PLOT NO 44,HOSUR ROAD KONAPPANA AGRAHARA" ELECTRONIC CITY ELECTRONIC CITY BANGALORE KAR 560100 </t>
  </si>
  <si>
    <t xml:space="preserve">RELIANCE SMSL LIMITED B BLOCK NO 8-2-626 ROAD NO 11 BANJARAHILLS  OPP CARE HOSPITAL BANJARAHILLS  OPP CARE HOSPITAL HYDERABAD TNG 500034 </t>
  </si>
  <si>
    <t xml:space="preserve">COGNIZANT TECHNOLOGY SOLUTIONS INDIA PRI COGNIZANT TECHNOLOGY SOLUTIONS PVT LTD GACHIBOWLI APHB COLONY GACHIBOWLI APHB COLONY HYDERABAD TNG 500019 </t>
  </si>
  <si>
    <t xml:space="preserve">RELIANCE  SMSL LIMITED "1SY FLOOR, DNO 18-55" "KVS COMPLEX ,ANANTAPUR" "KVS COMPLEX ,ANANTAPUR" GUNTAKAL ANP 515801 </t>
  </si>
  <si>
    <t xml:space="preserve">RELIANCE JIO INFOCOMM LIMITED SHOP NO 301 TO 310 406TO 410 2AND3 FLOOR NC S SAI SWARNA PALACE PETROL PUMP ROAD NC S SAI SWARNA PALACE PETROL PUMP ROAD NALGONDA TNG 508001 </t>
  </si>
  <si>
    <t xml:space="preserve">3F OIL PALM PRIVATE LIMITED FORMERLY 3F SY NO 192 DEVARAPALLI KOVVURU RD YEENAGUDEM WEST GODAVARI YEENAGUDEM WEST GODAVARI West Godavari ANP 534313 </t>
  </si>
  <si>
    <t xml:space="preserve">RAVI HOSPITAL "DOOR NO 29-28/1-24,KOVELAMUDI VARI STREE" SURYA RAO PET SURYA RAO PET VIJAYAWADA ANP 520002 </t>
  </si>
  <si>
    <t xml:space="preserve">TATA CONSULTANCY SERVICES LIMITED PLOT NO 1 TECHNO ENCLAVE HITECH CITY MADHAPUR UNITS LAYOUT HITECH CITY MADHAPUR UNITS LAYOUT HYDERABAD TNG 500081 </t>
  </si>
  <si>
    <t xml:space="preserve">RELIANCE SMSL LIMITED HAJIPURA ROAD KARIMNAGAR KARIMNAGAR ADILABAD TNG 505001 </t>
  </si>
  <si>
    <t xml:space="preserve">WALMART INDIA PRIVATE LIMITED EKASHILA NAGAR WARANGAL WARANGAL WARANGAL TNG 506001 </t>
  </si>
  <si>
    <t xml:space="preserve">WALMART INDIA PRIVATE LIMITED WALMART PADMANAGAR KARIMNAGAR KARIMNAGAR ADILABAD TNG 505001 </t>
  </si>
  <si>
    <t xml:space="preserve">TECH MAHINDRA LIMITED "TOWER-1,PLOT NO,22 TO,34,TECH MAHINDRA" "SEZ RD,JUBILEE ENCLAVE,MADHAPUR" "SEZ RD,JUBILEE ENCLAVE,MADHAPUR" HYDERABAD TNG 500081 </t>
  </si>
  <si>
    <t xml:space="preserve">HDB FINANCIAL SERVICES LIMITED 3-388/2 FIRST FLOOR GANESH NAGAR CHOUTUPPAL NALGONDA CHOUTUPPAL NALGONDA NALGONDA TNG 508252 </t>
  </si>
  <si>
    <t xml:space="preserve">TELANGANA STATE POWER GENERATION CORPORA 0/0 SE/0 M-11/KTPP CHELPUR GHANPUR CHELPUR GHANPUR WARANGAL TNG 506168 </t>
  </si>
  <si>
    <t xml:space="preserve">TATA CONSULTANCY SERVICES LIMITED "PLOT NO-1, HITECH CITY MAIN ROAD," "HUDA TECHNO ENCLAVE, MADHAPUR, HYD" "HUDA TECHNO ENCLAVE, MADHAPUR, HYD" HYDERABAD TNG 500081 </t>
  </si>
  <si>
    <t xml:space="preserve">TAGOOR LABORATORIES SURVEY NO 29 TALLAPUDI TALLAPUDI West Godavari ANP 534341 </t>
  </si>
  <si>
    <t xml:space="preserve">GREENKO ENERGIES PRIVATE LIMITED "GREENKO CAMP OFFICE,GREENKO GANI SOLAR P" "BRAMHANAPALLI,ORVAKAL,KURNOOL" "BRAMHANAPALLI,ORVAKAL,KURNOOL" KURNOOL ANP 518010 </t>
  </si>
  <si>
    <t xml:space="preserve">RELIANCE SMSL LIMITED DNO 19-1-176 TRENDS MAIN RD PEDDAPURAM E ASTGODAVARI ANDHRAPRADESH NEAR SURYAREST ASTGODAVARI ANDHRAPRADESH NEAR SURYAREST PEDDAPURAM ANP 533437 </t>
  </si>
  <si>
    <t xml:space="preserve">BANDHAN BANK LIMITED FLOOR HOUSE NO 2 UPPER GROUND 83 2-85 ANNAPURNA ENCLAVE CHANDA NAGAR 2-85 ANNAPURNA ENCLAVE CHANDA NAGAR HYDERABAD TNG 500050 </t>
  </si>
  <si>
    <t xml:space="preserve">GOVERNMENT OF ANDHRA PRADESH "S NO 146,KUDUPURU VILLAGE,KUDUPURU VILLA" "GE SACHIVALAYAM,PAMARRU MANDAL" "GE SACHIVALAYAM,PAMARRU MANDAL" KAKINADA ANP 533263 </t>
  </si>
  <si>
    <t xml:space="preserve">DEPARTMNETS OF POSTS POST OFFICE "LMD COLONY,THIMMAPUR,KARIMNAGAR" "LMD COLONY,THIMMAPUR,KARIMNAGAR" KARIMNAGAR TNG 505527 </t>
  </si>
  <si>
    <t xml:space="preserve">GOVERNMENT OF ANDHRA PRADESH "H NO 305,GAVIGATTU VILLAGE,GAVIGATTU VIL" "LAGE SACHIVALAYAM,PEDDAKADUBOR MANDAL" "LAGE SACHIVALAYAM,PEDDAKADUBOR MANDAL" KURNOOL ANP 518313 </t>
  </si>
  <si>
    <t xml:space="preserve">MANAPPURAM HOME FINANCE LIMITED "H NO 8-2-3 ,1ST FLOOR BB COMPLEX" OLD BUS STAND ROAD SIDDIPET OLD BUS STAND ROAD SIDDIPET MEDAK TNG 502103 </t>
  </si>
  <si>
    <t xml:space="preserve">GOVERNMENT OF ANDHRA PRADESH "COOPERATIVE COLONY 02,RAJAREDDY STREET" "SECRETARIATE,KADAPA" "SECRETARIATE,KADAPA" CUDDAPAH ANP 516001 </t>
  </si>
  <si>
    <t xml:space="preserve">DISTRICT RURAL DEVELOPMENT AGENCY GILLAPET NIRMAL NIRMAL ADILABAD TNG 504106 </t>
  </si>
  <si>
    <t xml:space="preserve">GOVERNMENT OF ANDHRA PRADESH SY.NO 162 MACHERLA MUNICIPALITY MACHERLA MACHERLA NARASAPURAM ANP 522426 </t>
  </si>
  <si>
    <t xml:space="preserve">TRANSMISSION CORPORATION OF TELANGANA LI SALIVAGU JOGAMPALLI JOGAMPALLI WARANGAL TNG 506164 </t>
  </si>
  <si>
    <t xml:space="preserve">SRINIVASA ONLINE COMMUNICATION 1-1 "BEJANKI,SUDDIPET" "BEJANKI,SUDDIPET" KARIMNAGAR TNG 505528 </t>
  </si>
  <si>
    <t xml:space="preserve">GOVERNMENT OF TELANGANA MPDO OFFICE ETURNAGARAM ETURNAGARAM WARANGAL TNG 506165 </t>
  </si>
  <si>
    <t xml:space="preserve">MANPOWERGROUP SERVICES INDIA PRIVATE LIM DNO 1 RELIANCE TRENDS 1 ST FLOOR VINUKONDA ROAD PALNADU VINUKONDA ROAD PALNADU NARASAPURAM ANP 522647 </t>
  </si>
  <si>
    <t xml:space="preserve">GOVT OF TELANGANA ZPHS URUDU MEDIUM  RAKASIPET VILLAGE BODHAN MANDAL MR NAGAR BODHAN NIZAMABAD BODHAN MANDAL MR NAGAR BODHAN NIZAMABAD NIZAMABAD TNG 503185 </t>
  </si>
  <si>
    <t xml:space="preserve">TECHNODYSIS "2ND FLOOR, BANNERGATTA MAIN ROAD," "KALENA AGRAHARA, BANGALURU, KARNATAKA" "KALENA AGRAHARA, BANGALURU, KARNATAKA" BANGALORE KAR 560076 </t>
  </si>
  <si>
    <t xml:space="preserve">GOVT OF EDUCATION  DEPARTMENT "KOVURU  , SUBSTATION , PATURU ROAD" "KOVURU , NELLORE" "KOVURU , NELLORE" NELLORE ANP 524137 </t>
  </si>
  <si>
    <t xml:space="preserve">PANCHAYAT RAJ DEPARTMENT TALAMADUGU ADILABAD   ADILABAD TNG 504001 </t>
  </si>
  <si>
    <t xml:space="preserve">VDA INFOSOLUTIONS PVT LTD "76,SHAKUNTALA,5TH ROAD" MUMBAI MUMBAI MUMBAI MAH 400052 </t>
  </si>
  <si>
    <t xml:space="preserve">ETEAM INFOSERVICES PRIVATE LIMITED HOSUR RD BENGALURU BENGALURU BANGALORE KAR 560100 </t>
  </si>
  <si>
    <t xml:space="preserve">OFFICE OF THE DISTRICT MEDICAL HEALTH OF BDK SAMAD CHOURASTHA UPHC THURKAPALLY BHONGIR THURKAPALLY BHONGIR NALGONDA TNG 508116 </t>
  </si>
  <si>
    <t xml:space="preserve">GOVT OF TELANGANA GOVERNMENT OF TELANGANA PRIMARY HEALTH CENTRE TEEKUMATLA VILLAGE PRIMARY HEALTH CENTRE TEEKUMATLA VILLAGE SURYAPET TNG 508213 </t>
  </si>
  <si>
    <t xml:space="preserve">GOVERNMENT OF TELANGANA GDK11A INCLINERGM-RAMAGUNDAM   HYDERABAD TNG 500016 </t>
  </si>
  <si>
    <t xml:space="preserve">DIFFENCE UDHAMPUR 5071 ASC 5071 ASC UDHAMPUR JAK 182101 </t>
  </si>
  <si>
    <t xml:space="preserve">HTC GLOBAL SERVICES INDIAPRIVATE LIMIT "6-3-1192/V," "KUNDANBA COLONY,BEGUMPET,HYDERABAD," "KUNDANBA COLONY,BEGUMPET,HYDERABAD," HYDERABAD TNG 500016 </t>
  </si>
  <si>
    <t xml:space="preserve">LALITHA JEWELLERY "33-1-32," NILLAPNNA GOLED MARKET ROAD NILLAPNNA GOLED MARKET ROAD KAKINADA ANP 533001 </t>
  </si>
  <si>
    <t xml:space="preserve">ICICI PRUDENTIAL LIFE INSURANCE CO LIMIT DOOR NO.6 42/1 ICICIPRUDENTIAL LIFE INSU RANCE CO LTD LAXMIDEVIPALLI KOTHAGUDEM RANCE CO LTD LAXMIDEVIPALLI KOTHAGUDEM KHAMMAM TNG 507101 </t>
  </si>
  <si>
    <t xml:space="preserve">CIPLA LIMITED DHAGYACHAKARA CHAMBERS BUILDING 1ST FLOOR 1ST FLOOR VIJAYAWADA ANP 520007 </t>
  </si>
  <si>
    <t xml:space="preserve">OGLAPUR VILLAGE DAMERA MANDAL   WNL TNG 506006 </t>
  </si>
  <si>
    <t xml:space="preserve">18/999 NEERUGANTI STREET   ANA ANP 515001 </t>
  </si>
  <si>
    <t xml:space="preserve">TRANSMISSION CORPORACTION OF TELANGANA SURVEY NO 132/33  KV SUBSTATION MANAKONDUR EDULAGATTIPALLY KARINAGAR MANAKONDUR EDULAGATTIPALLY KARINAGAR HYDERABAD TNG 505469 </t>
  </si>
  <si>
    <t xml:space="preserve">MASTAN TEXTILES 6/384 TALLAPAKA TALLAPAKA CUDDAPAH ANP 516126 </t>
  </si>
  <si>
    <t xml:space="preserve">YERRAGONDAPALEM MANDAL PRAKASAM S NO 159 BOYILAPALLI VILLAGE SACHIVALAYAM   ONG ANP 523327 </t>
  </si>
  <si>
    <t xml:space="preserve">"Door - 25 -6-37, ground floor" "Ganjamvari streat, kakinda, east godavari,"   KKN ANP 533001 </t>
  </si>
  <si>
    <t xml:space="preserve">Epowerx.private.ltd. SRINIVASARAO.pet.2Nd.flag.tree Street.naizam.bazar Street.naizam.bazar GUNTUR ANP 522004 </t>
  </si>
  <si>
    <t xml:space="preserve">GOVT OF TELANGANA REVENUE DEPARTMENT GOVT OF TELANGANA RDO OFFICE MANCHERIAL MANCHERIAL MANCHERIAL ADILABAD TNG 504208 </t>
  </si>
  <si>
    <t xml:space="preserve">EMBITEL TECHNOLOGIES  INDIA PVT LTD DELTA  BLOCK SIGMA  SOFT  TECH  PARK UNIT NO 208  TO 216  2ND FLOOR UNIT NO 208  TO 216  2ND FLOOR BANGALORE KAR 560066 </t>
  </si>
  <si>
    <t xml:space="preserve">PP OIL NATURAL GAS COMM "Dr P Mohan Rao,HNo-9-533, LIG-86, Muralidharnagar" "Opp SRMT Mall,RAMANAYYAPETA , Kakinada" "Opp SRMT Mall,RAMANAYYAPETA , Kakinada" KAKINADA ANP 533005 </t>
  </si>
  <si>
    <t>10TH JUNE</t>
  </si>
  <si>
    <t>10TH J</t>
  </si>
  <si>
    <t>Customer given House address visited customer live responded to payment given ptp today evening</t>
  </si>
  <si>
    <t>Customer house address visited sir his not available living in Hyderabad phone call not responding inform to his father</t>
  </si>
  <si>
    <t>CUSTOMER NOT AVAILABLE AT HOME. RESPONDED TO THE CALL GIVEN PTP TO 5TH SIR //  CUSTOMER GIVEN PTP TO 11TH SIR // CUSTOMER NOT AVAILABLE AT HOME SIR.RESPONDED TO THE TODAY EVENING OR TOMORROW MORNING HE WILL PAY THE AMOUNT SIR // CUSTOMER GIVEN PTP TO TODAY SIR</t>
  </si>
  <si>
    <t>Customer given address visited customer living at us customer relatives available but door locked to house revisit again // Customer given address visited customer living at us customer relatives available inform to customer Grand mother</t>
  </si>
  <si>
    <t>Customer house shifted 
Customer calls not responding 
Customer father number:079893 64522</t>
  </si>
  <si>
    <t>Customer not available 
Customer calls back in 1hour</t>
  </si>
  <si>
    <t>customer paymet on twommro</t>
  </si>
  <si>
    <t>Cmr house door locked , cmr not answering calls and cmr neighbour there message left</t>
  </si>
  <si>
    <t>Customer taken injection order</t>
  </si>
  <si>
    <t>11TH J</t>
  </si>
  <si>
    <t>Costumer present not available call answered PTP today evening sir</t>
  </si>
  <si>
    <t>ch request to ask for  2 days of time // oor locked. Revisiting evening</t>
  </si>
  <si>
    <t>Customer address visit ch not available door lock // Customer address visit ch not available skip address need to 2nd number and kyc sir // Customer address visit ch not available skip address need to 2nd number and kyc sir // 72155003</t>
  </si>
  <si>
    <t>Customer not available 
Customer phone PTP on 14th</t>
  </si>
  <si>
    <t>customer shifted house and phone not responding neighbour said he got peralacis</t>
  </si>
  <si>
    <t>Customer house address visit customer present not in a home customer in Bihar customer brother told informed to customer customer mobile not responding iam waiting for customer address</t>
  </si>
  <si>
    <t>No such person and no respond to calls</t>
  </si>
  <si>
    <t xml:space="preserve"> customer paymet on today evening</t>
  </si>
  <si>
    <t>Customer not available at given address sir .not responding for calls . Done enquiry about customer in that area . But lone use sir</t>
  </si>
  <si>
    <t>CAT J</t>
  </si>
  <si>
    <t>CAT C</t>
  </si>
  <si>
    <t>CAT I</t>
  </si>
  <si>
    <t>Customer given address visit customer not available informed to wife, trying by call</t>
  </si>
  <si>
    <t>cm not available in the given address sir and at present cm was in Chennai cm call not answering sir</t>
  </si>
  <si>
    <t>Customer live in Bangalore. Meet with his brother. Customer not lifting his brother call also . // Customer live in Bangalore. Not responding for calls . Meet with his brother &amp; left the masg // Customer left from house  . We have contacted with his father &amp; brother . They told that to don't come near house again . // No such person available in the given address</t>
  </si>
  <si>
    <t xml:space="preserve"> VISITED CUSTOMER HOUSE SIR.PTP TO 10TH //  revisited customer house for payment purpose sir</t>
  </si>
  <si>
    <t xml:space="preserve">Customer address visit ch not available msg left to family 
Customer call response call back in evening sir // Customer meet office place customer asking for time call back in 2days // Customer meet office place customer asking for time call back in 2days // Customer meet office place customer ptp on 10th sir // Customer meet office place customer today ptp sir // </t>
  </si>
  <si>
    <t>customer shifted house and phone respond staying in Hyderabad agree payment on 14 date</t>
  </si>
  <si>
    <t>Customer live in address and he is not at home and his father recently expired so he asking 1wk time</t>
  </si>
  <si>
    <t>CUSTOMER GIVEN HOUSE ADDRESS VISITED BUT DOOR NUMBER NOT GIVEN CUSTOMER ADDRESS NOT FOUND NEED ALTERNATIVE ADDRESS  CUSTOMER MOBILE NUMBER NOT WORKING // CUSTOMER WORKING ADDRESS VISITED BUT CUSTOMER GIVEN WORKING PRESENT IN CONSTRUCTION NO ONE IS THERE NEED ALTERNATIVE ADDRESS // CUSTOMER GIVEN HOUSE ADDRESS VISITED BUT DOOR NUMBER NOT GIVEN CUSTOMER ADDRESS NOT FOUND AND CUSTOMER WORKING ADDRESS IN CONSTRUCTION PROCESS NEED ALTERNATIVE ADDRESS AND KYC DETAILS OF THIS CUSTOMER // CUSTOMER GIVEN HOUSE ADDRESS VISITED BUT CUSTOMER NOT AVAILABLE AT HOME ENQUIRED WITH FAMILY MEMBERS THEY GIVEN CUSTOMER NEW CONTACT NUMBER 76590 13311</t>
  </si>
  <si>
    <t>Customer address door lock</t>
  </si>
  <si>
    <t>Customer not available 
Inform in customer wife
Customer calls not responding</t>
  </si>
  <si>
    <t>Visited Customer Given Adress Customer Taken Injection order Sir</t>
  </si>
  <si>
    <t>CUSTOMER GIVEN HOUSE ADDRESS VISITED CUSTOMER NOT AVAILABLE NO ONE IS THERE AT HOME ENQUIRED WITH NEIGHBOUR'S AND RENTERS CUSTOMER SHIFTED FROM THIS ADDRESS ONE MONTH BACK CUSTOMER MOBILE RINGING BUT NOT ANSWERING</t>
  </si>
  <si>
    <t>Customer visit new address at Khanapur meer customer PTP 16TH</t>
  </si>
  <si>
    <t>Customer address visited 
Customer recent accident customer present Hyderabad hospital 
Inform in customer family members</t>
  </si>
  <si>
    <t>Customer given address visit customer shifted revisit working address // Customer working address visit shifted to Hyb // Customer shifted frm here 
Confirmed by neighbou // Customer shifted frm here working address also</t>
  </si>
  <si>
    <t>Visited Customer Residence Customer Not Available Inform To His Father Sir // Visited Customer Given Adress Customer Not Available Inform To His Father Customer Call Answered Given Commitment Today Evining Sir</t>
  </si>
  <si>
    <t>Customer address visit ch not available shift address call response asking time and settlement facing financial issue</t>
  </si>
  <si>
    <t>Customer shifted to Kurnool 
Contact by phone he told the he will pay .but not confirmed the date sir</t>
  </si>
  <si>
    <t>Customer not available 
Customer 1hour call back</t>
  </si>
  <si>
    <t>OS</t>
  </si>
  <si>
    <t>Custmor phone respond PTP tomorrow sir</t>
  </si>
  <si>
    <t>Custmor not lived this address  sir</t>
  </si>
  <si>
    <t>Custmor shifted  kakinada</t>
  </si>
  <si>
    <t>Custmor PTP Friday // Waiting for payment sir</t>
  </si>
  <si>
    <t>Customer given address visit customer address not found trying to alternative, call not answer</t>
  </si>
  <si>
    <t>Customer Adress visit, Cutstomer last year rented home is job collector office prasent is transfer Kodad ( Treasury Job) prasent living in Kodad and Customer call Answer ptp on Today // Visited Customer Traced address Customer not available here Customer parents &amp; his brother available waiting for payment</t>
  </si>
  <si>
    <t>CUSTOMER ADDRESS VISIT CH NOT AVAILABLE MSG LEFT TO FAMILY CUSTOMER CALL RESPONSE PTP ON 10TH // CUSTOMER ADDRESS VISIT CH NOT AVAILABLE CUSTOMER CALL RESPONSE PTP ON 10TH // Customer address visit ch not available Waiting for customer home customer call response ptp on 11pm</t>
  </si>
  <si>
    <t>12TH J</t>
  </si>
  <si>
    <t>cm not available in the given address sir and contacted to they mother mobile number cm was in Kurnool cm mother call back later sir</t>
  </si>
  <si>
    <t>cm shifted from here sir and cm call answered given ptp Monday sir</t>
  </si>
  <si>
    <t>Ch asking time 5days living in Hyderabad // Ch will pay today eod</t>
  </si>
  <si>
    <t>CUSTOMER NOT AVAILABLE AT HOME SIR.RESPONDED TO THE CALL GIVEN PTP TO TODAY</t>
  </si>
  <si>
    <t>I have visited Customer Shop address Customer is in live Given Ptp On 5th // Revisited Customer Shop address Customer is in live Given Ptp On Tommorow // Revisited Customer Shop address Customer is in live Given ptp by Today Eod // Revisited Customer Shop address Customer  not available in Shop waiting for Customer call not answering // Customer Shop address Customer is in live Given ptp by 4pm // Revisited Customer Shop address Customer is in live Given ptp by 1;30 pm // Revisited Customer Shop address Customer  not available in Shop</t>
  </si>
  <si>
    <t>No such person in the given address</t>
  </si>
  <si>
    <t>Customer PTP on today evening</t>
  </si>
  <si>
    <t>Customer not working in the working address</t>
  </si>
  <si>
    <t>Cust not available at home left msg to cust's wife and no respond to calls will update</t>
  </si>
  <si>
    <t>Customer adress visit and Customer prasent not there in adress is living in prasent warangal calls not connected and customer another number is (6302075755) inform is Attha&amp; Mama</t>
  </si>
  <si>
    <t>Customer adress visit and Customer prasent not in home and home lock and customer living in hyderabd calls not connected</t>
  </si>
  <si>
    <t>Customer working address was currently closed // Customer currently unavailable 
Call responded currently he is in out station 
Available after three days // Customer gas tracing adress visited shifted to Vijayawada by neighbors enquiry // Customer mother death customer not available in shop customer Bava call back tomorrow // Customer working address currently closed 
Need to revisit // Customer still not available 
Staff dispute with us 
Need to visit house address // Customer not available need to visit house visit // Customer not available in the house address also // Customer working address currently closed</t>
  </si>
  <si>
    <t>Customer adress visited given PTP Tommorow evening</t>
  </si>
  <si>
    <t>Customer new traced address 
Currently unavailable informed to his mother</t>
  </si>
  <si>
    <t>Customer adress visit, Customer prasent not avilable home is in Office and call Answer ptp on Monday</t>
  </si>
  <si>
    <t>customer paymet on twommro // customer paymet today evening</t>
  </si>
  <si>
    <t>Customer given address live but present living in tirupati call answered given PTP 15th</t>
  </si>
  <si>
    <t>Customer not available the home infom to his wife &amp; call back to evening sir // Door lock mobile not answering sir // Waiting for customer father at customer house</t>
  </si>
  <si>
    <t>Cm home is in lock cm is in banglore cm family will come day after tomorrow enquired by neighbour sir. // Cm family is in kadapa hospital sir cm not responding sir.</t>
  </si>
  <si>
    <t>CUSTOMER NOT AVAILABLE AT HOME SIR.INFORMED TO HIS FATHER // CUSTOMER NOT AVAILABLE AT HOME.RESPONDED HIS FATHER NUMBER.HE IS TELLING DOUBLE PAYMENT DEBIT ISSUE</t>
  </si>
  <si>
    <t>ustomer paymet on Monday //  customer paymet on twommro after noon // customer paymet today evening or tomorrow morning // coustmer payment update from 8 pm // Feedback waiting for coustmer // waiting form coustmer shop // waiting for coustmer</t>
  </si>
  <si>
    <t>13TH J</t>
  </si>
  <si>
    <t>Custmor not lived this address   puone respond he diacuss bank  don't distrab</t>
  </si>
  <si>
    <t>Customer given House address visited but customer not available at home door locked enquired with neighbour's customer living at banglore confirmed by neighbour's and renters customer mobile ringing but not answering informed to neibhour's</t>
  </si>
  <si>
    <t xml:space="preserve"> Cmr not  at house door locked and cmr not  answering calls , revisit Required</t>
  </si>
  <si>
    <t>Customer given address visit customer address not found, trying to alternative // Customer given address visit informed to father, trying by call</t>
  </si>
  <si>
    <t>cmr house door locked and cmr answered call and cmr taken IP and cmr will send notice Today afternoon //  cmr house door locked and cmr answered call send this document</t>
  </si>
  <si>
    <t>Custmor shifted   colany</t>
  </si>
  <si>
    <t>CUSTOMER GIVEN HOUSE ADDRESS VISTED CUSTOMER LIVE CUSTOMER HUSBAND RESPONDED ABOUT PAYMENT GIVEN PTP TODAY AFTERNOON // CUSTOMER GIVEN HOUSE ADDRESS REVISTED CUSTOMER LIVE CUSTOMER SAID CALL BACK IN ONE HOUR PTP TODAY 1:30 PM</t>
  </si>
  <si>
    <t>CUSTOMER GIVEN HOUSE ADDRESS VISTED CUSTOMER NOT AVAILABLE AT HOME DOOR LOCKED REVISIT AGAIN CUSTOMER MOBILE NUMBER RINGING BUT NOT ANSWERING // Meet with customer outside customer job loss asking settlement with High waiver // customer live present not available call answer customer job loss asking settlement with High waiver</t>
  </si>
  <si>
    <t>Cm will pay by tomorrow sir.</t>
  </si>
  <si>
    <t>cmr Expired , this is cmr house, no at home , cmr brother answered call</t>
  </si>
  <si>
    <t>Custmor job loss  custmor go  to Hyderabad job surching  
He wants some time</t>
  </si>
  <si>
    <t>customer paymet on monday</t>
  </si>
  <si>
    <t>14TH J</t>
  </si>
  <si>
    <t>Customer house address visited sir his available given PTP commitment tomorrow</t>
  </si>
  <si>
    <t>15TH J</t>
  </si>
  <si>
    <t>CUSTOMER STAYING IN HYD SIR.IN HOUSE NOT THEIR ANY ONE</t>
  </si>
  <si>
    <t>Customer address visit ch available address ch ptp on 2days // Customer address visit ch available address ch ptp on 2days sir // Customer address door lock // Customer address door lock // Customer address door lock
Call not answering sir</t>
  </si>
  <si>
    <t>Customer live in address and he went to office and given ptp on 19th date</t>
  </si>
  <si>
    <t>Customer given House address visited but customer not available enquired with neighbour's and renters customer shifted three year back customer mobile number not working need alternative address // Customer given alternative address visited but customer not available in this address also enquiry with renters and neighbours customer sold house 3 year's ago and shifted from this address customer mobile ringing but not answering</t>
  </si>
  <si>
    <t>Customer address door locked need to revisit</t>
  </si>
  <si>
    <t>CUSTOMER NOT LIVING IN GIVING ADDRESS CUSTOMER LIVING IN CHERUKUPALLI CUSTOMER ASKING TIME TO PAY CUSTOMER JOBLESS</t>
  </si>
  <si>
    <t>Customer Adress visit and Customer is Live and Customer ptp on Tommorow</t>
  </si>
  <si>
    <t>Ch not living in giving address waiting for parents</t>
  </si>
  <si>
    <t>Customer given address visit customer address not found, no information from neighbors call not answer</t>
  </si>
  <si>
    <t>Left msg to cust's wife and cust respond to call given ptp on 15th // Left msg to cust's wife cust respond to call and given ptp on Tomarrow by EOD</t>
  </si>
  <si>
    <t xml:space="preserve"> cmr not there in given address, cmr living in Hyderabad, cmr answerd call and cmr taken up notice</t>
  </si>
  <si>
    <t>cm door locked sir and cm call not answering sir // : cm job loss sir due to fund issue cm given ptp 17th sir</t>
  </si>
  <si>
    <t>Customer house shifted 
Customer calls not responding // Customer work address wrong
Customer calls not responding</t>
  </si>
  <si>
    <t>Cm home is in lock cm anserd the call cm job loss sir cm will proceed legal sir.</t>
  </si>
  <si>
    <t>Customer not available in the working address // Customer new address door locked 
Need to revisit // Customer address still door locked // Customer willing to pa</t>
  </si>
  <si>
    <t>Customer own house but he is doing job in hyderabad call answered given ptp on 17th eveing</t>
  </si>
  <si>
    <t>Customer Adress visit, customer is Live and customer ptp on Monday // Customer Adress visit, customer is Live and customer ptp 1hour // Custmor PTP  19 // Customer Adress visit, customer is Live and Customer ptp in 5mints</t>
  </si>
  <si>
    <t>customer paymet today evening or tomorrow morning</t>
  </si>
  <si>
    <t>Customer house address visit customer not available customer house door lock neighbours told customer shifted to Hyderabad customer mobile not responding</t>
  </si>
  <si>
    <t>Customer work address visited 
Customer not available 
Customer calls not responding</t>
  </si>
  <si>
    <t>Customer given House address visited but customer door number not matched in this ares will revist again</t>
  </si>
  <si>
    <t>Customer office adress visit and Customer prasent bhongir hospital and customer call Answer ptp on Tommorow</t>
  </si>
  <si>
    <t>cm not available sir and cm father talking abuse language and cm call answered given ptp 17 th sir</t>
  </si>
  <si>
    <t>Customer address visit ch not available msg left to family call not answering sir 
Ph new number 9393394338</t>
  </si>
  <si>
    <t>Customer friend used the card &amp; refused to pay the amount 
Discuss at police station</t>
  </si>
  <si>
    <t>CUSTOMER NOT AVAILABLE AT HOME JOB PURPOSE SHE IS STAYING OUT SIDE.PTP TO TOMORROW</t>
  </si>
  <si>
    <t>I have Visited customer given house address Customer is in live Given ptp by Saturday // Re Visited customer given house address Customer not available found house locked customer call not answering // ReVisited customer given house address Customer not available in home Waiting for Customer</t>
  </si>
  <si>
    <t>customer not available at house he was going to Hyderabad mess pass to family</t>
  </si>
  <si>
    <t>Customer given address is fake and the address is land venture place searching another address</t>
  </si>
  <si>
    <t>Customer live present not available inform to son call back /// Customer given PTP today eve // Customer live PTP at 9.30pm</t>
  </si>
  <si>
    <t>Customer given address skipp there is no in that house from past 2years call not answering going to 2nd address // Customer 2nd address parents live customer call not answering inform to his parents call back eve // Customer given address skipp there is no in that house from past 2years call not answering going to 2nd address // Customer not available his parents saying give time today we will update customer not answering calls // Customer payment done sir once check and update</t>
  </si>
  <si>
    <t>16TH J</t>
  </si>
  <si>
    <t>Customer visit home address meet customer PTP 18th // Customer revisit home address meet customer PTP 19th</t>
  </si>
  <si>
    <t>Customer address skip call not working need to kyc sir // Customer tracing address visit ch not available skip address // Customer address skip call not working need to kyc sir // Customer tracing address visit ch not available skip call not working sir</t>
  </si>
  <si>
    <t>Customer given working address visited security not allowing inside customer mobile number not working want to visit house address // Customer given House address visited but door number not matched Will revisit again // Customer given House address visited but customer not available given fake address customer mobile number not working need alternative address // Customer new House address visited but new address also fake call not working // Customer given House address visited but customer not available given fake address customer mobile number not working need alternative address // Customer given working address revisited enquiry about customer details with staff members // Customer given working address visited enquired with staff members customer details found customer left his job in this company and shifted to Us conformed by staff customer mobile number not working</t>
  </si>
  <si>
    <t>Customer address skip call not answering sir need to kyc sir // Customer address skip call not answering neighbour enquiry no identity person</t>
  </si>
  <si>
    <t>Customer USA shifted family members available ptp Monday total outstanding amount // Customer USA shifted family members available discussing about payment</t>
  </si>
  <si>
    <t>Visited Customer Residence Address Door locked Customer Staying In Hyderabad Confirm to Niebours</t>
  </si>
  <si>
    <t>Customer given House address visited customer live respond about payment customer waiting for salary given PTP today evenin // Customer given House address revisited customer live respond customer waiting for salary given PTP today evening</t>
  </si>
  <si>
    <t>12121-ECS PAYMENTS</t>
  </si>
  <si>
    <t>Customer given working address visited customer live but customer unable to pay Bill payment provided injection letter // Customer given working address visited customer live but customer unable to pay Bill payment provided injection letter</t>
  </si>
  <si>
    <t>Visited Customer Residence Address Customer Given Commitment On 15th Sir // Visited Customer Residence waiting for Payment</t>
  </si>
  <si>
    <t>Custmor not lived sir // Custmor not lived sir</t>
  </si>
  <si>
    <t>Customer Adress visit and Customer prasent in Village goto work purpose prasent home lock and Customer call answer He is getting angry because he says he was told last month that the amount would be converted into an EMI, but it wasn't done and Customer ptp on Monday</t>
  </si>
  <si>
    <t>I have Visited Customer given house address Customer not available here Customer staying in Hyderabad I have called to Customer father with rented ppl Customer father call answered Saying that will speak with my Son &amp; Call you back evening 
Customer father mobile</t>
  </si>
  <si>
    <t>cm was not in the present given address sir and cm call not answering sir</t>
  </si>
  <si>
    <t xml:space="preserve"> cm given ptp today evening sir // :cm door locked sir and cm call not answering sir // cm not available in the given third party address sir</t>
  </si>
  <si>
    <t>4375516228352013</t>
  </si>
  <si>
    <t>4375517459454007</t>
  </si>
  <si>
    <t>4375519629008002</t>
  </si>
  <si>
    <t>5241933217121003</t>
  </si>
  <si>
    <t>5241935797598005</t>
  </si>
  <si>
    <t>4085110053401003</t>
  </si>
  <si>
    <t>4315811163044003</t>
  </si>
  <si>
    <t>4315811746006008</t>
  </si>
  <si>
    <t>4315811936494014</t>
  </si>
  <si>
    <t>4315813038513006</t>
  </si>
  <si>
    <t>4315813511581017</t>
  </si>
  <si>
    <t>4315814506824008</t>
  </si>
  <si>
    <t>4315815571713000</t>
  </si>
  <si>
    <t>4375516552527024</t>
  </si>
  <si>
    <t>4375518393795000</t>
  </si>
  <si>
    <t>4748469601152008</t>
  </si>
  <si>
    <t>5241933774352009</t>
  </si>
  <si>
    <t>6528681484119018</t>
  </si>
  <si>
    <t>374740227543005</t>
  </si>
  <si>
    <t>374740331024009</t>
  </si>
  <si>
    <t>4035620607928047</t>
  </si>
  <si>
    <t>4035621341719007</t>
  </si>
  <si>
    <t>4035621508133000</t>
  </si>
  <si>
    <t>4035623108090002</t>
  </si>
  <si>
    <t>4315810895182016</t>
  </si>
  <si>
    <t>4315812454848003</t>
  </si>
  <si>
    <t>4315812467047007</t>
  </si>
  <si>
    <t>4315812961448008</t>
  </si>
  <si>
    <t>4315813109962009</t>
  </si>
  <si>
    <t>4315813990367003</t>
  </si>
  <si>
    <t>4315814191515002</t>
  </si>
  <si>
    <t>4315814576617001</t>
  </si>
  <si>
    <t>4315814593823004</t>
  </si>
  <si>
    <t>4375519764192017</t>
  </si>
  <si>
    <t>4748467960911006</t>
  </si>
  <si>
    <t>4748468310311004</t>
  </si>
  <si>
    <t>4748469378865006</t>
  </si>
  <si>
    <t>4748469390465009</t>
  </si>
  <si>
    <t>4748469490493000</t>
  </si>
  <si>
    <t>6528680449457000</t>
  </si>
  <si>
    <t>MR. DONEMDUDI SANDEEP</t>
  </si>
  <si>
    <t>MR. BHASKER DUVVARAPU</t>
  </si>
  <si>
    <t>Mr K Srinivasulu</t>
  </si>
  <si>
    <t>MR. MANDLI JEEVAN</t>
  </si>
  <si>
    <t>MR CHUNDURI SANDEEP</t>
  </si>
  <si>
    <t>MR DASI LIKHITESWAR REDDY</t>
  </si>
  <si>
    <t>MR Syed Allauddin</t>
  </si>
  <si>
    <t>MR Shaik Hussain Ahamad</t>
  </si>
  <si>
    <t>MR DUBBAKA THRISHUL</t>
  </si>
  <si>
    <t>MR BANDA MAHESH</t>
  </si>
  <si>
    <t>MR Sonti Bhavani Mutyam</t>
  </si>
  <si>
    <t>MR Challa Aravind Reddy</t>
  </si>
  <si>
    <t>MR ARAVIND PITTA</t>
  </si>
  <si>
    <t>MR E KARUNAKAR</t>
  </si>
  <si>
    <t>MS TODETI ROHITA</t>
  </si>
  <si>
    <t>MR BANDARI SATISH</t>
  </si>
  <si>
    <t>MR. SHAIK JANI BASHA</t>
  </si>
  <si>
    <t>MR KUKUTAPU MAHESH</t>
  </si>
  <si>
    <t>MR SANJEEVA SASANOORI</t>
  </si>
  <si>
    <t>MR PUTTAPAKA BHASKAR</t>
  </si>
  <si>
    <t>MR NAMPELLY SRIDHAR</t>
  </si>
  <si>
    <t>MR KATHULA PRAKASARAO</t>
  </si>
  <si>
    <t>MS SYEDA SHAHID</t>
  </si>
  <si>
    <t>MR. VENKATESWARLU NARAPAREDDY</t>
  </si>
  <si>
    <t>MR K Vamsi Krishna</t>
  </si>
  <si>
    <t>Mr MARIA SARPRASADAM ABHISHE</t>
  </si>
  <si>
    <t>MR MORE SAMBAIAH</t>
  </si>
  <si>
    <t>MR Guguloth Rajender Naik</t>
  </si>
  <si>
    <t>MR SAHAVAS NUKALAPATI</t>
  </si>
  <si>
    <t>MR SHAIK RAFI</t>
  </si>
  <si>
    <t>MR Bommareddy Chandrahasa Reddy</t>
  </si>
  <si>
    <t>MR MANGALI UDAYKUMAR</t>
  </si>
  <si>
    <t>MR YOGANAND HANUMANTHU</t>
  </si>
  <si>
    <t>MR REGURI DHARANI</t>
  </si>
  <si>
    <t>MR MOPURI VISHNUVARDHAN REDDY</t>
  </si>
  <si>
    <t>MR AMJURI SATYA SWAROOP</t>
  </si>
  <si>
    <t>MR KAKARLA KALYAN</t>
  </si>
  <si>
    <t>MR Palukuri Rohith</t>
  </si>
  <si>
    <t>8555946976</t>
  </si>
  <si>
    <t>8886888592</t>
  </si>
  <si>
    <t>9182015954</t>
  </si>
  <si>
    <t>9440435043</t>
  </si>
  <si>
    <t>9949718345</t>
  </si>
  <si>
    <t>7330714163</t>
  </si>
  <si>
    <t>8500554401</t>
  </si>
  <si>
    <t>8712348480</t>
  </si>
  <si>
    <t>8686866007</t>
  </si>
  <si>
    <t>9949534181</t>
  </si>
  <si>
    <t>9177357618</t>
  </si>
  <si>
    <t>6301445659</t>
  </si>
  <si>
    <t>8121006887</t>
  </si>
  <si>
    <t>9059399326</t>
  </si>
  <si>
    <t>9121574274</t>
  </si>
  <si>
    <t>9010941578</t>
  </si>
  <si>
    <t>9948547943</t>
  </si>
  <si>
    <t>9032519169</t>
  </si>
  <si>
    <t>9000092288</t>
  </si>
  <si>
    <t>8309602092</t>
  </si>
  <si>
    <t>9533834143</t>
  </si>
  <si>
    <t>9491545617</t>
  </si>
  <si>
    <t>7995685232</t>
  </si>
  <si>
    <t>9966140077</t>
  </si>
  <si>
    <t>9959168220</t>
  </si>
  <si>
    <t>9052167949</t>
  </si>
  <si>
    <t>6281185018</t>
  </si>
  <si>
    <t>7093408820</t>
  </si>
  <si>
    <t>7989877463</t>
  </si>
  <si>
    <t>9493705484</t>
  </si>
  <si>
    <t>8978207989</t>
  </si>
  <si>
    <t>7013039914</t>
  </si>
  <si>
    <t>9908071054</t>
  </si>
  <si>
    <t>7416462353</t>
  </si>
  <si>
    <t>8073756094</t>
  </si>
  <si>
    <t>8897195163</t>
  </si>
  <si>
    <t>9063013333</t>
  </si>
  <si>
    <t>4-125/1 NEAR AMBETHKAR STATUE AND LUTHERAN CHURCH KUNCHANAPALLI TADEPALLI MANDAL -NEAR YSR STATUE GUNTUR ANP 522501</t>
  </si>
  <si>
    <t>"3-21,BIRKOOR MANDAL,TIMMAPUR,THIMMAPURAM" - NIZAMABAD - NIZAMABAD ANP 503321</t>
  </si>
  <si>
    <t>"H NO 2-63,GADWAL(RURAL),GADWAL, CHENUGONIPALLE GADWAL MANDAL"    Mahbubnagar TNG 509125</t>
  </si>
  <si>
    <t>"1/433-4," MARUTHI NAGAR KADAPA NEAR NAGARJUNA MODEL SCHOOL KADAPA ANP 516001</t>
  </si>
  <si>
    <t>"FLAT,NO 102 RAGHAVA KRISHNA,APARTMEN,,T" "TUMMALA VENKATA,SUBBA RAO STREE,"  NEAR MAIN ROAD VIJAYAWADA ANP 520007</t>
  </si>
  <si>
    <t>"2-23,VEERABADRA TEMPLE,.,CHERUKUCHERLA," "CHERUKUCHERLA,VILLAGE MIDTHURU MANDAL"  ... KURNOOL ANP 518405</t>
  </si>
  <si>
    <t>"4-1-7,," BIG MOSQUE STREET Nayudupeta OPP KALYAN SINGH HOSPITAL TIRUPATI ANP 524126</t>
  </si>
  <si>
    <t>302 DB HOMES 5TH LANE 2ND CROSS ROAD GUNTUR SITHA RAMMAYYA SCHOOL GUNTUR ANP 522007</t>
  </si>
  <si>
    <t>"H NO,3-17-34 RAJARAM NAGAR,ARMUR,.," MUNCIPALITY ARMUR . MUNCIPALITY ARMUR NIZAMABAD TNG 503224</t>
  </si>
  <si>
    <t>1 17 Dandupally Dandupally Medak MEDAK TNG 502336</t>
  </si>
  <si>
    <t>2.59 Tanuku.mandal Ramlayam.street Konala TADEPALLIGUDEM ANP 534146</t>
  </si>
  <si>
    <t>12.213 SH.18..Gowri.Shanker.Colony Badepally Dr brr govt degree college JEDCHERLA TNG 509301</t>
  </si>
  <si>
    <t>"H.NO.10-7-47,RAMAVARI STREET,GIRMAJIPET," ",GIRMAJIPET"  "NEAR TEMPLE, NEAR POST OFFICE," WARANGAL TNG 506002</t>
  </si>
  <si>
    <t>6 1 34A SURYAPET ROAD RESTARANT NEAR CORPORATION BANK AND BALAJ BARE Warangal TNG 506167</t>
  </si>
  <si>
    <t>1-18 CHINATHALANKA CHINATHALANKA CHINATHALANKA GUNTUR ANP 522324</t>
  </si>
  <si>
    <t>H NO 73 PADMASHALIWADA CHENNUR   NEAR SHIVALAYAM Adilabad TNG 504201</t>
  </si>
  <si>
    <t>DRNO 2-212 KESANUPALLI  NEAR MASJID GUNTUR ANP 522601</t>
  </si>
  <si>
    <t>"3-1-29 SHIVAJI NAGAR,BHONGIR,SHIVAJI NAGAR," BHONGIR   NALGONDA TNG 508116</t>
  </si>
  <si>
    <t>"C/O P PRABHAKAR REDDY,H NO 8-1-40/1" "CHINNA AGRAHARAM,GADWAL,MAHABUBNAGAR D"   MAHBUBNAGAR TNG 509125</t>
  </si>
  <si>
    <t>H NO 1-15 KAMMEPALLE WARANGAL NEAR MAIN ROAD WARANGAL TNG 506331</t>
  </si>
  <si>
    <t>"3-70,GUNDARAM GUNDARAM,.,GUNDARAM P S," ...  NEAR BUS STOP KARIMNAGAR TNG 505528</t>
  </si>
  <si>
    <t>35-4-8 NEAR BY HEAD POST OFFICE RAMALAYAM ROAD ENDING RATNABHAVAN-1996 TANUKU ANP 534211</t>
  </si>
  <si>
    <t>"501,5th floor,MallaReddy Silveroak 2" "block B,Ameen abbas nagar" VR colony beside ucon paradise apartment KURNOOL ANP 518003</t>
  </si>
  <si>
    <t>D NO 11-26 PORNKI FISHNURSARIES VIJAYWADA - VIJAYWADA ANP 521137</t>
  </si>
  <si>
    <t>1-80 eguvaReddy Vari Palli eguvA Reddy  Vari Palli Chittoor TIRUPATHI ANP 517101</t>
  </si>
  <si>
    <t>"70-8-1 EMPLOYEE STREET,PATAMATA,VIJAYAWADA," VENKATESWARAPURAM   VIJAYAWADA ANP 520010</t>
  </si>
  <si>
    <t>3 28 BORNAPALLI BORNAPALLI HUZURABAD BORNAPALLI HUZURABAD  HYDERABAD ANP 505468</t>
  </si>
  <si>
    <t>4-11/1 Gopal puram kanaka durga colony Warangal WARANGAL TNG 506015</t>
  </si>
  <si>
    <t>Flat.202.Akshya.Aparatment..Vanamthopu .. Nellore STEEL FACTORY LANE VANAMTHOPU NELLORE ANP 524004</t>
  </si>
  <si>
    <t>ALTHURTHI ALTHURTHI  NELLORE GUDUR ANP 524345</t>
  </si>
  <si>
    <t>flot.no.105.lakshmisri.towers.opposit.bu flot.no.105.lakshmisri.towers.opposit.bu ..flot.no.105.lakshmisri.towers.opposit. Guntur NARASAPURAM ANP 522413</t>
  </si>
  <si>
    <t>8.735.C.GOOTY  ..  ANANTAPUR ANP 515401</t>
  </si>
  <si>
    <t>A5 RENU TOWERS KONDAYAPALEM  VANANTHOPU NELLORE ANP 524004</t>
  </si>
  <si>
    <t>8-4-391 GANESHNAGAR KARIMNAGAR NEAR CPI OFFICE ADILABAD TNG 505001</t>
  </si>
  <si>
    <t>2 KOGATAM  CUDDAPAH PRODDATUR ANP 516289</t>
  </si>
  <si>
    <t>1-257/1 MADHAVAPATNAM SAMARLAKOTA EAST GODAVARI ANDHRAPRADESH BESIDE COMMUNITY HALL KAKINADA ANP 533005</t>
  </si>
  <si>
    <t>1135 SAJJALADINNE SAJJALADINNE "ANANTAPUR, ANDHRAPRADESH"  NEAR TEMPLE ANANTAPUR ANP 515415</t>
  </si>
  <si>
    <t>2 104 Panasapadu Panasapadu East Godavari KAKINADA ANP 533005</t>
  </si>
  <si>
    <t>KOTAK MAHINDRA BANK LIMITED "40-1-48, SIRI TOWERS MG ROAD" OPP SWEET MAGIC OPP SWEET MAGIC VIJAYAWADA ANP 520010</t>
  </si>
  <si>
    <t>ZUVENTUS HEALTHCARE LTD 5/195 TH OBEROI GARDEN ESTATE SAKI NAKA D WING ANDHERI EAST CHANDIVALI FARM RD MUMBAI D WING ANDHERI EAST CHANDIVALI FARM RD MUMBAI MUMBAI MAH 400072</t>
  </si>
  <si>
    <t>SElf employed Gadwal Noor Majid Noor Majid Mahbubnagar TNG 509125</t>
  </si>
  <si>
    <t>KARUR VYSYA BANK D NO 9-2-31 32 AND 33 NIRMALA MALL   Warangal TNG 506002</t>
  </si>
  <si>
    <t>CONSTRUCTION "FLAT NO 102,RAGHAVA KRISHNA APARTMENT" TUMMALA VENKATA SUBBA RAO STREET TUMMALA VENKATA SUBBA RAO STREET VIJAYAWADA ANP 520007</t>
  </si>
  <si>
    <t>EIT SERVICES INDIA PRIVATE LIMITED "39, DGS-CAMPUS, PHASE-1, HP AVENUE," "NO-40, HOSUR RD, ELECTRONIC CITY," "NO-40, HOSUR RD, ELECTRONIC CITY," BANGALORE KAR 560100</t>
  </si>
  <si>
    <t>SOUTHERN RAILWAY RAILWAY YARD BASIN BRIDGE NR RAILWAY STATION BASIN BRIDGE NR RAILWAY STATION CHENNAI TMN 600001</t>
  </si>
  <si>
    <t>AARVEE ASSOC ARCHITECTS ENG AND CONSULT SRINAGAR COLONY BIGBAZZAR BACKSIDE BIGBAZZAR BACKSIDE HYDERABAD TNG 500008</t>
  </si>
  <si>
    <t>TATA MOTORS LIMITED 1-3-2 Perkit Perkit NIZAMABAD TNG 503224</t>
  </si>
  <si>
    <t>MAHESH TRANSPORTATION 1 17 DANDUPALLY  MANOHARABAD MANDAL MEDAK DIS DANDUPALLY  MANOHARABAD MANDAL MEDAK DIS MEDAK TNG 502336</t>
  </si>
  <si>
    <t>SRINIVAS.AGRI RAMALAYAM.STREET.KONALA ARULLA.ROAD. ARULLA.ROAD. TADEPALLIGUDEM ANP 534146</t>
  </si>
  <si>
    <t>AUROBINDO.PHARMA.LIMITED AUROBINDO.PHARMA.LTD Railalli.Raipalle..Telangana Railalli.Raipalle..Telangana JEDCHERLA TNG 509301</t>
  </si>
  <si>
    <t>IBM INDIA PRIVATE LIMITED "MINDSPACE 12D," "HITECH CITY, HYDERABAD," "HITECH CITY, HYDERABAD," HYDERABAD TNG 500081</t>
  </si>
  <si>
    <t>GOVT OF IS AGRICULTURE DEPARTMENT GOVT OF TS AGRICULTURE DTP IRRIGATION QUARTES IRRIGATION QUARTES Warangal TNG 506167</t>
  </si>
  <si>
    <t>GOVERNMENT OF ANHMDHRPRADESH BALIJEPALLI SECRETARIAT BALIJEPALLI VILL VEMUR MANDAL BAPATLA DIST VEMUR MANDAL BAPATLA DIST GUNTUR ANP 522261</t>
  </si>
  <si>
    <t>GOVT OT TELANGANA EDUCATION DEPARTMENT M P P S OTHUKULAPALLY   Adilabad TNG 504201</t>
  </si>
  <si>
    <t>IWS INTIGRATED WIRELESS SOLUTIONS DRNO 2-212 KESANUPALLI NARASARAOPET GUNTUR   NARASARAOPET ANP 522661</t>
  </si>
  <si>
    <t>self employed bhongir bhongir bhongir NALGONDA TNG 508116</t>
  </si>
  <si>
    <t>Not Applicable "Plotno44 Bheemnagar,Gadwal" "Bheemnagar, Gadwal" "Bheemnagar, Gadwal" MAHABUBNAGAR TNG 509125</t>
  </si>
  <si>
    <t>OTHERS GOVERNMENT H NO 1-15 KAMMAPALLE KAMMAPALLE WARANGAL TNG 506331</t>
  </si>
  <si>
    <t>KI MOBILITY SOLUTIONS PRIVATE LIMITED "NO-F968,68-8,PRASANTH NAGAR COLONY" "KONDAPUR,HYDERABAD" "KONDAPUR,HYDERABAD" HYDERABAD TNG 500084</t>
  </si>
  <si>
    <t>SASI ENGLISH MEDIUM HIGH SCHOOL "TANUKU MANDAL,WEST GODAVARI" ANDHRA PRADESH ANDHRA PRADESH TANUKU ANP 534211</t>
  </si>
  <si>
    <t>ACCENTURE SOLUTIONS PRIVATE LIMITED "HP9G H3G,KUNDALAHALLI,BROOKEFIELD," "BENGALURU,KARNATAKA," "BENGALURU,KARNATAKA," BANGALORE KAR 560066</t>
  </si>
  <si>
    <t>MEDVISION PVT LTD PLOT NO 31 AND 32 5TH FLR RAMKY SELEIUNUM GACHIBOWLI GACHIBOWLI HYDERABAD TNG 500032</t>
  </si>
  <si>
    <t>FINANCE EGUVA REDDY VARI PALLI CHANDRAGIRI CHANDRAGIRI TIRUPATHI ANP 517101</t>
  </si>
  <si>
    <t>GDC KANTAR private limited Vbit park gate no5 7th floor Near inorbit Near inorbit HYDERABAD TNG 500081</t>
  </si>
  <si>
    <t>SWATHI ASSOCIATES HUZURABAD HUZURABAD HUZURABAD HYDERABAD ANP 505468</t>
  </si>
  <si>
    <t>KAKATIYA INSTITUTE OF TECHNOLOGY AND SCI DEPT. OF EEE BLOCK 3 BLOCK 3 WARANGAL TNG 506015</t>
  </si>
  <si>
    <t>SAHAVAS.NUKALAPATI OLD.AKSHAYA.APPARTMENT..FALTO.NO.202 OPP.HANDICAPP.OFFICE.LANE.VANAMTHOPU...N OPP.HANDICAPP.OFFICE.LANE.VANAMTHOPU...N NELLORE ANP 524004</t>
  </si>
  <si>
    <t>CALSOFT PVT LTD 1ST FLOOR RIGHT WING SHAILENDRA TECHNO PARK PLOT NO 116 1ST PHASE EPIP ZONE PARK PLOT NO 116 1ST PHASE EPIP ZONE BANGALORE KAR 560066</t>
  </si>
  <si>
    <t>LIFE.INSURANCE.CORPORATION.OF.INDIAPLICA DHANUNJAYA.COMPLEX Sattenapalli. Sattenapalli. NARASAPURAM ANP 522403</t>
  </si>
  <si>
    <t>Merkur.slots 8.735.C. BC.COLONY BC.COLONY ANANTAPUR ANP 515401</t>
  </si>
  <si>
    <t>ADANI WILMAR LTD SURVEY NO 293 KANTHAPALAM VILLAGE EPURU 1B  MUTHKURU MANDAL SPSR NELLORE 1B  MUTHKURU MANDAL SPSR NELLORE GUDUR ANP 524323</t>
  </si>
  <si>
    <t>HARMAN CONNECTED SERVICES CORPORATION IN NO 3 3A EOLZ INDUATRIAL AREA SADARAMANGALA VILLAGE SADARAMANGALA VILLAGE BANGALORE KAR 560066</t>
  </si>
  <si>
    <t>B S R AND CO LLP "BLOCK A 11/12/1,100 FEET ROAD EMBASSY" GOLF LINKS BUSINESS PARK KORAMANGALA GOLF LINKS BUSINESS PARK KORAMANGALA BANGALORE KAR 560071</t>
  </si>
  <si>
    <t>CYIENT LIMITED CYIENT LIMTED K13 KAKINADA AUTONAGAR KAKINADA EAST GODAVARI ANDHRAORADESH KAKINADA EAST GODAVARI ANDHRAORADESH KAKINADA ANP 533005</t>
  </si>
  <si>
    <t>ERRAMANCHI VILLAGE BEHIND KIA MOTORS NEAR HYUNDAI MOBIS ANDHRAPRADESH ANDHRAPRADESH HINDUPUR ANP 515164</t>
  </si>
  <si>
    <t>cyient Ltd MAIN road NEAR CANARA BANK NEAR CANARA BANK KAKINADA ANP 533005</t>
  </si>
  <si>
    <t>17TH JUNE</t>
  </si>
  <si>
    <t>4035626009863005</t>
  </si>
  <si>
    <t>4315815508098004</t>
  </si>
  <si>
    <t>4035623355796004</t>
  </si>
  <si>
    <t>4035620794117008</t>
  </si>
  <si>
    <t>4035627641392007</t>
  </si>
  <si>
    <t>LATE</t>
  </si>
  <si>
    <t>MR PERUMANDLA RAJU</t>
  </si>
  <si>
    <t>MR SHAIK JANI PASHA</t>
  </si>
  <si>
    <t>MR GUNTUKA SRINIVAS</t>
  </si>
  <si>
    <t>MR KANDUKOORI NAYAB GHOUSE</t>
  </si>
  <si>
    <t>Mr GALI SETTY PAVAN KUMAR</t>
  </si>
  <si>
    <t>7993384883</t>
  </si>
  <si>
    <t>8179407806</t>
  </si>
  <si>
    <t>9014020951</t>
  </si>
  <si>
    <t>9030336611</t>
  </si>
  <si>
    <t>7977766464</t>
  </si>
  <si>
    <t>Visited Customer Residence Address Customer Live Given Commitment On 15th Sir // Visited Customer Residence Customer Live Customer Given Commitment Afternoon sir // Visited Customer Residence Customer Not Available Inform To His Mother Sir</t>
  </si>
  <si>
    <t>17TH J</t>
  </si>
  <si>
    <t>No such person and cust number switched off</t>
  </si>
  <si>
    <t>Visited Customer Residence Customer Given Commitment On 15th Sir // Visited Customer Given Adress Customer Not Available Phone Call Not Answering Sir</t>
  </si>
  <si>
    <t>customer paymet today evening</t>
  </si>
  <si>
    <t>Customer given address skip call not answering sir // Customer new track address visited not available skip call not answering sir</t>
  </si>
  <si>
    <t>Visited customer given address Customer not available Customer daughter available information given to daughter she will inform to customer mobile ringing not responding Re visit again sir. // Re visited customer given address customer daughter available customer responded on phone given PTP 15th sir. // Customer given PTP today Visited customer working address present customer in leave confirmed by staff phone cals not responding revisit again Tommorow sir. // Revisited customer given address customer given PTP today broken . Door lock Customer out of station Contacted customer through phone given PTP today evening sir....</t>
  </si>
  <si>
    <t>SEKAR/TIRUPATI , 8500444601</t>
  </si>
  <si>
    <t>Cust shifted from given address and no respond to calls</t>
  </si>
  <si>
    <t>HUZURABAD</t>
  </si>
  <si>
    <t>Sum of ENR</t>
  </si>
  <si>
    <t>18TH J</t>
  </si>
  <si>
    <t>customer not available and phone respond agree payment on 15 date // customer not available and agree payment today</t>
  </si>
  <si>
    <t>Met the cust and given ptp on today by EOD // Left msg to cust's mother and cust no respond to calls will update</t>
  </si>
  <si>
    <t>Cust shifted from given address and no respond to calls // Visited to cust working address not available and no respond to calls revisit and upda // Met cust working address and given ptp on today by EOD // Met the cust and given ptp on today by EOD // Visited to cust' office address cust not available waiting for cust</t>
  </si>
  <si>
    <t>Ch adress not found asking village asking customer identity or father name // Ch not living in giving address mobile not answering asking neighbors said living in Hyderabad jobless father health issue admitted in Hyderabad hospital</t>
  </si>
  <si>
    <t>Customer PTP on 18th // Waiting for location</t>
  </si>
  <si>
    <t>Customer in death</t>
  </si>
  <si>
    <t>mr shifted hydera// cmr House door locked and cmr answered call request to call back</t>
  </si>
  <si>
    <t>Customer house door locked 
Customer phone PTP on 9th // Customer not available 
Inform in  customer father 
Customer calls not respondin // Customer house door locked 
Customer calls not responding // Customer not available
Customer house door locked 
Customer calls not responding// Customer work address visited 
Customer not available 
Waiting for location</t>
  </si>
  <si>
    <t xml:space="preserve"> cmr not living in this address, cmr father there , cmr answered call and request to call back // waiting for payment, cmr father there at home, cmr answerd call // cmr paid partial amount, remaining amount will pay in 1 hour @~priya</t>
  </si>
  <si>
    <t>Customer address visit ch not available msg left to family call not answering // Customer address visit ch not available msg left to family call not answering // Customer address visit ch not available msg left to family call not answering</t>
  </si>
  <si>
    <t>19TH J</t>
  </si>
  <si>
    <t>Meet Customer Customer Given Commitment On 15th Sir // Visited Customer Given Adress Door locked</t>
  </si>
  <si>
    <t>Ch live present not available shifted to pedravuru veterinary hospital mobile answering some bank account issue Monday will slove Wednesday will pay</t>
  </si>
  <si>
    <t>Customer living in US and informed to his mother</t>
  </si>
  <si>
    <t>12103-CASH PYMT RCVD</t>
  </si>
  <si>
    <t>cm not available sir and cm was in Bangalore cm call not answered sir</t>
  </si>
  <si>
    <t>customer not available at given address by local enquiry shifted to mulakaluru by call conversation customer asking said charges issue asking for settlement not ready to pay… // customer avilable he asking for settlement try to convince</t>
  </si>
  <si>
    <t>374742675267004</t>
  </si>
  <si>
    <t>4035622989902004</t>
  </si>
  <si>
    <t>4315812627974017</t>
  </si>
  <si>
    <t>4375513204789003</t>
  </si>
  <si>
    <t>4375519948244007</t>
  </si>
  <si>
    <t>4748468051554002</t>
  </si>
  <si>
    <t>5176537191668001</t>
  </si>
  <si>
    <t>5241936602096003</t>
  </si>
  <si>
    <t>5241936743721006</t>
  </si>
  <si>
    <t>4748460838622004</t>
  </si>
  <si>
    <t>4748461170877008</t>
  </si>
  <si>
    <t>4748461290129009</t>
  </si>
  <si>
    <t>4748464716127003</t>
  </si>
  <si>
    <t>4748464734447003</t>
  </si>
  <si>
    <t>4748464742928002</t>
  </si>
  <si>
    <t>5241935759709004</t>
  </si>
  <si>
    <t>6528690014919003</t>
  </si>
  <si>
    <t>6528690150272001</t>
  </si>
  <si>
    <t>4748468081203000</t>
  </si>
  <si>
    <t>4315810513127005</t>
  </si>
  <si>
    <t>4315811027665001</t>
  </si>
  <si>
    <t>4315811144304005</t>
  </si>
  <si>
    <t>4315811241605007</t>
  </si>
  <si>
    <t>4315812620163006</t>
  </si>
  <si>
    <t>4477466935610005</t>
  </si>
  <si>
    <t>4477468418730003</t>
  </si>
  <si>
    <t>4477470310962007</t>
  </si>
  <si>
    <t>5241930608582017</t>
  </si>
  <si>
    <t>MR ONTELA RATHNAKAR ONTELA RATHNAKAR REDDY</t>
  </si>
  <si>
    <t>MR MUDHUNURI SAI KRISHNAM</t>
  </si>
  <si>
    <t>MR Jangala Mahesh Babu</t>
  </si>
  <si>
    <t>MR KASI VISWANADH MOGALI</t>
  </si>
  <si>
    <t>MR MAHESH KUMAR RACHAKONDA</t>
  </si>
  <si>
    <t>MRS POOJA AGARWAL</t>
  </si>
  <si>
    <t>MR. KRISHNA CHAITANYA NUNNA</t>
  </si>
  <si>
    <t>MR MAHESH MAHESH</t>
  </si>
  <si>
    <t>MR LAVUDYA RAVINDER</t>
  </si>
  <si>
    <t>MR MOHD ABDUL BASITH</t>
  </si>
  <si>
    <t>MR MALLELA SHAIK SHAFI</t>
  </si>
  <si>
    <t>MR VADAKALA GOPI</t>
  </si>
  <si>
    <t>MR BOYAPALLI ASHOK KUMAR</t>
  </si>
  <si>
    <t>MR CHAKALI SATHISH KUMAR</t>
  </si>
  <si>
    <t>MR CHALLA RAJESH BABU</t>
  </si>
  <si>
    <t>MR PAMISETTY LAKSHMINARAYANA</t>
  </si>
  <si>
    <t>MR THIGULLA PRABHAKAR</t>
  </si>
  <si>
    <t>MR Sreenivasulu Yeddula</t>
  </si>
  <si>
    <t>MR SANTHAN PARVATANENI</t>
  </si>
  <si>
    <t>Mr Yedoti Arunmahesh</t>
  </si>
  <si>
    <t>MR SITA MANOHAR AKELLA</t>
  </si>
  <si>
    <t>MR SRIRM ANVESH</t>
  </si>
  <si>
    <t>MS PADMA KALISETTY</t>
  </si>
  <si>
    <t>MR Maheshwaram Naveen Kumar</t>
  </si>
  <si>
    <t>Mr. MUPPANA SRINIVAS</t>
  </si>
  <si>
    <t>Mr. PAYALAPATI KUPERSURESH KUMAR</t>
  </si>
  <si>
    <t>Mr. GUNDA SRIKUMAR</t>
  </si>
  <si>
    <t>MR POLABATHULA THRIMURTHULU</t>
  </si>
  <si>
    <t>7095894968</t>
  </si>
  <si>
    <t>9030933456</t>
  </si>
  <si>
    <t>7893990555</t>
  </si>
  <si>
    <t>9160393143</t>
  </si>
  <si>
    <t>9849734485</t>
  </si>
  <si>
    <t>8686532560</t>
  </si>
  <si>
    <t>9491971159</t>
  </si>
  <si>
    <t>8501969363</t>
  </si>
  <si>
    <t>9948996997</t>
  </si>
  <si>
    <t>9441348111</t>
  </si>
  <si>
    <t>9491967687</t>
  </si>
  <si>
    <t>9666606948</t>
  </si>
  <si>
    <t>9010900844</t>
  </si>
  <si>
    <t>9014325570</t>
  </si>
  <si>
    <t>9640374871</t>
  </si>
  <si>
    <t>9440458255</t>
  </si>
  <si>
    <t>8985154527</t>
  </si>
  <si>
    <t>9000614820</t>
  </si>
  <si>
    <t>8686609060</t>
  </si>
  <si>
    <t>7842786877</t>
  </si>
  <si>
    <t>9966084323</t>
  </si>
  <si>
    <t>9949436356</t>
  </si>
  <si>
    <t>8866666617</t>
  </si>
  <si>
    <t>8185905958</t>
  </si>
  <si>
    <t>7382145529</t>
  </si>
  <si>
    <t>9848504660</t>
  </si>
  <si>
    <t>9849753730</t>
  </si>
  <si>
    <t>7893102324</t>
  </si>
  <si>
    <t>"1-6,DESHAIPALLY DESHAIPALLY,VILASAGAR,.,"    KARIMNAGAR TNG 505524</t>
  </si>
  <si>
    <t>2 125 1 SINGARAJU PETA MAHADEVAPATANAM UNDI MANDALAM NEAR SIVALAYAM NEAR SIVALAYAM BHIMAVARAM ANP 534199</t>
  </si>
  <si>
    <t>3-78 RAGHUNADHAPALEM MANDALAM RAGHUNADHAPALEM Khammam KHAMMAM TNG 507002</t>
  </si>
  <si>
    <t>"7/2/82 RAILWAY STATION,ROAD," "GOLLAPROLU,EAST GODAVARI"  .. KAKINADA ANP 533445</t>
  </si>
  <si>
    <t>H NO-7-8-8 GANDHI NAGAR GANDHI NAGAR SIRCILLA  LABOUR ADDA Karimnagar TNG 505301</t>
  </si>
  <si>
    <t>"1-7-143/1,VIVEKANANDA NAGAR,COLLECTOR BANGL"    MAHABUB NAGAR TNG 509001</t>
  </si>
  <si>
    <t>"8-27,MUNASUBU GARI STREET" "VELPUR,TANUKU MANDAL" WEST GODAVARI  TANUKU ANP 534211</t>
  </si>
  <si>
    <t>HNO 5-5/1 KOILKONDA X ROAD MAHABUBNAGAR NEAR PETROL PUMP MAHBOOBNAGAR TNG 509001</t>
  </si>
  <si>
    <t>H.NO11-11-H00061 HUSUNABAD KARIMNAGAR NEAR BHARATH HIGH SCHOOL HYDERABAD TNG 505467</t>
  </si>
  <si>
    <t>VIVEK NAGAR COLONY KC COLONY 6-14/2 100FT ROAD BHIMARAM RURAL  NEAR SM TOWERS WARANGAL TNG 506015</t>
  </si>
  <si>
    <t>5-1-110/1 NEAR HIGH SCHOOL AMALAPURAM EAST GODAVARI BESIDE HIGH SCHOOL AMALAPURAM ANP 533201</t>
  </si>
  <si>
    <t>3-55A GUMMADIDURRU  KRISHNA VIJAYAWADA ANP 521190</t>
  </si>
  <si>
    <t>PATHALINGALA PATHALINGALA  LINGALA CENTRE KHAMMAM TNG 507122</t>
  </si>
  <si>
    <t>15/33 MADDIKERA BOGAPPA BAVI KURNOOL KURNOOL ANP 518385</t>
  </si>
  <si>
    <t>07-154/45 YELESWARAM MANDALAM LACHHARAO COLANY  KAKINADA ANP 533429</t>
  </si>
  <si>
    <t>"31-180,RAM NAGAR RAM NAGAR DHARMAVARAM" "DHARMAVARAM,ANANTAPUR"  NEAR MAIN ROAD HINDUPUR ANP 515671</t>
  </si>
  <si>
    <t>10-68/4 PRAGNAPUR JAGADEVPUR ROAD  MEDAK TNG 502311</t>
  </si>
  <si>
    <t>MADANAPALLE CHITTOOR DISTRICT H NO 2-250-A-16/2 RAMIREDDY LAYOUT NG PALLI  Kollabylu-1Chittoor CTT ANP 517325</t>
  </si>
  <si>
    <t>FLAT NO 404 RATNA TOWERS 2ND LANE JKCNAGAR GUNTUR NEAR JKC COLLEGE   GUNTUR ANP 522007</t>
  </si>
  <si>
    <t>"4,B KOTHAPALLI,BP RACHAPALLI,OBULAVARIPALLI, BOMMAVARAM"    CUDDAPAH ANP 516110</t>
  </si>
  <si>
    <t>H.NO 9-8-60 SF4 3RD FLOOR VIJAYA DURGA APARTMENTS KAMALADEVI STREE NEAR WATER TANK GANDHINAGAR NEAR YSR SHUTTLE COURT KAKINADA ANP 533004</t>
  </si>
  <si>
    <t>H NO 6-77/6 CHINDAMWADA THIMMAPUR ALUGUNUR  NR WATER TANK KARIMNAGAR ANP 505527</t>
  </si>
  <si>
    <t>"D.NO.125-151,FLAT NO.306,3RD FLOOR" "SAMSTHITHA APARTMENT," "AMARAVATHI ROAD,GORANTLA" OPP HOSANNA MANDIR GUNTUR ANP 522034</t>
  </si>
  <si>
    <t>H.No. 12-3-402 Nasar Pura Nasar Pura Medak MEDAK TNG 502103</t>
  </si>
  <si>
    <t>"70-3-46, Road No:3,Plot No: 19," "Vydhya Nagar -1, (Doctors colony)," "Ramanayyapeta, Kakinada" NR BROWN STAR HOTEL KAKINADA ANP 533005</t>
  </si>
  <si>
    <t>FLAT NO 406 D BLOCK SRI CHAKRA RESIDENCY NAVODAYA COLONY TADEPALLI - -- GUNTUR ANP 522501</t>
  </si>
  <si>
    <t>hno 12-6-55 svn road andhra balika junior college -andhra balika juinor college WARANGAL TNG 506002</t>
  </si>
  <si>
    <t>"1-189,ADDANKIVARILANKA,RAMALAYAM VEEDHI," ",KAPILESWARAPURAM MANDALM VANAP"  NEAR BY WATER TANK AMALAPURAM ANP 533228</t>
  </si>
  <si>
    <t xml:space="preserve">      </t>
  </si>
  <si>
    <t>AGGNE GLOBAL IT SERVICES PRIVATE LIMITED SY NO 144 KAPIL KAVURI HUB UNIT 2.3 RD FLOOR NANAKRMAMGUDA FINANCIAL DISTRICT G FLOOR NANAKRMAMGUDA FINANCIAL DISTRICT G HYDERABAD TNG 500032</t>
  </si>
  <si>
    <t>SRI CHENNAKESHAVA ENTERPRISES 2-5-163/1 HANUMAM TEMPLE RAOD HANUMAM TEMPLE RAOD KHAMMAM TNG 507003</t>
  </si>
  <si>
    <t>BRILLIO TECHNOLOGIES PRIVATE LIMITED "4TH FLOOR,BREN OPTIMUS NO 8/2," DR M H MARIGOWDA ROAD DR M H MARIGOWDA ROAD BANGALORE KAR 560029</t>
  </si>
  <si>
    <t>SRI SARASWATHI DRESSES H NO-5-8-135 GANDHI NAGAR GANDHI CHOWK   Karimnagar TNG 505301</t>
  </si>
  <si>
    <t>Pooja agarwal 1-7-143/1 Vivekananda masher police  line Vivekananda masher police  line NALGONDA TNG 509001</t>
  </si>
  <si>
    <t>"8-27,MUNASUBU GARI STREET" "VELPUR,TANUKU MANDAL" WEST GODAVARI WEST GODAVARI TANUKU ANP 534211</t>
  </si>
  <si>
    <t>GOVENRMENT OF TEPANGANA GANDEED MAHABUBNAGAR MAHABUBNAGAR MAHBOOBNAGAR TNG 509337</t>
  </si>
  <si>
    <t>GOVT OF  TELANGANA MPPS SOMAJITHANDA MDL AKKANNAPET DIST KARIMNGGAR MDL AKKANNAPET DIST KARIMNGGAR HYDERABAD TNG 505466</t>
  </si>
  <si>
    <t>GOVERNMENT OF TELANGANA PANCHAYAT RAJ ENGINNEERING ZPHS KANURU ZAFFARGADH   WARANGAL TNG 506001</t>
  </si>
  <si>
    <t>BAJAJ FINANCE LIMITED BAJAJ FINSERV MAIN ROAD AMALAPURAM AMALAPURAM AMALAPURAM ANP 533201</t>
  </si>
  <si>
    <t>BIRLA SOFT LIMITED PLOT NO EL 207/1 "MIDC MAHAPE ROAD, TTC INDUSTRIAL AREA" "MIDC MAHAPE ROAD, TTC INDUSTRIAL AREA" THANE MAH 400710</t>
  </si>
  <si>
    <t>EQUITAS SMALL FINANCE BANK LIMITED H NO 6-3-295 RAGHU COMPLEX BY PASS ROAD KHAMMAM KHAMMAM KHAMMAM TNG 507002</t>
  </si>
  <si>
    <t>QUESS CORP LIMITED SY NO 18/56 MAHATMAGANDHI RD TILAK NAGAR ANANTAPUR NEAR UNION BANK OF INDIA ANANTAPUR NEAR UNION BANK OF INDIA GUNTAKAL ANP 515801</t>
  </si>
  <si>
    <t>GOVERNMENT OF ANDHRA PRADESH "PEDDAVEEDHI -02 GRAMA WARD SACHIVALAYAM," "YELESWARAM MANDAL,KAKINADA,EAST GODAVARI" "YELESWARAM MANDAL,KAKINADA,EAST GODAVARI" KAKINADA ANP 533429</t>
  </si>
  <si>
    <t>CROP AND ANIMAL PRODUCTION HUNTING AND R "9/368,KPT STREET" ANANTAPUR ANANTAPUR HINDUPUR ANP 515671</t>
  </si>
  <si>
    <t>GOVERNMENT OF TELANGANA "SY NO 185/D,PREGNAPUR GAJWEL" "PREGNAPUR,MEDAK" "PREGNAPUR,MEDAK" MEDAK TNG 502311</t>
  </si>
  <si>
    <t>MADANAPALLI MANDAL ANNAMAYYA DISTRICT SY NO 194 B K PALLI VILLAGE SACHIVALAYAM   CTT ANP 517325</t>
  </si>
  <si>
    <t>Santhan 501 akhil homes "Bapiah nagar, JKC college road" "Bapiah nagar, JKC college road" GUNTUR ANP 522006</t>
  </si>
  <si>
    <t>Self employee "4, B Kothapalli,  Bp" "Rachapalli,  Obulvaripalli" "Rachapalli,  Obulvaripalli" CUDDAPAH ANP 516110</t>
  </si>
  <si>
    <t>SAI SREEDEVI HYUNDAI COMPANY NO 52-10-38/1 KOTIPALLI ROAD GATI CENTRE KAKINADA GATI CENTRE KAKINADA KAKINADA ANP 533002</t>
  </si>
  <si>
    <t>TELANGANA STATE LIVESTOCK DEVELOPMENT AGENCY H NO O/O THE DEPUTY DIRECTOR FIROZEN SEMEN BULL STATION PAMANAGR FIROZEN SEMEN BULL STATION PAMANAGR KARIMNAGAR ANP 505527</t>
  </si>
  <si>
    <t>AASHRITH AGRO ENTERPRISES AMARAVATHI ROAD GORANTLA GORANTLA GUNTUR ANP 522034</t>
  </si>
  <si>
    <t>SRI RAJESHWARI LADIES EMPORIUM BESIDE CHENNAI SHOPPING MALL "MG ROAD, SIDDIPET" "MG ROAD, SIDDIPET" MEDAK TNG 502103</t>
  </si>
  <si>
    <t>LARSEN &amp; TOUBRO LIMITED 3RD FLOOR ADMIN BLDG LARSEN &amp; TOUBRO LTD MOUNT POONAMALLEE ROAD MOUNT POONAMALLEE ROAD CHENNAI TMN 600089</t>
  </si>
  <si>
    <t>RELIANCE HOME FINANCE JM3 MOHIUDDIN ESTATE 2nd FLOOR MG ROAD MG ROAD VIJAYAWADA ANP 520007</t>
  </si>
  <si>
    <t>SAAKETA CONSULTANCE LTD "3-4-616/1,2nd FLOOR,NARAYANAGUDA" HYDERABAD HYDERABAD Hyderabad TNG 500029</t>
  </si>
  <si>
    <t>TATA CONSULTANCY SERVICES LIMITED TATA CONSULTANCY SERVICES LIMITED MADHAP MADHAPUR DECCAN PARK HYDERABAD MADHAPUR DECCAN PARK HYDERABAD HYDERABAD TNG 500018</t>
  </si>
  <si>
    <t>19TH JUNE</t>
  </si>
  <si>
    <t>7/1572-A ANDHRAUKOORI KESWARI ROAD  CUDDAPAH PRODDATUR ANP 516360</t>
  </si>
  <si>
    <t>H NO 11-81 GAJWEL MANDAL BHARATH NAGAR  MEDAK TNG 502278</t>
  </si>
  <si>
    <t>"13/157 INDIRA NAGAR,DEVUNI,KADAPA," PATHACUDDAPAH   CUDDAPAH ANP 516002</t>
  </si>
  <si>
    <t>11-10-681/2 KHAMMAM  BURAHAN PURAM KHAMMAM TNG 507001</t>
  </si>
  <si>
    <t>INFOSYS LIMITED "INFOSYS LTD STP SURVEY NO.210, ISB ROAD" MANIKONDA JAGIR GACHIBOWLI MANIKONDA JAGIR GACHIBOWLI HYDERABAD TNG 500032</t>
  </si>
  <si>
    <t>PACER AUTOMATION PRIVATE LIMITED BUILDING NO.33/5 1ST FLOOR MOUNT KAILASH "BUILDING, MEANER AVENUE ROAD ULSUOOR, BA" "BUILDING, MEANER AVENUE ROAD ULSUOOR, BA" BANGALORE KAR 560042</t>
  </si>
  <si>
    <t>pvt ltd 13/157 indira nagar indira nagar CUDDAPAH ANP 516002</t>
  </si>
  <si>
    <t>DOLPHIN DIAGNOSTIC SERVICE WARYA ROAD MAIN ROAD MAIN ROAD KHAMMAM TNG 507003</t>
  </si>
  <si>
    <t>HARSHA/NANDIGAMA , 8639040413</t>
  </si>
  <si>
    <t>(blank)</t>
  </si>
  <si>
    <t>20TH J</t>
  </si>
  <si>
    <t>m not available sir and cm father available given ptp today evening sir</t>
  </si>
  <si>
    <t>Visited Customer Residence Address , customer not available call Answered deposited amount in sb ac // CUSTOMER NOT LIVING IN GIVING ADDRESS CUSTOMER LIVING IN KAKINADA CUSTOMER TAKING IN TODAY EVENING 6 CLOCK CUSTOMER SIR // CUSTOMER NOT LIVING IN GIVING ADDRESS CUSTOMER LIVING IN KAKINADA CUSTOMER NOT AVAILABLE MOBILE NOT ANSWERING SIR</t>
  </si>
  <si>
    <t>Customer given address visit customer not available informed to mother, trying by call // Customer given address visit customer not available informed to mother, trying by call // Customer given address visit customer available, trying to payment</t>
  </si>
  <si>
    <t>Customer live in address and he recently decharged from hospital with high fever he asking time to pay</t>
  </si>
  <si>
    <t>Customer address visit ch not available call response ptp on today evening sir</t>
  </si>
  <si>
    <t>1 year back cust shifted from given address confirmed by renters and cust no respond to calls</t>
  </si>
  <si>
    <t>Customer live in address and customer job loss and helath issues he is asking Settlment</t>
  </si>
  <si>
    <t>CUSTOMER NOT LIVING IN GIVING ADDERS CUSTOMER PAYMENT IN 18 PHONE PTP SIR // CUSTOMER NOT LIVING IN GIVING ADDERS CUSTOMER ASKING TIME TO PAY PHONR PTP SIR // CUSTOMER NOT LIVING IN GIVING ADDERS CUSTOMER ASKING TIME  CUSTOMER PAYMENT IN ADDJEST NENT TODAY EVINING SIR</t>
  </si>
  <si>
    <t>Customer given House address visited but customer not available customer sold house 3 years back and shifted from this address confirmed by renters customer mobile number ringing but not answering need alternative address of this customer // Customer working address visited but customer not available at working address need alternative address of this customer sir</t>
  </si>
  <si>
    <t>Customer address visit ch not available skip address call not answering sir</t>
  </si>
  <si>
    <t>House door locked and cust number not working</t>
  </si>
  <si>
    <t>Customer office address visit customer not in a office customer mobile responding call back // Customer office address visit customer not in a office customer mobile responding call back evening // Customer office address visit customer not in a office customer mobile responding will have to pay today evening ptp // Customer working address visit customer gave cash</t>
  </si>
  <si>
    <t>I have Visited Customer given working address customer not available here enquired working address going to new working address // I have Visited Customer new working address Customer not available here Customer is in leave from past 3 days I have called to Customer with his colleague mobile Customer call answer Saying that need time to pay due to family financial issues</t>
  </si>
  <si>
    <t>Custmor not lived present
Phone not respond</t>
  </si>
  <si>
    <t>Customer is in meeting said come evening will talk to you // Customer not available at given address not responding calls // -Customer not available at given address by phone call said 20th will pay // ustomer not available at given address by phone call said will pay Tommorow evening // Customer not available at given address phone not answering</t>
  </si>
  <si>
    <t>Customer currently unavailable informed to his family</t>
  </si>
  <si>
    <t>Door locked sir</t>
  </si>
  <si>
    <t>Customer given House address visited but customer not available mobile number ringing but not answering enquired with apartment security guard and renters customer not available at address given address was fake going to working address // Customer given second address visited customer not available customer father living at address but present not available revisit again customer mobile ringing but not answering // Customer given second address visited customer not available customer father living at address but present not available went Hyderabad conformed by apartment security guard customer mobile ringing but not answering</t>
  </si>
  <si>
    <t>22ND J</t>
  </si>
  <si>
    <t>Cust house door locked respond to call and said Prasent cust family staying in hyd he will call back evng // House door locked and no such person enquiry by neighbours and cust no respond to calls</t>
  </si>
  <si>
    <t xml:space="preserve"> Customer given House address visited customer not available shifted from given address confirmed by present living renters customer mobile number not working</t>
  </si>
  <si>
    <t>21ST J</t>
  </si>
  <si>
    <t>Left msg to cust's parents and said Prasent cust staying in hyd no contactable and cust respond to call and said going to through legal not ready to pay</t>
  </si>
  <si>
    <t>Customer address visit ch not available skip address 
Need kyc sir number aslo not working sir // Customer address visit ch not available skip call not answering sir</t>
  </si>
  <si>
    <t>Customer address visit ch not available msg left to family call response asking time facing financial issue and job less GIVEN RTP // Customer address visit ch not available call response asking time and settlement facing financial and jobs less saying sir
Ask for time</t>
  </si>
  <si>
    <t>23RD J</t>
  </si>
  <si>
    <t>Cmr given address visited customer he told the home cmr not living in this address &amp; call not answering 
  Ineed kyc &amp; Alternate details sir</t>
  </si>
  <si>
    <t>Cust shifted to hyd confirmed by neighbours and cust no respond to calls will update</t>
  </si>
  <si>
    <t xml:space="preserve"> customer not available in india coustmer mother telling  talking with Trishul after call for me</t>
  </si>
  <si>
    <t>ADDRESS VISTED CUSTOMER LIVE BUT PRESENT CUSTOMER NOT AVAILABLE AT HOME RESPONDED TO PHONE CALL CUSTOMER SUFFERING FROM JOB LOSS AND HEALTH ISSUES PROVIDED INJECTION LETTER // CUSTOMER GIVEN HOUSE ADDRESS VISTED CUSTOMER LIVE BUT PRESENT CUSTOMER NOT AVAILABLE AT HOME RESPONDED TO PHONE CALL CUSTOMER SUFFERING FROM JOB LOSS AND HEALTH ISSUES PROVIDED INJECTION LETTER // CUSTOMER GIVEN HOUSE ADDRESS VISTED CUSTOMER LIVE BUT PRESENT CUSTOMER NOT AVAILABLE AT HOME RESPONDED TO PHONE CALL CUSTOMER SUFFERING FROM JOB LOSS AND HEALTH ISSUES PROVIDED INJECTION LETTER</t>
  </si>
  <si>
    <t>24TH J</t>
  </si>
  <si>
    <t>Customer house address visited sir his not available living in Hyderabad phone call not responding</t>
  </si>
  <si>
    <t>25TH J</t>
  </si>
  <si>
    <t>cm not available sir and cm call answered given ptp 23rd sir // waiting for cm sir // :cm door locked sir and cm call not answered sir // cm door locked sir and cm call not answered sir // m given ptp by 1pm due to fund issue</t>
  </si>
  <si>
    <t>Customer shop address visited sir his not available went to marriage function &amp;  shop name change call not responding // Customer given shop address visited sir his not available phone call not responding inform to  worker // Customer given permanent house address visited sir his not available phone call not responding informed to his brother // Customer shop address visited sir  his available customer said have financial problems refused to pay</t>
  </si>
  <si>
    <t>26TH J</t>
  </si>
  <si>
    <t>Custmor shifted this address
Tomorrow visted office address // Visted custmor office address 
Custmor in class phone not respond after 7 pm // Visted custmor office address
But not allowed sir  present custmor working this school</t>
  </si>
  <si>
    <t xml:space="preserve">Customer out of station contact to his son . After that contact to customer by phone he given ptp on 26th sir  // Customer out of station not answering for calls . // /Customer given ptp on 27 evening sir </t>
  </si>
  <si>
    <t>27TH 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</si>
</sst>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0"/>
      <name val="Calibri"/>
      <family val="2"/>
    </font>
    <font>
      <b/>
      <sz val="11"/>
      <name val="Calibri"/>
      <family val="2"/>
    </font>
    <font>
      <sz val="11"/>
      <color theme="1"/>
      <name val="Calibri"/>
      <family val="2"/>
      <scheme val="minor"/>
    </font>
    <font>
      <sz val="8"/>
      <name val="Calibri"/>
      <family val="2"/>
      <scheme val="minor"/>
    </font>
    <font>
      <b/>
      <sz val="11"/>
      <color theme="1"/>
      <name val="Calibri"/>
      <family val="2"/>
      <scheme val="minor"/>
    </font>
    <font>
      <b/>
      <sz val="11"/>
      <color rgb="FFFF0000"/>
      <name val="Calibri"/>
      <family val="2"/>
      <scheme val="minor"/>
    </font>
  </fonts>
  <fills count="8">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5"/>
        <bgColor indexed="64"/>
      </patternFill>
    </fill>
    <fill>
      <patternFill patternType="solid">
        <fgColor theme="9"/>
        <bgColor indexed="64"/>
      </patternFill>
    </fill>
    <fill>
      <patternFill patternType="solid">
        <fgColor theme="4" tint="0.59999389629810485"/>
        <bgColor indexed="64"/>
      </patternFill>
    </fill>
    <fill>
      <patternFill patternType="solid">
        <fgColor rgb="FF00206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s>
  <cellStyleXfs count="2">
    <xf numFmtId="0" fontId="0" fillId="0" borderId="0"/>
    <xf numFmtId="9" fontId="3" fillId="0" borderId="0" applyFont="0" applyFill="0" applyBorder="0" applyAlignment="0" applyProtection="0"/>
  </cellStyleXfs>
  <cellXfs count="61">
    <xf numFmtId="0" fontId="0" fillId="0" borderId="0" xfId="0"/>
    <xf numFmtId="0" fontId="0" fillId="3" borderId="1" xfId="0" applyFill="1" applyBorder="1" applyAlignment="1">
      <alignment horizontal="left" vertical="top"/>
    </xf>
    <xf numFmtId="14" fontId="0" fillId="0" borderId="2" xfId="0" applyNumberFormat="1" applyBorder="1" applyAlignment="1">
      <alignment horizontal="left" vertical="top"/>
    </xf>
    <xf numFmtId="14" fontId="0" fillId="0" borderId="1" xfId="0" applyNumberFormat="1" applyBorder="1" applyAlignment="1">
      <alignment horizontal="left" vertical="top"/>
    </xf>
    <xf numFmtId="0" fontId="0" fillId="2" borderId="4" xfId="0" applyFill="1" applyBorder="1" applyAlignment="1">
      <alignment horizontal="left" vertical="top"/>
    </xf>
    <xf numFmtId="0" fontId="0" fillId="2" borderId="5" xfId="0" applyFill="1" applyBorder="1" applyAlignment="1">
      <alignment horizontal="left" vertical="top"/>
    </xf>
    <xf numFmtId="0" fontId="0" fillId="3" borderId="5" xfId="0" applyFill="1" applyBorder="1" applyAlignment="1">
      <alignment horizontal="left" vertical="top"/>
    </xf>
    <xf numFmtId="0" fontId="0" fillId="4" borderId="5" xfId="0" applyFill="1" applyBorder="1" applyAlignment="1">
      <alignment horizontal="left" vertical="top"/>
    </xf>
    <xf numFmtId="0" fontId="0" fillId="5" borderId="5" xfId="0" applyFill="1" applyBorder="1" applyAlignment="1">
      <alignment horizontal="left" vertical="top"/>
    </xf>
    <xf numFmtId="0" fontId="0" fillId="2" borderId="6" xfId="0" applyFill="1" applyBorder="1" applyAlignment="1">
      <alignment horizontal="left" vertical="top"/>
    </xf>
    <xf numFmtId="0" fontId="0" fillId="0" borderId="3" xfId="0" applyBorder="1" applyAlignment="1">
      <alignment horizontal="left" vertical="top"/>
    </xf>
    <xf numFmtId="0" fontId="0" fillId="0" borderId="1" xfId="0" applyBorder="1" applyAlignment="1">
      <alignment horizontal="left" vertical="top"/>
    </xf>
    <xf numFmtId="0" fontId="0" fillId="0" borderId="7" xfId="0" applyBorder="1" applyAlignment="1">
      <alignment horizontal="left" vertical="top"/>
    </xf>
    <xf numFmtId="0" fontId="0" fillId="0" borderId="0" xfId="0" applyAlignment="1">
      <alignment horizontal="center" vertical="center"/>
    </xf>
    <xf numFmtId="0" fontId="0" fillId="0" borderId="0" xfId="0" pivotButton="1" applyAlignment="1">
      <alignment horizontal="center" vertical="center"/>
    </xf>
    <xf numFmtId="10" fontId="0" fillId="0" borderId="0" xfId="0" applyNumberFormat="1" applyAlignment="1">
      <alignment horizontal="center" vertical="center"/>
    </xf>
    <xf numFmtId="0" fontId="0" fillId="4" borderId="1" xfId="0" applyFill="1" applyBorder="1" applyAlignment="1">
      <alignment horizontal="left" vertical="top"/>
    </xf>
    <xf numFmtId="0" fontId="0" fillId="5" borderId="0" xfId="0" applyFill="1" applyAlignment="1">
      <alignment horizontal="center" vertical="center"/>
    </xf>
    <xf numFmtId="0" fontId="0" fillId="6" borderId="0" xfId="0" applyFill="1" applyAlignment="1">
      <alignment horizontal="center" vertical="center"/>
    </xf>
    <xf numFmtId="10" fontId="0" fillId="6" borderId="0" xfId="0" applyNumberFormat="1" applyFill="1" applyAlignment="1">
      <alignment horizontal="center" vertical="center"/>
    </xf>
    <xf numFmtId="0" fontId="1" fillId="7" borderId="1" xfId="0" applyFont="1" applyFill="1" applyBorder="1" applyAlignment="1">
      <alignment horizontal="center" vertical="center"/>
    </xf>
    <xf numFmtId="0" fontId="2" fillId="3" borderId="1" xfId="0" applyFont="1" applyFill="1" applyBorder="1" applyAlignment="1">
      <alignment horizontal="center" vertical="center"/>
    </xf>
    <xf numFmtId="9" fontId="0" fillId="0" borderId="0" xfId="0" applyNumberFormat="1" applyAlignment="1">
      <alignment horizontal="center" vertical="center"/>
    </xf>
    <xf numFmtId="0" fontId="0" fillId="0" borderId="1" xfId="0" applyBorder="1" applyAlignment="1">
      <alignment horizontal="center" vertical="center"/>
    </xf>
    <xf numFmtId="10" fontId="0" fillId="0" borderId="0" xfId="1" applyNumberFormat="1" applyFont="1" applyAlignment="1">
      <alignment horizontal="center" vertical="center"/>
    </xf>
    <xf numFmtId="10" fontId="2" fillId="3" borderId="1" xfId="1" applyNumberFormat="1" applyFont="1" applyFill="1" applyBorder="1" applyAlignment="1">
      <alignment horizontal="center" vertical="center"/>
    </xf>
    <xf numFmtId="10" fontId="0" fillId="0" borderId="1" xfId="1" applyNumberFormat="1" applyFont="1" applyBorder="1" applyAlignment="1">
      <alignment horizontal="center" vertical="center"/>
    </xf>
    <xf numFmtId="0" fontId="0" fillId="2" borderId="1" xfId="0" applyFill="1" applyBorder="1" applyAlignment="1">
      <alignment horizontal="left" vertical="top"/>
    </xf>
    <xf numFmtId="0" fontId="0" fillId="5" borderId="1" xfId="0" applyFill="1" applyBorder="1" applyAlignment="1">
      <alignment horizontal="left" vertical="top"/>
    </xf>
    <xf numFmtId="1" fontId="0" fillId="0" borderId="1" xfId="0" applyNumberFormat="1" applyBorder="1" applyAlignment="1">
      <alignment horizontal="left" vertical="top"/>
    </xf>
    <xf numFmtId="1" fontId="0" fillId="3" borderId="1" xfId="0" applyNumberFormat="1" applyFill="1" applyBorder="1" applyAlignment="1">
      <alignment horizontal="left" vertical="top"/>
    </xf>
    <xf numFmtId="0" fontId="0" fillId="0" borderId="1" xfId="0" applyBorder="1" applyAlignment="1">
      <alignment horizontal="left" vertical="top" wrapText="1"/>
    </xf>
    <xf numFmtId="0" fontId="0" fillId="0" borderId="0" xfId="0" applyAlignment="1">
      <alignment horizontal="left" vertical="top" wrapText="1"/>
    </xf>
    <xf numFmtId="9" fontId="0" fillId="0" borderId="0" xfId="1" applyFont="1" applyAlignment="1">
      <alignment horizontal="center" vertical="center"/>
    </xf>
    <xf numFmtId="9" fontId="1" fillId="7" borderId="1" xfId="1" applyFont="1" applyFill="1" applyBorder="1" applyAlignment="1">
      <alignment horizontal="center" vertical="center"/>
    </xf>
    <xf numFmtId="9" fontId="0" fillId="0" borderId="1" xfId="1" applyFont="1" applyBorder="1" applyAlignment="1">
      <alignment horizontal="center" vertical="center"/>
    </xf>
    <xf numFmtId="0" fontId="0" fillId="0" borderId="1" xfId="0" pivotButton="1" applyBorder="1" applyAlignment="1">
      <alignment horizontal="center" vertical="center"/>
    </xf>
    <xf numFmtId="0" fontId="0" fillId="5" borderId="1" xfId="0" applyFill="1" applyBorder="1" applyAlignment="1">
      <alignment horizontal="center" vertical="center"/>
    </xf>
    <xf numFmtId="0" fontId="5" fillId="6" borderId="0" xfId="0" applyFont="1" applyFill="1" applyAlignment="1">
      <alignment horizontal="center" vertical="center"/>
    </xf>
    <xf numFmtId="10" fontId="5" fillId="6" borderId="0" xfId="0" applyNumberFormat="1" applyFont="1" applyFill="1" applyAlignment="1">
      <alignment horizontal="center" vertical="center"/>
    </xf>
    <xf numFmtId="0" fontId="0" fillId="0" borderId="0" xfId="0" applyAlignment="1">
      <alignment horizontal="left" vertical="top"/>
    </xf>
    <xf numFmtId="0" fontId="6" fillId="0" borderId="1" xfId="0" applyFont="1" applyBorder="1" applyAlignment="1">
      <alignment horizontal="left" vertical="top"/>
    </xf>
    <xf numFmtId="0" fontId="0" fillId="0" borderId="0" xfId="0" applyAlignment="1">
      <alignment wrapText="1"/>
    </xf>
    <xf numFmtId="0" fontId="0" fillId="0" borderId="2" xfId="0" applyBorder="1" applyAlignment="1">
      <alignment horizontal="left" vertical="top"/>
    </xf>
    <xf numFmtId="1" fontId="0" fillId="0" borderId="3" xfId="0" applyNumberFormat="1" applyBorder="1" applyAlignment="1">
      <alignment horizontal="left" vertical="top"/>
    </xf>
    <xf numFmtId="0" fontId="0" fillId="0" borderId="9" xfId="0" applyBorder="1" applyAlignment="1">
      <alignment horizontal="left" vertical="top"/>
    </xf>
    <xf numFmtId="0" fontId="0" fillId="0" borderId="8" xfId="0" applyBorder="1" applyAlignment="1">
      <alignment horizontal="left" vertical="top"/>
    </xf>
    <xf numFmtId="1" fontId="0" fillId="3" borderId="7" xfId="0" applyNumberFormat="1" applyFill="1" applyBorder="1" applyAlignment="1">
      <alignment horizontal="left" vertical="top"/>
    </xf>
    <xf numFmtId="1" fontId="0" fillId="0" borderId="9" xfId="0" applyNumberFormat="1" applyBorder="1" applyAlignment="1">
      <alignment horizontal="left" vertical="top"/>
    </xf>
    <xf numFmtId="1" fontId="0" fillId="0" borderId="7" xfId="0" applyNumberFormat="1" applyBorder="1" applyAlignment="1">
      <alignment horizontal="left" vertical="top"/>
    </xf>
    <xf numFmtId="14" fontId="0" fillId="0" borderId="7" xfId="0" applyNumberFormat="1" applyBorder="1" applyAlignment="1">
      <alignment horizontal="left" vertical="top"/>
    </xf>
    <xf numFmtId="14" fontId="0" fillId="0" borderId="8" xfId="0" applyNumberFormat="1" applyBorder="1" applyAlignment="1">
      <alignment horizontal="left" vertical="top"/>
    </xf>
    <xf numFmtId="1" fontId="0" fillId="4" borderId="1" xfId="0" applyNumberFormat="1" applyFill="1" applyBorder="1" applyAlignment="1">
      <alignment horizontal="left" vertical="top"/>
    </xf>
    <xf numFmtId="0" fontId="0" fillId="0" borderId="3" xfId="0" applyBorder="1" applyAlignment="1">
      <alignment horizontal="left"/>
    </xf>
    <xf numFmtId="0" fontId="0" fillId="0" borderId="10" xfId="0" applyBorder="1" applyAlignment="1">
      <alignment horizontal="left" vertical="top"/>
    </xf>
    <xf numFmtId="0" fontId="0" fillId="0" borderId="1" xfId="0" applyBorder="1" applyAlignment="1">
      <alignment horizontal="left"/>
    </xf>
    <xf numFmtId="1" fontId="0" fillId="0" borderId="0" xfId="0" applyNumberFormat="1"/>
    <xf numFmtId="1" fontId="0" fillId="0" borderId="2" xfId="0" applyNumberFormat="1" applyBorder="1" applyAlignment="1">
      <alignment horizontal="left" vertical="top"/>
    </xf>
    <xf numFmtId="1" fontId="0" fillId="0" borderId="8" xfId="0" applyNumberFormat="1" applyBorder="1" applyAlignment="1">
      <alignment horizontal="left" vertical="top"/>
    </xf>
    <xf numFmtId="0" fontId="0" fillId="0" borderId="0" xfId="0" applyNumberFormat="1" applyAlignment="1">
      <alignment horizontal="center" vertical="center"/>
    </xf>
    <xf numFmtId="0" fontId="0" fillId="0" borderId="1" xfId="0" applyNumberFormat="1" applyBorder="1" applyAlignment="1">
      <alignment horizontal="center" vertical="center"/>
    </xf>
  </cellXfs>
  <cellStyles count="2">
    <cellStyle name="Normal" xfId="0" builtinId="0"/>
    <cellStyle name="Percent" xfId="1" builtinId="5"/>
  </cellStyles>
  <dxfs count="177">
    <dxf>
      <alignment vertical="center" indent="0" readingOrder="0"/>
    </dxf>
    <dxf>
      <alignment horizontal="center" readingOrder="0"/>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fill>
        <patternFill patternType="solid">
          <bgColor theme="4" tint="0.59999389629810485"/>
        </patternFill>
      </fill>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fill>
        <patternFill>
          <bgColor theme="9"/>
        </patternFill>
      </fill>
    </dxf>
    <dxf>
      <alignment vertical="center" readingOrder="0"/>
    </dxf>
    <dxf>
      <alignment horizontal="center" readingOrder="0"/>
    </dxf>
    <dxf>
      <alignment vertical="center" indent="0" readingOrder="0"/>
    </dxf>
    <dxf>
      <alignment horizontal="center" readingOrder="0"/>
    </dxf>
    <dxf>
      <fill>
        <patternFill patternType="solid">
          <bgColor theme="4" tint="0.59999389629810485"/>
        </patternFill>
      </fill>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fill>
        <patternFill>
          <bgColor theme="9"/>
        </patternFill>
      </fill>
    </dxf>
    <dxf>
      <fill>
        <patternFill patternType="solid">
          <bgColor theme="4" tint="0.59999389629810485"/>
        </patternFill>
      </fill>
    </dxf>
    <dxf>
      <alignment vertical="center" readingOrder="0"/>
    </dxf>
    <dxf>
      <alignment horizontal="center" readingOrder="0"/>
    </dxf>
    <dxf>
      <font>
        <b/>
      </font>
    </dxf>
    <dxf>
      <alignment vertical="center" indent="0" readingOrder="0"/>
    </dxf>
    <dxf>
      <alignment horizontal="center" readingOrder="0"/>
    </dxf>
    <dxf>
      <alignment vertical="center" readingOrder="0"/>
    </dxf>
    <dxf>
      <alignment horizontal="center" readingOrder="0"/>
    </dxf>
    <dxf>
      <fill>
        <patternFill patternType="solid">
          <bgColor theme="9"/>
        </patternFill>
      </fill>
    </dxf>
    <dxf>
      <numFmt numFmtId="164" formatCode="0.00,,"/>
    </dxf>
    <dxf>
      <numFmt numFmtId="0" formatCode="General"/>
    </dxf>
    <dxf>
      <alignment vertical="center" indent="0" readingOrder="0"/>
    </dxf>
    <dxf>
      <alignment horizontal="center" readingOrder="0"/>
    </dxf>
    <dxf>
      <alignment vertical="center" readingOrder="0"/>
    </dxf>
    <dxf>
      <alignment horizontal="center" readingOrder="0"/>
    </dxf>
    <dxf>
      <fill>
        <patternFill patternType="solid">
          <bgColor theme="9"/>
        </patternFill>
      </fill>
    </dxf>
    <dxf>
      <fill>
        <patternFill patternType="solid">
          <bgColor theme="9"/>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9"/>
        </patternFill>
      </fill>
    </dxf>
    <dxf>
      <alignment vertical="center" indent="0" readingOrder="0"/>
    </dxf>
    <dxf>
      <alignment horizontal="center" readingOrder="0"/>
    </dxf>
    <dxf>
      <numFmt numFmtId="14" formatCode="0.00%"/>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fill>
        <patternFill patternType="solid">
          <bgColor theme="4" tint="0.59999389629810485"/>
        </patternFill>
      </fill>
    </dxf>
    <dxf>
      <alignment vertical="center" readingOrder="0"/>
    </dxf>
    <dxf>
      <alignment horizontal="center"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9" formatCode="dd/mm/yyyy"/>
      <alignment horizontal="left" vertical="top" textRotation="0" wrapText="0" indent="0" justifyLastLine="0" shrinkToFit="0" readingOrder="0"/>
      <border diagonalUp="0" diagonalDown="0" outline="0">
        <left style="thin">
          <color indexed="64"/>
        </left>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numFmt numFmtId="1" formatCode="0"/>
      <alignment horizontal="left" vertical="top" textRotation="0" wrapText="0" indent="0" justifyLastLine="0" shrinkToFit="0" readingOrder="0"/>
      <border diagonalUp="0" diagonalDown="0" outline="0">
        <left style="thin">
          <color indexed="64"/>
        </left>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numFmt numFmtId="1" formatCode="0"/>
      <fill>
        <patternFill patternType="solid">
          <fgColor indexed="64"/>
          <bgColor rgb="FFFFFF00"/>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top style="thin">
          <color indexed="64"/>
        </top>
        <bottom style="thin">
          <color indexed="64"/>
        </bottom>
      </border>
    </dxf>
    <dxf>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left" vertical="top" textRotation="0" wrapText="0" indent="0" justifyLastLine="0" shrinkToFit="0" readingOrder="0"/>
    </dxf>
    <dxf>
      <border>
        <bottom style="thin">
          <color indexed="64"/>
        </bottom>
      </border>
    </dxf>
    <dxf>
      <fill>
        <patternFill patternType="solid">
          <fgColor indexed="64"/>
          <bgColor rgb="FF92D050"/>
        </patternFill>
      </fill>
      <alignment horizontal="left" vertical="top" textRotation="0" wrapText="0" indent="0" justifyLastLine="0" shrinkToFit="0" readingOrder="0"/>
      <border diagonalUp="0" diagonalDown="0" outline="0">
        <left style="thin">
          <color indexed="64"/>
        </left>
        <right style="thin">
          <color indexed="64"/>
        </right>
        <top/>
        <bottom/>
      </border>
    </dxf>
    <dxf>
      <alignment horizontal="center" readingOrder="0"/>
    </dxf>
    <dxf>
      <alignment vertical="center" readingOrder="0"/>
    </dxf>
    <dxf>
      <fill>
        <patternFill patternType="solid">
          <bgColor theme="4" tint="0.59999389629810485"/>
        </patternFill>
      </fill>
    </dxf>
    <dxf>
      <alignment horizontal="center" readingOrder="0"/>
    </dxf>
    <dxf>
      <alignment vertical="center" indent="0" readingOrder="0"/>
    </dxf>
    <dxf>
      <alignment horizontal="center" readingOrder="0"/>
    </dxf>
    <dxf>
      <alignment vertical="center" readingOrder="0"/>
    </dxf>
    <dxf>
      <fill>
        <patternFill patternType="solid">
          <bgColor theme="9"/>
        </patternFill>
      </fill>
    </dxf>
    <dxf>
      <numFmt numFmtId="14" formatCode="0.00%"/>
    </dxf>
    <dxf>
      <alignment horizontal="center" readingOrder="0"/>
    </dxf>
    <dxf>
      <alignment vertical="center" indent="0" readingOrder="0"/>
    </dxf>
    <dxf>
      <fill>
        <patternFill>
          <bgColor theme="9"/>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patternFill>
      </fill>
    </dxf>
    <dxf>
      <fill>
        <patternFill patternType="solid">
          <bgColor theme="9"/>
        </patternFill>
      </fill>
    </dxf>
    <dxf>
      <alignment horizontal="center" readingOrder="0"/>
    </dxf>
    <dxf>
      <alignment vertical="center" readingOrder="0"/>
    </dxf>
    <dxf>
      <alignment horizontal="center" readingOrder="0"/>
    </dxf>
    <dxf>
      <alignment vertical="center" indent="0" readingOrder="0"/>
    </dxf>
    <dxf>
      <numFmt numFmtId="0" formatCode="General"/>
    </dxf>
    <dxf>
      <numFmt numFmtId="164" formatCode="0.00,,"/>
    </dxf>
    <dxf>
      <fill>
        <patternFill patternType="solid">
          <bgColor theme="9"/>
        </patternFill>
      </fill>
    </dxf>
    <dxf>
      <alignment horizontal="center" readingOrder="0"/>
    </dxf>
    <dxf>
      <alignment vertical="center" readingOrder="0"/>
    </dxf>
    <dxf>
      <alignment horizontal="center" readingOrder="0"/>
    </dxf>
    <dxf>
      <alignment vertical="center" indent="0" readingOrder="0"/>
    </dxf>
    <dxf>
      <font>
        <b/>
      </font>
    </dxf>
    <dxf>
      <alignment horizontal="center" readingOrder="0"/>
    </dxf>
    <dxf>
      <alignment vertical="center" readingOrder="0"/>
    </dxf>
    <dxf>
      <fill>
        <patternFill patternType="solid">
          <bgColor theme="4" tint="0.59999389629810485"/>
        </patternFill>
      </fill>
    </dxf>
    <dxf>
      <fill>
        <patternFill>
          <bgColor theme="9"/>
        </patternFill>
      </fill>
    </dxf>
    <dxf>
      <alignment horizontal="center" readingOrder="0"/>
    </dxf>
    <dxf>
      <alignment vertical="center" indent="0" readingOrder="0"/>
    </dxf>
    <dxf>
      <alignment horizontal="center" readingOrder="0"/>
    </dxf>
    <dxf>
      <alignment vertical="center" readingOrder="0"/>
    </dxf>
    <dxf>
      <fill>
        <patternFill patternType="solid">
          <bgColor theme="9"/>
        </patternFill>
      </fill>
    </dxf>
    <dxf>
      <fill>
        <patternFill patternType="solid">
          <bgColor theme="4" tint="0.59999389629810485"/>
        </patternFill>
      </fill>
    </dxf>
    <dxf>
      <alignment horizontal="center" readingOrder="0"/>
    </dxf>
    <dxf>
      <alignment vertical="center" indent="0" readingOrder="0"/>
    </dxf>
    <dxf>
      <alignment horizontal="center" readingOrder="0"/>
    </dxf>
    <dxf>
      <alignment vertical="center" readingOrder="0"/>
    </dxf>
    <dxf>
      <fill>
        <patternFill>
          <bgColor theme="9"/>
        </patternFill>
      </fill>
    </dxf>
    <dxf>
      <alignment horizontal="center" readingOrder="0"/>
    </dxf>
    <dxf>
      <alignment vertical="center" indent="0" readingOrder="0"/>
    </dxf>
    <dxf>
      <alignment horizontal="center" readingOrder="0"/>
    </dxf>
    <dxf>
      <alignment vertical="center" readingOrder="0"/>
    </dxf>
    <dxf>
      <fill>
        <patternFill patternType="solid">
          <bgColor theme="9"/>
        </patternFill>
      </fill>
    </dxf>
    <dxf>
      <alignment horizontal="center" readingOrder="0"/>
    </dxf>
    <dxf>
      <alignment vertical="center" indent="0" readingOrder="0"/>
    </dxf>
    <dxf>
      <alignment horizontal="center" readingOrder="0"/>
    </dxf>
    <dxf>
      <alignment vertical="center" readingOrder="0"/>
    </dxf>
    <dxf>
      <fill>
        <patternFill patternType="solid">
          <bgColor theme="9"/>
        </patternFill>
      </fill>
    </dxf>
    <dxf>
      <fill>
        <patternFill patternType="solid">
          <bgColor theme="4" tint="0.59999389629810485"/>
        </patternFill>
      </fill>
    </dxf>
    <dxf>
      <alignment horizontal="center" readingOrder="0"/>
    </dxf>
    <dxf>
      <alignment vertical="center" indent="0" readingOrder="0"/>
    </dxf>
    <dxf>
      <alignment horizontal="center" readingOrder="0"/>
    </dxf>
    <dxf>
      <alignment vertical="center" readingOrder="0"/>
    </dxf>
    <dxf>
      <fill>
        <patternFill patternType="solid">
          <bgColor theme="9"/>
        </patternFill>
      </fill>
    </dxf>
    <dxf>
      <alignment horizontal="center" readingOrder="0"/>
    </dxf>
    <dxf>
      <alignment vertical="center" inden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microsoft.com/office/2007/relationships/slicerCache" Target="slicerCaches/slicerCache4.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microsoft.com/office/2007/relationships/slicerCache" Target="slicerCaches/slicerCache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drawings/drawing1.xml><?xml version="1.0" encoding="utf-8"?>
<xdr:wsDr xmlns:xdr="http://schemas.openxmlformats.org/drawingml/2006/spreadsheetDrawing" xmlns:a="http://schemas.openxmlformats.org/drawingml/2006/main">
  <xdr:twoCellAnchor editAs="oneCell">
    <xdr:from>
      <xdr:col>7</xdr:col>
      <xdr:colOff>216958</xdr:colOff>
      <xdr:row>0</xdr:row>
      <xdr:rowOff>0</xdr:rowOff>
    </xdr:from>
    <xdr:to>
      <xdr:col>8</xdr:col>
      <xdr:colOff>230967</xdr:colOff>
      <xdr:row>17</xdr:row>
      <xdr:rowOff>134470</xdr:rowOff>
    </xdr:to>
    <mc:AlternateContent xmlns:mc="http://schemas.openxmlformats.org/markup-compatibility/2006" xmlns:a14="http://schemas.microsoft.com/office/drawing/2010/main">
      <mc:Choice Requires="a14">
        <xdr:graphicFrame macro="">
          <xdr:nvGraphicFramePr>
            <xdr:cNvPr id="2" name="CYC">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CYC"/>
            </a:graphicData>
          </a:graphic>
        </xdr:graphicFrame>
      </mc:Choice>
      <mc:Fallback xmlns="">
        <xdr:sp macro="" textlink="">
          <xdr:nvSpPr>
            <xdr:cNvPr id="0" name=""/>
            <xdr:cNvSpPr>
              <a:spLocks noTextEdit="1"/>
            </xdr:cNvSpPr>
          </xdr:nvSpPr>
          <xdr:spPr>
            <a:xfrm>
              <a:off x="6609291" y="0"/>
              <a:ext cx="1030009" cy="33729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460375</xdr:colOff>
      <xdr:row>0</xdr:row>
      <xdr:rowOff>8466</xdr:rowOff>
    </xdr:from>
    <xdr:to>
      <xdr:col>8</xdr:col>
      <xdr:colOff>1479550</xdr:colOff>
      <xdr:row>13</xdr:row>
      <xdr:rowOff>75141</xdr:rowOff>
    </xdr:to>
    <mc:AlternateContent xmlns:mc="http://schemas.openxmlformats.org/markup-compatibility/2006" xmlns:a14="http://schemas.microsoft.com/office/drawing/2010/main">
      <mc:Choice Requires="a14">
        <xdr:graphicFrame macro="">
          <xdr:nvGraphicFramePr>
            <xdr:cNvPr id="3" name="FPR">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FPR"/>
            </a:graphicData>
          </a:graphic>
        </xdr:graphicFrame>
      </mc:Choice>
      <mc:Fallback xmlns="">
        <xdr:sp macro="" textlink="">
          <xdr:nvSpPr>
            <xdr:cNvPr id="0" name=""/>
            <xdr:cNvSpPr>
              <a:spLocks noTextEdit="1"/>
            </xdr:cNvSpPr>
          </xdr:nvSpPr>
          <xdr:spPr>
            <a:xfrm>
              <a:off x="7043208" y="8466"/>
              <a:ext cx="1019175" cy="2543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207931</xdr:colOff>
      <xdr:row>19</xdr:row>
      <xdr:rowOff>98362</xdr:rowOff>
    </xdr:from>
    <xdr:to>
      <xdr:col>8</xdr:col>
      <xdr:colOff>398431</xdr:colOff>
      <xdr:row>38</xdr:row>
      <xdr:rowOff>31127</xdr:rowOff>
    </xdr:to>
    <mc:AlternateContent xmlns:mc="http://schemas.openxmlformats.org/markup-compatibility/2006" xmlns:a14="http://schemas.microsoft.com/office/drawing/2010/main">
      <mc:Choice Requires="a14">
        <xdr:graphicFrame macro="">
          <xdr:nvGraphicFramePr>
            <xdr:cNvPr id="4" name="CALLER">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microsoft.com/office/drawing/2010/slicer">
              <sle:slicer xmlns:sle="http://schemas.microsoft.com/office/drawing/2010/slicer" name="CALLER"/>
            </a:graphicData>
          </a:graphic>
        </xdr:graphicFrame>
      </mc:Choice>
      <mc:Fallback xmlns="">
        <xdr:sp macro="" textlink="">
          <xdr:nvSpPr>
            <xdr:cNvPr id="0" name=""/>
            <xdr:cNvSpPr>
              <a:spLocks noTextEdit="1"/>
            </xdr:cNvSpPr>
          </xdr:nvSpPr>
          <xdr:spPr>
            <a:xfrm>
              <a:off x="6526181" y="3717862"/>
              <a:ext cx="1206500" cy="35522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619125</xdr:colOff>
      <xdr:row>14</xdr:row>
      <xdr:rowOff>9525</xdr:rowOff>
    </xdr:from>
    <xdr:to>
      <xdr:col>9</xdr:col>
      <xdr:colOff>95249</xdr:colOff>
      <xdr:row>27</xdr:row>
      <xdr:rowOff>171451</xdr:rowOff>
    </xdr:to>
    <mc:AlternateContent xmlns:mc="http://schemas.openxmlformats.org/markup-compatibility/2006" xmlns:a14="http://schemas.microsoft.com/office/drawing/2010/main">
      <mc:Choice Requires="a14">
        <xdr:graphicFrame macro="">
          <xdr:nvGraphicFramePr>
            <xdr:cNvPr id="5" name="AREA">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mlns="">
        <xdr:sp macro="" textlink="">
          <xdr:nvSpPr>
            <xdr:cNvPr id="0" name=""/>
            <xdr:cNvSpPr>
              <a:spLocks noTextEdit="1"/>
            </xdr:cNvSpPr>
          </xdr:nvSpPr>
          <xdr:spPr>
            <a:xfrm>
              <a:off x="6810375" y="2686051"/>
              <a:ext cx="695325" cy="26289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647140</xdr:colOff>
      <xdr:row>31</xdr:row>
      <xdr:rowOff>166968</xdr:rowOff>
    </xdr:from>
    <xdr:to>
      <xdr:col>9</xdr:col>
      <xdr:colOff>195541</xdr:colOff>
      <xdr:row>45</xdr:row>
      <xdr:rowOff>14568</xdr:rowOff>
    </xdr:to>
    <mc:AlternateContent xmlns:mc="http://schemas.openxmlformats.org/markup-compatibility/2006" xmlns:a14="http://schemas.microsoft.com/office/drawing/2010/main">
      <mc:Choice Requires="a14">
        <xdr:graphicFrame macro="">
          <xdr:nvGraphicFramePr>
            <xdr:cNvPr id="6" name="FOS NAME">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microsoft.com/office/drawing/2010/slicer">
              <sle:slicer xmlns:sle="http://schemas.microsoft.com/office/drawing/2010/slicer" name="FOS NAME"/>
            </a:graphicData>
          </a:graphic>
        </xdr:graphicFrame>
      </mc:Choice>
      <mc:Fallback xmlns="">
        <xdr:sp macro="" textlink="">
          <xdr:nvSpPr>
            <xdr:cNvPr id="0" name=""/>
            <xdr:cNvSpPr>
              <a:spLocks noTextEdit="1"/>
            </xdr:cNvSpPr>
          </xdr:nvSpPr>
          <xdr:spPr>
            <a:xfrm>
              <a:off x="7101728" y="6072468"/>
              <a:ext cx="1038785" cy="2514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73</xdr:col>
      <xdr:colOff>16934</xdr:colOff>
      <xdr:row>17</xdr:row>
      <xdr:rowOff>42334</xdr:rowOff>
    </xdr:from>
    <xdr:to>
      <xdr:col>75</xdr:col>
      <xdr:colOff>438151</xdr:colOff>
      <xdr:row>30</xdr:row>
      <xdr:rowOff>89959</xdr:rowOff>
    </xdr:to>
    <mc:AlternateContent xmlns:mc="http://schemas.openxmlformats.org/markup-compatibility/2006" xmlns:a14="http://schemas.microsoft.com/office/drawing/2010/main">
      <mc:Choice Requires="a14">
        <xdr:graphicFrame macro="">
          <xdr:nvGraphicFramePr>
            <xdr:cNvPr id="7" name="DATE">
              <a:extLst>
                <a:ext uri="{FF2B5EF4-FFF2-40B4-BE49-F238E27FC236}">
                  <a16:creationId xmlns:a16="http://schemas.microsoft.com/office/drawing/2014/main" id="{0E462A5B-BE21-4B0C-6671-1094952C5A3A}"/>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65771184" y="3280834"/>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73</xdr:col>
      <xdr:colOff>48683</xdr:colOff>
      <xdr:row>1</xdr:row>
      <xdr:rowOff>116417</xdr:rowOff>
    </xdr:from>
    <xdr:to>
      <xdr:col>75</xdr:col>
      <xdr:colOff>469900</xdr:colOff>
      <xdr:row>14</xdr:row>
      <xdr:rowOff>164042</xdr:rowOff>
    </xdr:to>
    <mc:AlternateContent xmlns:mc="http://schemas.openxmlformats.org/markup-compatibility/2006" xmlns:a14="http://schemas.microsoft.com/office/drawing/2010/main">
      <mc:Choice Requires="a14">
        <xdr:graphicFrame macro="">
          <xdr:nvGraphicFramePr>
            <xdr:cNvPr id="8" name="V DATE">
              <a:extLst>
                <a:ext uri="{FF2B5EF4-FFF2-40B4-BE49-F238E27FC236}">
                  <a16:creationId xmlns:a16="http://schemas.microsoft.com/office/drawing/2014/main" id="{08728C17-6B33-B016-8F27-A248ABBD5B9F}"/>
                </a:ext>
              </a:extLst>
            </xdr:cNvPr>
            <xdr:cNvGraphicFramePr/>
          </xdr:nvGraphicFramePr>
          <xdr:xfrm>
            <a:off x="0" y="0"/>
            <a:ext cx="0" cy="0"/>
          </xdr:xfrm>
          <a:graphic>
            <a:graphicData uri="http://schemas.microsoft.com/office/drawing/2010/slicer">
              <sle:slicer xmlns:sle="http://schemas.microsoft.com/office/drawing/2010/slicer" name="V DATE"/>
            </a:graphicData>
          </a:graphic>
        </xdr:graphicFrame>
      </mc:Choice>
      <mc:Fallback xmlns="">
        <xdr:sp macro="" textlink="">
          <xdr:nvSpPr>
            <xdr:cNvPr id="0" name=""/>
            <xdr:cNvSpPr>
              <a:spLocks noTextEdit="1"/>
            </xdr:cNvSpPr>
          </xdr:nvSpPr>
          <xdr:spPr>
            <a:xfrm>
              <a:off x="65802933" y="30691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ICICI%20FR%20RTP%20CASES%202026.xlsx" TargetMode="External"/><Relationship Id="rId2" Type="http://schemas.openxmlformats.org/officeDocument/2006/relationships/externalLinkPath" Target="file:///E:\SRAVANI%20OFFICE\sravani%2012-08-2024\sravani%20updated\ICICI\CC\ICICI%20FR\2026\ICICI%20FR%20RTP%20CASES%202026.xlsx" TargetMode="External"/><Relationship Id="rId1" Type="http://schemas.openxmlformats.org/officeDocument/2006/relationships/externalLinkPath" Target="/SRAVANI%20OFFICE/sravani%2012-08-2024/sravani%20updated/ICICI/CC/ICICI%20FR/2026/ICICI%20FR%20RTP%20CASES%202026.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AY''26%20FR/FR%20X-BKT%20MAY''26.xlsx" TargetMode="External"/><Relationship Id="rId2" Type="http://schemas.openxmlformats.org/officeDocument/2006/relationships/externalLinkPath" Target="file:///E:\SRAVANI%20OFFICE\sravani%2012-08-2024\sravani%20updated\ICICI\CC\ICICI%20FR\2026\MAY''26%20FR\FR%20X-BKT%20MAY''26.xlsx" TargetMode="External"/><Relationship Id="rId1" Type="http://schemas.openxmlformats.org/officeDocument/2006/relationships/externalLinkPath" Target="/SRAVANI%20OFFICE/sravani%2012-08-2024/sravani%20updated/ICICI/CC/ICICI%20FR/2026/MAY''26%20FR/FR%20X-BKT%20MAY''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s>
    <sheetDataSet>
      <sheetData sheetId="0">
        <row r="2">
          <cell r="A2" t="str">
            <v>6528682071007004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IS"/>
      <sheetName val="MAIN"/>
      <sheetName val="RE"/>
      <sheetName val="L FILE"/>
      <sheetName val="Sheet3"/>
      <sheetName val="FR X-BKT MAY''26"/>
    </sheetNames>
    <sheetDataSet>
      <sheetData sheetId="0" refreshError="1"/>
      <sheetData sheetId="1"/>
      <sheetData sheetId="2" refreshError="1"/>
      <sheetData sheetId="3" refreshError="1"/>
      <sheetData sheetId="4" refreshError="1"/>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0.711970717595" createdVersion="4" refreshedVersion="8" minRefreshableVersion="3" recordCount="602" xr:uid="{00000000-000A-0000-FFFF-FFFFE7000000}">
  <cacheSource type="worksheet">
    <worksheetSource name="Table1"/>
  </cacheSource>
  <cacheFields count="47">
    <cacheField name="ACC.NO" numFmtId="0">
      <sharedItems/>
    </cacheField>
    <cacheField name="NAMES" numFmtId="0">
      <sharedItems/>
    </cacheField>
    <cacheField name="RTP" numFmtId="0">
      <sharedItems containsMixedTypes="1" containsNumber="1" containsInteger="1" minValue="0" maxValue="0"/>
    </cacheField>
    <cacheField name="FPR" numFmtId="0">
      <sharedItems containsBlank="1" count="17">
        <s v="ALL"/>
        <s v="RE"/>
        <s v="LATE"/>
        <s v="NA" u="1"/>
        <s v="RTP" u="1"/>
        <m u="1"/>
        <e v="#N/A" u="1"/>
        <s v="Ramanathan" u="1"/>
        <s v="Aditya" u="1"/>
        <s v="RF" u="1"/>
        <s v="NORM" u="1"/>
        <s v="SUP" u="1"/>
        <s v="Raviteja" u="1"/>
        <s v="Madhu" u="1"/>
        <s v="Altaf" u="1"/>
        <s v="Grace" u="1"/>
        <s v="Ghouse" u="1"/>
      </sharedItems>
    </cacheField>
    <cacheField name="RE" numFmtId="0">
      <sharedItems containsString="0" containsBlank="1" containsNumber="1" containsInteger="1" minValue="1" maxValue="1"/>
    </cacheField>
    <cacheField name="CC" numFmtId="0">
      <sharedItems containsBlank="1"/>
    </cacheField>
    <cacheField name="O/N" numFmtId="0">
      <sharedItems/>
    </cacheField>
    <cacheField name="CYC" numFmtId="0">
      <sharedItems containsSemiMixedTypes="0" containsString="0" containsNumber="1" containsInteger="1" minValue="1" maxValue="28" count="27">
        <n v="1"/>
        <n v="2"/>
        <n v="3"/>
        <n v="5"/>
        <n v="7"/>
        <n v="8"/>
        <n v="9"/>
        <n v="10"/>
        <n v="11"/>
        <n v="12"/>
        <n v="13"/>
        <n v="14"/>
        <n v="15"/>
        <n v="16"/>
        <n v="17"/>
        <n v="18"/>
        <n v="20"/>
        <n v="21"/>
        <n v="22"/>
        <n v="23"/>
        <n v="25"/>
        <n v="28"/>
        <n v="6" u="1"/>
        <n v="4" u="1"/>
        <n v="19" u="1"/>
        <n v="27" u="1"/>
        <n v="26" u="1"/>
      </sharedItems>
    </cacheField>
    <cacheField name="MOBILE" numFmtId="0">
      <sharedItems/>
    </cacheField>
    <cacheField name="BLOCK" numFmtId="0">
      <sharedItems containsBlank="1"/>
    </cacheField>
    <cacheField name="EXCESS LIMIT" numFmtId="0">
      <sharedItems containsSemiMixedTypes="0" containsString="0" containsNumber="1" minValue="-642947.82000000007" maxValue="484106.26"/>
    </cacheField>
    <cacheField name="CREDIT" numFmtId="0">
      <sharedItems containsString="0" containsBlank="1" containsNumber="1" containsInteger="1" minValue="20000" maxValue="2500000"/>
    </cacheField>
    <cacheField name="ENR" numFmtId="1">
      <sharedItems containsSemiMixedTypes="0" containsString="0" containsNumber="1" minValue="50060.69" maxValue="2646719.52"/>
    </cacheField>
    <cacheField name="EMI 0/S" numFmtId="1">
      <sharedItems containsBlank="1" containsMixedTypes="1" containsNumber="1" minValue="638.39" maxValue="482532.14"/>
    </cacheField>
    <cacheField name="CURR_BAL" numFmtId="1">
      <sharedItems containsString="0" containsBlank="1" containsNumber="1" minValue="8701.89" maxValue="2646719.52"/>
    </cacheField>
    <cacheField name="PRI" numFmtId="1">
      <sharedItems containsString="0" containsBlank="1" containsNumber="1" minValue="5947.37" maxValue="2426066.83"/>
    </cacheField>
    <cacheField name="NORM" numFmtId="0">
      <sharedItems containsSemiMixedTypes="0" containsString="0" containsNumber="1" minValue="7220" maxValue="546498.41"/>
    </cacheField>
    <cacheField name="STAB" numFmtId="1">
      <sharedItems containsSemiMixedTypes="0" containsString="0" containsNumber="1" minValue="1520" maxValue="486105.04"/>
    </cacheField>
    <cacheField name="PAID/UNPAID" numFmtId="0">
      <sharedItems count="2">
        <s v="PAID"/>
        <s v="UNPAID"/>
      </sharedItems>
    </cacheField>
    <cacheField name="STATUS" numFmtId="0">
      <sharedItems containsMixedTypes="1" containsNumber="1" containsInteger="1" minValue="181460" maxValue="181460" count="4">
        <s v="NORM"/>
        <s v="RF"/>
        <s v="STAB"/>
        <n v="181460" u="1"/>
      </sharedItems>
    </cacheField>
    <cacheField name="AMOUNT" numFmtId="0">
      <sharedItems containsSemiMixedTypes="0" containsString="0" containsNumber="1" minValue="0" maxValue="745612.2"/>
    </cacheField>
    <cacheField name="PENDING" numFmtId="1">
      <sharedItems containsSemiMixedTypes="0" containsString="0" containsNumber="1" minValue="-592826.81999999995" maxValue="486105.04"/>
    </cacheField>
    <cacheField name="DATE" numFmtId="0">
      <sharedItems containsMixedTypes="1" containsNumber="1" containsInteger="1" minValue="0" maxValue="0" count="35">
        <s v="26TH M"/>
        <n v="0"/>
        <s v="1ST J"/>
        <s v="2ND J"/>
        <s v="29TH M"/>
        <s v="31ST M"/>
        <s v="30TH M"/>
        <s v="23RD M"/>
        <s v="28TH M"/>
        <s v="5TH J"/>
        <s v="3RD J"/>
        <s v="27TH M"/>
        <s v="8TH J"/>
        <s v="10TH J"/>
        <s v="4TH J"/>
        <s v="11TH J"/>
        <s v="6TH J"/>
        <s v="9TH J"/>
        <s v="12TH J"/>
        <s v="7TH J"/>
        <s v="14TH J"/>
        <s v="16TH J"/>
        <s v="15TH J"/>
        <s v="13TH J"/>
        <s v="17TH J"/>
        <s v="18TH J"/>
        <s v="20TH J"/>
        <s v="19TH J"/>
        <s v="22ND J"/>
        <s v="23RD J"/>
        <s v="25TH J"/>
        <s v="27TH J"/>
        <s v="24TH J"/>
        <s v="26TH J"/>
        <s v="21ST J"/>
      </sharedItems>
    </cacheField>
    <cacheField name="DONE BY" numFmtId="0">
      <sharedItems/>
    </cacheField>
    <cacheField name="MODE" numFmtId="0">
      <sharedItems containsMixedTypes="1" containsNumber="1" containsInteger="1" minValue="0" maxValue="0"/>
    </cacheField>
    <cacheField name="TEAM" numFmtId="0">
      <sharedItems/>
    </cacheField>
    <cacheField name="CALLER" numFmtId="0">
      <sharedItems containsBlank="1" count="27">
        <s v="MANI"/>
        <s v="SIVA"/>
        <s v="SRINU"/>
        <s v="RAGHU"/>
        <s v="MAHESH"/>
        <s v="SAI"/>
        <m/>
        <s v="SUDHAKAR" u="1"/>
        <s v="SAMBA" u="1"/>
        <s v="DURGA" u="1"/>
        <e v="#REF!" u="1"/>
        <s v="NA" u="1"/>
        <s v="SRAVANI" u="1"/>
        <s v="NANDINI" u="1"/>
        <s v="MAGES" u="1"/>
        <s v="FARZANA" u="1"/>
        <s v="SURESH" u="1"/>
        <s v="AYESHA" u="1"/>
        <s v="PRATHYUSHA" u="1"/>
        <s v="RAMANA SIR" u="1"/>
        <s v="RENU" u="1"/>
        <s v="KADAPA" u="1"/>
        <s v="SUBBU" u="1"/>
        <s v="AKHIL" u="1"/>
        <s v="SAMEERA" u="1"/>
        <s v="CHENNAIAH" u="1"/>
        <s v="DEVI" u="1"/>
      </sharedItems>
    </cacheField>
    <cacheField name="CAT ALLO" numFmtId="0">
      <sharedItems containsBlank="1" containsMixedTypes="1" containsNumber="1" containsInteger="1" minValue="0" maxValue="0" count="6">
        <s v="CAT J"/>
        <s v="CAT C"/>
        <s v="CAT I"/>
        <e v="#N/A"/>
        <m/>
        <n v="0" u="1"/>
      </sharedItems>
    </cacheField>
    <cacheField name="ADD 1" numFmtId="0">
      <sharedItems containsBlank="1"/>
    </cacheField>
    <cacheField name="ADD 2" numFmtId="0">
      <sharedItems containsBlank="1" longText="1"/>
    </cacheField>
    <cacheField name="LOCATION" numFmtId="0">
      <sharedItems/>
    </cacheField>
    <cacheField name="AREA" numFmtId="0">
      <sharedItems containsBlank="1" count="11">
        <s v="EG&amp;WG"/>
        <s v="TS"/>
        <s v="KDP"/>
        <s v="GTR"/>
        <s v="NLR"/>
        <s v="OGL"/>
        <m u="1"/>
        <s v="DPR" u="1"/>
        <s v="VSP" u="1"/>
        <s v="TC" u="1"/>
        <s v="MANI" u="1"/>
      </sharedItems>
    </cacheField>
    <cacheField name="FOS NAME" numFmtId="0">
      <sharedItems containsBlank="1" count="131">
        <s v="RAKESH/WEST , 9121493562"/>
        <s v="NAGARAJU/TS , 6281603130"/>
        <s v="KARUNAKAR/WARANGAL , 9989734512"/>
        <s v="V RAMANA/ANANTHAPUR , 9885633687"/>
        <s v="RAHUL/TS , 9642288392"/>
        <s v="GAFOOR/KDP , 9392457562"/>
        <s v="ANIL KUMAR/TS , 6305285702"/>
        <s v="B RANJITH/BADRACHALAM , 9154994666"/>
        <s v="SUBBU ,  9985844576"/>
        <s v="PRUDHVI/GTR , 8185079989"/>
        <s v="PRASHANTH/TS , 9652386391"/>
        <s v="PRAVEEN/ADILABAD , 8639562425"/>
        <s v="TULASI/NELLORE , 8897907043"/>
        <s v="SRINIU/WEST , 9154934446"/>
        <s v="MADHU/NANDYAL , 9550812050"/>
        <s v="MADHUSUDHAN/TS , 8367481163"/>
        <s v="UDAY/KAKINADA , 9032220101"/>
        <s v="INAMUL/GTR , 8367073588"/>
        <s v="SRIKANTH/NALGONDA , 9603185469"/>
        <s v="RABBANI/KURNOOL , 9052323785"/>
        <s v="MAHESH/NIZAMABAD , 9177861515"/>
        <s v="RAJKUMAR/MEDAK , 7670935091"/>
        <s v="SUDHAKAR/VJW , 7893124290"/>
        <s v="RAVI/MAHBOOBNAGAR , 7842719686"/>
        <s v="LIKITH/KHAMMAM , 7981063429"/>
        <s v="KRISHNA/EAST , 8985743534"/>
        <s v="SRIKANTH/ANANTHAPUR , 9182336153"/>
        <s v="SANTHOSH/KARIMNAGAR , 9963176593"/>
        <s v="VALLI/GTR , 9963854572"/>
        <s v="GANESH/GTR , 7013441521"/>
        <s v="SAGAR/WARANGAL , 7396297747"/>
        <s v="NAYAB/PRODDATUR , 6305351203"/>
        <s v="LOHITH/ELLURU , 9705411758"/>
        <s v="SEKAR/TIRUPATI , 8500444601"/>
        <s v="IMAM/GTR , 6302979798"/>
        <s v="SWAGATH/ADILABAD , 9666210999"/>
        <s v="RANJITH/TS , 7794980652"/>
        <s v="MANAIH/SANGAREDDY , 9440683493"/>
        <s v="NO FOS"/>
        <s v="SRINU/GTR , 9704963641"/>
        <s v="DPR"/>
        <s v="TUNI"/>
        <s v="AJEES/OOGOLE , 7093700713"/>
        <s v="NA"/>
        <s v="ARAVIND/GTR , 9154094854"/>
        <s v="SRINIVAS/GTR , 9966922101"/>
        <s v="HARSHA/NANDIGAMA , 8639040413"/>
        <s v="OS"/>
        <s v="HUZURABAD"/>
        <s v="KISHORE/GTR , 8688104987"/>
        <m u="1"/>
        <s v="ESWARRAO/TIRUPATI , 9030151410" u="1"/>
        <s v="P KUMAR/NALGONDA , 9133682546" u="1"/>
        <s v="ARAVIND/GTR" u="1"/>
        <s v="SARAT/WANAPARTHY , 7075528506" u="1"/>
        <s v="SANGAREDDY" u="1"/>
        <s v="SAIHARI/KADAPA , 9381772983" u="1"/>
        <s v="SWAROOP/KADAPA , 8106788719" u="1"/>
        <s v="CHIRALA" u="1"/>
        <s v="SURAMPALEM" u="1"/>
        <s v="KOTI/MACHILIPATNAM , 8247838027" u="1"/>
        <s v="MADANAPALLE" u="1"/>
        <s v="KUMAR/ELLURU , 8639680560" u="1"/>
        <s v="LEELAPRASAD/RJY , 6281320071" u="1"/>
        <s v="KAKINADA" u="1"/>
        <s v="CHITTOOR" u="1"/>
        <s v="KIRAN/CHITTOOR , 9440471742" u="1"/>
        <s v="SURYAPET" u="1"/>
        <s v="SUBBU , 9985844576" u="1"/>
        <s v="SRAVANI" u="1"/>
        <s v="CALLER" u="1"/>
        <s v="SURENDRA/GTR , 9052794389" u="1"/>
        <s v="NAGARAJU" u="1"/>
        <s v="VENKATRAMANA" u="1"/>
        <s v="GADWAL" u="1"/>
        <s v="TIRUPATHI" u="1"/>
        <s v="SANGAREDDY " u="1"/>
        <s v="VIJAYAWADA" u="1"/>
        <s v="PAVAN/KAKINADA , 6305142227" u="1"/>
        <s v="KISHORE/ANKP , 8074601644" u="1"/>
        <s v="NAGARAJU , 6281603130" u="1"/>
        <s v="GAFOOR/KURNOOL , 9392457562" u="1"/>
        <s v="SRINIU/WEST 9184934446" u="1"/>
        <s v="ABBAS/KURNOOL , 7993844855" u="1"/>
        <s v="B RANJITH/BHADRACHALAM,915994666" u="1"/>
        <s v="VENUGOPAL/KARIMNAGAR , 6281392390" u="1"/>
        <s v="PRASAD/VSP , 8008572515" u="1"/>
        <s v="KALYAN/MADANAPALLE , 6304776131" u="1"/>
        <s v="AMAR/GWK , 8500043923" u="1"/>
        <s v="LAXMAN/SKLM , 9966690320" u="1"/>
        <s v="TADEPALLIGUDEM" u="1"/>
        <s v="MACHERLA" u="1"/>
        <s v="GOWTHAM/NALGONDA , 8466828379" u="1"/>
        <s v="GANI , 7013441521" u="1"/>
        <s v="GAFOOR/GTR , 9392457562" u="1"/>
        <s v="ASHOK/GTR , 8497936372" u="1"/>
        <s v="KIRAN/MADANAPALLE , 9701432134" u="1"/>
        <s v="NARAYANA/KAKINADA , 9949928322" u="1"/>
        <s v="NARASIMHA/GTR , 6309581043" u="1"/>
        <s v="SRINIVAS/MEDAK , 9494059208" u="1"/>
        <s v="RAMU/VSP , 9703803858" u="1"/>
        <s v="AJEES/ONGOLE , 7093700713" u="1"/>
        <s v="AJAY/KAKINADA , 7993949850" u="1"/>
        <s v="SRINIVAS/MEDAK , " u="1"/>
        <s v="ABHILASH/MEDAK,6303931254" u="1"/>
        <s v="PAVAN/GTR , 8019367695" u="1"/>
        <s v="PRADEEP , 7995803893" u="1"/>
        <s v="KAKINADAA" u="1"/>
        <s v="MANI , 7780356256" u="1"/>
        <s v="SATTIREDDY/KAKINADA , 9959229827" u="1"/>
        <s v="SAI KRISHNA/TS,9704787667" u="1"/>
        <s v="MANI" u="1"/>
        <s v="SHIVA/WARANGAL , 8309491566" u="1"/>
        <s v="KUMAR/KAKINADA , 9949560520" u="1"/>
        <s v="ESWARAIYYA/ANANTHAPUR , 7799440558" u="1"/>
        <s v="ABHILASH/MEDAK , 6303931254" u="1"/>
        <s v="GANESH/CHITTOOR , 8106171906" u="1"/>
        <s v="HINDUPUR" u="1"/>
        <s v="SHIVA/WARANGAL , 8309091026" u="1"/>
        <s v="MAHESH/NIZMABAD/9177861515" u="1"/>
        <s v="YAHENULLA/HINDUPUR , 8310676067" u="1"/>
        <s v="AMBRESH/PDT , 9573554482" u="1"/>
        <s v="MANI/SURYAPET , 7780356256" u="1"/>
        <s v="VIJAY/LOCAL , 8074557625" u="1"/>
        <s v="SRINIVASRAJU/JAGGAYAPETA , 6281792923" u="1"/>
        <s v="ANIL/GTR , 8247572446" u="1"/>
        <s v="SRINIVAS/WEST , 9010072805" u="1"/>
        <s v="SHIVA/SURYAPET , 8247053896" u="1"/>
        <s v="PRUDVI/KURNOOL , 9052769930" u="1"/>
        <s v="PRADEEP/NIZAMABAD , 7702511351" u="1"/>
        <s v="RK/GTR , 9640272121" u="1"/>
      </sharedItems>
    </cacheField>
    <cacheField name="MARC" numFmtId="0">
      <sharedItems/>
    </cacheField>
    <cacheField name="MARC ID" numFmtId="0">
      <sharedItems containsSemiMixedTypes="0" containsString="0" containsNumber="1" containsInteger="1" minValue="801174030" maxValue="802913252"/>
    </cacheField>
    <cacheField name="MARC PW" numFmtId="0">
      <sharedItems/>
    </cacheField>
    <cacheField name="TC DISPO" numFmtId="0">
      <sharedItems containsNonDate="0" containsString="0" containsBlank="1"/>
    </cacheField>
    <cacheField name="TC REMARK" numFmtId="0">
      <sharedItems containsNonDate="0" containsString="0" containsBlank="1"/>
    </cacheField>
    <cacheField name="VISITS" numFmtId="0">
      <sharedItems containsBlank="1" count="3">
        <s v="VISITED"/>
        <s v="NOT VISITED"/>
        <m u="1"/>
      </sharedItems>
    </cacheField>
    <cacheField name="FOS DISPO" numFmtId="0">
      <sharedItems containsBlank="1"/>
    </cacheField>
    <cacheField name="REMARKS" numFmtId="0">
      <sharedItems containsBlank="1" longText="1"/>
    </cacheField>
    <cacheField name="V DATE" numFmtId="0">
      <sharedItems containsBlank="1" count="115">
        <s v="27TH M"/>
        <s v="26TH M"/>
        <s v="1ST J"/>
        <s v="28TH M"/>
        <s v="2ND J"/>
        <s v="23RD M"/>
        <s v="29TH M"/>
        <s v="22ND M"/>
        <s v="30TH M"/>
        <s v="25TH M"/>
        <m/>
        <s v="5TH J"/>
        <s v="3RD J"/>
        <s v="31ST M"/>
        <s v="4TH J"/>
        <s v="8TH J"/>
        <s v="6TH J"/>
        <s v="10TH J"/>
        <s v="9TH J"/>
        <s v="11TH J"/>
        <s v="12TH J"/>
        <s v="16TH J"/>
        <s v="15TH J"/>
        <s v="13TH J"/>
        <s v="18TH J"/>
        <s v="19TH J"/>
        <s v="20TH J"/>
        <s v="17TH J"/>
        <s v="14TH J"/>
        <s v="22ND J"/>
        <s v="23RD J"/>
        <s v="25TH J"/>
        <s v="26TH J"/>
        <s v="24TH J"/>
        <s v="21ST M" u="1"/>
        <s v="23RD A" u="1"/>
        <s v="1ST M" u="1"/>
        <s v="2ND M" u="1"/>
        <s v="30TH A" u="1"/>
        <s v="22ND A" u="1"/>
        <s v="20TH A" u="1"/>
        <s v="28TH A " u="1"/>
        <s v="27TH A" u="1"/>
        <s v="24TH A" u="1"/>
        <s v="25TH A" u="1"/>
        <s v="29TH A" u="1"/>
        <s v="4TH M" u="1"/>
        <s v="5TH M" u="1"/>
        <s v="6TH M" u="1"/>
        <s v="7TH M" u="1"/>
        <s v="11TH M" u="1"/>
        <s v="9TH M" u="1"/>
        <s v="8TH M" u="1"/>
        <s v="3RD M" u="1"/>
        <s v="12TH M" u="1"/>
        <s v="14TH M" u="1"/>
        <s v="13TH M" u="1"/>
        <s v="15TH M" u="1"/>
        <s v="16TH M" u="1"/>
        <s v="17TH M" u="1"/>
        <s v="18TH M" u="1"/>
        <s v="19TH M" u="1"/>
        <s v="20TH M" u="1"/>
        <s v="10TH M" u="1"/>
        <s v="21ST A" u="1"/>
        <s v="24TH M" u="1"/>
        <s v="1ST A" u="1"/>
        <s v="2ND A" u="1"/>
        <s v="3RD A" u="1"/>
        <s v="4TH A" u="1"/>
        <s v="7TH A" u="1"/>
        <s v="6TH A" u="1"/>
        <s v="9TH A" u="1"/>
        <s v="10TH A" u="1"/>
        <s v="11TH A" u="1"/>
        <s v="8TH A" u="1"/>
        <s v="14TH A" u="1"/>
        <s v="16TH A" u="1"/>
        <s v="13TH A" u="1"/>
        <s v="15TH A" u="1"/>
        <s v="17TH A" u="1"/>
        <s v="18TH A" u="1"/>
        <s v="12TH A" u="1"/>
        <s v="28TH F" u="1"/>
        <s v="26TH F" u="1"/>
        <s v="27TH F" u="1"/>
        <s v="24TH F" u="1"/>
        <s v="25TH F" u="1"/>
        <s v="23RD F" u="1"/>
        <s v="31ST J" u="1"/>
        <s v="27TH J" u="1"/>
        <s v="30TH J" u="1"/>
        <s v="28TH J" u="1"/>
        <s v="2ND F" u="1"/>
        <s v="29TH J" u="1"/>
        <s v="4TH F" u="1"/>
        <s v="5TH F" u="1"/>
        <s v="3RD F" u="1"/>
        <s v="6TH F" u="1"/>
        <s v="7TH F" u="1"/>
        <s v="10TH F" u="1"/>
        <s v="9TH F" u="1"/>
        <s v="11TH F" u="1"/>
        <s v="12TH F" u="1"/>
        <s v="8TH F" u="1"/>
        <s v="13TH F" u="1"/>
        <s v="14TH F" u="1"/>
        <s v="13THF " u="1"/>
        <s v="16TH F" u="1"/>
        <s v="18TH F" u="1"/>
        <s v="17TH F" u="1"/>
        <s v="20TH F" u="1"/>
        <s v="19TH F" u="1"/>
        <s v="21ST F" u="1"/>
        <s v="15TH F" u="1"/>
      </sharedItems>
    </cacheField>
    <cacheField name="LAST PAYMENT DATE" numFmtId="14">
      <sharedItems containsDate="1" containsBlank="1" containsMixedTypes="1" minDate="2023-05-02T00:00:00" maxDate="2026-05-28T00:00:00"/>
    </cacheField>
    <cacheField name="LAST PAYMENT AMOUNT" numFmtId="0">
      <sharedItems containsString="0" containsBlank="1" containsNumber="1" minValue="-9920" maxValue="360618"/>
    </cacheField>
    <cacheField name="CARD TYPE" numFmtId="0">
      <sharedItems containsBlank="1"/>
    </cacheField>
    <cacheField name="ALLOC DATE" numFmtId="0">
      <sharedItems/>
    </cacheField>
    <cacheField name="DueDate" numFmtId="14">
      <sharedItems containsNonDate="0" containsDate="1" containsString="0" containsBlank="1" minDate="2026-05-19T00:00:00" maxDate="2026-06-16T00:0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2">
  <r>
    <s v="4375518880038005"/>
    <s v="Mr SUBBA Namburi Venkata Raju"/>
    <n v="0"/>
    <x v="0"/>
    <m/>
    <m/>
    <s v="N"/>
    <x v="0"/>
    <s v="9490485908"/>
    <s v="X"/>
    <n v="3626.8499999999985"/>
    <n v="60000"/>
    <n v="63626.85"/>
    <s v=""/>
    <n v="63626.85"/>
    <n v="59326.879999999997"/>
    <n v="13030"/>
    <n v="2740"/>
    <x v="0"/>
    <x v="0"/>
    <n v="63626.85"/>
    <n v="-60886.85"/>
    <x v="0"/>
    <s v="TC"/>
    <s v="30501-BBPS Payment received"/>
    <s v="DURGA"/>
    <x v="0"/>
    <x v="0"/>
    <s v="&quot;5-161,SARASWATHI NAGAR,UPPARA GUDEM&quot;    BHIMAVARAM ANP 534204"/>
    <s v="SKYQUAd electronics and applainces Skyquad Electronics And Aplainces Medchal Medchal Rangareddy TNG 501401"/>
    <s v="BHIMAVARAM"/>
    <x v="0"/>
    <x v="0"/>
    <s v="B NAGABABU"/>
    <n v="801448854"/>
    <s v="Sgr@9290"/>
    <m/>
    <m/>
    <x v="0"/>
    <s v="DL"/>
    <s v=" cmr not living in given address, cmr house door locked and cmr not answering calls"/>
    <x v="0"/>
    <d v="2024-12-20T00:00:00"/>
    <n v="69460"/>
    <s v="ICICI Bank Coral Credit Card"/>
    <s v="22ND MAY"/>
    <d v="2026-05-19T00:00:00"/>
  </r>
  <r>
    <s v="6528680717842016"/>
    <s v="MR CHOLLANGI SRI JAYA PRAKASH NAR"/>
    <n v="0"/>
    <x v="0"/>
    <m/>
    <m/>
    <s v="O"/>
    <x v="1"/>
    <s v="8639898537"/>
    <s v="X"/>
    <n v="-12567.060000000056"/>
    <n v="800000"/>
    <n v="787432.94"/>
    <n v="4493.17"/>
    <n v="765943.72"/>
    <n v="735144.22"/>
    <n v="150130"/>
    <n v="106140"/>
    <x v="0"/>
    <x v="0"/>
    <n v="577540"/>
    <n v="-471400"/>
    <x v="0"/>
    <s v="FE"/>
    <s v="30501-BBPS Payment received"/>
    <s v="DURGA"/>
    <x v="0"/>
    <x v="0"/>
    <s v="DNO 3-5-47 NEAR BALARAKSHAK BHAVAN  GOGULAMALLAYYA BAZAR MAHABUBABAD NEAR MAIN ROAD BHEEMARAM TNG 506101 "/>
    <s v="OTHERS GOVERNMENT NORTHERN POWER DISTRIB NORTHEN POWER DISTRIBUTION COMPANY SEROLE MAHABUBABAD SEROLE MANDAL  SEROLE MAHABUBABAD SEROLE MANDAL WARANGAL TNG 506105"/>
    <s v="WARANGAL"/>
    <x v="1"/>
    <x v="1"/>
    <s v="V Sridhar"/>
    <n v="801174030"/>
    <s v="Sgr@0987"/>
    <m/>
    <m/>
    <x v="0"/>
    <s v="LIVE"/>
    <s v="Visited Customer Office Adress Customer Live Customer Given Commitment Tommorow Sir"/>
    <x v="1"/>
    <d v="2025-06-06T00:00:00"/>
    <n v="22000"/>
    <s v="ICICI Bank Coral RuPay Credit Card"/>
    <s v="21ST MAY"/>
    <d v="2026-05-20T00:00:00"/>
  </r>
  <r>
    <s v="4315812610511016"/>
    <s v="MR Utukoori Vineeth"/>
    <n v="0"/>
    <x v="0"/>
    <m/>
    <m/>
    <s v="N"/>
    <x v="1"/>
    <s v="8919990707"/>
    <s v="X"/>
    <n v="57870.310000000056"/>
    <n v="500000"/>
    <n v="557870.31000000006"/>
    <s v=""/>
    <n v="557870.31000000006"/>
    <n v="510121.75"/>
    <n v="160040"/>
    <n v="89840"/>
    <x v="1"/>
    <x v="1"/>
    <n v="0"/>
    <n v="89840"/>
    <x v="1"/>
    <s v="NA"/>
    <n v="0"/>
    <s v="DURGA"/>
    <x v="0"/>
    <x v="0"/>
    <s v="1-42/2    Warangal WARANGAL TNG 506349 "/>
    <s v="DRIVING SCHOOL TEACHERS COLONY HANAMKONA  HANAMKONA WARANGAL TNG 506001"/>
    <s v="WARANGAL"/>
    <x v="1"/>
    <x v="2"/>
    <s v="CHAITANYA"/>
    <n v="802555024"/>
    <s v="Ssde@9290"/>
    <m/>
    <m/>
    <x v="0"/>
    <s v="LIVE"/>
    <s v="Visited Customer Given Adress Customer Not Available Call Answered Customer Saying Already Some Amount Clear Plese Chek it Sir // Visited Customer Residence Address Customer Not Available Phone Call Answered Customer Wants to Settlement Sir"/>
    <x v="2"/>
    <d v="2025-09-20T00:00:00"/>
    <n v="49999"/>
    <s v="Amazon Pay ICICI Bank Credit Card"/>
    <s v="21ST MAY"/>
    <d v="2026-05-20T00:00:00"/>
  </r>
  <r>
    <s v="4035620875792018"/>
    <s v="MS TATICHERLA SOWMYA"/>
    <n v="0"/>
    <x v="0"/>
    <m/>
    <m/>
    <s v="N"/>
    <x v="1"/>
    <s v="6303239209"/>
    <s v="X"/>
    <n v="13960.659999999974"/>
    <n v="430000"/>
    <n v="443960.66"/>
    <n v="78892.240000000005"/>
    <n v="365068.42"/>
    <n v="338745.97"/>
    <n v="82570"/>
    <n v="34582"/>
    <x v="0"/>
    <x v="2"/>
    <n v="35000"/>
    <n v="-418"/>
    <x v="2"/>
    <s v="TC"/>
    <s v="30501-BBPS Payment received"/>
    <s v="DURGA"/>
    <x v="0"/>
    <x v="0"/>
    <s v="&quot;4,1782 3 A STATE BANK,COLONY,NEAR JAINA&quot; &quot;AND,,SCHOOL,PAPAMPETA ANANTAPUR 515001&quot;  XXXX ANAPARTHI ANP 515001"/>
    <s v="GENPACT INDIA PVT LTD 3RD  4TH DLF CYBER CITY BLOCK 2 PLOT NO &quot;. 129-132, OPP. APHB COLONY, SEZ, GACHIB&quot; &quot;. 129-132, OPP. APHB COLONY, SEZ, GACHIB&quot; HYDERABAD TNG 500019"/>
    <s v="ANAPARTHI"/>
    <x v="2"/>
    <x v="3"/>
    <s v="T SRINIVAS"/>
    <n v="802030802"/>
    <s v="Sgr@0987"/>
    <m/>
    <m/>
    <x v="0"/>
    <s v="LIVE"/>
    <s v="Customer already stab part amount paid remaining amount tomorrow afternoon sir"/>
    <x v="3"/>
    <d v="2026-03-30T00:00:00"/>
    <n v="36000"/>
    <s v="ICICI Bank Coral Credit Card"/>
    <s v="22ND MAY"/>
    <d v="2026-05-20T00:00:00"/>
  </r>
  <r>
    <s v="4315813880944002"/>
    <s v="MR CHAKALI SHEKAR"/>
    <n v="0"/>
    <x v="0"/>
    <m/>
    <m/>
    <s v="N"/>
    <x v="1"/>
    <s v="8143811132"/>
    <s v="X"/>
    <n v="19541.330000000016"/>
    <n v="400000"/>
    <n v="419541.33"/>
    <n v="24477.11"/>
    <n v="365315.02"/>
    <n v="338863.93"/>
    <n v="96650"/>
    <n v="41690"/>
    <x v="0"/>
    <x v="0"/>
    <n v="365315.02"/>
    <n v="-323625.02"/>
    <x v="3"/>
    <s v="FE"/>
    <s v="30501-BBPS Payment received"/>
    <s v="DURGA"/>
    <x v="0"/>
    <x v="0"/>
    <s v="&quot;H NO,5-64 BOMRASPET DUDYAL,DUDYAL,.,.,.,&quot;  ...  NEAR BUS STOP WANAPARTHY TNG 509350 "/>
    <s v="TAVANT TECHNOLOGIES INDIA PRIVATE LIMITE 21 3RD FLOOR SECTOR 2 VILLAGE MADHAPUR SERILIGAMAPALLY R R DISTRICT  MADHAPUR SERILIGAMAPALLY R R DISTRICT HYDERABAD TNG 500081"/>
    <s v="WANAPARTHY"/>
    <x v="1"/>
    <x v="4"/>
    <s v="SAMBA"/>
    <n v="801772794"/>
    <s v="Ssde@9876"/>
    <m/>
    <m/>
    <x v="0"/>
    <s v="LIVE"/>
    <s v="Visited cys adrs sir _x000a_Cus present live bangalore sir _x000a_Cus ask settlement sir Or cus have intrest charges to high sir // PTP ON TODAY 4 PM"/>
    <x v="2"/>
    <d v="2025-08-23T00:00:00"/>
    <n v="20449"/>
    <s v="Amazon Pay ICICI Bank Credit Card"/>
    <s v="21ST MAY"/>
    <d v="2026-05-20T00:00:00"/>
  </r>
  <r>
    <s v="6528682024549003"/>
    <s v="MR Chennur Prasanth Reddy"/>
    <n v="0"/>
    <x v="0"/>
    <m/>
    <m/>
    <s v="N"/>
    <x v="1"/>
    <s v="9160999848"/>
    <s v="X"/>
    <n v="-81918.700000000012"/>
    <n v="500000"/>
    <n v="418081.3"/>
    <n v="13095.49"/>
    <n v="95976.82"/>
    <n v="84768.9"/>
    <n v="40750"/>
    <n v="16730"/>
    <x v="1"/>
    <x v="1"/>
    <n v="0"/>
    <n v="16730"/>
    <x v="1"/>
    <s v="NA"/>
    <n v="0"/>
    <s v="DURGA"/>
    <x v="0"/>
    <x v="0"/>
    <s v="1/7  C K Dinne Mandalam Papa Saheb Peta Cuddapah CUDDAPAH ANP 516003 "/>
    <s v="MILK PRODUCTION 1/7 PAPASAHEBPETA VILLAGE C.K DINNE MANDAL KADAPA  C.K DINNE MANDAL KADAPA CUDDAPAH ANP 516003"/>
    <s v="CUDDAPAH"/>
    <x v="2"/>
    <x v="5"/>
    <s v="PAVAN"/>
    <n v="802823180"/>
    <s v="Sgr@9290"/>
    <m/>
    <m/>
    <x v="0"/>
    <s v="SKIP"/>
    <s v="Cm home address visited live,but cm was in Banglore,cm mob still not lifting,now waiting for cm respond.. // Cm house live customer living in Hyderabad customer call not answering waiting for response"/>
    <x v="4"/>
    <s v=""/>
    <n v="0"/>
    <s v="ICICI Rubyx Master PLT Chip Card"/>
    <s v="21ST MAY"/>
    <d v="2026-05-20T00:00:00"/>
  </r>
  <r>
    <s v="6528681074101004"/>
    <s v="MRS CHINNAMULA RAJITHA"/>
    <n v="0"/>
    <x v="0"/>
    <m/>
    <m/>
    <s v="N"/>
    <x v="1"/>
    <s v="9177409707"/>
    <s v="X"/>
    <n v="19987.520000000019"/>
    <n v="380000"/>
    <n v="399987.52"/>
    <n v="276512.86"/>
    <n v="123474.66"/>
    <n v="108698.56"/>
    <n v="86930"/>
    <n v="38880"/>
    <x v="1"/>
    <x v="1"/>
    <n v="0"/>
    <n v="38880"/>
    <x v="1"/>
    <s v="NA"/>
    <n v="0"/>
    <s v="DURGA"/>
    <x v="0"/>
    <x v="0"/>
    <s v="&quot;4-4-,188 SUBHASH NAGAR,PEDDAPALLE,PEDDAPALLI&quot;    KARIMNAGAR TNG 505172"/>
    <s v="CHINNAMULA RANJITHA HNo 4 - 4 - 188 Subhash Nagar Subhash Nagar PEDDA PALLI TNG 505172"/>
    <s v="PEDDAPALLI"/>
    <x v="1"/>
    <x v="6"/>
    <s v="K RAMU"/>
    <n v="802898520"/>
    <s v="Ssd@9290"/>
    <m/>
    <m/>
    <x v="0"/>
    <s v="MESS"/>
    <s v="Customer shop address visited. Present cm not avillable. Call not answering left message to workers and call back // Court order"/>
    <x v="3"/>
    <d v="2026-01-22T00:00:00"/>
    <n v="6985"/>
    <s v="ICICI Bank Coral RuPay Credit Card"/>
    <s v="22ND MAY"/>
    <d v="2026-05-20T00:00:00"/>
  </r>
  <r>
    <s v="6528680971157002"/>
    <s v="MR PANDI ADI SHANKER"/>
    <n v="0"/>
    <x v="0"/>
    <m/>
    <m/>
    <s v="N"/>
    <x v="1"/>
    <s v="8885165105"/>
    <s v="X"/>
    <n v="-108274.59999999998"/>
    <n v="490000"/>
    <n v="381725.4"/>
    <n v="19943.52"/>
    <n v="61278.32"/>
    <n v="48548.05"/>
    <n v="60870"/>
    <n v="35070"/>
    <x v="0"/>
    <x v="0"/>
    <n v="61278.32"/>
    <n v="-26208.32"/>
    <x v="4"/>
    <s v="FE"/>
    <s v="30501-BBPS Payment received"/>
    <s v="DURGA"/>
    <x v="0"/>
    <x v="0"/>
    <s v="&quot;HOUSE NO 9-2-112 MADHURA BASTHI,&quot;  &quot;KOTHAGUDEM MAIN ROAD, KOTHAGUDEM&quot; &quot;KHAMMAM, OPP CHILDRENS PARK&quot; BESIDE JAGADAMBHA SUPER MARKET KHAMMAM TNG 507101 "/>
    <s v="LARSENTOUBRO INFOTECH LIMITED &quot;SY NO 83/1, BUILDING NO 20,14TH AND 15TH&quot; &quot;FLOOR,RAIDURGAM VILLAGE, SERLINGAMPALLY&quot;  &quot;FLOOR,RAIDURGAM VILLAGE, SERLINGAMPALLY&quot; HYDERABAD TNG 500081"/>
    <s v="KHAMMAM"/>
    <x v="1"/>
    <x v="7"/>
    <s v="POORNIMA"/>
    <n v="802824019"/>
    <s v="Nihan@2421"/>
    <m/>
    <m/>
    <x v="0"/>
    <s v="MESS"/>
    <s v="Customer not staying here doing job in Hyderabad customer not lifting the call informed to mother he will pass the information revisit again sir. // Revisited customer given address Customer mother informed to customer given PTP 30th Customer will credit salary on that day sir."/>
    <x v="5"/>
    <d v="2026-03-16T00:00:00"/>
    <n v="10038.27"/>
    <s v="ICICI Rubyx Master PLT Chip Card"/>
    <s v="21ST MAY"/>
    <d v="2026-05-20T00:00:00"/>
  </r>
  <r>
    <s v="6528681841755009"/>
    <s v="MR MADISHETTY PRAVEEN KUMAR"/>
    <n v="0"/>
    <x v="0"/>
    <m/>
    <m/>
    <s v="N"/>
    <x v="1"/>
    <s v="9030107333"/>
    <s v="X"/>
    <n v="-97475.94"/>
    <n v="450000"/>
    <n v="352524.06"/>
    <n v="67864.38"/>
    <n v="284659.68"/>
    <n v="268204.67"/>
    <n v="57970"/>
    <n v="20260"/>
    <x v="0"/>
    <x v="2"/>
    <n v="20270"/>
    <n v="-10"/>
    <x v="2"/>
    <s v="FE"/>
    <s v="30501-BBPS Payment received"/>
    <s v="DURGA"/>
    <x v="0"/>
    <x v="0"/>
    <s v="6-6-1046 SHIVAJI NAGAR Karimnagar NR SUBASHCHANDRA BOSE STATUE KARIM NAGAR TNG 505001"/>
    <s v="MEGHANA LADIES EMPORIUM NO 4-1-283 ANNAPURNA COMPLEC NR SAGAR   Karimnagar TNG 505101"/>
    <s v="KARIMNAGAR"/>
    <x v="1"/>
    <x v="8"/>
    <s v="SUMANTH"/>
    <n v="802370852"/>
    <s v="Sgr@9290"/>
    <m/>
    <m/>
    <x v="0"/>
    <s v="SKIP"/>
    <s v="Customer address visited customer shiftd in address going to second address sir // Visited customer second adress this adeess also shifted sir"/>
    <x v="6"/>
    <s v=""/>
    <n v="0"/>
    <s v="ICICI Bank Coral RuPay Credit Card"/>
    <s v="22ND MAY"/>
    <d v="2026-05-20T00:00:00"/>
  </r>
  <r>
    <s v="6528682033785002"/>
    <s v="MR Bobba Venkateswara Rao"/>
    <n v="0"/>
    <x v="0"/>
    <m/>
    <s v="CC"/>
    <s v="N"/>
    <x v="1"/>
    <s v="9985615707"/>
    <s v="X"/>
    <n v="-113721.46000000002"/>
    <n v="460000"/>
    <n v="346278.54"/>
    <n v="19515.439999999999"/>
    <n v="97324.58"/>
    <n v="89831.16"/>
    <n v="51790"/>
    <n v="23460"/>
    <x v="0"/>
    <x v="2"/>
    <n v="23500"/>
    <n v="-40"/>
    <x v="5"/>
    <s v="TC"/>
    <s v="30501-BBPS Payment received"/>
    <s v="DURGA"/>
    <x v="0"/>
    <x v="0"/>
    <s v="9-19-4  perala andhra ratna nagar beside perala high school Prakasam ANP 523157 "/>
    <s v="VENKY EDTID VISIONS &quot;VIJAYA COMPLEX , SHOP NO 116&quot; &quot;KURNOOL ROAD, ONGOLE&quot;  &quot;KURNOOL ROAD, ONGOLE&quot; ONGOLE ANP 523001"/>
    <s v="ONGOLE"/>
    <x v="3"/>
    <x v="9"/>
    <s v="POORNIMA"/>
    <n v="802824019"/>
    <s v="Nihan@2421"/>
    <m/>
    <m/>
    <x v="0"/>
    <s v="SKIP"/>
    <s v="Ch not living in giving address mobile answering asking time to pay"/>
    <x v="6"/>
    <s v=""/>
    <n v="0"/>
    <s v="ICICI Sapphiro Master PLT Chip Card"/>
    <s v="21ST MAY"/>
    <d v="2026-05-20T00:00:00"/>
  </r>
  <r>
    <s v="6528682051021009"/>
    <s v="MR KRISHNAMOHAN TUMTUM"/>
    <n v="0"/>
    <x v="0"/>
    <n v="1"/>
    <m/>
    <s v="N"/>
    <x v="1"/>
    <s v="9985011155"/>
    <s v="X"/>
    <n v="18974.349999999977"/>
    <n v="291000"/>
    <n v="309974.34999999998"/>
    <s v=""/>
    <n v="309974.34999999998"/>
    <n v="295222.05"/>
    <n v="49090"/>
    <n v="12070"/>
    <x v="1"/>
    <x v="1"/>
    <n v="0"/>
    <n v="12070"/>
    <x v="1"/>
    <s v="NA"/>
    <n v="0"/>
    <s v="DURGA"/>
    <x v="0"/>
    <x v="0"/>
    <s v="5-1-2  SIRCILLA REDDY WADA REDDY WADA GodavariKhani TNG 505301 "/>
    <s v="NAKSHTRA MOBIL SERVICES SIRCIILA REDDY WADA  REDDY WADA GodavariKhani TNG 505301"/>
    <s v="KARIMNAGAR"/>
    <x v="1"/>
    <x v="10"/>
    <s v="PRASHANTH"/>
    <n v="802551967"/>
    <s v="Ssde@9290"/>
    <m/>
    <m/>
    <x v="0"/>
    <s v="SKIP"/>
    <s v="customer not available and phone respond he not able to pay right now because he loss money in business and he working in Hyderabad"/>
    <x v="7"/>
    <d v="2026-03-23T00:00:00"/>
    <n v="51998"/>
    <s v="ICICI Bank Coral RuPay Credit Card"/>
    <s v="21ST MAY"/>
    <d v="2026-05-20T00:00:00"/>
  </r>
  <r>
    <s v="6528680219177002"/>
    <s v="MS MALATHI ADLURI"/>
    <n v="0"/>
    <x v="0"/>
    <m/>
    <m/>
    <s v="N"/>
    <x v="1"/>
    <s v="9494500500"/>
    <s v="X"/>
    <n v="20903.200000000012"/>
    <n v="280000"/>
    <n v="300903.2"/>
    <n v="69394.070000000007"/>
    <n v="231509.13"/>
    <n v="200448.25"/>
    <n v="99200"/>
    <n v="69100"/>
    <x v="0"/>
    <x v="0"/>
    <n v="231509.13"/>
    <n v="-162409.13"/>
    <x v="2"/>
    <s v="TC"/>
    <s v="30501-BBPS Payment received"/>
    <s v="DURGA"/>
    <x v="0"/>
    <x v="0"/>
    <s v="HNO 1- 100036 SRI VINAYAKA COLONY KAYATH AMPALLY GADDERAGADI MANCHERIAL ADILABAD NEAR MAIN ROAD ADILABAD TNG 504209"/>
    <s v="GOVT OF TELANGANA MPPS KANNEPALLY MANCHERIAL MANCHIRIAL SRIPUR MANCHIRIAL SRIPUR ADILABAD TNG 504273"/>
    <s v="ADILABAD"/>
    <x v="1"/>
    <x v="11"/>
    <s v="IMAMVALLI"/>
    <n v="802789320"/>
    <s v="Ssd@9290"/>
    <m/>
    <m/>
    <x v="0"/>
    <s v="MESS"/>
    <s v="Customer given address visit customer not available door locked, call not answer // Customer given address visit customer not available informed to husband, call not answer // Customer given address visit customer available trying to payment // Customer given address visit customer available trying to payment"/>
    <x v="2"/>
    <d v="2025-08-28T00:00:00"/>
    <n v="18280"/>
    <s v="ICICI Bank Coral RuPay Credit Card"/>
    <s v="22ND MAY"/>
    <d v="2026-05-20T00:00:00"/>
  </r>
  <r>
    <s v="4035620803388020"/>
    <s v="MR P SAI MAHESH"/>
    <n v="0"/>
    <x v="0"/>
    <n v="1"/>
    <m/>
    <s v="N"/>
    <x v="1"/>
    <s v="8328155934"/>
    <s v="X"/>
    <n v="22513.049999999988"/>
    <n v="270000"/>
    <n v="292513.05"/>
    <s v=""/>
    <n v="292513.05"/>
    <n v="274524.14"/>
    <n v="63180"/>
    <n v="23800"/>
    <x v="1"/>
    <x v="1"/>
    <n v="0"/>
    <n v="23800"/>
    <x v="1"/>
    <s v="NA"/>
    <n v="0"/>
    <s v="DURGA"/>
    <x v="0"/>
    <x v="0"/>
    <s v="&quot;1-44,CHAGANAM,SYDAPURAM,&quot; &quot;NELLORE,&quot; ANDHRA PRADESH &quot;NEAR, POST OFFICE&quot; GUDUR ANP 524407"/>
    <s v="COGNIZANT TECHNOLOGY SOLUTIONS INDIA PRI &quot;MANYATA EMBASSY TECH PARK, NAGAWARA&quot; &quot;BANGALORE, KARNATAKA&quot; &quot;BANGALORE, KARNATAKA&quot; BANGALORE KAR 560045"/>
    <s v="GUDUR"/>
    <x v="4"/>
    <x v="12"/>
    <s v="B SURESH"/>
    <n v="801570488"/>
    <s v="Ssd@9290"/>
    <m/>
    <m/>
    <x v="0"/>
    <s v="DL"/>
    <s v="cm door locked sir and cm call not answering sir"/>
    <x v="3"/>
    <d v="2026-02-25T00:00:00"/>
    <n v="85000"/>
    <s v="ICICI Bank Coral Credit Card"/>
    <s v="22ND MAY"/>
    <d v="2026-05-20T00:00:00"/>
  </r>
  <r>
    <s v="6528680976473008"/>
    <s v="MR PANDIPATI NARASIMHULU"/>
    <n v="0"/>
    <x v="0"/>
    <m/>
    <m/>
    <s v="N"/>
    <x v="1"/>
    <s v="8919065532"/>
    <s v="X"/>
    <n v="15340.380000000005"/>
    <n v="250000"/>
    <n v="265340.38"/>
    <s v=""/>
    <n v="265340.38"/>
    <n v="244674.45"/>
    <n v="61550"/>
    <n v="34380"/>
    <x v="0"/>
    <x v="2"/>
    <n v="34400"/>
    <n v="-20"/>
    <x v="6"/>
    <s v="TC"/>
    <s v="30501-BBPS Payment received"/>
    <s v="DURGA"/>
    <x v="0"/>
    <x v="0"/>
    <s v="&quot;39/49-59,SRI KRISHNADEVARAYA,CHINNACHOWK&quot; &quot;, COLONY&quot;  CHINNACHOWK COLONY CUDDAPAH ANP 516002"/>
    <s v="ACCENTURE SOLUTIONS PRIVATE LIMITED &quot;DIVYAHSHREE ORION TOWER A,SY NO.661,&quot; &quot;SERILINGAM,NAGA HILLS ROAD,RAIDURG&quot; &quot;SERILINGAM,NAGA HILLS ROAD,RAIDURG&quot; HYDERABAD TNG 500032"/>
    <s v="CUDDAPAH"/>
    <x v="2"/>
    <x v="5"/>
    <s v="PAVAN"/>
    <n v="802823180"/>
    <s v="Sgr@9290"/>
    <m/>
    <m/>
    <x v="0"/>
    <s v="LIVE"/>
    <s v="Cm given home address visited but cm not available,cm mob responded will pay on 31 st..or Monday if possible sir.. // Cm given home address visited live,but cm went to outside,cm mother responded will inform then pay,cm not lifting my calls..sir.."/>
    <x v="3"/>
    <d v="2026-02-26T00:00:00"/>
    <n v="235513.24"/>
    <s v="ICICI Bank Coral RuPay Credit Card"/>
    <s v="22ND MAY"/>
    <d v="2026-05-20T00:00:00"/>
  </r>
  <r>
    <s v="6528680988655006"/>
    <s v="MR RAYINI ROHITH SUNNY"/>
    <n v="0"/>
    <x v="0"/>
    <m/>
    <m/>
    <s v="N"/>
    <x v="1"/>
    <s v="9676804949"/>
    <s v="X"/>
    <n v="-349671.92000000004"/>
    <n v="610000"/>
    <n v="260328.08"/>
    <s v=""/>
    <n v="260328.08"/>
    <n v="248505.09"/>
    <n v="28020"/>
    <n v="11630"/>
    <x v="0"/>
    <x v="0"/>
    <n v="50000"/>
    <n v="-38370"/>
    <x v="3"/>
    <s v="FE"/>
    <s v="30501-BBPS Payment received"/>
    <s v="DURGA"/>
    <x v="0"/>
    <x v="0"/>
    <s v="H NO 35-2-1080 SAIKESHAVA COLONY GOPALPUR BHIMARAM  NEAR KALLU MANDUVA BHIMARAM RURAL WARANGAL ANP 506015"/>
    <s v="MAHESHWARI INDISTRES SAIKESHAVA COLONY BHIMARAM RURAL GOPALPUR HANAM KONDA GOPALPUR HANAM KONDA WARANGAL ANP 506015"/>
    <s v="WARANGAL"/>
    <x v="1"/>
    <x v="2"/>
    <s v="CHAITANYA"/>
    <n v="802555024"/>
    <s v="Ssde@9290"/>
    <m/>
    <m/>
    <x v="0"/>
    <s v="LIVE"/>
    <s v="Visited Customer Residence Address Customer Live Commitment Tommorow Sir // Visited Customer Residence Address Customer Not Available Inform To His Father Customer Father Given Commitment Tommorow Sir // Visited Customer Residence Customer Live  Customer Given Commitment On 28th Sir // Visited Customer Residence Address Customer Not Available Inform To His Mother Customer Phone Call Answered Given PTP Today Evining Sir // Visited Customer Residence Customer Not Available Inform To His Mother Customer Call Answered Given Commitment Afternoon Sir"/>
    <x v="2"/>
    <d v="2026-03-26T00:00:00"/>
    <n v="100000"/>
    <s v="ICICI Bank HPCL Super Saver Visa Credit Card"/>
    <s v="22ND MAY"/>
    <d v="2026-05-20T00:00:00"/>
  </r>
  <r>
    <s v="4315811772992006"/>
    <s v="MR Indukuri D V"/>
    <n v="0"/>
    <x v="0"/>
    <m/>
    <m/>
    <s v="O"/>
    <x v="1"/>
    <s v="9666736174"/>
    <s v="X"/>
    <n v="148407.31"/>
    <n v="100000"/>
    <n v="248407.31"/>
    <n v="128016.12"/>
    <n v="120391.19"/>
    <n v="115488.63"/>
    <n v="58210"/>
    <n v="40670"/>
    <x v="0"/>
    <x v="2"/>
    <n v="40680"/>
    <n v="-10"/>
    <x v="1"/>
    <s v="LO"/>
    <s v="30501-BBPS Payment received"/>
    <s v="DURGA"/>
    <x v="0"/>
    <x v="0"/>
    <s v="2-121/1   West Godavari West Godavari ANP 534156"/>
    <s v="TATA CONSULTANCY SERVICES LIMITED TATA CONSULTANCY SERVICES &quot;BRIGADE BHUWALKA,ITPL ROAD WHITE FIELD&quot; &quot;BRIGADE BHUWALKA,ITPL ROAD WHITE FIELD&quot; BANGALORE KAR 560066"/>
    <s v="WEST GODAVARI"/>
    <x v="0"/>
    <x v="13"/>
    <s v="MANIKANTA"/>
    <n v="802852449"/>
    <s v="Ssd@9290"/>
    <m/>
    <m/>
    <x v="0"/>
    <s v="LIVE"/>
    <s v="Custmor PTP    30 may"/>
    <x v="5"/>
    <d v="2026-05-01T00:00:00"/>
    <n v="20000"/>
    <s v="Amazon Pay ICICI Bank Credit Card"/>
    <s v="22ND MAY"/>
    <d v="2026-05-20T00:00:00"/>
  </r>
  <r>
    <s v="4375514852142008"/>
    <s v="MR PAVAN KUMAR CHALLA"/>
    <n v="0"/>
    <x v="0"/>
    <m/>
    <m/>
    <s v="N"/>
    <x v="1"/>
    <s v="8639651305"/>
    <s v="X"/>
    <n v="15843.390000000014"/>
    <n v="230000"/>
    <n v="245843.39"/>
    <n v="7451.17"/>
    <n v="238392.22"/>
    <n v="226241.32"/>
    <n v="47730"/>
    <n v="11010"/>
    <x v="1"/>
    <x v="1"/>
    <n v="0"/>
    <n v="11010"/>
    <x v="1"/>
    <s v="NA"/>
    <n v="0"/>
    <s v="DURGA"/>
    <x v="0"/>
    <x v="0"/>
    <s v="&quot;CHILLAKUR,CHILLAKUR,CHILLAKUR&quot; - NELLORE - NELLORE ANP 524412"/>
    <s v="INFOSYS LTD NO 44 ELECTRONICS CITY HOSUR ROAD HOSUR ROAD BANGALORE KAR 560100"/>
    <s v="GUDUR"/>
    <x v="4"/>
    <x v="12"/>
    <s v="B SURESH"/>
    <n v="801570488"/>
    <s v="Ssd@9290"/>
    <m/>
    <m/>
    <x v="0"/>
    <s v="SKIP"/>
    <s v="cm shifted from here sir and cm call answered at present he was in Hyderabad job loss wants 2 months time to pay sir"/>
    <x v="3"/>
    <d v="2025-12-31T00:00:00"/>
    <n v="42270"/>
    <s v="ICICI Bank HPCL Coral VISA Credit Card"/>
    <s v="22ND MAY"/>
    <d v="2026-05-20T00:00:00"/>
  </r>
  <r>
    <s v="6528680752399005"/>
    <s v="MR KACHIREDDY SURESHREDDY"/>
    <n v="0"/>
    <x v="0"/>
    <m/>
    <m/>
    <s v="N"/>
    <x v="1"/>
    <s v="9676665157"/>
    <s v="X"/>
    <n v="4765.2000000000116"/>
    <n v="200000"/>
    <n v="204765.2"/>
    <s v=""/>
    <n v="204765.2"/>
    <n v="195404.4"/>
    <n v="26510"/>
    <n v="9140"/>
    <x v="1"/>
    <x v="1"/>
    <n v="0"/>
    <n v="9140"/>
    <x v="1"/>
    <s v="NA"/>
    <n v="0"/>
    <s v="DURGA"/>
    <x v="0"/>
    <x v="0"/>
    <s v="1-135 SHIVVARAM SHIVVARAM KURNOOL ANDRAPRADHESH  NEAR MAIN ROAD NANDYAL ANP 518122"/>
    <s v="CAPGEMINI TECHNOLOGY SERVICES INDIA LIMI 115-32-35 10B ROAD FINACIAL DISTRICT NANAKARAMGUDA HYDERABAD NANAKARAMGUDA HYDERABAD HYDERABAD TNG 500032"/>
    <s v="NANDYAL"/>
    <x v="2"/>
    <x v="14"/>
    <s v="HARI"/>
    <n v="802388289"/>
    <s v="Ssd@9290"/>
    <m/>
    <m/>
    <x v="0"/>
    <s v="SKIP"/>
    <s v="Customer house address visit customer house door lock neighbours told customer shifted to Hyderabad customer mobile not responding"/>
    <x v="8"/>
    <d v="2024-07-09T00:00:00"/>
    <n v="5223.83"/>
    <s v="ICICI Bank Coral RuPay Credit Card"/>
    <s v="22ND MAY"/>
    <d v="2026-05-20T00:00:00"/>
  </r>
  <r>
    <s v="6528681119369004"/>
    <s v="MR ANURAG DUBEY"/>
    <n v="0"/>
    <x v="0"/>
    <m/>
    <m/>
    <s v="N"/>
    <x v="1"/>
    <s v="7275925608"/>
    <s v="X"/>
    <n v="-192949.62"/>
    <n v="390000"/>
    <n v="197050.38"/>
    <s v=""/>
    <n v="197050.38"/>
    <n v="184915.11"/>
    <n v="29270"/>
    <n v="10970"/>
    <x v="0"/>
    <x v="2"/>
    <n v="11000"/>
    <n v="-30"/>
    <x v="3"/>
    <s v="TC"/>
    <s v="30501-BBPS Payment received"/>
    <s v="DURGA"/>
    <x v="0"/>
    <x v="0"/>
    <s v="2ND FLOOR FLAT NO 201 VENKATESH NILAYAM FAROOW NAGAR SHADNAGAR BACK SIDE OF SBI BANK G TRAFFIC P S Hyderabad TNG 500001"/>
    <s v="AUROBINDO PHARMA LTD UNIT V11 SEZ SY NO 411 TO 458 GREEN INDUSTRIAL PARK POLEPALLY JADOHARLA INDUSTRIAL PARK POLEPALLY JADOHARLA Mahbubnagar TNG 509301"/>
    <s v="JEDCHERLA"/>
    <x v="1"/>
    <x v="15"/>
    <s v="SAMBA"/>
    <n v="801772794"/>
    <s v="Ssde@9876"/>
    <m/>
    <m/>
    <x v="0"/>
    <s v="MESS"/>
    <s v="Visited cus adrs sir _x000a_Cus went company _x000a_Phone not allowed sir _x000a_Cus not respond the call  _x000a_Inform to his family sir // No one available on that name in given address sir"/>
    <x v="4"/>
    <d v="2024-07-11T00:00:00"/>
    <n v="10000"/>
    <s v="ICICI Bank Coral RuPay Credit Card"/>
    <s v="22ND MAY"/>
    <d v="2026-05-20T00:00:00"/>
  </r>
  <r>
    <s v="6528682273643002"/>
    <s v="MR Jagadeeshwar Darna"/>
    <n v="0"/>
    <x v="0"/>
    <m/>
    <m/>
    <s v="N"/>
    <x v="1"/>
    <s v="9642658862"/>
    <s v="X"/>
    <n v="-3475.2900000000081"/>
    <n v="190000"/>
    <n v="186524.71"/>
    <n v="125492.32"/>
    <n v="61032.39"/>
    <n v="52601.96"/>
    <n v="30180"/>
    <n v="17590"/>
    <x v="1"/>
    <x v="1"/>
    <n v="0"/>
    <n v="17590"/>
    <x v="1"/>
    <s v="NA"/>
    <n v="0"/>
    <s v="DURGA"/>
    <x v="0"/>
    <x v="0"/>
    <s v="3.634 near.jyothi.rice.mill ..near.jyothi.rice.mill vellampally road WARANGAL TNG 506164"/>
    <s v="JAGAN H.NO3.634 NEAR.JYOTI.RICE.MILL.PARKAL. NEAR.JYOTI.RICE.MILL.PARKAL. WARANGAL TNG 506164"/>
    <s v="WARANGAL"/>
    <x v="1"/>
    <x v="2"/>
    <s v="CHAITANYA"/>
    <n v="802555024"/>
    <s v="Ssde@9290"/>
    <m/>
    <m/>
    <x v="0"/>
    <s v="SKIP"/>
    <s v="Visited Customer Given Adress Customer Not Available Naibours Saying Customer Staying in Hyderabad Sir"/>
    <x v="0"/>
    <d v="2026-03-31T00:00:00"/>
    <n v="2970"/>
    <s v="ICICI Bank Coral RuPay Credit Card"/>
    <s v="22ND MAY"/>
    <d v="2026-05-20T00:00:00"/>
  </r>
  <r>
    <s v="6528680604530005"/>
    <s v="MS GRANDHI VENKATANAGR SURYAKUMAR"/>
    <n v="0"/>
    <x v="0"/>
    <m/>
    <m/>
    <s v="O"/>
    <x v="1"/>
    <s v="8686879988"/>
    <s v="X"/>
    <n v="-95650.640000000014"/>
    <n v="260000"/>
    <n v="164349.35999999999"/>
    <n v="83945.52"/>
    <n v="80403.839999999997"/>
    <n v="76191.37"/>
    <n v="29960"/>
    <n v="16960"/>
    <x v="0"/>
    <x v="2"/>
    <n v="17000"/>
    <n v="-40"/>
    <x v="2"/>
    <s v="FE"/>
    <s v="30501-BBPS Payment received"/>
    <s v="DURGA"/>
    <x v="0"/>
    <x v="0"/>
    <s v="KINGS OPERA APARTMENT HNO 19-1-322/1-203 BANK COLONY PEDDAPURAM  NEAR CHACHA SCHOOL PEDDAPURAM ANP 533437"/>
    <s v="SRI LAKSHMI ENTERPRISES HNO 19-1-390/3 SUDHA COLONY   PEDDAPURAM ANP 533437"/>
    <s v="PEDDAPURAM"/>
    <x v="0"/>
    <x v="16"/>
    <s v="UDAY"/>
    <n v="801436997"/>
    <s v="Ssd@9290"/>
    <m/>
    <m/>
    <x v="0"/>
    <s v="SKIP"/>
    <s v="Customer given address shift to other place customer have owne flat sir call not answering sir // Customer office address visit ch available address ptp on today evening sir"/>
    <x v="3"/>
    <d v="2024-07-15T00:00:00"/>
    <n v="60000"/>
    <s v="ICICI Bank Coral RuPay Credit Card"/>
    <s v="22ND MAY"/>
    <d v="2026-05-20T00:00:00"/>
  </r>
  <r>
    <s v="6528682033572004"/>
    <s v="MR Durgam Shyam Sunder"/>
    <n v="0"/>
    <x v="0"/>
    <m/>
    <m/>
    <s v="N"/>
    <x v="1"/>
    <s v="7416186352"/>
    <s v="X"/>
    <n v="-63002.209999999992"/>
    <n v="220000"/>
    <n v="156997.79"/>
    <n v="114973.82"/>
    <n v="42023.97"/>
    <n v="38573.050000000003"/>
    <n v="34930"/>
    <n v="17330"/>
    <x v="0"/>
    <x v="2"/>
    <n v="20000"/>
    <n v="-2670"/>
    <x v="3"/>
    <s v="FE"/>
    <s v="30501-BBPS Payment received"/>
    <s v="DURGA"/>
    <x v="0"/>
    <x v="0"/>
    <s v="1.252.9.1 REBBENA EDAVELLY Komaram Bheem ADILABAD TNG 504292"/>
    <s v="PREM.KIRANA.AND.GENERAL.STORE EDAVELLY KAIRGAM. KAIRGAM. ADILABAD TNG 504292"/>
    <s v="ADILABAD"/>
    <x v="1"/>
    <x v="11"/>
    <s v="T RAMESH "/>
    <n v="801217009"/>
    <s v="Ssd@9290"/>
    <m/>
    <m/>
    <x v="0"/>
    <s v="MESS"/>
    <s v="Customer given address visit customer not available informed to relatives // ustomer given address visit customer not available , trying by call"/>
    <x v="4"/>
    <s v=""/>
    <n v="0"/>
    <s v="ICICI Bank Coral RuPay Credit Card"/>
    <s v="22ND MAY"/>
    <d v="2026-05-20T00:00:00"/>
  </r>
  <r>
    <s v="4315813937704011"/>
    <s v="MR Dasari Uday Prakash"/>
    <n v="0"/>
    <x v="0"/>
    <n v="1"/>
    <m/>
    <s v="N"/>
    <x v="1"/>
    <s v="8106947949"/>
    <s v="X"/>
    <n v="10425.309999999998"/>
    <n v="140000"/>
    <n v="150425.31"/>
    <s v=""/>
    <n v="150425.31"/>
    <n v="142834.37"/>
    <n v="34050"/>
    <n v="7000"/>
    <x v="1"/>
    <x v="1"/>
    <n v="0"/>
    <n v="7000"/>
    <x v="1"/>
    <s v="NA"/>
    <n v="0"/>
    <s v="DURGA"/>
    <x v="0"/>
    <x v="0"/>
    <s v="6.90 Thimmapur.Mandal ..Thimmapur.Mandal Karimnagar KARIMNAGAR TNG 505527"/>
    <s v="USHODAYA.ENTERPRISES.PRIVATE.LIMITED EENADU.OFFICE.HYD.ROAD ALUGUNUR.. ALUGUNUR.. KARIMNAGAR TNG 505527"/>
    <s v="KARIMNAGAR"/>
    <x v="1"/>
    <x v="8"/>
    <s v="V Sridhar"/>
    <n v="801174030"/>
    <s v="Sgr@0987"/>
    <m/>
    <m/>
    <x v="0"/>
    <s v="SKIP"/>
    <s v="Customer address visited customer shiftd to Hyderabad Confirmed by is friend call not answring and call back evening sir"/>
    <x v="9"/>
    <d v="2024-06-09T00:00:00"/>
    <n v="588.08000000000004"/>
    <s v="Amazon Pay ICICI Bank Credit Card"/>
    <s v="22ND MAY"/>
    <d v="2026-05-20T00:00:00"/>
  </r>
  <r>
    <s v="376944773817007"/>
    <s v="MR BATHINA MALAKONDAIAH"/>
    <n v="0"/>
    <x v="0"/>
    <n v="1"/>
    <s v="CC"/>
    <s v="N"/>
    <x v="1"/>
    <s v="7842381113"/>
    <s v="X"/>
    <n v="14908.309999999998"/>
    <n v="130000"/>
    <n v="144908.31"/>
    <s v=""/>
    <n v="144908.31"/>
    <n v="83213.45"/>
    <n v="118410"/>
    <n v="97090"/>
    <x v="1"/>
    <x v="1"/>
    <n v="0"/>
    <n v="97090"/>
    <x v="1"/>
    <s v="NA"/>
    <s v="12111-ICICI BANK COLLECTION PAYMENT"/>
    <s v="DURGA"/>
    <x v="0"/>
    <x v="0"/>
    <s v="7-6-197 VASANTHARAYAPURAM 1ST LINE GUNTUR OPP TO BURIAL GROUNDS   GUNTUR ANP 522002"/>
    <s v="Byjus &quot;7-6-196,&quot; &quot;Vasantharayapurum, 1st lane&quot; &quot;Vasantharayapurum, 1st lane&quot; GUNTUR ANP 522001"/>
    <s v="GUNTUR"/>
    <x v="3"/>
    <x v="17"/>
    <s v="DURGA"/>
    <n v="801723195"/>
    <s v="Sgr@9290"/>
    <m/>
    <m/>
    <x v="0"/>
    <s v="SKIP"/>
    <s v="Customer given House address visited but customer not living at given address shifted from given address calls not responding inform to relative's // Customer given House address visited but customer not living at given address calls not answering need alternative address"/>
    <x v="8"/>
    <d v="2026-03-04T00:00:00"/>
    <n v="33250"/>
    <s v="ICICI Bank Coral American Express Credit Card"/>
    <s v="22ND MAY"/>
    <d v="2026-05-20T00:00:00"/>
  </r>
  <r>
    <s v="6528682447241006"/>
    <s v="MR JV KODAMATI"/>
    <n v="0"/>
    <x v="0"/>
    <m/>
    <m/>
    <s v="N"/>
    <x v="1"/>
    <s v="9949842225"/>
    <s v="X"/>
    <n v="-8199.7699999999895"/>
    <n v="140000"/>
    <n v="131800.23000000001"/>
    <n v="57231.49"/>
    <n v="74568.740000000005"/>
    <n v="67115.5"/>
    <n v="27500"/>
    <n v="14310"/>
    <x v="1"/>
    <x v="1"/>
    <n v="0"/>
    <n v="14310"/>
    <x v="1"/>
    <s v="NA"/>
    <n v="0"/>
    <s v="DURGA"/>
    <x v="0"/>
    <x v="0"/>
    <s v="23-5-19 avasarala vari street near vinayaka temple  East Godavari KKN ANP 533001"/>
    <s v="W6WQ-2MX TILAK ST SURYANARAYANAPURAM KAKINADA EASTGODAVARI   KKN ANP 533001"/>
    <s v="KAKINADA"/>
    <x v="0"/>
    <x v="16"/>
    <s v="UDAY"/>
    <n v="801436997"/>
    <s v="Ssd@9290"/>
    <m/>
    <m/>
    <x v="0"/>
    <s v="MESS"/>
    <s v="Customer address visit ch not msg left to family call not answering sir // Customer address visit ch not msg left to family call  response ptp on 2hours // Customer address visit ch not msg left to family call  response ptp on 12pm // Waiting for customer home"/>
    <x v="4"/>
    <s v=""/>
    <n v="0"/>
    <s v="ICICI Bank Coral RuPay Credit Card"/>
    <s v="22ND MAY"/>
    <d v="2026-05-20T00:00:00"/>
  </r>
  <r>
    <s v="4748469615661002"/>
    <s v="MS KONDAVEETI LOVA DURGA"/>
    <n v="0"/>
    <x v="0"/>
    <m/>
    <m/>
    <s v="O"/>
    <x v="1"/>
    <s v="6281119619"/>
    <s v="X"/>
    <n v="-88890.63"/>
    <n v="220000"/>
    <n v="131109.37"/>
    <n v="76412.759999999995"/>
    <n v="54696.61"/>
    <n v="51053.61"/>
    <n v="27790"/>
    <n v="13970"/>
    <x v="0"/>
    <x v="0"/>
    <n v="28000"/>
    <n v="-14030"/>
    <x v="2"/>
    <s v="FE"/>
    <s v="30501-BBPS Payment received"/>
    <s v="DURGA"/>
    <x v="0"/>
    <x v="0"/>
    <s v="2-20 NEAR LIBRARY A.KOTHAPALLI THONDANGI MANDAL LIBRARY KAKINADA ANP 533408"/>
    <s v="GOVERNMENT OF ANDHRAPRADESH GRAMA SACHIVALAYAM THONDANGI-1 KAKINADA KAKINADA KAKINADA ANP 533408"/>
    <s v="KAKINADA"/>
    <x v="0"/>
    <x v="13"/>
    <s v="MANIKANTA"/>
    <n v="802852449"/>
    <s v="Ssd@9290"/>
    <m/>
    <m/>
    <x v="0"/>
    <m/>
    <m/>
    <x v="10"/>
    <d v="2025-11-02T00:00:00"/>
    <n v="10000"/>
    <s v="ICICI Bank HPCL Super Saver Visa Credit Card"/>
    <s v="22ND MAY"/>
    <d v="2026-05-20T00:00:00"/>
  </r>
  <r>
    <s v="6528682190024013"/>
    <s v="MR DUBBA ISSACRAJU"/>
    <n v="0"/>
    <x v="0"/>
    <m/>
    <m/>
    <s v="N"/>
    <x v="1"/>
    <s v="9849310046"/>
    <s v="X"/>
    <n v="-13690.369999999995"/>
    <n v="141000"/>
    <n v="127309.63"/>
    <s v=""/>
    <n v="127309.63"/>
    <n v="113751.84"/>
    <n v="28350"/>
    <n v="16400"/>
    <x v="0"/>
    <x v="2"/>
    <n v="16500"/>
    <n v="-100"/>
    <x v="3"/>
    <s v="TC"/>
    <s v="30501-BBPS Payment received"/>
    <s v="DURGA"/>
    <x v="0"/>
    <x v="0"/>
    <s v="HNO 5-10-131  MANYAM CHALKAN NALGONDA NALGONDA NEAR DISTRICT JAIL NALGONDA TNG 508001"/>
    <s v="GENERAL STATE GOVERNEMENT GOVT OF TELANGANA SC CORPORATION SAMKSHEMA BHAVAN COLLECTORATE COMPLEXE SAMKSHEMA BHAVAN COLLECTORATE COMPLEXE NALGONDA TNG 508001"/>
    <s v="NALGONDA"/>
    <x v="1"/>
    <x v="18"/>
    <s v="INAMUL"/>
    <n v="802823175"/>
    <s v="Sgr@9290"/>
    <m/>
    <m/>
    <x v="0"/>
    <s v="LIVE"/>
    <s v="customer not available at given address cus  not responding my phone cals  sir"/>
    <x v="9"/>
    <d v="2025-05-13T00:00:00"/>
    <n v="81000"/>
    <s v="ICICI Bank HPCL Super Saver Visa Credit Card"/>
    <s v="22ND MAY"/>
    <d v="2026-05-20T00:00:00"/>
  </r>
  <r>
    <s v="5241933447783010"/>
    <s v="MR. SRIHARI SANKALAMADDI"/>
    <n v="0"/>
    <x v="0"/>
    <m/>
    <m/>
    <s v="N"/>
    <x v="1"/>
    <s v="9985883962"/>
    <s v="X"/>
    <n v="1972.0800000000017"/>
    <n v="125000"/>
    <n v="126972.08"/>
    <s v=""/>
    <n v="126972.08"/>
    <n v="118037.65"/>
    <n v="21810"/>
    <n v="7675.5"/>
    <x v="0"/>
    <x v="2"/>
    <n v="7700"/>
    <n v="-24.5"/>
    <x v="2"/>
    <s v="FE"/>
    <s v="30501-BBPS Payment received"/>
    <s v="DURGA"/>
    <x v="0"/>
    <x v="0"/>
    <s v="&quot;NALGONDA ,12-236,KAMALANAGAR&quot; NEREDCHERLA SURYAPET NEAR KAMALANAGAR SURYAPET TNG 508218"/>
    <s v="ATOS GLOBAL IT SOLUTIONS AND SERVICE PVT AIROLI KNOWLEDGE PARK AIROLI NAVI MUMBAI BUILDING NO 3 7TH FLOOR GIGAPLEX SPECIAL BUILDING NO 3 7TH FLOOR GIGAPLEX SPECIAL MUMBAI MAH 400708"/>
    <s v="SURYAPET"/>
    <x v="1"/>
    <x v="18"/>
    <s v="INAMUL"/>
    <n v="802823175"/>
    <s v="Sgr@9290"/>
    <m/>
    <m/>
    <x v="0"/>
    <m/>
    <m/>
    <x v="10"/>
    <d v="2025-10-06T00:00:00"/>
    <n v="41920"/>
    <s v="ICICI Bank HPCL Super Saver Master Credit Card"/>
    <s v="22ND MAY"/>
    <d v="2026-05-20T00:00:00"/>
  </r>
  <r>
    <s v="6528682414496005"/>
    <s v="MR DADHEPOGU SHANTHANNA"/>
    <n v="0"/>
    <x v="0"/>
    <n v="1"/>
    <m/>
    <s v="N"/>
    <x v="1"/>
    <s v="9705951772"/>
    <s v="X"/>
    <n v="4380.3399999999965"/>
    <n v="120000"/>
    <n v="124380.34"/>
    <n v="77716.820000000007"/>
    <n v="46663.519999999997"/>
    <n v="42633.55"/>
    <n v="19250"/>
    <n v="8000"/>
    <x v="1"/>
    <x v="1"/>
    <n v="0"/>
    <n v="8000"/>
    <x v="1"/>
    <s v="NA"/>
    <n v="0"/>
    <s v="DURGA"/>
    <x v="0"/>
    <x v="0"/>
    <s v="H NO 44JRN159 &quot;JANARDHAN RAO NAGAR,KURNOOL,,KARALMARKS NAGAR&quot;  Kurnool KNO ANP 518004"/>
    <s v="5 FLOOR SHOP 126 KARNUL BRILA GATE GOOTY ROAD   KNO ANP 518002"/>
    <s v="KURNOOL"/>
    <x v="2"/>
    <x v="19"/>
    <s v="SAMBA"/>
    <n v="801772794"/>
    <s v="Ssde@9876"/>
    <m/>
    <m/>
    <x v="0"/>
    <s v="LIVE"/>
    <s v="Visit near customer.he not available contact by phone he told that he had send lawyer notes . &amp; Refund to pay amount"/>
    <x v="5"/>
    <d v="2026-01-16T00:00:00"/>
    <n v="13300.3"/>
    <s v="ICICI Bank Coral RuPay Credit Card"/>
    <s v="22ND MAY"/>
    <d v="2026-05-20T00:00:00"/>
  </r>
  <r>
    <s v="6528682602404001"/>
    <s v="MR Gadde Kumar"/>
    <n v="0"/>
    <x v="0"/>
    <m/>
    <m/>
    <s v="N"/>
    <x v="1"/>
    <s v="8184813732"/>
    <s v="X"/>
    <n v="3183.3500000000058"/>
    <n v="120000"/>
    <n v="123183.35"/>
    <n v="28560.25"/>
    <n v="94623.1"/>
    <n v="85358.86"/>
    <n v="31610"/>
    <n v="17080"/>
    <x v="0"/>
    <x v="0"/>
    <n v="31610"/>
    <n v="-14530"/>
    <x v="7"/>
    <s v="TC"/>
    <s v="30501-BBPS Payment received"/>
    <s v="DURGA"/>
    <x v="0"/>
    <x v="1"/>
    <s v="2-16medak mandalam nagapur  medak mandalamMedak HYD TNG 502113"/>
    <s v="s g digital land surveys 5 th wards Medak Telangana   HYD TNG 502113"/>
    <s v="MEDAK"/>
    <x v="1"/>
    <x v="10"/>
    <s v="PRASHANTH"/>
    <n v="802551967"/>
    <s v="Ssde@9290"/>
    <m/>
    <m/>
    <x v="0"/>
    <m/>
    <m/>
    <x v="10"/>
    <s v=""/>
    <n v="0"/>
    <s v="ICICI Bank Coral RuPay Credit Card"/>
    <s v="22ND MAY"/>
    <d v="2026-05-20T00:00:00"/>
  </r>
  <r>
    <s v="6528681825561001"/>
    <s v="MR KUMMARI AVINASH"/>
    <n v="0"/>
    <x v="0"/>
    <m/>
    <m/>
    <s v="N"/>
    <x v="1"/>
    <s v="9177997691"/>
    <s v="X"/>
    <n v="-280229.89"/>
    <n v="402500"/>
    <n v="122270.11"/>
    <s v=""/>
    <n v="122270.11"/>
    <n v="116216.59"/>
    <n v="19760"/>
    <n v="5680"/>
    <x v="0"/>
    <x v="2"/>
    <n v="5680"/>
    <n v="0"/>
    <x v="3"/>
    <s v="FE"/>
    <s v="30501-BBPS Payment received"/>
    <s v="DURGA"/>
    <x v="0"/>
    <x v="0"/>
    <s v="&quot;H.NO.11-29-282,MV COLONY ROAD NO.3,WARAN&quot; GAL  . WARANGAL TNG 506002"/>
    <s v="VALUELABS SOLUTIONS LLP 360 INDIA 360 GACHIBOWLI HYDERABAD HYDERABAD HYDERABAD TNG 500032"/>
    <s v="WARANGAL"/>
    <x v="1"/>
    <x v="2"/>
    <s v="CHAITANYA"/>
    <n v="802555024"/>
    <s v="Ssde@9290"/>
    <m/>
    <m/>
    <x v="0"/>
    <s v="MESS"/>
    <s v="Visited Customer Residence Address Customer Not Available Inform To His Mother Sir // Visited Customer Residence Address Customer Not Available Inform To His Mother Customer Call Not Answering // Visited Customer Residence Customer Not Available Inform To His Mother Revisit Evening Sir // Visited Customer Residence Door locked Sir"/>
    <x v="2"/>
    <d v="2026-03-17T00:00:00"/>
    <n v="70741.02"/>
    <s v="ICICI Bank HPCL Super Saver RuPay Credit Card"/>
    <s v="22ND MAY"/>
    <d v="2026-05-20T00:00:00"/>
  </r>
  <r>
    <s v="6528680554431006"/>
    <s v="MR PAMMI CHANDRASEKHAR BABU"/>
    <n v="0"/>
    <x v="0"/>
    <m/>
    <m/>
    <s v="N"/>
    <x v="1"/>
    <s v="9494153381"/>
    <s v="X"/>
    <n v="18632.169999999998"/>
    <n v="100000"/>
    <n v="118632.17"/>
    <n v="101757.62"/>
    <n v="16874.55"/>
    <n v="16183.85"/>
    <n v="16874.55"/>
    <n v="7594.07"/>
    <x v="1"/>
    <x v="1"/>
    <n v="0"/>
    <n v="7594.07"/>
    <x v="1"/>
    <s v="NA"/>
    <n v="0"/>
    <s v="DURGA"/>
    <x v="0"/>
    <x v="0"/>
    <s v="6-58 MEESALA CHINNAYYA PETA TOORANGI  NR GOVT ELIMENTRY SCHOOL KAKINADA ANP 533016"/>
    <s v="IFB APPLIANCES LIMITED C/O RELIANCE DIGITAL RAMASOMAYAJULU STREET SURYARAO PETA RAMASOMAYAJULU STREET SURYARAO PETA Nizamabad TNG 503001"/>
    <s v="KAKINADA"/>
    <x v="0"/>
    <x v="16"/>
    <s v="UDAY"/>
    <n v="801436997"/>
    <s v="Ssd@9290"/>
    <m/>
    <m/>
    <x v="0"/>
    <s v="LIVE"/>
    <s v="customer address visit ch available address ch business loss customer have many debites customer tekan court indtion order customer not ready to pay given RTP // Court orders // Customer meet office place ch not ready to pay customer taken court indtion order given RTP"/>
    <x v="2"/>
    <d v="2025-03-20T00:00:00"/>
    <n v="7756.19"/>
    <s v="ICICI Bank Coral RuPay Credit Card"/>
    <s v="22ND MAY"/>
    <d v="2026-05-20T00:00:00"/>
  </r>
  <r>
    <s v="6528680796381001"/>
    <s v="MR MOHD NAZEERUDDIN"/>
    <n v="0"/>
    <x v="0"/>
    <m/>
    <m/>
    <s v="N"/>
    <x v="1"/>
    <s v="9948786983"/>
    <s v="X"/>
    <n v="8395.7100000000064"/>
    <n v="100000"/>
    <n v="108395.71"/>
    <s v=""/>
    <n v="108395.71"/>
    <n v="102530.7"/>
    <n v="26180"/>
    <n v="5000"/>
    <x v="1"/>
    <x v="1"/>
    <n v="0"/>
    <n v="5000"/>
    <x v="1"/>
    <s v="NA"/>
    <n v="0"/>
    <s v="DURGA"/>
    <x v="0"/>
    <x v="1"/>
    <s v="9-16-92 AHMEDPURA &quot;GAJULAPET, NIZAMABAD&quot; WATER TANK NIZAMABAD TNG 503001"/>
    <s v="NS REDIUM MAIN ROAD GHANDHI CHOWK GHANDHI CHOWK NIZAMABAD TNG 503001"/>
    <s v="NIZAMABAD"/>
    <x v="1"/>
    <x v="20"/>
    <s v="D RAMU"/>
    <n v="802663344"/>
    <s v="Sgr@9290"/>
    <m/>
    <m/>
    <x v="0"/>
    <s v="SKIP"/>
    <s v=" customer not available fack adders"/>
    <x v="5"/>
    <d v="2024-07-17T00:00:00"/>
    <n v="39000"/>
    <s v="ICICI Bank MasterCard Coral Credit Card"/>
    <s v="22ND MAY"/>
    <d v="2026-05-20T00:00:00"/>
  </r>
  <r>
    <s v="6528682826514007"/>
    <s v="Mr Gudise Srinivas"/>
    <n v="0"/>
    <x v="0"/>
    <m/>
    <m/>
    <s v="N"/>
    <x v="1"/>
    <s v="9959002937"/>
    <s v="X"/>
    <n v="6737.3500000000058"/>
    <n v="100000"/>
    <n v="106737.35"/>
    <n v="43996.31"/>
    <n v="62741.04"/>
    <n v="58128.15"/>
    <n v="15980"/>
    <n v="5400"/>
    <x v="1"/>
    <x v="1"/>
    <n v="0"/>
    <n v="5400"/>
    <x v="1"/>
    <s v="NA"/>
    <n v="0"/>
    <s v="DURGA"/>
    <x v="0"/>
    <x v="1"/>
    <s v="&quot;HNO,6-16 GURRALAGONDI,CHINNAKODUR, GURRALAGONDI&quot;    Medak TNG 502276"/>
    <s v="Former Gurralagondi Siddipet Siddipet Medak TNG 502276"/>
    <s v="MEDAK"/>
    <x v="1"/>
    <x v="21"/>
    <s v="RAJKUMAR"/>
    <n v="802835406"/>
    <s v="Ssde@9290"/>
    <m/>
    <m/>
    <x v="0"/>
    <s v="DL"/>
    <s v="Customer house address visited sir door locked 🔐 his not available phone call not responding his living in Maharashtra"/>
    <x v="1"/>
    <s v=""/>
    <n v="0"/>
    <s v="ICICI Bank Coral RuPay Credit Card"/>
    <s v="22ND MAY"/>
    <d v="2026-05-20T00:00:00"/>
  </r>
  <r>
    <s v="6528681107937002"/>
    <s v="MR GUDA AJAY KUMAR"/>
    <n v="0"/>
    <x v="0"/>
    <m/>
    <m/>
    <s v="N"/>
    <x v="1"/>
    <s v="9063154457"/>
    <s v="X"/>
    <n v="-14336.039999999994"/>
    <n v="120000"/>
    <n v="105663.96"/>
    <s v=""/>
    <n v="105663.96"/>
    <n v="98151.16"/>
    <n v="17520"/>
    <n v="7080"/>
    <x v="0"/>
    <x v="0"/>
    <n v="98152"/>
    <n v="-91072"/>
    <x v="3"/>
    <s v="TC"/>
    <s v="12124 - UPI Payment Received"/>
    <s v="DURGA"/>
    <x v="0"/>
    <x v="0"/>
    <s v="HNO 18-217/2 MANCHERIAL LABOUR COLONY MANCHERIAL ADILABAD  NEAR BUS STOP ADILABAD TNG 504208"/>
    <s v="SINGARENI COLLIERIES COMPANY LIMITED SRP-3 MINE 1 MANCHERIAL MANCHERIAL ADILABAD TNG 504303"/>
    <s v="ADILABAD"/>
    <x v="1"/>
    <x v="11"/>
    <s v="IMAMVALLI"/>
    <n v="802789320"/>
    <s v="Ssd@9290"/>
    <m/>
    <m/>
    <x v="0"/>
    <s v="DL"/>
    <s v="Customer given address visit customer not available informed to mother // Customer given address visit customer not available informed to mother // Customer given address visit customer not available informed to mother, call not answer // Customer given address visit customer not available door locked, call not answer // Customer given address visit customer available agree to pay today EOD"/>
    <x v="2"/>
    <d v="2025-12-26T00:00:00"/>
    <n v="2"/>
    <s v="ICICI Bank Coral RuPay Credit Card"/>
    <s v="22ND MAY"/>
    <d v="2026-05-20T00:00:00"/>
  </r>
  <r>
    <s v="6528682031307007"/>
    <s v="MR Nagothi Balagangadhar Tilak"/>
    <n v="0"/>
    <x v="0"/>
    <m/>
    <m/>
    <s v="N"/>
    <x v="1"/>
    <s v="7013883770"/>
    <s v="X"/>
    <n v="5463.3800000000047"/>
    <n v="100000"/>
    <n v="105463.38"/>
    <n v="31800.65"/>
    <n v="73662.73"/>
    <n v="70049.789999999994"/>
    <n v="67940"/>
    <n v="30740"/>
    <x v="0"/>
    <x v="2"/>
    <n v="30790"/>
    <n v="-50"/>
    <x v="1"/>
    <s v="NA"/>
    <s v="30501-BBPS Payment received"/>
    <s v="DURGA"/>
    <x v="0"/>
    <x v="2"/>
    <s v="9.68.20 Kothapet Cotton.Factory.Street Fish Market VIJAYAWADA ANP 520001"/>
    <s v="MANASA.ENTERPRISES 9.68.20.COTTON.FACTORY.STREET.KOTHAPET.V 9.68.20.COTTON.FACTORY.STREET. 9.68.20.COTTON.FACTORY.STREET. VIJAYAWADA ANP 520001"/>
    <s v="VIJAYAWADA"/>
    <x v="0"/>
    <x v="22"/>
    <s v="SUDHAKAR"/>
    <n v="802913252"/>
    <s v="Ssd@9290"/>
    <m/>
    <m/>
    <x v="0"/>
    <s v="LIVE"/>
    <s v="Customer shifted frm here // Met Customer Father in law Asking time to pay_x000a_Need to revisit on Monday // Customer Willing to pay by Today Eod // Cash pick up 4500 sir remaining amount 1 hr"/>
    <x v="2"/>
    <d v="2026-01-28T00:00:00"/>
    <n v="33000"/>
    <s v="ICICI Bank Coral RuPay Credit Card"/>
    <s v="22ND MAY"/>
    <d v="2026-05-20T00:00:00"/>
  </r>
  <r>
    <s v="6528683055826005"/>
    <s v="MR Shaik Feroz"/>
    <n v="0"/>
    <x v="0"/>
    <m/>
    <m/>
    <s v="N"/>
    <x v="1"/>
    <s v="9666670211"/>
    <s v="X"/>
    <n v="-20042.580000000002"/>
    <n v="120000"/>
    <n v="99957.42"/>
    <s v=""/>
    <n v="99957.42"/>
    <n v="95648.21"/>
    <n v="12620"/>
    <n v="5710"/>
    <x v="0"/>
    <x v="0"/>
    <n v="12620"/>
    <n v="-6910"/>
    <x v="7"/>
    <s v="FE"/>
    <s v="30501-BBPS Payment received"/>
    <s v="DURGA"/>
    <x v="0"/>
    <x v="0"/>
    <s v="202.121.35.karthikeya apartment.Pragathi.nagar. turakapalem.road NRI college GUNTUR ANP 522005"/>
    <s v="FEROZ.SERVICES 202.121.35.karthikeya apartment.Pragathi.nagar..turakapalem.ro apartment.Pragathi.nagar..turakapalem.ro GUNTUR ANP 522005"/>
    <s v="GUNTUR"/>
    <x v="3"/>
    <x v="17"/>
    <s v="DURGA"/>
    <n v="801723195"/>
    <s v="Sgr@9290"/>
    <m/>
    <m/>
    <x v="0"/>
    <s v="MESS"/>
    <s v="CUSTOMER GIVEN HOUSE ADDRESS VISITED BUT CUSTOMER NOT AVAILABLE LIVING AT US CUSTOMER FATHER AVAILABLE DISCUSSING ABOUT PAYMENT"/>
    <x v="5"/>
    <s v=""/>
    <n v="0"/>
    <s v="ICICI Bank Coral RuPay Credit Card"/>
    <s v="22ND MAY"/>
    <d v="2026-05-20T00:00:00"/>
  </r>
  <r>
    <s v="6528681265515004"/>
    <s v="MR ADAPA SUDHAKARA REDDY"/>
    <n v="0"/>
    <x v="0"/>
    <m/>
    <m/>
    <s v="N"/>
    <x v="1"/>
    <s v="9849419027"/>
    <s v="X"/>
    <n v="-413310.03"/>
    <n v="500000"/>
    <n v="86689.97"/>
    <s v=""/>
    <n v="86689.97"/>
    <n v="75578.45"/>
    <n v="17370"/>
    <n v="8770"/>
    <x v="0"/>
    <x v="0"/>
    <n v="17370"/>
    <n v="-8600"/>
    <x v="0"/>
    <s v="FE"/>
    <s v="30501-BBPS Payment received"/>
    <s v="DURGA"/>
    <x v="0"/>
    <x v="0"/>
    <s v="201 VENUGOPALNILAYAM 2 FLR 6TH LINE NGO COLONY  GUNTUR ANP 522004"/>
    <s v="VIJAYA KARTHIK TRADERS KODANDA RAMA COMPLEX PATNAM BAZAR GUNTUR PATNAM BAZAR GUNTUR GUNTUR ANP 522003"/>
    <s v="GUNTUR"/>
    <x v="3"/>
    <x v="17"/>
    <s v="DURGA"/>
    <n v="801723195"/>
    <s v="Sgr@9290"/>
    <m/>
    <m/>
    <x v="0"/>
    <s v="LIVE"/>
    <s v="Customer new address visited customer live at home respond to payment said that call back on Monday // Customer new working address visited customer present not available respond to phone call given ptp today afternoon"/>
    <x v="1"/>
    <d v="2026-03-16T00:00:00"/>
    <n v="5507.88"/>
    <s v="ICICI Bank Coral RuPay Credit Card"/>
    <s v="22ND MAY"/>
    <d v="2026-05-20T00:00:00"/>
  </r>
  <r>
    <s v="4748469515361000"/>
    <s v="MR GANDI ADITYA"/>
    <n v="0"/>
    <x v="0"/>
    <m/>
    <m/>
    <s v="O"/>
    <x v="1"/>
    <s v="8143653721"/>
    <s v="X"/>
    <n v="3136.1499999999942"/>
    <n v="80000"/>
    <n v="83136.149999999994"/>
    <s v=""/>
    <n v="83136.149999999994"/>
    <n v="79579.429999999993"/>
    <n v="21540"/>
    <n v="13094.8"/>
    <x v="0"/>
    <x v="2"/>
    <n v="13200"/>
    <n v="-105.20000000000073"/>
    <x v="4"/>
    <s v="FE"/>
    <s v="30501-BBPS Payment received"/>
    <s v="DURGA"/>
    <x v="0"/>
    <x v="0"/>
    <s v="2-19 NEAR MPP SCHOOL KOTIPALLI ROAD TOORANGI KAKINADA RURAL  EAST GODAVARI BESIDE MPP SCHOOL KAKINADA ANP 533016"/>
    <s v="BAJAJ FINANCE LIMITED 7-2-27 CHITOORI COMPLEX ABOVE BANK OF MAHARASTRA MAIN ROAD AMALAPURAM MAHARASTRA MAIN ROAD AMALAPURAM AMALAPURAM ANP 533201"/>
    <s v="KAKINADA"/>
    <x v="0"/>
    <x v="16"/>
    <s v="UDAY"/>
    <n v="801436997"/>
    <s v="Ssd@9290"/>
    <m/>
    <m/>
    <x v="0"/>
    <s v="DL"/>
    <s v="Customer address visit ch not available door lock call response ptp on 28th sir"/>
    <x v="9"/>
    <d v="2025-04-25T00:00:00"/>
    <n v="101"/>
    <s v="ICICI Bank Coral RuPay Credit Card"/>
    <s v="22ND MAY"/>
    <d v="2026-05-20T00:00:00"/>
  </r>
  <r>
    <s v="6528680167020006"/>
    <s v="MR YARRAMUDDAIAH BALAJI"/>
    <n v="0"/>
    <x v="0"/>
    <m/>
    <m/>
    <s v="N"/>
    <x v="1"/>
    <s v="7075519620"/>
    <s v="W"/>
    <n v="-21450.820000000007"/>
    <n v="100000"/>
    <n v="78549.179999999993"/>
    <s v=""/>
    <n v="78549.179999999993"/>
    <n v="72434.25"/>
    <n v="11160"/>
    <n v="4340"/>
    <x v="0"/>
    <x v="0"/>
    <n v="12000"/>
    <n v="-7660"/>
    <x v="5"/>
    <s v="FE"/>
    <s v="12124 - UPI Payment Received"/>
    <s v="DURGA"/>
    <x v="0"/>
    <x v="0"/>
    <s v="&quot;1/150,KANDUKURU B C COLONY,ANANTAPUR,,KA&quot; NDUKURU  NEAR BUS STOP ANANTAPUR ANP 515721"/>
    <s v="TATA CONSULTANCY SERVICES LIMITED &quot;NO-2-56/1/36,PHASE-2,GACHIBOWLI ROAD&quot; &quot;TCS SYNERGY PARK,SERILINGAMPALLY&quot; &quot;TCS SYNERGY PARK,SERILINGAMPALLY&quot; HYDERABAD TNG 500019"/>
    <s v="ANANTAPUR"/>
    <x v="2"/>
    <x v="3"/>
    <s v="T SRINIVAS"/>
    <n v="802030802"/>
    <s v="Sgr@0987"/>
    <m/>
    <m/>
    <x v="0"/>
    <s v="DL"/>
    <s v="Customer address live house door locked sir customer my calls not responding revisit tomorrow sir"/>
    <x v="5"/>
    <d v="2026-03-02T00:00:00"/>
    <n v="14500"/>
    <s v="ICICI Bank Expressions Credit Card"/>
    <s v="22ND MAY"/>
    <d v="2026-05-20T00:00:00"/>
  </r>
  <r>
    <s v="6528681067474004"/>
    <s v="Mr ANUMANTHA Karanam Rao"/>
    <n v="0"/>
    <x v="0"/>
    <m/>
    <m/>
    <s v="O"/>
    <x v="1"/>
    <s v="9985134418"/>
    <s v="X"/>
    <n v="-159786.5"/>
    <n v="230000"/>
    <n v="70213.5"/>
    <s v=""/>
    <n v="70213.5"/>
    <n v="64287.07"/>
    <n v="14880"/>
    <n v="7510"/>
    <x v="1"/>
    <x v="1"/>
    <n v="0"/>
    <n v="7510"/>
    <x v="1"/>
    <s v="NA"/>
    <n v="0"/>
    <s v="DURGA"/>
    <x v="0"/>
    <x v="0"/>
    <s v="&quot;81-15-8H5,PARAVATHI NAGAR,KURNOOL,&quot; OPP REGISTAR OFFICE KAROLI - KAROLI ANP 518002"/>
    <s v="BRINDAVAN INSTITUTE OF TECHNOLOGY AND SCIENCE Peddatekur   KURNOOL ANP 518218"/>
    <s v="KURNOOL"/>
    <x v="2"/>
    <x v="19"/>
    <s v="SAMBA"/>
    <n v="801772794"/>
    <s v="Ssde@9876"/>
    <m/>
    <m/>
    <x v="0"/>
    <s v="LIVE"/>
    <s v="Customer not available contact by phone he given ptp on 30th // Customer not . Contact by phone given ptp on monday sir . _x000a_Visit with magbool basha. // Customer mother death sir . He told that if he adjusted amount today evening he will clear . Other wise he will pay with in 2 days."/>
    <x v="4"/>
    <d v="2025-08-05T00:00:00"/>
    <n v="4960"/>
    <s v="ICICI Bank Coral RuPay Credit Card"/>
    <s v="22ND MAY"/>
    <d v="2026-05-20T00:00:00"/>
  </r>
  <r>
    <s v="6528681853329008"/>
    <s v="MR P VINOD KUMAR"/>
    <n v="0"/>
    <x v="0"/>
    <m/>
    <m/>
    <s v="N"/>
    <x v="1"/>
    <s v="8142428143"/>
    <s v="X"/>
    <n v="-12604.039999999994"/>
    <n v="80000"/>
    <n v="67395.960000000006"/>
    <s v=""/>
    <n v="67395.960000000006"/>
    <n v="60646.54"/>
    <n v="17180"/>
    <n v="10370"/>
    <x v="1"/>
    <x v="1"/>
    <n v="0"/>
    <n v="10370"/>
    <x v="1"/>
    <s v="NA"/>
    <n v="0"/>
    <s v="DURGA"/>
    <x v="0"/>
    <x v="1"/>
    <s v="H NO 9 79 UPPAL IEEJA MANDAL UPPAL  MAHBOOBNAGAR TNG 509135"/>
    <s v="IDEA CELLULAR PRIVATE LIMITED UPPAL IEEJA IEEJA MAHBOOBNAGAR TNG 509135"/>
    <s v="MAHBOOBNAGAR"/>
    <x v="1"/>
    <x v="23"/>
    <s v="SAMBA"/>
    <n v="801772794"/>
    <s v="Ssde@9876"/>
    <m/>
    <m/>
    <x v="1"/>
    <m/>
    <m/>
    <x v="10"/>
    <d v="2024-12-21T00:00:00"/>
    <n v="1020"/>
    <s v="ICICI Bank Coral RuPay Credit Card"/>
    <s v="22ND MAY"/>
    <d v="2026-05-20T00:00:00"/>
  </r>
  <r>
    <s v="6528680631720009"/>
    <s v="MR M YELLAIAH"/>
    <n v="0"/>
    <x v="0"/>
    <m/>
    <m/>
    <s v="N"/>
    <x v="1"/>
    <s v="9010866903"/>
    <s v="X"/>
    <n v="-56100.17"/>
    <n v="120000"/>
    <n v="63899.83"/>
    <s v=""/>
    <n v="63899.83"/>
    <n v="58490.85"/>
    <n v="13220"/>
    <n v="6420"/>
    <x v="0"/>
    <x v="0"/>
    <n v="53220"/>
    <n v="-46800"/>
    <x v="8"/>
    <s v="TC"/>
    <s v="30501-BBPS Payment received"/>
    <s v="DURGA"/>
    <x v="0"/>
    <x v="0"/>
    <s v="OLD 5-41 NEW NO 5-61 KASHIREDDYGUDA BURGUL FAROOQNAGAR NEAR BUS STOP WANAPARTHY TNG 509202"/>
    <s v="CABLE OPERATOR OLD 5-41 NEW NO 5-61 KASHIREDDYGUDA BURGUL FAROOQNAGAR BURGUL FAROOQNAGAR WANAPARTHY TNG 509202"/>
    <s v="WANAPARTHY"/>
    <x v="1"/>
    <x v="4"/>
    <s v="SAMBA"/>
    <n v="801772794"/>
    <s v="Ssde@9876"/>
    <m/>
    <m/>
    <x v="0"/>
    <m/>
    <m/>
    <x v="10"/>
    <d v="2026-03-17T00:00:00"/>
    <n v="10260"/>
    <s v="ICICI Bank Coral RuPay Credit Card"/>
    <s v="22ND MAY"/>
    <d v="2026-05-20T00:00:00"/>
  </r>
  <r>
    <s v="4315813522484003"/>
    <s v="MR PINAPOTHU BALA SRINIVAS"/>
    <n v="0"/>
    <x v="0"/>
    <m/>
    <m/>
    <s v="N"/>
    <x v="1"/>
    <s v="9912664243"/>
    <s v="X"/>
    <n v="1280.25"/>
    <n v="60000"/>
    <n v="61280.25"/>
    <s v=""/>
    <n v="61280.25"/>
    <n v="58874.27"/>
    <n v="16620"/>
    <n v="11020"/>
    <x v="0"/>
    <x v="0"/>
    <n v="61280.25"/>
    <n v="-50260.25"/>
    <x v="0"/>
    <s v="FE"/>
    <s v="30501-BBPS Payment received"/>
    <s v="DURGA"/>
    <x v="0"/>
    <x v="0"/>
    <s v="14 137 MAHALAKSHMI NAGAR JAGANADHAPURAM EAST GODAVARI KAKINADA   KAKINADA ANP 533016"/>
    <s v="CYIENT LIMITED It Sez gate Madhavapatnam Madhavapatnam KAKINADA ANP 533003"/>
    <s v="KAKINADA"/>
    <x v="0"/>
    <x v="16"/>
    <s v="UDAY"/>
    <n v="801436997"/>
    <s v="Ssd@9290"/>
    <m/>
    <m/>
    <x v="0"/>
    <s v="MESS"/>
    <s v="Customer address visit ch not msg left to family customer call response call back in Tommorow sir"/>
    <x v="9"/>
    <d v="2025-07-15T00:00:00"/>
    <n v="62684"/>
    <s v="Amazon Pay ICICI Bank Credit Card"/>
    <s v="22ND MAY"/>
    <d v="2026-05-20T00:00:00"/>
  </r>
  <r>
    <s v="6528680131410002"/>
    <s v="MR TALIGAMMA SAI NATH GOUND"/>
    <n v="0"/>
    <x v="0"/>
    <m/>
    <m/>
    <s v="N"/>
    <x v="1"/>
    <s v="9494172105"/>
    <s v="X"/>
    <n v="5383.2900000000009"/>
    <n v="50000"/>
    <n v="55383.29"/>
    <s v=""/>
    <n v="55383.29"/>
    <n v="51936.46"/>
    <n v="14110"/>
    <n v="4380"/>
    <x v="1"/>
    <x v="1"/>
    <n v="0"/>
    <n v="4380"/>
    <x v="1"/>
    <s v="NA"/>
    <n v="0"/>
    <s v="DURGA"/>
    <x v="0"/>
    <x v="1"/>
    <s v="HOUSE NO 3-13 MEENJIPETA AMBEDKAR STATUE  AMBEDKAR STATUE MEDAK TNG 502336"/>
    <s v="RELIANCE SMSL LIMITED H NO 7-20 SRINIVAS NAGAR OPP GRAMMA PANCHAITHI OFFICE CHEYAGUNTA OFFICE PANCHAITHI OFFICE CHEYAGUNTA OFFICE MEDAK TNG 502255"/>
    <s v="MEDAK"/>
    <x v="1"/>
    <x v="21"/>
    <s v="POORNIMA"/>
    <n v="802824019"/>
    <s v="Nihan@2421"/>
    <m/>
    <m/>
    <x v="1"/>
    <m/>
    <m/>
    <x v="10"/>
    <d v="2024-06-18T00:00:00"/>
    <n v="21282"/>
    <s v="ICICI Bank Coral RuPay Credit Card"/>
    <s v="22ND MAY"/>
    <d v="2026-05-20T00:00:00"/>
  </r>
  <r>
    <s v="4748464730268007"/>
    <s v="MR DARNAM RAJESH"/>
    <n v="0"/>
    <x v="0"/>
    <m/>
    <m/>
    <s v="N"/>
    <x v="2"/>
    <s v="9010427704"/>
    <s v="X"/>
    <n v="20612.329999999987"/>
    <n v="220000"/>
    <n v="240612.33"/>
    <s v=""/>
    <n v="240612.33"/>
    <n v="223694.85"/>
    <n v="63460"/>
    <n v="16669.560000000001"/>
    <x v="1"/>
    <x v="1"/>
    <n v="0"/>
    <n v="16669.560000000001"/>
    <x v="1"/>
    <s v="NA"/>
    <n v="0"/>
    <s v="SAMBA"/>
    <x v="1"/>
    <x v="0"/>
    <s v="2-74    MAHABUBABAD KHAMMAM TNG 507210 "/>
    <s v="RELIANCE SMSL LIMITED &quot;C/O RELIANCEDIGITAL,H NO 5-1-662,VYRA RD&quot; &quot;RR COMPLEX,KHANAPURAM HAVELI,KHAMMAM&quot; &quot;RR COMPLEX,KHANAPURAM HAVELI,KHAMMAM&quot; KHAMMAM TNG 507001 "/>
    <s v="KHAMMAM"/>
    <x v="1"/>
    <x v="24"/>
    <s v="POORNIMA"/>
    <n v="802824019"/>
    <s v="Nihan@2421"/>
    <m/>
    <m/>
    <x v="0"/>
    <s v="LIVE"/>
    <s v="I have Visited Customer given working address customer not available Customer came at 2pm Customer call not answering need to revisit // ReVisited Customer given working address customer not available Customer Call not answering // ReVisited Customer given working address customer not available Customer call answer Saying that because of Customer father health issue Customer not ready to pay Customer asking for settlement sir"/>
    <x v="2"/>
    <d v="2026-04-02T00:00:00"/>
    <n v="6000"/>
    <s v="Chennai Super Kings ICICI Bank Credit Card"/>
    <s v="26TH MAY"/>
    <d v="2026-05-21T00:00:00"/>
  </r>
  <r>
    <s v="4315812067436006"/>
    <s v="MR RURDRA GANGADHAR RAO"/>
    <n v="0"/>
    <x v="1"/>
    <n v="1"/>
    <s v="CC"/>
    <s v="N"/>
    <x v="3"/>
    <s v="7736284229"/>
    <s v="X"/>
    <n v="-392249.16000000003"/>
    <n v="1050000"/>
    <n v="657750.84"/>
    <s v=""/>
    <n v="657750.84"/>
    <n v="633145.93000000005"/>
    <n v="97220"/>
    <n v="61750"/>
    <x v="1"/>
    <x v="1"/>
    <n v="0"/>
    <n v="61750"/>
    <x v="1"/>
    <s v="NA"/>
    <n v="0"/>
    <s v="SAMBA"/>
    <x v="2"/>
    <x v="3"/>
    <s v="1-91/4 MOGALIKUDURU  MAMIDIKUDURU MANDAL   AMALAPURAM ANP 533249 "/>
    <s v="EPAM SYSTEMS INDIA PVT LTD Mogalikuduru junnuri Nagar junnuri Nagar AMALAPURAM ANP 533249 "/>
    <s v="AMALAPURAM"/>
    <x v="0"/>
    <x v="25"/>
    <s v="B NAGABABU"/>
    <n v="801448854"/>
    <s v="Sgr@9290"/>
    <m/>
    <m/>
    <x v="1"/>
    <m/>
    <m/>
    <x v="10"/>
    <d v="2026-03-30T00:00:00"/>
    <n v="46153.65"/>
    <s v="Amazon Pay ICICI Bank Credit Card"/>
    <s v="26TH MAY"/>
    <d v="2026-05-23T00:00:00"/>
  </r>
  <r>
    <s v="4315811704218009"/>
    <s v="MS UMARANI GANGIREDDY"/>
    <n v="0"/>
    <x v="0"/>
    <m/>
    <m/>
    <s v="N"/>
    <x v="3"/>
    <s v="9866989173"/>
    <s v="X"/>
    <n v="-50390.709999999963"/>
    <n v="680000"/>
    <n v="629609.29"/>
    <s v=""/>
    <n v="629609.29"/>
    <n v="582777.98"/>
    <n v="90360"/>
    <n v="34330"/>
    <x v="1"/>
    <x v="1"/>
    <n v="0"/>
    <n v="34330"/>
    <x v="1"/>
    <s v="NA"/>
    <n v="0"/>
    <s v="SAMBA"/>
    <x v="3"/>
    <x v="0"/>
    <s v="&quot;1-176/8-74,,, Flat No 101(First Floor)&quot;  &quot;Vikas Nagar,&quot; Paradise Residential Apartment Mancherial Manchiryal TNG 504208 "/>
    <s v="Goldstone technologies Pvt ltd &quot;Gold stone TECHNOLOGIES Limited, HYDERAB&quot; &quot;2nd floor,GNRS&quot; &quot;2nd floor,GNRS&quot; HYDERABAD TNG 500081 "/>
    <s v="ADILABAD"/>
    <x v="1"/>
    <x v="11"/>
    <s v="T RAMESH "/>
    <n v="801217009"/>
    <s v="Ssd@9290"/>
    <m/>
    <m/>
    <x v="0"/>
    <s v="SKIP"/>
    <s v="Customer given address visit address not found, trying by call // Customer given address visit address not found, trying by call // Customer given alternative address visit address customer not available, no information from neighbors call not connecting // Customer given alternative address visit address customer not available door locked, no information from neighbors call not connecting // Customer given alternative address visit address customer not available door locked, no information from neighbors call not connecting // Customer given alternative address visit address customer not available door locked, no information from neighbors call not connecting"/>
    <x v="11"/>
    <d v="2026-03-23T00:00:00"/>
    <n v="139850"/>
    <s v="Amazon Pay ICICI Bank Credit Card"/>
    <s v="26TH MAY"/>
    <d v="2026-05-23T00:00:00"/>
  </r>
  <r>
    <s v="4315811650771001"/>
    <s v="MR Pasala Suresh"/>
    <n v="0"/>
    <x v="0"/>
    <m/>
    <m/>
    <s v="N"/>
    <x v="3"/>
    <s v="9177111115"/>
    <s v="X"/>
    <n v="46783.180000000051"/>
    <n v="500000"/>
    <n v="546783.18000000005"/>
    <s v=""/>
    <n v="546783.18000000005"/>
    <n v="508109.91"/>
    <n v="121710"/>
    <n v="50900"/>
    <x v="1"/>
    <x v="1"/>
    <n v="0"/>
    <n v="50900"/>
    <x v="1"/>
    <s v="NA"/>
    <n v="0"/>
    <s v="SAMBA"/>
    <x v="1"/>
    <x v="0"/>
    <s v="&quot;7/84, C-42&quot;  Basavatarak Nagar &quot;Dwaraka Villas,kalyandurgam Road&quot; Near Jai Jawan School ANAPARTHI ANP 515004 "/>
    <s v="SVS INFRA &quot;DWARAKA VILLAS, PILLIGUNDLA, PAPAMPETA,&quot; C 42 C 42 ANAPARTHI ANP 515001 "/>
    <s v="ANAPARTHI"/>
    <x v="2"/>
    <x v="26"/>
    <s v="T SRINIVAS"/>
    <n v="802030802"/>
    <s v="Sgr@0987"/>
    <m/>
    <m/>
    <x v="0"/>
    <s v="DL"/>
    <s v="Customer house door locked _x000a_Customer calls not responding // Customer house shifted _x000a_Customer calls not responding // Customer house shifted _x000a_Customer calls not Responding"/>
    <x v="2"/>
    <d v="2024-11-24T00:00:00"/>
    <n v="48690"/>
    <s v="Amazon Pay ICICI Bank Credit Card"/>
    <s v="26TH MAY"/>
    <d v="2026-05-23T00:00:00"/>
  </r>
  <r>
    <s v="4315812108663006"/>
    <s v="MR SHAIK RIYAZUDDIN"/>
    <n v="0"/>
    <x v="0"/>
    <m/>
    <m/>
    <s v="N"/>
    <x v="3"/>
    <s v="9948733826"/>
    <s v="X"/>
    <n v="37673.140000000014"/>
    <n v="500000"/>
    <n v="537673.14"/>
    <n v="81897.210000000006"/>
    <n v="455775.93"/>
    <n v="428426.4"/>
    <n v="100810"/>
    <n v="37480"/>
    <x v="1"/>
    <x v="1"/>
    <n v="0"/>
    <n v="37480"/>
    <x v="1"/>
    <s v="NA"/>
    <n v="0"/>
    <s v="SAMBA"/>
    <x v="4"/>
    <x v="0"/>
    <s v="HOUSE NO 28 1208  SADIQ NAGAR NOONEPALLI NEAR GOVT HOSPITAL NANDYAL ANP 518501 "/>
    <s v="GOVT OF ANDHRAPRADESH SUPERINTENDING ENGINEER TGP CICLE NANDYAL DEPARTMENT TEKKE NANDYAL DEPARTMENT TEKKE NANDYAL ANP 518501 "/>
    <s v="NANDYAL"/>
    <x v="2"/>
    <x v="14"/>
    <s v="HARI"/>
    <n v="802388289"/>
    <s v="Ssd@9290"/>
    <m/>
    <m/>
    <x v="0"/>
    <s v="MESS"/>
    <s v="Customer house address not found mobile not responding give me kyc details // Customer office address not found mobile not responding // Customer house address visit customer not in a home customer mobile not responding // Customer office address visit customer not in a office customer mobile not responding // Customer house address visit customer house door lock customer mobile not responding // Customer house address visit customer not in a home customer wife told informed customer mobile not responding iam waiting for customer address // Customer house address visit customer not in a home but iam waiting for customer address // Customer house address visit customer not in a home but iam waiting for customer address // Customer office address visit customer not in a office customer mobile not responding"/>
    <x v="11"/>
    <d v="2024-07-16T00:00:00"/>
    <n v="30000"/>
    <s v="Amazon Pay ICICI Bank Credit Card"/>
    <s v="26TH MAY"/>
    <d v="2026-05-23T00:00:00"/>
  </r>
  <r>
    <s v="4315812081564007"/>
    <s v="MR Marabathula Abhilash"/>
    <n v="0"/>
    <x v="0"/>
    <m/>
    <s v="liner"/>
    <s v="N"/>
    <x v="3"/>
    <s v="9666311234"/>
    <s v="X"/>
    <n v="22408.650000000023"/>
    <n v="500000"/>
    <n v="522408.65"/>
    <n v="216504.4"/>
    <n v="305904.25"/>
    <n v="285194.48"/>
    <n v="103270"/>
    <n v="38910"/>
    <x v="1"/>
    <x v="1"/>
    <n v="0"/>
    <n v="38910"/>
    <x v="1"/>
    <s v="NA"/>
    <n v="0"/>
    <s v="DURGA"/>
    <x v="0"/>
    <x v="0"/>
    <s v="&quot;FLAT,,NO.301&quot; &quot;3RD FLOOR,.&quot; SRAVANI RESIDENCY 6/3 SVN COLONY  GUNTUR ANP 522006"/>
    <s v="KRISHNA FAST FOODS AND JUICE &quot;4-22-66E, 1ST FLOOR&quot; &quot;4TH-LINE, MUTYALA REDDY NAGAR AMARAVATHI&quot; &quot;4TH-LINE, MUTYALA REDDY NAGAR AMARAVATHI&quot; GUNTUR ANP 522007"/>
    <s v="GUNTUR"/>
    <x v="3"/>
    <x v="17"/>
    <s v="DURGA"/>
    <n v="801723195"/>
    <s v="Sgr@9290"/>
    <m/>
    <m/>
    <x v="0"/>
    <s v="SKIP"/>
    <s v="CUSTOMER GIVEN HOUSE ADDRESS VISITED CUSTOMER NOT AVAILABLE SHIFTED 6 MONTH'S BACK CONFORMED BY NEIGHBOUR'S AND RENTERS OF THIS APARTMENT GOING FOR SECOND ADDRESS TO VISIT CUSTOMER // CUSTOMER NOT AVAILABLE AT GIVEN HOUSE ADDRESS CUSTOMER PROVIDED INJECTION LETTER // CUSTOMER GIVEN HOUSE ADDRESS VISITED CUSTOMER NOT AVAILABLE SHIFTED 6 MONTH'S BACK CONFORMED BY NEIGHBOUR'S AND RENTERS OF THIS APARTMENT CUSTOMER NOT READY TO PAY BILL PAYMENT PROVIDED INJECTION LETTER"/>
    <x v="2"/>
    <d v="2026-03-21T00:00:00"/>
    <n v="104238.52"/>
    <s v="Amazon Pay ICICI Bank Credit Card"/>
    <s v="21ST MAY"/>
    <d v="2026-05-23T00:00:00"/>
  </r>
  <r>
    <s v="4315811569817010"/>
    <s v="MR Gunturu Sai Kireet"/>
    <n v="0"/>
    <x v="1"/>
    <n v="1"/>
    <s v="CC"/>
    <s v="N"/>
    <x v="3"/>
    <s v="9441774951"/>
    <s v="X"/>
    <n v="22733.450000000012"/>
    <n v="470000"/>
    <n v="492733.45"/>
    <n v="313478.12"/>
    <n v="179255.33"/>
    <n v="158597.26999999999"/>
    <n v="73590"/>
    <n v="34180"/>
    <x v="1"/>
    <x v="1"/>
    <n v="0"/>
    <n v="34180"/>
    <x v="1"/>
    <s v="NA"/>
    <n v="0"/>
    <s v="SAMBA"/>
    <x v="2"/>
    <x v="3"/>
    <s v="&quot;19-1-317, SBI Colony&quot;  Peddapuram 1 st Lane Opp .AP Agricultral Office PEDDAPURAM ANP 533437 "/>
    <s v="COGNIZANT TECHNOLOGY SOLUTIONS &quot;2nd Cross St, Madras Export Processing Z&quot; TAMBARAM TAMBARAM CHENNAI TMN 600045 "/>
    <s v="PEDDAPURAM"/>
    <x v="0"/>
    <x v="16"/>
    <s v="UDAY"/>
    <n v="801436997"/>
    <s v="Ssd@9290"/>
    <m/>
    <m/>
    <x v="0"/>
    <s v="SKIP"/>
    <s v="Customer given address skip customer shift to Kakinada Port location_x000a_Call not answering neighbours confirm sir // customer tracing address visit ch not available skip customer given address aslo skip need to kyc sir "/>
    <x v="12"/>
    <d v="2025-04-30T00:00:00"/>
    <n v="360618"/>
    <s v="Amazon Pay ICICI Bank Credit Card"/>
    <s v="26TH MAY"/>
    <d v="2026-05-23T00:00:00"/>
  </r>
  <r>
    <s v="4315811826107007"/>
    <s v="MR LOKESWARA SANKU RAO"/>
    <n v="0"/>
    <x v="0"/>
    <m/>
    <m/>
    <s v="N"/>
    <x v="3"/>
    <s v="9866011351"/>
    <s v="X"/>
    <n v="3057.0300000000279"/>
    <n v="470000"/>
    <n v="473057.03"/>
    <n v="254473.89"/>
    <n v="218583.14"/>
    <n v="200846.71"/>
    <n v="75010"/>
    <n v="28383.05"/>
    <x v="1"/>
    <x v="1"/>
    <n v="0"/>
    <n v="28383.05"/>
    <x v="1"/>
    <s v="NA"/>
    <s v="12111-ICICI BANK COLLECTION PAYMENT"/>
    <s v="SAMBA"/>
    <x v="2"/>
    <x v="0"/>
    <s v="&quot;8-162,SODISETTY FLR,PRASADAMPADU,&quot; RAMALAYAMSTREET BESIDE PANCHAYATI OFFICE ROAD RAMALAYAMSTREET VIJAYAWADA ANP 521108"/>
    <s v="Shri Tulasi Organic Products LIG-1-307 APHB Colony APHB Colony TADEPALLIGUDEM ANP 534101 "/>
    <s v="TADEPALLIGUDEM"/>
    <x v="0"/>
    <x v="13"/>
    <s v="MANIKANTA"/>
    <n v="802852449"/>
    <s v="Ssd@9290"/>
    <m/>
    <m/>
    <x v="0"/>
    <s v="SKIP"/>
    <s v="Custmor shifted  Hyderabad sir"/>
    <x v="4"/>
    <d v="2026-01-21T00:00:00"/>
    <n v="20000"/>
    <s v="Amazon Pay ICICI Bank Credit Card"/>
    <s v="1ST JUNE"/>
    <d v="2026-05-23T00:00:00"/>
  </r>
  <r>
    <s v="4315813239499005"/>
    <s v="MR Baji Shaik"/>
    <n v="0"/>
    <x v="0"/>
    <m/>
    <s v="liner"/>
    <s v="N"/>
    <x v="3"/>
    <s v="7207407696"/>
    <s v="X"/>
    <n v="30934.320000000007"/>
    <n v="380000"/>
    <n v="410934.32"/>
    <n v="90400.92"/>
    <n v="320533.40000000002"/>
    <n v="295408.78000000003"/>
    <n v="73310"/>
    <n v="31760"/>
    <x v="1"/>
    <x v="1"/>
    <n v="0"/>
    <n v="31760"/>
    <x v="1"/>
    <s v="NA"/>
    <s v="12111-ICICI BANK COLLECTION PAYMENT"/>
    <s v="DURGA"/>
    <x v="0"/>
    <x v="0"/>
    <s v="S/O Shaik Kalesha Vali House No 15-15-6 9 Tarakarama Nagar 2nd Lane Kakani Road Guntur  Guntur Andhra Pradesh 522001 BEST PRICE GUNTUR ANP 522001"/>
    <s v="ACCENTURE SOLUTIONS PRIVATE LIMITED &quot;DIVYASHREE ORION TOWER A, B B SY.NO.66/1&quot; NAGA HILLS ROAD SERLINGAMPALLY RAIDURG NAGA HILLS ROAD SERLINGAMPALLY RAIDURG HYDERABAD TNG 500032"/>
    <s v="GUNTUR"/>
    <x v="3"/>
    <x v="17"/>
    <s v="DURGA"/>
    <n v="801723195"/>
    <s v="Sgr@9290"/>
    <m/>
    <m/>
    <x v="0"/>
    <s v="SKIP"/>
    <s v="Customer given House address visited but customer not living at given address shifted to Hyderabad responded to phone call customer Job loss from 6 month's asking time"/>
    <x v="1"/>
    <d v="2025-01-30T00:00:00"/>
    <n v="38850"/>
    <s v="Amazon Pay ICICI Bank Credit Card"/>
    <s v="21ST MAY"/>
    <d v="2026-05-23T00:00:00"/>
  </r>
  <r>
    <s v="4315811848969004"/>
    <s v="MR Bolli Anilkumar"/>
    <n v="0"/>
    <x v="0"/>
    <m/>
    <m/>
    <s v="N"/>
    <x v="3"/>
    <s v="8500091887"/>
    <s v="X"/>
    <n v="61837.270000000019"/>
    <n v="347000"/>
    <n v="408837.27"/>
    <n v="108537.24"/>
    <n v="300300.03000000003"/>
    <n v="264446.82"/>
    <n v="76180"/>
    <n v="42110"/>
    <x v="1"/>
    <x v="1"/>
    <n v="0"/>
    <n v="42110"/>
    <x v="1"/>
    <s v="NA"/>
    <n v="0"/>
    <s v="SAMBA"/>
    <x v="1"/>
    <x v="1"/>
    <s v="8-28/1    Karimnagar HYDERABAD TNG 505467 "/>
    <s v="SURABHI INSTITUTE OF MEDICAL SCIENCES SURABHI HOSPITAL METTAPALLY METTAPALLY MEDAK TNG 502375 "/>
    <s v="MEDAK"/>
    <x v="1"/>
    <x v="21"/>
    <s v="RAJKUMAR"/>
    <n v="802835406"/>
    <s v="Ssde@9290"/>
    <m/>
    <m/>
    <x v="0"/>
    <s v="SKIP"/>
    <s v="Customer given working office address visited sir his not available shifted from address phone call not reachable // Customer permenent house address visited sir his not available phone call not responding inform to his brother and family members  given commitment on 3 rd"/>
    <x v="13"/>
    <d v="2024-07-16T00:00:00"/>
    <n v="12000"/>
    <s v="Amazon Pay ICICI Bank Credit Card"/>
    <s v="26TH MAY"/>
    <d v="2026-05-23T00:00:00"/>
  </r>
  <r>
    <s v="4315811789647007"/>
    <s v="MR Pudari Praveen Kumar"/>
    <n v="0"/>
    <x v="0"/>
    <m/>
    <s v="liner"/>
    <s v="N"/>
    <x v="3"/>
    <s v="9493110442"/>
    <s v="X"/>
    <n v="101423.57"/>
    <n v="300000"/>
    <n v="401423.57"/>
    <n v="78933.460000000006"/>
    <n v="322490.11"/>
    <n v="306799.99"/>
    <n v="80290"/>
    <n v="17060"/>
    <x v="0"/>
    <x v="2"/>
    <n v="17083.97"/>
    <n v="-23.970000000001164"/>
    <x v="1"/>
    <s v="LO"/>
    <s v="30501-BBPS Payment received"/>
    <s v="SAMBA"/>
    <x v="3"/>
    <x v="0"/>
    <s v="3-10/12 Jagtial mandal dharur Karimnagar KARIMNAGAR TNG 505455"/>
    <s v="SHIVA SAI SERVICES H. NO 3-10/12 DHAROOR DHAROOR KARIMNAGAR TNG 505327"/>
    <s v="KARIMNAGAR"/>
    <x v="1"/>
    <x v="27"/>
    <s v="SUMANTH"/>
    <n v="802370852"/>
    <s v="Sgr@9290"/>
    <m/>
    <m/>
    <x v="0"/>
    <s v="SKIP"/>
    <s v="Customer shifted another address he staying karimnagar call answered he is have financial issues and he asking settlement // Customer staying in karimnagar customer met he is have financial issues and he asking settlement or 3months time"/>
    <x v="4"/>
    <d v="2024-07-18T00:00:00"/>
    <n v="25000"/>
    <s v="Amazon Pay ICICI Bank Credit Card"/>
    <s v="21ST MAY"/>
    <d v="2026-05-23T00:00:00"/>
  </r>
  <r>
    <s v="4315811754195016"/>
    <s v="MR Gundeti Nagaprashanth"/>
    <n v="0"/>
    <x v="0"/>
    <m/>
    <s v="liner"/>
    <s v="N"/>
    <x v="3"/>
    <s v="9700850848"/>
    <s v="X"/>
    <n v="133906.08000000002"/>
    <n v="248000"/>
    <n v="381906.08"/>
    <s v=""/>
    <n v="381906.08"/>
    <n v="343398.06"/>
    <n v="201310"/>
    <n v="157230"/>
    <x v="1"/>
    <x v="1"/>
    <n v="0"/>
    <n v="157230"/>
    <x v="1"/>
    <s v="NA"/>
    <n v="0"/>
    <s v="SAMBA"/>
    <x v="3"/>
    <x v="0"/>
    <s v="1-5-82/1 JAGITHYAL ARAVIND NAGAR BESIDE OXFORD HIGH SCHOOL KARIMNAGAR TNG 505327"/>
    <s v="QUBE CINEMA TECHNOLOGIES &quot;317/A/B, MLA COLONY&quot; &quot;BANJARA HILLS ROAD NO 12, HYDERABAD&quot; &quot;BANJARA HILLS ROAD NO 12, HYDERABAD&quot; HYDERABAD TNG 500034"/>
    <s v="KARIMNAGAR"/>
    <x v="1"/>
    <x v="27"/>
    <s v="SUMANTH"/>
    <n v="802370852"/>
    <s v="Sgr@9290"/>
    <m/>
    <m/>
    <x v="0"/>
    <s v="SKIP"/>
    <s v="Customer shifted to another address and owner  said we don't about him we heared first time his name"/>
    <x v="8"/>
    <d v="2025-01-07T00:00:00"/>
    <n v="40000"/>
    <s v="Amazon Pay ICICI Bank Credit Card"/>
    <s v="21ST MAY"/>
    <d v="2026-05-23T00:00:00"/>
  </r>
  <r>
    <s v="4315812615474004"/>
    <s v="MR Chennur Prasanth Reddy"/>
    <n v="0"/>
    <x v="0"/>
    <m/>
    <m/>
    <s v="N"/>
    <x v="3"/>
    <s v="9160999848"/>
    <s v="X"/>
    <n v="-138916.57"/>
    <n v="500000"/>
    <n v="361083.43"/>
    <n v="250106.73"/>
    <n v="110976.7"/>
    <n v="104982.02"/>
    <n v="38970"/>
    <n v="15290"/>
    <x v="1"/>
    <x v="1"/>
    <n v="0"/>
    <n v="15290"/>
    <x v="1"/>
    <s v="NA"/>
    <n v="0"/>
    <s v="SAMBA"/>
    <x v="3"/>
    <x v="0"/>
    <s v="1/7  C K Dinne Mandalam Papa Saheb Peta Cuddapah CUDDAPAH ANP 516003 "/>
    <s v="MILK PRODUCTION 1/7 PAPASAHEBPETA VILLAGE C.K DINNE MANDAL KADAPA C.K DINNE MANDAL KADAPA CUDDAPAH ANP 516003 "/>
    <s v="CUDDAPAH"/>
    <x v="2"/>
    <x v="5"/>
    <s v="PAVAN"/>
    <n v="802823180"/>
    <s v="Sgr@9290"/>
    <m/>
    <m/>
    <x v="1"/>
    <m/>
    <m/>
    <x v="10"/>
    <d v="2024-11-06T00:00:00"/>
    <n v="44400"/>
    <s v="Amazon Pay ICICI Bank Credit Card"/>
    <s v="26TH MAY"/>
    <d v="2026-05-23T00:00:00"/>
  </r>
  <r>
    <s v="4315812130353014"/>
    <s v="MR Vegesna Appalaraju"/>
    <n v="0"/>
    <x v="0"/>
    <m/>
    <m/>
    <s v="N"/>
    <x v="3"/>
    <s v="9652455666"/>
    <s v="X"/>
    <n v="13719.140000000014"/>
    <n v="330000"/>
    <n v="343719.14"/>
    <s v=""/>
    <n v="343719.14"/>
    <n v="330960.89"/>
    <n v="102130"/>
    <n v="58710"/>
    <x v="0"/>
    <x v="2"/>
    <n v="58710"/>
    <n v="0"/>
    <x v="9"/>
    <s v="FE"/>
    <s v="30501-BBPS Payment received"/>
    <s v="SAMBA"/>
    <x v="4"/>
    <x v="0"/>
    <s v="4-66/1  Allavaram Allavaram shivalayam veedhi AMALAPURAM ANP 533217 "/>
    <s v="DISHITA ENTERPRISES ALLAVARAM ALLAVARAM ALLAVARAM AMALAPURAM ANP 533217 "/>
    <s v="AMALAPURAM"/>
    <x v="0"/>
    <x v="25"/>
    <s v="B NAGABABU"/>
    <n v="801448854"/>
    <s v="Sgr@9290"/>
    <m/>
    <m/>
    <x v="0"/>
    <s v="LIVE"/>
    <s v="CUSTOMER NOT AVAILABLE AT HOME SIR.RESPONDED TO THE CALL GIVEN PTP TO 30TH // CUSTOMER NOT AVAILABLE AT HOME. SECURITY NOT ALLOWED ME GO INSIDE SIR.RESPONDED TO THE CALL CUSTOMER TOLD I WILL PAY TO THE EOD // CUSTOMER NOT AVAILABLE AT HOME SIR WAITING FOR CUSTOMER AT HIS HOUSE"/>
    <x v="11"/>
    <d v="2025-06-09T00:00:00"/>
    <n v="22773"/>
    <s v="Amazon Pay ICICI Bank Credit Card"/>
    <s v="26TH MAY"/>
    <d v="2026-05-23T00:00:00"/>
  </r>
  <r>
    <s v="4315811576908000"/>
    <s v="MR Matta Satish"/>
    <n v="0"/>
    <x v="0"/>
    <m/>
    <m/>
    <s v="N"/>
    <x v="3"/>
    <s v="8985187132"/>
    <s v="X"/>
    <n v="-90808.210000000021"/>
    <n v="420000"/>
    <n v="329191.78999999998"/>
    <s v=""/>
    <n v="329191.78999999998"/>
    <n v="311691.96999999997"/>
    <n v="52130"/>
    <n v="15360"/>
    <x v="1"/>
    <x v="1"/>
    <n v="0"/>
    <n v="15360"/>
    <x v="1"/>
    <s v="NA"/>
    <n v="0"/>
    <s v="DURGA"/>
    <x v="0"/>
    <x v="0"/>
    <s v="3-6-22  Pathuru Nagarjuna rice mill lane &quot;Behind Srinivasa theatre, 3rd lane&quot; GUNTUR ANP 522601 "/>
    <s v="DELHIVERY PRIVATE LIMITED BARAMPETA NEAR ANJANEYA SWAMI TEMPLE OPP LINE NEAR ANJANEYA SWAMI TEMPLE OPP LINE GUNTUR ANP 522601 "/>
    <s v="GUNTUR"/>
    <x v="3"/>
    <x v="28"/>
    <s v="DURGA"/>
    <n v="801723195"/>
    <s v="Sgr@9290"/>
    <m/>
    <m/>
    <x v="0"/>
    <s v="DL"/>
    <s v="customer not available at house door lock mobile number switch off mess pass to neighbours....."/>
    <x v="6"/>
    <d v="2025-06-24T00:00:00"/>
    <n v="20000"/>
    <s v="Amazon Pay ICICI Bank Credit Card"/>
    <s v="26TH MAY"/>
    <d v="2026-05-23T00:00:00"/>
  </r>
  <r>
    <s v="6529190056764002"/>
    <s v="MR YALAVARTHI SRINIVASARAO"/>
    <n v="0"/>
    <x v="0"/>
    <m/>
    <m/>
    <s v="N"/>
    <x v="3"/>
    <s v="9395396190"/>
    <s v="X"/>
    <n v="21393.710000000021"/>
    <n v="300000"/>
    <n v="321393.71000000002"/>
    <s v=""/>
    <n v="321393.71000000002"/>
    <n v="303514.05"/>
    <n v="60190"/>
    <n v="23230"/>
    <x v="0"/>
    <x v="2"/>
    <n v="24000"/>
    <n v="-770"/>
    <x v="10"/>
    <s v="FE"/>
    <s v="30501-BBPS Payment received"/>
    <s v="DURGA"/>
    <x v="0"/>
    <x v="0"/>
    <s v="3-813  Undavalli Centre  Guntur GTR ANP 522501 "/>
    <s v="Nulaka peta krishna nagar 14-1088/2   VJW ANP 522502 "/>
    <s v="GUNTUR"/>
    <x v="3"/>
    <x v="29"/>
    <s v="DURGA"/>
    <n v="801723195"/>
    <s v="Sgr@9290"/>
    <m/>
    <m/>
    <x v="0"/>
    <s v="SKIP"/>
    <s v="Cmr given address visited customer  Not here in this place cmr call answering cmr shifted to machilipatanam cmr given phone PTP tomorrow evening 6 pm sir"/>
    <x v="3"/>
    <s v=""/>
    <n v="0"/>
    <s v="ICICI Bank Rubyx RuPay Credit Card"/>
    <s v="26TH MAY"/>
    <d v="2026-05-23T00:00:00"/>
  </r>
  <r>
    <s v="4315813973497009"/>
    <s v="MR Kathraji Raghuveer"/>
    <n v="0"/>
    <x v="0"/>
    <m/>
    <m/>
    <s v="N"/>
    <x v="3"/>
    <s v="8466008822"/>
    <s v="X"/>
    <n v="5760.7199999999721"/>
    <n v="270000"/>
    <n v="275760.71999999997"/>
    <n v="42013.52"/>
    <n v="233747.20000000001"/>
    <n v="216758.88"/>
    <n v="69590"/>
    <n v="34590"/>
    <x v="0"/>
    <x v="2"/>
    <n v="34590"/>
    <n v="0"/>
    <x v="5"/>
    <s v="FE"/>
    <s v="30501-BBPS Payment received"/>
    <s v="SAMBA"/>
    <x v="2"/>
    <x v="1"/>
    <s v="H.NO.11.1.67.MIG.1  KANTESHWAR NEW.HOUSING.BOARD.COLONY Nizamabad NIZAMABAD TNG 503002 "/>
    <s v="DEPARTMENT.OF.POSTS EDAPALLI.POST.OFFICE. EDAPALLI.. EDAPALLI.. NIZAMABAD TNG 503202 "/>
    <s v="NIZAMABAD"/>
    <x v="1"/>
    <x v="20"/>
    <s v="D RAMU"/>
    <n v="802663344"/>
    <s v="Sgr@9290"/>
    <m/>
    <m/>
    <x v="0"/>
    <s v="LIVE"/>
    <s v="customer paymet on 4date"/>
    <x v="6"/>
    <d v="2024-06-19T00:00:00"/>
    <n v="7800"/>
    <s v="Amazon Pay ICICI Bank Credit Card"/>
    <s v="26TH MAY"/>
    <d v="2026-05-23T00:00:00"/>
  </r>
  <r>
    <s v="4315813529963017"/>
    <s v="MR ADEPU SRI KARAN"/>
    <n v="0"/>
    <x v="0"/>
    <m/>
    <m/>
    <s v="N"/>
    <x v="3"/>
    <s v="9177578043"/>
    <s v="X"/>
    <n v="22506.780000000028"/>
    <n v="240000"/>
    <n v="262506.78000000003"/>
    <s v=""/>
    <n v="262506.78000000003"/>
    <n v="244009.18"/>
    <n v="60550"/>
    <n v="25270"/>
    <x v="0"/>
    <x v="0"/>
    <n v="63510"/>
    <n v="-38240"/>
    <x v="6"/>
    <s v="FE"/>
    <s v="30501-BBPS Payment received"/>
    <s v="SAMBA"/>
    <x v="2"/>
    <x v="0"/>
    <s v="8 3 41 A 1 OLD BEET BAZAR WARANGAL     WARANGAL TNG 506002 "/>
    <s v="Vazrh studios Jsp imperia  5th floor  patrika nagar Hitech city Hitech city HYDERABAD TNG 500081 "/>
    <s v="WARANGAL"/>
    <x v="1"/>
    <x v="30"/>
    <s v="AKHIL"/>
    <n v="801772792"/>
    <s v="Sgr@9290"/>
    <m/>
    <m/>
    <x v="0"/>
    <s v="LIVE"/>
    <s v="Met cust's mother and given ptp on 30th"/>
    <x v="0"/>
    <d v="2025-06-03T00:00:00"/>
    <n v="12042"/>
    <s v="Amazon Pay ICICI Bank Credit Card"/>
    <s v="26TH MAY"/>
    <d v="2026-05-23T00:00:00"/>
  </r>
  <r>
    <s v="4501721086208003"/>
    <s v="MR ALLAGADDA YADAV"/>
    <n v="0"/>
    <x v="0"/>
    <m/>
    <m/>
    <s v="N"/>
    <x v="3"/>
    <s v="9052510066"/>
    <s v="X"/>
    <n v="1626.5799999999872"/>
    <n v="240000"/>
    <n v="241626.58"/>
    <s v=""/>
    <n v="241626.58"/>
    <n v="225488.46"/>
    <n v="36330"/>
    <n v="12370"/>
    <x v="0"/>
    <x v="0"/>
    <n v="241626.58"/>
    <n v="-229256.58"/>
    <x v="10"/>
    <s v="FE"/>
    <s v="30501-BBPS Payment received"/>
    <s v="SAMBA"/>
    <x v="4"/>
    <x v="0"/>
    <s v="&quot;103,APARTMENTS CHANAKYAPURI,KPS GRAND,COLONY,&quot;  &quot;ADITYA NAGAR,A CAMP,&quot; MONTESSORI SCHOOL BACK SIDE  KURNOOL ANP 518002 "/>
    <s v="BUSYBEES LOGISTICS SOLUTIONS P Hyderabad Hyderbad Hyderbad HYDERABAD TNG 500085 "/>
    <s v="KURNOOL"/>
    <x v="2"/>
    <x v="19"/>
    <s v="SAMBA"/>
    <n v="801772794"/>
    <s v="Ssde@9876"/>
    <m/>
    <m/>
    <x v="0"/>
    <s v="LIVE"/>
    <s v="customer given PTP on 2 nd // Customer not available.contact by phone he give ptp on 2nd // Customer out of station ptp Tommorow evening sir // Customer out of station ptp Tommorow evening sir"/>
    <x v="12"/>
    <d v="2025-08-29T00:00:00"/>
    <n v="13973.31"/>
    <s v="ICICI Bank Sapphiro Visa Credit Card"/>
    <s v="26TH MAY"/>
    <d v="2026-05-23T00:00:00"/>
  </r>
  <r>
    <s v="4315812242800001"/>
    <s v="MR Pendyala Vijaya Kumar"/>
    <n v="0"/>
    <x v="0"/>
    <m/>
    <m/>
    <s v="N"/>
    <x v="3"/>
    <s v="9441933989"/>
    <s v="X"/>
    <n v="8734.4899999999907"/>
    <n v="230000"/>
    <n v="238734.49"/>
    <n v="61767.85"/>
    <n v="176966.64"/>
    <n v="162992.06"/>
    <n v="41140"/>
    <n v="17050"/>
    <x v="1"/>
    <x v="1"/>
    <n v="0"/>
    <n v="17050"/>
    <x v="1"/>
    <s v="NA"/>
    <n v="0"/>
    <s v="SAMBA"/>
    <x v="1"/>
    <x v="0"/>
    <s v="SRIKIRAN EYE HOSPITAL  BALL GATE CENTER BALL GATE CENTER MUMMIDIVARAM AMALAPURAM ANP 533216 "/>
    <s v="Srikiran eye hospital Penumarthy road ATCHAMPETA JUNCTION ATCHAMPETA JUNCTION KAKINADA ANP 533003 "/>
    <s v="KAKINADA"/>
    <x v="0"/>
    <x v="25"/>
    <s v="B NAGABABU"/>
    <n v="801448854"/>
    <s v="Sgr@9290"/>
    <m/>
    <m/>
    <x v="0"/>
    <s v="SKIP"/>
    <s v="USTOMER QUITE JOB IN THIS HOSPITAL SIR.HOSPITAL STAFF TOLD"/>
    <x v="14"/>
    <d v="2024-11-24T00:00:00"/>
    <n v="10000"/>
    <s v="Amazon Pay ICICI Bank Credit Card"/>
    <s v="26TH MAY"/>
    <d v="2026-05-23T00:00:00"/>
  </r>
  <r>
    <s v="4315812714442001"/>
    <s v="MR JOHN WESLY PYDIPAMALA"/>
    <n v="0"/>
    <x v="0"/>
    <m/>
    <m/>
    <s v="N"/>
    <x v="3"/>
    <s v="9663731945"/>
    <s v="X"/>
    <n v="-70883.140000000014"/>
    <n v="305000"/>
    <n v="234116.86"/>
    <s v=""/>
    <n v="234116.86"/>
    <n v="217701.36"/>
    <n v="35510"/>
    <n v="13930"/>
    <x v="1"/>
    <x v="1"/>
    <n v="0"/>
    <n v="13930"/>
    <x v="1"/>
    <s v="NA"/>
    <n v="0"/>
    <s v="SAMBA"/>
    <x v="3"/>
    <x v="2"/>
    <s v="&quot;36-7-14/A NEHRU NAGAR,VIJAYAWADA,LABBIPET,&quot;  NEAR GABRIEL CHURCH KRISHNA - KRISHNA ANP 520010 "/>
    <s v="SYNECHRON TECHNOLOGIES PVT LTD BHARTIYA CITY BLOCK 1 THANISANDRA MAIN ROAD THANNISANDRA MAIN ROAD THANNISANDRA BANGALORE KAR 560077 "/>
    <s v="VIJAYAWADA"/>
    <x v="0"/>
    <x v="22"/>
    <s v="SUDHAKAR"/>
    <n v="802913252"/>
    <s v="Ssd@9290"/>
    <m/>
    <m/>
    <x v="0"/>
    <s v="DL"/>
    <s v="Customer address door locked"/>
    <x v="4"/>
    <d v="2026-01-25T00:00:00"/>
    <n v="10300"/>
    <s v="Amazon Pay ICICI Bank Credit Card"/>
    <s v="26TH MAY"/>
    <d v="2026-05-23T00:00:00"/>
  </r>
  <r>
    <s v="4315812145247003"/>
    <s v="Mr KARTHIK Nethi Kumar"/>
    <n v="0"/>
    <x v="0"/>
    <m/>
    <m/>
    <s v="N"/>
    <x v="3"/>
    <s v="8142132992"/>
    <s v="X"/>
    <n v="-271787.82"/>
    <n v="500000"/>
    <n v="228212.18"/>
    <s v=""/>
    <n v="228212.18"/>
    <n v="204598.33"/>
    <n v="48800"/>
    <n v="28430"/>
    <x v="1"/>
    <x v="1"/>
    <n v="0"/>
    <n v="28430"/>
    <x v="1"/>
    <s v="NA"/>
    <n v="0"/>
    <s v="SAMBA"/>
    <x v="2"/>
    <x v="0"/>
    <s v="&quot;29/178-29AB-303A,NANDYAL,S B I COLONY,&quot;  &quot;SINGH APARTMEMT,NANDYALA NANDYAL NANDYAL&quot;   NANDYAL ANP 518501 "/>
    <s v="S k consultancy service 25-684-150 Padmavathi Nagar Padmavathi Nagar NANDYAL ANP 518501 "/>
    <s v="NANDYAL"/>
    <x v="2"/>
    <x v="14"/>
    <s v="HARI"/>
    <n v="802388289"/>
    <s v="Ssd@9290"/>
    <m/>
    <m/>
    <x v="0"/>
    <s v="LIVE"/>
    <s v="Customer house address visit customer not in a home customer mobile responding call back // Customer out side meet customer asking for some time"/>
    <x v="3"/>
    <d v="2025-09-22T00:00:00"/>
    <n v="99471"/>
    <s v="Amazon Pay ICICI Bank Credit Card"/>
    <s v="26TH MAY"/>
    <d v="2026-05-23T00:00:00"/>
  </r>
  <r>
    <s v="4315812175162007"/>
    <s v="MR Parankusham Avinash Chandra"/>
    <n v="0"/>
    <x v="0"/>
    <m/>
    <m/>
    <s v="N"/>
    <x v="3"/>
    <s v="9701074509"/>
    <s v="X"/>
    <n v="18440.670000000013"/>
    <n v="180000"/>
    <n v="198440.67"/>
    <s v=""/>
    <n v="198440.67"/>
    <n v="184042.39"/>
    <n v="47780"/>
    <n v="20530"/>
    <x v="0"/>
    <x v="0"/>
    <n v="47780"/>
    <n v="-27250"/>
    <x v="3"/>
    <s v="TC"/>
    <s v="30501-BBPS Payment received"/>
    <s v="SAMBA"/>
    <x v="4"/>
    <x v="0"/>
    <s v="2-11-293/206  SARVAGNA RESIDENCY KU CROS ROAD HANAMKONDA BVB  HIGH SCHOOL WARANGAL TNG 506001 "/>
    <s v="GOVT DIET WARANGAL NEAR CENTRAL LIBRARY BESIDE PUBLIC GARDEN HANAMKONDA BESIDE PUBLIC GARDEN HANAMKONDA WARANGAL TNG 506001 "/>
    <s v="WARANGAL"/>
    <x v="1"/>
    <x v="30"/>
    <s v="AKHIL"/>
    <n v="801772792"/>
    <s v="Sgr@9290"/>
    <m/>
    <m/>
    <x v="0"/>
    <s v="LIVE"/>
    <s v="Cust was out of station respond to calls and given ptp on 01st"/>
    <x v="0"/>
    <d v="2024-07-12T00:00:00"/>
    <n v="9630"/>
    <s v="Amazon Pay ICICI Bank Credit Card"/>
    <s v="26TH MAY"/>
    <d v="2026-05-23T00:00:00"/>
  </r>
  <r>
    <s v="4315814519173005"/>
    <s v="MR JADI NAGARAJU"/>
    <n v="0"/>
    <x v="0"/>
    <m/>
    <m/>
    <s v="N"/>
    <x v="3"/>
    <s v="7382354888"/>
    <s v="X"/>
    <n v="-15684.170000000013"/>
    <n v="210000"/>
    <n v="194315.83"/>
    <n v="170539.99"/>
    <n v="23775.84"/>
    <n v="19543.509999999998"/>
    <n v="23775.84"/>
    <n v="10000"/>
    <x v="1"/>
    <x v="1"/>
    <n v="0"/>
    <n v="10000"/>
    <x v="1"/>
    <s v="NA"/>
    <n v="0"/>
    <s v="SAMBA"/>
    <x v="1"/>
    <x v="0"/>
    <s v="14-125/1  &quot;RAMAKRISHNAPUR, MANDAMARRI MANDAL&quot; ASHOK NAGAR &quot;NEAR C S P, B ZONE&quot; ADILABAD TNG 504301 "/>
    <s v="JADI  REAL ESTATE H NO 14-125/1 ASHOK NAGAR KYATHANPALLI RAMAKRISHNAPUR MANCHERIAL 504301 TS RAMAKRISHNAPUR MANCHERIAL 504301 TS ADILABAD TNG 504301 "/>
    <s v="ADILABAD"/>
    <x v="1"/>
    <x v="11"/>
    <s v="T RAMESH "/>
    <n v="801217009"/>
    <s v="Ssd@9290"/>
    <m/>
    <m/>
    <x v="0"/>
    <s v="MESS"/>
    <s v="Customer given address visit customer not available informed to mother, call not answer // Customer given address visit customer not available informed to mother, call not answer"/>
    <x v="12"/>
    <s v=""/>
    <n v="0"/>
    <s v="Amazon Pay ICICI Bank Credit Card"/>
    <s v="26TH MAY"/>
    <d v="2026-05-23T00:00:00"/>
  </r>
  <r>
    <s v="4315812114541006"/>
    <s v="MR GOTLA UMESH"/>
    <n v="0"/>
    <x v="0"/>
    <m/>
    <m/>
    <s v="N"/>
    <x v="3"/>
    <s v="8978699287"/>
    <s v="X"/>
    <n v="-157648.57999999999"/>
    <n v="320000"/>
    <n v="162351.42000000001"/>
    <n v="117220.6"/>
    <n v="45130.82"/>
    <n v="39270.730000000003"/>
    <n v="27480"/>
    <n v="11970"/>
    <x v="1"/>
    <x v="1"/>
    <n v="0"/>
    <n v="11970"/>
    <x v="1"/>
    <s v="NA"/>
    <n v="0"/>
    <s v="SAMBA"/>
    <x v="3"/>
    <x v="0"/>
    <s v="7/46  THERU BAZAR THERU BAZAR YEMMIGANUR KURNOOL ANP 518360 "/>
    <s v="INDIVILLAGE TECH SOLUTIONS LLP 1/2293 WEAVERS COLONY WEAVERS COLONY KURNOOL ANP 518360 "/>
    <s v="KURNOOL"/>
    <x v="2"/>
    <x v="19"/>
    <s v="SAMBA"/>
    <n v="801772794"/>
    <s v="Ssde@9876"/>
    <m/>
    <m/>
    <x v="0"/>
    <s v="LIVE"/>
    <s v="Visit near customer house . Customer not available at house going near his office sir _x000a_Visit with magbool basha // Meet with customer he refused to pay because of his family members health issu . We r wating to make payment sir _x000a_But customer told that if he possible to make payment it will pay by today evening. Sir"/>
    <x v="14"/>
    <d v="2024-06-19T00:00:00"/>
    <n v="16038.55"/>
    <s v="Amazon Pay ICICI Bank Credit Card"/>
    <s v="26TH MAY"/>
    <d v="2026-05-23T00:00:00"/>
  </r>
  <r>
    <s v="4315811528261003"/>
    <s v="MR Badugu Venkateswrlu"/>
    <n v="0"/>
    <x v="0"/>
    <m/>
    <m/>
    <s v="N"/>
    <x v="3"/>
    <s v="9490947774"/>
    <s v="X"/>
    <n v="-2875.5500000000029"/>
    <n v="116000"/>
    <n v="113124.45"/>
    <s v=""/>
    <n v="113124.45"/>
    <n v="103302.04"/>
    <n v="22890"/>
    <n v="11970"/>
    <x v="0"/>
    <x v="2"/>
    <n v="12000"/>
    <n v="-30"/>
    <x v="10"/>
    <s v="TC"/>
    <n v="0"/>
    <s v="SAMBA"/>
    <x v="4"/>
    <x v="0"/>
    <s v="23-1248  fathekhan peta akkana vari street near rtc NELLORE ANP 524003 "/>
    <s v="AADITYA DEGREE AND PG COLLEGE AADITYA NAGAR THIRD LINE THIRD LINE NELLORE ANP 524002 "/>
    <s v="NELLORE"/>
    <x v="4"/>
    <x v="12"/>
    <s v="B SURESH"/>
    <n v="801570488"/>
    <s v="Ssd@9290"/>
    <m/>
    <m/>
    <x v="0"/>
    <s v="SKIP"/>
    <s v=":cm door locked sir and cm call not answering sir // cm office address sir and cm shifted from here sir and cm call not answering sir"/>
    <x v="2"/>
    <d v="2026-03-20T00:00:00"/>
    <n v="123173"/>
    <s v="Amazon Pay ICICI Bank Credit Card"/>
    <s v="26TH MAY"/>
    <d v="2026-05-23T00:00:00"/>
  </r>
  <r>
    <s v="4315811978111005"/>
    <s v="MR KOMMA REDDY"/>
    <n v="0"/>
    <x v="0"/>
    <m/>
    <m/>
    <s v="N"/>
    <x v="3"/>
    <s v="8142152181"/>
    <s v="X"/>
    <n v="4278.8600000000006"/>
    <n v="90000"/>
    <n v="94278.86"/>
    <s v=""/>
    <n v="94278.86"/>
    <n v="87936.67"/>
    <n v="22960"/>
    <n v="8120"/>
    <x v="0"/>
    <x v="0"/>
    <n v="94278.86"/>
    <n v="-86158.86"/>
    <x v="11"/>
    <s v="FE"/>
    <s v="30501-BBPS Payment received"/>
    <s v="SAMBA"/>
    <x v="2"/>
    <x v="0"/>
    <s v="&quot;1-12A,THELLURU THONDUR,T THUMMALAPALLE,&quot;  &quot;THELLUR,THELLURU&quot;   CUDDAPAH ANP 516401 "/>
    <s v="Accenture Divyasree Tech Park Bangalore Near Vydegi Hospital Near Vydegi Hospital BANGALORE KAR 560066 "/>
    <s v="PRODDATUR"/>
    <x v="2"/>
    <x v="31"/>
    <s v="POORNIMA"/>
    <n v="802824019"/>
    <s v="Nihan@2421"/>
    <m/>
    <m/>
    <x v="0"/>
    <s v="LIVE"/>
    <s v="Waiting for cm sir."/>
    <x v="1"/>
    <d v="2025-08-13T00:00:00"/>
    <n v="5170"/>
    <s v="Amazon Pay ICICI Bank Credit Card"/>
    <s v="26TH MAY"/>
    <d v="2026-05-23T00:00:00"/>
  </r>
  <r>
    <s v="4315815094755009"/>
    <s v="MR KAMATALA LALSA"/>
    <n v="0"/>
    <x v="0"/>
    <m/>
    <m/>
    <s v="N"/>
    <x v="3"/>
    <s v="6281264210"/>
    <s v="X"/>
    <n v="5991.2899999999936"/>
    <n v="86000"/>
    <n v="91991.29"/>
    <n v="41859.379999999997"/>
    <n v="50131.91"/>
    <n v="45193.66"/>
    <n v="21270"/>
    <n v="10830"/>
    <x v="0"/>
    <x v="0"/>
    <n v="50131.91"/>
    <n v="-39301.910000000003"/>
    <x v="1"/>
    <s v="D"/>
    <s v="12118 - NEFT PAYMENT RECEIVED"/>
    <s v="SAMBA"/>
    <x v="3"/>
    <x v="0"/>
    <s v="H..NO.3.4.158  ROAD.NO8 ..ROAD.NO8 ROAD NO8 KHAMMAM TNG 507002 "/>
    <s v="KAPIL.CHIT.FUNDS.PVT.LTDPKLCF 11.8.223. 1.st.floor...Mamillagudem 1.st.floor...Mamillagudem KHAMMAM TNG 507002 "/>
    <s v="KHAMMAM"/>
    <x v="1"/>
    <x v="24"/>
    <s v="POORNIMA"/>
    <n v="802824019"/>
    <s v="Nihan@2421"/>
    <m/>
    <m/>
    <x v="0"/>
    <s v="SKIP"/>
    <s v="I have Visited given work address customer not available and office was removed from here 2 yrs ago but customer call answered saying that I'm in Hyderabad will reach Tommorow Khammam Customer meet Tommorow"/>
    <x v="0"/>
    <d v="2024-07-22T00:00:00"/>
    <n v="32154"/>
    <s v="Amazon Pay ICICI Bank Credit Card"/>
    <s v="26TH MAY"/>
    <d v="2026-05-23T00:00:00"/>
  </r>
  <r>
    <s v="4375517598230003"/>
    <s v="MR TADI VENKATA VIJAYA"/>
    <n v="0"/>
    <x v="0"/>
    <m/>
    <m/>
    <s v="N"/>
    <x v="3"/>
    <s v="7997714444"/>
    <s v="X"/>
    <n v="3194.3099999999977"/>
    <n v="73000"/>
    <n v="76194.31"/>
    <n v="4605.1499999999996"/>
    <n v="71589.16"/>
    <n v="67675.09"/>
    <n v="23270"/>
    <n v="9184.64"/>
    <x v="0"/>
    <x v="0"/>
    <n v="54670"/>
    <n v="-45485.36"/>
    <x v="10"/>
    <s v="TC"/>
    <s v="30501-BBPS Payment received"/>
    <s v="SAMBA"/>
    <x v="2"/>
    <x v="0"/>
    <s v="&quot;24-1,114/A,&quot;  &quot;Ward-16,Varidhanam Road&quot; Palacole Pragathi Nagar WEST GODAVARI ANP 534260 "/>
    <s v="B CREATIVE BANK STREET DIGITAL SHOPPEE UPSTAIRS RANGAMANNAR PETA RANGAMANNAR PETA PALAKOL ANP 534260 "/>
    <s v="PALAKOL"/>
    <x v="0"/>
    <x v="0"/>
    <s v="B NAGABABU"/>
    <n v="801448854"/>
    <s v="Sgr@9290"/>
    <m/>
    <m/>
    <x v="0"/>
    <s v="DL"/>
    <s v="cmr not there message left to father , cmr phone not working, revisit required // cmr neighbour house , cmr not there , cmr not answering calls, neighbour will inform to cmr // cmr house door locked, yesterday visited cmr requested to come today, waiting for cmr"/>
    <x v="8"/>
    <d v="2025-09-24T00:00:00"/>
    <n v="38000"/>
    <s v="ICICI Bank Coral Credit Card"/>
    <s v="26TH MAY"/>
    <d v="2026-05-23T00:00:00"/>
  </r>
  <r>
    <s v="4315811989424009"/>
    <s v="MS Lingala Usharani"/>
    <n v="0"/>
    <x v="0"/>
    <m/>
    <m/>
    <s v="N"/>
    <x v="3"/>
    <s v="9000197668"/>
    <s v="Y"/>
    <n v="-114851.76"/>
    <n v="190000"/>
    <n v="75148.240000000005"/>
    <n v="14162.55"/>
    <n v="60985.69"/>
    <n v="56302.19"/>
    <n v="10660"/>
    <n v="4340"/>
    <x v="1"/>
    <x v="1"/>
    <n v="0"/>
    <n v="4340"/>
    <x v="1"/>
    <s v="NA"/>
    <n v="0"/>
    <s v="SAMBA"/>
    <x v="1"/>
    <x v="0"/>
    <s v="H No 3-140  Jangareddygudem Mandal Jangareddygudem Mandal Near Raice Mill JANGAREDDIGUDUM ANP 534447 "/>
    <s v="EDUCATIONAL DEVELOPMENT YARRAMPETA MPUP SCHOOL KOYYALAGUDEM MANDAL MPUP SCHOOL KOYYALAGUDEM MANDAL ELURU ANP 534312 "/>
    <s v="ELURU"/>
    <x v="0"/>
    <x v="32"/>
    <s v="BHARAT CHANDRA"/>
    <n v="802631601"/>
    <s v="Ssde@9290"/>
    <m/>
    <m/>
    <x v="1"/>
    <m/>
    <m/>
    <x v="10"/>
    <d v="2025-10-04T00:00:00"/>
    <n v="10000"/>
    <s v="Amazon Pay ICICI Bank Credit Card"/>
    <s v="26TH MAY"/>
    <d v="2026-05-23T00:00:00"/>
  </r>
  <r>
    <s v="4748466925864003"/>
    <s v="MR TADIMERI CHANDRA SEKHAR"/>
    <n v="0"/>
    <x v="0"/>
    <m/>
    <m/>
    <s v="O"/>
    <x v="3"/>
    <s v="9573137279"/>
    <s v="X"/>
    <n v="-25190.839999999997"/>
    <n v="100000"/>
    <n v="74809.16"/>
    <s v=""/>
    <n v="74809.16"/>
    <n v="66927.62"/>
    <n v="14300"/>
    <n v="7230"/>
    <x v="0"/>
    <x v="2"/>
    <n v="7250"/>
    <n v="-20"/>
    <x v="2"/>
    <s v="TC"/>
    <s v="12101-INFINITY PYMT RCVD"/>
    <s v="SAMBA"/>
    <x v="1"/>
    <x v="0"/>
    <s v="5-36 KOTANKA ANANTAPUR  ANANTAPUR  MAIN ROAD ANANTAPUR ANP 515731 "/>
    <s v="TROPICAL AGROSYSTEM INDIA PVT LTD D NO 76-18-18 PLOT NO 18 GROUND FLOOR 1S FLOOR IRON COMPLEX BHAVANIURAM BY PASS R FLOOR IRON COMPLEX BHAVANIURAM BY PASS R VIJAYAWADA ANP 520012 "/>
    <s v="ANANTAPUR"/>
    <x v="2"/>
    <x v="26"/>
    <s v="T SRINIVAS"/>
    <n v="802030802"/>
    <s v="Sgr@0987"/>
    <m/>
    <m/>
    <x v="0"/>
    <s v="LIVE"/>
    <s v="Customer PTP on 1 hour"/>
    <x v="2"/>
    <d v="2026-05-02T00:00:00"/>
    <n v="7100"/>
    <s v="ICICI Bank Coral RuPay Credit Card"/>
    <s v="26TH MAY"/>
    <d v="2026-05-23T00:00:00"/>
  </r>
  <r>
    <s v="4748469390401004"/>
    <s v="MR GURRAM YADHARTHUDU"/>
    <n v="0"/>
    <x v="0"/>
    <m/>
    <m/>
    <s v="N"/>
    <x v="4"/>
    <s v="9885208915"/>
    <s v="X"/>
    <n v="9984.14"/>
    <n v="120000"/>
    <n v="129984.14"/>
    <s v=""/>
    <n v="129984.14"/>
    <n v="119382.5"/>
    <n v="31600"/>
    <n v="6960"/>
    <x v="1"/>
    <x v="1"/>
    <n v="0"/>
    <n v="6960"/>
    <x v="1"/>
    <s v="NA"/>
    <n v="0"/>
    <s v="SAMBA"/>
    <x v="1"/>
    <x v="0"/>
    <s v="3-161-19-7-4 MADANAPALLE S B I COLONY CHITTOOR MADANAPALLE ANP 517325 "/>
    <s v="RELIANCE SMSL LIMITED GROUND AND FRIST FLOUR N 14/2-5 PLOT N 3 SURVRY N 221 WARD N 14 CTM ROAD MADHANAP SURVRY N 221 WARD N 14 CTM ROAD MADHANAP MADANAPALLE ANP 517325 "/>
    <s v="MADANAPALLE"/>
    <x v="2"/>
    <x v="33"/>
    <s v="GUNASEKAR"/>
    <n v="802241455"/>
    <s v="Sgr@9290"/>
    <m/>
    <m/>
    <x v="0"/>
    <s v="LIVE"/>
    <s v="ustomer not available phone not anasring"/>
    <x v="14"/>
    <d v="2023-12-28T00:00:00"/>
    <n v="5207.0200000000004"/>
    <s v="ICICI Bank HPCL Super Saver Visa Credit Card"/>
    <s v="3RD JUNE"/>
    <d v="2026-05-25T00:00:00"/>
  </r>
  <r>
    <s v="4375519052714001"/>
    <s v="Mr Shaik Rohoman"/>
    <n v="0"/>
    <x v="0"/>
    <m/>
    <m/>
    <s v="N"/>
    <x v="5"/>
    <s v="9293949777"/>
    <s v="X"/>
    <n v="10009.76999999999"/>
    <n v="170000"/>
    <n v="180009.77"/>
    <s v=""/>
    <n v="180009.77"/>
    <n v="167894.6"/>
    <n v="51940"/>
    <n v="30012.19"/>
    <x v="1"/>
    <x v="1"/>
    <n v="0"/>
    <n v="30012.19"/>
    <x v="1"/>
    <s v="NA"/>
    <n v="0"/>
    <s v="DURGA"/>
    <x v="5"/>
    <x v="2"/>
    <s v="1-7-3,NAZARPETA,GUNTUR,TENALI     VIJAYAWADAANP 522201"/>
    <s v="HDB FINANCIAL SERVICES LIMITED 27-18-60 Governor Pet Governor Pet VIJAYAWADA ANP 520003"/>
    <s v="VIJAYAWADA"/>
    <x v="3"/>
    <x v="9"/>
    <s v="DURGA"/>
    <n v="801723195"/>
    <s v="Sgr@9290"/>
    <m/>
    <m/>
    <x v="0"/>
    <s v="SKIP"/>
    <s v="Ch not living in giving address mobile not answering need kyc // Ch card used his brother, customer living in Iran war problem phone not reachable but bank giving number not answering // Customer shifted frm working address 1 year ago"/>
    <x v="2"/>
    <d v="2026-04-20T00:00:00"/>
    <n v="15047.81"/>
    <s v="ICICI Bank Rubyx Visa Credit Card"/>
    <s v="29TH MAY"/>
    <d v="2026-05-26T00:00:00"/>
  </r>
  <r>
    <s v="4748469400011009"/>
    <s v="MR. PANDILLA SAI KRISHNA"/>
    <n v="0"/>
    <x v="0"/>
    <m/>
    <m/>
    <s v="N"/>
    <x v="5"/>
    <s v="9676767760"/>
    <s v="X"/>
    <n v="3562.4199999999983"/>
    <n v="120000"/>
    <n v="123562.42"/>
    <s v=""/>
    <n v="123562.42"/>
    <n v="94328.92"/>
    <n v="37650"/>
    <n v="24250"/>
    <x v="0"/>
    <x v="0"/>
    <n v="37650"/>
    <n v="-13400"/>
    <x v="9"/>
    <s v="TC"/>
    <s v="12111-ICICI BANK COLLECTION PAYMENT"/>
    <s v="DURGA"/>
    <x v="5"/>
    <x v="0"/>
    <s v="1-57,MITTA STREET VAVVERU,BUCHI,REDDY,.,  .,  NEAR BY MILK DAIRY NELLOREANP 524305"/>
    <s v="INFOSYS CONSULTING INDIA LIMITED BLOCK NO8 PLOT NO 210 MADHAVREDDY COLONY GACHIBOUULI HYDRABAD COLONY GACHIBOUULI HYDRABAD HYDERABAD TNG 500032"/>
    <s v="NELLORE"/>
    <x v="4"/>
    <x v="12"/>
    <s v="B SURESH"/>
    <n v="801570488"/>
    <s v="Ssd@9290"/>
    <m/>
    <m/>
    <x v="0"/>
    <s v="SKIP"/>
    <s v="cm not available sir and cm call not answering sir contacted to they relatives present he was in Hyderabad sir"/>
    <x v="12"/>
    <d v="2025-06-15T00:00:00"/>
    <n v="30700"/>
    <s v="ICICI Bank Coral Credit Card"/>
    <s v="29TH MAY"/>
    <d v="2026-05-26T00:00:00"/>
  </r>
  <r>
    <s v="5241935739639008"/>
    <s v="MR GIDDALURU SUMANTH"/>
    <s v="RTP"/>
    <x v="0"/>
    <n v="1"/>
    <m/>
    <s v="O"/>
    <x v="5"/>
    <s v="9010811029"/>
    <s v="W"/>
    <n v="-56539.75"/>
    <n v="180000"/>
    <n v="123460.25"/>
    <s v=""/>
    <n v="123460.25"/>
    <n v="116624.27"/>
    <n v="17530"/>
    <n v="11130"/>
    <x v="1"/>
    <x v="1"/>
    <n v="0"/>
    <n v="11130"/>
    <x v="1"/>
    <s v="NA"/>
    <n v="0"/>
    <s v="DURGA"/>
    <x v="5"/>
    <x v="0"/>
    <s v="JAYAMPU BALAYAPALLI  NELLORE  NEAR MAIN ROAD GUDURANP 524131"/>
    <s v="QUESS CORP LIMITED ASCENDAS IT PARK MAHINDRA WORLD CITY CHENGALPATTU CHENNAI CHENGALPATTU CHENNAI MAHINDRA WORLD CITY TMN 603004"/>
    <s v="GUDUR"/>
    <x v="4"/>
    <x v="12"/>
    <s v="B SURESH"/>
    <n v="801570488"/>
    <s v="Ssd@9290"/>
    <m/>
    <m/>
    <x v="0"/>
    <s v="DL"/>
    <s v="cm door locked sir and cm call answered will call back sir"/>
    <x v="2"/>
    <d v="2026-04-04T00:00:00"/>
    <n v="4000"/>
    <s v="ICICI Bank HPCL Super Saver Master Credit Card"/>
    <s v="29TH MAY"/>
    <d v="2026-05-26T00:00:00"/>
  </r>
  <r>
    <s v="4375512049405007"/>
    <s v="MR SATYA MUDDAMSETTY"/>
    <s v="RTP"/>
    <x v="0"/>
    <n v="1"/>
    <m/>
    <s v="O"/>
    <x v="5"/>
    <s v="9515406939"/>
    <s v="X"/>
    <n v="-41047.630000000005"/>
    <n v="153000"/>
    <n v="111952.37"/>
    <n v="11149.4"/>
    <n v="100802.97"/>
    <n v="92724.72"/>
    <n v="25110"/>
    <n v="12010"/>
    <x v="0"/>
    <x v="2"/>
    <n v="25000"/>
    <n v="-12990"/>
    <x v="2"/>
    <s v="TC"/>
    <s v="30501-BBPS Payment received"/>
    <s v="DURGA"/>
    <x v="5"/>
    <x v="0"/>
    <s v="S/O RANGANADAM,1-B,  KUMMARI STREET,EAST GUDURU   NELLOREANP 524101"/>
    <s v="&quot;S/O RANGANADAM,1-B,&quot; &quot;KUMMARI STREET,EAST GUDURU&quot;   NELLORE ANP 524101"/>
    <s v="GUDUR"/>
    <x v="4"/>
    <x v="12"/>
    <s v="B SURESH"/>
    <n v="801570488"/>
    <s v="Ssd@9290"/>
    <m/>
    <m/>
    <x v="0"/>
    <s v="SKIP"/>
    <s v="cm not available sir and cm call not answering sir"/>
    <x v="2"/>
    <d v="2026-04-04T00:00:00"/>
    <n v="13500"/>
    <s v="ICICI Bank Secured Coral Credit Card"/>
    <s v="29TH MAY"/>
    <d v="2026-05-26T00:00:00"/>
  </r>
  <r>
    <s v="4375518880239017"/>
    <s v="Mr M Vishnuvivek"/>
    <n v="0"/>
    <x v="0"/>
    <m/>
    <m/>
    <s v="N"/>
    <x v="5"/>
    <s v="7799322644"/>
    <s v="X"/>
    <n v="-233970.53"/>
    <n v="330000"/>
    <n v="96029.47"/>
    <n v="16423.75"/>
    <n v="79605.72"/>
    <n v="71025.27"/>
    <n v="17030"/>
    <n v="6500"/>
    <x v="0"/>
    <x v="2"/>
    <n v="6500"/>
    <n v="0"/>
    <x v="12"/>
    <s v="FE"/>
    <s v="30501-BBPS Payment received"/>
    <s v="DURGA"/>
    <x v="5"/>
    <x v="0"/>
    <s v="2-1931,PILER FLR,CHENNAREDDY STREET,PILERU, SV MAHAL     PILERANP 517214"/>
    <s v="Sri Lakshmi gowri TEXTILES Sapthagiri Complex &quot;Lbs Rload ,piler&quot; &quot;Lbs Rload ,piler&quot; CHITTOOR ANP 517214"/>
    <s v="TIRUPATHI"/>
    <x v="2"/>
    <x v="33"/>
    <s v="GUNASEKAR"/>
    <n v="802241455"/>
    <s v="Sgr@9290"/>
    <m/>
    <m/>
    <x v="0"/>
    <s v="LIVE"/>
    <s v="CM not available infomed to  father cs ptp 3/6"/>
    <x v="13"/>
    <d v="2024-06-20T00:00:00"/>
    <n v="3910"/>
    <s v="ICICI Bank Coral Credit Card"/>
    <s v="29TH MAY"/>
    <d v="2026-05-26T00:00:00"/>
  </r>
  <r>
    <s v="4375518928046010"/>
    <s v="Ms Shilpa Nandru"/>
    <n v="0"/>
    <x v="0"/>
    <m/>
    <m/>
    <s v="N"/>
    <x v="5"/>
    <s v="9849722052"/>
    <s v="X"/>
    <n v="7658.1499999999942"/>
    <n v="80000"/>
    <n v="87658.15"/>
    <s v=""/>
    <n v="87658.15"/>
    <n v="73781.84"/>
    <n v="25570"/>
    <n v="8700"/>
    <x v="0"/>
    <x v="2"/>
    <n v="15000"/>
    <n v="-6300"/>
    <x v="9"/>
    <s v="FE"/>
    <s v="30501-BBPS Payment received"/>
    <s v="DURGA"/>
    <x v="5"/>
    <x v="0"/>
    <s v="8-4-,VENUGOPAL NAGAR,81 FLR, KHANAPURAM HAWELI,KHAMMAM     KhammamTNG 507002"/>
    <s v="Govt hospital Wyra Road Zp Center Zp Center Khammam TNG 507001"/>
    <s v="KHAMMAM"/>
    <x v="1"/>
    <x v="24"/>
    <s v="POORNIMA"/>
    <n v="802824019"/>
    <s v="Nihan@2421"/>
    <m/>
    <m/>
    <x v="0"/>
    <s v="MESS"/>
    <s v="I have Visited given House address customer not available here Customer brother available Customer is in Hyderabad his brother will inform to Customer Call back with Customer evening // I have Visited customer Work address Customer is in live Customer Saying that will inform to My husband call back eveningI have Visited customer Work address Customer is in live Customer Saying that will inform to My husband call back evening // ReVisited customer Work address Customer not available Customer left after working the night shift Customer will available Tommorow Customer call not answering // ReVisited customer Work address Customer is in live Customer given ptp by Today eod"/>
    <x v="11"/>
    <d v="2025-10-24T00:00:00"/>
    <n v="14290"/>
    <s v="ICICI Bank Coral Credit Card"/>
    <s v="29TH MAY"/>
    <d v="2026-05-26T00:00:00"/>
  </r>
  <r>
    <s v="4315814802594008"/>
    <s v="MR TelukutlaNagaSai Satish Babu"/>
    <n v="0"/>
    <x v="0"/>
    <n v="1"/>
    <m/>
    <s v="N"/>
    <x v="5"/>
    <s v="7993366764"/>
    <s v="X"/>
    <n v="6845.3500000000058"/>
    <n v="80000"/>
    <n v="86845.35"/>
    <s v=""/>
    <n v="86845.35"/>
    <n v="79681.67"/>
    <n v="21430"/>
    <n v="4290"/>
    <x v="0"/>
    <x v="2"/>
    <n v="4300"/>
    <n v="-10"/>
    <x v="1"/>
    <s v="LO"/>
    <s v="12101-INFINITY PYMT RCVD"/>
    <s v="DURGA"/>
    <x v="5"/>
    <x v="0"/>
    <s v="12.628.12  SUNDARAIAH.NAGAR ..SUNDARAIAH.NAGAR Guntur GUNTURANP 522501"/>
    <s v="THOMAS.COOK BESIDE.ANJANEYA.RESTAURANT. LABBIPETA. LABBIPETA. VIJAYAWADA ANP 520010"/>
    <s v="GUNTUR"/>
    <x v="3"/>
    <x v="29"/>
    <s v="DURGA"/>
    <n v="801723195"/>
    <s v="Sgr@9290"/>
    <m/>
    <m/>
    <x v="0"/>
    <s v="LIVE"/>
    <s v="Cmr given  address visited customer spoke to suffering from job loss in before 4 month,s  &amp; prosed the legal notice cmr not ready to pay pay the payment sir //  Customer not available call answering job loss in before 4 month,s  &amp; prosed the legal notice cmr not ready to pay"/>
    <x v="11"/>
    <d v="2025-08-15T00:00:00"/>
    <n v="34475"/>
    <s v="Amazon Pay ICICI Bank Credit Card"/>
    <s v="29TH MAY"/>
    <d v="2026-05-26T00:00:00"/>
  </r>
  <r>
    <s v="4375518937759009"/>
    <s v="Mr PAVAN Gadde Kumar"/>
    <n v="0"/>
    <x v="0"/>
    <m/>
    <m/>
    <s v="N"/>
    <x v="5"/>
    <s v="9553956668"/>
    <s v="X"/>
    <n v="3386.9400000000023"/>
    <n v="63000"/>
    <n v="66386.94"/>
    <s v=""/>
    <n v="66386.94"/>
    <n v="60363.58"/>
    <n v="13250"/>
    <n v="3810"/>
    <x v="0"/>
    <x v="2"/>
    <n v="3810"/>
    <n v="0"/>
    <x v="12"/>
    <s v="LO"/>
    <s v="12101-INFINITY PYMT RCVD"/>
    <s v="DURGA"/>
    <x v="5"/>
    <x v="2"/>
    <s v="3,MOGULURU,-121 FLR,MOGULURU,KANCHIKACHARLA, SIVALAYAM     VIJAYAWADAANP 521180"/>
    <s v="ENMAS O &amp; M SERVICES PRIVATE LIMITED 3-121 Moguluru Moguluru KANCHIKACHERLA ANP 521180"/>
    <s v="VIJAYAWADA"/>
    <x v="0"/>
    <x v="22"/>
    <s v="SUDHAKAR"/>
    <n v="802913252"/>
    <s v="Ssd@9290"/>
    <m/>
    <m/>
    <x v="0"/>
    <s v="MESS"/>
    <s v="Customer not available in home call not answering infom to wife call back evening"/>
    <x v="15"/>
    <d v="2024-08-20T00:00:00"/>
    <n v="5340"/>
    <s v="ICICI Bank Expressions Credit Card"/>
    <s v="29TH MAY"/>
    <d v="2026-05-26T00:00:00"/>
  </r>
  <r>
    <s v="4375519438157008"/>
    <s v="Mr RAMA Bokkasam Krishnaiah"/>
    <n v="0"/>
    <x v="0"/>
    <m/>
    <m/>
    <s v="N"/>
    <x v="5"/>
    <s v="9550804483"/>
    <s v="X"/>
    <n v="920.76000000000204"/>
    <n v="55000"/>
    <n v="55920.76"/>
    <s v=""/>
    <n v="55920.76"/>
    <n v="49784.11"/>
    <n v="10180"/>
    <n v="3050"/>
    <x v="0"/>
    <x v="0"/>
    <n v="12000"/>
    <n v="-8950"/>
    <x v="6"/>
    <s v="TC"/>
    <s v="30501-BBPS Payment received"/>
    <s v="DURGA"/>
    <x v="5"/>
    <x v="0"/>
    <s v="7/38,KRISTAMPALLI,T KAMMAPALLI,PULLAMPET     CUDDAPAHANP 516107"/>
    <s v="KARVY STOCK BROK LTD Karvy Building Gachibowili Gachibowili Rangareddy TNG 500032"/>
    <s v="CUDDAPAH"/>
    <x v="2"/>
    <x v="5"/>
    <s v="PAVAN"/>
    <n v="802823180"/>
    <s v="Sgr@9290"/>
    <m/>
    <m/>
    <x v="0"/>
    <m/>
    <m/>
    <x v="10"/>
    <d v="2026-03-24T00:00:00"/>
    <n v="16400"/>
    <s v="ICICI Bank Coral Credit Card"/>
    <s v="29TH MAY"/>
    <d v="2026-05-26T00:00:00"/>
  </r>
  <r>
    <s v="4375514188320005"/>
    <s v="MR SIVA RAMA KRISHNA S"/>
    <n v="0"/>
    <x v="0"/>
    <m/>
    <m/>
    <s v="N"/>
    <x v="5"/>
    <s v="9963030607"/>
    <s v="X"/>
    <n v="-18655.68"/>
    <n v="70000"/>
    <n v="51344.32"/>
    <s v=""/>
    <n v="51344.32"/>
    <n v="44278.5"/>
    <n v="9690"/>
    <n v="4180"/>
    <x v="0"/>
    <x v="0"/>
    <n v="9690"/>
    <n v="-5510"/>
    <x v="10"/>
    <s v="FE"/>
    <n v="0"/>
    <s v="DURGA"/>
    <x v="5"/>
    <x v="0"/>
    <s v="2 24,LB NAGAR,GARIDE PALLE GARIDEPALLY    Beside Transformer NALGONDATNG 508201"/>
    <s v="VIRTUOSO MANAGEMENT CONSULTANTS PVT LTD UNIT NO 110 111 TOWER B3 B4 SPACE IT PARK SEC 49 SPACE IT PARK SEC 49 GURGAON HAR 122001"/>
    <s v="SURYAPET"/>
    <x v="1"/>
    <x v="34"/>
    <s v="INAMUL"/>
    <n v="802823175"/>
    <s v="Sgr@9290"/>
    <m/>
    <m/>
    <x v="0"/>
    <m/>
    <m/>
    <x v="10"/>
    <d v="2026-04-01T00:00:00"/>
    <n v="10240"/>
    <s v="Accelero ICICI Bank Credit Card"/>
    <s v="29TH MAY"/>
    <d v="2026-05-26T00:00:00"/>
  </r>
  <r>
    <s v="4375519001407004"/>
    <s v="MR ABDULBAQI Mohammed Farooqi"/>
    <n v="0"/>
    <x v="0"/>
    <m/>
    <m/>
    <s v="N"/>
    <x v="5"/>
    <s v="8919894063"/>
    <s v="X"/>
    <n v="757.55999999999767"/>
    <n v="50000"/>
    <n v="50757.56"/>
    <n v="41422.370000000003"/>
    <n v="9335.19"/>
    <n v="6634.42"/>
    <n v="9335.19"/>
    <n v="4782.47"/>
    <x v="1"/>
    <x v="1"/>
    <n v="0"/>
    <n v="4782.47"/>
    <x v="1"/>
    <s v="NA"/>
    <n v="0"/>
    <s v="DURGA"/>
    <x v="5"/>
    <x v="0"/>
    <s v="1-2-9,MITTA BAZAR,BARAM PET,NARASARAOPET, NEAR JANDA CHETTU     VIJAYAWADAANP 522601"/>
    <s v="Self employed 1-2-9 Mitta Bazar Janda Chettu Janda Chettu NARASARAOPET ANP 522601"/>
    <s v="GUNTUR"/>
    <x v="3"/>
    <x v="28"/>
    <s v="DURGA"/>
    <n v="801723195"/>
    <s v="Sgr@9290"/>
    <m/>
    <m/>
    <x v="0"/>
    <s v="SKIP"/>
    <s v="customer not available at house he was living in Eluru mobile number not working mess pass to brother......"/>
    <x v="16"/>
    <d v="2024-07-26T00:00:00"/>
    <n v="13249.62"/>
    <s v="ICICI Bank Coral Credit Card"/>
    <s v="29TH MAY"/>
    <d v="2026-05-26T00:00:00"/>
  </r>
  <r>
    <s v="4315813758139008"/>
    <s v="MR KALYANKAR RAVIKUMAR"/>
    <n v="0"/>
    <x v="0"/>
    <m/>
    <m/>
    <s v="N"/>
    <x v="6"/>
    <s v="9550885609"/>
    <s v="X"/>
    <n v="-77014.790000000008"/>
    <n v="300000"/>
    <n v="222985.21"/>
    <s v=""/>
    <n v="222985.21"/>
    <n v="195385.51"/>
    <n v="46660"/>
    <n v="26690"/>
    <x v="1"/>
    <x v="1"/>
    <n v="0"/>
    <n v="26690"/>
    <x v="1"/>
    <s v="NA"/>
    <n v="0"/>
    <s v="SAMBA"/>
    <x v="4"/>
    <x v="0"/>
    <s v="&quot;4 72,KURVAGADDA PALLY,ALWANPALLE GANGAPU&quot; &quot;R, MAHABUBNAGAR,JADCHERLA&quot;  NEAR T SHIRT AHOP JEDCHERLA TNG 509301 "/>
    <s v="VISION R PHOTOGRAPHY RNGRAO THOTA   JEDCHERLA TNG 509301 "/>
    <s v="JEDCHERLA"/>
    <x v="1"/>
    <x v="23"/>
    <s v="SAMBA"/>
    <n v="801772794"/>
    <s v="Ssde@9876"/>
    <m/>
    <m/>
    <x v="0"/>
    <s v="SKIP"/>
    <s v="Visited customer address &amp; not in address _x000a_Customer asking to make the payment phone contact"/>
    <x v="15"/>
    <d v="2026-03-14T00:00:00"/>
    <n v="6159"/>
    <s v="Amazon Pay ICICI Bank Credit Card"/>
    <s v="3RD JUNE"/>
    <d v="2026-05-27T00:00:00"/>
  </r>
  <r>
    <s v="4748469872155003"/>
    <s v="MS Karri Kanakadurga"/>
    <n v="0"/>
    <x v="0"/>
    <m/>
    <m/>
    <s v="N"/>
    <x v="7"/>
    <s v="9948778927"/>
    <s v="X"/>
    <n v="103879.48999999999"/>
    <n v="78000"/>
    <n v="181879.49"/>
    <s v=""/>
    <n v="181879.49"/>
    <n v="169991.77"/>
    <n v="114550"/>
    <n v="95900"/>
    <x v="1"/>
    <x v="1"/>
    <n v="0"/>
    <n v="95900"/>
    <x v="1"/>
    <s v="NA"/>
    <n v="0"/>
    <s v="SAMBA"/>
    <x v="1"/>
    <x v="0"/>
    <s v="&quot;PANASAPADU GRAMA PANCHAYAT,NEAR CANARA BANK,B&quot; &quot;OLD S NO 240/1,NEW S NO 244/3,KUMARA VEEDHI&quot;  PanasapaduEast Godavari KKN ANP 533005 "/>
    <s v="&quot;near old bus stand,ayodhya nagar,kakinada&quot; &quot;c/o health department,government general hosp&quot;   KKN ANP 533001 "/>
    <s v="KAKINADA"/>
    <x v="0"/>
    <x v="16"/>
    <s v="UDAY"/>
    <n v="801436997"/>
    <s v="Ssd@9290"/>
    <m/>
    <m/>
    <x v="0"/>
    <s v="SKIP"/>
    <s v="Customer address visit ch not available door lock // Customer address visit ch not available skip address need to 2nd number and kyc sir // Customer address visit ch not available skip address need to 2nd number and kyc sir // 72155003"/>
    <x v="17"/>
    <s v=""/>
    <n v="0"/>
    <s v="ICICI Bank Coral RuPay Credit Card"/>
    <s v="5TH JUNE"/>
    <d v="2026-05-28T00:00:00"/>
  </r>
  <r>
    <s v="4748469766587006"/>
    <s v="MR PALLE REDDY"/>
    <n v="0"/>
    <x v="0"/>
    <m/>
    <m/>
    <s v="O"/>
    <x v="8"/>
    <s v="7013597744"/>
    <s v="X"/>
    <n v="39556.479999999981"/>
    <n v="1000000"/>
    <n v="1039556.48"/>
    <n v="380696.87"/>
    <n v="658859.61"/>
    <n v="613831.81000000006"/>
    <n v="138980"/>
    <n v="58900"/>
    <x v="0"/>
    <x v="0"/>
    <n v="200000"/>
    <n v="-141100"/>
    <x v="3"/>
    <s v="FE"/>
    <s v="30501-BBPS Payment received"/>
    <s v="SAMBA"/>
    <x v="3"/>
    <x v="0"/>
    <s v="1/88 ,CHINNAMUDIUM VILLAGE,  PEDDAMUDIUM MANDAL, YSR DISTRICT KADAPA CUDDAPAH, ANDHRAPRADESH NEAR TEMPLE PRODDATURANP 516411"/>
    <s v="SRI SIVA DURGA AGROS INDUSTRIES PLOT NO189 INDUSTRIAL AREA INDUSTRIAL AREA PRODDATUR ANP 516360"/>
    <s v="PRODDATUR"/>
    <x v="2"/>
    <x v="31"/>
    <s v="POORNIMA"/>
    <n v="802824019"/>
    <s v="Nihan@2421"/>
    <m/>
    <m/>
    <x v="0"/>
    <s v="LIVE"/>
    <s v="Cm paid nor amount sir."/>
    <x v="4"/>
    <d v="2026-01-28T00:00:00"/>
    <n v="345000"/>
    <s v="ICICI Bank HPCL Super Saver Visa Credit Card"/>
    <s v="29TH MAY"/>
    <d v="2026-05-29T00:00:00"/>
  </r>
  <r>
    <s v="4315811079490001"/>
    <s v="Mr ARSHAD Mohammed Ali"/>
    <n v="0"/>
    <x v="0"/>
    <m/>
    <m/>
    <s v="N"/>
    <x v="8"/>
    <s v="8501955553"/>
    <s v="X"/>
    <n v="-4387.8000000000466"/>
    <n v="750000"/>
    <n v="745612.2"/>
    <s v=""/>
    <n v="745612.2"/>
    <n v="653520.49"/>
    <n v="311760"/>
    <n v="161850"/>
    <x v="0"/>
    <x v="0"/>
    <n v="745612.2"/>
    <n v="-583762.19999999995"/>
    <x v="13"/>
    <s v="FE"/>
    <s v="12111-ICICI BANK COLLECTION PAYMENT"/>
    <s v="SAMBA"/>
    <x v="2"/>
    <x v="0"/>
    <s v="H NO 1-4-164/4 ADARSH NAGAR     AdilabadTNG 504106"/>
    <s v="LIFE INSURANCE CORPORATION OF INDIA Shine Weighbridge Manchrial Road Manchrial Road Adilabad TNG 504106"/>
    <s v="ADILABAD"/>
    <x v="1"/>
    <x v="35"/>
    <s v="KANTH"/>
    <n v="802794852"/>
    <s v="Ssd@9290"/>
    <m/>
    <m/>
    <x v="0"/>
    <s v="SKIP"/>
    <s v="Customer visit Shop address not available Talk to phone prasent he was going to Hyderabad"/>
    <x v="6"/>
    <d v="2026-02-27T00:00:00"/>
    <n v="601"/>
    <s v="Amazon Pay ICICI Bank Credit Card"/>
    <s v="29TH MAY"/>
    <d v="2026-05-29T00:00:00"/>
  </r>
  <r>
    <s v="4629864079909000"/>
    <s v="Mr. PAVANKUMAR REDDY V"/>
    <n v="0"/>
    <x v="0"/>
    <m/>
    <m/>
    <s v="O"/>
    <x v="8"/>
    <s v="8790019779"/>
    <s v="X"/>
    <n v="-125968.10999999999"/>
    <n v="690000"/>
    <n v="564031.89"/>
    <s v=""/>
    <n v="564031.89"/>
    <n v="537483.52000000002"/>
    <n v="82670"/>
    <n v="51980"/>
    <x v="0"/>
    <x v="0"/>
    <n v="82670"/>
    <n v="-30690"/>
    <x v="1"/>
    <s v="D"/>
    <s v="30501-BBPS Payment received"/>
    <s v="SAMBA"/>
    <x v="1"/>
    <x v="0"/>
    <s v="E205  ELITE AVENUE  MYDUKUR RD PRODDATUR - KADAPAANP 516360"/>
    <s v="DHARA PROJECTS G1  ELITE AVENUE MYDUKUR RD PRODDATUR MYDUKUR RD PRODDATUR KADAPA ANP 516360"/>
    <s v="PRODDATUR"/>
    <x v="2"/>
    <x v="31"/>
    <s v="POORNIMA"/>
    <n v="802824019"/>
    <s v="Nihan@2421"/>
    <m/>
    <m/>
    <x v="0"/>
    <m/>
    <m/>
    <x v="10"/>
    <d v="2025-04-11T00:00:00"/>
    <n v="4830.53"/>
    <s v="ICICI Bank Coral Credit Card"/>
    <s v="29TH MAY"/>
    <d v="2026-05-29T00:00:00"/>
  </r>
  <r>
    <s v="374741097824004"/>
    <s v="MR SITA GIRI"/>
    <n v="0"/>
    <x v="0"/>
    <n v="1"/>
    <m/>
    <s v="N"/>
    <x v="8"/>
    <s v="9885545352"/>
    <s v="X"/>
    <n v="46643.699999999953"/>
    <n v="500000"/>
    <n v="546643.69999999995"/>
    <s v=""/>
    <n v="546643.69999999995"/>
    <n v="497978.78"/>
    <n v="122890"/>
    <n v="52290"/>
    <x v="0"/>
    <x v="0"/>
    <n v="546643.69999999995"/>
    <n v="-494353.69999999995"/>
    <x v="13"/>
    <s v="FE"/>
    <s v="12111-ICICI BANK COLLECTION PAYMENT"/>
    <s v="SAMBA"/>
    <x v="2"/>
    <x v="0"/>
    <s v="D NO 3-202 MADHURA NAGAR  NEAR SUNSHINE PLAY SCHOOL   KAKINADAANP 533004"/>
    <s v="Not Applicable Dno 64-4-2 S Achuthapuram S Achuthapuram KAKINADA ANP 533004"/>
    <s v="KAKINADA"/>
    <x v="0"/>
    <x v="16"/>
    <s v="UDAY"/>
    <n v="801436997"/>
    <s v="Ssd@9290"/>
    <m/>
    <m/>
    <x v="0"/>
    <s v="LIVE"/>
    <s v="Customer address visit ch not available door lock call response call back in evening sir // Customer meet office place ch not ready to pay used 3rd party used customer not pay asking for time and settlement sir // customer address visit ch not available door lock call response call back in evening sir // Customer address visit ch not available waiting for customer customer sir // Customer address meet home address asking for time facing financial issue saying sir"/>
    <x v="18"/>
    <d v="2025-10-28T00:00:00"/>
    <n v="29160"/>
    <s v="ICICI Sapphiro Master PLT Chip Card"/>
    <s v="29TH MAY"/>
    <d v="2026-05-29T00:00:00"/>
  </r>
  <r>
    <s v="4748469375281009"/>
    <s v="MR ASEEF SYED"/>
    <n v="0"/>
    <x v="0"/>
    <m/>
    <m/>
    <s v="N"/>
    <x v="8"/>
    <s v="8143976636"/>
    <s v="X"/>
    <n v="45500.819999999949"/>
    <n v="500000"/>
    <n v="545500.81999999995"/>
    <n v="194020.48000000001"/>
    <n v="351480.34"/>
    <n v="306425.55"/>
    <n v="92110"/>
    <n v="25410"/>
    <x v="0"/>
    <x v="0"/>
    <n v="351480.34"/>
    <n v="-326070.34000000003"/>
    <x v="14"/>
    <s v="TC"/>
    <s v="30501-BBPS Payment received"/>
    <s v="SAMBA"/>
    <x v="3"/>
    <x v="0"/>
    <s v="NORTH MOPURU ALLURU MABDALAM NELLORE NEAR MEESEVA NELLORE ANP 524315"/>
    <s v="ENTERPRICESS ALLURU NELLORE NELLORE NELLORE ANP 524315 "/>
    <s v="NELLORE"/>
    <x v="4"/>
    <x v="12"/>
    <s v="B SURESH"/>
    <n v="801570488"/>
    <s v="Ssd@9290"/>
    <m/>
    <m/>
    <x v="0"/>
    <m/>
    <m/>
    <x v="10"/>
    <d v="2025-09-05T00:00:00"/>
    <n v="100000"/>
    <s v="ICICI Bank HPCL Super Saver Visa Credit Card"/>
    <s v="1ST JUNE"/>
    <d v="2026-05-29T00:00:00"/>
  </r>
  <r>
    <s v="5241934362390005"/>
    <s v="MR PRASANTH KAGITHA"/>
    <n v="0"/>
    <x v="0"/>
    <m/>
    <m/>
    <s v="N"/>
    <x v="8"/>
    <s v="9700776977"/>
    <s v="X"/>
    <n v="40780.520000000019"/>
    <n v="365000"/>
    <n v="405780.52"/>
    <s v=""/>
    <n v="405780.52"/>
    <n v="363510.45"/>
    <n v="115390"/>
    <n v="63610"/>
    <x v="0"/>
    <x v="0"/>
    <n v="405780.52"/>
    <n v="-342170.52"/>
    <x v="12"/>
    <s v="TC"/>
    <s v="30501-BBPS Payment received"/>
    <s v="SAMBA"/>
    <x v="2"/>
    <x v="2"/>
    <s v="4-5-10 &quot;UPPALAPATI,RAMACHANDRA RAJU,,STREET TANNER,PE&quot;  AJITH SINGH NAGARKrishna VJW ANP 520001"/>
    <s v="48-13-18/1 FLAT NO 302 RAMSAI AVENUE RAMSAI AVENUE RAMACHANDRANAGAR VIJAYAWADA   VJW ANP 520008 "/>
    <s v="VIJAYAWADA"/>
    <x v="0"/>
    <x v="22"/>
    <s v="SUDHAKAR"/>
    <n v="802913252"/>
    <s v="Ssd@9290"/>
    <m/>
    <m/>
    <x v="0"/>
    <s v="MESS"/>
    <s v="Customer address live but currently door locked _x000a_Informed to his neighbours // Customer Address still door locked // Customer unavailable informed to his mother // Customer address currently door locked"/>
    <x v="16"/>
    <d v="2026-04-29T00:00:00"/>
    <n v="100"/>
    <s v="ICICI Rubyx Master PLT Chip Card"/>
    <s v="1ST JUNE"/>
    <d v="2026-05-29T00:00:00"/>
  </r>
  <r>
    <s v="4748469618146001"/>
    <s v="MR MADDI VINAY"/>
    <s v="RTP"/>
    <x v="0"/>
    <n v="1"/>
    <m/>
    <s v="O"/>
    <x v="8"/>
    <s v="7013423901"/>
    <s v="X"/>
    <n v="9014.710000000021"/>
    <n v="350000"/>
    <n v="359014.71"/>
    <n v="98080.24"/>
    <n v="260934.47"/>
    <n v="245570.56"/>
    <n v="56950"/>
    <n v="33310"/>
    <x v="1"/>
    <x v="1"/>
    <n v="0"/>
    <n v="33310"/>
    <x v="1"/>
    <s v="NA"/>
    <n v="0"/>
    <s v="SAMBA"/>
    <x v="4"/>
    <x v="0"/>
    <s v="H NO,26-1-1330 DORATOTA,KONDAYAPALEM ROAD,  STEEL FACTORY,BACK SIDE   NELLOREANP 524001"/>
    <s v="Vinay Kumar Nellore Nellore Nellore NELLORE ANP 524001"/>
    <s v="NELLORE"/>
    <x v="4"/>
    <x v="12"/>
    <s v="B SURESH"/>
    <n v="801570488"/>
    <s v="Ssd@9290"/>
    <m/>
    <m/>
    <x v="0"/>
    <s v="DL"/>
    <s v=" cm door locked sir and cm call not answering sir // cm door locked sir and cm call not answering sir // cm not available sir and cm call answered wants settlement sir"/>
    <x v="4"/>
    <d v="2026-02-25T00:00:00"/>
    <n v="4900"/>
    <s v="ICICI Bank Coral RuPay Credit Card"/>
    <s v="29TH MAY"/>
    <d v="2026-05-29T00:00:00"/>
  </r>
  <r>
    <s v="4748469490657000"/>
    <s v="MR ALMEIDA JOSLIN"/>
    <n v="0"/>
    <x v="1"/>
    <n v="1"/>
    <s v="CC"/>
    <s v="N"/>
    <x v="8"/>
    <s v="9949534076"/>
    <s v="X"/>
    <n v="-6423.8499999999767"/>
    <n v="290000"/>
    <n v="283576.15000000002"/>
    <s v=""/>
    <n v="283576.15000000002"/>
    <n v="261142.65"/>
    <n v="47900"/>
    <n v="13060"/>
    <x v="1"/>
    <x v="1"/>
    <n v="0"/>
    <n v="13060"/>
    <x v="1"/>
    <s v="NA"/>
    <n v="0"/>
    <s v="SAMBA"/>
    <x v="1"/>
    <x v="3"/>
    <s v="&quot;61-7/3-4 BALAJI NAGAR,NEAR ICE,,FACTORY&quot; &quot;KRISHNA,LANKA,VIJAYAWADA  URBAN&quot;  NEAR ICE FACTORY VIJAYAWADA ANP 520013"/>
    <s v="ST JOHNS EDUCATIONAL SOCIETY H NO 74-13/2-16 &quot;PATAMATA, VIJAYAWADA&quot; &quot;PATAMATA, VIJAYAWADA&quot; VIJAYAWADA ANP 520007 "/>
    <s v="VIJAYAWADA"/>
    <x v="0"/>
    <x v="22"/>
    <s v="SUDHAKAR"/>
    <n v="802913252"/>
    <s v="Ssd@9290"/>
    <m/>
    <m/>
    <x v="1"/>
    <m/>
    <m/>
    <x v="10"/>
    <d v="2026-03-02T00:00:00"/>
    <n v="3682.68"/>
    <s v="ICICI Bank Coral RuPay Credit Card"/>
    <s v="1ST JUNE"/>
    <d v="2026-05-29T00:00:00"/>
  </r>
  <r>
    <s v="4748469469310003"/>
    <s v="MR RAJULAPUDI KIRAN GOWD"/>
    <n v="0"/>
    <x v="0"/>
    <m/>
    <m/>
    <s v="N"/>
    <x v="8"/>
    <s v="7702073260"/>
    <s v="X"/>
    <n v="80549.289999999979"/>
    <n v="200000"/>
    <n v="280549.28999999998"/>
    <n v="54696.06"/>
    <n v="225853.23"/>
    <n v="203537.5"/>
    <n v="68220"/>
    <n v="27790"/>
    <x v="0"/>
    <x v="0"/>
    <n v="225853.23"/>
    <n v="-198063.23"/>
    <x v="15"/>
    <s v="TC"/>
    <s v="30501-BBPS Payment received"/>
    <s v="SAMBA"/>
    <x v="4"/>
    <x v="0"/>
    <s v="4-266 KAMANA GARUVU MAIN VILLAGE EAST GODAVARI AMALAPURAM ANP 533201"/>
    <s v="GOVT OF AP SOCIETY RURAL DEVELOP SERVICE &quot;MPDO OFFICE COMPOUND,EDARALPALLI,AMALAPU&quot; &quot;TOWN,EAST GODAVARI,ANDHRA PRADESH&quot; &quot;TOWN,EAST GODAVARI,ANDHRA PRADESH&quot; AMALAPURAM ANP 533201 "/>
    <s v="AMALAPURAM"/>
    <x v="0"/>
    <x v="25"/>
    <s v="B NAGABABU"/>
    <n v="801448854"/>
    <s v="Sgr@9290"/>
    <m/>
    <m/>
    <x v="0"/>
    <s v="LIVE"/>
    <s v="CUSTOMER NOT AVAILABLE AT HOME. RESPONDED TO THE CALL GIVEN PTP TO 5TH SIR //  CUSTOMER GIVEN PTP TO 11TH SIR // CUSTOMER NOT AVAILABLE AT HOME SIR.RESPONDED TO THE TODAY EVENING OR TOMORROW MORNING HE WILL PAY THE AMOUNT SIR // CUSTOMER GIVEN PTP TO TODAY SIR"/>
    <x v="17"/>
    <d v="2024-06-29T00:00:00"/>
    <n v="42200"/>
    <s v="ICICI Bank HPCL Super Saver Visa Credit Card"/>
    <s v="1ST JUNE"/>
    <d v="2026-05-29T00:00:00"/>
  </r>
  <r>
    <s v="4443410147780009"/>
    <s v="Mr. RAMA NARAYANA MADDU"/>
    <n v="0"/>
    <x v="0"/>
    <m/>
    <m/>
    <s v="N"/>
    <x v="8"/>
    <s v="9963027202"/>
    <s v="X"/>
    <n v="16012.340000000026"/>
    <n v="260000"/>
    <n v="276012.34000000003"/>
    <n v="66964.91"/>
    <n v="209047.43"/>
    <n v="190859.13"/>
    <n v="188570"/>
    <n v="118760"/>
    <x v="1"/>
    <x v="1"/>
    <n v="0"/>
    <n v="118760"/>
    <x v="1"/>
    <s v="NA"/>
    <n v="0"/>
    <s v="DURGA"/>
    <x v="0"/>
    <x v="0"/>
    <s v="NO 24-5-48 AGRAHARAM NARASIMHAVARI STREET  AGRAHARAM NEAR GUNTUR ANP 522004"/>
    <s v="FINT COMM PVT LTD NO 4/6 GODOWN NO 13 &amp; 14 VJR ESTATE VJR ESTATE GUNTUR ANP 522001 "/>
    <s v="GUNTUR"/>
    <x v="3"/>
    <x v="29"/>
    <s v="DURGA"/>
    <n v="801723195"/>
    <s v="Sgr@9290"/>
    <m/>
    <m/>
    <x v="0"/>
    <s v="SKIP"/>
    <s v="Cmr given address visited customer address not found enquired with in this, area neighbour, s not available area with in the sir &amp; cmr call _x000a_ Not answering _x000a_   Ineed cmr photo &amp; kyc details iam waiting for cmr location sir"/>
    <x v="12"/>
    <d v="2026-02-17T00:00:00"/>
    <n v="4000"/>
    <s v="ICICI Bank MasterCard  Platinum chip Credit Card"/>
    <s v="1ST JUNE"/>
    <d v="2026-05-29T00:00:00"/>
  </r>
  <r>
    <s v="5241930521196002"/>
    <s v="MR VENNAPUSA REDDY"/>
    <n v="0"/>
    <x v="0"/>
    <m/>
    <m/>
    <s v="N"/>
    <x v="8"/>
    <s v="8886276331"/>
    <s v="X"/>
    <n v="-25960.859999999986"/>
    <n v="290000"/>
    <n v="264039.14"/>
    <n v="66929.429999999993"/>
    <n v="197109.71"/>
    <n v="176039.16"/>
    <n v="54020"/>
    <n v="22410"/>
    <x v="0"/>
    <x v="0"/>
    <n v="197109.71"/>
    <n v="-174699.71"/>
    <x v="16"/>
    <s v="TC"/>
    <s v="30501-BBPS Payment received"/>
    <s v="SAMBA"/>
    <x v="4"/>
    <x v="0"/>
    <s v="&quot;DUVVURU MANDAL,GUDIPADU,GUDIPADU&quot;    CUDDAPAH ANP 516175"/>
    <s v="Jagadeeswara Reddy vennapusa &quot;Gudupadu Village,duvvur mandal&quot; &quot;Kadapa district,Andra Pradesh&quot; &quot;Kadapa district,Andra Pradesh&quot; PRODDATUR ANP 516175 "/>
    <s v="PRODDATUR"/>
    <x v="2"/>
    <x v="31"/>
    <s v="POORNIMA"/>
    <n v="802824019"/>
    <s v="Nihan@2421"/>
    <m/>
    <m/>
    <x v="0"/>
    <m/>
    <m/>
    <x v="10"/>
    <d v="2024-07-23T00:00:00"/>
    <n v="21014.27"/>
    <s v="ICICI Rubyx PLT Credit Card (AMEX)"/>
    <s v="1ST JUNE"/>
    <d v="2026-05-29T00:00:00"/>
  </r>
  <r>
    <s v="4748469472339007"/>
    <s v="MR DORA PANNEERU"/>
    <n v="0"/>
    <x v="0"/>
    <m/>
    <m/>
    <s v="O"/>
    <x v="8"/>
    <s v="9866848236"/>
    <s v="J3"/>
    <n v="-238664.3"/>
    <n v="500000"/>
    <n v="261335.7"/>
    <s v=""/>
    <n v="261335.7"/>
    <n v="249896.41"/>
    <n v="28250"/>
    <n v="14230"/>
    <x v="0"/>
    <x v="2"/>
    <n v="14431"/>
    <n v="-201"/>
    <x v="15"/>
    <s v="FE"/>
    <s v="30501-BBPS Payment received"/>
    <s v="SAMBA"/>
    <x v="2"/>
    <x v="0"/>
    <s v="&quot;DNO 1 -1,APSP CAMP,SAMARLAKOTA,MADHAVAPATNAM&quot;    . ANP 533005"/>
    <s v="IBM 1-125 Madhavapatnam Samalkot madal east godavari district Samalkot madal east godavari district KAKINADA ANP 533005 "/>
    <s v="KAKINADA"/>
    <x v="0"/>
    <x v="16"/>
    <s v="UDAY"/>
    <n v="801436997"/>
    <s v="Ssd@9290"/>
    <m/>
    <m/>
    <x v="0"/>
    <s v="LIVE"/>
    <s v="Customer address visit ch not available msg left to family _x000a_Customer call response call back in evening sir // Customer meet office place customer asking for time call back in 2days // Customer meet office place customer asking for time call back in 2days // Customer meet office place customer ptp on 10th sir // Customer meet office place customer today ptp sir // "/>
    <x v="19"/>
    <d v="2026-03-10T00:00:00"/>
    <n v="15000"/>
    <s v="ICICI Bank HPCL Super Saver Visa Credit Card"/>
    <s v="1ST JUNE"/>
    <d v="2026-05-29T00:00:00"/>
  </r>
  <r>
    <s v="4748469542957002"/>
    <s v="MR MUKKAMALLA VENKATA KRISHNA"/>
    <n v="0"/>
    <x v="0"/>
    <m/>
    <m/>
    <s v="N"/>
    <x v="8"/>
    <s v="9014096764"/>
    <s v="X"/>
    <n v="18718.579999999987"/>
    <n v="240000"/>
    <n v="258718.58"/>
    <n v="123786.11"/>
    <n v="134932.47"/>
    <n v="112922.74"/>
    <n v="74030"/>
    <n v="38610"/>
    <x v="1"/>
    <x v="1"/>
    <n v="0"/>
    <n v="38610"/>
    <x v="1"/>
    <s v="NA"/>
    <n v="0"/>
    <s v="SAMBA"/>
    <x v="1"/>
    <x v="0"/>
    <s v="97/182-1 CHINTHAKOMMA DINNE SANTHI NAGAR CUDDAPAH CUDDAPAH ANP 516003"/>
    <s v="GOVERNMENT OF ANDHRA PRADESH DEO OFFICE KADAPA   CUDDAPAH ANP 516004 "/>
    <s v="CUDDAPAH"/>
    <x v="2"/>
    <x v="5"/>
    <s v="PAVAN"/>
    <n v="802823180"/>
    <s v="Sgr@9290"/>
    <m/>
    <m/>
    <x v="1"/>
    <m/>
    <m/>
    <x v="10"/>
    <d v="2026-01-02T00:00:00"/>
    <n v="50000"/>
    <s v="ICICI Bank HPCL Super Saver Visa Credit Card"/>
    <s v="1ST JUNE"/>
    <d v="2026-05-29T00:00:00"/>
  </r>
  <r>
    <s v="4748469282711015"/>
    <s v="MR Pallerla Sai Dhikshith"/>
    <n v="0"/>
    <x v="0"/>
    <m/>
    <m/>
    <s v="N"/>
    <x v="8"/>
    <s v="7661809906"/>
    <s v="X"/>
    <n v="3759.6499999999942"/>
    <n v="230000"/>
    <n v="233759.65"/>
    <n v="39940.410000000003"/>
    <n v="193819.24"/>
    <n v="174433.9"/>
    <n v="48580"/>
    <n v="20750"/>
    <x v="0"/>
    <x v="0"/>
    <n v="50000"/>
    <n v="-29250"/>
    <x v="17"/>
    <s v="TC"/>
    <s v="30501-BBPS Payment received"/>
    <s v="SAMBA"/>
    <x v="3"/>
    <x v="0"/>
    <s v="4-1-117 Peddapalli Mandal Amar Nagar Karimnagar PEDDAPALLI TNG 505172"/>
    <s v="BLOCKCHAIN INTERNATIONALE WAKAD NEAR SANSKRITI SOCIETY NEAR SANSKRITI SOCIETY PUNE MAH 411057 "/>
    <s v="PEDDAPALLI"/>
    <x v="1"/>
    <x v="6"/>
    <s v="K RAMU"/>
    <n v="802898520"/>
    <s v="Ssd@9290"/>
    <m/>
    <m/>
    <x v="0"/>
    <s v="SKIP"/>
    <s v="Customer address not found need kyc details sir"/>
    <x v="14"/>
    <d v="2024-07-04T00:00:00"/>
    <n v="9890"/>
    <s v="ICICI Bank HPCL Super Saver Visa Credit Card"/>
    <s v="1ST JUNE"/>
    <d v="2026-05-29T00:00:00"/>
  </r>
  <r>
    <s v="4748469525982019"/>
    <s v="MR KALUVA MAHESH"/>
    <n v="0"/>
    <x v="0"/>
    <m/>
    <m/>
    <s v="N"/>
    <x v="8"/>
    <s v="9581638071"/>
    <s v="X"/>
    <n v="8842.8399999999965"/>
    <n v="210000"/>
    <n v="218842.84"/>
    <n v="175354.81"/>
    <n v="43488.03"/>
    <n v="32069.360000000001"/>
    <n v="43488.03"/>
    <n v="22090.240000000002"/>
    <x v="1"/>
    <x v="1"/>
    <n v="0"/>
    <n v="22090.240000000002"/>
    <x v="1"/>
    <s v="NA"/>
    <n v="0"/>
    <s v="SAMBA"/>
    <x v="4"/>
    <x v="0"/>
    <s v="4/22-1-17 RAJAMPETA MADANAGOPALAPURAM CUDDAPAH CUDDAPAH ANP 516126"/>
    <s v="ANNAMACHARYA INSTITUE OF TECHNOLOGYSCIEN RAJAMPET NEWBOYANAPALLI NEWBOYANAPALLI CUDDAPAH ANP 516126 "/>
    <s v="CUDDAPAH"/>
    <x v="2"/>
    <x v="5"/>
    <s v="PAVAN"/>
    <n v="802823180"/>
    <s v="Sgr@9290"/>
    <m/>
    <m/>
    <x v="0"/>
    <s v="SKIP"/>
    <s v="Customer shifted from given address and not working in college also"/>
    <x v="16"/>
    <d v="2024-06-18T00:00:00"/>
    <n v="50"/>
    <s v="ICICI Bank Coral RuPay Credit Card"/>
    <s v="1ST JUNE"/>
    <d v="2026-05-29T00:00:00"/>
  </r>
  <r>
    <s v="374742628658002"/>
    <s v="MR BATTU  BATTU NAGA VARAPRASAD"/>
    <n v="0"/>
    <x v="0"/>
    <m/>
    <m/>
    <s v="N"/>
    <x v="8"/>
    <s v="9809803336"/>
    <s v="X"/>
    <n v="9013.7300000000105"/>
    <n v="200000"/>
    <n v="209013.73"/>
    <n v="133598.6"/>
    <n v="75415.13"/>
    <n v="66254.990000000005"/>
    <n v="24790"/>
    <n v="7580"/>
    <x v="1"/>
    <x v="1"/>
    <n v="0"/>
    <n v="7580"/>
    <x v="1"/>
    <s v="NA"/>
    <n v="0"/>
    <s v="DURGA"/>
    <x v="0"/>
    <x v="2"/>
    <s v="&quot;5-883A, KOPPURAO,COLONY,MANGALAGIRI,9TH&quot;    GUNTUR ANP 522503"/>
    <s v="       "/>
    <s v="VIJAYAWADA"/>
    <x v="3"/>
    <x v="29"/>
    <s v="DURGA"/>
    <n v="801723195"/>
    <s v="Sgr@9290"/>
    <m/>
    <m/>
    <x v="0"/>
    <s v="LIVE"/>
    <s v="  Cmr given address visited customer suffering from leg injured cmr asking for sometime sir // Customer live present not available call answering recently accident customer saide asking same time present not ready to pay"/>
    <x v="11"/>
    <s v=""/>
    <n v="0"/>
    <s v="ICICI Rubyx PLT Credit Card (AMEX)"/>
    <s v="1ST JUNE"/>
    <d v="2026-05-29T00:00:00"/>
  </r>
  <r>
    <s v="4748469489347019"/>
    <s v="MR JALAGAM MAHESH"/>
    <n v="0"/>
    <x v="0"/>
    <m/>
    <m/>
    <s v="N"/>
    <x v="8"/>
    <s v="9014966757"/>
    <s v="X"/>
    <n v="8480.2099999999919"/>
    <n v="200000"/>
    <n v="208480.21"/>
    <s v=""/>
    <n v="208480.21"/>
    <n v="197867.6"/>
    <n v="30290"/>
    <n v="9410"/>
    <x v="0"/>
    <x v="2"/>
    <n v="9460"/>
    <n v="-50"/>
    <x v="6"/>
    <s v="FE"/>
    <s v="12101-INFINITY PYMT RCVD"/>
    <s v="SAMBA"/>
    <x v="3"/>
    <x v="0"/>
    <s v="APOLLO PHARMACY OLD LIC OFFICE &quot;KHAMMAM,TS&quot; OPPOSITE UNION BANK ATM KHAMMAM TNG 507002"/>
    <s v="APOLLO HOSPITALS ENTERPRISE LIMITED &quot;APOLLO PHARMACY,OLD LIC OFFICE&quot; &quot;KHAMMAM,TS&quot; &quot;KHAMMAM,TS&quot; KHAMMAM TNG 507002 "/>
    <s v="KHAMMAM"/>
    <x v="1"/>
    <x v="24"/>
    <s v="POORNIMA"/>
    <n v="802824019"/>
    <s v="Nihan@2421"/>
    <m/>
    <m/>
    <x v="0"/>
    <m/>
    <m/>
    <x v="10"/>
    <d v="2026-04-02T00:00:00"/>
    <n v="500"/>
    <s v="ICICI Bank Coral RuPay Credit Card"/>
    <s v="1ST JUNE"/>
    <d v="2026-05-29T00:00:00"/>
  </r>
  <r>
    <s v="4748469338187004"/>
    <s v="MR TUPAKULA SRINIVASULU"/>
    <n v="0"/>
    <x v="0"/>
    <m/>
    <m/>
    <s v="N"/>
    <x v="8"/>
    <s v="9989762095"/>
    <s v="X"/>
    <n v="3320.3800000000047"/>
    <n v="200000"/>
    <n v="203320.38"/>
    <n v="32739.05"/>
    <n v="170581.33"/>
    <n v="162489.37"/>
    <n v="33280"/>
    <n v="15838"/>
    <x v="0"/>
    <x v="0"/>
    <n v="170581.33"/>
    <n v="-154743.32999999999"/>
    <x v="16"/>
    <s v="TC"/>
    <s v="12124 - UPI Payment Received"/>
    <s v="SAMBA"/>
    <x v="4"/>
    <x v="0"/>
    <s v="&quot;6-2-36 L A SAGARAM NAIDU,PET,NAIDUPETA,,&quot; L A SAGARAM  L A SAGARAM GUDUR ANP 524126"/>
    <s v="NURSERY AND RENTAL INCOME &quot;6 2 36 L A SAGARAM,NAIDUPETA&quot; NELLORE NELLORE GUDUR ANP 524126 "/>
    <s v="GUDUR"/>
    <x v="4"/>
    <x v="12"/>
    <s v="B SURESH"/>
    <n v="801570488"/>
    <s v="Ssd@9290"/>
    <m/>
    <m/>
    <x v="0"/>
    <s v="SKIP"/>
    <s v="cm shifted from here sir and cm call not answering sir"/>
    <x v="14"/>
    <d v="2026-03-10T00:00:00"/>
    <n v="20000"/>
    <s v="ICICI Bank Expressions Credit Card"/>
    <s v="1ST JUNE"/>
    <d v="2026-05-29T00:00:00"/>
  </r>
  <r>
    <s v="4748469385302001"/>
    <s v="MR SREEVISHNU UPPUNUTHULA"/>
    <n v="0"/>
    <x v="0"/>
    <m/>
    <m/>
    <s v="N"/>
    <x v="8"/>
    <s v="9949248315"/>
    <s v="X"/>
    <n v="9657.929999999993"/>
    <n v="190000"/>
    <n v="199657.93"/>
    <s v=""/>
    <n v="199657.93"/>
    <n v="180688.74"/>
    <n v="39720"/>
    <n v="11960"/>
    <x v="0"/>
    <x v="2"/>
    <n v="12000"/>
    <n v="-40"/>
    <x v="17"/>
    <s v="FE"/>
    <s v="12124 - UPI Payment Received"/>
    <s v="SAMBA"/>
    <x v="2"/>
    <x v="0"/>
    <s v="H NO 1 77 ARVAYYAPALLE RAMTHEERTHAM SHANIGARAM  NEAR MAIN ROAD WARANGAL TNG 506349"/>
    <s v="GOVERNMENT OF TELANGANA TSWRS JR B ETURNAGARAM MANGAPETA MULUGU WARANGAL MANGAPETA MULUGU WARANGAL BHOOPALPALLY TNG 506172 "/>
    <s v="WARANGAL"/>
    <x v="1"/>
    <x v="30"/>
    <s v="AKHIL"/>
    <n v="801772792"/>
    <s v="Sgr@9290"/>
    <m/>
    <m/>
    <x v="0"/>
    <s v="LIVE"/>
    <s v="Cust respond to call and given ptp on today evening"/>
    <x v="15"/>
    <d v="2026-03-11T00:00:00"/>
    <n v="17500"/>
    <s v="ICICI Bank HPCL Super Saver Visa Credit Card"/>
    <s v="1ST JUNE"/>
    <d v="2026-05-29T00:00:00"/>
  </r>
  <r>
    <s v="5241930841816008"/>
    <s v="MR KOTA SRINIVAS"/>
    <n v="0"/>
    <x v="0"/>
    <m/>
    <m/>
    <s v="O"/>
    <x v="8"/>
    <s v="8985854303"/>
    <s v="X"/>
    <n v="-1724.2300000000105"/>
    <n v="200000"/>
    <n v="198275.77"/>
    <n v="127280.32000000001"/>
    <n v="70995.45"/>
    <n v="64028.59"/>
    <n v="30650"/>
    <n v="15027.98"/>
    <x v="0"/>
    <x v="2"/>
    <n v="20000"/>
    <n v="-4972.0200000000004"/>
    <x v="17"/>
    <s v="FE"/>
    <s v="30501-BBPS Payment received"/>
    <s v="SAMBA"/>
    <x v="2"/>
    <x v="0"/>
    <s v="H NO 5 5 6 VALLAMKUNTA KARIMNAGAR KARIMNAGAR INDIA NR RD KARIMNAGAR TNG 505503"/>
    <s v="GOVT OF TELANGANA GOVERNMENT OF TELANGANA AYUSH HOSPITAL MAHADEVAPURA HOSPITAL MAHADEVAPURA KARIMNAGAR TNG 505504 "/>
    <s v="KARIMNAGAR"/>
    <x v="1"/>
    <x v="6"/>
    <s v="K RAMU"/>
    <n v="802898520"/>
    <s v="Ssd@9290"/>
    <m/>
    <m/>
    <x v="0"/>
    <m/>
    <m/>
    <x v="10"/>
    <d v="2026-02-25T00:00:00"/>
    <n v="35360"/>
    <s v="ICICI Rubyx Master PLT Chip Card"/>
    <s v="1ST JUNE"/>
    <d v="2026-05-29T00:00:00"/>
  </r>
  <r>
    <s v="5241933873465009"/>
    <s v="MR NAGARJUNA Y"/>
    <n v="0"/>
    <x v="0"/>
    <m/>
    <m/>
    <s v="N"/>
    <x v="8"/>
    <s v="9505127473"/>
    <s v="X"/>
    <n v="14315.359999999986"/>
    <n v="180000"/>
    <n v="194315.36"/>
    <s v=""/>
    <n v="194315.36"/>
    <n v="172993"/>
    <n v="43680"/>
    <n v="16790"/>
    <x v="0"/>
    <x v="0"/>
    <n v="194315.36"/>
    <n v="-177525.36"/>
    <x v="17"/>
    <s v="FE"/>
    <s v="30501-BBPS Payment received"/>
    <s v="SAMBA"/>
    <x v="1"/>
    <x v="0"/>
    <s v="&quot;HOUSE,NUMBER 1-65 PONNEKAL,THALLAMPADU,,&quot; &quot;TALLAMPADU,TALLAMPAHAD&quot;  MAIN RD KHAMMAM TNG 507170"/>
    <s v="COGNIZANT TECHNOLOGY SOLUTIONS INDIA PRI DLF BUILDING 2 3 FLOOR GACHIBOWLI HYDERABAD TELANGANA GACHIBOWLI HYDERABAD TELANGANA HYDERABAD TNG 500032 "/>
    <s v="KHAMMAM"/>
    <x v="1"/>
    <x v="24"/>
    <s v="POORNIMA"/>
    <n v="802824019"/>
    <s v="Nihan@2421"/>
    <m/>
    <m/>
    <x v="0"/>
    <s v="LIVE"/>
    <s v="I have visited Customer Village address customer meet outside of his village Customer paid 40,000/-_x000a_Remaining amount given PTP by today eod"/>
    <x v="4"/>
    <d v="2025-07-07T00:00:00"/>
    <n v="14082"/>
    <s v="ICICI Rubyx Master PLT Chip Card"/>
    <s v="1ST JUNE"/>
    <d v="2026-05-29T00:00:00"/>
  </r>
  <r>
    <s v="5241930474615016"/>
    <s v="Mr TARLAPU VEERASWAMY"/>
    <n v="0"/>
    <x v="0"/>
    <m/>
    <m/>
    <s v="N"/>
    <x v="8"/>
    <s v="9392926181"/>
    <s v="X"/>
    <n v="8892.4400000000023"/>
    <n v="180000"/>
    <n v="188892.44"/>
    <s v=""/>
    <n v="188892.44"/>
    <n v="169979.5"/>
    <n v="37740"/>
    <n v="11620"/>
    <x v="0"/>
    <x v="0"/>
    <n v="37740"/>
    <n v="-26120"/>
    <x v="14"/>
    <s v="TC"/>
    <s v="12111-ICICI BANK COLLECTION PAYMENT"/>
    <s v="SAMBA"/>
    <x v="1"/>
    <x v="0"/>
    <s v="&quot;VENKATA RAMANA NAGAR,11-127 FLR,ZED BRIDGE,&quot; &quot;EAST GODAVARI,INDRAPALEM&quot;   KAKINADA ANP 533006"/>
    <s v="Not Applicable venkata rama nagar flred east godavari flred east godavari KAKINADA ANP 533006 "/>
    <s v="KAKINADA"/>
    <x v="0"/>
    <x v="16"/>
    <s v="UDAY"/>
    <n v="801436997"/>
    <s v="Ssd@9290"/>
    <m/>
    <m/>
    <x v="0"/>
    <s v="SKIP"/>
    <s v="Customer shift to London _x000a_Call not working sir neighbour enquiry customer shift to London sir // Customer address door lock customer in our office country call not answering sir // Customer PAID sir"/>
    <x v="14"/>
    <d v="2024-11-11T00:00:00"/>
    <n v="20000"/>
    <s v="ICICI Rubyx Master PLT Chip Card"/>
    <s v="1ST JUNE"/>
    <d v="2026-05-29T00:00:00"/>
  </r>
  <r>
    <s v="5241935219174013"/>
    <s v="MR BATHINA SANJAY KUMAR"/>
    <n v="0"/>
    <x v="0"/>
    <m/>
    <m/>
    <s v="N"/>
    <x v="8"/>
    <s v="9666282210"/>
    <s v="X"/>
    <n v="-212524.21"/>
    <n v="400000"/>
    <n v="187475.79"/>
    <n v="103897.53"/>
    <n v="83578.259999999995"/>
    <n v="66279.649999999994"/>
    <n v="53960"/>
    <n v="27720"/>
    <x v="1"/>
    <x v="1"/>
    <n v="0"/>
    <n v="27720"/>
    <x v="1"/>
    <s v="NA"/>
    <n v="0"/>
    <s v="SAMBA"/>
    <x v="2"/>
    <x v="0"/>
    <s v="&quot;H NO,40-691 DHARMAPETA,.,&quot; ...  ATM KURNOOL ANP 518004"/>
    <s v="CAPGEMINI TECHNOLOGY SERVICES INDIA LIMI NO 158-162P 165-170P EPIP PHASE 11 WHITEFIELD BANGALORE KARANTAKA WHITEFIELD BANGALORE KARANTAKA BANGALORE KAR 560066 "/>
    <s v="KURNOOL"/>
    <x v="2"/>
    <x v="19"/>
    <s v="SAMBA"/>
    <n v="801772794"/>
    <s v="Ssde@9876"/>
    <m/>
    <m/>
    <x v="0"/>
    <s v="MESS"/>
    <s v="Customer live in Bangalore. Meet with his brother. Customer not lifting his brother call also . // Customer live in Bangalore. Not responding for calls . Meet with his brother &amp; left the masg // Customer left from house  . We have contacted with his father &amp; brother . They told that to don't come near house again . // No such person available in the given address"/>
    <x v="17"/>
    <d v="2025-10-27T00:00:00"/>
    <n v="7160"/>
    <s v="ICICI Bank Coral RuPay Credit Card"/>
    <s v="1ST JUNE"/>
    <d v="2026-05-29T00:00:00"/>
  </r>
  <r>
    <s v="5241934351873003"/>
    <s v="MS DANTULURI VANI"/>
    <n v="0"/>
    <x v="0"/>
    <m/>
    <m/>
    <s v="N"/>
    <x v="8"/>
    <s v="7396552296"/>
    <s v="X"/>
    <n v="-123985.87"/>
    <n v="300000"/>
    <n v="176014.13"/>
    <n v="76323.75"/>
    <n v="99690.38"/>
    <n v="91276.62"/>
    <n v="57820"/>
    <n v="26423.38"/>
    <x v="0"/>
    <x v="2"/>
    <n v="44358.39"/>
    <n v="-17935.009999999998"/>
    <x v="12"/>
    <s v="TC"/>
    <s v="30501-BBPS Payment received"/>
    <s v="SAMBA"/>
    <x v="3"/>
    <x v="0"/>
    <s v="3 &quot;18,A 2 1 AYODHYA NAGAR 5,KOTHA,,KAKINADA KAKI&quot;  East Godavari KKN ANP 533001"/>
    <s v="3-192/2Varun apartment Government school   KKN ANP 533005 "/>
    <s v="KAKINADA"/>
    <x v="0"/>
    <x v="16"/>
    <s v="UDAY"/>
    <n v="801436997"/>
    <s v="Ssd@9290"/>
    <m/>
    <m/>
    <x v="0"/>
    <s v="SKIP"/>
    <s v="CUSTOMER ADDRESS SKIP NEED TO KYC sir call not working sir // Customer 2nd address visit ch not available skip address need to kyc sir @Samba Garu"/>
    <x v="14"/>
    <s v=""/>
    <n v="0"/>
    <s v="ICICI Bank Coral RuPay Credit Card"/>
    <s v="1ST JUNE"/>
    <d v="2026-05-29T00:00:00"/>
  </r>
  <r>
    <s v="374741149803006"/>
    <s v="Mr SAGGAM PRASAD"/>
    <n v="0"/>
    <x v="0"/>
    <m/>
    <m/>
    <s v="O"/>
    <x v="8"/>
    <s v="7338006718"/>
    <s v="X"/>
    <n v="-195052.92"/>
    <n v="362000"/>
    <n v="166947.07999999999"/>
    <n v="110356.39"/>
    <n v="56590.69"/>
    <n v="48790.11"/>
    <n v="56590.69"/>
    <n v="28000"/>
    <x v="0"/>
    <x v="2"/>
    <n v="28000"/>
    <n v="0"/>
    <x v="13"/>
    <s v="FE"/>
    <s v="12124 - UPI Payment Received"/>
    <s v="SAMBA"/>
    <x v="4"/>
    <x v="0"/>
    <s v="&quot;,,&quot; &quot;,&quot; Yerravari Palem Varanasi Vari Palli CHITTOOR ANP 517192"/>
    <s v="Saggam and Associates &quot;No.26, Tulasi House,&quot; Nandini Layout Nandini Layout BANGALORE KAR 560096 "/>
    <s v="TIRUPATHI"/>
    <x v="2"/>
    <x v="33"/>
    <s v="GUNASEKAR"/>
    <n v="802241455"/>
    <s v="Sgr@9290"/>
    <m/>
    <m/>
    <x v="0"/>
    <m/>
    <m/>
    <x v="10"/>
    <d v="2026-03-03T00:00:00"/>
    <n v="88510.49"/>
    <s v="ICICI Sapphiro Card (Amex)"/>
    <s v="1ST JUNE"/>
    <d v="2026-05-29T00:00:00"/>
  </r>
  <r>
    <s v="5241930597424007"/>
    <s v="MR MADATALA MANIKANTA"/>
    <n v="0"/>
    <x v="0"/>
    <m/>
    <m/>
    <s v="N"/>
    <x v="8"/>
    <s v="7993778911"/>
    <s v="X"/>
    <n v="-29597.510000000009"/>
    <n v="168000"/>
    <n v="138402.49"/>
    <s v=""/>
    <n v="138402.49"/>
    <n v="116891.98"/>
    <n v="27970"/>
    <n v="12240"/>
    <x v="0"/>
    <x v="0"/>
    <n v="28402"/>
    <n v="-16162"/>
    <x v="12"/>
    <s v="TC"/>
    <s v="30501-BBPS Payment received"/>
    <s v="SAMBA"/>
    <x v="1"/>
    <x v="2"/>
    <s v="&quot;1-389,AGIRIPALLI,.&quot;    KRISHNA ANP 521211"/>
    <s v="Not Applicable Nill Nill Nill VIJAYAWADA ANP 521211 "/>
    <s v="VIJAYAWADA"/>
    <x v="1"/>
    <x v="36"/>
    <s v="SUDHAKAR"/>
    <n v="802913252"/>
    <s v="Ssd@9290"/>
    <m/>
    <m/>
    <x v="0"/>
    <s v="DL"/>
    <s v="Costumer house door locked calls not connecting need alternative number sir"/>
    <x v="15"/>
    <d v="2026-03-07T00:00:00"/>
    <n v="25000"/>
    <s v="ICICI Rubyx PLT Credit Card (AMEX)"/>
    <s v="1ST JUNE"/>
    <d v="2026-05-29T00:00:00"/>
  </r>
  <r>
    <s v="4748469431381009"/>
    <s v="MS CHUNDURU NAGA SARANYA"/>
    <n v="0"/>
    <x v="0"/>
    <m/>
    <m/>
    <s v="N"/>
    <x v="8"/>
    <s v="8555905999"/>
    <s v="X"/>
    <n v="7606.2200000000012"/>
    <n v="120000"/>
    <n v="127606.22"/>
    <n v="43209.78"/>
    <n v="84396.44"/>
    <n v="76721.89"/>
    <n v="24210"/>
    <n v="9260"/>
    <x v="1"/>
    <x v="1"/>
    <n v="0"/>
    <n v="9260"/>
    <x v="1"/>
    <s v="NA"/>
    <n v="0"/>
    <s v="DURGA"/>
    <x v="0"/>
    <x v="0"/>
    <s v="LALUPURAM 7-28 CHERUVUKATTA CENTER  NEAR WATER PLANT GUNTUR ANP 522017"/>
    <s v="INDUSIND BANK LIMITED &quot;6-9-17,RATNA DEEPIKA PLAZA&quot; &quot;9 TH LANE,ARUNDALPETA,GUNTUR&quot; &quot;9 TH LANE,ARUNDALPETA,GUNTUR&quot; GUNTUR ANP 522002 "/>
    <s v="GUNTUR"/>
    <x v="3"/>
    <x v="29"/>
    <s v="DURGA"/>
    <n v="801723195"/>
    <s v="Sgr@9290"/>
    <m/>
    <m/>
    <x v="0"/>
    <s v="MESS"/>
    <s v=" Cmr given address visited customer present not available at the home in fom to is family members,s &amp; go to the 2 address sir"/>
    <x v="12"/>
    <d v="2024-06-25T00:00:00"/>
    <n v="61499.86"/>
    <s v="ICICI Bank HPCL Super Saver Visa Credit Card"/>
    <s v="1ST JUNE"/>
    <d v="2026-05-29T00:00:00"/>
  </r>
  <r>
    <s v="4748469519344002"/>
    <s v="MR ABONASA VENKATESWARULU"/>
    <n v="0"/>
    <x v="0"/>
    <m/>
    <m/>
    <s v="N"/>
    <x v="8"/>
    <s v="9885627374"/>
    <s v="J3"/>
    <n v="-155391.21000000002"/>
    <n v="270000"/>
    <n v="114608.79"/>
    <s v=""/>
    <n v="114608.79"/>
    <n v="28206.06"/>
    <n v="103020"/>
    <n v="97640"/>
    <x v="1"/>
    <x v="1"/>
    <n v="0"/>
    <n v="97640"/>
    <x v="1"/>
    <s v="NA"/>
    <n v="0"/>
    <s v="SAMBA"/>
    <x v="4"/>
    <x v="0"/>
    <s v="&quot;6-36 GANDHI CHOWK,CHAKALAVEEDHI&quot; WANAPARTHY  100M GANDHI STATUE WANAPARTHY TNG 509104"/>
    <s v="GOVT OF TELANGANA AAO ELECTRIVITY REVENUE OFFICE TSSPDCL TSSPDCL WANAPARTHY TNG 509104 "/>
    <s v="WANAPARTHY"/>
    <x v="1"/>
    <x v="23"/>
    <s v="SAMBA"/>
    <n v="801772794"/>
    <s v="Ssde@9876"/>
    <m/>
    <m/>
    <x v="1"/>
    <m/>
    <m/>
    <x v="10"/>
    <d v="2026-02-10T00:00:00"/>
    <n v="6850"/>
    <s v="ICICI Bank HPCL Super Saver Visa Credit Card"/>
    <s v="1ST JUNE"/>
    <d v="2026-05-29T00:00:00"/>
  </r>
  <r>
    <s v="4748469432890008"/>
    <s v="MR KOLE RANGA NAYAKULU"/>
    <n v="0"/>
    <x v="0"/>
    <m/>
    <m/>
    <s v="N"/>
    <x v="8"/>
    <s v="9490601554"/>
    <s v="X"/>
    <n v="10107.36"/>
    <n v="100000"/>
    <n v="110107.36"/>
    <s v=""/>
    <n v="110107.36"/>
    <n v="99472.63"/>
    <n v="26250"/>
    <n v="9730"/>
    <x v="0"/>
    <x v="2"/>
    <n v="11000"/>
    <n v="-1270"/>
    <x v="12"/>
    <s v="TC"/>
    <s v="12124 - UPI Payment Received"/>
    <s v="SAMBA"/>
    <x v="1"/>
    <x v="0"/>
    <s v="D NO E 2 LAKEVIEW APARTMENT PRASANTH NAG &quot;MADANAPALLI ,MADANAPALLE ,,ANDHRA&quot;  MAIN ROAD MADANAPALLE ANP 517325"/>
    <s v="GOVERNMENT OF AP &quot;A P T W RESIDENTIAL SCHOOL, BESIDE MLL H&quot; &quot;MLL HOSPITAL, PUNGANUR ROAD, MADANAPALLI&quot; &quot;MLL HOSPITAL, PUNGANUR ROAD, MADANAPALLI&quot; MADANAPALLE ANP 517325 "/>
    <s v="MADANAPALLE"/>
    <x v="2"/>
    <x v="33"/>
    <s v="GUNASEKAR"/>
    <n v="802241455"/>
    <s v="Sgr@9290"/>
    <m/>
    <m/>
    <x v="0"/>
    <s v="SKIP"/>
    <s v="customer office address visited cs not available phone not answering"/>
    <x v="14"/>
    <d v="2026-04-07T00:00:00"/>
    <n v="3000"/>
    <s v="ICICI Bank HPCL Super Saver Visa Credit Card"/>
    <s v="1ST JUNE"/>
    <d v="2026-05-29T00:00:00"/>
  </r>
  <r>
    <s v="4748469553609005"/>
    <s v="MS CHIPPADA VASAVI DEVI"/>
    <n v="0"/>
    <x v="0"/>
    <m/>
    <m/>
    <s v="N"/>
    <x v="8"/>
    <s v="9542270174"/>
    <s v="X"/>
    <n v="7318.9199999999983"/>
    <n v="100000"/>
    <n v="107318.92"/>
    <n v="48833.62"/>
    <n v="58485.3"/>
    <n v="50928.93"/>
    <n v="22610"/>
    <n v="9560"/>
    <x v="0"/>
    <x v="2"/>
    <n v="9900"/>
    <n v="-340"/>
    <x v="12"/>
    <s v="TC"/>
    <s v="30501-BBPS Payment received"/>
    <s v="SAMBA"/>
    <x v="1"/>
    <x v="0"/>
    <s v="2-87 KOVVURU MANDAL NEAR GANDHI STATUE NEAR GANDHI STATUE West Godavari ANP 534342"/>
    <s v="EASTERN POWER DISTRIBUTION COMPANY OF AP JAMPET RD ANNAPURANAMMA PETA RAJAMAHENDRAVARAM RAJAMAHENDRAVARAM RAJAHMUNDRY ANP 533101 "/>
    <s v="WEST GODAVARI"/>
    <x v="0"/>
    <x v="13"/>
    <s v="MANIKANTA"/>
    <n v="802852449"/>
    <s v="Ssd@9290"/>
    <m/>
    <m/>
    <x v="0"/>
    <s v="SKIP"/>
    <s v="Custmor not lived  sir"/>
    <x v="15"/>
    <d v="2024-06-29T00:00:00"/>
    <n v="15010"/>
    <s v="ICICI Bank HPCL Super Saver Visa Credit Card"/>
    <s v="1ST JUNE"/>
    <d v="2026-05-29T00:00:00"/>
  </r>
  <r>
    <s v="4748469556430003"/>
    <s v="MR BODDELA VIJAYA KUMAR"/>
    <n v="0"/>
    <x v="0"/>
    <m/>
    <m/>
    <s v="N"/>
    <x v="8"/>
    <s v="9866027679"/>
    <s v="X"/>
    <n v="7170.0899999999965"/>
    <n v="100000"/>
    <n v="107170.09"/>
    <n v="84802.61"/>
    <n v="22367.48"/>
    <n v="15497.39"/>
    <n v="22367.48"/>
    <n v="11435.36"/>
    <x v="0"/>
    <x v="2"/>
    <n v="11437"/>
    <n v="-1.6399999999994179"/>
    <x v="12"/>
    <s v="TC"/>
    <s v="30501-BBPS Payment received"/>
    <s v="SAMBA"/>
    <x v="3"/>
    <x v="0"/>
    <s v="50/348/H27 KOTLA PEDDA NAGIREDDY COLONY POST B -CAMP KURNOOOL ANDHRAPRADESH TEMPLE KURNOOL ANP 518002"/>
    <s v="SVN CONSTRUCTIONS 50/348/H27 KOTHLA PEDDA NAGIREDDY COLONY KURNOOL NAGIREDDY COLONY KURNOOL KURNOOL ANP 518002 "/>
    <s v="KURNOOL"/>
    <x v="2"/>
    <x v="19"/>
    <s v="SAMBA"/>
    <n v="801772794"/>
    <s v="Ssde@9876"/>
    <m/>
    <m/>
    <x v="0"/>
    <s v="SKIP"/>
    <s v="ustomer given ptp on tomorrow evening sir // Give ptp today evening  // Customer not available meet with customer mother . Give ptp today by night confirm"/>
    <x v="15"/>
    <d v="2026-02-11T00:00:00"/>
    <n v="9750"/>
    <s v="ICICI Bank HPCL Super Saver Visa Credit Card"/>
    <s v="1ST JUNE"/>
    <d v="2026-05-29T00:00:00"/>
  </r>
  <r>
    <s v="4748469626388009"/>
    <s v="MR MATURU PANCHAKSHARI"/>
    <n v="0"/>
    <x v="0"/>
    <m/>
    <m/>
    <s v="N"/>
    <x v="8"/>
    <s v="9848112700"/>
    <s v="X"/>
    <n v="6895.929999999993"/>
    <n v="100000"/>
    <n v="106895.93"/>
    <s v=""/>
    <n v="106895.93"/>
    <n v="91632.89"/>
    <n v="38550"/>
    <n v="19890"/>
    <x v="1"/>
    <x v="1"/>
    <n v="0"/>
    <n v="19890"/>
    <x v="1"/>
    <s v="NA"/>
    <n v="0"/>
    <s v="SAMBA"/>
    <x v="2"/>
    <x v="0"/>
    <s v="&quot;3-33,2 VENKATARAO STREET,SUBBARAO,&quot; PETA TADEPALLIGUDEM   WEST GODAVARI ANP 534101"/>
    <s v="Not Applicable &quot;D No 13-2-62, good shed, near railway track road&quot; West godavari West godavari THADEPALLI GUDEM ANP 534102 "/>
    <s v="TADEPALLIGUDEM"/>
    <x v="0"/>
    <x v="13"/>
    <s v="MANIKANTA"/>
    <n v="802852449"/>
    <s v="Ssd@9290"/>
    <m/>
    <m/>
    <x v="0"/>
    <s v="LIVE"/>
    <s v="Custmor PTP Friday // Waiting for payment sir"/>
    <x v="19"/>
    <d v="2026-03-10T00:00:00"/>
    <n v="12637.51"/>
    <s v="ICICI Sapphiro Master PLT Chip Card"/>
    <s v="1ST JUNE"/>
    <d v="2026-05-29T00:00:00"/>
  </r>
  <r>
    <s v="4748469627974013"/>
    <s v="MR NAZAAR MOHAMMAD ABDULLAH"/>
    <n v="0"/>
    <x v="0"/>
    <m/>
    <m/>
    <s v="N"/>
    <x v="8"/>
    <s v="9966766078"/>
    <s v="X"/>
    <n v="6160.0899999999965"/>
    <n v="100000"/>
    <n v="106160.09"/>
    <s v=""/>
    <n v="106160.09"/>
    <n v="94437.92"/>
    <n v="22310"/>
    <n v="6130"/>
    <x v="1"/>
    <x v="1"/>
    <n v="0"/>
    <n v="6130"/>
    <x v="1"/>
    <s v="NA"/>
    <n v="0"/>
    <s v="SAMBA"/>
    <x v="4"/>
    <x v="0"/>
    <s v="15-40 NANDYAL BOLLEDDULA STREET NEAR AMMAVARISALA TEMPLE NANDYAL ANP 518501"/>
    <s v="VERIFONE INDIA TECHNOLOGY PRIVATE LIMITE &quot;2ND FLOOR,WEST TOWERS,GOLD HILL SUPREME&quot; &quot;SOFTWARE PARK,ELECTRONIC CITY,PHASE 2,&quot; &quot;SOFTWARE PARK,ELECTRONIC CITY,PHASE 2,&quot; BANGALORE KAR 560100 "/>
    <s v="NANDYAL"/>
    <x v="2"/>
    <x v="14"/>
    <s v="HARI"/>
    <n v="802388289"/>
    <s v="Ssd@9290"/>
    <m/>
    <m/>
    <x v="0"/>
    <s v="MESS"/>
    <s v="Customer house address visit customer not in a home customer father told informed to customer customer mobile not responding // Customer house address visit customer not in a home customer customer mobile not responding iam waiting for customer address // Customer house address visit customer not in a home customer customer mobile not responding iam waiting for customer address"/>
    <x v="18"/>
    <d v="2024-06-28T00:00:00"/>
    <n v="38301.01"/>
    <s v="ICICI Bank Coral American Express Credit Card"/>
    <s v="1ST JUNE"/>
    <d v="2026-05-29T00:00:00"/>
  </r>
  <r>
    <s v="4375513089743000"/>
    <s v="MR Gadasu Rajendar"/>
    <n v="0"/>
    <x v="0"/>
    <m/>
    <m/>
    <s v="N"/>
    <x v="8"/>
    <s v="9666338047"/>
    <s v="X"/>
    <n v="3379.8699999999953"/>
    <n v="100000"/>
    <n v="103379.87"/>
    <s v=""/>
    <n v="103379.87"/>
    <n v="94758.5"/>
    <n v="17740"/>
    <n v="5550"/>
    <x v="0"/>
    <x v="2"/>
    <n v="5550"/>
    <n v="0"/>
    <x v="16"/>
    <s v="TC"/>
    <s v="30501-BBPS Payment received"/>
    <s v="SAMBA"/>
    <x v="3"/>
    <x v="0"/>
    <s v="2-205   Karimnagar KARIMNAGAR TNG 505526"/>
    <s v="THIRUMLA ELECTRICAL AND ENGINEERING CO VELGATOOR NEAR POLICE STATION NEAR POLICE STATION KARIMNAGAR TNG 505526 "/>
    <s v="KARIMNAGAR"/>
    <x v="1"/>
    <x v="6"/>
    <s v="K RAMU"/>
    <n v="802898520"/>
    <s v="Ssd@9290"/>
    <m/>
    <m/>
    <x v="0"/>
    <m/>
    <m/>
    <x v="10"/>
    <d v="2024-08-31T00:00:00"/>
    <n v="11296.84"/>
    <s v="ICICI Bank Expressions Credit Card"/>
    <s v="1ST JUNE"/>
    <d v="2026-05-29T00:00:00"/>
  </r>
  <r>
    <s v="374742296097004"/>
    <s v="MS VADDI SANGHAVI"/>
    <n v="0"/>
    <x v="0"/>
    <m/>
    <m/>
    <s v="N"/>
    <x v="8"/>
    <s v="9177710730"/>
    <s v="X"/>
    <n v="2599.75"/>
    <n v="100000"/>
    <n v="102599.75"/>
    <s v=""/>
    <n v="102599.75"/>
    <n v="64092.72"/>
    <n v="30220"/>
    <n v="15950"/>
    <x v="0"/>
    <x v="0"/>
    <n v="102599.75"/>
    <n v="-86649.75"/>
    <x v="1"/>
    <s v="D"/>
    <s v="30501-BBPS Payment received"/>
    <s v="SAMBA"/>
    <x v="2"/>
    <x v="0"/>
    <s v="5- 10 KHAJAPURAM KHAJAPURAM GORNTLA MANDAL DALLAPALLE SRI SATHYA SAI NR BUS STOP HINDAPUR ANDHRAPRADESH NR BUS STOP HINDUPUR ANP 515231"/>
    <s v="POONAWALLA FINCORP LIMITED OFFICE NO G-1 TO 4 GROUND FLR B BLOCK ROXANA TOWER BEGUMPET HYDERABAD ROXANA TOWER BEGUMPET HYDERABAD HYDERABAD TNG 500016 "/>
    <s v="HINDUPUR"/>
    <x v="2"/>
    <x v="26"/>
    <s v="T SRINIVAS"/>
    <n v="802030802"/>
    <s v="Sgr@0987"/>
    <m/>
    <m/>
    <x v="0"/>
    <m/>
    <m/>
    <x v="10"/>
    <d v="2026-03-31T00:00:00"/>
    <n v="10700"/>
    <s v="ICICI Bank Coral American Express Credit Card"/>
    <s v="1ST JUNE"/>
    <d v="2026-05-29T00:00:00"/>
  </r>
  <r>
    <s v="4748469605195011"/>
    <s v="MR CHOWHAN SRINIVAS"/>
    <n v="0"/>
    <x v="0"/>
    <m/>
    <m/>
    <s v="O"/>
    <x v="8"/>
    <s v="6302421741"/>
    <s v="X"/>
    <n v="1464.3999999999942"/>
    <n v="100000"/>
    <n v="101464.4"/>
    <s v=""/>
    <n v="101464.4"/>
    <n v="91103.48"/>
    <n v="22890"/>
    <n v="11500"/>
    <x v="0"/>
    <x v="0"/>
    <n v="22890"/>
    <n v="-11390"/>
    <x v="12"/>
    <s v="TC"/>
    <s v="30501-BBPS Payment received"/>
    <s v="SAMBA"/>
    <x v="3"/>
    <x v="1"/>
    <s v="NO 5/1/85/A/6 MARK NAGAR SANGAREDDY NO 5/1/85/A/6 MARK NAGAR SANGAREDDY  NEAR BY ATM HYDERABAD TNG 502001"/>
    <s v="SOUTHERN POWER DISTRIBUTION COMPANY SE/OP/TSSPDCL/SANGAREDDY SR. ASST / GENERAL SECTION CO/TSSPDCL/SR SR. ASST / GENERAL SECTION CO/TSSPDCL/SR HYDERABAD TNG 502001 "/>
    <s v="MEDAK"/>
    <x v="1"/>
    <x v="37"/>
    <s v="POORNIMA"/>
    <n v="802824019"/>
    <s v="Nihan@2421"/>
    <m/>
    <m/>
    <x v="0"/>
    <m/>
    <m/>
    <x v="10"/>
    <s v=""/>
    <n v="0"/>
    <s v="ICICI Bank HPCL Super Saver Visa Credit Card"/>
    <s v="1ST JUNE"/>
    <d v="2026-05-29T00:00:00"/>
  </r>
  <r>
    <s v="4748469470522000"/>
    <s v="MR YASHWANTH RAJ PERIKA"/>
    <n v="0"/>
    <x v="0"/>
    <m/>
    <m/>
    <s v="N"/>
    <x v="8"/>
    <s v="7036669686"/>
    <s v="X"/>
    <n v="-81214.78"/>
    <n v="180000"/>
    <n v="98785.22"/>
    <s v=""/>
    <n v="98785.22"/>
    <n v="87273.47"/>
    <n v="16610"/>
    <n v="6770"/>
    <x v="0"/>
    <x v="0"/>
    <n v="98785.22"/>
    <n v="-92015.22"/>
    <x v="3"/>
    <s v="TC"/>
    <s v="30501-BBPS Payment received"/>
    <s v="SAMBA"/>
    <x v="1"/>
    <x v="0"/>
    <s v="&quot;PLOT NO 110, A BLOCK, POOJITHA APARTMENT&quot; HYDERABAD ROAD NALGONDA  BESIDE PRASAD UDIPI HOTEL NALGONDA TNG 508001"/>
    <s v="GOVERNMENT OF TELANGANA DISTRICT COLLECTORATE OFFICE NALGONDA NALGONDA NALGONDA TNG 508001 "/>
    <s v="NALGONDA"/>
    <x v="1"/>
    <x v="18"/>
    <s v="INAMUL"/>
    <n v="802823175"/>
    <s v="Sgr@9290"/>
    <m/>
    <m/>
    <x v="0"/>
    <m/>
    <m/>
    <x v="10"/>
    <d v="2024-09-30T00:00:00"/>
    <n v="40000"/>
    <s v="ICICI Bank HPCL Super Saver Visa Credit Card"/>
    <s v="1ST JUNE"/>
    <d v="2026-05-29T00:00:00"/>
  </r>
  <r>
    <s v="4748469638718003"/>
    <s v="MR PENIKALAPATI PARAMESH"/>
    <n v="0"/>
    <x v="0"/>
    <m/>
    <m/>
    <s v="O"/>
    <x v="8"/>
    <s v="8790739761"/>
    <s v="X"/>
    <n v="7106.3699999999953"/>
    <n v="90000"/>
    <n v="97106.37"/>
    <n v="7871.53"/>
    <n v="89234.84"/>
    <n v="80400.800000000003"/>
    <n v="19910"/>
    <n v="10070"/>
    <x v="0"/>
    <x v="0"/>
    <n v="89234.84"/>
    <n v="-79164.84"/>
    <x v="16"/>
    <s v="FE"/>
    <s v="30501-BBPS Payment received"/>
    <s v="SAMBA"/>
    <x v="4"/>
    <x v="0"/>
    <s v="1-63 MUNTI MADUGU KOTHAPALLI   ANANTAPUR ANP 515774"/>
    <s v="INFOSYS LIMITED B BLOCK POCHARAM MALKAJIGIRI MALKAJIGIRI HYDERABAD TNG 500088 "/>
    <s v="ANANTAPUR"/>
    <x v="2"/>
    <x v="26"/>
    <s v="T SRINIVAS"/>
    <n v="802030802"/>
    <s v="Sgr@0987"/>
    <m/>
    <m/>
    <x v="0"/>
    <s v="LIVE"/>
    <s v="CUSTOMER PTP on 6th"/>
    <x v="4"/>
    <d v="2025-09-17T00:00:00"/>
    <n v="14380"/>
    <s v="ICICI Bank HPCL Super Saver Visa Credit Card"/>
    <s v="1ST JUNE"/>
    <d v="2026-05-29T00:00:00"/>
  </r>
  <r>
    <s v="4748469391264005"/>
    <s v="MR ASHODA GOVARDHAN"/>
    <n v="0"/>
    <x v="0"/>
    <m/>
    <m/>
    <s v="N"/>
    <x v="8"/>
    <s v="8328618522"/>
    <s v="X"/>
    <n v="-6417.6999999999971"/>
    <n v="97000"/>
    <n v="90582.3"/>
    <s v=""/>
    <n v="90582.3"/>
    <n v="80384.09"/>
    <n v="15380"/>
    <n v="6240"/>
    <x v="0"/>
    <x v="0"/>
    <n v="43200"/>
    <n v="-36960"/>
    <x v="9"/>
    <s v="TC"/>
    <s v="30501-BBPS Payment received"/>
    <s v="SAMBA"/>
    <x v="3"/>
    <x v="0"/>
    <s v="19-10-36/C/1 RANGASHAIPET RUDRAMA NAGAR ROAD NUMBER 5 NEAR RATNAM SCHOOL WARANGAL TNG 506005"/>
    <s v="HEAD POST OFFICE WARANGAL HEAD POST OFFICE WARANGAL WARANGAL WARANGAL TNG 506002 "/>
    <s v="WARANGAL"/>
    <x v="1"/>
    <x v="30"/>
    <s v="AKHIL"/>
    <n v="801772792"/>
    <s v="Sgr@9290"/>
    <m/>
    <m/>
    <x v="0"/>
    <m/>
    <m/>
    <x v="10"/>
    <d v="2025-01-08T00:00:00"/>
    <n v="4580"/>
    <s v="ICICI Sapphiro Master PLT Chip Card"/>
    <s v="1ST JUNE"/>
    <d v="2026-05-29T00:00:00"/>
  </r>
  <r>
    <s v="4375513061750007"/>
    <s v="MR P S VIJAYKUMAR"/>
    <n v="0"/>
    <x v="0"/>
    <m/>
    <m/>
    <s v="O"/>
    <x v="8"/>
    <s v="9618786148"/>
    <s v="X"/>
    <n v="-9543.5099999999948"/>
    <n v="100000"/>
    <n v="90456.49"/>
    <s v=""/>
    <n v="90456.49"/>
    <n v="86134.33"/>
    <n v="11620"/>
    <n v="6807"/>
    <x v="0"/>
    <x v="0"/>
    <n v="34928"/>
    <n v="-28121"/>
    <x v="15"/>
    <s v="TC"/>
    <s v="30501-BBPS Payment received"/>
    <s v="SAMBA"/>
    <x v="4"/>
    <x v="0"/>
    <s v="NO 6-32 MAIN ROAD BHAKTARA PALLI   NEAR LAKSHMI NARASIMHA SWAMY TEMPLE HINDUPUR ANP 515301"/>
    <s v="PS ENTERPRISES NEAR SRI RAMA SWAMY TEMPLE MADAKASIRA ANANTHAPUR MAIN ROAD ANANTHAPUR MAIN ROAD HINDUPUR ANP 515301 "/>
    <s v="HINDUPUR"/>
    <x v="2"/>
    <x v="26"/>
    <s v="T SRINIVAS"/>
    <n v="802030802"/>
    <s v="Sgr@0987"/>
    <m/>
    <m/>
    <x v="0"/>
    <s v="LIVE"/>
    <s v="Customer PTP on 10th afternoon"/>
    <x v="18"/>
    <d v="2025-10-23T00:00:00"/>
    <n v="1776.01"/>
    <s v="ICICI Bank Expressions Credit Card"/>
    <s v="1ST JUNE"/>
    <d v="2026-05-29T00:00:00"/>
  </r>
  <r>
    <s v="5241935210467002"/>
    <s v="MR SAARAVA ANIL KUMAR"/>
    <n v="0"/>
    <x v="0"/>
    <m/>
    <m/>
    <s v="N"/>
    <x v="8"/>
    <s v="9912629912"/>
    <s v="X"/>
    <n v="5856.0800000000017"/>
    <n v="80000"/>
    <n v="85856.08"/>
    <s v=""/>
    <n v="85856.08"/>
    <n v="75997"/>
    <n v="22800"/>
    <n v="9410"/>
    <x v="0"/>
    <x v="0"/>
    <n v="85856.08"/>
    <n v="-76446.080000000002"/>
    <x v="2"/>
    <s v="TC"/>
    <s v="30501-BBPS Payment received"/>
    <s v="SAMBA"/>
    <x v="2"/>
    <x v="0"/>
    <s v="1-6-699 INDHIRA NAGAR CHITTOOR CHITTOOR NR INDHIRA NAGAR TIRUPATHI ANP 517501"/>
    <s v="HETERO HEALTHCARE LIMITED 32/34 W.T SUREN ROAD ANDHENI MUMBAI ANDHENI MUMBAI MUMBAI MAH 400093 "/>
    <s v="TIRUPATHI"/>
    <x v="2"/>
    <x v="33"/>
    <s v="SAMBA"/>
    <n v="801772794"/>
    <s v="Ssde@9876"/>
    <m/>
    <m/>
    <x v="0"/>
    <m/>
    <m/>
    <x v="10"/>
    <d v="2024-07-30T00:00:00"/>
    <n v="35909.980000000003"/>
    <s v="ICICI Bank HPCL Coral Platinum Credit Card"/>
    <s v="1ST JUNE"/>
    <d v="2026-05-29T00:00:00"/>
  </r>
  <r>
    <s v="4748469211298001"/>
    <s v="MR BHEEMSEEN KUMAR"/>
    <n v="0"/>
    <x v="0"/>
    <m/>
    <m/>
    <s v="O"/>
    <x v="8"/>
    <s v="7799636354"/>
    <s v="X"/>
    <n v="3907.320000000007"/>
    <n v="80000"/>
    <n v="83907.32"/>
    <s v=""/>
    <n v="83907.32"/>
    <n v="75913.72"/>
    <n v="26360"/>
    <n v="14330"/>
    <x v="1"/>
    <x v="1"/>
    <n v="0"/>
    <n v="14330"/>
    <x v="1"/>
    <s v="NA"/>
    <s v="30501-BBPS Payment received"/>
    <s v="SAMBA"/>
    <x v="2"/>
    <x v="0"/>
    <s v="H NO-5-27/2 VISWANAGAR AMARCHINTHA   NEAR UNION BANK MAHBOOBNAGAR TNG 509130"/>
    <s v="MEENAKSHI ELCTRITRONICS SHOP NO-18-89 ATMKOR WANAPARTHY   MAHBOOBNAGAR TNG 509131 "/>
    <s v="WANAPARTHY"/>
    <x v="1"/>
    <x v="23"/>
    <s v="SAMBA"/>
    <n v="801772794"/>
    <s v="Ssde@9876"/>
    <m/>
    <m/>
    <x v="1"/>
    <m/>
    <m/>
    <x v="10"/>
    <d v="2025-09-02T00:00:00"/>
    <n v="4230"/>
    <s v="ICICI Bank HPCL Super Saver Visa Credit Card"/>
    <s v="1ST JUNE"/>
    <d v="2026-05-29T00:00:00"/>
  </r>
  <r>
    <s v="374740349805001"/>
    <s v="MS DANDALA PADMAVATHI"/>
    <n v="0"/>
    <x v="0"/>
    <m/>
    <m/>
    <s v="O"/>
    <x v="8"/>
    <s v="9502676890"/>
    <s v="X"/>
    <n v="-7710.320000000007"/>
    <n v="85000"/>
    <n v="77289.679999999993"/>
    <s v=""/>
    <n v="77289.679999999993"/>
    <n v="68774.53"/>
    <n v="16140"/>
    <n v="8150"/>
    <x v="0"/>
    <x v="2"/>
    <n v="8150"/>
    <n v="0"/>
    <x v="17"/>
    <s v="FE"/>
    <s v="30501-BBPS Payment received"/>
    <s v="SAMBA"/>
    <x v="4"/>
    <x v="0"/>
    <s v="RAMNAGAR 2ND STREET DARGAMEETTA NELLORE NO 24-6-428 NELLORE  NEAR PARK CITY ENCLAVE APARTENTS NELLORE ANP 524003"/>
    <s v="GOVERNMENT OF ANDHRAPRADESH ZPP HIGHSCHO ZPHS VENKATACHALAM VENKATACHALAM MANDAL O/O ZPHS VENKATACHALAM VENKATACHALAM O/O ZPHS VENKATACHALAM VENKATACHALAM GUDUR ANP 524320 "/>
    <s v="GUDUR"/>
    <x v="4"/>
    <x v="12"/>
    <s v="B SURESH"/>
    <n v="801570488"/>
    <s v="Ssd@9290"/>
    <m/>
    <m/>
    <x v="0"/>
    <s v="DL"/>
    <s v=":cm door locked sir and cm call not answering sir // cm not available sir and cm call not answering sir // cm call back later sir // cm not available sir and cm mother will call back // :waiting for payment sir // cm not available sir and cm call answered will call back sir // waiting for payment sir"/>
    <x v="18"/>
    <d v="2025-05-04T00:00:00"/>
    <n v="86140"/>
    <s v="ICICI Rubyx PLT Credit Card (AMEX)"/>
    <s v="1ST JUNE"/>
    <d v="2026-05-29T00:00:00"/>
  </r>
  <r>
    <s v="4748469332636006"/>
    <s v="MS DANGE SAVITHA"/>
    <n v="0"/>
    <x v="0"/>
    <m/>
    <m/>
    <s v="N"/>
    <x v="8"/>
    <s v="8523064017"/>
    <s v="X"/>
    <n v="5649.4400000000023"/>
    <n v="70000"/>
    <n v="75649.440000000002"/>
    <s v=""/>
    <n v="75649.440000000002"/>
    <n v="67508"/>
    <n v="19940"/>
    <n v="5190"/>
    <x v="0"/>
    <x v="2"/>
    <n v="5500"/>
    <n v="-310"/>
    <x v="1"/>
    <s v="D"/>
    <s v="30501-BBPS Payment received"/>
    <s v="SAMBA"/>
    <x v="1"/>
    <x v="1"/>
    <s v="HOUSE NUMBER 4-27 NAGAPOORBALKONDA MANDALJALALPUR NIZAMABAD  MAIN ROAD NIZAMABAD TNG 503217"/>
    <s v="OTHERS GOVERMENTGOVERMENT OF TELANGANA MP UPSKODICHERA MANDAL MADNOOR KAMAREDDY   NIZAMABAD TNG 503111 "/>
    <s v="NIZAMABAD"/>
    <x v="1"/>
    <x v="20"/>
    <s v="D RAMU"/>
    <n v="802663344"/>
    <s v="Sgr@9290"/>
    <m/>
    <m/>
    <x v="0"/>
    <s v="LIVE"/>
    <s v="ustomer paymet on 3days"/>
    <x v="4"/>
    <d v="2024-12-09T00:00:00"/>
    <n v="4500"/>
    <s v="ICICI Bank HPCL Super Saver Visa Credit Card"/>
    <s v="1ST JUNE"/>
    <d v="2026-05-29T00:00:00"/>
  </r>
  <r>
    <s v="4748460127413008"/>
    <s v="MR THUMMALURU KUMAR REDDY"/>
    <n v="0"/>
    <x v="0"/>
    <m/>
    <m/>
    <s v="N"/>
    <x v="8"/>
    <s v="9912485014"/>
    <s v="X"/>
    <n v="5107.4400000000023"/>
    <n v="70000"/>
    <n v="75107.44"/>
    <n v="15982.13"/>
    <n v="59125.31"/>
    <n v="53666.69"/>
    <n v="10830"/>
    <n v="4450"/>
    <x v="0"/>
    <x v="0"/>
    <n v="10830"/>
    <n v="-6380"/>
    <x v="1"/>
    <s v="D"/>
    <s v="12111-ICICI BANK COLLECTION PAYMENT"/>
    <s v="SAMBA"/>
    <x v="4"/>
    <x v="0"/>
    <s v="00 SANNAPALLI MIDUTHURU CUDDAPAH    CUDDAPAH ANP 516203"/>
    <s v="ACCENTURE SOLUTIONS PRIVATE LIMITED Divya sree point   sholignalur Chennai Chennai CHENNAI TMN 600096 "/>
    <s v="CUDDAPAH"/>
    <x v="2"/>
    <x v="5"/>
    <s v="PAVAN"/>
    <n v="802823180"/>
    <s v="Sgr@9290"/>
    <m/>
    <m/>
    <x v="0"/>
    <m/>
    <m/>
    <x v="10"/>
    <d v="2026-04-08T00:00:00"/>
    <n v="4380"/>
    <s v="ICICI Bank Expressions Credit Card"/>
    <s v="1ST JUNE"/>
    <d v="2026-05-29T00:00:00"/>
  </r>
  <r>
    <s v="374742424216005"/>
    <s v="MR BINENI  BINENI ANJANEYULU"/>
    <n v="0"/>
    <x v="0"/>
    <m/>
    <m/>
    <s v="N"/>
    <x v="8"/>
    <s v="7569486732"/>
    <s v="X"/>
    <n v="6155.3500000000058"/>
    <n v="60000"/>
    <n v="66155.350000000006"/>
    <n v="1851.66"/>
    <n v="64303.69"/>
    <n v="56106.36"/>
    <n v="37010"/>
    <n v="23980"/>
    <x v="0"/>
    <x v="2"/>
    <n v="24000"/>
    <n v="-20"/>
    <x v="1"/>
    <s v="D"/>
    <s v="30501-BBPS Payment received"/>
    <s v="SAMBA"/>
    <x v="3"/>
    <x v="0"/>
    <s v="&quot;0-39,THIRUMALAPURAM,THIRUMALAPURAM,YELLA&quot;    ANANTAPUR ANP 515465"/>
    <s v="       "/>
    <s v="ANANTAPUR"/>
    <x v="2"/>
    <x v="26"/>
    <s v="T SRINIVAS"/>
    <n v="802030802"/>
    <s v="Sgr@0987"/>
    <m/>
    <m/>
    <x v="0"/>
    <s v="LIVE"/>
    <s v="Customer not available _x000a_Customer phone PTP on 6th"/>
    <x v="4"/>
    <d v="2026-03-17T00:00:00"/>
    <n v="10756.97"/>
    <s v="ICICI Bank Coral RuPay Credit Card"/>
    <s v="1ST JUNE"/>
    <d v="2026-05-29T00:00:00"/>
  </r>
  <r>
    <s v="4748469567373002"/>
    <s v="MR KOGANTI CHANDRA SEKHAR"/>
    <n v="0"/>
    <x v="0"/>
    <m/>
    <m/>
    <s v="N"/>
    <x v="8"/>
    <s v="9491958767"/>
    <s v="X"/>
    <n v="5638.9600000000064"/>
    <n v="60000"/>
    <n v="65638.960000000006"/>
    <s v=""/>
    <n v="65638.960000000006"/>
    <n v="56647.41"/>
    <n v="17730"/>
    <n v="5800"/>
    <x v="0"/>
    <x v="2"/>
    <n v="8000"/>
    <n v="-2200"/>
    <x v="12"/>
    <s v="TC"/>
    <s v="30501-BBPS Payment received"/>
    <s v="SAMBA"/>
    <x v="1"/>
    <x v="2"/>
    <s v="&quot;FLAT NO. 401, SRI DHATRI ENCLAVE&quot; RTC COLONY FERRY ROAD NEAR BLUE BELLS EM SCHOOL VIJAYAWADA ANP 521456"/>
    <s v="AP CENTRAL POWER DISTRIBITION CORPORATIO &quot;OFFICE OF ASSISTANT ACCOUNTS,ERO,APCPDCL&quot; &quot;IBRAHIMPATNAM,AP&quot; &quot;IBRAHIMPATNAM,AP&quot; VIJAYAWADA ANP 521456 "/>
    <s v="VIJAYAWADA"/>
    <x v="0"/>
    <x v="22"/>
    <s v="SUDHAKAR"/>
    <n v="802913252"/>
    <s v="Ssd@9290"/>
    <m/>
    <m/>
    <x v="0"/>
    <m/>
    <m/>
    <x v="10"/>
    <d v="2024-07-04T00:00:00"/>
    <n v="827.62"/>
    <s v="ICICI Bank HPCL Super Saver Visa Credit Card"/>
    <s v="1ST JUNE"/>
    <d v="2026-05-29T00:00:00"/>
  </r>
  <r>
    <s v="4748469802593000"/>
    <s v="MR Mohammed Shahebaz Ahemad"/>
    <n v="0"/>
    <x v="0"/>
    <m/>
    <m/>
    <s v="N"/>
    <x v="8"/>
    <s v="9640196633"/>
    <s v="X"/>
    <n v="-55023.99"/>
    <n v="120000"/>
    <n v="64976.01"/>
    <s v=""/>
    <n v="64976.01"/>
    <n v="59459.43"/>
    <n v="19880"/>
    <n v="7380"/>
    <x v="0"/>
    <x v="0"/>
    <n v="64976"/>
    <n v="-57596"/>
    <x v="1"/>
    <s v="D"/>
    <s v="30501-BBPS Payment received"/>
    <s v="SAMBA"/>
    <x v="2"/>
    <x v="0"/>
    <s v="1-67/1 Islampura Islampura Boath ADILABAD TNG 504304"/>
    <s v="SK TAX CONSULTANCY NEAR BUSTAND BOATH BUSTAND ADILABAD BUSTAND ADILABAD ADILABAD TNG 504304 "/>
    <s v="ADILABAD"/>
    <x v="1"/>
    <x v="35"/>
    <s v="KANTH"/>
    <n v="802794852"/>
    <s v="Ssd@9290"/>
    <m/>
    <m/>
    <x v="0"/>
    <m/>
    <m/>
    <x v="10"/>
    <d v="2025-09-03T00:00:00"/>
    <n v="7110"/>
    <s v="ICICI Bank HPCL Super Saver Visa Credit Card"/>
    <s v="1ST JUNE"/>
    <d v="2026-05-29T00:00:00"/>
  </r>
  <r>
    <s v="4748469617132002"/>
    <s v="MR KOKKURTHI DURGABABU"/>
    <n v="0"/>
    <x v="0"/>
    <m/>
    <m/>
    <s v="N"/>
    <x v="8"/>
    <s v="6281808282"/>
    <s v="X"/>
    <n v="3901.8399999999965"/>
    <n v="60000"/>
    <n v="63901.84"/>
    <s v=""/>
    <n v="63901.84"/>
    <n v="56892.3"/>
    <n v="14590"/>
    <n v="4080"/>
    <x v="0"/>
    <x v="0"/>
    <n v="14590"/>
    <n v="-10510"/>
    <x v="10"/>
    <s v="FE"/>
    <n v="0"/>
    <s v="SAMBA"/>
    <x v="4"/>
    <x v="0"/>
    <s v="3-51 GOLLAPROLU MANDALAM   KAKINADA ANP 533449"/>
    <s v="GOVERNMENT OF ANDHRA PRADESH GOPAPATNAM GRAMAWARD SACHIVALAYAM EAST GODAVARI THONDANGI MANDAL EAST GODAVARI THONDANGI MANDAL KAKINADA ANP 533449 "/>
    <s v="KAKINADA"/>
    <x v="0"/>
    <x v="16"/>
    <s v="UDAY"/>
    <n v="801436997"/>
    <s v="Ssd@9290"/>
    <m/>
    <m/>
    <x v="0"/>
    <m/>
    <m/>
    <x v="10"/>
    <d v="2024-10-06T00:00:00"/>
    <n v="6330"/>
    <s v="ICICI Bank Coral Credit Card"/>
    <s v="1ST JUNE"/>
    <d v="2026-05-29T00:00:00"/>
  </r>
  <r>
    <s v="4748469504930005"/>
    <s v="MR NAGABABU LANKA"/>
    <n v="0"/>
    <x v="0"/>
    <m/>
    <m/>
    <s v="N"/>
    <x v="8"/>
    <s v="9985864657"/>
    <s v="X"/>
    <n v="3735.7200000000012"/>
    <n v="60000"/>
    <n v="63735.72"/>
    <n v="638.39"/>
    <n v="63097.33"/>
    <n v="55072.27"/>
    <n v="15940"/>
    <n v="6340"/>
    <x v="1"/>
    <x v="1"/>
    <n v="0"/>
    <n v="6340"/>
    <x v="1"/>
    <s v="NA"/>
    <n v="0"/>
    <s v="SAMBA"/>
    <x v="2"/>
    <x v="0"/>
    <s v="&quot;3-3-107, MANGAYAMMA RAO PETA&quot; &quot;PITHAPURAM, PITHAPURAM&quot; &quot;EAST GODAVARI, ANDHRAPRADESH&quot; NEAR CHURCH KAKINADA ANP 533450"/>
    <s v="GOVERNMENT OF ANDHRAPRADESH &quot;MUNCIAL OFFICE, PITHAPURAM&quot; &quot;EAST GODAVARI , ANDHRAPRADESH&quot; &quot;EAST GODAVARI , ANDHRAPRADESH&quot; KAKINADA ANP 533450 "/>
    <s v="KAKINADA"/>
    <x v="0"/>
    <x v="16"/>
    <s v="UDAY"/>
    <n v="801436997"/>
    <s v="Ssd@9290"/>
    <m/>
    <m/>
    <x v="0"/>
    <s v="SKIP"/>
    <s v="CUSTOMER given address customer owne House 1year customer house sale shift _x000a_3rd Street office // CUSTOMER office address visit ch left to one month back shop owner say customer used shop money  3lak aslo customer not come to office call aslo not answering sir // CUSTOMER tracing address gas bill  address visit ch not available skip call not answering sir"/>
    <x v="14"/>
    <d v="2026-04-11T00:00:00"/>
    <n v="25000"/>
    <s v="ICICI Bank HPCL Super Saver Visa Credit Card"/>
    <s v="1ST JUNE"/>
    <d v="2026-05-29T00:00:00"/>
  </r>
  <r>
    <s v="4748469305846004"/>
    <s v="MR GUMMADI RAVITHEJA"/>
    <n v="0"/>
    <x v="0"/>
    <m/>
    <m/>
    <s v="N"/>
    <x v="8"/>
    <s v="9704269369"/>
    <s v="X"/>
    <n v="-17955.660000000003"/>
    <n v="80000"/>
    <n v="62044.34"/>
    <s v=""/>
    <n v="62044.34"/>
    <n v="54878.02"/>
    <n v="10580"/>
    <n v="3250"/>
    <x v="0"/>
    <x v="2"/>
    <n v="5500"/>
    <n v="-2250"/>
    <x v="3"/>
    <s v="FE"/>
    <s v="30501-BBPS Payment received"/>
    <s v="SAMBA"/>
    <x v="3"/>
    <x v="2"/>
    <s v="&quot;FLAT NO 206, SRI DURGA TOWERS&quot; &quot;SADHAK ROAD, IBRAHIMPATNAM&quot; VIJAYAWADA BESIDE GAJULAPETA VIJAYAWADA ANP 521456"/>
    <s v="GOVERNMENT OF ANDHRAPRADESH &quot;DIRECTOR OF TREASURY, C-BLOCK, 2NDFLOOR&quot; &quot;ANJANEYA TOWERS, IBRAHIMPATNAM,VIJAYWADA&quot; &quot;ANJANEYA TOWERS, IBRAHIMPATNAM,VIJAYWADA&quot; VIJAYAWADA ANP 521456 "/>
    <s v="VIJAYAWADA"/>
    <x v="0"/>
    <x v="22"/>
    <s v="SUDHAKAR"/>
    <n v="802913252"/>
    <s v="Ssd@9290"/>
    <m/>
    <m/>
    <x v="0"/>
    <m/>
    <m/>
    <x v="10"/>
    <d v="2024-11-02T00:00:00"/>
    <n v="5500"/>
    <s v="ICICI Bank HPCL Super Saver Visa Credit Card"/>
    <s v="1ST JUNE"/>
    <d v="2026-05-29T00:00:00"/>
  </r>
  <r>
    <s v="4748469350447005"/>
    <s v="MR K S GUNA"/>
    <n v="0"/>
    <x v="0"/>
    <m/>
    <m/>
    <s v="O"/>
    <x v="8"/>
    <s v="8142635263"/>
    <s v="X"/>
    <n v="1361.8399999999965"/>
    <n v="60000"/>
    <n v="61361.84"/>
    <s v=""/>
    <n v="61361.84"/>
    <n v="57083.4"/>
    <n v="14670"/>
    <n v="8890"/>
    <x v="0"/>
    <x v="2"/>
    <n v="8890"/>
    <n v="0"/>
    <x v="12"/>
    <s v="TC"/>
    <s v="12124 - UPI Payment Received"/>
    <s v="SAMBA"/>
    <x v="4"/>
    <x v="0"/>
    <s v="20-3-35/18 TIRUPATHI SHIVA JYOTHI NAGAR CHITTOOR TIRUPATHI ANP 517501"/>
    <s v="IDFC FIRST BANK LTD IDFC BANK LTD &quot;20/1/202/G, 1ST FLOOR&quot; &quot;KORLAGUNTA, TIRUPATI&quot; &quot;KORLAGUNTA, TIRUPATI&quot; TIRUPATHI ANP 517501 "/>
    <s v="TIRUPATHI"/>
    <x v="2"/>
    <x v="33"/>
    <s v="GUNASEKAR"/>
    <n v="802241455"/>
    <s v="Sgr@9290"/>
    <m/>
    <m/>
    <x v="0"/>
    <m/>
    <m/>
    <x v="10"/>
    <d v="2026-05-06T00:00:00"/>
    <n v="8420"/>
    <s v="ICICI Bank HPCL Super Saver Visa Credit Card"/>
    <s v="1ST JUNE"/>
    <d v="2026-05-29T00:00:00"/>
  </r>
  <r>
    <s v="5241930494410000"/>
    <s v="Mr VANACHARLA SATEESH"/>
    <n v="0"/>
    <x v="0"/>
    <m/>
    <m/>
    <s v="N"/>
    <x v="8"/>
    <s v="9491311792"/>
    <s v="Y"/>
    <n v="-172723.33000000002"/>
    <n v="230000"/>
    <n v="57276.67"/>
    <s v=""/>
    <n v="57276.67"/>
    <n v="52426.5"/>
    <n v="8090"/>
    <n v="3110"/>
    <x v="1"/>
    <x v="1"/>
    <n v="0"/>
    <n v="3110"/>
    <x v="1"/>
    <s v="NA"/>
    <n v="0"/>
    <s v="SAMBA"/>
    <x v="4"/>
    <x v="0"/>
    <s v="&quot;1-7/1,KOPPIGUNTA,NADAVAPALLI,GEDDANAPALLI&quot;    AMALAPURAM ANP 533212"/>
    <s v="Self &quot;1-7/1 koppigunta ,nadavapalli&quot; &quot;Geddanapalle,geddanapalli,East godavari&quot; &quot;Geddanapalle,geddanapalli,East godavari&quot; AMALAPURAM ANP 533212 "/>
    <s v="AMALAPURAM"/>
    <x v="0"/>
    <x v="25"/>
    <s v="B NAGABABU"/>
    <n v="801448854"/>
    <s v="Sgr@9290"/>
    <m/>
    <m/>
    <x v="0"/>
    <s v="MESS"/>
    <s v="SIR CUSTOMER MOTHER TELLING HE IS IN MANIPUR.NEW MOBILE NUMBER WE DON'T KNOW"/>
    <x v="14"/>
    <d v="2026-01-02T00:00:00"/>
    <n v="3260"/>
    <s v="ICICI Rubyx Master PLT Chip Card"/>
    <s v="1ST JUNE"/>
    <d v="2026-05-29T00:00:00"/>
  </r>
  <r>
    <s v="4375517576990024"/>
    <s v="MR MOHAMMED JAVEED RAHMAN"/>
    <n v="0"/>
    <x v="0"/>
    <m/>
    <m/>
    <s v="N"/>
    <x v="8"/>
    <s v="9032673862"/>
    <s v="X"/>
    <n v="1076.9400000000023"/>
    <n v="55000"/>
    <n v="56076.94"/>
    <s v=""/>
    <n v="56076.94"/>
    <n v="50115.7"/>
    <n v="10490"/>
    <n v="3220"/>
    <x v="0"/>
    <x v="0"/>
    <n v="10500"/>
    <n v="-7280"/>
    <x v="12"/>
    <s v="TC"/>
    <s v="12101-INFINITY PYMT RCVD"/>
    <s v="SAMBA"/>
    <x v="2"/>
    <x v="1"/>
    <s v="&quot;H NO 4-1-557 WARD 35,SHAKAR,&quot; &quot;NAGAR X ROAD BODHAN,BODHAN&quot;   NIZAMABAD TNG 503180"/>
    <s v="Mohammed javeed rahman H no 4-1-557 shakanagar x Road bodhan 503185 H no 4-1-557 shakanagar x Road bodhan 503185 H no 4-1-557 shakanagar x Road bodhan 503185 NIZAMABAD TNG 503185 "/>
    <s v="NIZAMABAD"/>
    <x v="1"/>
    <x v="20"/>
    <s v="D RAMU"/>
    <n v="802663344"/>
    <s v="Sgr@9290"/>
    <m/>
    <m/>
    <x v="0"/>
    <m/>
    <m/>
    <x v="10"/>
    <d v="2026-03-24T00:00:00"/>
    <n v="6000"/>
    <s v="ICICI Bank Coral Credit Card"/>
    <s v="1ST JUNE"/>
    <d v="2026-05-29T00:00:00"/>
  </r>
  <r>
    <s v="4748469561652005"/>
    <s v="MS TADIKONDA ALEKHYA"/>
    <n v="0"/>
    <x v="0"/>
    <m/>
    <m/>
    <s v="N"/>
    <x v="8"/>
    <s v="9346748486"/>
    <s v="X"/>
    <n v="5925.510000000002"/>
    <n v="50000"/>
    <n v="55925.51"/>
    <s v=""/>
    <n v="55925.51"/>
    <n v="49992.22"/>
    <n v="18180"/>
    <n v="4920"/>
    <x v="1"/>
    <x v="1"/>
    <n v="0"/>
    <n v="4920"/>
    <x v="1"/>
    <s v="NA"/>
    <n v="0"/>
    <s v="DURGA"/>
    <x v="0"/>
    <x v="0"/>
    <s v="&quot;1-0,PEDANANDIPADU GRAMAM,PEDANANDIPADU,,&quot; &quot;PEDANANDIPADU,MANDAL PEDANANDIPADU&quot;  NEAR MAIN ROAD NARASAPURAM ANP 522235"/>
    <s v="ICICI BANK LIMITED &quot;D NO 5-37-151, KRISHNA PLAZA&quot; 4/15 BRODIPET 4/15 BRODIPET GUNTUR ANP 522002 "/>
    <s v="NARASARAOPET"/>
    <x v="3"/>
    <x v="38"/>
    <s v="POORNIMA"/>
    <n v="802824019"/>
    <s v="Nihan@2421"/>
    <m/>
    <m/>
    <x v="1"/>
    <m/>
    <m/>
    <x v="10"/>
    <d v="2025-11-06T00:00:00"/>
    <n v="6000"/>
    <s v="ICICI Bank HPCL Super Saver Visa Credit Card"/>
    <s v="1ST JUNE"/>
    <d v="2026-05-29T00:00:00"/>
  </r>
  <r>
    <s v="4748469497118006"/>
    <s v="MR GUNDA GANESH"/>
    <n v="0"/>
    <x v="0"/>
    <m/>
    <m/>
    <s v="N"/>
    <x v="8"/>
    <s v="9502273674"/>
    <s v="X"/>
    <n v="4495.3600000000006"/>
    <n v="50000"/>
    <n v="54495.360000000001"/>
    <s v=""/>
    <n v="54495.360000000001"/>
    <n v="49997"/>
    <n v="13650"/>
    <n v="2500"/>
    <x v="1"/>
    <x v="1"/>
    <n v="0"/>
    <n v="2500"/>
    <x v="1"/>
    <s v="NA"/>
    <n v="0"/>
    <s v="SAMBA"/>
    <x v="4"/>
    <x v="0"/>
    <s v="3-12 ATHMAKUR  KURELLA NALGONDA TNG 508111"/>
    <s v="BIOCON LIMITED &quot;PLOT NOB213,214 AND 215,PHASE 2&quot; &quot;IDA PASHAMYLARAM,SANGAREDDY&quot; &quot;IDA PASHAMYLARAM,SANGAREDDY&quot; HYDERABAD TNG 502307 "/>
    <s v="NALGONDA"/>
    <x v="1"/>
    <x v="18"/>
    <s v="INAMUL"/>
    <n v="802823175"/>
    <s v="Sgr@9290"/>
    <m/>
    <m/>
    <x v="0"/>
    <s v="DL"/>
    <s v="Customer Adress visit and Customer House locked customer parents living in Hyderabd Chinthal and Customer call Answer and card used brother and brother number ( 7386141696 ), brother asking time"/>
    <x v="16"/>
    <d v="2024-01-29T00:00:00"/>
    <n v="50000"/>
    <s v="ICICI Bank HPCL Super Saver Visa Credit Card"/>
    <s v="1ST JUNE"/>
    <d v="2026-05-29T00:00:00"/>
  </r>
  <r>
    <s v="4748460158118005"/>
    <s v="Mr RATHODSWETHA"/>
    <n v="0"/>
    <x v="0"/>
    <m/>
    <m/>
    <s v="O"/>
    <x v="8"/>
    <s v="6304277283"/>
    <s v="X"/>
    <n v="810.16000000000349"/>
    <n v="50000"/>
    <n v="50810.16"/>
    <s v=""/>
    <n v="50810.16"/>
    <n v="47559.28"/>
    <n v="10880"/>
    <n v="5750"/>
    <x v="0"/>
    <x v="0"/>
    <n v="10880"/>
    <n v="-5130"/>
    <x v="10"/>
    <s v="FE"/>
    <n v="0"/>
    <s v="SAMBA"/>
    <x v="3"/>
    <x v="0"/>
    <s v="&quot;1-187,LINGAPUR LINGAPUR,LINGAPUR,LINGAPUR&quot;    ADILABAD TNG 504313"/>
    <s v="EASTMAN EXPORTSPPA-E Lingapur Lingapur Lingapur ADILABAD TNG 504313 "/>
    <s v="ADILABAD"/>
    <x v="1"/>
    <x v="35"/>
    <s v="KANTH"/>
    <n v="802794852"/>
    <s v="Ssd@9290"/>
    <m/>
    <m/>
    <x v="0"/>
    <m/>
    <m/>
    <x v="10"/>
    <d v="2026-05-07T00:00:00"/>
    <n v="3000"/>
    <s v="ICICI Bank Expressions Credit Card"/>
    <s v="1ST JUNE"/>
    <d v="2026-05-29T00:00:00"/>
  </r>
  <r>
    <s v="4315813492107006"/>
    <s v="MR Kammari Ramesh"/>
    <n v="0"/>
    <x v="0"/>
    <m/>
    <m/>
    <s v="N"/>
    <x v="9"/>
    <s v="9281422298"/>
    <s v="X"/>
    <n v="366041.31999999995"/>
    <n v="380000"/>
    <n v="746041.32"/>
    <n v="199542.91"/>
    <n v="546498.41"/>
    <n v="505401.99"/>
    <n v="546498.41"/>
    <n v="486105.04"/>
    <x v="1"/>
    <x v="1"/>
    <n v="0"/>
    <n v="486105.04"/>
    <x v="1"/>
    <s v="NA"/>
    <s v="12111-ICICI BANK COLLECTION PAYMENT"/>
    <s v="DURGA"/>
    <x v="5"/>
    <x v="0"/>
    <s v="2 63 E  NAGIREDDY PALLI NANDALUR BESIDE POLICE STATION CUDDAPAHANP 516150"/>
    <s v="INDIN RAILWAY NANDALUR NANDALUR KADAPA NANDALUR KADAPA CUDDAPAH ANP 516150"/>
    <s v="CUDDAPAH"/>
    <x v="2"/>
    <x v="5"/>
    <s v="PAVAN"/>
    <n v="802823180"/>
    <s v="Sgr@9290"/>
    <m/>
    <m/>
    <x v="0"/>
    <s v="SKIP"/>
    <s v="Customer shifted from given address 2years back call answered asking time to pay // customer live adress but not available he response the call he said try to make payment his work in Hyderabad"/>
    <x v="18"/>
    <d v="2026-04-10T00:00:00"/>
    <n v="44108.92"/>
    <s v="Amazon Pay ICICI Bank Credit Card"/>
    <s v="29TH MAY"/>
    <d v="2026-05-30T00:00:00"/>
  </r>
  <r>
    <s v="4315813515125001"/>
    <s v="MR Sure Murali"/>
    <n v="0"/>
    <x v="0"/>
    <m/>
    <m/>
    <s v="N"/>
    <x v="9"/>
    <s v="9391989848"/>
    <s v="X"/>
    <n v="60156.819999999949"/>
    <n v="600000"/>
    <n v="660156.81999999995"/>
    <s v=""/>
    <n v="660156.81999999995"/>
    <n v="597589.76000000001"/>
    <n v="213640"/>
    <n v="67330"/>
    <x v="0"/>
    <x v="0"/>
    <n v="660156.81999999995"/>
    <n v="-592826.81999999995"/>
    <x v="14"/>
    <s v="FE"/>
    <s v="30501-BBPS Payment received"/>
    <s v="DURGA"/>
    <x v="5"/>
    <x v="0"/>
    <s v="Flot No 301  Guntur Sri Venkateswara Capital 5/8 West Annapurna Nagar GUNTURANP 522034"/>
    <s v="SURE INTERIORS KORITEPADU DOOR 28 DOOR 28 GUNTUR ANP 522007"/>
    <s v="GUNTUR"/>
    <x v="3"/>
    <x v="17"/>
    <s v="DURGA"/>
    <n v="801723195"/>
    <s v="Sgr@9290"/>
    <m/>
    <m/>
    <x v="0"/>
    <s v="LIVE"/>
    <s v="Customer given House address visited customer live at home customer RTP Response not ready to pay Bill payment // Customer given House address visited discussed about payment said that call back afternoon 1:00 pm // Customer given working address visited waiting for customer // Customer given House address visited  waiting for payment"/>
    <x v="14"/>
    <d v="2025-09-11T00:00:00"/>
    <n v="120"/>
    <s v="Amazon Pay ICICI Bank Credit Card"/>
    <s v="29TH MAY"/>
    <d v="2026-05-30T00:00:00"/>
  </r>
  <r>
    <s v="4315813584232001"/>
    <s v="Mr NANDAN REDDY MADDULA"/>
    <n v="0"/>
    <x v="0"/>
    <m/>
    <m/>
    <s v="N"/>
    <x v="9"/>
    <s v="9959063344"/>
    <s v="X"/>
    <n v="53247.119999999995"/>
    <n v="500000"/>
    <n v="553247.12"/>
    <s v=""/>
    <n v="553247.12"/>
    <n v="499986.76"/>
    <n v="129210"/>
    <n v="57970"/>
    <x v="1"/>
    <x v="1"/>
    <n v="0"/>
    <n v="57970"/>
    <x v="1"/>
    <s v="NA"/>
    <n v="0"/>
    <s v="DURGA"/>
    <x v="5"/>
    <x v="1"/>
    <s v="H NO1-1-579/1,PHULLONG,NIZAMABAD,PADMA NAGAR     NIZAMABADTNG 503001"/>
    <s v="ICICI FOUNDATION H no 1-1-579-1 Phulong x road Phulong x road NIZAMABAD TNG 503001"/>
    <s v="NIZAMABAD"/>
    <x v="1"/>
    <x v="20"/>
    <s v="D RAMU"/>
    <n v="802663344"/>
    <s v="Sgr@9290"/>
    <m/>
    <m/>
    <x v="0"/>
    <s v="LIVE"/>
    <s v="ustomer paymet on Monday //  customer paymet on twommro after noon // customer paymet today evening or tomorrow morning // coustmer payment update from 8 pm // Feedback waiting for coustmer // waiting form coustmer shop // waiting for coustmer"/>
    <x v="20"/>
    <d v="2026-03-04T00:00:00"/>
    <n v="40000"/>
    <s v="Amazon Pay ICICI Bank Credit Card"/>
    <s v="29TH MAY"/>
    <d v="2026-05-30T00:00:00"/>
  </r>
  <r>
    <s v="4315814270455005"/>
    <s v="MR NASINA SIVA PRASAD"/>
    <n v="0"/>
    <x v="1"/>
    <n v="1"/>
    <s v="CC"/>
    <s v="N"/>
    <x v="9"/>
    <s v="8309052586"/>
    <s v="X"/>
    <n v="36990.75"/>
    <n v="500000"/>
    <n v="536990.75"/>
    <n v="242607.25"/>
    <n v="294383.5"/>
    <n v="255793.77"/>
    <n v="87520"/>
    <n v="35460"/>
    <x v="1"/>
    <x v="1"/>
    <n v="0"/>
    <n v="35460"/>
    <x v="1"/>
    <s v="NA"/>
    <n v="0"/>
    <s v="DURGA"/>
    <x v="5"/>
    <x v="3"/>
    <s v="1.244..MYPADU.MAIN.ROAD.NARAYANA.REDDY.P NELLORE ..  NELLORE ANP 524314"/>
    <s v="HEXAGON.CAPABILITY.CENTER.INDIA.PVT.LTD Hyderabad Hitech.city Hitech.city HYDERABAD TNG500081"/>
    <s v="NELLORE"/>
    <x v="4"/>
    <x v="12"/>
    <s v="B SURESH"/>
    <n v="801570488"/>
    <s v="Ssd@9290"/>
    <m/>
    <m/>
    <x v="0"/>
    <s v="SKIP"/>
    <s v=":cm shift from here last 3 years sir and cm call not answered sir"/>
    <x v="4"/>
    <d v="2026-03-16T00:00:00"/>
    <n v="78482.600000000006"/>
    <s v="Amazon Pay ICICI Bank Credit Card"/>
    <s v="1ST JUNE"/>
    <d v="2026-05-30T00:00:00"/>
  </r>
  <r>
    <s v="4315812500983002"/>
    <s v="MR Guduru Kiran"/>
    <n v="0"/>
    <x v="0"/>
    <m/>
    <m/>
    <s v="N"/>
    <x v="9"/>
    <s v="9866430670"/>
    <s v="X"/>
    <n v="26920.660000000033"/>
    <n v="500000"/>
    <n v="526920.66"/>
    <n v="320949.73"/>
    <n v="205970.93"/>
    <n v="176383.13"/>
    <n v="92760"/>
    <n v="50110"/>
    <x v="0"/>
    <x v="2"/>
    <n v="50200"/>
    <n v="-90"/>
    <x v="12"/>
    <s v="FE"/>
    <s v="12124 - UPI Payment Received"/>
    <s v="DURGA"/>
    <x v="5"/>
    <x v="0"/>
    <s v="4-110  palakendram palakendram Khammam KHAMMAMTNG 507101"/>
    <s v="SRI ANJANEANEYA JEWELARRY CHINNA BAZAR CHINNA BAZAR CHINNA BAZAR KHAMMAM TNG 507101"/>
    <s v="KHAMMAM"/>
    <x v="1"/>
    <x v="7"/>
    <s v="POORNIMA"/>
    <n v="802824019"/>
    <s v="Nihan@2421"/>
    <m/>
    <m/>
    <x v="0"/>
    <s v="LIVE"/>
    <s v="Visited customer shop address customer live given PTP 2nd sir..... // Revisited customer shop address given PTP today afternoon customer not available in shop contacted customer through phone given new PTP today evening sir.... // Customer paid already part payment sir remaining for Norm today EOD sir. // Customer paid already part payment sir remaining for Norm today 5pm  sir. // Customer paid already part payment  Waiting for remaining payment sir. // Customer paid already paid stab amount given PTP today for total outstanding 3pm sir..."/>
    <x v="18"/>
    <d v="2024-09-23T00:00:00"/>
    <n v="50000"/>
    <s v="Amazon Pay ICICI Bank Credit Card"/>
    <s v="29TH MAY"/>
    <d v="2026-05-30T00:00:00"/>
  </r>
  <r>
    <s v="4315812678474008"/>
    <s v="MR Remala Srinivasa Rao"/>
    <n v="0"/>
    <x v="0"/>
    <m/>
    <m/>
    <s v="N"/>
    <x v="9"/>
    <s v="9866555587"/>
    <s v="X"/>
    <n v="22201.219999999972"/>
    <n v="500000"/>
    <n v="522201.22"/>
    <n v="318311.34000000003"/>
    <n v="203889.88"/>
    <n v="178592.66"/>
    <n v="76400"/>
    <n v="31880"/>
    <x v="1"/>
    <x v="1"/>
    <n v="0"/>
    <n v="31880"/>
    <x v="1"/>
    <s v="NA"/>
    <n v="0"/>
    <s v="DURGA"/>
    <x v="5"/>
    <x v="2"/>
    <s v="FLAT NO -2773 NEW RAJARAJESWERI PETA AJITH SINGHNAGAR NEAR SAI BABA TEMPLE VIJAYAWADA ANP 520015"/>
    <s v="ELISHA WALLETS AND BAGS SHOP NO -35 BRUNDHAVAN COMPLEX GOVERNER PETA BRUNDHAVAN COMPLEX GOVERNER PETA VIJAYAWADA ANP520002"/>
    <s v="VIJAYAWADA"/>
    <x v="0"/>
    <x v="22"/>
    <s v="SUDHAKAR"/>
    <n v="802913252"/>
    <s v="Ssd@9290"/>
    <m/>
    <m/>
    <x v="0"/>
    <s v="MESS"/>
    <s v="Customer working address was currently closed // Customer currently unavailable _x000a_Call responded currently he is in out station _x000a_Available after three days // Customer gas tracing adress visited shifted to Vijayawada by neighbors enquiry // Customer mother death customer not available in shop customer Bava call back tomorrow // Customer working address currently closed _x000a_Need to revisit // Customer still not available _x000a_Staff dispute with us _x000a_Need to visit house address // Customer not available need to visit house visit // Customer not available in the house address also // Customer working address currently closed"/>
    <x v="20"/>
    <d v="2025-07-30T00:00:00"/>
    <n v="34000"/>
    <s v="Amazon Pay ICICI Bank Credit Card"/>
    <s v="1ST JUNE"/>
    <d v="2026-05-30T00:00:00"/>
  </r>
  <r>
    <s v="4315812542375001"/>
    <s v="MR GUNDEPUDI PRASANTH"/>
    <n v="0"/>
    <x v="0"/>
    <m/>
    <s v="CC"/>
    <s v="N"/>
    <x v="9"/>
    <s v="9030042042"/>
    <s v="X"/>
    <n v="10039.039999999979"/>
    <n v="480000"/>
    <n v="490039.03999999998"/>
    <n v="32348.44"/>
    <n v="457690.6"/>
    <n v="413067.77"/>
    <n v="144960"/>
    <n v="66810"/>
    <x v="0"/>
    <x v="0"/>
    <n v="457690.6"/>
    <n v="-390880.6"/>
    <x v="13"/>
    <s v="FE"/>
    <s v="30501-BBPS Payment received"/>
    <s v="DURGA"/>
    <x v="5"/>
    <x v="0"/>
    <s v="&quot;H NO,4215166 OPPSATYA SAI,BABA,ASRAMAM,&quot; &quot;SRINIVAS NAGAR,.&quot;   KHAMMAM TNG 507003"/>
    <s v="BIRLA SOFT LTD &quot;Level 15,16 tsi business parks&quot; Wave rock project apiic it/ites Wave rock project apiic it/ites HYDERABAD TNG500008"/>
    <s v="KHAMMAM"/>
    <x v="1"/>
    <x v="24"/>
    <s v="POORNIMA"/>
    <n v="802824019"/>
    <s v="Nihan@2421"/>
    <m/>
    <m/>
    <x v="0"/>
    <s v="LIVE"/>
    <s v=" have visited Customer Given house address Customer not available in home Found house locked Customer call answered Saying that we are in Hyderabad Customer given ptp by Sunday"/>
    <x v="4"/>
    <d v="2026-03-17T00:00:00"/>
    <n v="8000"/>
    <s v="Amazon Pay ICICI Bank Credit Card"/>
    <s v="1ST JUNE"/>
    <d v="2026-05-30T00:00:00"/>
  </r>
  <r>
    <s v="4315813989055007"/>
    <s v="MR Kalikota Adithya Chary"/>
    <n v="0"/>
    <x v="0"/>
    <m/>
    <m/>
    <s v="N"/>
    <x v="9"/>
    <s v="9533889880"/>
    <s v="X"/>
    <n v="13397.520000000019"/>
    <n v="460000"/>
    <n v="473397.52"/>
    <s v=""/>
    <n v="473397.52"/>
    <n v="424032.81"/>
    <n v="103200"/>
    <n v="49295"/>
    <x v="1"/>
    <x v="1"/>
    <n v="0"/>
    <n v="49295"/>
    <x v="1"/>
    <s v="NA"/>
    <n v="0"/>
    <s v="DURGA"/>
    <x v="5"/>
    <x v="0"/>
    <s v="10.2.239  VIDYANAGAR ..VIDYANAGAR OPP INDIAN BANK LINE KARIMNAGARTNG 505002"/>
    <s v="RELIANCE.SMSL.LIMITED RELIANCE.IT.PARK VALILALAPALLY. VALILALAPALLY. KARIMNAGAR TNG 505002"/>
    <s v="KARIMNAGAR"/>
    <x v="1"/>
    <x v="27"/>
    <s v="SUMANTH"/>
    <n v="802370852"/>
    <s v="Sgr@9290"/>
    <m/>
    <m/>
    <x v="0"/>
    <s v="SKIP"/>
    <s v="Customer shifted to another address and calls not connecting need kyc // Customer working address visited at reliance smsl pvt ltd and waiting for customer details need KYC // Customer kyc address visited and here his mother trailer shop his mother told he is in Hyderabad we don't have any contact to him"/>
    <x v="11"/>
    <d v="2024-05-31T00:00:00"/>
    <n v="34527"/>
    <s v="Amazon Pay ICICI Bank Credit Card"/>
    <s v="29TH MAY"/>
    <d v="2026-05-30T00:00:00"/>
  </r>
  <r>
    <s v="4315812427970009"/>
    <s v="MS Gannu Lakshmi Prabha"/>
    <n v="0"/>
    <x v="0"/>
    <m/>
    <m/>
    <s v="N"/>
    <x v="9"/>
    <s v="9390115710"/>
    <s v="X"/>
    <n v="38756.239999999991"/>
    <n v="420000"/>
    <n v="458756.24"/>
    <n v="10911.88"/>
    <n v="447844.36"/>
    <n v="408421.88"/>
    <n v="118540"/>
    <n v="39830"/>
    <x v="1"/>
    <x v="1"/>
    <n v="0"/>
    <n v="39830"/>
    <x v="1"/>
    <s v="NA"/>
    <n v="0"/>
    <s v="DURGA"/>
    <x v="5"/>
    <x v="0"/>
    <s v="11-23-1796/1 EKASHILA NAGAR EKASHILA NAGAR Warangal Urban WARANGAL TNG 506002"/>
    <s v="SRI SRINIVASA ENTERPRISES 8-11-190 &quot;JPN ROAD CHOWRASTHA,.  WARANGAL&quot; &quot;JPN ROAD CHOWRASTHA,.  WARANGAL&quot; WARANGAL TNG506002"/>
    <s v="WARANGAL"/>
    <x v="1"/>
    <x v="2"/>
    <s v="CHAITANYA"/>
    <n v="802555024"/>
    <s v="Ssde@9290"/>
    <m/>
    <m/>
    <x v="0"/>
    <s v="LIVE"/>
    <s v="Visited Customer Residence Address _x000a_Customer Not Available Call Not Answering Sir"/>
    <x v="14"/>
    <d v="2025-10-10T00:00:00"/>
    <n v="50000"/>
    <s v="Amazon Pay ICICI Bank Credit Card"/>
    <s v="1ST JUNE"/>
    <d v="2026-05-30T00:00:00"/>
  </r>
  <r>
    <s v="4315813671475018"/>
    <s v="MR Nuvusetty Hemanth Kumar"/>
    <n v="0"/>
    <x v="1"/>
    <n v="1"/>
    <s v="CC"/>
    <s v="N"/>
    <x v="9"/>
    <s v="9505085118"/>
    <s v="X"/>
    <n v="36522.150000000023"/>
    <n v="420000"/>
    <n v="456522.15"/>
    <n v="36800.15"/>
    <n v="419722"/>
    <n v="380633.99"/>
    <n v="75120"/>
    <n v="30790"/>
    <x v="1"/>
    <x v="1"/>
    <n v="0"/>
    <n v="30790"/>
    <x v="1"/>
    <s v="NA"/>
    <n v="0"/>
    <s v="DURGA"/>
    <x v="5"/>
    <x v="3"/>
    <s v="23 784 NELLORE YADAVA STREET HATHE KHAN PETA NELLORE ANP 524003"/>
    <s v="VRL Logistics Ltd 23 1 911 RAJAGARI STREET MULAPET NELLORE NELLORE NELLORE NELLORE ANP524003"/>
    <s v="NELLORE"/>
    <x v="4"/>
    <x v="12"/>
    <s v="B SURESH"/>
    <n v="801570488"/>
    <s v="Ssd@9290"/>
    <m/>
    <m/>
    <x v="1"/>
    <m/>
    <m/>
    <x v="10"/>
    <d v="2024-11-29T00:00:00"/>
    <n v="30145.15"/>
    <s v="Amazon Pay ICICI Bank Credit Card"/>
    <s v="1ST JUNE"/>
    <d v="2026-05-30T00:00:00"/>
  </r>
  <r>
    <s v="4315813270531005"/>
    <s v="MR marripally satheesh"/>
    <n v="0"/>
    <x v="0"/>
    <m/>
    <m/>
    <s v="N"/>
    <x v="9"/>
    <s v="9908298263"/>
    <s v="X"/>
    <n v="23894.200000000012"/>
    <n v="380000"/>
    <n v="403894.2"/>
    <s v=""/>
    <n v="403894.2"/>
    <n v="372081.08"/>
    <n v="98480"/>
    <n v="63825"/>
    <x v="0"/>
    <x v="2"/>
    <n v="63825"/>
    <n v="0"/>
    <x v="1"/>
    <s v="LO"/>
    <s v="30501-BBPS Payment received"/>
    <s v="DURGA"/>
    <x v="5"/>
    <x v="0"/>
    <s v="PLOT NO 26 MLG ROAD GARUDADRI NAGAR NEAR COLLECTORATE NALGONDA TNG 508001"/>
    <s v="GOVERNMENT OF TELANGANA NEAR GANDHI SCHOOL S T O CHANDUR SIRDEPALLY S T O CHANDUR SIRDEPALLY NALGONDA TNG508255"/>
    <s v="NALGONDA"/>
    <x v="1"/>
    <x v="18"/>
    <s v="INAMUL"/>
    <n v="802823175"/>
    <s v="Sgr@9290"/>
    <m/>
    <m/>
    <x v="0"/>
    <s v="SKIP"/>
    <s v="Customer Adress visit, Cutstomer last year rented home is job collector office prasent is transfer Kodad ( Treasury Job) prasent living in Kodad and Customer call Answer ptp on Today // Visited Customer Traced address Customer not available here Customer parents &amp; his brother available waiting for payment"/>
    <x v="19"/>
    <d v="2024-10-11T00:00:00"/>
    <n v="100000"/>
    <s v="Amazon Pay ICICI Bank Credit Card"/>
    <s v="1ST JUNE"/>
    <d v="2026-05-30T00:00:00"/>
  </r>
  <r>
    <s v="4315813522624012"/>
    <s v="MR Vadlamudi Leela Krishna"/>
    <n v="0"/>
    <x v="0"/>
    <m/>
    <m/>
    <s v="N"/>
    <x v="9"/>
    <s v="9959865035"/>
    <s v="X"/>
    <n v="345602.2"/>
    <n v="20000"/>
    <n v="365602.2"/>
    <s v=""/>
    <n v="365602.2"/>
    <n v="329572.8"/>
    <n v="365602.2"/>
    <n v="332760"/>
    <x v="1"/>
    <x v="1"/>
    <n v="0"/>
    <n v="332760"/>
    <x v="1"/>
    <s v="NA"/>
    <n v="0"/>
    <s v="DURGA"/>
    <x v="5"/>
    <x v="0"/>
    <s v="8 233  Rupenaguntla Rupenaguntla Guntur NARASAPURAMANP 522603"/>
    <s v="TRANSPACKS FLAT NO 302 CHOODAMANI APPARTMENT   DHARAMKARAN ROAD CHOODAMANI APPARTMENT   DHARAMKARAN ROAD HYDERABAD TNG 500016"/>
    <s v="NARASARAOPET"/>
    <x v="3"/>
    <x v="28"/>
    <s v="DURGA"/>
    <n v="801723195"/>
    <s v="Sgr@9290"/>
    <m/>
    <m/>
    <x v="0"/>
    <s v="DL"/>
    <s v="customer not available at house door lock by call conversation he was living in Hyderabad asking for EMI option..... // customer not available at house door lock by call conversation he was living in Hyderabad asking for EMI option…"/>
    <x v="15"/>
    <d v="2026-04-06T00:00:00"/>
    <n v="79723"/>
    <s v="Amazon Pay ICICI Bank Credit Card"/>
    <s v="29TH MAY"/>
    <d v="2026-05-30T00:00:00"/>
  </r>
  <r>
    <s v="4315814470853009"/>
    <s v="MR Kola Tarakaprasad"/>
    <n v="0"/>
    <x v="0"/>
    <m/>
    <m/>
    <s v="N"/>
    <x v="9"/>
    <s v="8332874468"/>
    <s v="J3"/>
    <n v="-143333.18"/>
    <n v="500000"/>
    <n v="356666.82"/>
    <s v=""/>
    <n v="356666.82"/>
    <n v="320364.2"/>
    <n v="331440"/>
    <n v="330090"/>
    <x v="0"/>
    <x v="0"/>
    <n v="351129"/>
    <n v="-21039"/>
    <x v="1"/>
    <s v="D"/>
    <s v="12124 - UPI Payment Received"/>
    <s v="DURGA"/>
    <x v="5"/>
    <x v="0"/>
    <s v="5.31  nimmakayala.kotta.palli Kaluva.Veedhi East Godavari AMALAPURAMANP 533222"/>
    <s v="TARAK.KOLA 5.31..kalluvva.vedhi nimmakayala.kothapalli.uppalaguptam.Near nimmakayala.kothapalli.uppalaguptam.Near AMALAPURAM ANP 533222"/>
    <s v="AMALAPURAM"/>
    <x v="0"/>
    <x v="25"/>
    <s v="B NAGABABU"/>
    <n v="801448854"/>
    <s v="Sgr@9290"/>
    <m/>
    <m/>
    <x v="0"/>
    <s v="LIVE"/>
    <s v=" VISITED CUSTOMER HOUSE SIR.PTP TO 10TH //  revisited customer house for payment purpose sir"/>
    <x v="17"/>
    <d v="2026-05-10T00:00:00"/>
    <n v="87110"/>
    <s v="Amazon Pay ICICI Bank Credit Card"/>
    <s v="29TH MAY"/>
    <d v="2026-05-30T00:00:00"/>
  </r>
  <r>
    <s v="4315812368965000"/>
    <s v="MR Vadlani Reddy Prasanna"/>
    <n v="0"/>
    <x v="0"/>
    <m/>
    <s v="CC"/>
    <s v="N"/>
    <x v="9"/>
    <s v="7386618242"/>
    <s v="X"/>
    <n v="26650.669999999984"/>
    <n v="320000"/>
    <n v="346650.67"/>
    <s v=""/>
    <n v="346650.67"/>
    <n v="318310.93"/>
    <n v="90010"/>
    <n v="60400"/>
    <x v="1"/>
    <x v="1"/>
    <n v="0"/>
    <n v="60400"/>
    <x v="1"/>
    <s v="NA"/>
    <n v="0"/>
    <s v="DURGA"/>
    <x v="5"/>
    <x v="0"/>
    <s v="4/146 gaandla veedhi gaandla veedhi Cuddapah PRODDATUR ANP 516329"/>
    <s v="KSRM COLLEGE OF ENGINEERING KSRM ENGINEERING COLLEGE YERRAMASUPALLI YERRAMASUPALLI CUDDAPAH ANP516003"/>
    <s v="PRODDATUR"/>
    <x v="2"/>
    <x v="31"/>
    <s v="POORNIMA"/>
    <n v="802824019"/>
    <s v="Nihan@2421"/>
    <m/>
    <m/>
    <x v="0"/>
    <s v="DL"/>
    <s v="Cm home is in lock cm is in banglore cm family will come day after tomorrow enquired by neighbour sir. // Cm family is in kadapa hospital sir cm not responding sir."/>
    <x v="20"/>
    <d v="2024-07-28T00:00:00"/>
    <n v="2679.77"/>
    <s v="Amazon Pay ICICI Bank Credit Card"/>
    <s v="1ST JUNE"/>
    <d v="2026-05-30T00:00:00"/>
  </r>
  <r>
    <s v="4315813740352008"/>
    <s v="MR Vardineni Naveen Rao"/>
    <n v="0"/>
    <x v="1"/>
    <m/>
    <s v="CC"/>
    <s v="N"/>
    <x v="9"/>
    <s v="9550905041"/>
    <s v="X"/>
    <n v="-8525.4099999999744"/>
    <n v="350000"/>
    <n v="341474.59"/>
    <n v="280508.21000000002"/>
    <n v="60966.38"/>
    <n v="46678.43"/>
    <n v="60966.38"/>
    <n v="27548.81"/>
    <x v="1"/>
    <x v="1"/>
    <n v="0"/>
    <n v="27548.81"/>
    <x v="1"/>
    <s v="NA"/>
    <n v="0"/>
    <s v="DURGA"/>
    <x v="5"/>
    <x v="3"/>
    <s v="2 129 New velmal New velmal Adilabad ADILABAD TNG 504105"/>
    <s v="RELIANCE RETAIL LIMITED BALAJI TOWERS CHAIN GATE CHAIN GATE ADILABAD TNG504106"/>
    <s v="ADILABAD"/>
    <x v="1"/>
    <x v="35"/>
    <s v="KANTH"/>
    <n v="802794852"/>
    <s v="Ssd@9290"/>
    <m/>
    <m/>
    <x v="0"/>
    <s v="LIVE"/>
    <s v="Customer visit office address meet customer Customer ask the Satelment due Health issue and funcial problem"/>
    <x v="4"/>
    <d v="2024-07-21T00:00:00"/>
    <n v="15313.62"/>
    <s v="Amazon Pay ICICI Bank Credit Card"/>
    <s v="1ST JUNE"/>
    <d v="2026-05-30T00:00:00"/>
  </r>
  <r>
    <s v="4315814048903005"/>
    <s v="MR MADDA L DAMODHAR GUPTA"/>
    <n v="0"/>
    <x v="0"/>
    <m/>
    <m/>
    <s v="N"/>
    <x v="9"/>
    <s v="9966766421"/>
    <s v="X"/>
    <n v="317640.87"/>
    <n v="20000"/>
    <n v="337640.87"/>
    <s v=""/>
    <n v="337640.87"/>
    <n v="300980"/>
    <n v="337640.87"/>
    <n v="322176.8"/>
    <x v="1"/>
    <x v="1"/>
    <n v="0"/>
    <n v="322176.8"/>
    <x v="1"/>
    <s v="NA"/>
    <n v="0"/>
    <s v="DURGA"/>
    <x v="5"/>
    <x v="0"/>
    <s v="MADDALI.BHARATHI.LAKSHMI.25.13.1.VINUKON  VINUKONDA ISUKA.VAGU.BAZAR VINUKONDA NARASAPURAMANP 522647"/>
    <s v="GUPTA.COMMUNICATIONS 15.56..Sannidhi.Vari.Street. Post.office.Back.side.. Post.office.Back.side.. NARASAPURAM ANP 522647"/>
    <s v="NARASARAOPET"/>
    <x v="3"/>
    <x v="39"/>
    <s v="IMAMVALLI"/>
    <n v="802789320"/>
    <s v="Ssd@9290"/>
    <m/>
    <m/>
    <x v="0"/>
    <s v="LIVE"/>
    <s v="Customer house visit sir customer not available Sir // Customer house visit sir customer not available Sir // Customer house visit sir customer not available Sir"/>
    <x v="18"/>
    <d v="2025-05-30T00:00:00"/>
    <n v="100"/>
    <s v="Amazon Pay ICICI Bank Credit Card"/>
    <s v="29TH MAY"/>
    <d v="2026-05-30T00:00:00"/>
  </r>
  <r>
    <s v="4315815509031004"/>
    <s v="MR P Gopal Singh"/>
    <n v="0"/>
    <x v="0"/>
    <m/>
    <m/>
    <s v="N"/>
    <x v="9"/>
    <s v="9676111026"/>
    <s v="X"/>
    <n v="-5862.539999999979"/>
    <n v="330000"/>
    <n v="324137.46000000002"/>
    <n v="42261.58"/>
    <n v="281875.88"/>
    <n v="263833.09000000003"/>
    <n v="59300"/>
    <n v="27870"/>
    <x v="0"/>
    <x v="0"/>
    <n v="281875.88"/>
    <n v="-254005.88"/>
    <x v="13"/>
    <s v="FE"/>
    <s v="12124 - UPI Payment Received"/>
    <s v="DURGA"/>
    <x v="5"/>
    <x v="0"/>
    <s v="2146 Indervelly.Mandal Galiya.Bai.thanda Adilabad ADILABAD TNG 504346"/>
    <s v="COGNIZANT.TECH.SOLU.IND.PVT.LTD Cognizant.technology.solutions 12.A.building..Mindspace.Madhapur 12.A.building..Mindspace.Madhapur HYDERABAD TNG500081"/>
    <s v="ADILABAD"/>
    <x v="1"/>
    <x v="35"/>
    <s v="KANTH"/>
    <n v="802794852"/>
    <s v="Ssd@9290"/>
    <m/>
    <m/>
    <x v="0"/>
    <s v="MESS"/>
    <s v="Customer visit home address not available meet her father talk to customer phone Present Job loss Financial problems ask the customer some time"/>
    <x v="4"/>
    <s v=""/>
    <n v="0"/>
    <s v="Amazon Pay ICICI Bank Credit Card"/>
    <s v="1ST JUNE"/>
    <d v="2026-05-30T00:00:00"/>
  </r>
  <r>
    <s v="4748469409053002"/>
    <s v="MR JAMMALADINNE MANILLA SUDHAKAR"/>
    <n v="0"/>
    <x v="0"/>
    <m/>
    <m/>
    <s v="O"/>
    <x v="9"/>
    <s v="8179796510"/>
    <s v="X"/>
    <n v="12671.380000000005"/>
    <n v="300000"/>
    <n v="312671.38"/>
    <s v=""/>
    <n v="312671.38"/>
    <n v="297149.15000000002"/>
    <n v="73270"/>
    <n v="44330"/>
    <x v="0"/>
    <x v="2"/>
    <n v="44330"/>
    <n v="0"/>
    <x v="1"/>
    <s v="LO"/>
    <s v="12124 - UPI Payment Received"/>
    <s v="DURGA"/>
    <x v="5"/>
    <x v="0"/>
    <s v="18-29,,KUMMARI STREET   CHAGALAMARRI AZIM PUBLIC SCHOOL NANDYALANP 518553"/>
    <s v="INDUSIND BANK LIMITED INDUSIND BANK LTD 3RD FLOOR 1-10-60/3A SURYODAYA CHAMBER BEGUMPET SURYODAYA CHAMBER BEGUMPET HYDERABAD TNG 500016"/>
    <s v="NANDYAL"/>
    <x v="2"/>
    <x v="31"/>
    <s v="POORNIMA"/>
    <n v="802824019"/>
    <s v="Nihan@2421"/>
    <m/>
    <m/>
    <x v="0"/>
    <m/>
    <m/>
    <x v="10"/>
    <d v="2025-11-12T00:00:00"/>
    <n v="1724"/>
    <s v="ICICI Bank HPCL Super Saver Visa Credit Card"/>
    <s v="29TH MAY"/>
    <d v="2026-05-30T00:00:00"/>
  </r>
  <r>
    <s v="4315813883418004"/>
    <s v="MR SATYASURESH VV KOTIPALLI"/>
    <n v="0"/>
    <x v="0"/>
    <m/>
    <m/>
    <s v="O"/>
    <x v="9"/>
    <s v="7702233044"/>
    <s v="Y"/>
    <n v="166613.49"/>
    <n v="140000"/>
    <n v="306613.49"/>
    <n v="269175.49"/>
    <n v="37438"/>
    <n v="34820.29"/>
    <n v="29640"/>
    <n v="14848"/>
    <x v="0"/>
    <x v="2"/>
    <n v="14850"/>
    <n v="-2"/>
    <x v="18"/>
    <s v="LO"/>
    <s v="30501-BBPS Payment received"/>
    <s v="DURGA"/>
    <x v="5"/>
    <x v="0"/>
    <s v=".  METTAKURU  G N NAIDU COLONY YANAM METTAKUR KAKINADAANP 533464"/>
    <s v="CYIENT LIMITED PLOT NO 1 TO 5A APIIC SEZ 2  AUTO NAGAR madhavapatanam madhavapatanam KAKINADA ANP 533005"/>
    <s v="KAKINADA"/>
    <x v="0"/>
    <x v="13"/>
    <s v="MANIKANTA"/>
    <n v="802852449"/>
    <s v="Ssd@9290"/>
    <m/>
    <m/>
    <x v="0"/>
    <s v="MESS"/>
    <s v="Custmor go to job  inform father"/>
    <x v="8"/>
    <d v="2026-04-12T00:00:00"/>
    <n v="13158"/>
    <s v="Amazon Pay ICICI Bank Credit Card"/>
    <s v="29TH MAY"/>
    <d v="2026-05-30T00:00:00"/>
  </r>
  <r>
    <s v="6528680760468008"/>
    <s v="MR RASAMALLA RAJESH KUMAR"/>
    <n v="0"/>
    <x v="0"/>
    <m/>
    <m/>
    <s v="N"/>
    <x v="9"/>
    <s v="9949810854"/>
    <s v="X"/>
    <n v="34640.299999999988"/>
    <n v="250000"/>
    <n v="284640.3"/>
    <s v=""/>
    <n v="284640.3"/>
    <n v="249488.21"/>
    <n v="91670"/>
    <n v="42710"/>
    <x v="1"/>
    <x v="1"/>
    <n v="0"/>
    <n v="42710"/>
    <x v="1"/>
    <s v="NA"/>
    <n v="0"/>
    <s v="DURGA"/>
    <x v="5"/>
    <x v="0"/>
    <s v="HOUSE NO 8 58 BC COLONY NEKKONDA MANDAL NEAR SURYA THEATER Warangal TNG 506122"/>
    <s v="TVS CREDIT SERVICES LIMITED DOOR NO 15 3 54 2 ND FLOOR RANGAMPET RANGAMPET Warangal TNG506002"/>
    <s v="WARANGAL"/>
    <x v="1"/>
    <x v="2"/>
    <s v="CHAITANYA"/>
    <n v="802555024"/>
    <s v="Ssde@9290"/>
    <m/>
    <m/>
    <x v="0"/>
    <s v="SKIP"/>
    <s v="Visited Customer Office Adress Customer Not Working Confirm to His Boss Sir // Visited Customer Residence Waiting for Customer Sir"/>
    <x v="11"/>
    <d v="2025-05-24T00:00:00"/>
    <n v="71100"/>
    <s v="ICICI Bank HPCL Super Saver Visa Credit Card"/>
    <s v="1ST JUNE"/>
    <d v="2026-05-30T00:00:00"/>
  </r>
  <r>
    <s v="4315815270003018"/>
    <s v="MR SOMESWARARAO Chittiboyina"/>
    <n v="0"/>
    <x v="0"/>
    <m/>
    <m/>
    <s v="N"/>
    <x v="9"/>
    <s v="9848079698"/>
    <s v="X"/>
    <n v="259645.09000000003"/>
    <n v="20000"/>
    <n v="279645.09000000003"/>
    <s v=""/>
    <n v="279645.09000000003"/>
    <n v="261739.14"/>
    <n v="278610"/>
    <n v="242740"/>
    <x v="1"/>
    <x v="1"/>
    <n v="0"/>
    <n v="242740"/>
    <x v="1"/>
    <s v="NA"/>
    <n v="0"/>
    <s v="DURGA"/>
    <x v="5"/>
    <x v="0"/>
    <s v="8.71.1..srisai.siri.nilayam. indrapalem.chaitanya.nagar ..indrapalem.chaitanya.nagar Kakinada KAKINADA ANP 533006"/>
    <s v="INVASYSTEM 1B..NANO.SPACE.IT.PARK..5..2 Baner...Pashan.Link.Rd..Baner.. Baner...Pashan.Link.Rd..Baner.. PUNE MAH411045"/>
    <s v="KAKINADA"/>
    <x v="0"/>
    <x v="16"/>
    <s v="UDAY"/>
    <n v="801436997"/>
    <s v="Ssd@9290"/>
    <m/>
    <m/>
    <x v="0"/>
    <s v="SKIP"/>
    <s v="Customer GIVEN address skip call not answering sir need to kyc sir @Samba Garu"/>
    <x v="12"/>
    <d v="2025-04-29T00:00:00"/>
    <n v="54000"/>
    <s v="Amazon Pay ICICI Bank Credit Card"/>
    <s v="1ST JUNE"/>
    <d v="2026-05-30T00:00:00"/>
  </r>
  <r>
    <s v="4315812771908001"/>
    <s v="MR Vollore Sham Prabhath"/>
    <n v="0"/>
    <x v="0"/>
    <m/>
    <m/>
    <s v="N"/>
    <x v="9"/>
    <s v="7386625920"/>
    <s v="X"/>
    <n v="11956.329999999987"/>
    <n v="250000"/>
    <n v="261956.33"/>
    <n v="193328.47"/>
    <n v="68627.86"/>
    <n v="51631.69"/>
    <n v="54350"/>
    <n v="26930"/>
    <x v="1"/>
    <x v="1"/>
    <n v="0"/>
    <n v="26930"/>
    <x v="1"/>
    <s v="NA"/>
    <n v="0"/>
    <s v="DURGA"/>
    <x v="5"/>
    <x v="0"/>
    <s v="21/404/35 INDIRA NAGAR INDIRA NAGAR NEAR RTC BUSTAND KURNOOL ANP 518301"/>
    <s v="SUVISION HOLDINGS PRIVATE LIMITED &quot;NO.50,VINAY ARCADE&quot; K.H ROAD K.H ROAD BANGALORE KAR560027"/>
    <s v="KURNOOL"/>
    <x v="2"/>
    <x v="19"/>
    <s v="SAMBA"/>
    <n v="801772794"/>
    <s v="Ssde@9876"/>
    <m/>
    <m/>
    <x v="0"/>
    <s v="SKIP"/>
    <s v="Customer shift from given address sir .not responding for calls . _x000a_Visited with magbool basha // Customer live in Bangalore sir._x000a_Contact with his father . He told that go to Bangalore &amp; collect near him only don't come again near house. We have contacted to customer by phone  he told that he will pay on 25th .untill don't disturb.other wise he will take serious action"/>
    <x v="18"/>
    <d v="2024-06-25T00:00:00"/>
    <n v="30000"/>
    <s v="Amazon Pay ICICI Bank Credit Card"/>
    <s v="1ST JUNE"/>
    <d v="2026-05-30T00:00:00"/>
  </r>
  <r>
    <s v="4315812681820007"/>
    <s v="MR Borra Sri Pranava"/>
    <n v="0"/>
    <x v="0"/>
    <m/>
    <m/>
    <s v="N"/>
    <x v="9"/>
    <s v="9666553598"/>
    <s v="X"/>
    <n v="-163202.88"/>
    <n v="410000"/>
    <n v="246797.12"/>
    <s v=""/>
    <n v="246797.12"/>
    <n v="221188.4"/>
    <n v="76000"/>
    <n v="39640"/>
    <x v="0"/>
    <x v="2"/>
    <n v="40000"/>
    <n v="-360"/>
    <x v="17"/>
    <s v="FE"/>
    <s v="12124 - UPI Payment Received"/>
    <s v="DURGA"/>
    <x v="5"/>
    <x v="0"/>
    <s v="&quot;8-16-27,Rajgopal nagar 1st line&quot; Kakani road  Near church GUNTUR ANP 522002"/>
    <s v="VET MEDICALS VET MEDICALS PW MARKET MG ROAD PW MARKET MG ROAD VIZIANAGARAM ANP535002"/>
    <s v="GUNTUR"/>
    <x v="3"/>
    <x v="17"/>
    <s v="DURGA"/>
    <n v="801723195"/>
    <s v="Sgr@9290"/>
    <m/>
    <m/>
    <x v="0"/>
    <s v="SKIP"/>
    <s v="Customer Given House address visited but customer not available living at Hyderabad no one is there at home responded to phone call said that call back on 4/06/26"/>
    <x v="4"/>
    <d v="2026-04-11T00:00:00"/>
    <n v="89990"/>
    <s v="Amazon Pay ICICI Bank Credit Card"/>
    <s v="1ST JUNE"/>
    <d v="2026-05-30T00:00:00"/>
  </r>
  <r>
    <s v="4315812321310005"/>
    <s v="MR BANAVATH RAJANNA"/>
    <n v="0"/>
    <x v="0"/>
    <m/>
    <m/>
    <s v="N"/>
    <x v="9"/>
    <s v="9493158627"/>
    <s v="X"/>
    <n v="-211310.12"/>
    <n v="450000"/>
    <n v="238689.88"/>
    <n v="155287.20000000001"/>
    <n v="83402.679999999993"/>
    <n v="68651.63"/>
    <n v="83402.679999999993"/>
    <n v="30551.51"/>
    <x v="0"/>
    <x v="2"/>
    <n v="31000"/>
    <n v="-448.4900000000016"/>
    <x v="18"/>
    <s v="FE"/>
    <s v="30501-BBPS Payment received"/>
    <s v="DURGA"/>
    <x v="5"/>
    <x v="0"/>
    <s v="H NO 10-5-238/A KISAN NAGAR KARIMNAGAR  OPP SURYA PAPER OFFICE ADILABAD TNG 505001"/>
    <s v="DISTRICT AGRICULTURE OFFICE FIRST FLOOR COLLECTORATE COMPLEX   ADILABAD TNG505001"/>
    <s v="KARIMNAGAR"/>
    <x v="1"/>
    <x v="8"/>
    <s v="V Sridhar"/>
    <n v="801174030"/>
    <s v="Sgr@0987"/>
    <m/>
    <m/>
    <x v="0"/>
    <s v="SKIP"/>
    <s v="Customer address visited and Customer shifted in adrees Call not answering // Customer working address  visited and Customer transfer to Siddipet call not answering // Customer office address visited sir his not available phone call not responding inform to  colleague s. waiting for customer // Customer office address visited sir  meet him given payment commitment tomorrow  ofternoon"/>
    <x v="14"/>
    <d v="2024-08-30T00:00:00"/>
    <n v="18322.3"/>
    <s v="Amazon Pay ICICI Bank Credit Card"/>
    <s v="1ST JUNE"/>
    <d v="2026-05-30T00:00:00"/>
  </r>
  <r>
    <s v="4315813685327007"/>
    <s v="MR Vijay Dasari"/>
    <n v="0"/>
    <x v="0"/>
    <m/>
    <m/>
    <s v="N"/>
    <x v="9"/>
    <s v="9177214387"/>
    <s v="X"/>
    <n v="19790.51999999999"/>
    <n v="210000"/>
    <n v="229790.52"/>
    <s v=""/>
    <n v="229790.52"/>
    <n v="209819.29"/>
    <n v="51990"/>
    <n v="20560"/>
    <x v="0"/>
    <x v="2"/>
    <n v="20700"/>
    <n v="-140"/>
    <x v="15"/>
    <s v="FE"/>
    <s v="30501-BBPS Payment received"/>
    <s v="DURGA"/>
    <x v="5"/>
    <x v="0"/>
    <s v="1 100146 A 1 Kotha Thimmapur Amma Garden Road Mancherial ADILABAD TNG 504209"/>
    <s v="SCCL 1 100146 A 1 AMMA GARDENS AMMA GARDENS ADILABAD TNG504209"/>
    <s v="ADILABAD"/>
    <x v="1"/>
    <x v="11"/>
    <s v="T RAMESH "/>
    <n v="801217009"/>
    <s v="Ssd@9290"/>
    <m/>
    <m/>
    <x v="0"/>
    <s v="SKIP"/>
    <s v="Customer given address visit address not found, call not answer // Customer given address visit address not found trying by call"/>
    <x v="12"/>
    <d v="2024-07-12T00:00:00"/>
    <n v="20595"/>
    <s v="Amazon Pay ICICI Bank Credit Card"/>
    <s v="1ST JUNE"/>
    <d v="2026-05-30T00:00:00"/>
  </r>
  <r>
    <s v="4315814133732004"/>
    <s v="MR KATTA SAI KIRAN"/>
    <n v="0"/>
    <x v="0"/>
    <m/>
    <m/>
    <s v="N"/>
    <x v="9"/>
    <s v="9666421477"/>
    <s v="X"/>
    <n v="-15.459999999991851"/>
    <n v="220000"/>
    <n v="219984.54"/>
    <n v="3681.81"/>
    <n v="216302.73"/>
    <n v="194456.1"/>
    <n v="43790"/>
    <n v="21876"/>
    <x v="0"/>
    <x v="2"/>
    <n v="21900"/>
    <n v="-24"/>
    <x v="17"/>
    <s v="FE"/>
    <s v="30501-BBPS Payment received"/>
    <s v="DURGA"/>
    <x v="5"/>
    <x v="2"/>
    <s v="4.36.1..BONDADA.VILLAGE..KALLA.MANDAL WEST.GODAVARI.DISTRICT...534206 ..WEST.GODAVARI.DISTRICT...534206 NEAR HANUMAN TEMPLE VIJAYAWADA ANP 534206"/>
    <s v="BARCLAYS.GLOBAL.SERVICE.CENTRE.PVT.LTD KHARADI. PUNE...MAHARASHTRA.. PUNE...MAHARASHTRA.. PUNE MAH411014"/>
    <s v="VIJAYAWADA"/>
    <x v="0"/>
    <x v="0"/>
    <s v="B NAGABABU"/>
    <n v="801448854"/>
    <s v="Sgr@9290"/>
    <m/>
    <m/>
    <x v="0"/>
    <s v="DL"/>
    <s v="cmr house address door locked and cmr not answering calls ,cmr not live , cmr living in Hyderabad"/>
    <x v="18"/>
    <d v="2024-06-28T00:00:00"/>
    <n v="36481.42"/>
    <s v="Amazon Pay ICICI Bank Credit Card"/>
    <s v="1ST JUNE"/>
    <d v="2026-05-30T00:00:00"/>
  </r>
  <r>
    <s v="4315813913798003"/>
    <s v="MR Koritala Ravitheja"/>
    <n v="0"/>
    <x v="1"/>
    <n v="1"/>
    <s v="CC"/>
    <s v="N"/>
    <x v="9"/>
    <s v="8886815933"/>
    <s v="X"/>
    <n v="14323.420000000013"/>
    <n v="200000"/>
    <n v="214323.42"/>
    <s v=""/>
    <n v="214323.42"/>
    <n v="199988"/>
    <n v="47450"/>
    <n v="10000"/>
    <x v="1"/>
    <x v="1"/>
    <n v="0"/>
    <n v="10000"/>
    <x v="1"/>
    <s v="NA"/>
    <n v="0"/>
    <s v="DURGA"/>
    <x v="5"/>
    <x v="3"/>
    <s v="4.66B ramalaya.veedhi ..ramalaya.veedhi Guntur NARASAPURAM ANP 522549"/>
    <s v="360.DEGREE.CLOUD.TECHNOLOGIES SCO.11..SECOND.FLOOR ABOVE.CANARA.BANK..SECTOR...16.FARIDABAD ABOVE.CANARA.BANK..SECTOR...16.FARIDABAD FARIDABAD HAR121002"/>
    <s v="NARASARAOPET"/>
    <x v="3"/>
    <x v="28"/>
    <s v="DURGA"/>
    <n v="801723195"/>
    <s v="Sgr@9290"/>
    <m/>
    <m/>
    <x v="1"/>
    <m/>
    <m/>
    <x v="10"/>
    <d v="2024-07-12T00:00:00"/>
    <n v="7000"/>
    <s v="Amazon Pay ICICI Bank Credit Card"/>
    <s v="1ST JUNE"/>
    <d v="2026-05-30T00:00:00"/>
  </r>
  <r>
    <s v="4315812667735005"/>
    <s v="MR Mididoddi Ramulu"/>
    <n v="0"/>
    <x v="1"/>
    <n v="1"/>
    <s v="CC"/>
    <s v="N"/>
    <x v="9"/>
    <s v="8464921683"/>
    <s v="X"/>
    <n v="31052.700000000012"/>
    <n v="180000"/>
    <n v="211052.7"/>
    <n v="58762.93"/>
    <n v="152289.76999999999"/>
    <n v="136669.82"/>
    <n v="30840"/>
    <n v="12909.45"/>
    <x v="1"/>
    <x v="1"/>
    <n v="0"/>
    <n v="12909.45"/>
    <x v="1"/>
    <s v="NA"/>
    <n v="0"/>
    <s v="DURGA"/>
    <x v="5"/>
    <x v="3"/>
    <s v="Oct-30   Karimnagar HYDERABAD TNG 505405"/>
    <s v="PSK STUDIOS Oct-30 THANGALLAPALLY RAJANNA SIRICILLA THANGALLAPALLY RAJANNA SIRICILLA HYDERABAD TNG505405"/>
    <s v="KARIMNAGAR"/>
    <x v="1"/>
    <x v="8"/>
    <s v="V Sridhar"/>
    <n v="801174030"/>
    <s v="Sgr@0987"/>
    <m/>
    <m/>
    <x v="1"/>
    <m/>
    <m/>
    <x v="10"/>
    <d v="2024-06-29T00:00:00"/>
    <n v="843.75"/>
    <s v="Amazon Pay ICICI Bank Credit Card"/>
    <s v="1ST JUNE"/>
    <d v="2026-05-30T00:00:00"/>
  </r>
  <r>
    <s v="4315812573315009"/>
    <s v="MR Shaik Abdul Raheem"/>
    <n v="0"/>
    <x v="1"/>
    <n v="1"/>
    <s v="CC"/>
    <s v="N"/>
    <x v="9"/>
    <s v="7702378674"/>
    <s v="X"/>
    <n v="12465.149999999994"/>
    <n v="190000"/>
    <n v="202465.15"/>
    <n v="18329.97"/>
    <n v="184135.18"/>
    <n v="170850.12"/>
    <n v="46010"/>
    <n v="17130"/>
    <x v="1"/>
    <x v="1"/>
    <n v="0"/>
    <n v="17130"/>
    <x v="1"/>
    <s v="NA"/>
    <n v="0"/>
    <s v="DURGA"/>
    <x v="5"/>
    <x v="3"/>
    <s v="17-51 Yanamalakuduru Seetha Ram Nagar Dabba Pampu Center VIJAYAWADA ANP 520007"/>
    <s v="RAHEEM MOBILES &quot;SHOP NO 14,SIDDIQIA MASJID COMPLEX&quot; OPPOSITE MADHURIMA RESTAURANT OLD CHECKP OPPOSITE MADHURIMA RESTAURANT OLD CHECKP VIJAYAWADA ANP520007"/>
    <s v="VIJAYAWADA"/>
    <x v="0"/>
    <x v="22"/>
    <s v="SUDHAKAR"/>
    <n v="802913252"/>
    <s v="Ssd@9290"/>
    <m/>
    <m/>
    <x v="1"/>
    <m/>
    <m/>
    <x v="10"/>
    <d v="2024-08-29T00:00:00"/>
    <n v="5717.7"/>
    <s v="Amazon Pay ICICI Bank Credit Card"/>
    <s v="1ST JUNE"/>
    <d v="2026-05-30T00:00:00"/>
  </r>
  <r>
    <s v="4315812969804004"/>
    <s v="MR Annam Sathyanarayana"/>
    <n v="0"/>
    <x v="0"/>
    <m/>
    <m/>
    <s v="N"/>
    <x v="9"/>
    <s v="9849919703"/>
    <s v="X"/>
    <n v="-8515.9899999999907"/>
    <n v="210000"/>
    <n v="201484.01"/>
    <n v="117889.60000000001"/>
    <n v="83594.41"/>
    <n v="68974.100000000006"/>
    <n v="33630"/>
    <n v="17020"/>
    <x v="1"/>
    <x v="1"/>
    <n v="0"/>
    <n v="17020"/>
    <x v="1"/>
    <s v="NA"/>
    <n v="0"/>
    <s v="DURGA"/>
    <x v="5"/>
    <x v="0"/>
    <s v="S/O Chandraiah 4-84/1 l m d x road thim mapur mandal Alugunur  Karimnagar Telang ana 505527 Karimnagar KARIMNAGAR TNG 505527"/>
    <s v="ZERODHA BROKING LIMITED CLIENT AC ALUGUNOOR LMD X ROAD THIMMAPUR MANDAL KA L M D X ROAD ALUGUNOOR HOSE NO 4-84 KARI L M D X ROAD ALUGUNOOR HOSE NO 4-84 KARI KARIMNAGAR TNG505527"/>
    <s v="KARIMNAGAR"/>
    <x v="1"/>
    <x v="8"/>
    <s v="V Sridhar"/>
    <n v="801174030"/>
    <s v="Sgr@0987"/>
    <m/>
    <m/>
    <x v="0"/>
    <s v="SKIP"/>
    <s v="Customer address not found phone number switch off need Kyc"/>
    <x v="14"/>
    <d v="2024-07-23T00:00:00"/>
    <n v="9024"/>
    <s v="Amazon Pay ICICI Bank Credit Card"/>
    <s v="1ST JUNE"/>
    <d v="2026-05-30T00:00:00"/>
  </r>
  <r>
    <s v="4315814411767003"/>
    <s v="MR Gangadhar Sarnala"/>
    <n v="0"/>
    <x v="0"/>
    <m/>
    <m/>
    <s v="N"/>
    <x v="9"/>
    <s v="8978341155"/>
    <s v="X"/>
    <n v="-11867.239999999991"/>
    <n v="210000"/>
    <n v="198132.76"/>
    <n v="98766.66"/>
    <n v="99366.1"/>
    <n v="82549.52"/>
    <n v="40990"/>
    <n v="21520"/>
    <x v="1"/>
    <x v="1"/>
    <n v="0"/>
    <n v="21520"/>
    <x v="1"/>
    <s v="NA"/>
    <n v="0"/>
    <s v="DURGA"/>
    <x v="5"/>
    <x v="2"/>
    <s v="4.169 nunna ..nunna Krishna VIJAYAWADA ANP 521212"/>
    <s v="RELIANCE.RETAIL.LIMITED M.G.ROAD PVP.MALL.. PVP.MALL.. VIJAYAWADA ANP520010"/>
    <s v="VIJAYAWADA"/>
    <x v="0"/>
    <x v="22"/>
    <s v="SUDHAKAR"/>
    <n v="802913252"/>
    <s v="Ssd@9290"/>
    <m/>
    <m/>
    <x v="0"/>
    <s v="SKIP"/>
    <s v="Customer not working in the given working address // Customer given address visit customer not available in home call not answering infom mother_x000a_Mother side customer out of station // Customer not working in the given working address _x000a_Not working since 3 months"/>
    <x v="18"/>
    <d v="2024-06-28T00:00:00"/>
    <n v="22117.78"/>
    <s v="Amazon Pay ICICI Bank Credit Card"/>
    <s v="1ST JUNE"/>
    <d v="2026-05-30T00:00:00"/>
  </r>
  <r>
    <s v="4315813997334006"/>
    <s v="MR Panjala Raju"/>
    <n v="0"/>
    <x v="0"/>
    <m/>
    <m/>
    <s v="N"/>
    <x v="9"/>
    <s v="7036839494"/>
    <s v="X"/>
    <n v="17961.339999999997"/>
    <n v="180000"/>
    <n v="197961.34"/>
    <s v=""/>
    <n v="197961.34"/>
    <n v="178400.02"/>
    <n v="47290"/>
    <n v="20080"/>
    <x v="0"/>
    <x v="0"/>
    <n v="47290"/>
    <n v="-27210"/>
    <x v="1"/>
    <s v="D"/>
    <n v="0"/>
    <s v="DURGA"/>
    <x v="5"/>
    <x v="0"/>
    <s v="S.D.655 Ramakrishnapur sivaji.nagar Adilabad ADILABAD TNG 504301"/>
    <s v="SINGARENI.COLLIERIES.CO.LIMITED KASIPETA SOMAGUDEM.. SOMAGUDEM.. ADILABAD TNG504304"/>
    <s v="ADILABAD"/>
    <x v="1"/>
    <x v="11"/>
    <s v="T RAMESH "/>
    <n v="801217009"/>
    <s v="Ssd@9290"/>
    <m/>
    <m/>
    <x v="0"/>
    <s v="DL"/>
    <s v="ustomer given address visit customer not available door locked, call not answer"/>
    <x v="12"/>
    <d v="2024-07-31T00:00:00"/>
    <n v="40669.040000000001"/>
    <s v="Amazon Pay ICICI Bank Credit Card"/>
    <s v="1ST JUNE"/>
    <d v="2026-05-30T00:00:00"/>
  </r>
  <r>
    <s v="4315815860677007"/>
    <s v="MR Shaik Noor Ahamad"/>
    <n v="0"/>
    <x v="0"/>
    <m/>
    <m/>
    <s v="N"/>
    <x v="9"/>
    <s v="9000186897"/>
    <s v="X"/>
    <n v="7141.820000000007"/>
    <n v="190000"/>
    <n v="197141.82"/>
    <n v="161232.03"/>
    <n v="35909.79"/>
    <n v="26880.48"/>
    <n v="24860"/>
    <n v="11150"/>
    <x v="1"/>
    <x v="1"/>
    <n v="0"/>
    <n v="11150"/>
    <x v="1"/>
    <s v="NA"/>
    <n v="0"/>
    <s v="DURGA"/>
    <x v="5"/>
    <x v="0"/>
    <s v="445D02 RAJAMPETA USMAN.NAGAR Cuddapah CUDDAPAH ANP 516115"/>
    <s v="MMJ.GOLD 4.45.D02.usman.nagar..Rajampet Usman.nagar.RAJAMPET. Usman.nagar.RAJAMPET. CUDDAPAH ANP516115"/>
    <s v="CUDDAPAH"/>
    <x v="2"/>
    <x v="5"/>
    <s v="PAVAN"/>
    <n v="802823180"/>
    <s v="Sgr@9290"/>
    <m/>
    <m/>
    <x v="0"/>
    <s v="MESS"/>
    <s v="Customer house address live present not available inform to his family members customer call back in hour"/>
    <x v="16"/>
    <d v="2026-03-26T00:00:00"/>
    <n v="11802"/>
    <s v="Amazon Pay ICICI Bank Credit Card"/>
    <s v="1ST JUNE"/>
    <d v="2026-05-30T00:00:00"/>
  </r>
  <r>
    <s v="4315814518458001"/>
    <s v="MR CHIRRA RAMAKOTI REDDY"/>
    <n v="0"/>
    <x v="0"/>
    <m/>
    <m/>
    <s v="O"/>
    <x v="9"/>
    <s v="9848164816"/>
    <s v="X"/>
    <n v="4189.2399999999907"/>
    <n v="190000"/>
    <n v="194189.24"/>
    <n v="44474.96"/>
    <n v="149714.28"/>
    <n v="140764.91"/>
    <n v="39580"/>
    <n v="23460"/>
    <x v="0"/>
    <x v="2"/>
    <n v="23460"/>
    <n v="0"/>
    <x v="18"/>
    <s v="LO"/>
    <s v="30501-BBPS Payment received"/>
    <s v="DURGA"/>
    <x v="5"/>
    <x v="2"/>
    <s v=".. ..2.165.1A Kaza NEAR OLD ANDHRA BANK VIJAYAWADA ANP 522503"/>
    <s v="IJM.INDIA.INFRASTRUCTURE.PVT.LTD Vijayawada.tollway.pvt.Ltd Kaza.post..mangalagiri.mandal.. Kaza.post..mangalagiri.mandal.. VIJAYAWADA ANP522503"/>
    <s v="VIJAYAWADA"/>
    <x v="3"/>
    <x v="29"/>
    <s v="DURGA"/>
    <n v="801723195"/>
    <s v="Sgr@9290"/>
    <m/>
    <m/>
    <x v="0"/>
    <s v="MESS"/>
    <s v="Customer not available the home infom to his wife &amp; call back to evening sir // Door lock mobile not answering sir // Waiting for customer father at customer house"/>
    <x v="20"/>
    <d v="2024-08-30T00:00:00"/>
    <n v="13586.74"/>
    <s v="Amazon Pay ICICI Bank Credit Card"/>
    <s v="1ST JUNE"/>
    <d v="2026-05-30T00:00:00"/>
  </r>
  <r>
    <s v="4315815436913019"/>
    <s v="MR TallapuReddyMuni Mohan Reddy"/>
    <n v="0"/>
    <x v="0"/>
    <m/>
    <s v="CC"/>
    <s v="N"/>
    <x v="9"/>
    <s v="9160195115"/>
    <s v="X"/>
    <n v="14406.970000000001"/>
    <n v="160000"/>
    <n v="174406.97"/>
    <n v="36356.06"/>
    <n v="138050.91"/>
    <n v="121578.15"/>
    <n v="30150"/>
    <n v="13420"/>
    <x v="1"/>
    <x v="1"/>
    <n v="0"/>
    <n v="13420"/>
    <x v="1"/>
    <s v="NA"/>
    <n v="0"/>
    <s v="DURGA"/>
    <x v="5"/>
    <x v="0"/>
    <s v="2.20.a.b PeddaPasupula PeddaPasupula Cuddapah PRODDATUR ANP 516411"/>
    <s v="ONUS.ROBOTIC.HOSPITALS Sri.Padmavathi.High.School Sri.Ram.Nagar. Sri.Ram.Nagar. PRODDATUR ANP516434"/>
    <s v="PRODDATUR"/>
    <x v="2"/>
    <x v="31"/>
    <s v="POORNIMA"/>
    <n v="802824019"/>
    <s v="Nihan@2421"/>
    <m/>
    <m/>
    <x v="1"/>
    <m/>
    <m/>
    <x v="10"/>
    <s v=""/>
    <n v="0"/>
    <s v="Amazon Pay ICICI Bank Credit Card"/>
    <s v="1ST JUNE"/>
    <d v="2026-05-30T00:00:00"/>
  </r>
  <r>
    <s v="4315812739969004"/>
    <s v="MR. MRUDUL A"/>
    <n v="0"/>
    <x v="0"/>
    <m/>
    <m/>
    <s v="N"/>
    <x v="9"/>
    <s v="7799677765"/>
    <s v="X"/>
    <n v="-78640.459999999992"/>
    <n v="250000"/>
    <n v="171359.54"/>
    <s v=""/>
    <n v="171359.54"/>
    <n v="154711.44"/>
    <n v="56760"/>
    <n v="25690"/>
    <x v="1"/>
    <x v="1"/>
    <n v="0"/>
    <n v="25690"/>
    <x v="1"/>
    <s v="NA"/>
    <n v="0"/>
    <s v="DURGA"/>
    <x v="5"/>
    <x v="1"/>
    <s v="&quot;H NO,/6/D/3 SHANTHI NAGAR,5-1-1 FLR,SANGA,&quot; &quot;REDDY SANGAREDDY,MEDAK,MEDAK&quot; MEDAK - MEDAK TNG 502001"/>
    <s v="ICICI BANK LTD PLOT NO 12 NANGRAMGUDA 2ND FLOOR DERPARTMENT 2ND FLOOR DERPARTMENT Rangareddy TNG500032"/>
    <s v="MEDAK"/>
    <x v="1"/>
    <x v="37"/>
    <s v="POORNIMA"/>
    <n v="802824019"/>
    <s v="Nihan@2421"/>
    <m/>
    <m/>
    <x v="1"/>
    <m/>
    <m/>
    <x v="10"/>
    <d v="2025-10-14T00:00:00"/>
    <n v="37698.85"/>
    <s v="Amazon Pay ICICI Bank Credit Card"/>
    <s v="1ST JUNE"/>
    <d v="2026-05-30T00:00:00"/>
  </r>
  <r>
    <s v="4315814429955004"/>
    <s v="MS Manne Rathna Deepika"/>
    <n v="0"/>
    <x v="0"/>
    <m/>
    <m/>
    <s v="N"/>
    <x v="9"/>
    <s v="9032449149"/>
    <s v="X"/>
    <n v="43838.320000000007"/>
    <n v="120000"/>
    <n v="163838.32"/>
    <n v="31812.639999999999"/>
    <n v="132025.68"/>
    <n v="122437.68"/>
    <n v="40580"/>
    <n v="10020"/>
    <x v="1"/>
    <x v="1"/>
    <n v="0"/>
    <n v="10020"/>
    <x v="1"/>
    <s v="NA"/>
    <n v="0"/>
    <s v="DURGA"/>
    <x v="5"/>
    <x v="0"/>
    <s v="FLAT.NO.207.KRISHNA.SAI.RESIDENCY.KUNCHA KUNCHANAPALLI. KLU.ROAD. KL UNIVERSITY ROAD GUNTUR ANP 522501"/>
    <s v="PRIME.VENTURES PRIME.HILL.CREST.VADDESWARAM VADDESWARAM. VADDESWARAM. GUNTUR ANP522502"/>
    <s v="GUNTUR"/>
    <x v="3"/>
    <x v="29"/>
    <s v="DURGA"/>
    <n v="801723195"/>
    <s v="Sgr@9290"/>
    <m/>
    <m/>
    <x v="0"/>
    <s v="MESS"/>
    <s v=" Cmr given address visited customer present not available in fom to is mother &amp; call back to evening sir // Customer not available customer husband available ptp tomorrow eod"/>
    <x v="11"/>
    <d v="2024-03-28T00:00:00"/>
    <n v="7093.18"/>
    <s v="Amazon Pay ICICI Bank Credit Card"/>
    <s v="1ST JUNE"/>
    <d v="2026-05-30T00:00:00"/>
  </r>
  <r>
    <s v="4315815000983000"/>
    <s v="MR Penugonda Krishnamurthi"/>
    <n v="0"/>
    <x v="0"/>
    <m/>
    <m/>
    <s v="O"/>
    <x v="9"/>
    <s v="9390274913"/>
    <s v="X"/>
    <n v="-1541.9599999999919"/>
    <n v="160000"/>
    <n v="158458.04"/>
    <s v=""/>
    <n v="158458.04"/>
    <n v="149802.01"/>
    <n v="24230"/>
    <n v="14540"/>
    <x v="0"/>
    <x v="0"/>
    <n v="158458.04"/>
    <n v="-143918.04"/>
    <x v="1"/>
    <s v="D"/>
    <s v="30501-BBPS Payment received"/>
    <s v="DURGA"/>
    <x v="5"/>
    <x v="2"/>
    <s v="41.1.126.3 Krishnalanka Varma.Gari.Street Krishna VIJAYAWADA ANP 520013"/>
    <s v="SRI.SATYA.SAI.CALENDAR.AGENCIES 11.41.47..Kandulavari.Street 1.TOWN. 1.TOWN. VIJAYAWADA ANP520001"/>
    <s v="VIJAYAWADA"/>
    <x v="0"/>
    <x v="22"/>
    <s v="SUDHAKAR"/>
    <n v="802913252"/>
    <s v="Ssd@9290"/>
    <m/>
    <m/>
    <x v="0"/>
    <m/>
    <m/>
    <x v="10"/>
    <d v="2025-07-07T00:00:00"/>
    <n v="50000"/>
    <s v="Amazon Pay ICICI Bank Credit Card"/>
    <s v="1ST JUNE"/>
    <d v="2026-05-30T00:00:00"/>
  </r>
  <r>
    <s v="4315815349579006"/>
    <s v="MR Murikipudi Rajasekhar"/>
    <n v="0"/>
    <x v="0"/>
    <m/>
    <m/>
    <s v="N"/>
    <x v="9"/>
    <s v="9121452620"/>
    <s v="X"/>
    <n v="8241"/>
    <n v="150000"/>
    <n v="158241"/>
    <n v="86660.54"/>
    <n v="71580.460000000006"/>
    <n v="62917.64"/>
    <n v="29630"/>
    <n v="12300"/>
    <x v="1"/>
    <x v="1"/>
    <n v="0"/>
    <n v="12300"/>
    <x v="1"/>
    <s v="NA"/>
    <n v="0"/>
    <s v="DURGA"/>
    <x v="5"/>
    <x v="0"/>
    <s v="H.no.10.552B.ankarao.building. 10th.vard.ramalakshmana.street ..10th.vard.ramalakshmana.street Vivekananda school NANDYAL ANP 523316"/>
    <s v="SAIKRISHNA.FANCY 4.283.RAJAAJI.STREET MAIN.BAZAR. MAIN.BAZAR. NANDYAL ANP523316"/>
    <s v="NANDYAL"/>
    <x v="2"/>
    <x v="14"/>
    <s v="HARI"/>
    <n v="802388289"/>
    <s v="Ssd@9290"/>
    <m/>
    <m/>
    <x v="1"/>
    <m/>
    <m/>
    <x v="10"/>
    <s v=""/>
    <n v="0"/>
    <s v="Amazon Pay ICICI Bank Credit Card"/>
    <s v="1ST JUNE"/>
    <d v="2026-05-30T00:00:00"/>
  </r>
  <r>
    <s v="4315813416454005"/>
    <s v="MS T ARUNA"/>
    <n v="0"/>
    <x v="0"/>
    <m/>
    <m/>
    <s v="N"/>
    <x v="9"/>
    <s v="9700005519"/>
    <s v="X"/>
    <n v="-66102.84"/>
    <n v="220000"/>
    <n v="153897.16"/>
    <n v="57689.8"/>
    <n v="96207.360000000001"/>
    <n v="86575.63"/>
    <n v="40440"/>
    <n v="16850"/>
    <x v="0"/>
    <x v="0"/>
    <n v="40440"/>
    <n v="-23590"/>
    <x v="15"/>
    <s v="TC"/>
    <s v="30501-BBPS Payment received"/>
    <s v="DURGA"/>
    <x v="5"/>
    <x v="1"/>
    <s v="May-50 SHESHADRI NAGAR SHESHADRI NAGAR MAHABUBNAGAR MAHBOOBNAGAR TNG 509001"/>
    <s v="GOVERNMENT OF TELANGANA &quot;MPPS THIRUMALAGIRI,&quot; &quot;BALANAGAR,MAHABUBNAGAR&quot; &quot;BALANAGAR,MAHABUBNAGAR&quot; WANAPARTHY TNG509202"/>
    <s v="MAHBOOBNAGAR"/>
    <x v="1"/>
    <x v="23"/>
    <s v="SAMBA"/>
    <n v="801772794"/>
    <s v="Ssde@9876"/>
    <m/>
    <m/>
    <x v="0"/>
    <s v="LIVE"/>
    <s v="Sir Visited Coustomer House _x000a_Coustomer Given PTP 10th"/>
    <x v="18"/>
    <d v="2024-06-15T00:00:00"/>
    <n v="60000"/>
    <s v="Amazon Pay ICICI Bank Credit Card"/>
    <s v="1ST JUNE"/>
    <d v="2026-05-30T00:00:00"/>
  </r>
  <r>
    <s v="4315815798715002"/>
    <s v="MR SUTRALA SRIDHAR"/>
    <n v="0"/>
    <x v="0"/>
    <m/>
    <s v="CC"/>
    <s v="N"/>
    <x v="9"/>
    <s v="7337510662"/>
    <s v="X"/>
    <n v="217.64000000001397"/>
    <n v="150000"/>
    <n v="150217.64000000001"/>
    <n v="113862.42"/>
    <n v="36355.22"/>
    <n v="27099.31"/>
    <n v="32930"/>
    <n v="16330"/>
    <x v="1"/>
    <x v="1"/>
    <n v="0"/>
    <n v="16330"/>
    <x v="1"/>
    <s v="NA"/>
    <n v="0"/>
    <s v="DURGA"/>
    <x v="5"/>
    <x v="0"/>
    <s v="H NO 11-10-593 BURHAPURAM NAVYA BRAHMANA COLONY KHAMMAM  KHAMMAM TNG 507001"/>
    <s v="     "/>
    <s v="KHAMMAM"/>
    <x v="1"/>
    <x v="24"/>
    <s v="POORNIMA"/>
    <n v="802824019"/>
    <s v="Nihan@2421"/>
    <m/>
    <m/>
    <x v="0"/>
    <s v="LIVE"/>
    <s v="I have visited Customer Shop address Customer is in live Given Ptp On 5th // Revisited Customer Shop address Customer is in live Given Ptp On Tommorow // Revisited Customer Shop address Customer is in live Given ptp by Today Eod // Revisited Customer Shop address Customer  not available in Shop waiting for Customer call not answering // Customer Shop address Customer is in live Given ptp by 4pm // Revisited Customer Shop address Customer is in live Given ptp by 1;30 pm // Revisited Customer Shop address Customer  not available in Shop"/>
    <x v="20"/>
    <d v="2026-03-10T00:00:00"/>
    <n v="1753"/>
    <s v="Amazon Pay ICICI Bank Credit Card"/>
    <s v="1ST JUNE"/>
    <d v="2026-05-30T00:00:00"/>
  </r>
  <r>
    <s v="4315815330187009"/>
    <s v="MR Bathula Ravindra Murali"/>
    <n v="0"/>
    <x v="0"/>
    <m/>
    <m/>
    <s v="N"/>
    <x v="9"/>
    <s v="9010700248"/>
    <s v="X"/>
    <n v="9472.9200000000128"/>
    <n v="140000"/>
    <n v="149472.92000000001"/>
    <n v="119917.37"/>
    <n v="29555.55"/>
    <n v="19991.75"/>
    <n v="29200"/>
    <n v="14660"/>
    <x v="1"/>
    <x v="1"/>
    <n v="0"/>
    <n v="14660"/>
    <x v="1"/>
    <s v="NA"/>
    <n v="0"/>
    <s v="DURGA"/>
    <x v="5"/>
    <x v="0"/>
    <s v="32.245 PAMIDIPADU MAIN.STREET BODDU RAYI NARASAPURAM ANP 522660"/>
    <s v="TATA.CONSULTANCY.SERVICES.LIMITED S.O.BATHULA.BRAHMAIAH..DR..NO 32.245.MAIN.ROAD.PAMIDIPADU..pamidipadu 32.245.MAIN.ROAD.PAMIDIPADU..pamidipadu NARASAPURAM ANP522660"/>
    <s v="NARASARAOPET"/>
    <x v="3"/>
    <x v="39"/>
    <s v="IMAMVALLI"/>
    <n v="802789320"/>
    <s v="Ssd@9290"/>
    <m/>
    <m/>
    <x v="1"/>
    <m/>
    <m/>
    <x v="10"/>
    <s v=""/>
    <n v="0"/>
    <s v="Amazon Pay ICICI Bank Credit Card"/>
    <s v="1ST JUNE"/>
    <d v="2026-05-30T00:00:00"/>
  </r>
  <r>
    <s v="4315812738534007"/>
    <s v="MR Jureddy Veera Venkata"/>
    <n v="0"/>
    <x v="0"/>
    <m/>
    <m/>
    <s v="N"/>
    <x v="9"/>
    <s v="9293055973"/>
    <s v="X"/>
    <n v="-3123.1700000000128"/>
    <n v="150000"/>
    <n v="146876.82999999999"/>
    <n v="83015.520000000004"/>
    <n v="63861.31"/>
    <n v="53787.519999999997"/>
    <n v="32830"/>
    <n v="15850"/>
    <x v="1"/>
    <x v="1"/>
    <n v="0"/>
    <n v="15850"/>
    <x v="1"/>
    <s v="NA"/>
    <s v="30501-BBPS Payment received"/>
    <s v="DURGA"/>
    <x v="5"/>
    <x v="0"/>
    <s v="16-02-2005 president vari veedi president vari veedi East Godavari KAKINADA ANP 533440"/>
    <s v="VOLTA IMPEX PVT LTD G.RAGAMPETA 386/10 SAMALKOT 386/10 SAMALKOT PEDDAPURAM ANP533437"/>
    <s v="KAKINADA"/>
    <x v="0"/>
    <x v="16"/>
    <s v="UDAY"/>
    <n v="801436997"/>
    <s v="Ssd@9290"/>
    <m/>
    <m/>
    <x v="0"/>
    <s v="LIVE"/>
    <s v="CUSTOMER ADDRESS VISIT CH NOT AVAILABLE MSG LEFT TO FAMILY CUSTOMER CALL RESPONSE PTP ON 10TH // CUSTOMER ADDRESS VISIT CH NOT AVAILABLE CUSTOMER CALL RESPONSE PTP ON 10TH // Customer address visit ch not available Waiting for customer home customer call response ptp on 11pm"/>
    <x v="20"/>
    <d v="2024-06-28T00:00:00"/>
    <n v="3367.03"/>
    <s v="Amazon Pay ICICI Bank Credit Card"/>
    <s v="1ST JUNE"/>
    <d v="2026-05-30T00:00:00"/>
  </r>
  <r>
    <s v="4315814529615003"/>
    <s v="MR Shaik Abdul Azeez"/>
    <n v="0"/>
    <x v="0"/>
    <m/>
    <s v="CC"/>
    <s v="N"/>
    <x v="9"/>
    <s v="9666797617"/>
    <s v="X"/>
    <n v="6243.0599999999977"/>
    <n v="140000"/>
    <n v="146243.06"/>
    <n v="50933.06"/>
    <n v="95310"/>
    <n v="81795.56"/>
    <n v="34700"/>
    <n v="17800"/>
    <x v="1"/>
    <x v="1"/>
    <n v="0"/>
    <n v="17800"/>
    <x v="1"/>
    <s v="NA"/>
    <n v="0"/>
    <s v="DURGA"/>
    <x v="5"/>
    <x v="0"/>
    <s v="3.1.154.1 Laxmi.Talkies.Road ..Laxmi.Talkies.Road Warangal WARANGAL TNG 506381"/>
    <s v="STAR.TRADERS RATHI.DARWAZA.MOMINAN.BAZAR AZAD.ROAD.. AZAD.ROAD.. KHAMMAM TNG507001"/>
    <s v="WARANGAL"/>
    <x v="1"/>
    <x v="24"/>
    <s v="POORNIMA"/>
    <n v="802824019"/>
    <s v="Nihan@2421"/>
    <m/>
    <m/>
    <x v="0"/>
    <s v="SKIP"/>
    <s v="I have visited Customer given Working Street address Can't find Customer work address Enquired about Shop no Shop available in this area Customer call not answering // I have visited Customer given house address customer not available here Customer sold the house Before 3 yrs ago Customer present Staying in Hyderabad Towlichowki Customer call not answering"/>
    <x v="4"/>
    <d v="2026-02-26T00:00:00"/>
    <n v="55965"/>
    <s v="Amazon Pay ICICI Bank Credit Card"/>
    <s v="1ST JUNE"/>
    <d v="2026-05-30T00:00:00"/>
  </r>
  <r>
    <s v="4315815007882007"/>
    <s v="MR POTTI KUMAR"/>
    <n v="0"/>
    <x v="0"/>
    <m/>
    <m/>
    <s v="N"/>
    <x v="9"/>
    <s v="9849321077"/>
    <s v="X"/>
    <n v="4314.7299999999959"/>
    <n v="120000"/>
    <n v="124314.73"/>
    <n v="108212.44"/>
    <n v="16102.29"/>
    <n v="10102.58"/>
    <n v="16102.29"/>
    <n v="7547.2"/>
    <x v="1"/>
    <x v="1"/>
    <n v="0"/>
    <n v="7547.2"/>
    <x v="1"/>
    <s v="NA"/>
    <n v="0"/>
    <s v="DURGA"/>
    <x v="5"/>
    <x v="0"/>
    <s v="&quot;6-1-390 SINGARAJU VARI,STREET,&quot; &quot;NEAR WATER TANK,STONE HOUSE,PETA&quot;   NELLORE ANP 524002"/>
    <s v="FIRSTSOURCE SOLUTIONS LIMITED 4th campus 5a/b Rmz eco space internal road Rmz eco space internal road BANGALORE KAR560103"/>
    <s v="NELLORE"/>
    <x v="4"/>
    <x v="12"/>
    <s v="B SURESH"/>
    <n v="801570488"/>
    <s v="Ssd@9290"/>
    <m/>
    <m/>
    <x v="0"/>
    <s v="SKIP"/>
    <s v=":cm not available sir and at present he was in Bangalore cm call not answered sir"/>
    <x v="12"/>
    <d v="2026-03-30T00:00:00"/>
    <n v="14154"/>
    <s v="Amazon Pay ICICI Bank Credit Card"/>
    <s v="1ST JUNE"/>
    <d v="2026-05-30T00:00:00"/>
  </r>
  <r>
    <s v="4315813773557002"/>
    <s v="MR Illuri Jagadeesh"/>
    <n v="0"/>
    <x v="0"/>
    <m/>
    <m/>
    <s v="N"/>
    <x v="9"/>
    <s v="8328299581"/>
    <s v="X"/>
    <n v="12274.25"/>
    <n v="110000"/>
    <n v="122274.25"/>
    <s v=""/>
    <n v="122274.25"/>
    <n v="109344"/>
    <n v="30110"/>
    <n v="12150"/>
    <x v="1"/>
    <x v="1"/>
    <n v="0"/>
    <n v="12150"/>
    <x v="1"/>
    <s v="NA"/>
    <n v="0"/>
    <s v="DURGA"/>
    <x v="5"/>
    <x v="2"/>
    <s v="3 237 Kanuru  Penamaluru Mandal Masid Center Krishna VIJAYAWADA ANP 520007"/>
    <s v="HCL TECHNOLOGIES LIMITED S NO 203 NH 5 KESARAPALLI GANNAVARAM KESARAPALLI GANNAVARAM VIJAYAWADA ANP521102"/>
    <s v="VIJAYAWADA"/>
    <x v="0"/>
    <x v="22"/>
    <s v="SUDHAKAR"/>
    <n v="802913252"/>
    <s v="Ssd@9290"/>
    <m/>
    <m/>
    <x v="0"/>
    <s v="SKIP"/>
    <s v="Customer address not found _x000a_Calls not responding"/>
    <x v="15"/>
    <d v="2024-12-30T00:00:00"/>
    <n v="10773"/>
    <s v="Amazon Pay ICICI Bank Credit Card"/>
    <s v="1ST JUNE"/>
    <d v="2026-05-30T00:00:00"/>
  </r>
  <r>
    <s v="4315812313651002"/>
    <s v="MR Chappidi Veera Prathap"/>
    <n v="0"/>
    <x v="0"/>
    <m/>
    <m/>
    <s v="N"/>
    <x v="9"/>
    <s v="9492156296"/>
    <s v="X"/>
    <n v="10170.75"/>
    <n v="110000"/>
    <n v="120170.75"/>
    <n v="14246"/>
    <n v="105924.75"/>
    <n v="93348.47"/>
    <n v="30760"/>
    <n v="13649.99"/>
    <x v="0"/>
    <x v="2"/>
    <n v="14000"/>
    <n v="-350.01000000000022"/>
    <x v="13"/>
    <s v="FE"/>
    <s v="30501-BBPS Payment received"/>
    <s v="DURGA"/>
    <x v="5"/>
    <x v="0"/>
    <s v="Jan-14 Pasarlapudilanka Main road Near canal bridz AMALAPURAM ANP 533247"/>
    <s v="DEVI SRI TRAVELS PASARLAPUDI ESSAR PETROL BUNK ESSAR PETROL BUNK AMALAPURAM ANP533247"/>
    <s v="AMALAPURAM"/>
    <x v="0"/>
    <x v="25"/>
    <s v="B NAGABABU"/>
    <n v="801448854"/>
    <s v="Sgr@9290"/>
    <m/>
    <m/>
    <x v="0"/>
    <s v="LIVE"/>
    <s v="Customer not available at shop sir.asking for emi option // CUSTOMER GIVEN PTP TO 7TH SIR"/>
    <x v="11"/>
    <d v="2024-07-30T00:00:00"/>
    <n v="60000"/>
    <s v="Amazon Pay ICICI Bank Credit Card"/>
    <s v="1ST JUNE"/>
    <d v="2026-05-30T00:00:00"/>
  </r>
  <r>
    <s v="4315812826236002"/>
    <s v="MR Patti Pati Naresh"/>
    <n v="0"/>
    <x v="0"/>
    <m/>
    <m/>
    <s v="O"/>
    <x v="9"/>
    <s v="8919005853"/>
    <s v="X"/>
    <n v="5833.2899999999936"/>
    <n v="110000"/>
    <n v="115833.29"/>
    <s v=""/>
    <n v="115833.29"/>
    <n v="104773.67"/>
    <n v="32260"/>
    <n v="15610"/>
    <x v="0"/>
    <x v="0"/>
    <n v="32260"/>
    <n v="-16650"/>
    <x v="9"/>
    <s v="TC"/>
    <s v="30501-BBPS Payment received"/>
    <s v="DURGA"/>
    <x v="5"/>
    <x v="0"/>
    <s v="1-74a mitta meeda palli mitta meeda palli Cuddapah CUDDAPAH ANP 516126"/>
    <s v="APSPDCL MITTAMIDAPALLI 1-74A RAJAMPET MITTAMIDAPALLI 1-74A RAJAMPET MITTAMIDAPALLI 1-74A RAJAMPET CUDDAPAH ANP516126"/>
    <s v="CUDDAPAH"/>
    <x v="2"/>
    <x v="5"/>
    <s v="PAVAN"/>
    <n v="802823180"/>
    <s v="Sgr@9290"/>
    <m/>
    <m/>
    <x v="0"/>
    <m/>
    <m/>
    <x v="10"/>
    <d v="2025-07-24T00:00:00"/>
    <n v="5760"/>
    <s v="Amazon Pay ICICI Bank Credit Card"/>
    <s v="1ST JUNE"/>
    <d v="2026-05-30T00:00:00"/>
  </r>
  <r>
    <s v="4315815002014002"/>
    <s v="MR Choppari Maruthi"/>
    <n v="0"/>
    <x v="0"/>
    <m/>
    <m/>
    <s v="N"/>
    <x v="9"/>
    <s v="9573511318"/>
    <s v="X"/>
    <n v="4369.2799999999988"/>
    <n v="110000"/>
    <n v="114369.28"/>
    <n v="17986.97"/>
    <n v="96382.31"/>
    <n v="84166.71"/>
    <n v="22990"/>
    <n v="8907.93"/>
    <x v="0"/>
    <x v="2"/>
    <n v="12000"/>
    <n v="-3092.0699999999997"/>
    <x v="15"/>
    <s v="FE"/>
    <s v="30501-BBPS Payment received"/>
    <s v="DURGA"/>
    <x v="5"/>
    <x v="0"/>
    <s v="H.NO.3.57.1 korutla.mandal ..korutla.mandal Karimnagar KARIMNAGAR TNG 505330"/>
    <s v="SAISITICABLE.NETWORK Yousufnagar.Mudhiraj.sanga bhavanam...yousufnagar. bhavanam...yousufnagar. KARIMNAGAR TNG505330"/>
    <s v="KARIMNAGAR"/>
    <x v="1"/>
    <x v="20"/>
    <s v="D RAMU"/>
    <n v="802663344"/>
    <s v="Sgr@9290"/>
    <m/>
    <m/>
    <x v="0"/>
    <s v="LIVE"/>
    <s v="customer paymet on 5th date"/>
    <x v="4"/>
    <d v="2024-08-30T00:00:00"/>
    <n v="75237.62"/>
    <s v="Amazon Pay ICICI Bank Credit Card"/>
    <s v="1ST JUNE"/>
    <d v="2026-05-30T00:00:00"/>
  </r>
  <r>
    <s v="4315813468717002"/>
    <s v="MR Jagadeesh Rayudu"/>
    <n v="0"/>
    <x v="0"/>
    <m/>
    <m/>
    <s v="N"/>
    <x v="9"/>
    <s v="8008823229"/>
    <s v="X"/>
    <n v="3808"/>
    <n v="110000"/>
    <n v="113808"/>
    <s v=""/>
    <n v="113808"/>
    <n v="103027.96"/>
    <n v="20740"/>
    <n v="5900"/>
    <x v="1"/>
    <x v="1"/>
    <n v="0"/>
    <n v="5900"/>
    <x v="1"/>
    <s v="NA"/>
    <n v="0"/>
    <s v="DURGA"/>
    <x v="5"/>
    <x v="0"/>
    <s v="4 3 1  mattaparthi varipalem totharamudi Totharamudi NEAR KARVY ROAD AMALAPURAM ANP 533211"/>
    <s v="AMERICAN ONCOLOGY INSTITUTE    VIJAYAWADA ANP520007"/>
    <s v="AMALAPURAM"/>
    <x v="0"/>
    <x v="25"/>
    <s v="B NAGABABU"/>
    <n v="801448854"/>
    <s v="Sgr@9290"/>
    <m/>
    <m/>
    <x v="0"/>
    <s v="MESS"/>
    <s v="Customer not available at home sir informed to his father"/>
    <x v="16"/>
    <d v="2024-09-30T00:00:00"/>
    <n v="150"/>
    <s v="Amazon Pay ICICI Bank Credit Card"/>
    <s v="1ST JUNE"/>
    <d v="2026-05-30T00:00:00"/>
  </r>
  <r>
    <s v="4315812801647017"/>
    <s v="MR Aadi Hareesh"/>
    <n v="0"/>
    <x v="0"/>
    <m/>
    <m/>
    <s v="N"/>
    <x v="9"/>
    <s v="9491721666"/>
    <s v="X"/>
    <n v="10556.36"/>
    <n v="100000"/>
    <n v="110556.36"/>
    <n v="16202.65"/>
    <n v="94353.71"/>
    <n v="83500.63"/>
    <n v="16010"/>
    <n v="5240"/>
    <x v="0"/>
    <x v="2"/>
    <n v="5500"/>
    <n v="-260"/>
    <x v="10"/>
    <s v="TC"/>
    <n v="0"/>
    <s v="DURGA"/>
    <x v="5"/>
    <x v="0"/>
    <s v="1-87B OC COLANY OC COLANY West Godavari TADEPALLIGUDEM ANP 534112"/>
    <s v="PANCHAYAT RAJ AND RURAL DEVELOPMENT RAJIV BHAVAN AVAPADU AVAPADU AVAPADU AVAPADU TADEPALLIGUDEM ANP534112"/>
    <s v="TADEPALLIGUDEM"/>
    <x v="0"/>
    <x v="13"/>
    <s v="MANIKANTA"/>
    <n v="802852449"/>
    <s v="Ssd@9290"/>
    <m/>
    <m/>
    <x v="0"/>
    <s v="LIVE"/>
    <s v="Custmor PTP  friday"/>
    <x v="4"/>
    <d v="2024-07-13T00:00:00"/>
    <n v="1000"/>
    <s v="Amazon Pay ICICI Bank Credit Card"/>
    <s v="1ST JUNE"/>
    <d v="2026-05-30T00:00:00"/>
  </r>
  <r>
    <s v="4315813915006009"/>
    <s v="MR MannuruSai Rishith Reddy"/>
    <n v="0"/>
    <x v="0"/>
    <m/>
    <m/>
    <s v="N"/>
    <x v="9"/>
    <s v="6304221218"/>
    <s v="X"/>
    <n v="-11227.270000000004"/>
    <n v="120000"/>
    <n v="108772.73"/>
    <s v=""/>
    <n v="108772.73"/>
    <n v="96813.92"/>
    <n v="17960"/>
    <n v="7240"/>
    <x v="0"/>
    <x v="0"/>
    <n v="108772.73"/>
    <n v="-101532.73"/>
    <x v="18"/>
    <s v="FE"/>
    <s v="30501-BBPS Payment received"/>
    <s v="DURGA"/>
    <x v="5"/>
    <x v="0"/>
    <s v="FALT.NO.915.4THFLOOR SAIRESIDENCY.APARTMENT.1 BAIRAGIPATEDI INFRONT OF PULSE RESTAURENT TIRUPATHI ANP 517501"/>
    <s v="RITHYA.BULIDERS.AND.DEVELOPERS DOOR.NO.39 BAIRAGIPATEDI.ARCH.ROAD. BAIRAGIPATEDI.ARCH.ROAD. TIRUPATHI ANP517501"/>
    <s v="TIRUPATHI"/>
    <x v="2"/>
    <x v="33"/>
    <s v="GUNASEKAR"/>
    <n v="802241455"/>
    <s v="Sgr@9290"/>
    <m/>
    <m/>
    <x v="0"/>
    <s v="LIVE"/>
    <s v="customer giving house address visit ch out off cuntry information parents ptp 7/6"/>
    <x v="14"/>
    <d v="2026-01-07T00:00:00"/>
    <n v="8000"/>
    <s v="Amazon Pay ICICI Bank Credit Card"/>
    <s v="1ST JUNE"/>
    <d v="2026-05-30T00:00:00"/>
  </r>
  <r>
    <s v="4315813963907009"/>
    <s v="MR Katika Pedda Raju"/>
    <n v="0"/>
    <x v="0"/>
    <m/>
    <m/>
    <s v="N"/>
    <x v="9"/>
    <s v="7095625605"/>
    <s v="X"/>
    <n v="5326.679999999993"/>
    <n v="100000"/>
    <n v="105326.68"/>
    <n v="50247.71"/>
    <n v="55078.97"/>
    <n v="48704.07"/>
    <n v="18530"/>
    <n v="7090"/>
    <x v="1"/>
    <x v="1"/>
    <n v="0"/>
    <n v="7090"/>
    <x v="1"/>
    <s v="NA"/>
    <n v="0"/>
    <s v="DURGA"/>
    <x v="5"/>
    <x v="0"/>
    <s v="13.16 Ayyapureddy.Colony ..Ayyapureddy.Colony Bihend Policestation NANDYAL ANP 518112"/>
    <s v="HOTEL.CHANDAMAMA PANYAM KURNOOL. KURNOOL. NANDYAL ANP518112"/>
    <s v="NANDYAL"/>
    <x v="2"/>
    <x v="14"/>
    <s v="HARI"/>
    <n v="802388289"/>
    <s v="Ssd@9290"/>
    <m/>
    <m/>
    <x v="0"/>
    <s v="MESS"/>
    <s v="Customer house address visit customer present not in a home customer in Bihar customer brother told informed to customer customer mobile not responding iam waiting for customer address"/>
    <x v="17"/>
    <d v="2025-04-09T00:00:00"/>
    <n v="34607.99"/>
    <s v="Amazon Pay ICICI Bank Credit Card"/>
    <s v="1ST JUNE"/>
    <d v="2026-05-30T00:00:00"/>
  </r>
  <r>
    <s v="4315815025151005"/>
    <s v="MR Ashok Vattipally"/>
    <n v="0"/>
    <x v="0"/>
    <m/>
    <m/>
    <s v="N"/>
    <x v="9"/>
    <s v="9949236389"/>
    <s v="X"/>
    <n v="-14821.89"/>
    <n v="120000"/>
    <n v="105178.11"/>
    <s v=""/>
    <n v="105178.11"/>
    <n v="99021.78"/>
    <n v="16660"/>
    <n v="9760"/>
    <x v="0"/>
    <x v="2"/>
    <n v="9800"/>
    <n v="-40"/>
    <x v="15"/>
    <s v="FE"/>
    <s v="30501-BBPS Payment received"/>
    <s v="DURGA"/>
    <x v="5"/>
    <x v="0"/>
    <s v="1.212 KONAPURAM ..KONAPURAM CHENNARAOPET MANDALAM WARANGAL TNG 506332"/>
    <s v="SIDDHARTHA.DEGREE..COLLEGE Siddhartha.Degree.Pg.college SIDDHARTHA.NAGAR.. SIDDHARTHA.NAGAR.. WARANGAL TNG506132"/>
    <s v="WARANGAL"/>
    <x v="1"/>
    <x v="2"/>
    <s v="CHAITANYA"/>
    <n v="802555024"/>
    <s v="Ssde@9290"/>
    <m/>
    <m/>
    <x v="0"/>
    <s v="LIVE"/>
    <s v="Visited Customer Residence Address Customer Not Available Phone Call Answered Given Commitment On 8th Sir"/>
    <x v="11"/>
    <d v="2024-06-24T00:00:00"/>
    <n v="1941"/>
    <s v="Amazon Pay ICICI Bank Credit Card"/>
    <s v="1ST JUNE"/>
    <d v="2026-05-30T00:00:00"/>
  </r>
  <r>
    <s v="4315813403304007"/>
    <s v="MR S G Mahammad"/>
    <n v="0"/>
    <x v="0"/>
    <m/>
    <m/>
    <s v="N"/>
    <x v="9"/>
    <s v="9010229395"/>
    <s v="X"/>
    <n v="4935.1600000000035"/>
    <n v="100000"/>
    <n v="104935.16"/>
    <n v="43137.85"/>
    <n v="61797.31"/>
    <n v="54939.29"/>
    <n v="37840"/>
    <n v="19550"/>
    <x v="1"/>
    <x v="1"/>
    <n v="0"/>
    <n v="19550"/>
    <x v="1"/>
    <s v="NA"/>
    <n v="0"/>
    <s v="DURGA"/>
    <x v="5"/>
    <x v="0"/>
    <s v="4 4 UPSTAIR BAZAR STREET BAZAR STREET Cuddapah CUDDAPAH ANP 516162"/>
    <s v="LARSEN   TOUBRO INFOTECH LIMITED STPI CAMPUS WHITEFIELD WHITEFIELD BANGALORE KAR560066"/>
    <s v="CUDDAPAH"/>
    <x v="2"/>
    <x v="5"/>
    <s v="PAVAN"/>
    <n v="802823180"/>
    <s v="Sgr@9290"/>
    <m/>
    <m/>
    <x v="0"/>
    <s v="SKIP"/>
    <s v="Customer address not found there is no village or area name need kyc call not answering"/>
    <x v="14"/>
    <d v="2024-04-30T00:00:00"/>
    <n v="37129.85"/>
    <s v="Amazon Pay ICICI Bank Credit Card"/>
    <s v="1ST JUNE"/>
    <d v="2026-05-30T00:00:00"/>
  </r>
  <r>
    <s v="4315813590575005"/>
    <s v="MR Mulla Jishan"/>
    <n v="0"/>
    <x v="0"/>
    <m/>
    <m/>
    <s v="N"/>
    <x v="9"/>
    <s v="9966898107"/>
    <s v="X"/>
    <n v="5201.3800000000047"/>
    <n v="99000"/>
    <n v="104201.38"/>
    <n v="62008.35"/>
    <n v="42193.03"/>
    <n v="34073.61"/>
    <n v="27200"/>
    <n v="12877"/>
    <x v="1"/>
    <x v="1"/>
    <n v="0"/>
    <n v="12877"/>
    <x v="1"/>
    <s v="NA"/>
    <s v="30501-BBPS Payment received"/>
    <s v="DURGA"/>
    <x v="5"/>
    <x v="0"/>
    <s v="4 65 main road main road bejina vemula NANDYAL ANP 518134"/>
    <s v="HOMELANE 4 65 MAIN ROAD BIJANAVEMULA VILLAGE KOILAKUNTLA MANDAL KURNOOL DST KOILAKUNTLA MANDAL KURNOOL DST NANDYAL ANP518134"/>
    <s v="NANDYAL"/>
    <x v="2"/>
    <x v="14"/>
    <s v="HARI"/>
    <n v="802388289"/>
    <s v="Ssd@9290"/>
    <m/>
    <m/>
    <x v="0"/>
    <s v="LIVE"/>
    <s v="Customer live customer asking some time will have try to pay"/>
    <x v="15"/>
    <d v="2025-08-08T00:00:00"/>
    <n v="100777"/>
    <s v="Amazon Pay ICICI Bank Credit Card"/>
    <s v="1ST JUNE"/>
    <d v="2026-05-30T00:00:00"/>
  </r>
  <r>
    <s v="4315814522112008"/>
    <s v="MS TELLA VANI"/>
    <n v="0"/>
    <x v="0"/>
    <m/>
    <s v="CC"/>
    <s v="O"/>
    <x v="9"/>
    <s v="7093393063"/>
    <s v="X"/>
    <n v="2913.679999999993"/>
    <n v="100000"/>
    <n v="102913.68"/>
    <s v=""/>
    <n v="102913.68"/>
    <n v="94256.36"/>
    <n v="28670"/>
    <n v="15880"/>
    <x v="0"/>
    <x v="2"/>
    <n v="16000"/>
    <n v="-120"/>
    <x v="18"/>
    <s v="FE"/>
    <s v="30501-BBPS Payment received"/>
    <s v="DURGA"/>
    <x v="5"/>
    <x v="0"/>
    <s v="6.169 L.M..COMPOUND ..L.M..COMPOUND Cuddapah PRODDATUR ANP 516380"/>
    <s v="APVVP GAVINI.CIRCLE DISTRICT.HOSPITAL. DISTRICT.HOSPITAL. PRODDATUR ANP516360"/>
    <s v="PRODDATUR"/>
    <x v="2"/>
    <x v="31"/>
    <s v="POORNIMA"/>
    <n v="802824019"/>
    <s v="Nihan@2421"/>
    <m/>
    <m/>
    <x v="0"/>
    <s v="LIVE"/>
    <s v="Cm is in leave will meet tomorrow sir."/>
    <x v="4"/>
    <d v="2024-09-27T00:00:00"/>
    <n v="78000"/>
    <s v="Amazon Pay ICICI Bank Credit Card"/>
    <s v="1ST JUNE"/>
    <d v="2026-05-30T00:00:00"/>
  </r>
  <r>
    <s v="4315815510415006"/>
    <s v="MR Mohammed Abdul Razak"/>
    <n v="0"/>
    <x v="0"/>
    <m/>
    <m/>
    <s v="N"/>
    <x v="9"/>
    <s v="9121482145"/>
    <s v="X"/>
    <n v="-38863.31"/>
    <n v="140000"/>
    <n v="101136.69"/>
    <s v=""/>
    <n v="101136.69"/>
    <n v="95200.14"/>
    <n v="13730"/>
    <n v="6920"/>
    <x v="0"/>
    <x v="0"/>
    <n v="14000"/>
    <n v="-7080"/>
    <x v="16"/>
    <s v="FE"/>
    <s v="12124 - UPI Payment Received"/>
    <s v="DURGA"/>
    <x v="5"/>
    <x v="0"/>
    <s v="1123399 L.B.Nagar ..L.B.Nagar  WARANGAL TNG 506002"/>
    <s v="SHARADHA.MEDICAL Charbowli Sharadha.medical. Sharadha.medical. WARANGAL TNG506002"/>
    <s v="WARANGAL"/>
    <x v="1"/>
    <x v="2"/>
    <s v="CHAITANYA"/>
    <n v="802555024"/>
    <s v="Ssde@9290"/>
    <m/>
    <m/>
    <x v="0"/>
    <s v="LIVE"/>
    <s v="Visited Customer Residence Customer Live Customer Given Commitment Tommorow Sir"/>
    <x v="14"/>
    <d v="2026-05-06T00:00:00"/>
    <n v="3000"/>
    <s v="Amazon Pay ICICI Bank Credit Card"/>
    <s v="1ST JUNE"/>
    <d v="2026-05-30T00:00:00"/>
  </r>
  <r>
    <s v="4315815161504009"/>
    <s v="MR KOTHAPALLI GIREESH"/>
    <n v="0"/>
    <x v="0"/>
    <m/>
    <m/>
    <s v="N"/>
    <x v="9"/>
    <s v="9515973733"/>
    <s v="W"/>
    <n v="-192112.25"/>
    <n v="290000"/>
    <n v="97887.75"/>
    <s v=""/>
    <n v="97887.75"/>
    <n v="88971.63"/>
    <n v="13890"/>
    <n v="5400"/>
    <x v="0"/>
    <x v="2"/>
    <n v="5500"/>
    <n v="-100"/>
    <x v="18"/>
    <s v="FE"/>
    <s v="12124 - UPI Payment Received"/>
    <s v="DURGA"/>
    <x v="5"/>
    <x v="0"/>
    <s v="4 PATHAPATIVARI PALLE PATHAPATIVARI PALLE CHINNARAMAPURAM   CHITTOOR ANP 517102"/>
    <s v="Gireesh 4 Pathapattivari pallii Pathapattivari pallii TIRUPATHI ANP517102"/>
    <s v="TIRUPATHI"/>
    <x v="2"/>
    <x v="33"/>
    <s v="GUNASEKAR"/>
    <n v="802241455"/>
    <s v="Sgr@9290"/>
    <m/>
    <m/>
    <x v="0"/>
    <m/>
    <m/>
    <x v="10"/>
    <d v="2026-03-12T00:00:00"/>
    <n v="1500"/>
    <s v="Amazon Pay ICICI Bank Credit Card"/>
    <s v="1ST JUNE"/>
    <d v="2026-05-30T00:00:00"/>
  </r>
  <r>
    <s v="4315813417631007"/>
    <s v="MR Ranjith Kumar Marripelli"/>
    <n v="0"/>
    <x v="0"/>
    <m/>
    <m/>
    <s v="N"/>
    <x v="9"/>
    <s v="8309390092"/>
    <s v="X"/>
    <n v="6900.570000000007"/>
    <n v="90000"/>
    <n v="96900.57"/>
    <s v=""/>
    <n v="96900.57"/>
    <n v="89453.51"/>
    <n v="22720"/>
    <n v="4610"/>
    <x v="0"/>
    <x v="0"/>
    <n v="96900.57"/>
    <n v="-92290.57"/>
    <x v="14"/>
    <s v="FE"/>
    <s v="30501-BBPS Payment received"/>
    <s v="DURGA"/>
    <x v="5"/>
    <x v="0"/>
    <s v="HNO 23 6 135 1 1 IV 401 SRI DATTA SAI RESIDENCY HUNTER RODA BESIDE TEJASWI SCHOOL WARANGAL TNG 506001"/>
    <s v="MANIKNATA CONSULTANCY HNO23 6 135 1 1 IV 402 SRI DATTA SAI RESIDENCY HUNTER ROAD SRI DATTA SAI RESIDENCY HUNTER ROAD WARANGAL TNG506001"/>
    <s v="WARANGAL"/>
    <x v="1"/>
    <x v="2"/>
    <s v="CHAITANYA"/>
    <n v="802555024"/>
    <s v="Ssde@9290"/>
    <m/>
    <m/>
    <x v="0"/>
    <s v="LIVE"/>
    <s v="Visited Customer Residence Address Customer Live Given Commitment Tommorow Sir"/>
    <x v="14"/>
    <d v="2026-03-31T00:00:00"/>
    <n v="100"/>
    <s v="Amazon Pay ICICI Bank Credit Card"/>
    <s v="1ST JUNE"/>
    <d v="2026-05-30T00:00:00"/>
  </r>
  <r>
    <s v="4315813913955017"/>
    <s v="MR SVamshi Krishna Reddy"/>
    <n v="0"/>
    <x v="0"/>
    <m/>
    <m/>
    <s v="N"/>
    <x v="9"/>
    <s v="7989391884"/>
    <s v="X"/>
    <n v="-4017.9900000000052"/>
    <n v="100000"/>
    <n v="95982.01"/>
    <n v="38813.83"/>
    <n v="57168.18"/>
    <n v="49185.17"/>
    <n v="14050"/>
    <n v="5850"/>
    <x v="1"/>
    <x v="1"/>
    <n v="0"/>
    <n v="5850"/>
    <x v="1"/>
    <s v="NA"/>
    <n v="0"/>
    <s v="DURGA"/>
    <x v="5"/>
    <x v="1"/>
    <s v="1.134 Hanwada.mandalam gudi.malkapur.village Mahabubnagar MAHBOOBNAGAR TNG 509334"/>
    <s v="BAJAJ.ELECTRICALS.LIMITED NEWTOWN. MAHABUBNAGAR. MAHABUBNAGAR. MAHBOOBNAGAR TNG509001"/>
    <s v="MAHBOOBNAGAR"/>
    <x v="1"/>
    <x v="23"/>
    <s v="SAMBA"/>
    <n v="801772794"/>
    <s v="Ssde@9876"/>
    <m/>
    <m/>
    <x v="0"/>
    <s v="LIVE"/>
    <s v="Sir Visited Coustomer House _x000a_Coustomer Not available _x000a_Coustomer Given I will Call you tomorrow. On phone through"/>
    <x v="18"/>
    <d v="2025-07-09T00:00:00"/>
    <n v="1310"/>
    <s v="Amazon Pay ICICI Bank Credit Card"/>
    <s v="1ST JUNE"/>
    <d v="2026-05-30T00:00:00"/>
  </r>
  <r>
    <s v="4315813772533004"/>
    <s v="MR Venkata Srinivas"/>
    <n v="0"/>
    <x v="0"/>
    <m/>
    <m/>
    <s v="N"/>
    <x v="9"/>
    <s v="9505805138"/>
    <s v="X"/>
    <n v="7989.75"/>
    <n v="80000"/>
    <n v="87989.75"/>
    <s v=""/>
    <n v="87989.75"/>
    <n v="79383.19"/>
    <n v="21160"/>
    <n v="7370"/>
    <x v="0"/>
    <x v="2"/>
    <n v="7370"/>
    <n v="0"/>
    <x v="1"/>
    <s v="D"/>
    <s v="30501-BBPS Payment received"/>
    <s v="DURGA"/>
    <x v="5"/>
    <x v="1"/>
    <s v="H NO 3 3 588 A SAINAGER SAINAGER NEAR VISHWAVIKAS SCHOOL NIZAMABAD TNG 503001"/>
    <s v="TEA KAHANI TEA KAHANI VARNI CHOWRASTA OPP SBI BANK VARNI CHOWRASTA OPP SBI BANK NIZAMABAD TNG503001"/>
    <s v="NIZAMABAD"/>
    <x v="1"/>
    <x v="20"/>
    <s v="D RAMU"/>
    <n v="802663344"/>
    <s v="Sgr@9290"/>
    <m/>
    <m/>
    <x v="0"/>
    <s v="LIVE"/>
    <s v="customer paymet on this week // customer paymet twommro"/>
    <x v="15"/>
    <d v="2024-06-05T00:00:00"/>
    <n v="5680"/>
    <s v="Amazon Pay ICICI Bank Credit Card"/>
    <s v="1ST JUNE"/>
    <d v="2026-05-30T00:00:00"/>
  </r>
  <r>
    <s v="4315813850772003"/>
    <s v="MR PAGILLAPALLI VINAY KUMAR"/>
    <n v="0"/>
    <x v="0"/>
    <m/>
    <s v="CC"/>
    <s v="N"/>
    <x v="9"/>
    <s v="8919633050"/>
    <s v="X"/>
    <n v="6256.0899999999965"/>
    <n v="80000"/>
    <n v="86256.09"/>
    <s v=""/>
    <n v="86256.09"/>
    <n v="77597.38"/>
    <n v="19360"/>
    <n v="5720"/>
    <x v="0"/>
    <x v="0"/>
    <n v="19360"/>
    <n v="-13640"/>
    <x v="19"/>
    <s v="FE"/>
    <s v="30501-BBPS Payment received"/>
    <s v="DURGA"/>
    <x v="5"/>
    <x v="0"/>
    <s v="6 1 12 1 CHERUVU BAZAAR BESIDE HANUMAN TEMPLE LANE HANUMAN TEMPLE KHAMMAM TNG 507001"/>
    <s v="GENERAL ENERGY MANAGEMENT SYSTEMS PVT LT H NO 11 2 15 2 1 NEAR UNION BANK SEETHAPHALMANDI NEAR UNION BANK SEETHAPHALMANDI HYDERABAD TNG500061"/>
    <s v="KHAMMAM"/>
    <x v="1"/>
    <x v="24"/>
    <s v="POORNIMA"/>
    <n v="802824019"/>
    <s v="Nihan@2421"/>
    <m/>
    <m/>
    <x v="0"/>
    <s v="SKIP"/>
    <s v="I have visited Customer Given house address Customer not available in home Customer staying &amp; doing job in Hyderabad Customer call answered given ptp on Thursday"/>
    <x v="4"/>
    <d v="2025-10-10T00:00:00"/>
    <n v="10000"/>
    <s v="Amazon Pay ICICI Bank Credit Card"/>
    <s v="1ST JUNE"/>
    <d v="2026-05-30T00:00:00"/>
  </r>
  <r>
    <s v="4315814785179009"/>
    <s v="MR AnipiReddyVenkata Harinadh Red"/>
    <n v="0"/>
    <x v="0"/>
    <m/>
    <s v="CC"/>
    <s v="N"/>
    <x v="9"/>
    <s v="9490905351"/>
    <s v="X"/>
    <n v="4898.4600000000064"/>
    <n v="80000"/>
    <n v="84898.46"/>
    <s v=""/>
    <n v="84898.46"/>
    <n v="76704.2"/>
    <n v="17830"/>
    <n v="4400"/>
    <x v="0"/>
    <x v="0"/>
    <n v="54898"/>
    <n v="-50498"/>
    <x v="15"/>
    <s v="FE"/>
    <s v="30501-BBPS Payment received"/>
    <s v="DURGA"/>
    <x v="5"/>
    <x v="0"/>
    <s v="18.19 YANADI.COLONY ..YANADI.COLONY Cuddapah PRODDATUR ANP 516360"/>
    <s v="SREE.YASHUVANTH.SAREES 18.190YANADHICOLONY YANADHI.COLONY..POTTIPADU. YANADHI.COLONY..POTTIPADU. PRODDATUR ANP516360"/>
    <s v="PRODDATUR"/>
    <x v="2"/>
    <x v="31"/>
    <s v="POORNIMA"/>
    <n v="802824019"/>
    <s v="Nihan@2421"/>
    <m/>
    <m/>
    <x v="0"/>
    <m/>
    <m/>
    <x v="10"/>
    <d v="2025-09-12T00:00:00"/>
    <n v="3671"/>
    <s v="Amazon Pay ICICI Bank Credit Card"/>
    <s v="1ST JUNE"/>
    <d v="2026-05-30T00:00:00"/>
  </r>
  <r>
    <s v="4315813564988002"/>
    <s v="MS Vundinti Pooja Teja"/>
    <n v="0"/>
    <x v="0"/>
    <m/>
    <m/>
    <s v="N"/>
    <x v="9"/>
    <s v="7674093137"/>
    <s v="X"/>
    <n v="4159.0899999999965"/>
    <n v="80000"/>
    <n v="84159.09"/>
    <n v="4277.8599999999997"/>
    <n v="79881.23"/>
    <n v="70293.81"/>
    <n v="14810"/>
    <n v="6150"/>
    <x v="0"/>
    <x v="0"/>
    <n v="16150"/>
    <n v="-10000"/>
    <x v="9"/>
    <s v="FE"/>
    <s v="30501-BBPS Payment received"/>
    <s v="DURGA"/>
    <x v="5"/>
    <x v="0"/>
    <s v="3 10 268 Budda Bavan Reddy Colony Warangal WARANGAL TNG 506001"/>
    <s v="COTELLIGENT SKY VIEW 20 UG RAIDURG RAIDURG HYDERABAD TNG500081"/>
    <s v="WARANGAL"/>
    <x v="1"/>
    <x v="2"/>
    <s v="CHAITANYA"/>
    <n v="802555024"/>
    <s v="Ssde@9290"/>
    <m/>
    <m/>
    <x v="0"/>
    <s v="LIVE"/>
    <s v="Visited Customer Given Adress Customer Not Available Phone Call Answered Customer Given Commitment On 5th Sir"/>
    <x v="4"/>
    <d v="2024-11-02T00:00:00"/>
    <n v="9470"/>
    <s v="Amazon Pay ICICI Bank Credit Card"/>
    <s v="1ST JUNE"/>
    <d v="2026-05-30T00:00:00"/>
  </r>
  <r>
    <s v="4375517502312004"/>
    <s v="MR INUMULA SAIKUMAR"/>
    <n v="0"/>
    <x v="0"/>
    <m/>
    <m/>
    <s v="N"/>
    <x v="9"/>
    <s v="7386230771"/>
    <s v="X"/>
    <n v="9099.2799999999988"/>
    <n v="75000"/>
    <n v="84099.28"/>
    <s v=""/>
    <n v="84099.28"/>
    <n v="70732.47"/>
    <n v="26190"/>
    <n v="9970"/>
    <x v="1"/>
    <x v="1"/>
    <n v="0"/>
    <n v="9970"/>
    <x v="1"/>
    <s v="NA"/>
    <s v="12111-ICICI BANK COLLECTION PAYMENT"/>
    <s v="DURGA"/>
    <x v="5"/>
    <x v="0"/>
    <s v="HNO 16 2 69 ASHOK NAGAR STREET JANGAREDDIGUDEM BEHIND PADMA THEATER  JANGAREDDIGUDUM ANP 534447"/>
    <s v="NATIONAL INSTITUTE OF ANIMAL SURVEY NO 37 4 GOWALIDOODI AREA GOPANPALLY NEAR MYSAMMA TEMPLE ON MAIN GOPANPALLY NEAR MYSAMMA TEMPLE ON MAIN HYDERABAD ANP500032"/>
    <s v="JANGAREDDIGUDUM"/>
    <x v="0"/>
    <x v="32"/>
    <s v="BHARAT CHANDRA"/>
    <n v="802631601"/>
    <s v="Ssde@9290"/>
    <m/>
    <m/>
    <x v="1"/>
    <m/>
    <m/>
    <x v="10"/>
    <d v="2026-04-05T00:00:00"/>
    <n v="7130"/>
    <s v="ICICI Bank Coral Credit Card"/>
    <s v="1ST JUNE"/>
    <d v="2026-05-30T00:00:00"/>
  </r>
  <r>
    <s v="4375517685435002"/>
    <s v="MR VARADAIAH MARAPPAGARI X"/>
    <n v="0"/>
    <x v="0"/>
    <m/>
    <m/>
    <s v="O"/>
    <x v="9"/>
    <s v="9502008182"/>
    <s v="X"/>
    <n v="-13291.850000000006"/>
    <n v="92000"/>
    <n v="78708.149999999994"/>
    <s v=""/>
    <n v="78708.149999999994"/>
    <n v="73356.240000000005"/>
    <n v="14950"/>
    <n v="9470"/>
    <x v="0"/>
    <x v="0"/>
    <n v="78708.149999999994"/>
    <n v="-69238.149999999994"/>
    <x v="1"/>
    <s v="D"/>
    <s v="30501-BBPS Payment received"/>
    <s v="DURGA"/>
    <x v="5"/>
    <x v="0"/>
    <s v="11 124 TIRUPATI YOGIMALLAVARAM TIRUCHANOOR NEAR PADMAVATHI SCHOOL TIRUPATHI ANP 517503"/>
    <s v="SRI CHAITANYA EDUCATIONAL INSTITUTIOS 11 1 37 AGK BUILDING GANDHI ROAD GANDHI ROAD TIRUPATHI ANP517501"/>
    <s v="TIRUPATHI"/>
    <x v="2"/>
    <x v="33"/>
    <s v="GUNASEKAR"/>
    <n v="802241455"/>
    <s v="Sgr@9290"/>
    <m/>
    <m/>
    <x v="0"/>
    <m/>
    <m/>
    <x v="10"/>
    <d v="2025-09-23T00:00:00"/>
    <n v="47000"/>
    <s v="ICICI Bank Platinum Chip Credit Card"/>
    <s v="1ST JUNE"/>
    <d v="2026-05-30T00:00:00"/>
  </r>
  <r>
    <s v="4315812769223009"/>
    <s v="MR Mulenti Vamsidhar Reddy"/>
    <n v="0"/>
    <x v="0"/>
    <m/>
    <m/>
    <s v="N"/>
    <x v="9"/>
    <s v="9014606006"/>
    <s v="X"/>
    <n v="6875.679999999993"/>
    <n v="70000"/>
    <n v="76875.679999999993"/>
    <n v="2302.98"/>
    <n v="74572.7"/>
    <n v="66893.02"/>
    <n v="20520"/>
    <n v="6250"/>
    <x v="0"/>
    <x v="2"/>
    <n v="10000"/>
    <n v="-3750"/>
    <x v="12"/>
    <s v="TC"/>
    <s v="30501-BBPS Payment received"/>
    <s v="DURGA"/>
    <x v="5"/>
    <x v="1"/>
    <s v="6-141 Mekalasompally B C Colony Mahabubnagar ATMAKUR TNG 509132"/>
    <s v="SEED ORGANISER GADWAL JOGULAMBA GADWAL JOGULAMBA GADWAL ATMAKUR TNG509132"/>
    <s v="MAHBOOBNAGAR"/>
    <x v="1"/>
    <x v="23"/>
    <s v="SAMBA"/>
    <n v="801772794"/>
    <s v="Ssde@9876"/>
    <m/>
    <m/>
    <x v="0"/>
    <m/>
    <m/>
    <x v="10"/>
    <d v="2025-04-11T00:00:00"/>
    <n v="9700"/>
    <s v="Amazon Pay ICICI Bank Credit Card"/>
    <s v="1ST JUNE"/>
    <d v="2026-05-30T00:00:00"/>
  </r>
  <r>
    <s v="4315812047113006"/>
    <s v="MR Vutukuri Mohana Bala"/>
    <n v="0"/>
    <x v="0"/>
    <m/>
    <m/>
    <s v="N"/>
    <x v="9"/>
    <s v="9963959966"/>
    <s v="X"/>
    <n v="6600.4799999999959"/>
    <n v="70000"/>
    <n v="76600.479999999996"/>
    <s v=""/>
    <n v="76600.479999999996"/>
    <n v="67248.61"/>
    <n v="19630"/>
    <n v="7440"/>
    <x v="0"/>
    <x v="0"/>
    <n v="20210"/>
    <n v="-12770"/>
    <x v="10"/>
    <s v="TC"/>
    <s v="30501-BBPS Payment received"/>
    <s v="DURGA"/>
    <x v="5"/>
    <x v="2"/>
    <s v="41-3-75/A Krishnalanka Rice Shops Bazaar Krishna VIJAYAWADA ANP 520013"/>
    <s v="AMRITHA SCHOOL OF ENGINEERING SATYAM GARI HOTEL STREET ROCE SHOPS BAZAR 41-3-75A ROCE SHOPS BAZAR 41-3-75A VIJAYAWADA ANP520013"/>
    <s v="VIJAYAWADA"/>
    <x v="0"/>
    <x v="22"/>
    <s v="SUDHAKAR"/>
    <n v="802913252"/>
    <s v="Ssd@9290"/>
    <m/>
    <m/>
    <x v="0"/>
    <m/>
    <m/>
    <x v="10"/>
    <d v="2024-07-02T00:00:00"/>
    <n v="20000"/>
    <s v="Amazon Pay ICICI Bank Credit Card"/>
    <s v="1ST JUNE"/>
    <d v="2026-05-30T00:00:00"/>
  </r>
  <r>
    <s v="4315812548325000"/>
    <s v="MR Mandli Sandeep Kumar"/>
    <n v="0"/>
    <x v="0"/>
    <m/>
    <m/>
    <s v="N"/>
    <x v="9"/>
    <s v="9731971793"/>
    <s v="X"/>
    <n v="-60192.399999999994"/>
    <n v="130000"/>
    <n v="69807.600000000006"/>
    <s v=""/>
    <n v="69807.600000000006"/>
    <n v="60676.81"/>
    <n v="12540"/>
    <n v="5210"/>
    <x v="0"/>
    <x v="0"/>
    <n v="15000"/>
    <n v="-9790"/>
    <x v="16"/>
    <s v="FE"/>
    <s v="30501-BBPS Payment received"/>
    <s v="DURGA"/>
    <x v="5"/>
    <x v="0"/>
    <s v="Jun-84 G.M.C STREET G.M.C STREET Cuddapah CUDDAPAH ANP 516115"/>
    <s v="CERNER HEALTHCARE SOLUTIONS PVT LTD GROUND WING-B BLOCK H2 MANYATHA EMBASSY BUSINESS PARK MANYATHA EMBASSY BUSINESS PARK BANGALORE KAR560045"/>
    <s v="CUDDAPAH"/>
    <x v="2"/>
    <x v="5"/>
    <s v="PAVAN"/>
    <n v="802823180"/>
    <s v="Sgr@9290"/>
    <m/>
    <m/>
    <x v="0"/>
    <s v="LIVE"/>
    <s v="Customer house address live present remodeling call answered given PTP in 1hr"/>
    <x v="16"/>
    <d v="2024-02-23T00:00:00"/>
    <n v="7362.72"/>
    <s v="Amazon Pay ICICI Bank Credit Card"/>
    <s v="1ST JUNE"/>
    <d v="2026-05-30T00:00:00"/>
  </r>
  <r>
    <s v="4315814599310006"/>
    <s v="MR PITANI SRINIVAS"/>
    <n v="0"/>
    <x v="0"/>
    <m/>
    <m/>
    <s v="N"/>
    <x v="9"/>
    <s v="9848713273"/>
    <s v="X"/>
    <n v="6587.3699999999953"/>
    <n v="60000"/>
    <n v="66587.37"/>
    <s v=""/>
    <n v="66587.37"/>
    <n v="59600.65"/>
    <n v="16850"/>
    <n v="5750"/>
    <x v="0"/>
    <x v="2"/>
    <n v="10550"/>
    <n v="-4800"/>
    <x v="12"/>
    <s v="TC"/>
    <s v="30501-BBPS Payment received"/>
    <s v="DURGA"/>
    <x v="5"/>
    <x v="0"/>
    <s v="Oct-24 KOTHAPETA KOPPISETTI VARI VEEDHI  AMALAPURAM ANP 533223"/>
    <s v="GOVERNMENT OF ANDHRA PRADESH PANCHYAT RAJ DEPARTMENT  KOTHAPETA GRAMA SACHIVALAYAM  2    AVIDI V GRAMA SACHIVALAYAM  2    AVIDI V AMALAPURAM ANP533229"/>
    <s v="AMALAPURAM"/>
    <x v="0"/>
    <x v="13"/>
    <s v="MANIKANTA"/>
    <n v="802852449"/>
    <s v="Ssd@9290"/>
    <m/>
    <m/>
    <x v="0"/>
    <s v="LIVE"/>
    <s v="Custmor go to feald PTP  tomorrow"/>
    <x v="12"/>
    <d v="2025-03-30T00:00:00"/>
    <n v="5000"/>
    <s v="Amazon Pay ICICI Bank Credit Card"/>
    <s v="1ST JUNE"/>
    <d v="2026-05-30T00:00:00"/>
  </r>
  <r>
    <s v="4315814014255000"/>
    <s v="MR GangavarapuChandra Sekhar Naid"/>
    <n v="0"/>
    <x v="0"/>
    <m/>
    <m/>
    <s v="N"/>
    <x v="9"/>
    <s v="9032184388"/>
    <s v="X"/>
    <n v="5195.43"/>
    <n v="60000"/>
    <n v="65195.43"/>
    <s v=""/>
    <n v="65195.43"/>
    <n v="58265.34"/>
    <n v="15410"/>
    <n v="4350"/>
    <x v="0"/>
    <x v="0"/>
    <n v="15410"/>
    <n v="-11060"/>
    <x v="3"/>
    <s v="FE"/>
    <s v="30501-BBPS Payment received"/>
    <s v="DURGA"/>
    <x v="5"/>
    <x v="0"/>
    <s v="18.2.48 VENU.GOPAL.NAGAR GOOTY.ROAD RAJAHAMSA DELUX APPARTMENTS ANAPARTHI ANP 515001"/>
    <s v="CAPGEMINI.TECHNOLOGY.SERVICES.INDIA.LTD 6B.ECOSPACE BELANDHUR. BELANDHUR. BANGALORE KAR560103"/>
    <s v="ANAPARTHI"/>
    <x v="2"/>
    <x v="26"/>
    <s v="T SRINIVAS"/>
    <n v="802030802"/>
    <s v="Sgr@0987"/>
    <m/>
    <m/>
    <x v="0"/>
    <m/>
    <m/>
    <x v="10"/>
    <d v="2024-06-28T00:00:00"/>
    <n v="2000"/>
    <s v="Amazon Pay ICICI Bank Credit Card"/>
    <s v="1ST JUNE"/>
    <d v="2026-05-30T00:00:00"/>
  </r>
  <r>
    <s v="4315814857928002"/>
    <s v="MR Aleti Ravinder Reddy"/>
    <n v="0"/>
    <x v="0"/>
    <m/>
    <m/>
    <s v="N"/>
    <x v="9"/>
    <s v="9989302431"/>
    <s v="X"/>
    <n v="4944.3000000000029"/>
    <n v="60000"/>
    <n v="64944.3"/>
    <n v="4608.09"/>
    <n v="60336.21"/>
    <n v="55187.62"/>
    <n v="14910"/>
    <n v="4910"/>
    <x v="0"/>
    <x v="2"/>
    <n v="5000"/>
    <n v="-90"/>
    <x v="17"/>
    <s v="FE"/>
    <s v="30501-BBPS Payment received"/>
    <s v="DURGA"/>
    <x v="5"/>
    <x v="0"/>
    <s v="2.68 Bheemadevara.Pally Dharmaram Karimnagar HYDERABAD TNG 505471"/>
    <s v="NXT.GEN.COMPUTER.SOLUTIONS SHOP.NO.41 NEW.AENNAPURNA.COMPLEX.PARKING.PLACE. NEW.AENNAPURNA.COMPLEX.PARKING.PLACE. ADILABAD TNG505001"/>
    <s v="KARIMNAGAR"/>
    <x v="1"/>
    <x v="2"/>
    <s v="CHAITANYA"/>
    <n v="802555024"/>
    <s v="Ssde@9290"/>
    <m/>
    <m/>
    <x v="0"/>
    <s v="LIVE"/>
    <s v="Meet Customer Customer Given Commitment Tommorow Sir"/>
    <x v="11"/>
    <d v="2025-09-03T00:00:00"/>
    <n v="36008"/>
    <s v="Amazon Pay ICICI Bank Credit Card"/>
    <s v="1ST JUNE"/>
    <d v="2026-05-30T00:00:00"/>
  </r>
  <r>
    <s v="4315814202028003"/>
    <s v="MR Kammur Mohammed Luqman"/>
    <n v="0"/>
    <x v="0"/>
    <m/>
    <m/>
    <s v="N"/>
    <x v="9"/>
    <s v="9160681237"/>
    <s v="J3"/>
    <n v="-79199.56"/>
    <n v="144000"/>
    <n v="64800.44"/>
    <s v=""/>
    <n v="64800.44"/>
    <n v="45455.43"/>
    <n v="23780"/>
    <n v="21620"/>
    <x v="0"/>
    <x v="0"/>
    <n v="23780"/>
    <n v="-2160"/>
    <x v="10"/>
    <s v="FE"/>
    <s v="12124 - UPI Payment Received"/>
    <s v="DURGA"/>
    <x v="5"/>
    <x v="0"/>
    <s v="13.2.170 Ramachandra.nagar Ramachandra.nagar.EXT. Anantapur ANAPARTHI ANP 515001"/>
    <s v="OLD.SCHOOL NEAR.RAJAHAMSA.PARADISE...D.NO.13.2.170 RAM.CHANDR.NAGAR. RAM.CHANDR.NAGAR. ANAPARTHI ANP515001"/>
    <s v="ANAPARTHI"/>
    <x v="2"/>
    <x v="26"/>
    <s v="T SRINIVAS"/>
    <n v="802030802"/>
    <s v="Sgr@0987"/>
    <m/>
    <m/>
    <x v="0"/>
    <m/>
    <m/>
    <x v="10"/>
    <d v="2025-12-26T00:00:00"/>
    <n v="15000"/>
    <s v="Amazon Pay ICICI Bank Credit Card"/>
    <s v="1ST JUNE"/>
    <d v="2026-05-30T00:00:00"/>
  </r>
  <r>
    <s v="4315813408926002"/>
    <s v="MS LAKKIMSETTY RAMA VENKATA"/>
    <n v="0"/>
    <x v="0"/>
    <m/>
    <m/>
    <s v="N"/>
    <x v="9"/>
    <s v="8179590773"/>
    <s v="X"/>
    <n v="-768.5"/>
    <n v="65000"/>
    <n v="64231.5"/>
    <n v="11638.61"/>
    <n v="52592.89"/>
    <n v="48973.32"/>
    <n v="15340"/>
    <n v="8550"/>
    <x v="0"/>
    <x v="0"/>
    <n v="15640"/>
    <n v="-7090"/>
    <x v="1"/>
    <s v="D"/>
    <s v="30501-BBPS Payment received"/>
    <s v="DURGA"/>
    <x v="5"/>
    <x v="0"/>
    <s v="5-22/1 RAZOLE MANDALAM KIRANA STREET EAST GODAVARI AMALAPURAM ANP 533249"/>
    <s v="SHREE RAGAVENDRA SAMI BUILDING MATERIAL HOUSE NO 5-22/1 KIRANA STREET THATTIPAKK HOUSE NO 5-22/1 KIRANA STREET THATTIPAKK HOUSE NO 5-22/1 KIRANA STREET THATTIPAKK AMALAPURAM ANP533249"/>
    <s v="AMALAPURAM"/>
    <x v="0"/>
    <x v="0"/>
    <s v="B NAGABABU"/>
    <n v="801448854"/>
    <s v="Sgr@9290"/>
    <m/>
    <m/>
    <x v="0"/>
    <s v="LIVE"/>
    <s v="cmr broken PTP, cmr not at home , waiting for cmr"/>
    <x v="16"/>
    <d v="2024-07-23T00:00:00"/>
    <n v="47000"/>
    <s v="Amazon Pay ICICI Bank Credit Card"/>
    <s v="1ST JUNE"/>
    <d v="2026-05-30T00:00:00"/>
  </r>
  <r>
    <s v="4315814964884007"/>
    <s v="MR Gummedela Varaprasad"/>
    <n v="0"/>
    <x v="0"/>
    <m/>
    <m/>
    <s v="O"/>
    <x v="9"/>
    <s v="6300257101"/>
    <s v="X"/>
    <n v="3951.1299999999974"/>
    <n v="60000"/>
    <n v="63951.13"/>
    <s v=""/>
    <n v="63951.13"/>
    <n v="56361.1"/>
    <n v="21690"/>
    <n v="11330"/>
    <x v="0"/>
    <x v="2"/>
    <n v="11500"/>
    <n v="-170"/>
    <x v="17"/>
    <s v="FE"/>
    <s v="30501-BBPS Payment received"/>
    <s v="DURGA"/>
    <x v="5"/>
    <x v="0"/>
    <s v="25.2.1441.PRAGATHI.NAGAR.1ST.STREET. B.BLOCK.PODALKUR.ROAD. ..B.BLOCK.PODALKUR.ROAD. NEAR CANCER HOSPITAL NELLORE ANP 524004"/>
    <s v="VARAPRA.PROVISIONS.AND.FANCY PRAGATHI.NAGAR.10TH.STREET.A.BLOCK PIPE.LINE.STREET.PODALKUR.ROAD. PIPE.LINE.STREET.PODALKUR.ROAD. NELLORE ANP524004"/>
    <s v="NELLORE"/>
    <x v="4"/>
    <x v="12"/>
    <s v="B SURESH"/>
    <n v="801570488"/>
    <s v="Ssd@9290"/>
    <m/>
    <m/>
    <x v="0"/>
    <s v="LIVE"/>
    <s v=":cm not available sir and cm call answered given ptp 4th sir // cm not available sir and cm mother available cm call answered given ptp Monday sir"/>
    <x v="16"/>
    <d v="2024-06-30T00:00:00"/>
    <n v="48682.71"/>
    <s v="Amazon Pay ICICI Bank Credit Card"/>
    <s v="1ST JUNE"/>
    <d v="2026-05-30T00:00:00"/>
  </r>
  <r>
    <s v="4315814284150006"/>
    <s v="MR Gandham Naresh"/>
    <n v="0"/>
    <x v="0"/>
    <m/>
    <m/>
    <s v="N"/>
    <x v="9"/>
    <s v="8885863328"/>
    <s v="X"/>
    <n v="3670.7300000000032"/>
    <n v="60000"/>
    <n v="63670.73"/>
    <n v="25048.73"/>
    <n v="38622"/>
    <n v="34429.14"/>
    <n v="8830"/>
    <n v="3600"/>
    <x v="0"/>
    <x v="0"/>
    <n v="38622"/>
    <n v="-35022"/>
    <x v="1"/>
    <s v="D"/>
    <n v="0"/>
    <s v="DURGA"/>
    <x v="5"/>
    <x v="0"/>
    <s v="H.No.16.1.239 Godavarikhani Shivaji.nagar Near Krishna Cycle Store PEDDAPALLI TNG 505209"/>
    <s v="MUNICIPALITY H.NO.16.1.239. SHIVAJI.NAGAR.. SHIVAJI.NAGAR.. PEDDAPALLI TNG505209"/>
    <s v="PEDDAPALLI"/>
    <x v="1"/>
    <x v="6"/>
    <s v="K RAMU"/>
    <n v="802898520"/>
    <s v="Ssd@9290"/>
    <m/>
    <m/>
    <x v="0"/>
    <s v="MESS"/>
    <s v="Customer live in address Present not avillable.call not responding Left message to his mother"/>
    <x v="4"/>
    <d v="2025-12-12T00:00:00"/>
    <n v="3320"/>
    <s v="Amazon Pay ICICI Bank Credit Card"/>
    <s v="1ST JUNE"/>
    <d v="2026-05-30T00:00:00"/>
  </r>
  <r>
    <s v="4315814096236001"/>
    <s v="MR KADIYALAVENKATA KRISHNA MOHAN"/>
    <n v="0"/>
    <x v="0"/>
    <m/>
    <m/>
    <s v="N"/>
    <x v="9"/>
    <s v="9700936644"/>
    <s v="X"/>
    <n v="2370.4499999999971"/>
    <n v="60000"/>
    <n v="62370.45"/>
    <s v=""/>
    <n v="62370.45"/>
    <n v="55985.120000000003"/>
    <n v="12340"/>
    <n v="3260"/>
    <x v="0"/>
    <x v="0"/>
    <n v="62370.45"/>
    <n v="-59110.45"/>
    <x v="10"/>
    <s v="FE"/>
    <n v="0"/>
    <s v="DURGA"/>
    <x v="5"/>
    <x v="0"/>
    <s v="7.17.60.Ebnizers.raj.bhavan 3rd.line.Srinagar ..3rd.line.Srinagar OPPOSITE A K SIGNS GUNTUR ANP 522002"/>
    <s v="MOMS.REHAB.SOLUTIONS MOMS.REHAB.SOLUTIONS KALYANAM.VARI.STREET..BESIDE.POLICE.STAT KALYANAM.VARI.STREET..BESIDE.POLICE.STAT GUNTUR ANP522002"/>
    <s v="GUNTUR"/>
    <x v="3"/>
    <x v="17"/>
    <s v="DURGA"/>
    <n v="801723195"/>
    <s v="Sgr@9290"/>
    <m/>
    <m/>
    <x v="0"/>
    <s v="LIVE"/>
    <s v="Customer given House address visited customer not available at given address shifted to another address going for working address // Customer given working address visited customer available given PTP today afternoon"/>
    <x v="12"/>
    <d v="2024-06-21T00:00:00"/>
    <n v="12134"/>
    <s v="Amazon Pay ICICI Bank Credit Card"/>
    <s v="1ST JUNE"/>
    <d v="2026-05-30T00:00:00"/>
  </r>
  <r>
    <s v="4315813401900004"/>
    <s v="MR Vankdoth Rana Prathap"/>
    <n v="0"/>
    <x v="0"/>
    <m/>
    <m/>
    <s v="N"/>
    <x v="9"/>
    <s v="9100591667"/>
    <s v="X"/>
    <n v="6109.43"/>
    <n v="55000"/>
    <n v="61109.43"/>
    <n v="2666.05"/>
    <n v="58443.38"/>
    <n v="52122.43"/>
    <n v="15270"/>
    <n v="4300"/>
    <x v="0"/>
    <x v="2"/>
    <n v="4300"/>
    <n v="0"/>
    <x v="1"/>
    <s v="LO"/>
    <s v="30501-BBPS Payment received"/>
    <s v="DURGA"/>
    <x v="5"/>
    <x v="0"/>
    <s v="31 3 545 6 Hanamkonda  Warangal Police Colony Komatipally WARANGAL TNG 506370"/>
    <s v="ADITYA BIRLA SUN LIFE INSURANCE CO LTD 4TH FLOOR MAIFAIR COMPLEX  BEGUMPET MAIFAIR COMPLEX  BEGUMPET HYDERABAD TNG500003"/>
    <s v="WARANGAL"/>
    <x v="1"/>
    <x v="2"/>
    <s v="CHAITANYA"/>
    <n v="802555024"/>
    <s v="Ssde@9290"/>
    <m/>
    <m/>
    <x v="0"/>
    <s v="MESS"/>
    <s v="Visited Customer Residence Customer Not Available Inform To His Father Sir // Visited Customer Given Adress Customer Not Available Inform To His Father Customer Call Answered Given Commitment Today Evining Sir"/>
    <x v="19"/>
    <d v="2024-08-02T00:00:00"/>
    <n v="100"/>
    <s v="Amazon Pay ICICI Bank Credit Card"/>
    <s v="1ST JUNE"/>
    <d v="2026-05-30T00:00:00"/>
  </r>
  <r>
    <s v="4315813787619004"/>
    <s v="MR Battu Swamy"/>
    <n v="0"/>
    <x v="0"/>
    <m/>
    <m/>
    <s v="N"/>
    <x v="9"/>
    <s v="8125146394"/>
    <s v="W"/>
    <n v="-20784.980000000003"/>
    <n v="80000"/>
    <n v="59215.02"/>
    <n v="36288.18"/>
    <n v="22926.84"/>
    <n v="21762.99"/>
    <n v="20590"/>
    <n v="10000"/>
    <x v="1"/>
    <x v="1"/>
    <n v="0"/>
    <n v="10000"/>
    <x v="1"/>
    <s v="NA"/>
    <n v="0"/>
    <s v="DURGA"/>
    <x v="5"/>
    <x v="0"/>
    <s v="13 163 YADAVA BAZAR YADAVA BAZAR HUZUR NAGAR SURYAPET TNG 508204"/>
    <s v="Oppo Mobiles India Pvt Ltd HNO 13 163 HUZUNAGAR  YADAV BAZER HUZUNAGAR  YADAV BAZER SURYAPET TNG508204"/>
    <s v="SURYAPET"/>
    <x v="1"/>
    <x v="34"/>
    <s v="INAMUL"/>
    <n v="802823175"/>
    <s v="Sgr@9290"/>
    <m/>
    <m/>
    <x v="0"/>
    <s v="LIVE"/>
    <s v="Customer not available at given address went outstation by phone call saying card not showing in app how can I pay clear me"/>
    <x v="12"/>
    <d v="2026-03-21T00:00:00"/>
    <n v="41000"/>
    <s v="Amazon Pay ICICI Bank Credit Card"/>
    <s v="1ST JUNE"/>
    <d v="2026-05-30T00:00:00"/>
  </r>
  <r>
    <s v="4315815594162003"/>
    <s v="MS Bada Naga Mani"/>
    <n v="0"/>
    <x v="0"/>
    <m/>
    <m/>
    <s v="N"/>
    <x v="9"/>
    <s v="7569374336"/>
    <s v="X"/>
    <n v="5985.8899999999994"/>
    <n v="50000"/>
    <n v="55985.89"/>
    <s v=""/>
    <n v="55985.89"/>
    <n v="49997.21"/>
    <n v="14780"/>
    <n v="5010"/>
    <x v="0"/>
    <x v="2"/>
    <n v="6000"/>
    <n v="-990"/>
    <x v="12"/>
    <s v="FE"/>
    <s v="30501-BBPS Payment received"/>
    <s v="DURGA"/>
    <x v="5"/>
    <x v="0"/>
    <s v=".. Ananthavarappadu.. VATTICHERUKURU  GUNTUR ANP 522017"/>
    <s v="VENKATA.RAJESH.POULTRY.FRAMS Ananthavarapaddu Poultry.frams. Poultry.frams. GUNTUR ANP522017"/>
    <s v="GUNTUR"/>
    <x v="3"/>
    <x v="17"/>
    <s v="DURGA"/>
    <n v="801723195"/>
    <s v="Sgr@9290"/>
    <m/>
    <m/>
    <x v="0"/>
    <s v="LIVE"/>
    <s v="CUSTOMER GIVEN HOUSE ADDRESS AND WORKING VISITED CUSTOMER LIVE WAITING FOR SALARY SAID THAT CALL BACK TOMORROW // Waiting for customer // Customer given ptp today afternoon"/>
    <x v="15"/>
    <d v="2026-01-11T00:00:00"/>
    <n v="3900"/>
    <s v="Amazon Pay ICICI Bank Credit Card"/>
    <s v="1ST JUNE"/>
    <d v="2026-05-30T00:00:00"/>
  </r>
  <r>
    <s v="4315814265918009"/>
    <s v="MR Mallemadugula Rama Sekhar"/>
    <n v="0"/>
    <x v="0"/>
    <m/>
    <m/>
    <s v="N"/>
    <x v="9"/>
    <s v="9493286858"/>
    <s v="X"/>
    <n v="4347.1399999999994"/>
    <n v="50000"/>
    <n v="54347.14"/>
    <s v=""/>
    <n v="54347.14"/>
    <n v="46995.94"/>
    <n v="14220"/>
    <n v="4750"/>
    <x v="0"/>
    <x v="0"/>
    <n v="15000"/>
    <n v="-10250"/>
    <x v="17"/>
    <s v="FE"/>
    <s v="30501-BBPS Payment received"/>
    <s v="DURGA"/>
    <x v="5"/>
    <x v="0"/>
    <s v="1.99 virawada pallapu.veedhi near saibaba temple KAKINADA ANP 533450"/>
    <s v="LALITHA.MEDICAL.DISTRIBUTIOR PALLAPU.VEEDHI.NEAR.SAIBABA.TEMPLE 1.99.VIRAWADA..SAI.BABA.TEMPLE. 1.99.VIRAWADA..SAI.BABA.TEMPLE. KAKINADA ANP533450"/>
    <s v="KAKINADA"/>
    <x v="0"/>
    <x v="16"/>
    <s v="UDAY"/>
    <n v="801436997"/>
    <s v="Ssd@9290"/>
    <m/>
    <m/>
    <x v="0"/>
    <s v="SKIP"/>
    <s v="Customer given address shift neighbour enquiry customer shift to pitapuram _x000a_Customer call response ptp on Saturday sir"/>
    <x v="12"/>
    <d v="2025-06-07T00:00:00"/>
    <n v="7300"/>
    <s v="Amazon Pay ICICI Bank Credit Card"/>
    <s v="1ST JUNE"/>
    <d v="2026-05-30T00:00:00"/>
  </r>
  <r>
    <s v="4315814959338001"/>
    <s v="MR Marisetty Thirumala Rao"/>
    <n v="0"/>
    <x v="0"/>
    <m/>
    <m/>
    <s v="N"/>
    <x v="9"/>
    <s v="8142588644"/>
    <s v="X"/>
    <n v="3837.9199999999983"/>
    <n v="50000"/>
    <n v="53837.919999999998"/>
    <n v="41364.39"/>
    <n v="12473.53"/>
    <n v="8586.85"/>
    <n v="12473.53"/>
    <n v="6082.14"/>
    <x v="0"/>
    <x v="0"/>
    <n v="12473.53"/>
    <n v="-6391.39"/>
    <x v="15"/>
    <s v="FE"/>
    <s v="30501-BBPS Payment received"/>
    <s v="DURGA"/>
    <x v="5"/>
    <x v="0"/>
    <s v="nagaram.palem.opp.stall.girls.high.schoo nagaram.palem.opp.stall.girls.high.schoo ..nagaram.palem.opp.stall.girls.high.sch 26-04-2019 GUNTUR ANP 522004"/>
    <s v="CHAITANYA.PACKAGINGS.PVT.LTD ARANDALPET GUNTUR. GUNTUR. GUNTUR ANP522002"/>
    <s v="GUNTUR"/>
    <x v="3"/>
    <x v="17"/>
    <s v="DURGA"/>
    <n v="801723195"/>
    <s v="Sgr@9290"/>
    <m/>
    <m/>
    <x v="0"/>
    <s v="DL"/>
    <s v="CUSTOMER GIVEN HOUSE ADDRESS VISITED BUT DOOR NUMBER NOT GIVEN CUSTOMER ADDRESS NOT FOUND NEED ALTERNATIVE ADDRESS  CUSTOMER MOBILE NUMBER NOT WORKING // CUSTOMER WORKING ADDRESS VISITED BUT CUSTOMER GIVEN WORKING PRESENT IN CONSTRUCTION NO ONE IS THERE NEED ALTERNATIVE ADDRESS // CUSTOMER GIVEN HOUSE ADDRESS VISITED BUT DOOR NUMBER NOT GIVEN CUSTOMER ADDRESS NOT FOUND AND CUSTOMER WORKING ADDRESS IN CONSTRUCTION PROCESS NEED ALTERNATIVE ADDRESS AND KYC DETAILS OF THIS CUSTOMER // CUSTOMER GIVEN HOUSE ADDRESS VISITED BUT CUSTOMER NOT AVAILABLE AT HOME ENQUIRED WITH FAMILY MEMBERS THEY GIVEN CUSTOMER NEW CONTACT NUMBER 76590 13311"/>
    <x v="19"/>
    <d v="2024-08-21T00:00:00"/>
    <n v="2398.9899999999998"/>
    <s v="Amazon Pay ICICI Bank Credit Card"/>
    <s v="1ST JUNE"/>
    <d v="2026-05-30T00:00:00"/>
  </r>
  <r>
    <s v="4315814376534000"/>
    <s v="MR Yaddanapudi Srividhya Nandha"/>
    <n v="0"/>
    <x v="0"/>
    <m/>
    <m/>
    <s v="N"/>
    <x v="9"/>
    <s v="9493171333"/>
    <s v="X"/>
    <n v="3244.8700000000026"/>
    <n v="50000"/>
    <n v="53244.87"/>
    <s v=""/>
    <n v="53244.87"/>
    <n v="46229.120000000003"/>
    <n v="13850"/>
    <n v="5200"/>
    <x v="1"/>
    <x v="1"/>
    <n v="0"/>
    <n v="5200"/>
    <x v="1"/>
    <s v="NA"/>
    <n v="0"/>
    <s v="DURGA"/>
    <x v="5"/>
    <x v="0"/>
    <s v="H.No.3.155 Devarapalli.Mandalam Gandhinagarm West Godavari West Godavari ANP 534313"/>
    <s v="SRI.TRADER GANDHINAGARAM SANGAYAGUDEM.POST.DEVARAPALLI.MANDAL SANGAYAGUDEM.POST.DEVARAPALLI.MANDAL West Godavari ANP534313"/>
    <s v="WEST GODAVARI"/>
    <x v="0"/>
    <x v="13"/>
    <s v="MANIKANTA"/>
    <n v="802852449"/>
    <s v="Ssd@9290"/>
    <m/>
    <m/>
    <x v="0"/>
    <s v="SKIP"/>
    <s v="Custmor go to Australia"/>
    <x v="15"/>
    <d v="2024-06-22T00:00:00"/>
    <n v="35650"/>
    <s v="Amazon Pay ICICI Bank Credit Card"/>
    <s v="1ST JUNE"/>
    <d v="2026-05-30T00:00:00"/>
  </r>
  <r>
    <s v="4315814903386007"/>
    <s v="MR Valluri Dinesh Raju"/>
    <n v="0"/>
    <x v="0"/>
    <m/>
    <m/>
    <s v="N"/>
    <x v="9"/>
    <s v="8074679426"/>
    <s v="X"/>
    <n v="2501.0599999999977"/>
    <n v="50000"/>
    <n v="52501.06"/>
    <s v=""/>
    <n v="52501.06"/>
    <n v="45725.89"/>
    <n v="11970"/>
    <n v="3960"/>
    <x v="0"/>
    <x v="2"/>
    <n v="4000"/>
    <n v="-40"/>
    <x v="10"/>
    <s v="TC"/>
    <n v="0"/>
    <s v="DURGA"/>
    <x v="5"/>
    <x v="0"/>
    <s v="2.11.1 akiveedu.mandalam christian.peta near cheruvu BHIMAVARAM ANP 534235"/>
    <s v="VISSION.PHOTOGRAPHY CHANDRAGIRI. TIRUPATI.. TIRUPATI.. TIRUPATHI ANP517101"/>
    <s v="TIRUPATHI"/>
    <x v="0"/>
    <x v="0"/>
    <s v="B NAGABABU"/>
    <n v="801448854"/>
    <s v="Sgr@9290"/>
    <m/>
    <m/>
    <x v="0"/>
    <m/>
    <m/>
    <x v="10"/>
    <d v="2025-08-27T00:00:00"/>
    <n v="3890"/>
    <s v="Amazon Pay ICICI Bank Credit Card"/>
    <s v="1ST JUNE"/>
    <d v="2026-05-30T00:00:00"/>
  </r>
  <r>
    <s v="4315814140591005"/>
    <s v="MR BOGARAM RAJASHEKAR"/>
    <n v="0"/>
    <x v="0"/>
    <m/>
    <m/>
    <s v="N"/>
    <x v="9"/>
    <s v="7893556964"/>
    <s v="X"/>
    <n v="32485.39"/>
    <n v="20000"/>
    <n v="52485.39"/>
    <s v=""/>
    <n v="52485.39"/>
    <n v="47085.56"/>
    <n v="38620"/>
    <n v="28090"/>
    <x v="1"/>
    <x v="1"/>
    <n v="0"/>
    <n v="28090"/>
    <x v="1"/>
    <s v="NA"/>
    <n v="0"/>
    <s v="DURGA"/>
    <x v="5"/>
    <x v="0"/>
    <s v="4-33 AROOR VALIGONDA YADHADRE BHONGIR TELANGA RENUKA YELLAMMA TEMPLE NALGONDA TNG 508112"/>
    <s v="JOHNDEVERE TRACTOR SHOWROOM VILLAGE AND MANDAL VALIGONDA DIST YADADRI BHUVANAGIRI STATE TELANGAN DIST YADADRI BHUVANAGIRI STATE TELANGAN NALGONDA TNG508112"/>
    <s v="NALGONDA"/>
    <x v="1"/>
    <x v="18"/>
    <s v="INAMUL"/>
    <n v="802823175"/>
    <s v="Sgr@9290"/>
    <m/>
    <m/>
    <x v="0"/>
    <s v="LIVE"/>
    <s v="Customer Adress visit and customer prasent in office valigonda and customer call Answer and customer not intrested to paid, Customer Limit decreased so Customer asked settlement"/>
    <x v="14"/>
    <d v="2025-04-22T00:00:00"/>
    <n v="1000"/>
    <s v="Amazon Pay ICICI Bank Credit Card"/>
    <s v="1ST JUNE"/>
    <d v="2026-05-30T00:00:00"/>
  </r>
  <r>
    <s v="4315812976597005"/>
    <s v="MR Golla Sarat Kumar"/>
    <n v="0"/>
    <x v="0"/>
    <m/>
    <m/>
    <s v="N"/>
    <x v="9"/>
    <s v="9490497801"/>
    <s v="X"/>
    <n v="1874.4800000000032"/>
    <n v="50000"/>
    <n v="51874.48"/>
    <s v=""/>
    <n v="51874.48"/>
    <n v="45113.84"/>
    <n v="11330"/>
    <n v="3970"/>
    <x v="0"/>
    <x v="2"/>
    <n v="6000"/>
    <n v="-2030"/>
    <x v="1"/>
    <s v="D"/>
    <s v="30501-BBPS Payment received"/>
    <s v="DURGA"/>
    <x v="5"/>
    <x v="0"/>
    <s v="VENKAYYA NAIDU STREET BESIDE SBI MAIN BRANCH RKS ROSEMILK MSS PLAZA BHIMAVARAM BHIMAVARAM ANP 534201"/>
    <s v="INVENTURUS KNOWLEDGE SOLUTIONS &quot;IKS HEALTH PVT LTD, BLOCK-1&quot; &quot;11TH FLOOR, UPPAL MAIN RD,UPPAL DIST, HY&quot; &quot;11TH FLOOR, UPPAL MAIN RD,UPPAL DIST, HY&quot; HYDERABAD TNG500039"/>
    <s v="BHIMAVARAM"/>
    <x v="0"/>
    <x v="0"/>
    <s v="B NAGABABU"/>
    <n v="801448854"/>
    <s v="Sgr@9290"/>
    <m/>
    <m/>
    <x v="0"/>
    <m/>
    <m/>
    <x v="10"/>
    <d v="2024-08-01T00:00:00"/>
    <n v="6000"/>
    <s v="Amazon Pay ICICI Bank Credit Card"/>
    <s v="1ST JUNE"/>
    <d v="2026-05-30T00:00:00"/>
  </r>
  <r>
    <s v="4315814536823004"/>
    <s v="MR Pasupuleti Mohan Teja"/>
    <n v="0"/>
    <x v="0"/>
    <m/>
    <m/>
    <s v="N"/>
    <x v="9"/>
    <s v="9629668688"/>
    <s v="X"/>
    <n v="-18569.14"/>
    <n v="70000"/>
    <n v="51430.86"/>
    <s v=""/>
    <n v="51430.86"/>
    <n v="45755.6"/>
    <n v="8390"/>
    <n v="2740"/>
    <x v="0"/>
    <x v="2"/>
    <n v="2740"/>
    <n v="0"/>
    <x v="12"/>
    <s v="TC"/>
    <s v="30501-BBPS Payment received"/>
    <s v="DURGA"/>
    <x v="5"/>
    <x v="2"/>
    <s v="16.2.24.3 POORNANANDAM.PETA LAKSHMANA.RAO.STREET Krishna VIJAYAWADA ANP 520003"/>
    <s v="LORRY.OFFICE 16.2.24.3.PURNANANDAMPET LAXMANA.RAO.STREET. LAXMANA.RAO.STREET. VIJAYAWADA ANP520003"/>
    <s v="VIJAYAWADA"/>
    <x v="0"/>
    <x v="22"/>
    <s v="SUDHAKAR"/>
    <n v="802913252"/>
    <s v="Ssd@9290"/>
    <m/>
    <m/>
    <x v="0"/>
    <s v="LIVE"/>
    <s v="Customer ptp today eod"/>
    <x v="16"/>
    <d v="2025-06-30T00:00:00"/>
    <n v="49998"/>
    <s v="Amazon Pay ICICI Bank Credit Card"/>
    <s v="1ST JUNE"/>
    <d v="2026-05-30T00:00:00"/>
  </r>
  <r>
    <s v="4315814585635002"/>
    <s v="MR MannuruNanda Kishore Reddy"/>
    <n v="0"/>
    <x v="0"/>
    <m/>
    <m/>
    <s v="N"/>
    <x v="9"/>
    <s v="8688501985"/>
    <s v="X"/>
    <n v="3739.1100000000006"/>
    <n v="47000"/>
    <n v="50739.11"/>
    <n v="15768.59"/>
    <n v="34970.519999999997"/>
    <n v="29285.7"/>
    <n v="14750"/>
    <n v="7810"/>
    <x v="0"/>
    <x v="0"/>
    <n v="34970.519999999997"/>
    <n v="-27160.519999999997"/>
    <x v="1"/>
    <s v="D"/>
    <s v="30501-BBPS Payment received"/>
    <s v="DURGA"/>
    <x v="5"/>
    <x v="0"/>
    <s v="3.23 lakshmi.puram ..lakshmi.puram Cuddapah CUDDAPAH ANP 516104"/>
    <s v="GOVERNMENT.OF.ANDHRA.PRADESH Chitvel..2.Secreateriat Main.road. Main.road. CUDDAPAH ANP516104"/>
    <s v="CUDDAPAH"/>
    <x v="2"/>
    <x v="5"/>
    <s v="PAVAN"/>
    <n v="802823180"/>
    <s v="Sgr@9290"/>
    <m/>
    <m/>
    <x v="0"/>
    <m/>
    <m/>
    <x v="10"/>
    <d v="2024-12-06T00:00:00"/>
    <n v="6985"/>
    <s v="Amazon Pay ICICI Bank Credit Card"/>
    <s v="1ST JUNE"/>
    <d v="2026-05-30T00:00:00"/>
  </r>
  <r>
    <s v="4315813720224003"/>
    <s v="MR GUVVALA VENKATESWARLU"/>
    <n v="0"/>
    <x v="0"/>
    <m/>
    <m/>
    <s v="N"/>
    <x v="9"/>
    <s v="9492626818"/>
    <s v="X"/>
    <n v="230.94999999999709"/>
    <n v="50000"/>
    <n v="50230.95"/>
    <n v="12745.22"/>
    <n v="37485.730000000003"/>
    <n v="32434.77"/>
    <n v="10180"/>
    <n v="4060"/>
    <x v="0"/>
    <x v="2"/>
    <n v="5000"/>
    <n v="-940"/>
    <x v="19"/>
    <s v="FE"/>
    <s v="30501-BBPS Payment received"/>
    <s v="DURGA"/>
    <x v="5"/>
    <x v="0"/>
    <s v="5 30 GANDLA BAZAR GANDLA BAZAR DAMERACHERLA POST SURYAPET TNG 508355"/>
    <s v="GOVERNMENT SCHOOL THALLA VEERAPPA GUDEM UPS THALLA VEERAPPA GUDEM MANDAL DAMARACHELA  DISTRICT NALGONDA MANDAL DAMARACHELA  DISTRICT NALGONDA SURYAPET TNG508355"/>
    <s v="SURYAPET"/>
    <x v="1"/>
    <x v="34"/>
    <s v="INAMUL"/>
    <n v="802823175"/>
    <s v="Sgr@9290"/>
    <m/>
    <m/>
    <x v="0"/>
    <s v="LIVE"/>
    <s v="Customer not available at given address by phone call given PTP on 6th"/>
    <x v="12"/>
    <d v="2025-10-31T00:00:00"/>
    <n v="9030"/>
    <s v="Amazon Pay ICICI Bank Credit Card"/>
    <s v="1ST JUNE"/>
    <d v="2026-05-30T00:00:00"/>
  </r>
  <r>
    <s v="4315813998001000"/>
    <s v="MR GODDUMARRI SATYA NARAYANA"/>
    <n v="0"/>
    <x v="0"/>
    <m/>
    <s v="CC"/>
    <s v="O"/>
    <x v="9"/>
    <s v="8340031680"/>
    <s v="Y"/>
    <n v="-69939.31"/>
    <n v="120000"/>
    <n v="50060.69"/>
    <s v=""/>
    <n v="50060.69"/>
    <n v="47799.83"/>
    <n v="7220"/>
    <n v="4620"/>
    <x v="1"/>
    <x v="1"/>
    <n v="0"/>
    <n v="4620"/>
    <x v="1"/>
    <s v="NA"/>
    <n v="0"/>
    <s v="DURGA"/>
    <x v="5"/>
    <x v="0"/>
    <s v="3.342.YMR.COLONY.YMR.COLONY  ..  PRODDATUR ANP 516360"/>
    <s v="Kvs.fast.foods 11.224.1 Acharla.colony Acharla.colony PRODDATUR ANP516360"/>
    <s v="PRODDATUR"/>
    <x v="2"/>
    <x v="31"/>
    <s v="POORNIMA"/>
    <n v="802824019"/>
    <s v="Nihan@2421"/>
    <m/>
    <m/>
    <x v="1"/>
    <m/>
    <m/>
    <x v="10"/>
    <d v="2024-07-24T00:00:00"/>
    <n v="6600"/>
    <s v="Amazon Pay ICICI Bank Credit Card"/>
    <s v="1ST JUNE"/>
    <d v="2026-05-30T00:00:00"/>
  </r>
  <r>
    <s v="4200490045247015"/>
    <s v="Ms. NEELAPALA  DHANANJANEYULU"/>
    <n v="0"/>
    <x v="0"/>
    <m/>
    <m/>
    <s v="N"/>
    <x v="10"/>
    <s v="9059996585"/>
    <s v="X"/>
    <n v="2283.5200000000041"/>
    <n v="100000"/>
    <n v="102283.52"/>
    <n v="53905.79"/>
    <n v="48377.73"/>
    <n v="42774.45"/>
    <n v="48377.73"/>
    <n v="38924.230000000003"/>
    <x v="0"/>
    <x v="0"/>
    <n v="48377.73"/>
    <n v="-9453.5"/>
    <x v="1"/>
    <s v="D"/>
    <s v="30501-BBPS Payment received"/>
    <s v="SAMBA"/>
    <x v="1"/>
    <x v="0"/>
    <s v="&quot;PLOT NO 273,S NO 164,SHANTHI NAGAR,ANANTAPUR&quot;    ANT ANP 515001 "/>
    <s v="&quot;PLOT NO 273,S NO 164,SHANTHI NAGAR,ANANTAPUR&quot;    ANT ANP 515001 "/>
    <s v="ANAPARTHI"/>
    <x v="2"/>
    <x v="26"/>
    <s v="T SRINIVAS"/>
    <n v="802030802"/>
    <s v="Sgr@0987"/>
    <m/>
    <m/>
    <x v="0"/>
    <s v="SKIP"/>
    <s v="Customer address not found _x000a_Customer phone PTP on 1hour"/>
    <x v="15"/>
    <d v="2025-12-31T00:00:00"/>
    <n v="30480.26"/>
    <s v="ICICI Bank Business Blue Advantage Card"/>
    <s v="5TH JUNE"/>
    <d v="2026-05-31T00:00:00"/>
  </r>
  <r>
    <s v="4035625797223000"/>
    <s v="MR SHAIK BASHA"/>
    <n v="0"/>
    <x v="0"/>
    <m/>
    <m/>
    <s v="N"/>
    <x v="11"/>
    <s v="9703542905"/>
    <s v="X"/>
    <n v="47106.289999999979"/>
    <n v="450000"/>
    <n v="497106.29"/>
    <s v=""/>
    <n v="497106.29"/>
    <n v="446877"/>
    <n v="116240"/>
    <n v="51060"/>
    <x v="1"/>
    <x v="1"/>
    <n v="0"/>
    <n v="51060"/>
    <x v="1"/>
    <s v="NA"/>
    <n v="0"/>
    <s v="DURGA"/>
    <x v="0"/>
    <x v="0"/>
    <s v="&quot;2-2,PENUMARRU NEAR SAI BABA,TEMPLE,&quot; &quot;PENUMARRU POST,VEMURU&quot;   GUNTUR ANP 522261 "/>
    <s v="&quot;2-2,PENUMARRU NEAR SAI BABA,TEMPLE,&quot; &quot;PENUMARRU POST,VEMURU&quot;   GUNTUR ANP 522261 "/>
    <s v="GUNTUR"/>
    <x v="3"/>
    <x v="9"/>
    <s v="DURGA"/>
    <n v="801723195"/>
    <s v="Sgr@9290"/>
    <m/>
    <m/>
    <x v="0"/>
    <s v="SKIP"/>
    <s v="Ch not living in giving address mobile  switch off asking his vaddina said living in guntur"/>
    <x v="15"/>
    <d v="2026-03-31T00:00:00"/>
    <n v="50000"/>
    <s v="ICICI Bank Instant  Platinum Chip Credit Card"/>
    <s v="3RD JUNE"/>
    <d v="2026-06-01T00:00:00"/>
  </r>
  <r>
    <s v="4748464711956000"/>
    <s v="MR DHOOMPETTI SACHIN"/>
    <n v="0"/>
    <x v="0"/>
    <m/>
    <m/>
    <s v="N"/>
    <x v="11"/>
    <s v="9059107457"/>
    <s v="X"/>
    <n v="27215.200000000012"/>
    <n v="300000"/>
    <n v="327215.2"/>
    <s v=""/>
    <n v="327215.2"/>
    <n v="295214.58"/>
    <n v="87990"/>
    <n v="22775.06"/>
    <x v="0"/>
    <x v="0"/>
    <n v="327215.2"/>
    <n v="-304440.14"/>
    <x v="10"/>
    <s v="FE"/>
    <s v="30501-BBPS Payment received"/>
    <s v="SAMBA"/>
    <x v="1"/>
    <x v="0"/>
    <s v="2-98/1 KUBEER PARDI K PARDI K ADILABAD TNG 504103 "/>
    <s v="YASH TECHNOLOGIES PRIVATE LIMITED &quot;RAHEJA IT PARK ,BULDING 20,RABEJA MIND&quot; &quot;HUDA TECHNO ENCLAVE,HITEC CITY&quot; &quot;HUDA TECHNO ENCLAVE,HITEC CITY&quot; HYDERABAD TNG 500081 "/>
    <s v="ADILABAD"/>
    <x v="1"/>
    <x v="35"/>
    <s v="KANTH"/>
    <n v="802794852"/>
    <s v="Ssd@9290"/>
    <m/>
    <m/>
    <x v="0"/>
    <m/>
    <m/>
    <x v="10"/>
    <d v="2026-04-14T00:00:00"/>
    <n v="99999"/>
    <s v="Chennai Super Kings ICICI Bank Credit Card"/>
    <s v="3RD JUNE"/>
    <d v="2026-06-01T00:00:00"/>
  </r>
  <r>
    <s v="4748469525259004"/>
    <s v="MR VANEE KONASANI"/>
    <n v="0"/>
    <x v="0"/>
    <m/>
    <m/>
    <s v="N"/>
    <x v="11"/>
    <s v="9246666996"/>
    <s v="X"/>
    <n v="-24751.48000000001"/>
    <n v="220000"/>
    <n v="195248.52"/>
    <n v="130987.18"/>
    <n v="64261.34"/>
    <n v="52931.23"/>
    <n v="42660"/>
    <n v="21260"/>
    <x v="1"/>
    <x v="1"/>
    <n v="0"/>
    <n v="21260"/>
    <x v="1"/>
    <s v="NA"/>
    <s v="12111-ICICI BANK COLLECTION PAYMENT"/>
    <s v="SAMBA"/>
    <x v="4"/>
    <x v="2"/>
    <s v="&quot;2/123,SHREENAGAR COLONY,&quot; STATE BANK OF INDIA OLD ROAD   GANNAVARAM ANP 521101 "/>
    <s v="Not Applicable 2-123 Srinagar Colony Srinagar Colony KRISHNA ANP 521101 "/>
    <s v="VIJAYAWADA"/>
    <x v="0"/>
    <x v="22"/>
    <s v="SUDHAKAR"/>
    <n v="802913252"/>
    <s v="Ssd@9290"/>
    <m/>
    <m/>
    <x v="0"/>
    <s v="DL"/>
    <s v="Customer address door locked _x000a_Calls not respondin"/>
    <x v="18"/>
    <d v="2026-04-04T00:00:00"/>
    <n v="687"/>
    <s v="ICICI Bank Expressions Credit Card"/>
    <s v="3RD JUNE"/>
    <d v="2026-06-01T00:00:00"/>
  </r>
  <r>
    <s v="4035625838039001"/>
    <s v="MR BANDARU REDDY"/>
    <n v="0"/>
    <x v="0"/>
    <m/>
    <m/>
    <s v="N"/>
    <x v="11"/>
    <s v="9505379508"/>
    <s v="X"/>
    <n v="7874.7600000000093"/>
    <n v="153000"/>
    <n v="160874.76"/>
    <s v=""/>
    <n v="160874.76"/>
    <n v="146112.46"/>
    <n v="31210"/>
    <n v="8400"/>
    <x v="0"/>
    <x v="2"/>
    <n v="8500"/>
    <n v="-100"/>
    <x v="18"/>
    <s v="TC"/>
    <s v="12124 - UPI Payment Received"/>
    <s v="SAMBA"/>
    <x v="1"/>
    <x v="0"/>
    <s v="&quot;2-5,GADDAMPALLE,GADDAMPALLE,GADDAMPALLE&quot;    MAHABUB NAGAR TNG 509385 "/>
    <s v="&quot;2-5,GADDAMPALLE,GADDAMPALLE,GADDAMPALLE&quot;    MAHABUB NAGAR TNG 509385 "/>
    <s v="WANAPARTHY"/>
    <x v="1"/>
    <x v="23"/>
    <s v="SAMBA"/>
    <n v="801772794"/>
    <s v="Ssde@9876"/>
    <m/>
    <m/>
    <x v="0"/>
    <m/>
    <m/>
    <x v="10"/>
    <d v="2026-04-02T00:00:00"/>
    <n v="35000"/>
    <s v="ICICI Bank Instant  Platinum Chip Credit Card"/>
    <s v="3RD JUNE"/>
    <d v="2026-06-01T00:00:00"/>
  </r>
  <r>
    <s v="4035625754932007"/>
    <s v="MRS CHITYALA RAJAMANI"/>
    <n v="0"/>
    <x v="0"/>
    <m/>
    <m/>
    <s v="N"/>
    <x v="11"/>
    <s v="9849687815"/>
    <s v="X"/>
    <n v="6961.5500000000029"/>
    <n v="90000"/>
    <n v="96961.55"/>
    <n v="76087.31"/>
    <n v="20874.240000000002"/>
    <n v="13904.69"/>
    <n v="20874.240000000002"/>
    <n v="10617.26"/>
    <x v="0"/>
    <x v="0"/>
    <n v="20874.240000000002"/>
    <n v="-10256.980000000001"/>
    <x v="1"/>
    <s v="D"/>
    <s v="30501-BBPS Payment received"/>
    <s v="SAMBA"/>
    <x v="1"/>
    <x v="1"/>
    <s v="&quot;2-92/5 BURGUPALLY,BURGUPALLY,HAVELLIGHANPUR,&quot; MANDALAM BURUGUPALLE   MEDAK TNG 502113 "/>
    <s v="&quot;2-92/5 BURGUPALLY,BURGUPALLY,HAVELLIGHANPUR,&quot; MANDALAM BURUGUPALLE   MEDAK TNG 502113 "/>
    <s v="MEDAK"/>
    <x v="1"/>
    <x v="37"/>
    <s v="RAJKUMAR"/>
    <n v="802835406"/>
    <s v="Ssde@9290"/>
    <m/>
    <m/>
    <x v="0"/>
    <m/>
    <m/>
    <x v="10"/>
    <d v="2026-01-02T00:00:00"/>
    <n v="31719.99"/>
    <s v="ICICI Bank Instant  Platinum Chip Credit Card"/>
    <s v="3RD JUNE"/>
    <d v="2026-06-01T00:00:00"/>
  </r>
  <r>
    <s v="4035625829849004"/>
    <s v="MR MODDUNAGALLA RAVINDRA"/>
    <n v="0"/>
    <x v="0"/>
    <m/>
    <m/>
    <s v="N"/>
    <x v="11"/>
    <s v="9739959847"/>
    <s v="X"/>
    <n v="4961.2100000000064"/>
    <n v="90000"/>
    <n v="94961.21"/>
    <n v="24174.07"/>
    <n v="70787.14"/>
    <n v="65101.46"/>
    <n v="30970"/>
    <n v="5310"/>
    <x v="0"/>
    <x v="2"/>
    <n v="5320"/>
    <n v="-10"/>
    <x v="13"/>
    <s v="TC"/>
    <s v="12124 - UPI Payment Received"/>
    <s v="SAMBA"/>
    <x v="4"/>
    <x v="0"/>
    <s v="&quot;2/32-B,MUCH MARRI,MUCHHU MARRI&quot;    CUDDAPAH ANP 516444 "/>
    <s v="&quot;2/32-B,MUCH MARRI,MUCHHU MARRI&quot;    CUDDAPAH ANP 516444 "/>
    <s v="PRODDATUR"/>
    <x v="2"/>
    <x v="31"/>
    <s v="POORNIMA"/>
    <n v="802824019"/>
    <s v="Nihan@2421"/>
    <m/>
    <m/>
    <x v="0"/>
    <m/>
    <m/>
    <x v="10"/>
    <d v="2026-04-01T00:00:00"/>
    <n v="9467"/>
    <s v="ICICI Bank Instant  Platinum Chip Credit Card"/>
    <s v="3RD JUNE"/>
    <d v="2026-06-01T00:00:00"/>
  </r>
  <r>
    <s v="4035625046164021"/>
    <s v="MR LINGAM BHUSHANAM"/>
    <n v="0"/>
    <x v="0"/>
    <m/>
    <m/>
    <s v="N"/>
    <x v="11"/>
    <s v="9182425361"/>
    <s v="X"/>
    <n v="1034.0299999999988"/>
    <n v="90000"/>
    <n v="91034.03"/>
    <s v=""/>
    <n v="91034.03"/>
    <n v="82317.440000000002"/>
    <n v="19990"/>
    <n v="9813.34"/>
    <x v="0"/>
    <x v="2"/>
    <n v="10572"/>
    <n v="-758.65999999999985"/>
    <x v="1"/>
    <s v="D"/>
    <s v="30501-BBPS Payment received"/>
    <s v="SAMBA"/>
    <x v="1"/>
    <x v="2"/>
    <s v="16-483 FLAT NO 405 PORANKI NIDAMANURU ROAD BLK-B SRI VENKATRAM AVENUE  OPP INDIAN OIL BUNK VIJAYAWADA ANP 521137 "/>
    <s v="&quot;FLATNO 405 BLOCK -BJ,VENKATARAM AVENUE,&quot; &quot;PORANKI,NIDDAMANURU RD&quot;   KRISHNA ANP 521137 "/>
    <s v="VIJAYAWADA"/>
    <x v="0"/>
    <x v="22"/>
    <s v="SUDHAKAR"/>
    <n v="802913252"/>
    <s v="Ssd@9290"/>
    <m/>
    <m/>
    <x v="0"/>
    <s v="DL"/>
    <s v="Customer address door locked _x000a_Calls not responding // Customer paid short payment 4500/- _x000a_Remaining By tomorrow eod"/>
    <x v="15"/>
    <d v="2026-05-06T00:00:00"/>
    <n v="1526.66"/>
    <s v="ICICI Bank Instant  Platinum Chip Credit Card"/>
    <s v="3RD JUNE"/>
    <d v="2026-06-01T00:00:00"/>
  </r>
  <r>
    <s v="4748464742584003"/>
    <s v="MR DOMMETI MANIKANTA SAI"/>
    <n v="0"/>
    <x v="0"/>
    <m/>
    <m/>
    <s v="N"/>
    <x v="11"/>
    <s v="9603979909"/>
    <s v="X"/>
    <n v="5666.3399999999965"/>
    <n v="80000"/>
    <n v="85666.34"/>
    <n v="33380.300000000003"/>
    <n v="52286.04"/>
    <n v="45813.82"/>
    <n v="15760"/>
    <n v="6440"/>
    <x v="0"/>
    <x v="0"/>
    <n v="15760"/>
    <n v="-9320"/>
    <x v="1"/>
    <s v="D"/>
    <n v="0"/>
    <s v="SAMBA"/>
    <x v="4"/>
    <x v="0"/>
    <s v="1-62 DONTIKURRU DONTIKURRU MARIDAMMA GUDI AMALAPURAM ANP 533212 "/>
    <s v="GOVERNMENT OF ANDHRA PRADESH S NO 172 SAVARAPPALEM VILLAGE SACHIVALAY M AMALAPURAM MANDAL WEST GODAVARI M AMALAPURAM MANDAL WEST GODAVARI AMALAPURAM ANP 533213 "/>
    <s v="AMALAPURAM"/>
    <x v="0"/>
    <x v="25"/>
    <s v="B NAGABABU"/>
    <n v="801448854"/>
    <s v="Sgr@9290"/>
    <m/>
    <m/>
    <x v="0"/>
    <m/>
    <m/>
    <x v="10"/>
    <d v="2026-03-12T00:00:00"/>
    <n v="5710"/>
    <s v="ICICI Bank Sapphiro Visa Credit Card"/>
    <s v="3RD JUNE"/>
    <d v="2026-06-01T00:00:00"/>
  </r>
  <r>
    <s v="5241933866214000"/>
    <s v="MR DUPATI SUINIRAN GOUD"/>
    <n v="0"/>
    <x v="0"/>
    <m/>
    <m/>
    <s v="N"/>
    <x v="11"/>
    <s v="9908017834"/>
    <s v="X"/>
    <n v="1249.8899999999994"/>
    <n v="60000"/>
    <n v="61249.89"/>
    <n v="44501.99"/>
    <n v="16747.900000000001"/>
    <n v="13114.68"/>
    <n v="12100"/>
    <n v="5140"/>
    <x v="1"/>
    <x v="1"/>
    <n v="0"/>
    <n v="5140"/>
    <x v="1"/>
    <s v="NA"/>
    <n v="0"/>
    <s v="SAMBA"/>
    <x v="1"/>
    <x v="0"/>
    <s v="&quot;KACHARAM YADAGIRI GUTTA,MANDALAM,-,-,KACHARAM&quot; - NALGONDA - NALGONDA TNG 508115 "/>
    <s v="FACTSET SYSTEM INDIA PVT LTD DIVYAJREE SEZ NSL ORION BLOCK NO 4 MADUVRA NAGAR COLONY GOCHIBOWLI MADUVRA NAGAR COLONY GOCHIBOWLI Rangareddy TNG 500032 "/>
    <s v="NALGONDA"/>
    <x v="1"/>
    <x v="18"/>
    <s v="INAMUL"/>
    <n v="802823175"/>
    <s v="Sgr@9290"/>
    <m/>
    <m/>
    <x v="0"/>
    <s v="DL"/>
    <s v="Customer adress visit and Customer prasent not in home and home lock and customer living in hyderabd calls not connected"/>
    <x v="20"/>
    <d v="2025-06-30T00:00:00"/>
    <n v="6285.38"/>
    <s v="ICICI Bank MasterCard  Platinum chip Credit Card"/>
    <s v="3RD JUNE"/>
    <d v="2026-06-01T00:00:00"/>
  </r>
  <r>
    <s v="4035625544284008"/>
    <s v="MR RAYAVARAPU MOHAN"/>
    <n v="0"/>
    <x v="0"/>
    <m/>
    <m/>
    <s v="N"/>
    <x v="11"/>
    <s v="9641999995"/>
    <s v="X"/>
    <n v="4275.7099999999991"/>
    <n v="56970"/>
    <n v="61245.71"/>
    <n v="19406.86"/>
    <n v="41838.85"/>
    <n v="36891.449999999997"/>
    <n v="23600"/>
    <n v="11800"/>
    <x v="1"/>
    <x v="1"/>
    <n v="0"/>
    <n v="11800"/>
    <x v="1"/>
    <s v="NA"/>
    <n v="0"/>
    <s v="SAMBA"/>
    <x v="4"/>
    <x v="0"/>
    <s v="&quot;00,RAMAPURAM BC COLONY,.,DAMANCHERLA&quot;    NELLORE ANP 524227 "/>
    <s v="&quot;00,RAMAPURAM BC COLONY,.,DAMANCHERLA&quot;    NELLORE ANP 524227 "/>
    <s v="NELLORE"/>
    <x v="4"/>
    <x v="12"/>
    <s v="B SURESH"/>
    <n v="801570488"/>
    <s v="Ssd@9290"/>
    <m/>
    <m/>
    <x v="1"/>
    <m/>
    <m/>
    <x v="10"/>
    <d v="2025-03-23T00:00:00"/>
    <n v="32423.31"/>
    <s v="ICICI Bank Instant  Platinum Chip Credit Card"/>
    <s v="3RD JUNE"/>
    <d v="2026-06-01T00:00:00"/>
  </r>
  <r>
    <s v="4035625752459003"/>
    <s v="MR PALA KUMAR"/>
    <n v="0"/>
    <x v="0"/>
    <m/>
    <m/>
    <s v="N"/>
    <x v="11"/>
    <s v="8096640969"/>
    <s v="X"/>
    <n v="4678.5899999999965"/>
    <n v="47700"/>
    <n v="52378.59"/>
    <s v=""/>
    <n v="52378.59"/>
    <n v="47554.6"/>
    <n v="13800"/>
    <n v="7760"/>
    <x v="1"/>
    <x v="1"/>
    <n v="0"/>
    <n v="7760"/>
    <x v="1"/>
    <s v="NA"/>
    <s v="30501-BBPS Payment received"/>
    <s v="SAMBA"/>
    <x v="1"/>
    <x v="0"/>
    <s v="&quot;H NO,1-86 KOYYALAGUDEM MANDAL,MAINROAD,&quot; VEDANTHAPURAM   WEST GODAVARI ANP 534312 "/>
    <s v="&quot;H NO,1-86 KOYYALAGUDEM MANDAL,MAINROAD,&quot; VEDANTHAPURAM   WEST GODAVARI ANP 534312 "/>
    <s v="ELURU"/>
    <x v="0"/>
    <x v="32"/>
    <s v="BHARAT CHANDRA"/>
    <n v="802631601"/>
    <s v="Ssde@9290"/>
    <m/>
    <m/>
    <x v="1"/>
    <m/>
    <m/>
    <x v="10"/>
    <d v="2026-03-05T00:00:00"/>
    <n v="45314.61"/>
    <s v="ICICI Bank Instant  Platinum Chip Credit Card"/>
    <s v="3RD JUNE"/>
    <d v="2026-06-01T00:00:00"/>
  </r>
  <r>
    <s v="5241939520950004"/>
    <s v="MR RANAPRATHAP MUGALA"/>
    <n v="0"/>
    <x v="0"/>
    <m/>
    <m/>
    <s v="N"/>
    <x v="12"/>
    <s v="7993803961"/>
    <s v="X"/>
    <n v="146719.52000000002"/>
    <n v="2500000"/>
    <n v="2646719.52"/>
    <s v=""/>
    <n v="2646719.52"/>
    <n v="2426066.83"/>
    <n v="511810"/>
    <n v="175910"/>
    <x v="0"/>
    <x v="0"/>
    <n v="511810"/>
    <n v="-335900"/>
    <x v="1"/>
    <s v="D"/>
    <s v="12111-ICICI BANK COLLECTION PAYMENT"/>
    <s v="SAMBA"/>
    <x v="3"/>
    <x v="1"/>
    <s v="SUBHASHNAGAR 11-1-1682 NIZAMABAD NEAR SUBHASHNAGAR NIZAMABAD TNG 503002 "/>
    <s v="MS R K GARO INDUSTRIES SY NO.22/F BICHKUNDA MENOOR DONGLI MANDA NIZAMABAD NIZAMABAD NIZAMABAD TNG 503309 "/>
    <s v="NIZAMABAD"/>
    <x v="1"/>
    <x v="20"/>
    <s v="D RAMU"/>
    <n v="802663344"/>
    <s v="Sgr@9290"/>
    <m/>
    <m/>
    <x v="0"/>
    <s v="LIVE"/>
    <s v="customer paymet on 10date"/>
    <x v="14"/>
    <d v="2026-04-04T00:00:00"/>
    <n v="250000"/>
    <s v="ICICI Bank Coral RuPay Credit Card"/>
    <s v="3RD JUNE"/>
    <d v="2026-06-02T00:00:00"/>
  </r>
  <r>
    <s v="5241939387019000"/>
    <s v="MR MODALA ABHIRAM"/>
    <n v="0"/>
    <x v="0"/>
    <m/>
    <m/>
    <s v="N"/>
    <x v="12"/>
    <s v="7013295077"/>
    <s v="X"/>
    <n v="37808.329999999958"/>
    <n v="500000"/>
    <n v="537808.32999999996"/>
    <s v=""/>
    <n v="537808.32999999996"/>
    <n v="468895.07"/>
    <n v="133770"/>
    <n v="43070"/>
    <x v="0"/>
    <x v="0"/>
    <n v="537808.32999999996"/>
    <n v="-494738.32999999996"/>
    <x v="20"/>
    <s v="TC"/>
    <s v="30501-BBPS Payment received"/>
    <s v="SAMBA"/>
    <x v="2"/>
    <x v="0"/>
    <s v="&quot;42-70/A SAI NAGAR COLONY,NEAR,RAMALAYAM,&quot; &quot;,WANAPARTHY&quot;  RAMALAYAM WANAPARTHY TNG 509103 "/>
    <s v="SAI SRINIVASA CEMENT PRODUCTS 137 AA NACHAHALLY VILLAGE NACHAHALLY VILLAGE WANAPARTHY TNG 509103 "/>
    <s v="WANAPARTHY"/>
    <x v="1"/>
    <x v="23"/>
    <s v="SAMBA"/>
    <n v="801772794"/>
    <s v="Ssde@9876"/>
    <m/>
    <m/>
    <x v="0"/>
    <m/>
    <m/>
    <x v="10"/>
    <d v="2026-02-20T00:00:00"/>
    <n v="1565.11"/>
    <s v="ICICI Bank Coral RuPay Credit Card"/>
    <s v="5TH JUNE"/>
    <d v="2026-06-02T00:00:00"/>
  </r>
  <r>
    <s v="5241939787430005"/>
    <s v="MS ADDULA DIVYA"/>
    <n v="0"/>
    <x v="0"/>
    <m/>
    <m/>
    <s v="N"/>
    <x v="12"/>
    <s v="7989034070"/>
    <s v="X"/>
    <n v="35566.160000000033"/>
    <n v="500000"/>
    <n v="535566.16"/>
    <s v=""/>
    <n v="535566.16"/>
    <n v="499989.78"/>
    <n v="118120"/>
    <n v="25000"/>
    <x v="1"/>
    <x v="1"/>
    <n v="0"/>
    <n v="25000"/>
    <x v="1"/>
    <s v="NA"/>
    <n v="0"/>
    <s v="SAMBA"/>
    <x v="3"/>
    <x v="0"/>
    <s v="&quot;5-74/B LINGAMPET KODGAL,STN JADCHARLA,&quot; JADCHARLA   MAHABUB NAGAR TNG 509301 "/>
    <s v="A divya reddy 5-74/b lingampet kodgal Jadcherla Jadcherla MAHBUBNAGAR TNG 509301 "/>
    <s v="JEDCHERLA"/>
    <x v="1"/>
    <x v="23"/>
    <s v="SAMBA"/>
    <n v="801772794"/>
    <s v="Ssde@9876"/>
    <m/>
    <m/>
    <x v="0"/>
    <s v="SKIP"/>
    <s v="Customer Not available this location"/>
    <x v="15"/>
    <d v="2026-03-31T00:00:00"/>
    <n v="1373"/>
    <s v="ICICI Sapphiro Master PLT Chip Card"/>
    <s v="5TH JUNE"/>
    <d v="2026-06-02T00:00:00"/>
  </r>
  <r>
    <s v="5241932046525004"/>
    <s v="MR. KANAKA RAJU LINGALA"/>
    <n v="0"/>
    <x v="0"/>
    <m/>
    <m/>
    <s v="N"/>
    <x v="12"/>
    <s v="9989234355"/>
    <s v="X"/>
    <n v="16700.960000000021"/>
    <n v="485000"/>
    <n v="501700.96"/>
    <n v="378385.59"/>
    <n v="123315.37"/>
    <n v="99540.23"/>
    <n v="79460"/>
    <n v="35253.43"/>
    <x v="1"/>
    <x v="1"/>
    <n v="0"/>
    <n v="35253.43"/>
    <x v="1"/>
    <s v="NA"/>
    <n v="0"/>
    <s v="SAMBA"/>
    <x v="2"/>
    <x v="0"/>
    <s v="&quot;27-2-160, PEDDANAPALLI, BELLAMPALLE&quot; &quot;PEDDANAPALLI, BELLAMPALLI&quot; ADILABAD - ADILABAD TNG 504251 "/>
    <s v="SHOPPERS STOP LTD. INORBIT MALL 2ND FLOOR SURVEY NO 64 HITECH CITY MADHAPUR CYBERABAD HITECH CITY MADHAPUR CYBERABAD Hyderabad TNG 500081 "/>
    <s v="ADILABAD"/>
    <x v="1"/>
    <x v="11"/>
    <s v="T RAMESH "/>
    <n v="801217009"/>
    <s v="Ssd@9290"/>
    <m/>
    <m/>
    <x v="0"/>
    <s v="MESS"/>
    <s v="Customer given address visit customer not available  informed to brother, he saying he not living in address no information no contact about him,trying by call"/>
    <x v="11"/>
    <d v="2026-04-02T00:00:00"/>
    <n v="58533.84"/>
    <s v="ICICI Bank Coral Credit Card"/>
    <s v="3RD JUNE"/>
    <d v="2026-06-02T00:00:00"/>
  </r>
  <r>
    <s v="4375518197883002"/>
    <s v="MR GUDAVA VINOD KUMAR"/>
    <n v="0"/>
    <x v="0"/>
    <m/>
    <m/>
    <s v="N"/>
    <x v="12"/>
    <s v="9959494096"/>
    <s v="X"/>
    <n v="8217.8399999999965"/>
    <n v="80000"/>
    <n v="88217.84"/>
    <s v=""/>
    <n v="88217.84"/>
    <n v="78691.92"/>
    <n v="31900"/>
    <n v="7819.84"/>
    <x v="1"/>
    <x v="1"/>
    <n v="0"/>
    <n v="7819.84"/>
    <x v="1"/>
    <s v="NA"/>
    <n v="0"/>
    <s v="SAMBA"/>
    <x v="3"/>
    <x v="0"/>
    <s v="&quot;4-67,PEDA PALLI,PUTTAPARTHI,ANANTHAPUR&quot;  ANANTAPUR - ANANTAPUR ANP 515231 "/>
    <s v="INDIAN ARMY 122 SATA REGT PIN 926122 C/O 99 APO SHIV MANDIR ROAD SHIVMANDIR ROAD SHIV MANDIR ROAD SHIVMANDIR ROAD SILIGURI WBL 734013 "/>
    <s v="HINDUPUR"/>
    <x v="2"/>
    <x v="26"/>
    <s v="T SRINIVAS"/>
    <n v="802030802"/>
    <s v="Sgr@0987"/>
    <m/>
    <m/>
    <x v="0"/>
    <s v="MESS"/>
    <s v="Customer not available _x000a_Inform in customer wife_x000a_Customer calls not responding"/>
    <x v="19"/>
    <d v="2026-02-28T00:00:00"/>
    <n v="17000"/>
    <s v="ICICI Sapphiro Master PLT Chip Card"/>
    <s v="5TH JUNE"/>
    <d v="2026-06-02T00:00:00"/>
  </r>
  <r>
    <s v="4035620584661009"/>
    <s v="MR POOSKURI KUMARASWAMY"/>
    <n v="0"/>
    <x v="0"/>
    <m/>
    <m/>
    <s v="N"/>
    <x v="13"/>
    <s v="9581879449"/>
    <s v="X"/>
    <n v="60852.430000000051"/>
    <n v="570000"/>
    <n v="630852.43000000005"/>
    <s v=""/>
    <n v="630852.43000000005"/>
    <n v="568909"/>
    <n v="147540"/>
    <n v="66530"/>
    <x v="1"/>
    <x v="1"/>
    <n v="0"/>
    <n v="66530"/>
    <x v="1"/>
    <s v="NA"/>
    <n v="0"/>
    <s v="DURGA"/>
    <x v="0"/>
    <x v="0"/>
    <s v="&quot;1,92,VELLANKY RAMANNAPET,YELLANKI,,&quot; NALGONDA  ATM NALGONDA TNG 508113 "/>
    <s v="IVY SOFTWARE DEVELOPMENT SERVICES PVT LT &quot;5TH FLOOR B,BLOCK OMEGA,HITECH CITY ROAD&quot; &quot;KONDAPUT,&quot; &quot;KONDAPUT,&quot; HYDERABAD TNG 500081 "/>
    <s v="NALGONDA"/>
    <x v="1"/>
    <x v="18"/>
    <s v="INAMUL"/>
    <n v="802823175"/>
    <s v="Sgr@9290"/>
    <m/>
    <m/>
    <x v="1"/>
    <m/>
    <m/>
    <x v="10"/>
    <d v="2025-08-03T00:00:00"/>
    <n v="166.46"/>
    <s v="ICICI Bank Coral Credit Card"/>
    <s v="5TH JUNE"/>
    <d v="2026-06-03T00:00:00"/>
  </r>
  <r>
    <s v="4035620103751000"/>
    <s v="MR TATIMAKULA VINOD KUMARREDDY"/>
    <n v="0"/>
    <x v="0"/>
    <m/>
    <m/>
    <s v="N"/>
    <x v="13"/>
    <s v="9553440018"/>
    <s v="X"/>
    <n v="60358.520000000019"/>
    <n v="560000"/>
    <n v="620358.52"/>
    <s v=""/>
    <n v="620358.52"/>
    <n v="558096"/>
    <n v="151620"/>
    <n v="73080"/>
    <x v="0"/>
    <x v="2"/>
    <n v="73100"/>
    <n v="-20"/>
    <x v="21"/>
    <s v="FE"/>
    <s v="30501-BBPS Payment received"/>
    <s v="DURGA"/>
    <x v="0"/>
    <x v="0"/>
    <s v="5/13 THUVVAPALLI KOTHAGANGIREDDY PALLI NANMANDALAM CIDDAPAH NEAR TEMPLE CUDDAPAH CUDDAPAH ANP 516218"/>
    <s v="VALUELABS SERVICES PRIVATE LIMITED PLOT 41 HITECITY PHASE 2.MADHAPUR HYDERABAD HYDERABAD HYDERABAD TNG 500081"/>
    <s v="CUDDAPAH"/>
    <x v="2"/>
    <x v="5"/>
    <s v="PAVAN"/>
    <n v="802823180"/>
    <s v="Sgr@9290"/>
    <m/>
    <m/>
    <x v="0"/>
    <s v="LIVE"/>
    <s v="Customer given address live but present living in tirupati call answered given PTP 15th"/>
    <x v="20"/>
    <d v="2025-10-04T00:00:00"/>
    <n v="10474.65"/>
    <s v="ICICI Bank Coral Credit Card"/>
    <s v="6TH JUNE"/>
    <d v="2026-06-03T00:00:00"/>
  </r>
  <r>
    <s v="4035621356181002"/>
    <s v="MR GUGULOTH RAJENDER NAIK"/>
    <n v="0"/>
    <x v="0"/>
    <m/>
    <m/>
    <s v="N"/>
    <x v="13"/>
    <s v="9866351508"/>
    <s v="X"/>
    <n v="-132367.15000000002"/>
    <n v="700000"/>
    <n v="567632.85"/>
    <s v=""/>
    <n v="567632.85"/>
    <n v="517892.15"/>
    <n v="81280"/>
    <n v="31020"/>
    <x v="0"/>
    <x v="2"/>
    <n v="31020"/>
    <n v="0"/>
    <x v="1"/>
    <s v="LO"/>
    <s v="30501-BBPS Payment received"/>
    <s v="DURGA"/>
    <x v="0"/>
    <x v="0"/>
    <s v="35/4/49 KANAKA DURGA COLONY GOPALPURAM WARANGAL NEAR SBI BANK WARANGAL TNG 506015 "/>
    <s v="KAKATIYA INSTITUTE OF TECHNOLOGY AND SCI BLOCK 3 DEPARTMENT EEE KAKATIYA INSTITUT &quot;OF T3CHNOLOGY ,, AND SCIENCE  HASABAPART&quot; &quot;OF T3CHNOLOGY ,, AND SCIENCE  HASABAPART&quot; WARANGAL TNG 506015 "/>
    <s v="WARANGAL"/>
    <x v="1"/>
    <x v="2"/>
    <s v="CHAITANYA"/>
    <n v="802555024"/>
    <s v="Ssde@9290"/>
    <m/>
    <m/>
    <x v="0"/>
    <s v="MESS"/>
    <s v="Visited Customer Given Adress Customer Not Available Inform To His Fathar // Visited Customer Residence Customer Not Available // Visited Customer Residence Address Customer Not Available Inform To His Mother Sir"/>
    <x v="18"/>
    <d v="2023-11-12T00:00:00"/>
    <n v="5000"/>
    <s v="ICICI Bank Coral Credit Card"/>
    <s v="5TH JUNE"/>
    <d v="2026-06-03T00:00:00"/>
  </r>
  <r>
    <s v="4748467765154018"/>
    <s v="MR MANGILAL JATOTHU"/>
    <n v="0"/>
    <x v="0"/>
    <m/>
    <m/>
    <s v="N"/>
    <x v="13"/>
    <s v="9949286794"/>
    <s v="X"/>
    <n v="107170.55000000005"/>
    <n v="460000"/>
    <n v="567170.55000000005"/>
    <s v=""/>
    <n v="567170.55000000005"/>
    <n v="528902"/>
    <n v="152030"/>
    <n v="91910"/>
    <x v="1"/>
    <x v="1"/>
    <n v="0"/>
    <n v="91910"/>
    <x v="1"/>
    <s v="NA"/>
    <n v="0"/>
    <s v="DURGA"/>
    <x v="0"/>
    <x v="0"/>
    <s v="H.NO.24-3-85/4/3 GANESH NAGAR PRAKASH REDDY PET HANAMAKONDA NEAR IDEAL SCHOOL WARANGAL TNG 506001 "/>
    <s v="JATOTHU CONSTRUCTIONS H.NO.24-3-85/4/3 GANESH NAGAR &quot;PRAKASH REDDY PET, HANAMAKONDA&quot; &quot;PRAKASH REDDY PET, HANAMAKONDA&quot; WARANGAL TNG 506001 "/>
    <s v="WARANGAL"/>
    <x v="1"/>
    <x v="2"/>
    <s v="CHAITANYA"/>
    <n v="802555024"/>
    <s v="Ssde@9290"/>
    <m/>
    <m/>
    <x v="0"/>
    <s v="DL"/>
    <s v="Visited Customer Residence Address Door locked"/>
    <x v="15"/>
    <d v="2026-02-14T00:00:00"/>
    <n v="20000"/>
    <s v="ICICI Bank Coral Credit Card"/>
    <s v="5TH JUNE"/>
    <d v="2026-06-03T00:00:00"/>
  </r>
  <r>
    <s v="4375516047017003"/>
    <s v="MR. K BALA MURALI"/>
    <n v="0"/>
    <x v="0"/>
    <m/>
    <m/>
    <s v="N"/>
    <x v="13"/>
    <s v="9542067226"/>
    <s v="X"/>
    <n v="26374.199999999953"/>
    <n v="520000"/>
    <n v="546374.19999999995"/>
    <n v="446470.55"/>
    <n v="99903.65"/>
    <n v="71825.06"/>
    <n v="95280"/>
    <n v="45090"/>
    <x v="0"/>
    <x v="0"/>
    <n v="106407"/>
    <n v="-61317"/>
    <x v="22"/>
    <s v="FE"/>
    <s v="12111-ICICI BANK COLLECTION PAYMENT"/>
    <s v="DURGA"/>
    <x v="0"/>
    <x v="0"/>
    <s v="&quot;1,0,39/25-3-10&quot; &quot;,S.K.D.R Colony&quot; sai nagar Near RTC colony KADAPA KADAPA ANP 516002"/>
    <s v="GENPACT INDIA PLOT OFC NO 12 TRENDZ AVENUE 4TH FLOOR MADHAPUR MADHAPUR Hyderabad TNG 500081"/>
    <s v="CUDDAPAH"/>
    <x v="2"/>
    <x v="5"/>
    <s v="PAVAN"/>
    <n v="802823180"/>
    <s v="Sgr@9290"/>
    <m/>
    <m/>
    <x v="0"/>
    <s v="MESS"/>
    <s v="Customer given address skipp there is no in that house from past 2years call not answering going to 2nd address // Customer 2nd address parents live customer call not answering inform to his parents call back eve // Customer given address skipp there is no in that house from past 2years call not answering going to 2nd address // Customer not available his parents saying give time today we will update customer not answering calls // Customer payment done sir once check and update"/>
    <x v="21"/>
    <d v="2026-04-05T00:00:00"/>
    <n v="45208.49"/>
    <s v="ICICI Bank Platinum Chip Credit Card"/>
    <s v="6TH JUNE"/>
    <d v="2026-06-03T00:00:00"/>
  </r>
  <r>
    <s v="4315812243110012"/>
    <s v="MR GUDAVALLI VENKATA SAI"/>
    <n v="0"/>
    <x v="0"/>
    <m/>
    <m/>
    <s v="N"/>
    <x v="13"/>
    <s v="9912674939"/>
    <s v="X"/>
    <n v="21930.159999999974"/>
    <n v="500000"/>
    <n v="521930.16"/>
    <s v=""/>
    <n v="521930.16"/>
    <n v="486119.41"/>
    <n v="97410"/>
    <n v="35990"/>
    <x v="0"/>
    <x v="2"/>
    <n v="36000"/>
    <n v="-10"/>
    <x v="18"/>
    <s v="TC"/>
    <s v="30501-BBPS Payment received"/>
    <s v="DURGA"/>
    <x v="0"/>
    <x v="2"/>
    <s v="&quot;14-39-21,,Tenali MATAM BAZAR,&quot; MORRIESPETA TENALI Tenali   TETALI ANP 522201 "/>
    <s v="KARNATAKA VIKAS GRAMEENA BANK Kabbur brancH Kabbur Kabbur CHIKODI KAR 591222 "/>
    <s v="VIJAYAWADA"/>
    <x v="3"/>
    <x v="9"/>
    <s v="DURGA"/>
    <n v="801723195"/>
    <s v="Sgr@9290"/>
    <m/>
    <m/>
    <x v="0"/>
    <s v="LIVE"/>
    <s v="Ch asking time 5days living in Hyderabad // Ch will pay today eod"/>
    <x v="20"/>
    <d v="2026-04-16T00:00:00"/>
    <n v="0.44"/>
    <s v="Amazon Pay ICICI Bank Credit Card"/>
    <s v="5TH JUNE"/>
    <d v="2026-06-03T00:00:00"/>
  </r>
  <r>
    <s v="4315812800243016"/>
    <s v="MR Reddy Sai Teja"/>
    <n v="0"/>
    <x v="0"/>
    <m/>
    <m/>
    <s v="N"/>
    <x v="13"/>
    <s v="8464936408"/>
    <s v="X"/>
    <n v="253986.95"/>
    <n v="240000"/>
    <n v="493986.95"/>
    <n v="423003.58"/>
    <n v="70983.37"/>
    <n v="50972.38"/>
    <n v="70610"/>
    <n v="33240"/>
    <x v="0"/>
    <x v="2"/>
    <n v="33240"/>
    <n v="0"/>
    <x v="1"/>
    <s v="LO"/>
    <s v="30501-BBPS Payment received"/>
    <s v="DURGA"/>
    <x v="0"/>
    <x v="0"/>
    <s v="11-54/1 amalapuram mandal near ramakrishna samithi konkapalli peruru AMALAPURAM ANP 533201 "/>
    <s v="NIVA CORP &quot;D. NO 11-54/1 ,NEAR RAMA KRISHNA SAMITHI&quot; KONKAPALLY AMALAPURAM KONKAPALLY AMALAPURAM AMALAPURAM ANP 533201 "/>
    <s v="AMALAPURAM"/>
    <x v="0"/>
    <x v="25"/>
    <s v="B NAGABABU"/>
    <n v="801448854"/>
    <s v="Sgr@9290"/>
    <m/>
    <m/>
    <x v="0"/>
    <s v="MESS"/>
    <s v="CUSTOMER NOT AVAILABLE AT HOME SIR.INFORMED TO HIS FATHER // CUSTOMER NOT AVAILABLE AT HOME.RESPONDED HIS FATHER NUMBER.HE IS TELLING DOUBLE PAYMENT DEBIT ISSUE"/>
    <x v="20"/>
    <d v="2024-12-06T00:00:00"/>
    <n v="100"/>
    <s v="Amazon Pay ICICI Bank Credit Card"/>
    <s v="5TH JUNE"/>
    <d v="2026-06-03T00:00:00"/>
  </r>
  <r>
    <s v="4035620831835000"/>
    <s v="MR BADRAIAH PABBA"/>
    <n v="0"/>
    <x v="0"/>
    <m/>
    <m/>
    <s v="N"/>
    <x v="13"/>
    <s v="9703947166"/>
    <s v="X"/>
    <n v="27697.130000000005"/>
    <n v="400000"/>
    <n v="427697.13"/>
    <n v="18855.22"/>
    <n v="408841.91"/>
    <n v="370598.63"/>
    <n v="74430"/>
    <n v="27380"/>
    <x v="0"/>
    <x v="0"/>
    <n v="408841.91"/>
    <n v="-381461.91"/>
    <x v="22"/>
    <s v="TC"/>
    <s v="30501-BBPS Payment received"/>
    <s v="DURGA"/>
    <x v="0"/>
    <x v="1"/>
    <s v="5-71/A AYIJA &quot;NULL,MAHABUBNAGAR&quot; MAIN ROAD MAHBOOBNAGAR TNG 509127 "/>
    <s v="GOVT OF ANDHRA PRADESH MAHABUBNAGAR   MAHBOOBNAGAR TNG 509127 "/>
    <s v="MAHBOOBNAGAR"/>
    <x v="1"/>
    <x v="23"/>
    <s v="SAMBA"/>
    <n v="801772794"/>
    <s v="Ssde@9876"/>
    <m/>
    <m/>
    <x v="0"/>
    <m/>
    <m/>
    <x v="10"/>
    <s v=""/>
    <n v="0"/>
    <s v="ICICI Bank Coral Credit Card"/>
    <s v="5TH JUNE"/>
    <d v="2026-06-03T00:00:00"/>
  </r>
  <r>
    <s v="4375519777668003"/>
    <s v="MR KUMMARI SAI PRAKASH"/>
    <n v="0"/>
    <x v="0"/>
    <m/>
    <m/>
    <s v="N"/>
    <x v="13"/>
    <s v="9298608070"/>
    <s v="X"/>
    <n v="-140298.97999999998"/>
    <n v="560000"/>
    <n v="419701.02"/>
    <n v="347173.87"/>
    <n v="72527.149999999994"/>
    <n v="33772.339999999997"/>
    <n v="65770"/>
    <n v="41620"/>
    <x v="0"/>
    <x v="2"/>
    <n v="41700"/>
    <n v="-80"/>
    <x v="22"/>
    <s v="TC"/>
    <s v="30501-BBPS Payment received"/>
    <s v="DURGA"/>
    <x v="0"/>
    <x v="0"/>
    <s v="HNO 6-89 PULMAMIDI UTKOOR MANDAL  NEAR HANUMAN MANDIR WANAPARTHY TNG 509353 "/>
    <s v="FIDELITY FUND MANAGEMENT PVT LTD FIDELITY NATIONAL FINANCIAL BLOCK B1 4TH FLOOR BROOK FILED B1 4TH FLOOR BROOK FILED BANGALORE KAR 560037 "/>
    <s v="WANAPARTHY"/>
    <x v="1"/>
    <x v="23"/>
    <s v="SAMBA"/>
    <n v="801772794"/>
    <s v="Ssde@9876"/>
    <m/>
    <m/>
    <x v="0"/>
    <m/>
    <m/>
    <x v="10"/>
    <d v="2026-03-11T00:00:00"/>
    <n v="3546.59"/>
    <s v="ICICI Bank Coral Credit Card"/>
    <s v="5TH JUNE"/>
    <d v="2026-06-03T00:00:00"/>
  </r>
  <r>
    <s v="4035620937492003"/>
    <s v="MR KATTA RADHAKRISHNA"/>
    <n v="0"/>
    <x v="0"/>
    <m/>
    <m/>
    <s v="N"/>
    <x v="13"/>
    <s v="8074924369"/>
    <s v="X"/>
    <n v="21020.729999999981"/>
    <n v="300000"/>
    <n v="321020.73"/>
    <s v=""/>
    <n v="321020.73"/>
    <n v="299097.96000000002"/>
    <n v="123740"/>
    <n v="63590"/>
    <x v="1"/>
    <x v="1"/>
    <n v="0"/>
    <n v="63590"/>
    <x v="1"/>
    <s v="NA"/>
    <n v="0"/>
    <s v="DURGA"/>
    <x v="0"/>
    <x v="0"/>
    <s v="&quot;3-59,KAMMAVARIPALLI B MATTAM,MANDALAM&quot; DIRASAVANCHA KADAPA  NEAR DIRASAVANCHA CUDDAPAH ANP 516502 "/>
    <s v="INFOSYS LIMITED NO 44 INFOSYS AVENUE HOSUR ROAD ELECTRONIC CITY PHASE 1 KONAPANAAGRAHARA ELECTRONIC CITY PHASE 1 KONAPANAAGRAHARA BANGALORE KAR 560100 "/>
    <s v="CUDDAPAH"/>
    <x v="2"/>
    <x v="31"/>
    <s v="PAVAN"/>
    <n v="802823180"/>
    <s v="Sgr@9290"/>
    <m/>
    <m/>
    <x v="1"/>
    <m/>
    <m/>
    <x v="10"/>
    <d v="2026-04-17T00:00:00"/>
    <n v="41200"/>
    <s v="ICICI Bank Coral Credit Card"/>
    <s v="5TH JUNE"/>
    <d v="2026-06-03T00:00:00"/>
  </r>
  <r>
    <s v="4102021192315005"/>
    <s v="Ms. VEERA SURADA VEERA VENKATA SATYA NAR"/>
    <n v="0"/>
    <x v="0"/>
    <m/>
    <m/>
    <s v="N"/>
    <x v="13"/>
    <s v="8639692425"/>
    <s v="X"/>
    <n v="14255.869999999995"/>
    <n v="300000"/>
    <n v="314255.87"/>
    <s v=""/>
    <n v="314255.87"/>
    <n v="284329.78999999998"/>
    <n v="60490"/>
    <n v="18410"/>
    <x v="0"/>
    <x v="2"/>
    <n v="18500"/>
    <n v="-90"/>
    <x v="21"/>
    <s v="TC"/>
    <s v="30501-BBPS Payment received"/>
    <s v="DURGA"/>
    <x v="0"/>
    <x v="0"/>
    <s v="5147/7 SURADA PETA UKOTTAPALLI UPPADA    KKN ANP 533448 "/>
    <s v="5147/7 SURADA PETA UKOTTAPALLI UPPADA    KKN ANP 533448 "/>
    <s v="KAKINADA"/>
    <x v="0"/>
    <x v="16"/>
    <s v="UDAY"/>
    <n v="801436997"/>
    <s v="Ssd@9290"/>
    <m/>
    <m/>
    <x v="0"/>
    <s v="MESS"/>
    <s v="Customer address visit ch not available shift address call response asking time and settlement facing financial issue"/>
    <x v="19"/>
    <d v="2025-11-27T00:00:00"/>
    <n v="84820"/>
    <s v="ICICI Gold Business Card (BCCL-V)"/>
    <s v="5TH JUNE"/>
    <d v="2026-06-03T00:00:00"/>
  </r>
  <r>
    <s v="4102021251826009"/>
    <s v="MR MEDABALIMI KUMAR"/>
    <n v="0"/>
    <x v="0"/>
    <m/>
    <m/>
    <s v="N"/>
    <x v="13"/>
    <s v="7893376375"/>
    <s v="X"/>
    <n v="-3609.3699999999953"/>
    <n v="300000"/>
    <n v="296390.63"/>
    <s v=""/>
    <n v="296390.63"/>
    <n v="270579.23"/>
    <n v="42130"/>
    <n v="14180"/>
    <x v="0"/>
    <x v="2"/>
    <n v="14200"/>
    <n v="-20"/>
    <x v="22"/>
    <s v="FE"/>
    <s v="30501-BBPS Payment received"/>
    <s v="DURGA"/>
    <x v="0"/>
    <x v="0"/>
    <s v="2126/1 2126/1  Guntur GTR ANP 522601 "/>
    <s v="&quot;2-126, 1 KESANAPALLE&quot; &quot;PALNADU, NARASARAOPET&quot;   GTR ANP 522601 "/>
    <s v="GUNTUR"/>
    <x v="3"/>
    <x v="28"/>
    <s v="DURGA"/>
    <n v="801723195"/>
    <s v="Sgr@9290"/>
    <m/>
    <m/>
    <x v="0"/>
    <s v="SKIP"/>
    <s v="customer not available at house he was going to Hyderabad mess pass to family"/>
    <x v="22"/>
    <d v="2026-03-20T00:00:00"/>
    <n v="64254.68"/>
    <s v="ICICI Gold Business Card (BCCL-V)"/>
    <s v="5TH JUNE"/>
    <d v="2026-06-03T00:00:00"/>
  </r>
  <r>
    <s v="4102021184412000"/>
    <s v="MR TIRUMANI SURYA PRAKASH"/>
    <n v="0"/>
    <x v="0"/>
    <m/>
    <m/>
    <s v="N"/>
    <x v="13"/>
    <s v="9777699999"/>
    <s v="X"/>
    <n v="-13889.340000000026"/>
    <n v="300000"/>
    <n v="286110.65999999997"/>
    <s v=""/>
    <n v="286110.65999999997"/>
    <n v="259934.07"/>
    <n v="42590"/>
    <n v="15860"/>
    <x v="0"/>
    <x v="2"/>
    <n v="15860"/>
    <n v="0"/>
    <x v="22"/>
    <s v="TC"/>
    <s v="30501-BBPS Payment received"/>
    <s v="DURGA"/>
    <x v="0"/>
    <x v="0"/>
    <s v="DOOR NO 19 10 33 10 NEAR SENT ANNS SCHOOL BHIMAVARAM NEAR SENT ANNS SCHOOL ROAD BANK COLONY BANK COLONY BHIMAVARAM ANP 534201 "/>
    <s v="SURYA FILLING STATION DOOR NO 1 282 1 NH 216 HIGHWAY ROAD NAGIDIPALEM BHEEMAVARAM VILLAGE BHEEMAVARAM MANDAL BHEEMAVARAM VILLAGE BHEEMAVARAM MANDAL BHIMAVARAM ANP 534239 "/>
    <s v="BHIMAVARAM"/>
    <x v="0"/>
    <x v="0"/>
    <s v="B NAGABABU"/>
    <n v="801448854"/>
    <s v="Sgr@9290"/>
    <m/>
    <m/>
    <x v="0"/>
    <s v="SKIP"/>
    <s v=" cmr not there in given address, cmr living in Hyderabad, cmr answerd call and cmr taken up notice"/>
    <x v="22"/>
    <d v="2026-03-26T00:00:00"/>
    <n v="30000"/>
    <s v="ICICI Gold Business Card (BCCL-V)"/>
    <s v="5TH JUNE"/>
    <d v="2026-06-03T00:00:00"/>
  </r>
  <r>
    <s v="4035621020054007"/>
    <s v="MR SURAKARAPU NAVEEN"/>
    <n v="0"/>
    <x v="0"/>
    <m/>
    <m/>
    <s v="N"/>
    <x v="13"/>
    <s v="7729953019"/>
    <s v="X"/>
    <n v="-24057.469999999972"/>
    <n v="310000"/>
    <n v="285942.53000000003"/>
    <s v=""/>
    <n v="285942.53000000003"/>
    <n v="271943.65000000002"/>
    <n v="43680"/>
    <n v="27490"/>
    <x v="0"/>
    <x v="2"/>
    <n v="27500"/>
    <n v="-10"/>
    <x v="23"/>
    <s v="TC"/>
    <s v="30501-BBPS Payment received"/>
    <s v="DURGA"/>
    <x v="0"/>
    <x v="0"/>
    <s v="4-145 ANUMULA MANDALAM  RANGUNDLA TANDA SURYAPET SURYAPET TNG 508202"/>
    <s v="MAHINDRA RURAL HOUSING FINANCE LTD &quot;5-16,1ST FLOOR,SHOP NO-2&quot; &quot;SRILAXMI NARSIMHA CONPLEX,HALIYA,NALGOND&quot; &quot;SRILAXMI NARSIMHA CONPLEX,HALIYA,NALGOND&quot; SURYAPET TNG 508202"/>
    <s v="SURYAPET"/>
    <x v="1"/>
    <x v="34"/>
    <s v="DURGA"/>
    <n v="801723195"/>
    <s v="Sgr@9290"/>
    <m/>
    <m/>
    <x v="0"/>
    <s v="LIVE"/>
    <s v="Customer adress visited given PTP Tommorow evening"/>
    <x v="20"/>
    <d v="2024-11-30T00:00:00"/>
    <n v="15000"/>
    <s v="ICICI Bank Coral Credit Card"/>
    <s v="6TH JUNE"/>
    <d v="2026-06-03T00:00:00"/>
  </r>
  <r>
    <s v="4035620273693008"/>
    <s v="MR PULIDINDI AJAY"/>
    <n v="0"/>
    <x v="0"/>
    <m/>
    <m/>
    <s v="N"/>
    <x v="13"/>
    <s v="9959038952"/>
    <s v="X"/>
    <n v="12590.469999999972"/>
    <n v="270000"/>
    <n v="282590.46999999997"/>
    <s v=""/>
    <n v="282590.46999999997"/>
    <n v="265571.46999999997"/>
    <n v="67240"/>
    <n v="39920"/>
    <x v="1"/>
    <x v="1"/>
    <n v="0"/>
    <n v="39920"/>
    <x v="1"/>
    <s v="NA"/>
    <n v="0"/>
    <s v="DURGA"/>
    <x v="0"/>
    <x v="0"/>
    <s v="&quot;4-187,PULIDINDI VARI PETA,KAJULURU MANDAL,&quot; &quot;PALLIPALLEM VILLAGE, INJARAM P&quot;   EAST GODAVARI EAST GODAVARI ANP 533464"/>
    <s v="S AND P CAPITAL IQ INDIA PVT L Skyview building 10 Raidurgam Raidurgam HYDERABAD TNG 500081"/>
    <s v="KAKINADA"/>
    <x v="0"/>
    <x v="25"/>
    <s v="B NAGABABU"/>
    <n v="801448854"/>
    <s v="Sgr@9290"/>
    <m/>
    <m/>
    <x v="0"/>
    <s v="SKIP"/>
    <s v="CUSTOMER STAYING IN HYD SIR.IN HOUSE NOT THEIR ANY ONE"/>
    <x v="22"/>
    <d v="2026-05-05T00:00:00"/>
    <n v="21300"/>
    <s v="ICICI Bank Coral Credit Card"/>
    <s v="6TH JUNE"/>
    <d v="2026-06-03T00:00:00"/>
  </r>
  <r>
    <s v="4035621396136008"/>
    <s v="MR VUNNAM KUMAR"/>
    <n v="0"/>
    <x v="0"/>
    <m/>
    <m/>
    <s v="N"/>
    <x v="13"/>
    <s v="9491060853"/>
    <s v="X"/>
    <n v="14814.719999999972"/>
    <n v="260000"/>
    <n v="274814.71999999997"/>
    <n v="130706.56"/>
    <n v="144108.16"/>
    <n v="126558.75"/>
    <n v="57340"/>
    <n v="26560"/>
    <x v="1"/>
    <x v="1"/>
    <n v="0"/>
    <n v="26560"/>
    <x v="1"/>
    <s v="NA"/>
    <n v="0"/>
    <s v="DURGA"/>
    <x v="0"/>
    <x v="0"/>
    <s v="761114623113 BRUNDAVAN NAGAR KALLURU KALLUR   KURNOOL ANP 518003 "/>
    <s v="VUNNAM SUNIL KUMAR &quot;21/22, Shanmugam Building, Uday Shankar road, Near new briliant school&quot; &quot;21/22, Shanmugam Building, Uday Shankar road, Near new briliant school&quot; &quot;21/22, Shanmugam Building, Uday Shankar road, Near new briliant school&quot; BANGALORE KAR 560016 "/>
    <s v="KURNOOL"/>
    <x v="2"/>
    <x v="19"/>
    <s v="SAMBA"/>
    <n v="801772794"/>
    <s v="Ssde@9876"/>
    <m/>
    <m/>
    <x v="0"/>
    <s v="LIVE"/>
    <s v="Customer out of station sir . contact by phone given ptp on 13th"/>
    <x v="18"/>
    <d v="2025-04-01T00:00:00"/>
    <n v="38030"/>
    <s v="ICICI Bank Coral American Express Credit Card"/>
    <s v="5TH JUNE"/>
    <d v="2026-06-03T00:00:00"/>
  </r>
  <r>
    <s v="4315812383294006"/>
    <s v="MR Molla Faruk"/>
    <n v="0"/>
    <x v="0"/>
    <m/>
    <m/>
    <s v="N"/>
    <x v="13"/>
    <s v="9963232623"/>
    <s v="X"/>
    <n v="8775.3800000000047"/>
    <n v="260000"/>
    <n v="268775.38"/>
    <n v="204306.85"/>
    <n v="64468.53"/>
    <n v="53134.64"/>
    <n v="38660"/>
    <n v="16100"/>
    <x v="1"/>
    <x v="1"/>
    <n v="0"/>
    <n v="16100"/>
    <x v="1"/>
    <s v="NA"/>
    <n v="0"/>
    <s v="DURGA"/>
    <x v="0"/>
    <x v="0"/>
    <s v="1-162 vempenta vempenta Kurnool KURNOOL ANP 518533 "/>
    <s v="R1 RCM GLOBAL PRIVATE LIMITED NSL ARENA BUILDING UPPAL UPPAL HYDERABAD TNG 500039 "/>
    <s v="KURNOOL"/>
    <x v="2"/>
    <x v="14"/>
    <s v="HARI"/>
    <n v="802388289"/>
    <s v="Ssd@9290"/>
    <m/>
    <m/>
    <x v="0"/>
    <s v="DL"/>
    <s v="Customer house address visit customer not available customer house door lock neighbours told customer shifted to Hyderabad customer mobile not responding"/>
    <x v="22"/>
    <d v="2025-11-15T00:00:00"/>
    <n v="31380"/>
    <s v="Amazon Pay ICICI Bank Credit Card"/>
    <s v="5TH JUNE"/>
    <d v="2026-06-03T00:00:00"/>
  </r>
  <r>
    <s v="4035620089443010"/>
    <s v="Mr T SAI PRUDVI RAJ"/>
    <n v="0"/>
    <x v="0"/>
    <m/>
    <m/>
    <s v="N"/>
    <x v="13"/>
    <s v="9550999109"/>
    <s v="X"/>
    <n v="-642947.82000000007"/>
    <n v="910000"/>
    <n v="267052.18"/>
    <s v=""/>
    <n v="267052.18"/>
    <n v="226970.09"/>
    <n v="73320"/>
    <n v="45730.25"/>
    <x v="1"/>
    <x v="1"/>
    <n v="0"/>
    <n v="45730.25"/>
    <x v="1"/>
    <s v="NA"/>
    <n v="0"/>
    <s v="DURGA"/>
    <x v="0"/>
    <x v="0"/>
    <s v="&quot;6-12-2B/2 K B LAYOUT K B,LAYOUT,.,&quot; TIRUPATIURBAN   TIRUPATHI ANP 517501 "/>
    <s v="S A TECH SOFTWARE (I) PVT LTD 33-18-830 Mallikarjuna pet 5th lane Near kolphing community hall Near kolphing community hall GUNTUR ANP 522007 "/>
    <s v="GUNTUR"/>
    <x v="2"/>
    <x v="33"/>
    <s v="GUNASEKAR"/>
    <n v="802241455"/>
    <s v="Sgr@9290"/>
    <m/>
    <m/>
    <x v="0"/>
    <s v="MESS"/>
    <s v="Customer USA shifted family members available ptp Monday total outstanding amount // Customer USA shifted family members available discussing about payment"/>
    <x v="21"/>
    <d v="2026-04-09T00:00:00"/>
    <n v="116120"/>
    <s v="ICICI Sapphiro Master PLT Chip Card"/>
    <s v="5TH JUNE"/>
    <d v="2026-06-03T00:00:00"/>
  </r>
  <r>
    <s v="4035621212306009"/>
    <s v="MR SHAIK ABDUL RAVOOF"/>
    <n v="0"/>
    <x v="0"/>
    <m/>
    <m/>
    <s v="N"/>
    <x v="13"/>
    <s v="9559449551"/>
    <s v="X"/>
    <n v="15552.330000000016"/>
    <n v="250000"/>
    <n v="265552.33"/>
    <s v=""/>
    <n v="265552.33"/>
    <n v="248740.51"/>
    <n v="43550"/>
    <n v="12461"/>
    <x v="1"/>
    <x v="1"/>
    <n v="0"/>
    <n v="12461"/>
    <x v="1"/>
    <s v="NA"/>
    <n v="0"/>
    <s v="DURGA"/>
    <x v="0"/>
    <x v="0"/>
    <s v="1-23 NABBINAGARAM NABBINAGARAM RAMALAYAM DAGGARA GUDUR ANP 524322 "/>
    <s v="GOVERNMENT OF ANDHRA PRADESH NUVVURUPADU SACHIVALAYAM &quot;ATMAKUR,NELLOORE&quot; &quot;ATMAKUR,NELLOORE&quot; GUDUR ANP 524322 "/>
    <s v="GUDUR"/>
    <x v="4"/>
    <x v="12"/>
    <s v="B SURESH"/>
    <n v="801570488"/>
    <s v="Ssd@9290"/>
    <m/>
    <m/>
    <x v="0"/>
    <s v="DL"/>
    <s v=":cm door locked sir and cm call answered cm has done fraud filed case in court cm will call back later sir"/>
    <x v="15"/>
    <d v="2025-01-31T00:00:00"/>
    <n v="25001"/>
    <s v="ICICI Bank Coral RuPay Credit Card"/>
    <s v="5TH JUNE"/>
    <d v="2026-06-03T00:00:00"/>
  </r>
  <r>
    <s v="4035621545180006"/>
    <s v="MR P YOGESH"/>
    <n v="0"/>
    <x v="0"/>
    <m/>
    <m/>
    <s v="N"/>
    <x v="13"/>
    <s v="9886500646"/>
    <s v="X"/>
    <n v="25611.209999999992"/>
    <n v="230000"/>
    <n v="255611.21"/>
    <s v=""/>
    <n v="255611.21"/>
    <n v="229156.73"/>
    <n v="72490"/>
    <n v="38680"/>
    <x v="1"/>
    <x v="1"/>
    <n v="0"/>
    <n v="38680"/>
    <x v="1"/>
    <s v="NA"/>
    <n v="0"/>
    <s v="DURGA"/>
    <x v="0"/>
    <x v="0"/>
    <s v="&quot;7-47,BALIJA STREET BALIJA,STREET,.,PILER&quot; &quot;U,&quot;  NEAR PERUMAL TEMPLE TIRUPATHI ANP 517214 "/>
    <s v="QCENT IT PRIVATE LIMITED &quot;1-2-33/20/4, PLOT NO.15, AS RAJU NAGAR N&quot; &quot;NIZAMPET ROAD, KUKATPALLY, HYDERABAD&quot; &quot;NIZAMPET ROAD, KUKATPALLY, HYDERABAD&quot; HYDERABAD TNG 500073 "/>
    <s v="TIRUPATHI"/>
    <x v="2"/>
    <x v="33"/>
    <s v="GUNASEKAR"/>
    <n v="802241455"/>
    <s v="Sgr@9290"/>
    <m/>
    <m/>
    <x v="1"/>
    <m/>
    <m/>
    <x v="10"/>
    <d v="2026-04-15T00:00:00"/>
    <n v="1000"/>
    <s v="ICICI Bank Coral Credit Card"/>
    <s v="5TH JUNE"/>
    <d v="2026-06-03T00:00:00"/>
  </r>
  <r>
    <s v="4035620719591006"/>
    <s v="MR PITTA VENKATARAO"/>
    <n v="0"/>
    <x v="0"/>
    <m/>
    <m/>
    <s v="N"/>
    <x v="13"/>
    <s v="9908281860"/>
    <s v="X"/>
    <n v="20273.309999999998"/>
    <n v="230000"/>
    <n v="250273.31"/>
    <s v=""/>
    <n v="250273.31"/>
    <n v="229727.18"/>
    <n v="71640"/>
    <n v="49489"/>
    <x v="1"/>
    <x v="1"/>
    <n v="0"/>
    <n v="49489"/>
    <x v="1"/>
    <s v="NA"/>
    <n v="0"/>
    <s v="DURGA"/>
    <x v="0"/>
    <x v="0"/>
    <s v="9/294 KHAJIPETA SIDDHANTHI PURAM CUDDAPAH CUDDAPAH ANP 516203 "/>
    <s v="COGNIZANT TECHNOLOGY SOLUTIONS INDIA PRI WORK FROM HOME &quot;2-294,KAJIPET MANDAL&quot; &quot;2-294,KAJIPET MANDAL&quot; CUDDAPAH ANP 516203 "/>
    <s v="CUDDAPAH"/>
    <x v="2"/>
    <x v="5"/>
    <s v="PAVAN"/>
    <n v="802823180"/>
    <s v="Sgr@9290"/>
    <m/>
    <m/>
    <x v="0"/>
    <s v="LIVE"/>
    <s v="Cm home is in lock cm anserd the call cm job loss sir cm will proceed legal sir."/>
    <x v="22"/>
    <d v="2025-09-04T00:00:00"/>
    <n v="17950"/>
    <s v="ICICI Bank HPCL Super Saver Visa Credit Card"/>
    <s v="5TH JUNE"/>
    <d v="2026-06-03T00:00:00"/>
  </r>
  <r>
    <s v="4035621082877006"/>
    <s v="MR NIKHIL GURIMILLA"/>
    <n v="0"/>
    <x v="0"/>
    <m/>
    <m/>
    <s v="N"/>
    <x v="13"/>
    <s v="9705665444"/>
    <s v="X"/>
    <n v="-10315.579999999987"/>
    <n v="250000"/>
    <n v="239684.42"/>
    <s v=""/>
    <n v="239684.42"/>
    <n v="217149.87"/>
    <n v="32360"/>
    <n v="13350"/>
    <x v="1"/>
    <x v="1"/>
    <n v="0"/>
    <n v="13350"/>
    <x v="1"/>
    <s v="NA"/>
    <n v="0"/>
    <s v="DURGA"/>
    <x v="0"/>
    <x v="0"/>
    <s v="&quot;1-24/B,MUDDUNOOR,DUGGONDI&quot; &quot;MANDAL,NEAR GOVT PRIMARY SCHOOL&quot;   WARANGAL TNG 506349 "/>
    <s v="RESILIENT INNOVATIONS PRIVATE Hyderabad Hyderabad Hyderabad HYDERABAD TNG 500004 "/>
    <s v="WARANGAL"/>
    <x v="1"/>
    <x v="2"/>
    <s v="CHAITANYA"/>
    <n v="802555024"/>
    <s v="Ssde@9290"/>
    <m/>
    <m/>
    <x v="0"/>
    <s v="LIVE"/>
    <s v="Visited Customer Residence Address Customer Given Commitment On 15th Sir // Visited Customer Residence waiting for Payment"/>
    <x v="21"/>
    <d v="2026-03-02T00:00:00"/>
    <n v="10000"/>
    <s v="ICICI Bank Coral RuPay Credit Card"/>
    <s v="5TH JUNE"/>
    <d v="2026-06-03T00:00:00"/>
  </r>
  <r>
    <s v="4035620787319009"/>
    <s v="MS ELISETTY ARUNASRI"/>
    <n v="0"/>
    <x v="0"/>
    <m/>
    <m/>
    <s v="N"/>
    <x v="13"/>
    <s v="7993508235"/>
    <s v="X"/>
    <n v="26786.579999999987"/>
    <n v="200000"/>
    <n v="226786.58"/>
    <s v=""/>
    <n v="226786.58"/>
    <n v="195266.79"/>
    <n v="66860"/>
    <n v="27490"/>
    <x v="1"/>
    <x v="1"/>
    <n v="0"/>
    <n v="27490"/>
    <x v="1"/>
    <s v="NA"/>
    <n v="0"/>
    <s v="DURGA"/>
    <x v="0"/>
    <x v="0"/>
    <s v="350 SUBBI REDDI GARI PALLI SARIMADUGU GURRAMKONDA MANDALAM CHITTOOR NEAR WATER TANK TIRUPATHI ANP 517297 "/>
    <s v="7 P93 P WEST ELECTRONICE CITY BENGALURU 7 AND 93 P WEST ELECTRONIC CITY HOSUR RD HOSUR RD BANGALORE KAR 560100 "/>
    <s v="TIRUPATHI"/>
    <x v="2"/>
    <x v="33"/>
    <s v="GUNASEKAR"/>
    <n v="802241455"/>
    <s v="Sgr@9290"/>
    <m/>
    <m/>
    <x v="1"/>
    <m/>
    <m/>
    <x v="10"/>
    <d v="2025-11-20T00:00:00"/>
    <n v="8000"/>
    <s v="ICICI Rubyx PLT Credit Card (AMEX)"/>
    <s v="5TH JUNE"/>
    <d v="2026-06-03T00:00:00"/>
  </r>
  <r>
    <s v="4035621674259001"/>
    <s v="MR GUNDEBOYINA NARENDER"/>
    <n v="0"/>
    <x v="0"/>
    <m/>
    <m/>
    <s v="N"/>
    <x v="13"/>
    <s v="9000206057"/>
    <s v="X"/>
    <n v="22402.03"/>
    <n v="200000"/>
    <n v="222402.03"/>
    <s v=""/>
    <n v="222402.03"/>
    <n v="199351.82"/>
    <n v="54220"/>
    <n v="23990"/>
    <x v="1"/>
    <x v="1"/>
    <n v="0"/>
    <n v="23990"/>
    <x v="1"/>
    <s v="NA"/>
    <n v="0"/>
    <s v="DURGA"/>
    <x v="0"/>
    <x v="0"/>
    <s v="KALVA PALLY MIRYALAGUDA NALGONDA GOVT SCHOOL SURYAPET TNG 508207 "/>
    <s v="SRI LAXMI NARASIMHA SWAMY TURNING WORKS ROAD NO 10 THADAKAMALLA ROAD &quot;CHAITANYA NAGAR ,MIRYALAGUDA&quot; &quot;CHAITANYA NAGAR ,MIRYALAGUDA&quot; SURYAPET TNG 508207 "/>
    <s v="SURYAPET"/>
    <x v="1"/>
    <x v="18"/>
    <s v="INAMUL"/>
    <n v="802823175"/>
    <s v="Sgr@9290"/>
    <m/>
    <m/>
    <x v="0"/>
    <s v="SKIP"/>
    <s v="Customer Adress visit, Customer prasent living in Miryalguda town and calls not answer and going to Miryalguda shop adress // ustomer Miryalaguda Adress visit, and Customer parents is serious customer not living this house 3years"/>
    <x v="18"/>
    <d v="2024-10-06T00:00:00"/>
    <n v="84000"/>
    <s v="ICICI Bank Coral Credit Card"/>
    <s v="5TH JUNE"/>
    <d v="2026-06-03T00:00:00"/>
  </r>
  <r>
    <s v="4035620434721003"/>
    <s v="MR BABBULA SRIRAM"/>
    <n v="0"/>
    <x v="0"/>
    <m/>
    <m/>
    <s v="N"/>
    <x v="13"/>
    <s v="7680061898"/>
    <s v="X"/>
    <n v="18561.73000000001"/>
    <n v="200000"/>
    <n v="218561.73"/>
    <s v=""/>
    <n v="218561.73"/>
    <n v="197722"/>
    <n v="50710"/>
    <n v="20880"/>
    <x v="1"/>
    <x v="1"/>
    <n v="0"/>
    <n v="20880"/>
    <x v="1"/>
    <s v="NA"/>
    <n v="0"/>
    <s v="DURGA"/>
    <x v="0"/>
    <x v="0"/>
    <s v="NO 3 13 NARMATTA MANDAL NARSAPUR  NEAR WATER TANK WARANGAL TNG 506224 "/>
    <s v="REAL ESTATE NO 3 13 NARMATTA MANDAL NARSAPUR NARSAPUR WARANGAL TNG 506224 "/>
    <s v="WARANGAL"/>
    <x v="1"/>
    <x v="21"/>
    <s v="RAJKUMAR"/>
    <n v="802835406"/>
    <s v="Ssde@9290"/>
    <m/>
    <m/>
    <x v="0"/>
    <s v="SKIP"/>
    <s v="Customer house address visited sir his not available living in Hyderabad phone call not responding inform to his father"/>
    <x v="17"/>
    <d v="2026-04-08T00:00:00"/>
    <n v="40200"/>
    <s v="ICICI Bank Coral Credit Card"/>
    <s v="5TH JUNE"/>
    <d v="2026-06-03T00:00:00"/>
  </r>
  <r>
    <s v="4102020455850005"/>
    <s v="Ms. MANCHALA  MADAN"/>
    <n v="0"/>
    <x v="0"/>
    <m/>
    <m/>
    <s v="N"/>
    <x v="13"/>
    <s v="9490032926"/>
    <s v="W"/>
    <n v="-131906.34"/>
    <n v="350000"/>
    <n v="218093.66"/>
    <s v=""/>
    <n v="218093.66"/>
    <n v="199550.05"/>
    <n v="30770"/>
    <n v="11830"/>
    <x v="0"/>
    <x v="0"/>
    <n v="30770"/>
    <n v="-18940"/>
    <x v="1"/>
    <s v="D"/>
    <s v="30501-BBPS Payment received"/>
    <s v="DURGA"/>
    <x v="0"/>
    <x v="0"/>
    <s v="&quot;28/273,RAMESWARAM,PRODDATUR&quot;    PRO ANP 516360 "/>
    <s v="&quot;28/273,RAMESWARAM,PRODDATUR&quot;    PRO ANP 516360 "/>
    <s v="PRODDATUR"/>
    <x v="2"/>
    <x v="40"/>
    <s v="POORNIMA"/>
    <n v="802824019"/>
    <s v="Nihan@2421"/>
    <m/>
    <m/>
    <x v="0"/>
    <m/>
    <m/>
    <x v="10"/>
    <d v="2026-02-24T00:00:00"/>
    <n v="11600"/>
    <s v="ICICI Gold Business Card (BCCL-V)"/>
    <s v="5TH JUNE"/>
    <d v="2026-06-03T00:00:00"/>
  </r>
  <r>
    <s v="4102021188853001"/>
    <s v="MRS KAMMALAPALLY SUJATHA"/>
    <n v="0"/>
    <x v="0"/>
    <m/>
    <m/>
    <s v="N"/>
    <x v="13"/>
    <s v="9000660313"/>
    <s v="X"/>
    <n v="3280.359999999986"/>
    <n v="210000"/>
    <n v="213280.36"/>
    <s v=""/>
    <n v="213280.36"/>
    <n v="191377.49"/>
    <n v="38880"/>
    <n v="16160"/>
    <x v="0"/>
    <x v="2"/>
    <n v="17000"/>
    <n v="-840"/>
    <x v="20"/>
    <s v="FE"/>
    <s v="30501-BBPS Payment received"/>
    <s v="DURGA"/>
    <x v="0"/>
    <x v="0"/>
    <s v="H NO 5 88 A2 B C COLONY OPP PRAIMARY SCHOOL NARKET PALLY MANDAL   NALGONDA NALGONDA TNG 508254"/>
    <s v="SRI MALLIKARJUNA SWAMY ENTERPRISES 5 88 A2 NARKATPALLY NALGONDA TELAGANA   NALGONDA TNG 508254"/>
    <s v="NALGONDA"/>
    <x v="1"/>
    <x v="18"/>
    <s v="INAMUL"/>
    <n v="802823175"/>
    <s v="Sgr@9290"/>
    <m/>
    <m/>
    <x v="0"/>
    <s v="LIVE"/>
    <s v="Customer Adress Visit, customer is Live and Customer Husband Ptp on friday"/>
    <x v="18"/>
    <d v="2026-04-16T00:00:00"/>
    <n v="4720.51"/>
    <s v="ICICI Gold Business Card (BCCL-V)"/>
    <s v="6TH JUNE"/>
    <d v="2026-06-03T00:00:00"/>
  </r>
  <r>
    <s v="4748467721594000"/>
    <s v="MR PENUBAKULA PRASAD"/>
    <n v="0"/>
    <x v="0"/>
    <m/>
    <m/>
    <s v="N"/>
    <x v="13"/>
    <s v="9398769196"/>
    <s v="W"/>
    <n v="-187926.33"/>
    <n v="400000"/>
    <n v="212073.67"/>
    <s v=""/>
    <n v="212073.67"/>
    <n v="193874.03"/>
    <n v="29940"/>
    <n v="11530"/>
    <x v="0"/>
    <x v="2"/>
    <n v="12000"/>
    <n v="-470"/>
    <x v="22"/>
    <s v="TC"/>
    <s v="12124 - UPI Payment Received"/>
    <s v="DURGA"/>
    <x v="0"/>
    <x v="2"/>
    <s v="21-10/3 86A SRWA 359 3RD LINE SRINAGAR COLONY  NR-SRI NAGAR COLONY VIJAYAWADA ANP 520011 "/>
    <s v="DR PRASADS ORTHODONTIC SUPER SPECIALITY DENTAL 23-11-86 SATYA NARYNA PURAM   VIJAYAWADA ANP 520011 "/>
    <s v="VIJAYAWADA"/>
    <x v="0"/>
    <x v="22"/>
    <s v="SUDHAKAR"/>
    <n v="802913252"/>
    <s v="Ssd@9290"/>
    <m/>
    <m/>
    <x v="0"/>
    <s v="SKIP"/>
    <s v="Customer given address visit customer shifted revisit working address // Customer working address visit shifted to Hyb // Customer shifted frm here _x000a_Confirmed by neighbou // Customer shifted frm here working address also"/>
    <x v="21"/>
    <d v="2026-04-09T00:00:00"/>
    <n v="20000"/>
    <s v="ICICI Bank Coral Credit Card"/>
    <s v="5TH JUNE"/>
    <d v="2026-06-03T00:00:00"/>
  </r>
  <r>
    <s v="4035621042664007"/>
    <s v="MR KASTURI SRINIVAS"/>
    <n v="0"/>
    <x v="0"/>
    <m/>
    <m/>
    <s v="N"/>
    <x v="13"/>
    <s v="9848613052"/>
    <s v="X"/>
    <n v="6821.0199999999895"/>
    <n v="200000"/>
    <n v="206821.02"/>
    <s v=""/>
    <n v="206821.02"/>
    <n v="186556.46"/>
    <n v="38280"/>
    <n v="12570"/>
    <x v="1"/>
    <x v="1"/>
    <n v="0"/>
    <n v="12570"/>
    <x v="1"/>
    <s v="NA"/>
    <s v="30501-BBPS Payment received"/>
    <s v="DURGA"/>
    <x v="0"/>
    <x v="0"/>
    <s v="6-6-230 PADMANAGEAR JAGITIAL NEAR PADMANAGEAR KARIMNAGAR TNG 505327 "/>
    <s v="GAYATHRIMARKET 5-2-20 GUNJ ROAD JAGITIAL JAGITIAL KARIMNAGAR TNG 505327 "/>
    <s v="KARIMNAGAR"/>
    <x v="1"/>
    <x v="8"/>
    <s v="V Sridhar"/>
    <n v="801174030"/>
    <s v="Sgr@0987"/>
    <m/>
    <m/>
    <x v="0"/>
    <s v="SKIP"/>
    <s v="Customer address visited Customer shifted in adrees Call not answering // Customer shops address  visited and Customer shops  6day back shifted and call not answering"/>
    <x v="15"/>
    <d v="2024-12-07T00:00:00"/>
    <n v="103000"/>
    <s v="ICICI Bank Coral Credit Card"/>
    <s v="5TH JUNE"/>
    <d v="2026-06-03T00:00:00"/>
  </r>
  <r>
    <s v="4375517540142009"/>
    <s v="MR ADAVIKATLA SURESH"/>
    <n v="0"/>
    <x v="0"/>
    <m/>
    <m/>
    <s v="N"/>
    <x v="13"/>
    <s v="9393946633"/>
    <s v="X"/>
    <n v="6669.5"/>
    <n v="192500"/>
    <n v="199169.5"/>
    <s v=""/>
    <n v="199169.5"/>
    <n v="179488.96"/>
    <n v="37750"/>
    <n v="12920"/>
    <x v="0"/>
    <x v="0"/>
    <n v="100000"/>
    <n v="-87080"/>
    <x v="16"/>
    <s v="FE"/>
    <s v="30501-BBPS Payment received"/>
    <s v="DURGA"/>
    <x v="0"/>
    <x v="0"/>
    <s v="F 35 ACOLONY PALWANCHA NR BABA TEMPLE KHAMMAM ANP 507115 "/>
    <s v="SPOORTHY EDUCATION LTD 16 1 114 SPOORTHY EDUCATION LTD PALWANCHA SPOORTHY EDUCATION LTD PALWANCHA KHAMMAM ANP 507115 "/>
    <s v="KHAMMAM"/>
    <x v="1"/>
    <x v="7"/>
    <s v="POORNIMA"/>
    <n v="802824019"/>
    <s v="Nihan@2421"/>
    <m/>
    <m/>
    <x v="0"/>
    <s v="LIVE"/>
    <s v="Visited customer given address No body staying here door lock enquired beside people they don't know any information about Customer Name. Contacted customer through phone responded not staying here shifted to own house given phone PTP 10th sir."/>
    <x v="16"/>
    <d v="2025-12-29T00:00:00"/>
    <n v="3900"/>
    <s v="ICICI Bank Coral Credit Card"/>
    <s v="5TH JUNE"/>
    <d v="2026-06-03T00:00:00"/>
  </r>
  <r>
    <s v="4035620660693009"/>
    <s v="MR SEETHAKA MANOHAR"/>
    <n v="0"/>
    <x v="0"/>
    <m/>
    <m/>
    <s v="N"/>
    <x v="13"/>
    <s v="7993505653"/>
    <s v="X"/>
    <n v="17521.380000000005"/>
    <n v="180000"/>
    <n v="197521.38"/>
    <s v=""/>
    <n v="197521.38"/>
    <n v="177089.86"/>
    <n v="45750"/>
    <n v="18410"/>
    <x v="1"/>
    <x v="1"/>
    <n v="0"/>
    <n v="18410"/>
    <x v="1"/>
    <s v="NA"/>
    <s v="12111-ICICI BANK COLLECTION PAYMENT"/>
    <s v="DURGA"/>
    <x v="0"/>
    <x v="0"/>
    <s v="&quot;EGUVA AMILEPALLI,GURRAMKONDA MANDAL,&quot; AMILEPALLE  . TIRUPATHI ANP 517291 "/>
    <s v="VARITE INDIA PTIVATE LIMTED 301/302 3RD FLOOR SAKET CALLIPOLIS MARATHAHALLI SARJAPUR RD DODDAKANNELLI MARATHAHALLI SARJAPUR RD DODDAKANNELLI BANGALORE KAR 560035 "/>
    <s v="TIRUPATHI"/>
    <x v="2"/>
    <x v="33"/>
    <s v="GUNASEKAR"/>
    <n v="802241455"/>
    <s v="Sgr@9290"/>
    <m/>
    <m/>
    <x v="1"/>
    <m/>
    <m/>
    <x v="10"/>
    <d v="2026-04-02T00:00:00"/>
    <n v="47000"/>
    <s v="ICICI Bank Coral Credit Card"/>
    <s v="5TH JUNE"/>
    <d v="2026-06-03T00:00:00"/>
  </r>
  <r>
    <s v="4102021165550000"/>
    <s v="MR RUDRARAJU VEERAVENKATA SATYANA"/>
    <n v="0"/>
    <x v="0"/>
    <m/>
    <m/>
    <s v="N"/>
    <x v="13"/>
    <s v="9959229666"/>
    <s v="Y"/>
    <n v="-121711.66"/>
    <n v="300000"/>
    <n v="178288.34"/>
    <s v=""/>
    <n v="178288.34"/>
    <n v="163131.39000000001"/>
    <n v="25150"/>
    <n v="9670"/>
    <x v="0"/>
    <x v="2"/>
    <n v="9670"/>
    <n v="0"/>
    <x v="1"/>
    <s v="LO"/>
    <s v="12118 - NEFT PAYMENT RECEIVED"/>
    <s v="DURGA"/>
    <x v="0"/>
    <x v="0"/>
    <s v="2 132 GAADIRAJU VARI MERAKA BEHIND SEETHAMARAJU STATUE KUMARAGIRI  AMALAPURAM ANP 533220 "/>
    <s v="SATYAM AQUA 2 219 KUMARA GIRI POLAVARAM MANDAL INDIA AP INDIA AP AMALAPURAM ANP 533220 "/>
    <s v="AMALAPURAM"/>
    <x v="0"/>
    <x v="25"/>
    <s v="B NAGABABU"/>
    <n v="801448854"/>
    <s v="Sgr@9290"/>
    <m/>
    <m/>
    <x v="0"/>
    <m/>
    <m/>
    <x v="10"/>
    <d v="2025-07-31T00:00:00"/>
    <n v="11000"/>
    <s v="ICICI Gold Business Card (BCCL-V)"/>
    <s v="5TH JUNE"/>
    <d v="2026-06-03T00:00:00"/>
  </r>
  <r>
    <s v="4035620860517008"/>
    <s v="MR RANGANADHAM PAVAN KUMAR"/>
    <n v="0"/>
    <x v="0"/>
    <m/>
    <m/>
    <s v="N"/>
    <x v="13"/>
    <s v="8639909101"/>
    <s v="X"/>
    <n v="55978.859999999986"/>
    <n v="110000"/>
    <n v="165978.85999999999"/>
    <n v="38540.949999999997"/>
    <n v="127437.91"/>
    <n v="117966.64"/>
    <n v="71850"/>
    <n v="36535.89"/>
    <x v="0"/>
    <x v="2"/>
    <n v="38059"/>
    <n v="-1523.1100000000006"/>
    <x v="1"/>
    <s v="D"/>
    <s v="12111-ICICI BANK COLLECTION PAYMENT"/>
    <s v="DURGA"/>
    <x v="0"/>
    <x v="0"/>
    <s v="KK COLONY KK COLONY BUJA BUJA NELLORE RURAL  NELLORE ANP 524004 "/>
    <s v="PAVANI DIGITALS KKANNEXE SUBEDHARPET KANAKAMAHAL SUBEDHARPET KANAKAMAHAL NELLORE ANP 524001 "/>
    <s v="NELLORE"/>
    <x v="4"/>
    <x v="12"/>
    <s v="B SURESH"/>
    <n v="801570488"/>
    <s v="Ssd@9290"/>
    <m/>
    <m/>
    <x v="0"/>
    <m/>
    <m/>
    <x v="10"/>
    <d v="2026-04-27T00:00:00"/>
    <n v="17020"/>
    <s v="ICICI Bank Coral Credit Card"/>
    <s v="5TH JUNE"/>
    <d v="2026-06-03T00:00:00"/>
  </r>
  <r>
    <s v="4035620871144008"/>
    <s v="MS JULATHOTA SUJATHAMMA"/>
    <n v="0"/>
    <x v="0"/>
    <m/>
    <m/>
    <s v="N"/>
    <x v="13"/>
    <s v="9618355305"/>
    <s v="X"/>
    <n v="14728.459999999992"/>
    <n v="150000"/>
    <n v="164728.46"/>
    <s v=""/>
    <n v="164728.46"/>
    <n v="148438.43"/>
    <n v="39490"/>
    <n v="16370"/>
    <x v="0"/>
    <x v="2"/>
    <n v="16500"/>
    <n v="-130"/>
    <x v="21"/>
    <s v="FE"/>
    <s v="30501-BBPS Payment received"/>
    <s v="DURGA"/>
    <x v="0"/>
    <x v="0"/>
    <s v="&quot;2/294-2 MARUTHI NAGAR,MARUTHI,NAGAR CUDD&quot; &quot;APAH,,CUDDAPAH&quot;  MAIN ROAD CUDDAPAH ANP 516001 "/>
    <s v="GOVT OF AP VIDYA SAGAR AIDED UPPER PRIMARY SCHOOL V &quot;VISVANATHAPURAM C. K DINNE KADAPA ,CUDDA&quot; &quot;VISVANATHAPURAM C. K DINNE KADAPA ,CUDDA&quot; CUDDAPAH ANP 516004 "/>
    <s v="CUDDAPAH"/>
    <x v="2"/>
    <x v="5"/>
    <s v="PAVAN"/>
    <n v="802823180"/>
    <s v="Sgr@9290"/>
    <m/>
    <m/>
    <x v="0"/>
    <s v="MESS"/>
    <s v="Customer live present not available inform to son call back /// Customer given PTP today eve // Customer live PTP at 9.30pm"/>
    <x v="21"/>
    <d v="2026-03-16T00:00:00"/>
    <n v="9020"/>
    <s v="ICICI Bank Coral Credit Card"/>
    <s v="5TH JUNE"/>
    <d v="2026-06-03T00:00:00"/>
  </r>
  <r>
    <s v="4035620776002004"/>
    <s v="MR VUPPU HEMA SUDHEER"/>
    <n v="0"/>
    <x v="0"/>
    <m/>
    <m/>
    <s v="N"/>
    <x v="13"/>
    <s v="9704944112"/>
    <s v="X"/>
    <n v="-95693.829999999987"/>
    <n v="260000"/>
    <n v="164306.17000000001"/>
    <s v=""/>
    <n v="164306.17000000001"/>
    <n v="148696.16"/>
    <n v="24430"/>
    <n v="8370"/>
    <x v="0"/>
    <x v="0"/>
    <n v="24430"/>
    <n v="-16060"/>
    <x v="1"/>
    <s v="D"/>
    <s v="12111-ICICI BANK COLLECTION PAYMENT"/>
    <s v="DURGA"/>
    <x v="0"/>
    <x v="0"/>
    <s v="&quot;flat,,no 410&quot; white house apartment kundula road Guntur  GUNTUR ANP 522006 "/>
    <s v="ACCENTURE SOLUTIONS PRIVATE LIMITED RMZ ECOSPACE -CAMPUS 2A AND 2BMARTHAHALI &quot;SARJAPUR OUTER RING  ROAD,VARTHUR,HOBLI&quot; &quot;SARJAPUR OUTER RING  ROAD,VARTHUR,HOBLI&quot; BANGALORE KAR 560103 "/>
    <s v="GUNTUR"/>
    <x v="3"/>
    <x v="17"/>
    <s v="DURGA"/>
    <n v="801723195"/>
    <s v="Sgr@9290"/>
    <m/>
    <m/>
    <x v="0"/>
    <s v="DL"/>
    <s v="Customer given address visited customer living at us customer relatives available but door locked to house revisit again // Customer given address visited customer living at us customer relatives available inform to customer Grand mother"/>
    <x v="17"/>
    <d v="2026-04-03T00:00:00"/>
    <n v="1000"/>
    <s v="ICICI Bank Coral Credit Card"/>
    <s v="5TH JUNE"/>
    <d v="2026-06-03T00:00:00"/>
  </r>
  <r>
    <s v="4035620947531006"/>
    <s v="MR MUNTIMADUGU SURYANARAYANA"/>
    <n v="0"/>
    <x v="0"/>
    <m/>
    <m/>
    <s v="N"/>
    <x v="13"/>
    <s v="9676662168"/>
    <s v="X"/>
    <n v="-37598.359999999986"/>
    <n v="200000"/>
    <n v="162401.64000000001"/>
    <n v="57389.75"/>
    <n v="105011.89"/>
    <n v="91525.7"/>
    <n v="96670"/>
    <n v="18780"/>
    <x v="1"/>
    <x v="1"/>
    <n v="0"/>
    <n v="18780"/>
    <x v="1"/>
    <s v="NA"/>
    <n v="0"/>
    <s v="DURGA"/>
    <x v="0"/>
    <x v="0"/>
    <s v="&quot;2-205,ANUMPALLI PAMIDI,ANUMPALLI,ANUMPAL&quot; &quot;LE,&quot;  NAIN ROAD ANANTAPUR ANANTAPUR ANP 515775"/>
    <s v="SPANDANA SPHOORTY FINANCIAL LIMITED PLOT NO 28 AMRENDRA NAGAR DINNEDEVARAPADU ROAD KURNOOL DINNEDEVARAPADU ROAD KURNOOL KURNOOL ANP 518001"/>
    <s v="ANANTAPUR"/>
    <x v="2"/>
    <x v="26"/>
    <s v="T SRINIVAS"/>
    <n v="802030802"/>
    <s v="Sgr@0987"/>
    <m/>
    <m/>
    <x v="0"/>
    <s v="MESS"/>
    <s v="Customer address visited _x000a_Customer recent accident customer present Hyderabad hospital _x000a_Inform in customer family members"/>
    <x v="19"/>
    <d v="2025-03-31T00:00:00"/>
    <n v="27743.93"/>
    <s v="ICICI Bank HPCL Super Saver Master Credit Card"/>
    <s v="6TH JUNE"/>
    <d v="2026-06-03T00:00:00"/>
  </r>
  <r>
    <s v="4102020158209004"/>
    <s v="MR DANTHULURI REVATHI"/>
    <n v="0"/>
    <x v="0"/>
    <m/>
    <m/>
    <s v="N"/>
    <x v="13"/>
    <s v="9949711566"/>
    <s v="X"/>
    <n v="8963.7000000000116"/>
    <n v="150000"/>
    <n v="158963.70000000001"/>
    <s v=""/>
    <n v="158963.70000000001"/>
    <n v="141711.25"/>
    <n v="34550"/>
    <n v="10880"/>
    <x v="0"/>
    <x v="0"/>
    <n v="158963.70000000001"/>
    <n v="-148083.70000000001"/>
    <x v="1"/>
    <s v="D"/>
    <s v="12124 - UPI Payment Received"/>
    <s v="DURGA"/>
    <x v="0"/>
    <x v="0"/>
    <s v="3 19 6 4 MR PETA   OPP SRI CHAITANYA FLAY GROUND KAKINADA ANP 533408 "/>
    <s v="KAMAKSHI ENTERPRISES 5 66 1 OPP CHURCH YELLAYYAPETA EAST GODAVARI ANDHRA PRADESH GODAVARI ANDHRA PRADESH KAKINADA ANP 533408 "/>
    <s v="KAKINADA"/>
    <x v="0"/>
    <x v="41"/>
    <s v="POORNIMA"/>
    <n v="802824019"/>
    <s v="Nihan@2421"/>
    <m/>
    <m/>
    <x v="0"/>
    <m/>
    <m/>
    <x v="10"/>
    <d v="2026-04-13T00:00:00"/>
    <n v="6300"/>
    <s v="ICICI Gold Business Card (BCCL-V)"/>
    <s v="5TH JUNE"/>
    <d v="2026-06-03T00:00:00"/>
  </r>
  <r>
    <s v="4035621264708003"/>
    <s v="MR NAGISETTI MAHESH"/>
    <n v="0"/>
    <x v="0"/>
    <m/>
    <m/>
    <s v="N"/>
    <x v="13"/>
    <s v="9959293174"/>
    <s v="X"/>
    <n v="13961.190000000002"/>
    <n v="140000"/>
    <n v="153961.19"/>
    <s v=""/>
    <n v="153961.19"/>
    <n v="139961.42000000001"/>
    <n v="40920"/>
    <n v="7000"/>
    <x v="0"/>
    <x v="2"/>
    <n v="7000"/>
    <n v="0"/>
    <x v="21"/>
    <s v="FE"/>
    <s v="30501-BBPS Payment received"/>
    <s v="DURGA"/>
    <x v="0"/>
    <x v="0"/>
    <s v="&quot;1-4,KASUKARRU KASUKARRU,.,CHINTALAPUDI,.&quot; &quot;,PONNUR&quot;  NEAR TEMPLE GUNTUR ANP 522124 "/>
    <s v="INFOSYS LIMITED &quot;NO 44 INFOSYS AVENUE HOSUR ROAD,&quot; &quot;ELECTRONIC CITY PHASE 1,&quot; &quot;ELECTRONIC CITY PHASE 1,&quot; BANGALORE KAR 560100 "/>
    <s v="GUNTUR"/>
    <x v="3"/>
    <x v="9"/>
    <s v="DURGA"/>
    <n v="801723195"/>
    <s v="Sgr@9290"/>
    <m/>
    <m/>
    <x v="0"/>
    <s v="MESS"/>
    <s v="Ch not living in giving address waiting for parents"/>
    <x v="22"/>
    <d v="2026-03-06T00:00:00"/>
    <n v="250"/>
    <s v="ICICI Bank Coral Credit Card"/>
    <s v="5TH JUNE"/>
    <d v="2026-06-03T00:00:00"/>
  </r>
  <r>
    <s v="4035621408103004"/>
    <s v="MR VUTHURI RAJU"/>
    <n v="0"/>
    <x v="0"/>
    <m/>
    <m/>
    <s v="N"/>
    <x v="13"/>
    <s v="9966069666"/>
    <s v="X"/>
    <n v="11767.640000000014"/>
    <n v="140000"/>
    <n v="151767.64000000001"/>
    <s v=""/>
    <n v="151767.64000000001"/>
    <n v="139517.39000000001"/>
    <n v="51820"/>
    <n v="14460"/>
    <x v="0"/>
    <x v="2"/>
    <n v="20000"/>
    <n v="-5540"/>
    <x v="22"/>
    <s v="D"/>
    <s v="30501-BBPS Payment received"/>
    <s v="DURGA"/>
    <x v="0"/>
    <x v="0"/>
    <s v="H NO 1-27/1 MEDIPALLE MANDAL KONDAPOOR ROAD NEAR BY MOD BAZAR LOOK KARIMNAGAR TNG 505453 "/>
    <s v="CAPGEMINI TECHNOLOGY SERVICES INDIA LIMI &quot;BUILDING NO 164,165 EPIP INDUSTRIAL AREA&quot; EPIP ZONE PHASE2 WHITEFIELD BANGALORE EPIP ZONE PHASE2 WHITEFIELD BANGALORE BANGALORE KAR 560066 "/>
    <s v="KARIMNAGAR"/>
    <x v="1"/>
    <x v="20"/>
    <s v="D RAMU"/>
    <n v="802663344"/>
    <s v="Sgr@9290"/>
    <m/>
    <m/>
    <x v="0"/>
    <s v="LIVE"/>
    <s v="customer paymet today evening or tomorrow morning"/>
    <x v="22"/>
    <d v="2024-08-04T00:00:00"/>
    <n v="10000"/>
    <s v="ICICI Bank Sapphiro Visa Credit Card"/>
    <s v="5TH JUNE"/>
    <d v="2026-06-03T00:00:00"/>
  </r>
  <r>
    <s v="4035621360800001"/>
    <s v="MR CHINTA LIMBADRI"/>
    <n v="0"/>
    <x v="0"/>
    <m/>
    <m/>
    <s v="N"/>
    <x v="13"/>
    <s v="9603921104"/>
    <s v="X"/>
    <n v="9197.3399999999965"/>
    <n v="140000"/>
    <n v="149197.34"/>
    <s v=""/>
    <n v="149197.34"/>
    <n v="134371.4"/>
    <n v="30950"/>
    <n v="7870"/>
    <x v="0"/>
    <x v="2"/>
    <n v="7870"/>
    <n v="0"/>
    <x v="1"/>
    <s v="LO"/>
    <s v="30501-BBPS Payment received"/>
    <s v="DURGA"/>
    <x v="0"/>
    <x v="1"/>
    <s v="&quot;H NO,1 85 NANDIPET NIZAMABAD,&quot; NANDIPET  NEAR HANUMAN TEMPLE NIZAMABAD TNG 503212 "/>
    <s v="GOVERNMENT OF TELANGANA DIVISIONAL ENGINEER ELECTRICAL TSNPDCL OFFICE TSNPDCL OFFICE NIZAMABAD TNG 503001 "/>
    <s v="NIZAMABAD"/>
    <x v="1"/>
    <x v="20"/>
    <s v="D RAMU"/>
    <n v="802663344"/>
    <s v="Sgr@9290"/>
    <m/>
    <m/>
    <x v="0"/>
    <s v="LIVE"/>
    <s v="customer paymet on twommro"/>
    <x v="17"/>
    <d v="2025-08-16T00:00:00"/>
    <n v="2590"/>
    <s v="ICICI Bank Coral Credit Card"/>
    <s v="5TH JUNE"/>
    <d v="2026-06-03T00:00:00"/>
  </r>
  <r>
    <s v="4102021090676003"/>
    <s v="Ms. CHALIVENDRAM PRASAD"/>
    <n v="0"/>
    <x v="0"/>
    <m/>
    <m/>
    <s v="N"/>
    <x v="13"/>
    <s v="8143225801"/>
    <s v="X"/>
    <n v="-3293.9500000000116"/>
    <n v="150000"/>
    <n v="146706.04999999999"/>
    <s v=""/>
    <n v="146706.04999999999"/>
    <n v="130454.72"/>
    <n v="24340"/>
    <n v="9840"/>
    <x v="0"/>
    <x v="0"/>
    <n v="146706.04999999999"/>
    <n v="-136866.04999999999"/>
    <x v="13"/>
    <s v="FE"/>
    <s v="12124 - UPI Payment Received"/>
    <s v="DURGA"/>
    <x v="0"/>
    <x v="0"/>
    <s v="DOORNO 318 CHINAPALAKALURUVILLAGE GUNTUR MANDAL   GTR ANP 522005 "/>
    <s v="DOORNO 318 CHINAPALAKALURUVILLAGE GUNTUR MANDAL   GTR ANP 522005 "/>
    <s v="GUNTUR"/>
    <x v="3"/>
    <x v="17"/>
    <s v="DURGA"/>
    <n v="801723195"/>
    <s v="Sgr@9290"/>
    <m/>
    <m/>
    <x v="0"/>
    <s v="LIVE"/>
    <s v="Customer given House address visited customer live responded to payment given ptp today evening"/>
    <x v="17"/>
    <d v="2026-04-13T00:00:00"/>
    <n v="-9920"/>
    <s v="ICICI Gold Business Card (BCCL-V)"/>
    <s v="5TH JUNE"/>
    <d v="2026-06-03T00:00:00"/>
  </r>
  <r>
    <s v="6528681658870008"/>
    <s v="MR SYED ISMAIL BASHA"/>
    <n v="0"/>
    <x v="0"/>
    <m/>
    <m/>
    <s v="N"/>
    <x v="13"/>
    <s v="8885104101"/>
    <s v="X"/>
    <n v="-4482.6499999999942"/>
    <n v="150000"/>
    <n v="145517.35"/>
    <s v=""/>
    <n v="145517.35"/>
    <n v="135000"/>
    <n v="23680"/>
    <n v="6750"/>
    <x v="1"/>
    <x v="1"/>
    <n v="0"/>
    <n v="6750"/>
    <x v="1"/>
    <s v="NA"/>
    <n v="0"/>
    <s v="DURGA"/>
    <x v="0"/>
    <x v="2"/>
    <s v="HNO 17 21 32 GOD GIFT BUILDLING 1ST FLOOR NADAR STREET PLOT NO 4 NR RCM CHRUCH VIJAYAWADA VIJAYAWADA ANP 520003"/>
    <s v="INTEGRATED WIRELESS SOLUTIONS PVT LTF VIPURAM TILAK ROAD RAJAMNDRI RAJAMNDRI RAJAHMUNDRY ANP 533106"/>
    <s v="VIJAYAWADA"/>
    <x v="0"/>
    <x v="22"/>
    <s v="SUDHAKAR"/>
    <n v="802913252"/>
    <s v="Ssd@9290"/>
    <m/>
    <m/>
    <x v="0"/>
    <s v="MESS"/>
    <s v="Customer new traced address _x000a_Currently unavailable informed to his mother"/>
    <x v="20"/>
    <s v=""/>
    <n v="0"/>
    <s v="ICICI Bank Coral RuPay Credit Card"/>
    <s v="6TH JUNE"/>
    <d v="2026-06-03T00:00:00"/>
  </r>
  <r>
    <s v="4035620023282003"/>
    <s v="MR DASTAIAH K"/>
    <n v="0"/>
    <x v="0"/>
    <m/>
    <m/>
    <s v="N"/>
    <x v="13"/>
    <s v="8464882524"/>
    <s v="X"/>
    <n v="11334.320000000007"/>
    <n v="130000"/>
    <n v="141334.32"/>
    <n v="84947"/>
    <n v="56387.32"/>
    <n v="44972.78"/>
    <n v="33720"/>
    <n v="17100"/>
    <x v="1"/>
    <x v="1"/>
    <n v="0"/>
    <n v="17100"/>
    <x v="1"/>
    <s v="NA"/>
    <s v="12111-ICICI BANK COLLECTION PAYMENT"/>
    <s v="DURGA"/>
    <x v="0"/>
    <x v="1"/>
    <s v="2 238 GANDED MAHAMMADABAD MAHABUBNAGAR   NR SUB STATION MAHBOOBNAGAR MAHBOOBNAGAR TNG 509337"/>
    <s v="DASTAIAH ENTERPRISES 2 238 GANDEDI MAHABUBNAGAR   MAHBOOBNAGAR TNG 509337"/>
    <s v="MAHBOOBNAGAR"/>
    <x v="1"/>
    <x v="23"/>
    <s v="SAMBA"/>
    <n v="801772794"/>
    <s v="Ssde@9876"/>
    <m/>
    <m/>
    <x v="1"/>
    <m/>
    <m/>
    <x v="10"/>
    <d v="2024-06-28T00:00:00"/>
    <n v="36246.89"/>
    <s v="ICICI Bank Sapphiro Visa Credit Card"/>
    <s v="6TH JUNE"/>
    <d v="2026-06-03T00:00:00"/>
  </r>
  <r>
    <s v="4035621508155003"/>
    <s v="MR SALEEM SHAIK"/>
    <n v="0"/>
    <x v="0"/>
    <m/>
    <m/>
    <s v="N"/>
    <x v="13"/>
    <s v="9491917048"/>
    <s v="X"/>
    <n v="13167.619999999995"/>
    <n v="120000"/>
    <n v="133167.62"/>
    <s v=""/>
    <n v="133167.62"/>
    <n v="117999"/>
    <n v="33710"/>
    <n v="14580"/>
    <x v="1"/>
    <x v="1"/>
    <n v="0"/>
    <n v="14580"/>
    <x v="1"/>
    <s v="NA"/>
    <n v="0"/>
    <s v="DURGA"/>
    <x v="0"/>
    <x v="0"/>
    <s v="&quot;PHASE 2,FLAT NO 12&quot; SRINIVASA BRINDAVANAM &quot;PEDDAPADUGUPADU,KOVUR&quot; K C P CEMENT GODOWN NELLORE NELLORE ANP 524137"/>
    <s v="GOVERNMENT OF ANDHRA PRADESH MPPS HIGH SCHOOL &quot;PALLIPETA KUPPAM,TADA&quot; &quot;PALLIPETA KUPPAM,TADA&quot; GUDUR ANP 524124"/>
    <s v="NELLORE"/>
    <x v="4"/>
    <x v="12"/>
    <s v="B SURESH"/>
    <n v="801570488"/>
    <s v="Ssd@9290"/>
    <m/>
    <m/>
    <x v="0"/>
    <s v="DL"/>
    <s v=" cm given ptp today evening sir // :cm door locked sir and cm call not answering sir // cm not available in the given third party address sir"/>
    <x v="21"/>
    <d v="2024-12-09T00:00:00"/>
    <n v="1202"/>
    <s v="ICICI Bank Coral Credit Card"/>
    <s v="6TH JUNE"/>
    <d v="2026-06-03T00:00:00"/>
  </r>
  <r>
    <s v="4102020446256007"/>
    <s v="MR VEMULA THIRUMALESH"/>
    <n v="0"/>
    <x v="0"/>
    <m/>
    <m/>
    <s v="N"/>
    <x v="13"/>
    <s v="9885400916"/>
    <s v="Y"/>
    <n v="-168980.75"/>
    <n v="300000"/>
    <n v="131019.25"/>
    <s v=""/>
    <n v="131019.25"/>
    <n v="120000"/>
    <n v="18470"/>
    <n v="7090"/>
    <x v="0"/>
    <x v="2"/>
    <n v="14190"/>
    <n v="-7100"/>
    <x v="1"/>
    <s v="LO"/>
    <s v="30501-BBPS Payment received"/>
    <s v="DURGA"/>
    <x v="0"/>
    <x v="0"/>
    <s v="23 1 49 GANDHI ROAD INDHIRA GANDHI STATCHI  ONGOLE ONGOLE ANP 523001 "/>
    <s v="THIRUMALA DURGA JEWELLERS 23 1 345 GANDHI ROAD ONGOLE   ONGOLE ANP 523001 "/>
    <s v="ONGOLE"/>
    <x v="5"/>
    <x v="42"/>
    <s v="IMAMVALLI"/>
    <n v="802789320"/>
    <s v="Ssd@9290"/>
    <m/>
    <m/>
    <x v="0"/>
    <s v="LIVE"/>
    <s v="ch request to ask for  2 days of time // oor locked. Revisiting evening"/>
    <x v="17"/>
    <d v="2026-01-29T00:00:00"/>
    <n v="18000"/>
    <s v="ICICI Gold Business Card (BCCL-V)"/>
    <s v="5TH JUNE"/>
    <d v="2026-06-03T00:00:00"/>
  </r>
  <r>
    <s v="4085110073981000"/>
    <s v="MR PRAVEEN BANDANATHAM KUMAR"/>
    <n v="0"/>
    <x v="0"/>
    <m/>
    <m/>
    <s v="N"/>
    <x v="13"/>
    <s v="7093209981"/>
    <s v="X"/>
    <n v="-120399.83"/>
    <n v="250000"/>
    <n v="129600.17"/>
    <s v=""/>
    <n v="129600.17"/>
    <n v="115276.82"/>
    <n v="20990"/>
    <n v="8470"/>
    <x v="0"/>
    <x v="0"/>
    <n v="80000"/>
    <n v="-71530"/>
    <x v="12"/>
    <s v="FE"/>
    <s v="12124 - UPI Payment Received"/>
    <s v="DURGA"/>
    <x v="0"/>
    <x v="0"/>
    <s v="&quot;8-50-A GANDHI NAGAR,DHARMAVARAM,&quot; ANANTAPUR  MAIN ROAD HINDUPUR HINDUPUR ANP 515671"/>
    <s v="HCL TECHNOLOGIES LIMITED &quot;PLOT NO.H-01B,PHOENIX AVANCE SEZ&quot; &quot;INTERNAL RD,HYDERABAD&quot; &quot;INTERNAL RD,HYDERABAD&quot; HYDERABAD TNG 500081"/>
    <s v="HINDUPUR"/>
    <x v="2"/>
    <x v="26"/>
    <s v="T SRINIVAS"/>
    <n v="802030802"/>
    <s v="Sgr@0987"/>
    <m/>
    <m/>
    <x v="0"/>
    <m/>
    <m/>
    <x v="10"/>
    <d v="2026-04-11T00:00:00"/>
    <n v="21350"/>
    <s v="Mine Credit Card by ICICI Bank Visa Card"/>
    <s v="6TH JUNE"/>
    <d v="2026-06-03T00:00:00"/>
  </r>
  <r>
    <s v="4035620551834001"/>
    <s v="Mr VENNAPUSA PARAMESWARA RED"/>
    <n v="0"/>
    <x v="0"/>
    <m/>
    <m/>
    <s v="N"/>
    <x v="13"/>
    <s v="8008667717"/>
    <s v="X"/>
    <n v="-182018.25"/>
    <n v="310000"/>
    <n v="127981.75"/>
    <n v="63242.720000000001"/>
    <n v="64739.03"/>
    <n v="47617.53"/>
    <n v="55200"/>
    <n v="36800"/>
    <x v="0"/>
    <x v="0"/>
    <n v="55200"/>
    <n v="-18400"/>
    <x v="21"/>
    <s v="FE"/>
    <s v="30501-BBPS Payment received"/>
    <s v="DURGA"/>
    <x v="0"/>
    <x v="0"/>
    <s v="13/574A TADIPATRI K V REDDY NAGAR   TADPATRI ANP 515411 "/>
    <s v="INDIA INFOLINE LTD NIL NIL NIL TADPATRI ANP 515411 "/>
    <s v="ANANTAPUR"/>
    <x v="2"/>
    <x v="26"/>
    <s v="T SRINIVAS"/>
    <n v="802030802"/>
    <s v="Sgr@0987"/>
    <m/>
    <m/>
    <x v="0"/>
    <s v="SKIP"/>
    <s v="Customer house shifted _x000a_Customer calls not responding _x000a_Customer father number:079893 64522"/>
    <x v="17"/>
    <d v="2026-02-13T00:00:00"/>
    <n v="3"/>
    <s v="ICICI Bank Coral Credit Card"/>
    <s v="5TH JUNE"/>
    <d v="2026-06-03T00:00:00"/>
  </r>
  <r>
    <s v="4035621410783009"/>
    <s v="MR C SUDHAKAR"/>
    <n v="0"/>
    <x v="0"/>
    <m/>
    <m/>
    <s v="N"/>
    <x v="13"/>
    <s v="6262728296"/>
    <s v="X"/>
    <n v="5690.6399999999994"/>
    <n v="120000"/>
    <n v="125690.64"/>
    <s v=""/>
    <n v="125690.64"/>
    <n v="111298"/>
    <n v="26770"/>
    <n v="9280"/>
    <x v="0"/>
    <x v="0"/>
    <n v="125690.64"/>
    <n v="-116410.64"/>
    <x v="20"/>
    <s v="FE"/>
    <s v="30501-BBPS Payment received"/>
    <s v="DURGA"/>
    <x v="0"/>
    <x v="0"/>
    <s v="&quot;2/82,KALAVAPALU,BELUGUPPA&quot; NEAR MAIN ROAD ANANTHAPUR NEAR MAIN ROAD ANANTAPUR ANANTAPUR ANP 515761"/>
    <s v="SHUCHI FILLING STATION &quot;2/82,KALAVAPALU&quot; &quot;BELUGUPPA,ANANTHAPUR&quot; &quot;BELUGUPPA,ANANTHAPUR&quot; ANANTAPUR ANP 515761"/>
    <s v="ANANTAPUR"/>
    <x v="2"/>
    <x v="26"/>
    <s v="T SRINIVAS"/>
    <n v="802030802"/>
    <s v="Sgr@0987"/>
    <m/>
    <m/>
    <x v="0"/>
    <s v="SKIP"/>
    <s v="Customer work address visited _x000a_Customer not available _x000a_Customer calls not responding"/>
    <x v="22"/>
    <d v="2024-12-09T00:00:00"/>
    <n v="9400"/>
    <s v="ICICI Bank Coral Credit Card"/>
    <s v="6TH JUNE"/>
    <d v="2026-06-03T00:00:00"/>
  </r>
  <r>
    <s v="4035621893725006"/>
    <s v="Mr GHATTEM YESU"/>
    <n v="0"/>
    <x v="0"/>
    <m/>
    <m/>
    <s v="N"/>
    <x v="13"/>
    <s v="9603920144"/>
    <s v="X"/>
    <n v="3569.5800000000017"/>
    <n v="120000"/>
    <n v="123569.58"/>
    <n v="90609.32"/>
    <n v="32960.26"/>
    <n v="26567.439999999999"/>
    <n v="18060"/>
    <n v="7599.99"/>
    <x v="1"/>
    <x v="1"/>
    <n v="0"/>
    <n v="7599.99"/>
    <x v="1"/>
    <s v="NA"/>
    <n v="0"/>
    <s v="DURGA"/>
    <x v="0"/>
    <x v="0"/>
    <s v="&quot;5-209,ETIPORA PERUPALEM NORTH,MOGALTUR,&quot; &quot;MANDALAM,PERUPALEM&quot;   BHIMAVARAM ANP 534281 "/>
    <s v="Gettam yesu Etipora Perupalem Perupalem BHIMAVARAM ANP 534281 "/>
    <s v="BHIMAVARAM"/>
    <x v="0"/>
    <x v="0"/>
    <s v="B NAGABABU"/>
    <n v="801448854"/>
    <s v="Sgr@9290"/>
    <m/>
    <m/>
    <x v="0"/>
    <s v="DL"/>
    <s v="Cmr house door locked , cmr not answering calls and cmr neighbour there message left"/>
    <x v="17"/>
    <d v="2026-04-04T00:00:00"/>
    <n v="0.7"/>
    <s v="ICICI Bank Coral Credit Card"/>
    <s v="5TH JUNE"/>
    <d v="2026-06-03T00:00:00"/>
  </r>
  <r>
    <s v="4102020477906009"/>
    <s v="MR PICHERI MASTHAN"/>
    <n v="0"/>
    <x v="0"/>
    <m/>
    <m/>
    <s v="N"/>
    <x v="13"/>
    <s v="9515292874"/>
    <s v="X"/>
    <n v="-29562.869999999995"/>
    <n v="150000"/>
    <n v="120437.13"/>
    <s v=""/>
    <n v="120437.13"/>
    <n v="106183.95"/>
    <n v="20660"/>
    <n v="8450"/>
    <x v="1"/>
    <x v="1"/>
    <n v="0"/>
    <n v="8450"/>
    <x v="1"/>
    <s v="NA"/>
    <n v="0"/>
    <s v="DURGA"/>
    <x v="0"/>
    <x v="0"/>
    <s v="H 38 MATHER MITTA VARADAHAPALAM   XX TIRUPATHI TIRUPATHI ANP 517541"/>
    <s v="SRI VENKATA SAI ENTERPRISES 1 38 MATHERI MITTA CHILAMATHURU   TIRUPATHI ANP 517541"/>
    <s v="TIRUPATHI"/>
    <x v="2"/>
    <x v="33"/>
    <s v="GUNASEKAR"/>
    <n v="802241455"/>
    <s v="Sgr@9290"/>
    <m/>
    <m/>
    <x v="1"/>
    <m/>
    <m/>
    <x v="10"/>
    <d v="2026-04-09T00:00:00"/>
    <n v="13600"/>
    <s v="ICICI Gold Business Card (BCCL-V)"/>
    <s v="6TH JUNE"/>
    <d v="2026-06-03T00:00:00"/>
  </r>
  <r>
    <s v="4035620485355008"/>
    <s v="MR P BHARATH REDDY"/>
    <n v="0"/>
    <x v="0"/>
    <m/>
    <m/>
    <s v="N"/>
    <x v="13"/>
    <s v="7032068885"/>
    <s v="X"/>
    <n v="8838.9499999999971"/>
    <n v="110000"/>
    <n v="118838.95"/>
    <s v=""/>
    <n v="118838.95"/>
    <n v="109742"/>
    <n v="28200"/>
    <n v="6070"/>
    <x v="1"/>
    <x v="1"/>
    <n v="0"/>
    <n v="6070"/>
    <x v="1"/>
    <s v="NA"/>
    <n v="0"/>
    <s v="DURGA"/>
    <x v="0"/>
    <x v="0"/>
    <s v="H.NO 9-193 BIJINAPALLY MANDAL RAM NAGAR COLONY MAHBUBNAGAR WANAPARTHY TNG 509203 "/>
    <s v="CGI INFORMATION SYSTEMS AND MANAGEMENT C 2ND FLOOR BLOCK NO 3 PLOT NO 129/132 DLF CYBER CITY APHB COLONY GACHIBOWLI DLF CYBER CITY APHB COLONY GACHIBOWLI HYDERABAD TNG 500032 "/>
    <s v="WANAPARTHY"/>
    <x v="1"/>
    <x v="23"/>
    <s v="SAMBA"/>
    <n v="801772794"/>
    <s v="Ssde@9876"/>
    <m/>
    <m/>
    <x v="1"/>
    <m/>
    <m/>
    <x v="10"/>
    <d v="2024-07-18T00:00:00"/>
    <n v="4074.21"/>
    <s v="ICICI Bank Coral Credit Card"/>
    <s v="5TH JUNE"/>
    <d v="2026-06-03T00:00:00"/>
  </r>
  <r>
    <s v="4035621534911007"/>
    <s v="MR SYED QUADRI"/>
    <n v="0"/>
    <x v="0"/>
    <m/>
    <m/>
    <s v="N"/>
    <x v="13"/>
    <s v="8501031167"/>
    <s v="X"/>
    <n v="-1750.6999999999971"/>
    <n v="120000"/>
    <n v="118249.3"/>
    <n v="30014.080000000002"/>
    <n v="88235.22"/>
    <n v="77208.97"/>
    <n v="28670"/>
    <n v="12990"/>
    <x v="0"/>
    <x v="0"/>
    <n v="54863"/>
    <n v="-41873"/>
    <x v="22"/>
    <s v="FE"/>
    <s v="12111-ICICI BANK COLLECTION PAYMENT"/>
    <s v="DURGA"/>
    <x v="0"/>
    <x v="0"/>
    <s v="&quot;16-1-119 KHADAPURA,STREET,KHUBSURAT MASJID,&quot; &quot;BACK SIDE,KURNOOL&quot;   KURNOOL ANP 518001 "/>
    <s v="Syed Arshad Quadri Nil Nil Nil KURNOOL ANP 518001 "/>
    <s v="KURNOOL"/>
    <x v="2"/>
    <x v="19"/>
    <s v="SAMBA"/>
    <n v="801772794"/>
    <s v="Ssde@9876"/>
    <m/>
    <m/>
    <x v="0"/>
    <s v="LIVE"/>
    <s v="Customer out of station.contact by phone he told that he will meet on Sunday sir"/>
    <x v="16"/>
    <d v="2026-03-03T00:00:00"/>
    <n v="12000"/>
    <s v="ICICI Bank Coral Credit Card"/>
    <s v="5TH JUNE"/>
    <d v="2026-06-03T00:00:00"/>
  </r>
  <r>
    <s v="4315810015328044"/>
    <s v="Mr VERAVALLI K CHAKRAVARTHI"/>
    <n v="0"/>
    <x v="0"/>
    <m/>
    <m/>
    <s v="N"/>
    <x v="13"/>
    <s v="9963839302"/>
    <s v="X"/>
    <n v="-165442.87"/>
    <n v="280000"/>
    <n v="114557.13"/>
    <s v=""/>
    <n v="114557.13"/>
    <n v="101395.45"/>
    <n v="19600"/>
    <n v="5960"/>
    <x v="0"/>
    <x v="2"/>
    <n v="6000"/>
    <n v="-40"/>
    <x v="23"/>
    <s v="TC"/>
    <s v="30501-BBPS Payment received"/>
    <s v="DURGA"/>
    <x v="0"/>
    <x v="0"/>
    <s v="&quot;1-63,POTLURU,POTLURU,SAVALYAPURAM&quot;    NARASARAOPET ANP 522646 "/>
    <s v="AMRITA SAI INSTITUTE OF SCIENCE AND TECHNOLOGY Paritala Kanchikacherla Kanchikacherla KANCHIKACHERLA ANP 521180 "/>
    <s v="NARASARAOPET"/>
    <x v="3"/>
    <x v="39"/>
    <s v="IMAMVALLI"/>
    <n v="802789320"/>
    <s v="Ssd@9290"/>
    <m/>
    <m/>
    <x v="0"/>
    <m/>
    <m/>
    <x v="10"/>
    <d v="2026-03-16T00:00:00"/>
    <n v="96.79"/>
    <s v="Amazon Pay ICICI Bank Credit Card"/>
    <s v="5TH JUNE"/>
    <d v="2026-06-03T00:00:00"/>
  </r>
  <r>
    <s v="4035621788601007"/>
    <s v="MR PURINI SAI KISHORE"/>
    <n v="0"/>
    <x v="0"/>
    <m/>
    <m/>
    <s v="N"/>
    <x v="13"/>
    <s v="8790978796"/>
    <s v="X"/>
    <n v="3132.9700000000012"/>
    <n v="110000"/>
    <n v="113132.97"/>
    <n v="90017.46"/>
    <n v="23115.51"/>
    <n v="17169.689999999999"/>
    <n v="16000"/>
    <n v="6610"/>
    <x v="1"/>
    <x v="1"/>
    <n v="0"/>
    <n v="6610"/>
    <x v="1"/>
    <s v="NA"/>
    <n v="0"/>
    <s v="DURGA"/>
    <x v="0"/>
    <x v="0"/>
    <s v="&quot;000,CHEMBADIPALEM CHAVALI,POST,.,&quot; &quot;PELLAKURU CHAVALI,.&quot;  MAIN ROAD GUDUR ANP 524126 "/>
    <s v="COLLABERA TECHNOLOGIES PRIVATE LIMITED &quot;3RD FLOOR, APEX PLAZA, NUNGAMBAKKAM HIGH&quot; &quot;RD, DR THIRUMOORTHY NAGAR MAIN RD, TIRUM&quot; &quot;RD, DR THIRUMOORTHY NAGAR MAIN RD, TIRUM&quot; CHENNAI TMN 600034 "/>
    <s v="GUDUR"/>
    <x v="4"/>
    <x v="12"/>
    <s v="B SURESH"/>
    <n v="801570488"/>
    <s v="Ssd@9290"/>
    <m/>
    <m/>
    <x v="0"/>
    <s v="SKIP"/>
    <s v="cm not available in the given address sir and at present cm was in Chennai cm call not answering sir"/>
    <x v="17"/>
    <d v="2026-02-05T00:00:00"/>
    <n v="2450"/>
    <s v="ICICI Sapphiro Master PLT Chip Card"/>
    <s v="5TH JUNE"/>
    <d v="2026-06-03T00:00:00"/>
  </r>
  <r>
    <s v="4035622088665007"/>
    <s v="MR EDUGURALA  EDUGURALA SRINIVAS"/>
    <n v="0"/>
    <x v="0"/>
    <m/>
    <m/>
    <s v="N"/>
    <x v="13"/>
    <s v="9059344151"/>
    <s v="X"/>
    <n v="10586.61"/>
    <n v="100000"/>
    <n v="110586.61"/>
    <s v=""/>
    <n v="110586.61"/>
    <n v="98095"/>
    <n v="31910"/>
    <n v="15650"/>
    <x v="0"/>
    <x v="0"/>
    <n v="110586.61"/>
    <n v="-94936.61"/>
    <x v="1"/>
    <s v="D"/>
    <s v="30501-BBPS Payment received"/>
    <s v="DURGA"/>
    <x v="0"/>
    <x v="0"/>
    <s v="&quot;3-7-96,VAVILAPALLI,KARIMNAGAR&quot;    RAMPUR TNG 505001 "/>
    <s v="       "/>
    <s v="KARIMNAGAR"/>
    <x v="1"/>
    <x v="8"/>
    <s v="V Sridhar"/>
    <n v="801174030"/>
    <s v="Sgr@0987"/>
    <m/>
    <m/>
    <x v="0"/>
    <s v="LIVE"/>
    <s v="Customer address visited Customer live in adrees and going ptp tomorrow evening"/>
    <x v="16"/>
    <d v="2026-04-15T00:00:00"/>
    <n v="80"/>
    <s v="ICICI Bank Coral Credit Card"/>
    <s v="5TH JUNE"/>
    <d v="2026-06-03T00:00:00"/>
  </r>
  <r>
    <s v="4102021153333005"/>
    <s v="MR VELANGI ARAVINDHA SWAMY"/>
    <n v="0"/>
    <x v="0"/>
    <m/>
    <m/>
    <s v="N"/>
    <x v="13"/>
    <s v="7036617785"/>
    <s v="X"/>
    <n v="10049.619999999995"/>
    <n v="100000"/>
    <n v="110049.62"/>
    <s v=""/>
    <n v="110049.62"/>
    <n v="98531.66"/>
    <n v="27200"/>
    <n v="9650"/>
    <x v="0"/>
    <x v="0"/>
    <n v="30000"/>
    <n v="-20350"/>
    <x v="15"/>
    <s v="FE"/>
    <s v="30501-BBPS Payment received"/>
    <s v="DURGA"/>
    <x v="0"/>
    <x v="0"/>
    <s v="NO 2 7 KOTMAPETA VALUTHIMMAPURAM PEDDAPURAM NEAR DURGAMMA TEMPLE PEDDAPURAM ANP 533437 "/>
    <s v="A S INFRA SERVICES NO 2 18 VALUTHIMMAPURAM VALUTHIMMAPURAM PEDDAPURAM ANP 533437 "/>
    <s v="PEDDAPURAM"/>
    <x v="0"/>
    <x v="16"/>
    <s v="UDAY"/>
    <n v="801436997"/>
    <s v="Ssd@9290"/>
    <m/>
    <m/>
    <x v="0"/>
    <m/>
    <m/>
    <x v="10"/>
    <d v="2026-03-17T00:00:00"/>
    <n v="16540"/>
    <s v="ICICI Gold Business Card (BCCL-V)"/>
    <s v="5TH JUNE"/>
    <d v="2026-06-03T00:00:00"/>
  </r>
  <r>
    <s v="4035621425943002"/>
    <s v="MR NANDINI DHANAVATHU"/>
    <n v="0"/>
    <x v="0"/>
    <m/>
    <m/>
    <s v="N"/>
    <x v="13"/>
    <s v="9390585418"/>
    <s v="X"/>
    <n v="8928.4199999999983"/>
    <n v="100000"/>
    <n v="108928.42"/>
    <s v=""/>
    <n v="108928.42"/>
    <n v="98521.2"/>
    <n v="25000"/>
    <n v="8570"/>
    <x v="0"/>
    <x v="2"/>
    <n v="10000"/>
    <n v="-1430"/>
    <x v="22"/>
    <s v="FE"/>
    <s v="30501-BBPS Payment received"/>
    <s v="DURGA"/>
    <x v="0"/>
    <x v="0"/>
    <s v="1-3 &quot;RA 0001,MIRYALAGUDA RAVINDRA NAGAR&quot; OPP DURGA PRASAD HOUSE NEAR GREEN CITY SURYAPET TNG 508207 "/>
    <s v="MEDICAL COLLEGE RIMS COLLEGE ONGOLE ONGOLE ONGOLE ANP 523001 "/>
    <s v="ONGOLE"/>
    <x v="1"/>
    <x v="18"/>
    <s v="INAMUL"/>
    <n v="802823175"/>
    <s v="Sgr@9290"/>
    <m/>
    <m/>
    <x v="0"/>
    <s v="MESS"/>
    <s v="Customer Adress visit, customer is Live and Customer catd used Father and Father is Govt teacher and prasent  going Janaganana program and call Answer and Call back evening and ptp on Tommorow and Father Number ( 9704589933 )"/>
    <x v="18"/>
    <d v="2024-07-04T00:00:00"/>
    <n v="5480"/>
    <s v="ICICI Bank Coral Credit Card"/>
    <s v="5TH JUNE"/>
    <d v="2026-06-03T00:00:00"/>
  </r>
  <r>
    <s v="4035620582099004"/>
    <s v="MS EMMADISETTY HARIKA"/>
    <n v="0"/>
    <x v="0"/>
    <m/>
    <m/>
    <s v="N"/>
    <x v="13"/>
    <s v="9333888143"/>
    <s v="X"/>
    <n v="8604.4600000000064"/>
    <n v="100000"/>
    <n v="108604.46"/>
    <s v=""/>
    <n v="108604.46"/>
    <n v="99409.56"/>
    <n v="27080"/>
    <n v="5570"/>
    <x v="1"/>
    <x v="1"/>
    <n v="0"/>
    <n v="5570"/>
    <x v="1"/>
    <s v="NA"/>
    <s v="12111-ICICI BANK COLLECTION PAYMENT"/>
    <s v="DURGA"/>
    <x v="0"/>
    <x v="0"/>
    <s v="&quot;000,MAIN ROAD RUMMADIVARAM,PULLALACHERUV&quot; &quot;U,,PULLALACHERUVU&quot;  NEAR BY TEMPLE NANDYAL ANP 523328 "/>
    <s v="AMARNATH AGENCIES D NO 2/31 KOLUKULA YARRAGONDAPALEM YARRAGONDAPALEM NANDYAL ANP 523327 "/>
    <s v="NANDYAL"/>
    <x v="2"/>
    <x v="39"/>
    <s v="IMAMVALLI"/>
    <n v="802789320"/>
    <s v="Ssd@9290"/>
    <m/>
    <m/>
    <x v="1"/>
    <m/>
    <m/>
    <x v="10"/>
    <d v="2025-10-18T00:00:00"/>
    <n v="25990.01"/>
    <s v="ICICI Bank Coral Credit Card"/>
    <s v="5TH JUNE"/>
    <d v="2026-06-03T00:00:00"/>
  </r>
  <r>
    <s v="4102020455544004"/>
    <s v="Ms. YALLA  BALAIAH"/>
    <n v="0"/>
    <x v="0"/>
    <m/>
    <m/>
    <s v="N"/>
    <x v="13"/>
    <s v="7013838685"/>
    <s v="X"/>
    <n v="5984.1199999999953"/>
    <n v="100000"/>
    <n v="105984.12"/>
    <s v=""/>
    <n v="105984.12"/>
    <n v="93526.89"/>
    <n v="23200"/>
    <n v="6550"/>
    <x v="0"/>
    <x v="0"/>
    <n v="23501"/>
    <n v="-16951"/>
    <x v="22"/>
    <s v="FE"/>
    <s v="12101-INFINITY PYMT RCVD"/>
    <s v="DURGA"/>
    <x v="0"/>
    <x v="1"/>
    <s v="&quot;SURVEY NO 360,HYD ROAD,MANIKANTA ELECTRICALS&quot;    NZM TNG 503230 "/>
    <s v="&quot;SURVEY NO 360,HYD ROAD,MANIKANTA ELECTRICALS&quot;    NZM TNG 503230 "/>
    <s v="NIZAMABAD"/>
    <x v="1"/>
    <x v="20"/>
    <s v="D RAMU"/>
    <n v="802663344"/>
    <s v="Sgr@9290"/>
    <m/>
    <m/>
    <x v="0"/>
    <s v="LIVE"/>
    <s v="customer paymet on twommro // customer paymet today evening"/>
    <x v="20"/>
    <d v="2026-04-16T00:00:00"/>
    <n v="20000"/>
    <s v="ICICI Gold Business Card (BCCL-V)"/>
    <s v="5TH JUNE"/>
    <d v="2026-06-03T00:00:00"/>
  </r>
  <r>
    <s v="4035620890827005"/>
    <s v="MR RATHOD JAIPAL"/>
    <n v="0"/>
    <x v="0"/>
    <m/>
    <m/>
    <s v="N"/>
    <x v="13"/>
    <s v="9676218854"/>
    <s v="X"/>
    <n v="5681.5200000000041"/>
    <n v="100000"/>
    <n v="105681.52"/>
    <s v=""/>
    <n v="105681.52"/>
    <n v="94322.33"/>
    <n v="21750"/>
    <n v="5830"/>
    <x v="0"/>
    <x v="2"/>
    <n v="5830"/>
    <n v="0"/>
    <x v="12"/>
    <s v="FE"/>
    <s v="12124 - UPI Payment Received"/>
    <s v="DURGA"/>
    <x v="0"/>
    <x v="0"/>
    <s v="&quot;1-38,LAL TEKIDI LAL TEKIDI,WALGANDA,.,.,&quot; &quot;.,.&quot;  ADILABAD ADILABAD TNG 504346 "/>
    <s v="INFOSYS LIMITED PLOT NO 1 RAJIV GANDHI INFOTECH PARK HINJEWADI PHASE 2 PIMPRI CHINCHWAD HINJEWADI PHASE 2 PIMPRI CHINCHWAD PUNE MAH 411057 "/>
    <s v="ADILABAD"/>
    <x v="1"/>
    <x v="35"/>
    <s v="KANTH"/>
    <n v="802794852"/>
    <s v="Ssd@9290"/>
    <m/>
    <m/>
    <x v="0"/>
    <m/>
    <m/>
    <x v="10"/>
    <d v="2025-06-13T00:00:00"/>
    <n v="10710"/>
    <s v="ICICI Bank Coral Credit Card"/>
    <s v="5TH JUNE"/>
    <d v="2026-06-03T00:00:00"/>
  </r>
  <r>
    <s v="4035621828585004"/>
    <s v="MR MACHERLA BIKSHAPATHI"/>
    <n v="0"/>
    <x v="0"/>
    <m/>
    <m/>
    <s v="N"/>
    <x v="13"/>
    <s v="8555072268"/>
    <s v="X"/>
    <n v="10793.270000000004"/>
    <n v="90000"/>
    <n v="100793.27"/>
    <n v="8725.67"/>
    <n v="92067.6"/>
    <n v="80806.87"/>
    <n v="33980"/>
    <n v="13040"/>
    <x v="0"/>
    <x v="0"/>
    <n v="33980"/>
    <n v="-20940"/>
    <x v="12"/>
    <s v="FE"/>
    <s v="12111-ICICI BANK COLLECTION PAYMENT"/>
    <s v="DURGA"/>
    <x v="0"/>
    <x v="0"/>
    <s v="&quot;H NO 8-72/18,DHARMASAGAR,DHARMASAGAR MND&quot;    WARANGAL TNG 506142 "/>
    <s v="Not Applicable &quot;8-72/18, sc colony, dharmasagar village and mandal&quot; Hanamkonda dist Hanamkonda dist WARANGAL TNG 506142 "/>
    <s v="WARANGAL"/>
    <x v="1"/>
    <x v="2"/>
    <s v="CHAITANYA"/>
    <n v="802555024"/>
    <s v="Ssde@9290"/>
    <m/>
    <m/>
    <x v="0"/>
    <m/>
    <m/>
    <x v="10"/>
    <d v="2026-03-31T00:00:00"/>
    <n v="28970"/>
    <s v="ICICI Bank Coral Credit Card"/>
    <s v="5TH JUNE"/>
    <d v="2026-06-03T00:00:00"/>
  </r>
  <r>
    <s v="4035621284272006"/>
    <s v="MR RATHOD CHANDULAL"/>
    <n v="0"/>
    <x v="0"/>
    <m/>
    <m/>
    <s v="N"/>
    <x v="13"/>
    <s v="9177440557"/>
    <s v="Y"/>
    <n v="-119515.18"/>
    <n v="220000"/>
    <n v="100484.82"/>
    <s v=""/>
    <n v="100484.82"/>
    <n v="92042.2"/>
    <n v="13800"/>
    <n v="5030"/>
    <x v="0"/>
    <x v="2"/>
    <n v="5030"/>
    <n v="0"/>
    <x v="12"/>
    <s v="FE"/>
    <s v="12124 - UPI Payment Received"/>
    <s v="DURGA"/>
    <x v="0"/>
    <x v="0"/>
    <s v="&quot;5-1,ANJANI TANDA ANJANI,TANDA,TANDA,KUSL&quot; &quot;I,&quot;  ANJANI TANDA ADILABAD TNG 504104 "/>
    <s v="SELF H.NO 5-1 ANJANI TANDA 5-1 ANJANI TANDA ADILABAD TNG 504104 "/>
    <s v="ADILABAD"/>
    <x v="1"/>
    <x v="35"/>
    <s v="KANTH"/>
    <n v="802794852"/>
    <s v="Ssd@9290"/>
    <m/>
    <m/>
    <x v="0"/>
    <s v="LIVE"/>
    <s v="Customer visit office address meet customer PTP 13th"/>
    <x v="11"/>
    <d v="2026-04-28T00:00:00"/>
    <n v="500"/>
    <s v="ICICI Bank Coral Credit Card"/>
    <s v="5TH JUNE"/>
    <d v="2026-06-03T00:00:00"/>
  </r>
  <r>
    <s v="4102021230753001"/>
    <s v="Ms. BOMMINENI SUBBARAO"/>
    <n v="0"/>
    <x v="0"/>
    <m/>
    <m/>
    <s v="N"/>
    <x v="13"/>
    <s v="8142116111"/>
    <s v="X"/>
    <n v="9504.1699999999983"/>
    <n v="90000"/>
    <n v="99504.17"/>
    <s v=""/>
    <n v="99504.17"/>
    <n v="89637.72"/>
    <n v="24420"/>
    <n v="7560.99"/>
    <x v="0"/>
    <x v="2"/>
    <n v="7566"/>
    <n v="-5.0100000000002183"/>
    <x v="22"/>
    <s v="TC"/>
    <s v="12124 - UPI Payment Received"/>
    <s v="DURGA"/>
    <x v="0"/>
    <x v="0"/>
    <s v="5 353PAPPULA STREETSTONEHOUSEPET MAIN &quot;ROAD TADIKALA,BAZAAR CENTER NELLORE SRI&quot;   NEL ANP 524002 "/>
    <s v="5 353PAPPULA STREETSTONEHOUSEPET MAIN &quot;ROAD TADIKALA,BAZAAR CENTER NELLORE SRI&quot;   NEL ANP 524002 "/>
    <s v="NELLORE"/>
    <x v="4"/>
    <x v="12"/>
    <s v="B SURESH"/>
    <n v="801570488"/>
    <s v="Ssd@9290"/>
    <m/>
    <m/>
    <x v="0"/>
    <s v="SKIP"/>
    <s v="cm address not found sir and cm call not answering sir"/>
    <x v="16"/>
    <d v="2026-04-08T00:00:00"/>
    <n v="94400"/>
    <s v="ICICI Gold Business Card (BCCL-V)"/>
    <s v="5TH JUNE"/>
    <d v="2026-06-03T00:00:00"/>
  </r>
  <r>
    <s v="4035621151911009"/>
    <s v="MR DASAGANI NARASIMHAR"/>
    <n v="0"/>
    <x v="0"/>
    <m/>
    <m/>
    <s v="N"/>
    <x v="13"/>
    <s v="9493331433"/>
    <s v="X"/>
    <n v="5763.0200000000041"/>
    <n v="90000"/>
    <n v="95763.02"/>
    <s v=""/>
    <n v="95763.02"/>
    <n v="84438.59"/>
    <n v="21620"/>
    <n v="5560"/>
    <x v="0"/>
    <x v="0"/>
    <n v="21620"/>
    <n v="-16060"/>
    <x v="21"/>
    <s v="FE"/>
    <s v="30501-BBPS Payment received"/>
    <s v="DURGA"/>
    <x v="0"/>
    <x v="0"/>
    <s v="5 7 MOTAPURAM MOTAPURAM ENLAKONDAPLLI KONDAPALLI  KHAMMAM TNG 507160 "/>
    <s v="SRI RAJA RAJESWARI CONSTRUCTIONS INDIA P KATTARAMPUR KARIMNAGAR NEAR MAHALAXMI NAGAR NEAR MAHALAXMI NAGAR ADILABAD TNG 505001 "/>
    <s v="KHAMMAM"/>
    <x v="1"/>
    <x v="24"/>
    <s v="POORNIMA"/>
    <n v="802824019"/>
    <s v="Nihan@2421"/>
    <m/>
    <m/>
    <x v="0"/>
    <m/>
    <m/>
    <x v="10"/>
    <d v="2026-03-31T00:00:00"/>
    <n v="1728.3"/>
    <s v="ICICI Bank Coral Credit Card"/>
    <s v="5TH JUNE"/>
    <d v="2026-06-03T00:00:00"/>
  </r>
  <r>
    <s v="4035620516770019"/>
    <s v="MR GODISELA SURYA VAMSHI"/>
    <n v="0"/>
    <x v="0"/>
    <m/>
    <m/>
    <s v="N"/>
    <x v="13"/>
    <s v="9182299093"/>
    <s v="X"/>
    <n v="5416.8699999999953"/>
    <n v="89512"/>
    <n v="94928.87"/>
    <n v="14472.96"/>
    <n v="80455.91"/>
    <n v="70316.570000000007"/>
    <n v="21020"/>
    <n v="7650"/>
    <x v="1"/>
    <x v="1"/>
    <n v="0"/>
    <n v="7650"/>
    <x v="1"/>
    <s v="NA"/>
    <n v="0"/>
    <s v="DURGA"/>
    <x v="0"/>
    <x v="0"/>
    <s v="&quot;11-42,ground,godisela venkataswamy&quot; &quot;1,harijanawada&quot; utnoor near angadi bazar ADILABAD TNG 504311 "/>
    <s v="SELF EMPLOYED RANI SATHI COLONY BESIDE PANCHAVATI HOTE BESIDE KARUR VYSTABANK BESIDE KARUR VYSTABANK ADILABAD TNG 504001 "/>
    <s v="ADILABAD"/>
    <x v="1"/>
    <x v="35"/>
    <s v="KANTH"/>
    <n v="802794852"/>
    <s v="Ssd@9290"/>
    <m/>
    <m/>
    <x v="0"/>
    <s v="SKIP"/>
    <s v="Customer visit office address Not available close the Shop ask the nighbour no one not respond customer phone call not respond please provide the FULL KYC DETAILS"/>
    <x v="11"/>
    <d v="2025-02-16T00:00:00"/>
    <n v="9300"/>
    <s v="ICICI Bank Coral Credit Card"/>
    <s v="5TH JUNE"/>
    <d v="2026-06-03T00:00:00"/>
  </r>
  <r>
    <s v="4035621365246002"/>
    <s v="Mr CHIGULLAPALLY  RENUKA"/>
    <n v="0"/>
    <x v="0"/>
    <m/>
    <m/>
    <s v="N"/>
    <x v="13"/>
    <s v="6304760529"/>
    <s v="X"/>
    <n v="-17411.050000000003"/>
    <n v="110000"/>
    <n v="92588.95"/>
    <s v=""/>
    <n v="92588.95"/>
    <n v="83104.55"/>
    <n v="18830"/>
    <n v="9509.6200000000008"/>
    <x v="1"/>
    <x v="1"/>
    <n v="0"/>
    <n v="9509.6200000000008"/>
    <x v="1"/>
    <s v="NA"/>
    <n v="0"/>
    <s v="DURGA"/>
    <x v="0"/>
    <x v="1"/>
    <s v="&quot;4 4,68 BRAHMANWADI,MAHABUBNAGAR&quot;    NALGONDA TNG 509001 "/>
    <s v="Not Applicable NAAA NAAA NAAA NALGONDA TNG 509001 "/>
    <s v="MAHBOOBNAGAR"/>
    <x v="1"/>
    <x v="23"/>
    <s v="SAMBA"/>
    <n v="801772794"/>
    <s v="Ssde@9876"/>
    <m/>
    <m/>
    <x v="0"/>
    <s v="MESS"/>
    <s v="Sir Visited Coustomer House _x000a_Coustomer Not available _x000a_Coustomer son is available _x000a_Call Back to Evning.."/>
    <x v="18"/>
    <d v="2026-05-06T00:00:00"/>
    <n v="2780.38"/>
    <s v="ICICI Bank Coral Credit Card"/>
    <s v="5TH JUNE"/>
    <d v="2026-06-03T00:00:00"/>
  </r>
  <r>
    <s v="4035620307346003"/>
    <s v="MR NIMMALAPUDI PRADEEP CHOWDARY"/>
    <n v="0"/>
    <x v="0"/>
    <m/>
    <m/>
    <s v="N"/>
    <x v="13"/>
    <s v="9515439312"/>
    <s v="X"/>
    <n v="-8019.1999999999971"/>
    <n v="100000"/>
    <n v="91980.800000000003"/>
    <s v=""/>
    <n v="91980.800000000003"/>
    <n v="84366.2"/>
    <n v="16500"/>
    <n v="8170"/>
    <x v="0"/>
    <x v="2"/>
    <n v="8170"/>
    <n v="0"/>
    <x v="21"/>
    <s v="TC"/>
    <s v="30501-BBPS Payment received"/>
    <s v="DURGA"/>
    <x v="0"/>
    <x v="0"/>
    <s v="&quot;12-23-3/49,,Tanuku&quot; krishna nagar tanuku tanuku mandalam Tanuku WEST GODAVARI  TANUKU ANP 534211 "/>
    <s v="CGI INFORMATION SYSTEMS AND MANAGEMENT C DELOITTE DR HITEC CITY   HYDERABAD TNG 500081 "/>
    <s v="TANUKU"/>
    <x v="0"/>
    <x v="13"/>
    <s v="MANIKANTA"/>
    <n v="802852449"/>
    <s v="Ssd@9290"/>
    <m/>
    <m/>
    <x v="0"/>
    <s v="SKIP"/>
    <s v="Custmor not lived sir // Custmor not lived sir"/>
    <x v="21"/>
    <d v="2026-05-08T00:00:00"/>
    <n v="10000"/>
    <s v="ICICI Bank Coral Credit Card"/>
    <s v="5TH JUNE"/>
    <d v="2026-06-03T00:00:00"/>
  </r>
  <r>
    <s v="4035620574528002"/>
    <s v="MR KARRE BHASKAR"/>
    <n v="0"/>
    <x v="0"/>
    <m/>
    <m/>
    <s v="N"/>
    <x v="13"/>
    <s v="8374471027"/>
    <s v="X"/>
    <n v="10378.649999999994"/>
    <n v="80000"/>
    <n v="90378.65"/>
    <s v=""/>
    <n v="90378.65"/>
    <n v="76498"/>
    <n v="28430"/>
    <n v="11224.6"/>
    <x v="0"/>
    <x v="0"/>
    <n v="90378.65"/>
    <n v="-79154.049999999988"/>
    <x v="1"/>
    <s v="D"/>
    <s v="12111-ICICI BANK COLLECTION PAYMENT"/>
    <s v="DURGA"/>
    <x v="0"/>
    <x v="0"/>
    <s v="&quot;6-17,MANDAL NARMETTA,TARIGIPPULA,&quot; &quot;THARIGOPPULA,WARANGAL 506224 TG&quot;  OPP MARAKADAYA TEMPLE WARANGAL TNG 506224 "/>
    <s v="KRIAHNA TREDERS 6-17 TARIGOPPULA MANDAL NARMEETTA MANDAL NARMEETTA WARANGAL TNG 506224 "/>
    <s v="WARANGAL"/>
    <x v="1"/>
    <x v="21"/>
    <s v="RAJKUMAR"/>
    <n v="802835406"/>
    <s v="Ssde@9290"/>
    <m/>
    <m/>
    <x v="0"/>
    <m/>
    <m/>
    <x v="10"/>
    <d v="2026-03-12T00:00:00"/>
    <n v="85035.01"/>
    <s v="ICICI Bank Coral Credit Card"/>
    <s v="5TH JUNE"/>
    <d v="2026-06-03T00:00:00"/>
  </r>
  <r>
    <s v="4035621351053008"/>
    <s v="MRS P NAVEENA"/>
    <n v="0"/>
    <x v="0"/>
    <m/>
    <m/>
    <s v="N"/>
    <x v="13"/>
    <s v="9052574150"/>
    <s v="X"/>
    <n v="9813.4700000000012"/>
    <n v="80000"/>
    <n v="89813.47"/>
    <s v=""/>
    <n v="89813.47"/>
    <n v="79750.58"/>
    <n v="27020"/>
    <n v="10660"/>
    <x v="1"/>
    <x v="1"/>
    <n v="0"/>
    <n v="10660"/>
    <x v="1"/>
    <s v="NA"/>
    <n v="0"/>
    <s v="DURGA"/>
    <x v="0"/>
    <x v="0"/>
    <s v="TIRUPATI SIVAGANGANAR2 AVILALA Chittoor TRU ANP 517507 "/>
    <s v="501 5TH FLOOR TIRUMALA TOWERS TIRUMALA TOWERS TRU ANP 517501 "/>
    <s v="TIRUPATHI"/>
    <x v="2"/>
    <x v="33"/>
    <s v="GUNASEKAR"/>
    <n v="802241455"/>
    <s v="Sgr@9290"/>
    <m/>
    <m/>
    <x v="1"/>
    <m/>
    <m/>
    <x v="10"/>
    <d v="2025-11-07T00:00:00"/>
    <n v="16600"/>
    <s v="ICICI Bank Coral Credit Card"/>
    <s v="5TH JUNE"/>
    <d v="2026-06-03T00:00:00"/>
  </r>
  <r>
    <s v="4035620961051006"/>
    <s v="MR GADI NAVEENKUMAR"/>
    <n v="0"/>
    <x v="0"/>
    <m/>
    <m/>
    <s v="N"/>
    <x v="13"/>
    <s v="9089474468"/>
    <s v="X"/>
    <n v="9669.5399999999936"/>
    <n v="80000"/>
    <n v="89669.54"/>
    <s v=""/>
    <n v="89669.54"/>
    <n v="79961.960000000006"/>
    <n v="42820"/>
    <n v="19580"/>
    <x v="1"/>
    <x v="1"/>
    <n v="0"/>
    <n v="19580"/>
    <x v="1"/>
    <s v="NA"/>
    <n v="0"/>
    <s v="DURGA"/>
    <x v="0"/>
    <x v="0"/>
    <s v="&quot;1-110/2 RUDRAGUDEM,MANDAL&quot; NALLABELLY  NEAR BC COLONY WARANGAL TNG 506349 "/>
    <s v="INFOSYS LIMITED SURVEY NO.210 MANIKONGA VILLAGE LINGMPALLY LINGMPALLY HYDERABAD TNG 500019 "/>
    <s v="WARANGAL"/>
    <x v="1"/>
    <x v="2"/>
    <s v="CHAITANYA"/>
    <n v="802555024"/>
    <s v="Ssde@9290"/>
    <m/>
    <m/>
    <x v="0"/>
    <s v="MESS"/>
    <s v="Visited Customer Residence Address Customer Not Available Inform To His Mother"/>
    <x v="18"/>
    <d v="2026-01-03T00:00:00"/>
    <n v="17150"/>
    <s v="ICICI Bank Coral Credit Card"/>
    <s v="5TH JUNE"/>
    <d v="2026-06-03T00:00:00"/>
  </r>
  <r>
    <s v="4035622100105008"/>
    <s v="MS SINGARAM SAIPRIYA"/>
    <n v="0"/>
    <x v="0"/>
    <m/>
    <m/>
    <s v="N"/>
    <x v="13"/>
    <s v="7396544104"/>
    <s v="X"/>
    <n v="-10765.029999999999"/>
    <n v="100000"/>
    <n v="89234.97"/>
    <s v=""/>
    <n v="89234.97"/>
    <n v="79047.33"/>
    <n v="14890"/>
    <n v="5970"/>
    <x v="0"/>
    <x v="0"/>
    <n v="14890"/>
    <n v="-8920"/>
    <x v="1"/>
    <s v="D"/>
    <s v="12111-ICICI BANK COLLECTION PAYMENT"/>
    <s v="DURGA"/>
    <x v="0"/>
    <x v="0"/>
    <s v="&quot;H NO,1-89 FAROOQNAGAR MANDAL,HAJIPALLE,&quot; PIDIKIRYAL MAHABUB NAGAR - MAHABUB NAGAR TNG 509410 "/>
    <s v="GITAM HYDERABAD BUSINESS SCHOOL HYDERABA GITAM COLLEGE &quot;GITAM UNIVERSITY, RUDRARAM, TELANGANA&quot; &quot;GITAM UNIVERSITY, RUDRARAM, TELANGANA&quot; HYDERABAD TNG 502329 "/>
    <s v="WANAPARTHY"/>
    <x v="1"/>
    <x v="23"/>
    <s v="SAMBA"/>
    <n v="801772794"/>
    <s v="Ssde@9876"/>
    <m/>
    <m/>
    <x v="0"/>
    <m/>
    <m/>
    <x v="10"/>
    <d v="2026-04-10T00:00:00"/>
    <n v="13160"/>
    <s v="ICICI Bank Coral Credit Card"/>
    <s v="5TH JUNE"/>
    <d v="2026-06-03T00:00:00"/>
  </r>
  <r>
    <s v="4035621562144000"/>
    <s v="MRS SHAIK BEGUM"/>
    <n v="0"/>
    <x v="0"/>
    <m/>
    <m/>
    <s v="N"/>
    <x v="13"/>
    <s v="9177987029"/>
    <s v="X"/>
    <n v="-10984.600000000006"/>
    <n v="100000"/>
    <n v="89015.4"/>
    <s v=""/>
    <n v="89015.4"/>
    <n v="79785.820000000007"/>
    <n v="29540"/>
    <n v="12610"/>
    <x v="0"/>
    <x v="2"/>
    <n v="12700"/>
    <n v="-90"/>
    <x v="23"/>
    <s v="FE"/>
    <s v="30501-BBPS Payment received"/>
    <s v="DURGA"/>
    <x v="0"/>
    <x v="0"/>
    <s v="&quot;FLAT,NO 503 SIVA NAGA SAI,RESIDENCY,&quot; &quot;NAVABHARAT,COLONY 4TH LINE GUNTUR&quot;   GUNTUR ANP 522001 "/>
    <s v="Cashfree payments India Pvt Lt Guntur Guntur Guntur GUNTUR ANP 522001 "/>
    <s v="GUNTUR"/>
    <x v="3"/>
    <x v="17"/>
    <s v="DURGA"/>
    <n v="801723195"/>
    <s v="Sgr@9290"/>
    <m/>
    <m/>
    <x v="0"/>
    <s v="LIVE"/>
    <s v="CUSTOMER GIVEN HOUSE ADDRESS VISTED CUSTOMER LIVE CUSTOMER HUSBAND RESPONDED ABOUT PAYMENT GIVEN PTP TODAY AFTERNOON // CUSTOMER GIVEN HOUSE ADDRESS REVISTED CUSTOMER LIVE CUSTOMER SAID CALL BACK IN ONE HOUR PTP TODAY 1:30 PM"/>
    <x v="23"/>
    <d v="2026-03-31T00:00:00"/>
    <n v="24320"/>
    <s v="ICICI Bank Coral Credit Card"/>
    <s v="5TH JUNE"/>
    <d v="2026-06-03T00:00:00"/>
  </r>
  <r>
    <s v="4035621675077006"/>
    <s v="MR DANDUBOINA SATISH"/>
    <n v="0"/>
    <x v="0"/>
    <m/>
    <s v="CC"/>
    <s v="N"/>
    <x v="13"/>
    <s v="7995198678"/>
    <s v="X"/>
    <n v="8681.1999999999971"/>
    <n v="80000"/>
    <n v="88681.2"/>
    <n v="44717.760000000002"/>
    <n v="43963.44"/>
    <n v="35278.239999999998"/>
    <n v="13600"/>
    <n v="5400"/>
    <x v="0"/>
    <x v="0"/>
    <n v="43963.44"/>
    <n v="-38563.440000000002"/>
    <x v="1"/>
    <s v="D"/>
    <s v="12101-INFINITY PYMT RCVD"/>
    <s v="DURGA"/>
    <x v="0"/>
    <x v="0"/>
    <s v="&quot;4-228,SAALI PETA RAMALAYAM,DAGGARA,&quot; &quot;MALIKIPURAM,MALIKIPURAM MANDALAM&quot;   EAST GODAVARI ANP 533253 "/>
    <s v="COGNIZANT TECHNOLOGY SOLUTIONS &quot;Malikipuram,opposite maruthi showroom&quot; Malikipuram mandal Malikipuram mandal SAKHINETIPALLI ANP 533250 "/>
    <s v="AMALAPURAM"/>
    <x v="0"/>
    <x v="40"/>
    <s v="POORNIMA"/>
    <n v="802824019"/>
    <s v="Nihan@2421"/>
    <m/>
    <m/>
    <x v="0"/>
    <m/>
    <m/>
    <x v="10"/>
    <d v="2026-04-08T00:00:00"/>
    <n v="33648"/>
    <s v="ICICI Bank Coral Credit Card"/>
    <s v="5TH JUNE"/>
    <d v="2026-06-03T00:00:00"/>
  </r>
  <r>
    <s v="4035620252467002"/>
    <s v="MR BRAMHAIAH RAMESH"/>
    <n v="0"/>
    <x v="0"/>
    <m/>
    <m/>
    <s v="N"/>
    <x v="13"/>
    <s v="9703418143"/>
    <s v="X"/>
    <n v="8369.1699999999983"/>
    <n v="80000"/>
    <n v="88369.17"/>
    <s v=""/>
    <n v="88369.17"/>
    <n v="79562.89"/>
    <n v="21570"/>
    <n v="7760"/>
    <x v="1"/>
    <x v="1"/>
    <n v="0"/>
    <n v="7760"/>
    <x v="1"/>
    <s v="NA"/>
    <n v="0"/>
    <s v="DURGA"/>
    <x v="0"/>
    <x v="1"/>
    <s v="H NO-1-4-3/2A BHEEMNAGAR GADWAL   NEAR AMBEDKAR CHOWK MAHBOOBNAGAR TNG 509125 "/>
    <s v="MS LAXMI BALAJI TRADERS PLOT NO-188 JOGULAMBA GADWAL   MAHBOOBNAGAR TNG 509128 "/>
    <s v="MAHBOOBNAGAR"/>
    <x v="2"/>
    <x v="23"/>
    <s v="SAMBA"/>
    <n v="801772794"/>
    <s v="Ssde@9876"/>
    <m/>
    <m/>
    <x v="1"/>
    <m/>
    <m/>
    <x v="10"/>
    <d v="2025-09-09T00:00:00"/>
    <n v="7620"/>
    <s v="ICICI Bank Coral Credit Card"/>
    <s v="5TH JUNE"/>
    <d v="2026-06-03T00:00:00"/>
  </r>
  <r>
    <s v="4035620652549003"/>
    <s v="MR DEVARA NAVEEN"/>
    <n v="0"/>
    <x v="0"/>
    <m/>
    <m/>
    <s v="N"/>
    <x v="13"/>
    <s v="7032340930"/>
    <s v="X"/>
    <n v="-1744.1000000000058"/>
    <n v="90000"/>
    <n v="88255.9"/>
    <n v="44765.99"/>
    <n v="43489.91"/>
    <n v="37431.980000000003"/>
    <n v="18740"/>
    <n v="8060"/>
    <x v="0"/>
    <x v="0"/>
    <n v="43489.91"/>
    <n v="-35429.910000000003"/>
    <x v="22"/>
    <s v="TC"/>
    <s v="30501-BBPS Payment received"/>
    <s v="DURGA"/>
    <x v="0"/>
    <x v="0"/>
    <s v="&quot;1-174,SUNKU LAMMA PALEM SUNKU,LAMMA,&quot; &quot;PALEM,,TADPATRI,. ANANTAPUR&quot; ANDHRAPRADESH NR DURGA MATA TEMPLE ANANTAPUR ANP 515411 "/>
    <s v="TATA CONSULTANCY SERVICES LIMITED &quot;SAHYADRI PARK PLOT NO.2,3 PHASE 3 MAN&quot; RAJIV GANDHI INFOTECH PARK PUNE RAJIV GANDHI INFOTECH PARK PUNE PUNE MAH 411057 "/>
    <s v="ANANTAPUR"/>
    <x v="2"/>
    <x v="26"/>
    <s v="T SRINIVAS"/>
    <n v="802030802"/>
    <s v="Sgr@0987"/>
    <m/>
    <m/>
    <x v="0"/>
    <s v="LIVE"/>
    <s v="Customer not available _x000a_Customer calls back in 1hour"/>
    <x v="17"/>
    <d v="2023-05-02T00:00:00"/>
    <n v="76590.77"/>
    <s v="ICICI Bank Coral Credit Card"/>
    <s v="5TH JUNE"/>
    <d v="2026-06-03T00:00:00"/>
  </r>
  <r>
    <s v="4035621434489005"/>
    <s v="MR MANNEPALLI VAMSI"/>
    <n v="0"/>
    <x v="0"/>
    <m/>
    <m/>
    <s v="N"/>
    <x v="13"/>
    <s v="7995580281"/>
    <s v="X"/>
    <n v="-56811.94"/>
    <n v="140000"/>
    <n v="83188.06"/>
    <n v="3416.23"/>
    <n v="79771.83"/>
    <n v="74665.58"/>
    <n v="16250"/>
    <n v="9071"/>
    <x v="0"/>
    <x v="2"/>
    <n v="9071"/>
    <n v="0"/>
    <x v="1"/>
    <s v="D"/>
    <s v="30501-BBPS Payment received"/>
    <s v="DURGA"/>
    <x v="0"/>
    <x v="0"/>
    <s v="&quot;11/699,KATARI PALEM,A CSUBBAREDDYRD,&quot; NEAR SIRI CINIMAHALL  MAIN ROAD NELLORE ANP 524001 "/>
    <s v="HEXAWARE TECHNOLOGIES LTD CHENNAI CHENNAI CHENNAI CHENNAI TMN 600086 "/>
    <s v="NELLORE"/>
    <x v="4"/>
    <x v="12"/>
    <s v="B SURESH"/>
    <n v="801570488"/>
    <s v="Ssd@9290"/>
    <m/>
    <m/>
    <x v="0"/>
    <m/>
    <m/>
    <x v="10"/>
    <d v="2025-10-23T00:00:00"/>
    <n v="5273"/>
    <s v="ICICI Bank Coral Credit Card"/>
    <s v="5TH JUNE"/>
    <d v="2026-06-03T00:00:00"/>
  </r>
  <r>
    <s v="4035620888721004"/>
    <s v="Mr ARURIRAJASHEKAR"/>
    <n v="0"/>
    <x v="0"/>
    <m/>
    <m/>
    <s v="N"/>
    <x v="13"/>
    <s v="9701172750"/>
    <s v="X"/>
    <n v="-1056"/>
    <n v="80000"/>
    <n v="78944"/>
    <s v=""/>
    <n v="78944"/>
    <n v="69572.600000000006"/>
    <n v="13070"/>
    <n v="4870"/>
    <x v="1"/>
    <x v="1"/>
    <n v="0"/>
    <n v="4870"/>
    <x v="1"/>
    <s v="NA"/>
    <n v="0"/>
    <s v="DURGA"/>
    <x v="0"/>
    <x v="0"/>
    <s v="&quot;1-10-12 SC COLONY,GHANPUR,STATION,&quot; &quot;MANDAL NASHKAL,.&quot;   WARANGAL TNG 506144 "/>
    <s v="ACCLIN PATH LABS INDIA PVT LTD VIKRAMPURI COLONY KHARKANA KHARKANA HYDERABAD TNG 500009 "/>
    <s v="WARANGAL"/>
    <x v="1"/>
    <x v="2"/>
    <s v="CHAITANYA"/>
    <n v="802555024"/>
    <s v="Ssde@9290"/>
    <m/>
    <m/>
    <x v="0"/>
    <s v="SKIP"/>
    <s v="Visited Customer Residence Customer Not Available Customer Staying in Hyderabad Confirm to Niebours"/>
    <x v="15"/>
    <d v="2026-02-28T00:00:00"/>
    <n v="26.18"/>
    <s v="ICICI Bank Coral Credit Card"/>
    <s v="5TH JUNE"/>
    <d v="2026-06-03T00:00:00"/>
  </r>
  <r>
    <s v="4035621411325008"/>
    <s v="Mr SURENDRA SINGH"/>
    <n v="0"/>
    <x v="0"/>
    <m/>
    <m/>
    <s v="N"/>
    <x v="13"/>
    <s v="8855907773"/>
    <s v="X"/>
    <n v="-12701.759999999995"/>
    <n v="90000"/>
    <n v="77298.240000000005"/>
    <s v=""/>
    <n v="77298.240000000005"/>
    <n v="67747.59"/>
    <n v="13570"/>
    <n v="5590"/>
    <x v="0"/>
    <x v="2"/>
    <n v="6550"/>
    <n v="-960"/>
    <x v="22"/>
    <s v="FE"/>
    <s v="30501-BBPS Payment received"/>
    <s v="DURGA"/>
    <x v="0"/>
    <x v="0"/>
    <s v="&quot;P NO,1 VALIGONDA ROAD,CHOUTUPPAL OPP MS,&quot; GLASS WORKS   NALGONDA TNG 508252 "/>
    <s v="RAMDEV PLYWOOD AND HARDWARE PLOT NO 11/12 CHOUTUPPAL CHOUTUPPAL NALGONDA TNG 508252 "/>
    <s v="NALGONDA"/>
    <x v="1"/>
    <x v="18"/>
    <s v="INAMUL"/>
    <n v="802823175"/>
    <s v="Sgr@9290"/>
    <m/>
    <m/>
    <x v="0"/>
    <s v="LIVE"/>
    <s v="Customer Adress visit, customer is Live and customer ptp on Monday // Customer Adress visit, customer is Live and customer ptp 1hour // Custmor PTP  19 // Customer Adress visit, customer is Live and Customer ptp in 5mints"/>
    <x v="22"/>
    <d v="2024-03-20T00:00:00"/>
    <n v="3065"/>
    <s v="ICICI Bank Coral Credit Card"/>
    <s v="5TH JUNE"/>
    <d v="2026-06-03T00:00:00"/>
  </r>
  <r>
    <s v="4035620713355002"/>
    <s v="MR KODADHALA MALLESH"/>
    <n v="0"/>
    <x v="0"/>
    <m/>
    <m/>
    <s v="N"/>
    <x v="13"/>
    <s v="8465820097"/>
    <s v="X"/>
    <n v="10241.779999999999"/>
    <n v="64000"/>
    <n v="74241.78"/>
    <s v=""/>
    <n v="74241.78"/>
    <n v="64042.63"/>
    <n v="25910"/>
    <n v="14310"/>
    <x v="0"/>
    <x v="2"/>
    <n v="14310"/>
    <n v="0"/>
    <x v="1"/>
    <s v="LO"/>
    <s v="12124 - UPI Payment Received"/>
    <s v="DURGA"/>
    <x v="0"/>
    <x v="0"/>
    <s v="2 130 1 MUSHAMPALLY NALGONDA NALGONDA  NALGONDA TNG 508247 "/>
    <s v="SRI RENUKA YELLAMMA POULTRY FROM NEAR NALGONDA NALGONDA NALGONDA NALGONDA TNG 508247 "/>
    <s v="NALGONDA"/>
    <x v="1"/>
    <x v="18"/>
    <s v="INAMUL"/>
    <n v="802823175"/>
    <s v="Sgr@9290"/>
    <m/>
    <m/>
    <x v="0"/>
    <s v="LIVE"/>
    <s v="Customer Adress Visit, Customer prasent in Sheri lingotam village going to work purpose call answer ptp on Thursday"/>
    <x v="18"/>
    <d v="2025-10-10T00:00:00"/>
    <n v="2900"/>
    <s v="ICICI Bank Coral Credit Card"/>
    <s v="5TH JUNE"/>
    <d v="2026-06-03T00:00:00"/>
  </r>
  <r>
    <s v="4748467748551017"/>
    <s v="MR BUNNI RAJENDER"/>
    <n v="0"/>
    <x v="0"/>
    <m/>
    <m/>
    <s v="N"/>
    <x v="13"/>
    <s v="9866178887"/>
    <s v="X"/>
    <n v="3451.820000000007"/>
    <n v="65000"/>
    <n v="68451.820000000007"/>
    <n v="54440.18"/>
    <n v="14011.64"/>
    <n v="10049.700000000001"/>
    <n v="14011.64"/>
    <n v="6358.42"/>
    <x v="0"/>
    <x v="0"/>
    <n v="14011.64"/>
    <n v="-7653.2199999999993"/>
    <x v="23"/>
    <s v="TC"/>
    <s v="30501-BBPS Payment received"/>
    <s v="DURGA"/>
    <x v="0"/>
    <x v="1"/>
    <s v="H NO 3-7-133 NIZAMABAD KOTAGALLY NEAR RAJIV GANDHI STATUE NIZAMABAD TNG 503001 "/>
    <s v="EDUCATION DEPARTMENT &quot;JILLA PRASHUT SCHOOL, MOSAR&quot; NIZAMABED DIST NIZAMABED DIST NIZAMABAD TNG 503206 "/>
    <s v="NIZAMABAD"/>
    <x v="1"/>
    <x v="20"/>
    <s v="D RAMU"/>
    <n v="802663344"/>
    <s v="Sgr@9290"/>
    <m/>
    <m/>
    <x v="0"/>
    <s v="LIVE"/>
    <s v=" customer paymet on today evening"/>
    <x v="17"/>
    <d v="2025-07-31T00:00:00"/>
    <n v="13300"/>
    <s v="ICICI Bank Coral Credit Card"/>
    <s v="5TH JUNE"/>
    <d v="2026-06-03T00:00:00"/>
  </r>
  <r>
    <s v="4035621179411008"/>
    <s v="MR KUMMARI SRIHARI"/>
    <n v="0"/>
    <x v="0"/>
    <m/>
    <m/>
    <s v="N"/>
    <x v="13"/>
    <s v="8106710396"/>
    <s v="X"/>
    <n v="7810.8000000000029"/>
    <n v="60000"/>
    <n v="67810.8"/>
    <s v=""/>
    <n v="67810.8"/>
    <n v="55928.44"/>
    <n v="24620"/>
    <n v="11999.63"/>
    <x v="0"/>
    <x v="0"/>
    <n v="40485"/>
    <n v="-28485.370000000003"/>
    <x v="16"/>
    <s v="TC"/>
    <s v="12111-ICICI BANK COLLECTION PAYMENT"/>
    <s v="DURGA"/>
    <x v="0"/>
    <x v="0"/>
    <s v="&quot;3-60,KUCHCHERKAL,KUCHERKAL,KUCHCHERKAL&quot;    MAHABUB NAGAR TNG 509202 "/>
    <s v="Srihari 3-60 &quot;Kucherkal, Rajapur&quot; &quot;Kucherkal, Rajapur&quot; MAHABUBNAGAR TNG 509202 "/>
    <s v="WANAPARTHY"/>
    <x v="1"/>
    <x v="23"/>
    <s v="SAMBA"/>
    <n v="801772794"/>
    <s v="Ssde@9876"/>
    <m/>
    <m/>
    <x v="0"/>
    <m/>
    <m/>
    <x v="10"/>
    <d v="2026-03-06T00:00:00"/>
    <n v="709.67"/>
    <s v="ICICI Sapphiro Master PLT Chip Card"/>
    <s v="5TH JUNE"/>
    <d v="2026-06-03T00:00:00"/>
  </r>
  <r>
    <s v="4035621545900007"/>
    <s v="MR LACHIRAM RAMAVATH"/>
    <n v="0"/>
    <x v="0"/>
    <m/>
    <m/>
    <s v="N"/>
    <x v="13"/>
    <s v="9390562596"/>
    <s v="X"/>
    <n v="6929.3300000000017"/>
    <n v="60000"/>
    <n v="66929.33"/>
    <s v=""/>
    <n v="66929.33"/>
    <n v="59993.52"/>
    <n v="21280"/>
    <n v="6020"/>
    <x v="0"/>
    <x v="0"/>
    <n v="21280"/>
    <n v="-15260"/>
    <x v="13"/>
    <s v="FE"/>
    <s v="30501-BBPS Payment received"/>
    <s v="DURGA"/>
    <x v="0"/>
    <x v="0"/>
    <s v="AYYAPPA COLONY KALVAKUTHY ROAD &quot;DEVARAKONDA, NALGONDA&quot; NALGONDA NEAR MAIN ROAD NALGONDA TNG 508248 "/>
    <s v="GOVT OF TELANGANA ZTHS THOUKLATURE GUNDATALLY NALGONDA NALGONDA NALGONDA TNG 508252 "/>
    <s v="NALGONDA"/>
    <x v="1"/>
    <x v="18"/>
    <s v="INAMUL"/>
    <n v="802823175"/>
    <s v="Sgr@9290"/>
    <m/>
    <m/>
    <x v="0"/>
    <m/>
    <m/>
    <x v="10"/>
    <d v="2024-07-10T00:00:00"/>
    <n v="8000"/>
    <s v="ICICI Bank Coral Credit Card"/>
    <s v="5TH JUNE"/>
    <d v="2026-06-03T00:00:00"/>
  </r>
  <r>
    <s v="4375517555488008"/>
    <s v="MS JHANSI PRIYA GARIKINA"/>
    <n v="0"/>
    <x v="0"/>
    <m/>
    <m/>
    <s v="N"/>
    <x v="13"/>
    <s v="9666159781"/>
    <s v="X"/>
    <n v="6895.6900000000023"/>
    <n v="60000"/>
    <n v="66895.69"/>
    <s v=""/>
    <n v="66895.69"/>
    <n v="57574.879999999997"/>
    <n v="26400"/>
    <n v="15890"/>
    <x v="1"/>
    <x v="1"/>
    <n v="0"/>
    <n v="15890"/>
    <x v="1"/>
    <s v="NA"/>
    <n v="0"/>
    <s v="DURGA"/>
    <x v="0"/>
    <x v="0"/>
    <s v="D O GAIKINA VEERA BHADRA RAO 13 2 12 SURYARAO PETA LACHIRAJU VERI STREET KAKINADA NEAR RAGHAV ENDRA SWAMY TEMPLE KAKINADA ANP 533001 "/>
    <s v="MUNCIPAL CORPORATION DEPARTMENT MUNCIPAL CORPORATION BOYS HIGH SCHOOL PARADESAMMAPETA JAGANNAIKKPUR KAKINADA PARADESAMMAPETA JAGANNAIKKPUR KAKINADA KAKINADA ANP 533001 "/>
    <s v="KAKINADA"/>
    <x v="0"/>
    <x v="16"/>
    <s v="UDAY"/>
    <n v="801436997"/>
    <s v="Ssd@9290"/>
    <m/>
    <m/>
    <x v="0"/>
    <s v="DL"/>
    <s v="Customer address visit ch available address ch ptp on 2days // Customer address visit ch available address ch ptp on 2days sir // Customer address door lock // Customer address door lock // Customer address door lock_x000a_Call not answering sir"/>
    <x v="22"/>
    <d v="2024-07-04T00:00:00"/>
    <n v="62463.02"/>
    <s v="ICICI Bank Coral Credit Card"/>
    <s v="5TH JUNE"/>
    <d v="2026-06-03T00:00:00"/>
  </r>
  <r>
    <s v="4102021108338000"/>
    <s v="Ms. RAJASEKHAR NANNURU"/>
    <n v="0"/>
    <x v="0"/>
    <m/>
    <m/>
    <s v="N"/>
    <x v="13"/>
    <s v="9440155064"/>
    <s v="X"/>
    <n v="6277.0199999999968"/>
    <n v="50000"/>
    <n v="56277.02"/>
    <s v=""/>
    <n v="56277.02"/>
    <n v="47002.400000000001"/>
    <n v="19740"/>
    <n v="9220"/>
    <x v="0"/>
    <x v="2"/>
    <n v="9300"/>
    <n v="-80"/>
    <x v="22"/>
    <s v="TC"/>
    <s v="12124 - UPI Payment Received"/>
    <s v="DURGA"/>
    <x v="0"/>
    <x v="0"/>
    <s v="16174CROWN TALKIES ROAD TILAK &quot;NAGAR GUNTAKAL,ANANTAPUR, ANDHRA PRADESH 515801&quot;   GTK ANP 515801 "/>
    <s v="16174CROWN TALKIES ROAD TILAK &quot;NAGAR GUNTAKAL,ANANTAPUR, ANDHRA PRADESH 515801&quot;   GTK ANP 515801 "/>
    <s v="GUNTAKAL"/>
    <x v="2"/>
    <x v="26"/>
    <s v="T SRINIVAS"/>
    <n v="802030802"/>
    <s v="Sgr@0987"/>
    <m/>
    <m/>
    <x v="0"/>
    <s v="LIVE"/>
    <s v="Customer PTP on today evening"/>
    <x v="20"/>
    <d v="2026-04-16T00:00:00"/>
    <n v="2500"/>
    <s v="ICICI Gold Business Card (BCCL-V)"/>
    <s v="5TH JUNE"/>
    <d v="2026-06-03T00:00:00"/>
  </r>
  <r>
    <s v="4035620651602001"/>
    <s v="MR DEVATA CHARAN TEJA"/>
    <n v="0"/>
    <x v="0"/>
    <m/>
    <m/>
    <s v="N"/>
    <x v="13"/>
    <s v="7660098846"/>
    <s v="X"/>
    <n v="6251.6900000000023"/>
    <n v="50000"/>
    <n v="56251.69"/>
    <s v=""/>
    <n v="56251.69"/>
    <n v="49579.35"/>
    <n v="32070"/>
    <n v="19809.29"/>
    <x v="1"/>
    <x v="1"/>
    <n v="0"/>
    <n v="19809.29"/>
    <x v="1"/>
    <s v="NA"/>
    <n v="0"/>
    <s v="DURGA"/>
    <x v="0"/>
    <x v="0"/>
    <s v="DOOR NON 85 1 90 GT ROAD LAKSHMI NARAYANA APARTMENTS LAKSHMI NARAYANA PURAM MEDICAL CLUB NEAR MAIN ROAD GUNTUR ANP 522004 "/>
    <s v="BUBBLES HAIR AND BEAUTY 2 ND FLOOR  ASHOK NAGAR D NO 5 87 20 LAKSHMI PURAM MAIN ROAD D NO 5 87 20 LAKSHMI PURAM MAIN ROAD GUNTUR ANP 522007 "/>
    <s v="GUNTUR"/>
    <x v="3"/>
    <x v="17"/>
    <s v="DURGA"/>
    <n v="801723195"/>
    <s v="Sgr@9290"/>
    <m/>
    <m/>
    <x v="0"/>
    <s v="LIVE"/>
    <s v="Customer given working address visited customer live but customer unable to pay Bill payment provided injection letter // Customer given working address visited customer live but customer unable to pay Bill payment provided injection letter"/>
    <x v="21"/>
    <d v="2026-04-07T00:00:00"/>
    <n v="267"/>
    <s v="ICICI Bank Coral Credit Card"/>
    <s v="5TH JUNE"/>
    <d v="2026-06-03T00:00:00"/>
  </r>
  <r>
    <s v="4035621136497009"/>
    <s v="MR BOMMEDA RANJITH"/>
    <n v="0"/>
    <x v="0"/>
    <m/>
    <m/>
    <s v="N"/>
    <x v="13"/>
    <s v="7893590574"/>
    <s v="X"/>
    <n v="5742.2200000000012"/>
    <n v="50000"/>
    <n v="55742.22"/>
    <s v=""/>
    <n v="55742.22"/>
    <n v="49560.959999999999"/>
    <n v="14660"/>
    <n v="4920"/>
    <x v="1"/>
    <x v="1"/>
    <n v="0"/>
    <n v="4920"/>
    <x v="1"/>
    <s v="NA"/>
    <n v="0"/>
    <s v="DURGA"/>
    <x v="0"/>
    <x v="0"/>
    <s v="7 22 VENKATAPUR VENKATAPUR  WARANGAL TNG 506352 "/>
    <s v="ALKEM LABORATORIES LTD ALKEM HOUSE SB ROAD LOWER PAREL WEST MUMBAI SB ROAD LOWER PAREL WEST MUMBAI MUMBAI MAH 400013 "/>
    <s v="WARANGAL"/>
    <x v="1"/>
    <x v="2"/>
    <s v="CHAITANYA"/>
    <n v="802555024"/>
    <s v="Ssde@9290"/>
    <m/>
    <m/>
    <x v="1"/>
    <m/>
    <m/>
    <x v="10"/>
    <d v="2026-03-31T00:00:00"/>
    <n v="15010"/>
    <s v="ICICI Bank Coral Credit Card"/>
    <s v="5TH JUNE"/>
    <d v="2026-06-03T00:00:00"/>
  </r>
  <r>
    <s v="5253010004779015"/>
    <s v="MR SEGIREDDY SAI PRANEETH REDDY"/>
    <n v="0"/>
    <x v="0"/>
    <m/>
    <m/>
    <s v="N"/>
    <x v="13"/>
    <s v="9963274760"/>
    <s v="X"/>
    <n v="-47448.59"/>
    <n v="100000"/>
    <n v="52551.41"/>
    <n v="1202.5999999999999"/>
    <n v="51348.81"/>
    <n v="34588.58"/>
    <n v="27360"/>
    <n v="21610"/>
    <x v="1"/>
    <x v="1"/>
    <n v="0"/>
    <n v="21610"/>
    <x v="1"/>
    <s v="NA"/>
    <n v="0"/>
    <s v="DURGA"/>
    <x v="0"/>
    <x v="0"/>
    <s v="&quot;H.NO 1-286 KALLURU MANDAL,&quot; &quot;PANCHAYATHI OFFICE LINE BACKSIDE,&quot; KHAMMAM DISTIC. OPP. SOWMYA MEDICAL SHOP KHAMMAM TNG 507209 "/>
    <s v="MAHINDRA UNIVERSITY &quot;SURVEY NO 62/1A, BAHADURPALLY&quot; &quot;JEEDIMETLA, HYDERABAD, TELANGANA&quot; &quot;JEEDIMETLA, HYDERABAD, TELANGANA&quot; HYDERABAD TNG 500043 "/>
    <s v="KHAMMAM"/>
    <x v="1"/>
    <x v="36"/>
    <s v="SUDHAKAR"/>
    <n v="802913252"/>
    <s v="Ssd@9290"/>
    <m/>
    <m/>
    <x v="0"/>
    <s v="LIVE"/>
    <s v="Costumer present not available call answered PTP today evening sir"/>
    <x v="17"/>
    <d v="2025-09-03T00:00:00"/>
    <n v="1246.8399999999999"/>
    <s v="Mine Credit Card by ICICI Bank Mastercard"/>
    <s v="5TH JUNE"/>
    <d v="2026-06-03T00:00:00"/>
  </r>
  <r>
    <s v="4035626009863005"/>
    <s v="MR PERUMANDLA RAJU"/>
    <n v="0"/>
    <x v="2"/>
    <m/>
    <m/>
    <s v="N"/>
    <x v="14"/>
    <s v="7993384883"/>
    <m/>
    <n v="134252.70000000001"/>
    <m/>
    <n v="134252.70000000001"/>
    <m/>
    <m/>
    <m/>
    <n v="39880"/>
    <n v="15530"/>
    <x v="1"/>
    <x v="1"/>
    <n v="0"/>
    <n v="15530"/>
    <x v="1"/>
    <s v="NA"/>
    <n v="0"/>
    <s v="SAMBA"/>
    <x v="6"/>
    <x v="4"/>
    <m/>
    <m/>
    <s v="NALGONDA"/>
    <x v="1"/>
    <x v="43"/>
    <s v="POORNIMA"/>
    <n v="802824019"/>
    <s v="Nihan@2421"/>
    <m/>
    <m/>
    <x v="1"/>
    <m/>
    <m/>
    <x v="10"/>
    <m/>
    <m/>
    <m/>
    <s v="17TH JUNE"/>
    <m/>
  </r>
  <r>
    <s v="4501720817279002"/>
    <s v="MRS SANGALA MANJULA"/>
    <n v="0"/>
    <x v="0"/>
    <m/>
    <m/>
    <s v="N"/>
    <x v="15"/>
    <s v="7337597481"/>
    <s v="X"/>
    <n v="89762.189999999944"/>
    <n v="953000"/>
    <n v="1042762.19"/>
    <s v=""/>
    <n v="1042762.19"/>
    <n v="947000.82"/>
    <n v="271540"/>
    <n v="45423"/>
    <x v="1"/>
    <x v="1"/>
    <n v="0"/>
    <n v="45423"/>
    <x v="1"/>
    <s v="NA"/>
    <n v="0"/>
    <s v="SAMBA"/>
    <x v="2"/>
    <x v="0"/>
    <s v="&quot;DOOR,NO 13-3-558 KHAJA NAGAR,.&quot;    ANANTAPUR ANP 515001 "/>
    <s v="CHOLA PEOPLE AND MARKETING SER Nil Nil Nil ANANTAPUR ANP 515001"/>
    <s v="ANAPARTHI"/>
    <x v="2"/>
    <x v="26"/>
    <s v="T SRINIVAS"/>
    <n v="802030802"/>
    <s v="Sgr@0987"/>
    <m/>
    <m/>
    <x v="0"/>
    <s v="MESS"/>
    <s v="Customer house door locked _x000a_Customer phone PTP on 9th // Customer not available _x000a_Inform in  customer father _x000a_Customer calls not respondin // Customer house door locked _x000a_Customer calls not responding // Customer not available_x000a_Customer house door locked _x000a_Customer calls not responding// Customer work address visited _x000a_Customer not available _x000a_Waiting for location"/>
    <x v="24"/>
    <d v="2026-05-04T00:00:00"/>
    <n v="497"/>
    <s v="Manchester United Signature Credit Card by ICICI Bank"/>
    <s v="3RD JUNE"/>
    <d v="2026-06-05T00:00:00"/>
  </r>
  <r>
    <s v="4501721854644009"/>
    <s v="MR YENUGULA REDDY"/>
    <n v="0"/>
    <x v="0"/>
    <n v="1"/>
    <m/>
    <s v="N"/>
    <x v="15"/>
    <s v="8555804733"/>
    <s v="X"/>
    <n v="74250.760000000009"/>
    <n v="730000"/>
    <n v="804250.76"/>
    <s v=""/>
    <n v="804250.76"/>
    <n v="725880.16"/>
    <n v="190960"/>
    <n v="89570"/>
    <x v="1"/>
    <x v="1"/>
    <n v="0"/>
    <n v="89570"/>
    <x v="1"/>
    <s v="NA"/>
    <n v="0"/>
    <s v="SAMBA"/>
    <x v="3"/>
    <x v="0"/>
    <s v="&quot;1/13,MITTA PALLE MITTA PALLE,ANIMELA,&quot; &quot;CUDDAPAH,CUDDAPAH&quot;   CUDDAPAH ANP 516321 "/>
    <s v="VALUE LABS Na Na Na PRODDATUR ANP 516321"/>
    <s v="PRODDATUR"/>
    <x v="2"/>
    <x v="31"/>
    <s v="POORNIMA"/>
    <n v="802824019"/>
    <s v="Nihan@2421"/>
    <m/>
    <m/>
    <x v="1"/>
    <m/>
    <m/>
    <x v="10"/>
    <d v="2026-04-14T00:00:00"/>
    <n v="30000"/>
    <s v="ICICI Bank Sapphiro Visa Credit Card"/>
    <s v="3RD JUNE"/>
    <d v="2026-06-05T00:00:00"/>
  </r>
  <r>
    <s v="4375517693356000"/>
    <s v="MR DINESH T REDDY"/>
    <n v="0"/>
    <x v="0"/>
    <m/>
    <m/>
    <s v="N"/>
    <x v="15"/>
    <s v="7026464703"/>
    <s v="X"/>
    <n v="25387.010000000009"/>
    <n v="710000"/>
    <n v="735387.01"/>
    <n v="88504.18"/>
    <n v="646882.82999999996"/>
    <n v="597907.97"/>
    <n v="231380"/>
    <n v="101590"/>
    <x v="0"/>
    <x v="0"/>
    <n v="646882.82999999996"/>
    <n v="-545292.82999999996"/>
    <x v="24"/>
    <s v="TC"/>
    <s v="12111-ICICI BANK COLLECTION PAYMENT"/>
    <s v="SAMBA"/>
    <x v="1"/>
    <x v="0"/>
    <s v="&quot;26/3/,270,C/O T. Nagi Reddy&quot; &quot;,Vijaya Nagar Colony&quot; Melapuram Near Choudeswari Silks HINDUPUR ANP 515201 "/>
    <s v="CAPGEMINI TECHNOLOGY SERVICES I LTD B3 YOSEMITE AIROLI SEZ 1ST FLOOR AIROLI WEST AIROLI WEST MUMBAI MAH 400708"/>
    <s v="HINDUPUR"/>
    <x v="2"/>
    <x v="26"/>
    <s v="T SRINIVAS"/>
    <n v="802030802"/>
    <s v="Sgr@0987"/>
    <m/>
    <m/>
    <x v="0"/>
    <s v="LIVE"/>
    <s v="Customer not available _x000a_Customer 1hour call back"/>
    <x v="19"/>
    <d v="2025-11-16T00:00:00"/>
    <n v="74750"/>
    <s v="ICICI Bank Platinum Chip Credit Card"/>
    <s v="3RD JUNE"/>
    <d v="2026-06-05T00:00:00"/>
  </r>
  <r>
    <s v="4315812817988009"/>
    <s v="MR ANJANEYULU GOUD"/>
    <n v="0"/>
    <x v="0"/>
    <m/>
    <m/>
    <s v="N"/>
    <x v="15"/>
    <s v="9066244676"/>
    <s v="X"/>
    <n v="22133.989999999991"/>
    <n v="480000"/>
    <n v="502133.99"/>
    <n v="274734.65000000002"/>
    <n v="227399.34"/>
    <n v="203368.58"/>
    <n v="227399.34"/>
    <n v="49080"/>
    <x v="1"/>
    <x v="1"/>
    <n v="0"/>
    <n v="49080"/>
    <x v="1"/>
    <s v="NA"/>
    <s v="12111-ICICI BANK COLLECTION PAYMENT"/>
    <s v="SAMBA"/>
    <x v="1"/>
    <x v="0"/>
    <s v="&quot;4-74 PREM NAGAR,THUMMANPET,MAHABUBNAGAR&quot;  - BALMOOR - BALMOOR TNG 509375 "/>
    <s v="VODAFONE INDIA SERVICES PRIVATE LIMITED BUSINESS MANTRI TOWER A 3RD FLR TO 4TH FLOOR WING A1 AND A2 TOWER-B WING FLOOR WING A1 AND A2 TOWER-B WING PUNE MAH 411014 "/>
    <s v="WANAPARTHY"/>
    <x v="1"/>
    <x v="23"/>
    <s v="SAMBA"/>
    <n v="801772794"/>
    <s v="Ssde@9876"/>
    <m/>
    <m/>
    <x v="0"/>
    <s v="LIVE"/>
    <s v="Customer friend used the card &amp; refused to pay the amount _x000a__x000a_Discuss at police station"/>
    <x v="22"/>
    <d v="2026-04-06T00:00:00"/>
    <n v="49300"/>
    <s v="Amazon Pay ICICI Bank Credit Card"/>
    <s v="8TH JUNE"/>
    <d v="2026-06-05T00:00:00"/>
  </r>
  <r>
    <s v="4501721423781001"/>
    <s v="Mr YANAMADALAVSSUBBA RAO   Y"/>
    <n v="0"/>
    <x v="0"/>
    <m/>
    <m/>
    <s v="N"/>
    <x v="15"/>
    <s v="9900893753"/>
    <s v="X"/>
    <n v="-73394.989999999991"/>
    <n v="500000"/>
    <n v="426605.01"/>
    <s v=""/>
    <n v="426605.01"/>
    <n v="370000.41"/>
    <n v="78690"/>
    <n v="32580"/>
    <x v="0"/>
    <x v="0"/>
    <n v="226605"/>
    <n v="-194025"/>
    <x v="18"/>
    <s v="TC"/>
    <s v="30501-BBPS Payment received"/>
    <s v="SAMBA"/>
    <x v="4"/>
    <x v="2"/>
    <s v="&quot;4-15,PALLERIAMUDI,KRISHNA&quot;    VIJAYAWADA ANP 521105 "/>
    <s v="Not Applicable 4-15 Palleriamudi Palleriamudi VIJAYAWADA ANP 521105"/>
    <s v="VIJAYAWADA"/>
    <x v="1"/>
    <x v="36"/>
    <s v="SUDHAKAR"/>
    <n v="802913252"/>
    <s v="Ssd@9290"/>
    <m/>
    <m/>
    <x v="0"/>
    <s v="SKIP"/>
    <s v="No one available on that name in given address need kyc details sir"/>
    <x v="16"/>
    <d v="2025-09-15T00:00:00"/>
    <n v="10"/>
    <s v="ICICI Bank Sapphiro Visa Credit Card"/>
    <s v="3RD JUNE"/>
    <d v="2026-06-05T00:00:00"/>
  </r>
  <r>
    <s v="4501720962452008"/>
    <s v="MR NALLAGARI REDDY"/>
    <n v="0"/>
    <x v="0"/>
    <m/>
    <m/>
    <s v="N"/>
    <x v="15"/>
    <s v="7676638712"/>
    <s v="X"/>
    <n v="19701.260000000009"/>
    <n v="340000"/>
    <n v="359701.26"/>
    <n v="166519.51"/>
    <n v="193181.75"/>
    <n v="173356.15"/>
    <n v="98140"/>
    <n v="43190"/>
    <x v="0"/>
    <x v="0"/>
    <n v="193181.75"/>
    <n v="-149991.75"/>
    <x v="18"/>
    <s v="TC"/>
    <s v="30501-BBPS Payment received"/>
    <s v="SAMBA"/>
    <x v="2"/>
    <x v="0"/>
    <s v="&quot;53-59-1 NABIKOT NEAR,.,SHIVALAYAM TEMPLE,.&quot;     YSR DISTRICT KADAPA CUDDAPAH ANP 516001 "/>
    <s v="SONATA SOFTWARE LTD &quot;D No 53/59-1, Nabikot, Near Shivalayam Temple&quot; Kadapa Kadapa CUDDAPAH ANP 516001 "/>
    <s v="CUDDAPAH"/>
    <x v="2"/>
    <x v="5"/>
    <s v="PAVAN"/>
    <n v="802823180"/>
    <s v="Sgr@9290"/>
    <m/>
    <m/>
    <x v="0"/>
    <m/>
    <m/>
    <x v="10"/>
    <d v="2025-04-05T00:00:00"/>
    <n v="42510.75"/>
    <s v="ICICI Bank Rubyx Visa Credit Card"/>
    <s v="8TH JUNE"/>
    <d v="2026-06-05T00:00:00"/>
  </r>
  <r>
    <s v="4501721454417004"/>
    <s v="Mr NARABOINA SRISAILAM"/>
    <n v="0"/>
    <x v="0"/>
    <m/>
    <m/>
    <s v="N"/>
    <x v="15"/>
    <s v="9951932983"/>
    <s v="X"/>
    <n v="24801.659999999974"/>
    <n v="320000"/>
    <n v="344801.66"/>
    <s v=""/>
    <n v="344801.66"/>
    <n v="316187.5"/>
    <n v="83020"/>
    <n v="19500"/>
    <x v="0"/>
    <x v="0"/>
    <n v="344801.66"/>
    <n v="-325301.65999999997"/>
    <x v="9"/>
    <s v="TC"/>
    <s v="30501-BBPS Payment received"/>
    <s v="SAMBA"/>
    <x v="1"/>
    <x v="0"/>
    <s v="&quot;10-49,VENKATAPURAM,CHITYALA,CHITYALA,CHITYALA&quot;    NALGONDA TNG 508114 "/>
    <s v="&quot;Heritage Foods (india) ltd.,&quot; chityala narketapally narketapally NALGONDA TNG 508278"/>
    <s v="NALGONDA"/>
    <x v="1"/>
    <x v="18"/>
    <s v="INAMUL"/>
    <n v="802823175"/>
    <s v="Sgr@9290"/>
    <m/>
    <m/>
    <x v="0"/>
    <m/>
    <m/>
    <x v="10"/>
    <d v="2026-05-13T00:00:00"/>
    <n v="10"/>
    <s v="ICICI Bank Sapphiro Visa Credit Card"/>
    <s v="3RD JUNE"/>
    <d v="2026-06-05T00:00:00"/>
  </r>
  <r>
    <s v="4501721813193007"/>
    <s v="MR DURGAM TEJA"/>
    <n v="0"/>
    <x v="0"/>
    <m/>
    <m/>
    <s v="N"/>
    <x v="15"/>
    <s v="8106011865"/>
    <s v="X"/>
    <n v="94479.039999999979"/>
    <n v="230000"/>
    <n v="324479.03999999998"/>
    <n v="177312.13"/>
    <n v="147166.91"/>
    <n v="136931.85999999999"/>
    <n v="37790"/>
    <n v="16500"/>
    <x v="0"/>
    <x v="0"/>
    <n v="147166.91"/>
    <n v="-130666.91"/>
    <x v="23"/>
    <s v="TC"/>
    <s v="30501-BBPS Payment received"/>
    <s v="SAMBA"/>
    <x v="4"/>
    <x v="0"/>
    <s v="11-15/1  MANDAMARRI BURDHAGUDAM MANDAMARRI ADILABAD TNG 504231 "/>
    <s v="DEPARTMENT OF POST KALYANI KHANI BURDHAGUDAM BURDHAGUDAM ADILABAD TNG 504231 "/>
    <s v="ADILABAD"/>
    <x v="1"/>
    <x v="11"/>
    <s v="T RAMESH "/>
    <n v="801217009"/>
    <s v="Ssd@9290"/>
    <m/>
    <m/>
    <x v="0"/>
    <s v="SKIP"/>
    <s v="Customer given address visit customer address not found, trying to alternative // Customer given address visit informed to father, trying by call"/>
    <x v="23"/>
    <d v="2025-04-15T00:00:00"/>
    <n v="16000"/>
    <s v="ICICI Bank Rubyx Visa Credit Card"/>
    <s v="8TH JUNE"/>
    <d v="2026-06-05T00:00:00"/>
  </r>
  <r>
    <s v="4501721389266005"/>
    <s v="MS K UMAMAHESWARI"/>
    <n v="0"/>
    <x v="0"/>
    <m/>
    <m/>
    <s v="N"/>
    <x v="15"/>
    <s v="9113975915"/>
    <s v="X"/>
    <n v="22980.929999999993"/>
    <n v="300000"/>
    <n v="322980.93"/>
    <n v="73350.13"/>
    <n v="249630.8"/>
    <n v="225363.17"/>
    <n v="102100"/>
    <n v="52950"/>
    <x v="1"/>
    <x v="1"/>
    <n v="0"/>
    <n v="52950"/>
    <x v="1"/>
    <s v="NA"/>
    <n v="0"/>
    <s v="SAMBA"/>
    <x v="2"/>
    <x v="0"/>
    <s v="&quot;D/O K,MURALI 15-438 AM PUTTUR,ISUKA,&quot; &quot;DIBBA SRIKALAHASTI,CHITTOOR,&quot; ANDHRAPRADESH 517640  CHITTOOR ANP 517640 "/>
    <s v="CAPGEMINI TECHNOLOGY SERVICES Nill Nill Nill TIRUPATHI ANP 517640"/>
    <s v="TIRUPATHI"/>
    <x v="2"/>
    <x v="33"/>
    <s v="GUNASEKAR"/>
    <n v="802241455"/>
    <s v="Sgr@9290"/>
    <m/>
    <m/>
    <x v="1"/>
    <m/>
    <m/>
    <x v="10"/>
    <d v="2026-01-05T00:00:00"/>
    <n v="46638.46"/>
    <s v="ICICI Bank Sapphiro Visa Credit Card"/>
    <s v="3RD JUNE"/>
    <d v="2026-06-05T00:00:00"/>
  </r>
  <r>
    <s v="4501721002900006"/>
    <s v="MR KALAVALAPUDI SUDHA"/>
    <n v="0"/>
    <x v="0"/>
    <m/>
    <m/>
    <s v="N"/>
    <x v="15"/>
    <s v="9618553410"/>
    <s v="X"/>
    <n v="-145.36999999999534"/>
    <n v="300000"/>
    <n v="299854.63"/>
    <n v="254980.28"/>
    <n v="44874.35"/>
    <n v="37392.480000000003"/>
    <n v="44874.35"/>
    <n v="21873.06"/>
    <x v="0"/>
    <x v="0"/>
    <n v="44874.35"/>
    <n v="-23001.289999999997"/>
    <x v="1"/>
    <s v="D"/>
    <s v="30501-BBPS Payment received"/>
    <s v="SAMBA"/>
    <x v="3"/>
    <x v="0"/>
    <s v="&quot;1-26,GOLLAGUNTA CHILAMANURU BALAYAPALLI&quot;  &quot;GOLLAGUNTA,NELLORE&quot;  . GUDUR ANP 524132 "/>
    <s v="INFOSYS LIMITED &quot;NO 210,ISB ROAD,LINGAMPALLY ROAD&quot; MANIKONDA JAGIR MANIKONDA JAGIR HYDERABAD TNG 500032 "/>
    <s v="GUDUR"/>
    <x v="4"/>
    <x v="12"/>
    <s v="B SURESH"/>
    <n v="801570488"/>
    <s v="Ssd@9290"/>
    <m/>
    <m/>
    <x v="0"/>
    <m/>
    <m/>
    <x v="10"/>
    <d v="2026-02-16T00:00:00"/>
    <n v="10000"/>
    <s v="ICICI Bank Rubyx Visa Credit Card"/>
    <s v="8TH JUNE"/>
    <d v="2026-06-05T00:00:00"/>
  </r>
  <r>
    <s v="4501720971591010"/>
    <s v="MR BANDARUPALLI GOPIKRISHNA"/>
    <n v="0"/>
    <x v="0"/>
    <m/>
    <m/>
    <s v="N"/>
    <x v="15"/>
    <s v="7981852487"/>
    <s v="X"/>
    <n v="-74212.460000000021"/>
    <n v="360000"/>
    <n v="285787.53999999998"/>
    <s v=""/>
    <n v="285787.53999999998"/>
    <n v="259769.64"/>
    <n v="42010"/>
    <n v="15840"/>
    <x v="1"/>
    <x v="1"/>
    <n v="0"/>
    <n v="15840"/>
    <x v="1"/>
    <s v="NA"/>
    <n v="0"/>
    <s v="DURGA"/>
    <x v="0"/>
    <x v="0"/>
    <s v="&quot;2-64/1,THIMMAPURAM,GUNTUR&quot;     GUNTUR ANP 522233 "/>
    <s v="DELOITTE CONSULTING IND &quot;2-64/1 , Thimmapuram, Behind shivalayam temple&quot; &quot;2-64/1 , Thimmapuram, Behind shivalayam temple&quot; &quot;2-64/1 , Thimmapuram, Behind shivalayam temple&quot; NARASARAOPET ANP 522233 "/>
    <s v="NARASARAOPET"/>
    <x v="3"/>
    <x v="17"/>
    <s v="IMAMVALLI"/>
    <n v="802789320"/>
    <s v="Ssd@9290"/>
    <m/>
    <m/>
    <x v="0"/>
    <s v="DL"/>
    <s v="Customer given House address visited but customer not available at home door locked enquired with neighbour's customer living at banglore confirmed by neighbour's and renters customer mobile ringing but not answering informed to neibhour's"/>
    <x v="23"/>
    <d v="2026-03-31T00:00:00"/>
    <n v="31330"/>
    <s v="ICICI Bank Rubyx Visa Credit Card"/>
    <s v="8TH JUNE"/>
    <d v="2026-06-05T00:00:00"/>
  </r>
  <r>
    <s v="4501721132273001"/>
    <s v="MR VASPULA SRIKANTH"/>
    <n v="0"/>
    <x v="0"/>
    <m/>
    <m/>
    <s v="N"/>
    <x v="15"/>
    <s v="8500334198"/>
    <s v="X"/>
    <n v="12741.5"/>
    <n v="270000"/>
    <n v="282741.5"/>
    <n v="187256.36"/>
    <n v="95485.14"/>
    <n v="82023.820000000007"/>
    <n v="46690"/>
    <n v="17890"/>
    <x v="1"/>
    <x v="1"/>
    <n v="0"/>
    <n v="17890"/>
    <x v="1"/>
    <s v="NA"/>
    <n v="0"/>
    <s v="SAMBA"/>
    <x v="1"/>
    <x v="0"/>
    <s v="H NO 4-33  AMANGAL MANDAL PREM COLONY K.V. RANGAREDDY WANAPARTHY TNG 509321 "/>
    <s v="GOVERNMENT OF TELANGANA PANHYATH SECRETA 15-127/128/130 AMANGAL AMANGAL WANAPARTHY TNG 509321 "/>
    <s v="WANAPARTHY"/>
    <x v="1"/>
    <x v="23"/>
    <s v="SAMBA"/>
    <n v="801772794"/>
    <s v="Ssde@9876"/>
    <m/>
    <m/>
    <x v="1"/>
    <m/>
    <m/>
    <x v="10"/>
    <d v="2025-02-19T00:00:00"/>
    <n v="100000"/>
    <s v="ICICI Bank Rubyx Visa Credit Card"/>
    <s v="8TH JUNE"/>
    <d v="2026-06-05T00:00:00"/>
  </r>
  <r>
    <s v="6528680425469003"/>
    <s v="MR MADRI SUVARNA"/>
    <n v="0"/>
    <x v="0"/>
    <m/>
    <m/>
    <s v="N"/>
    <x v="15"/>
    <s v="8184898999"/>
    <s v="X"/>
    <n v="22165.359999999986"/>
    <n v="250000"/>
    <n v="272165.36"/>
    <s v=""/>
    <n v="272165.36"/>
    <n v="247300.49"/>
    <n v="61910"/>
    <n v="25420"/>
    <x v="0"/>
    <x v="2"/>
    <n v="25420"/>
    <n v="0"/>
    <x v="24"/>
    <s v="TC"/>
    <s v="30501-BBPS Payment received"/>
    <s v="SAMBA"/>
    <x v="2"/>
    <x v="0"/>
    <s v="&quot;H NO 1/339/45,&quot;  &quot;ARUNDATHI NAGAR, ADONI&quot; &quot;ARUNDATHI NAGAR, ADONI&quot; NEAR RAMJALA ROAD KURNOOL ANP 518301 "/>
    <s v="GOVERNMENT OF ANDHRA PRADESH GOVERNMENT OF ANDHRA PRAFEDH GURUKULA SCHOOL PATTIKONDA GURUKULA SCHOOL PATTIKONDA KURNOOL ANP 518380 "/>
    <s v="KURNOOL"/>
    <x v="2"/>
    <x v="19"/>
    <s v="SAMBA"/>
    <n v="801772794"/>
    <s v="Ssde@9876"/>
    <m/>
    <m/>
    <x v="0"/>
    <s v="SKIP"/>
    <s v="Customer not available at given address sir .not responding for calls . Done enquiry about customer in that area . But lone use sir"/>
    <x v="17"/>
    <d v="2024-07-16T00:00:00"/>
    <n v="29700"/>
    <s v="ICICI Bank Coral RuPay Credit Card"/>
    <s v="8TH JUNE"/>
    <d v="2026-06-05T00:00:00"/>
  </r>
  <r>
    <s v="4501721155667006"/>
    <s v="MR PERUMANDLA PRASAD"/>
    <n v="0"/>
    <x v="0"/>
    <m/>
    <m/>
    <s v="N"/>
    <x v="15"/>
    <s v="9704053025"/>
    <s v="X"/>
    <n v="18495.030000000028"/>
    <n v="250000"/>
    <n v="268495.03000000003"/>
    <s v=""/>
    <n v="268495.03000000003"/>
    <n v="248689.72"/>
    <n v="61600"/>
    <n v="15080"/>
    <x v="0"/>
    <x v="2"/>
    <n v="15100"/>
    <n v="-20"/>
    <x v="25"/>
    <s v="FE"/>
    <s v="12124 - UPI Payment Received"/>
    <s v="SAMBA"/>
    <x v="4"/>
    <x v="0"/>
    <s v="4-2-338 KOTHURJENDDA  SHUBASH NAGAR HANAMKONDA NEAR MAIN ROAD WARANGAL TNG 506001 "/>
    <s v="GOVERNMENT OF TELANGANA 2-9-135/3 VIKASNAGAR HANAMKONDA VIKASNAGAR HANAMKONDA WARANGAL TNG 506001 "/>
    <s v="WARANGAL"/>
    <x v="1"/>
    <x v="30"/>
    <s v="AKHIL"/>
    <n v="801772792"/>
    <s v="Sgr@9290"/>
    <m/>
    <m/>
    <x v="0"/>
    <s v="SKIP"/>
    <s v="Cust shifted from given address and no respond to calls // Visited to cust working address not available and no respond to calls revisit and upda // Met cust working address and given ptp on today by EOD // Met the cust and given ptp on today by EOD // Visited to cust' office address cust not available waiting for cust"/>
    <x v="24"/>
    <d v="2026-03-18T00:00:00"/>
    <n v="9000"/>
    <s v="ICICI Bank Rubyx Visa Credit Card"/>
    <s v="8TH JUNE"/>
    <d v="2026-06-05T00:00:00"/>
  </r>
  <r>
    <s v="4315813218386009"/>
    <s v="MR Macharla Sri Venkata"/>
    <n v="0"/>
    <x v="0"/>
    <m/>
    <m/>
    <s v="N"/>
    <x v="15"/>
    <s v="9553066244"/>
    <s v="X"/>
    <n v="-161339.89000000001"/>
    <n v="420000"/>
    <n v="258660.11"/>
    <s v=""/>
    <n v="258660.11"/>
    <n v="235717.5"/>
    <n v="37740"/>
    <n v="13880"/>
    <x v="1"/>
    <x v="1"/>
    <n v="0"/>
    <n v="13880"/>
    <x v="1"/>
    <s v="NA"/>
    <n v="0"/>
    <s v="DURGA"/>
    <x v="0"/>
    <x v="0"/>
    <s v="FLAT NO 408  SRINIVASA NAGAR GAYATHRI SADAN Guntur GUNTUR ANP 522101 "/>
    <s v="COLGATE GLOBAL BUSINESS SERVICES PVT LTD &quot;GATE NO.5 , TOWER B , 8 AND 9TH FLOOR&quot; &quot;L AND T BUSINESS PARK, SAKI VIHAR ROAD,&quot; &quot;L AND T BUSINESS PARK, SAKI VIHAR ROAD,&quot; MUMBAI MAH 400072 "/>
    <s v="GUNTUR"/>
    <x v="3"/>
    <x v="44"/>
    <s v="DURGA"/>
    <n v="801723195"/>
    <s v="Sgr@9290"/>
    <m/>
    <m/>
    <x v="0"/>
    <s v="SKIP"/>
    <s v="Visited Customer Residence Address , customer not available call Answered deposited amount in sb ac // CUSTOMER NOT LIVING IN GIVING ADDRESS CUSTOMER LIVING IN KAKINADA CUSTOMER TAKING IN TODAY EVENING 6 CLOCK CUSTOMER SIR // CUSTOMER NOT LIVING IN GIVING ADDRESS CUSTOMER LIVING IN KAKINADA CUSTOMER NOT AVAILABLE MOBILE NOT ANSWERING SIR"/>
    <x v="25"/>
    <d v="2025-09-01T00:00:00"/>
    <n v="47160"/>
    <s v="Amazon Pay ICICI Bank Credit Card"/>
    <s v="8TH JUNE"/>
    <d v="2026-06-05T00:00:00"/>
  </r>
  <r>
    <s v="5241935130949006"/>
    <s v="MR. RAJIREDDY HANAMANDLA"/>
    <n v="0"/>
    <x v="0"/>
    <m/>
    <m/>
    <s v="N"/>
    <x v="15"/>
    <s v="7396210810"/>
    <s v="X"/>
    <n v="-40512.600000000006"/>
    <n v="280000"/>
    <n v="239487.4"/>
    <s v=""/>
    <n v="239487.4"/>
    <n v="210398"/>
    <n v="53310"/>
    <n v="26910"/>
    <x v="0"/>
    <x v="0"/>
    <n v="239487.4"/>
    <n v="-212577.4"/>
    <x v="15"/>
    <s v="FE"/>
    <s v="30501-BBPS Payment received"/>
    <s v="SAMBA"/>
    <x v="1"/>
    <x v="0"/>
    <s v="&quot;10-7,GUDEM,VADLUR-BEGUMPET,VADLOORBEGUMPET&quot;   KARIMNAGAR -- KARIMNAGAR TNG 505530 "/>
    <s v="INFOSYS LTD SEZ CAMPUS POCHARAM GHATKESAR - - SECUNDERABAD TNG 500088 "/>
    <s v="KARIMNAGAR"/>
    <x v="1"/>
    <x v="27"/>
    <s v="SUMANTH"/>
    <n v="802370852"/>
    <s v="Sgr@9290"/>
    <m/>
    <m/>
    <x v="0"/>
    <m/>
    <m/>
    <x v="10"/>
    <d v="2025-12-04T00:00:00"/>
    <n v="16000"/>
    <s v="ICICI Bank HPCL Coral Platinum Credit Card"/>
    <s v="8TH JUNE"/>
    <d v="2026-06-05T00:00:00"/>
  </r>
  <r>
    <s v="4501721078041008"/>
    <s v="MRS OBULAMMA LINGUTLA"/>
    <n v="0"/>
    <x v="0"/>
    <m/>
    <m/>
    <s v="N"/>
    <x v="15"/>
    <s v="9494657645"/>
    <s v="X"/>
    <n v="25474.160000000003"/>
    <n v="210000"/>
    <n v="235474.16"/>
    <n v="140683.44"/>
    <n v="94790.720000000001"/>
    <n v="69261.56"/>
    <n v="93000"/>
    <n v="51110"/>
    <x v="0"/>
    <x v="0"/>
    <n v="93000"/>
    <n v="-41890"/>
    <x v="22"/>
    <s v="FE"/>
    <s v="30501-BBPS Payment received"/>
    <s v="SAMBA"/>
    <x v="3"/>
    <x v="0"/>
    <s v="&quot;16/82,PEDDAPETA,YADIKI,RAYALACHERUVU&quot;     ANANTAPUR ANP 515445 "/>
    <s v="FORAYS SERVICES CONSTRUCTIONS 16/82 peddapeta Peddapeta Peddapeta HOSUR TMN 635001 "/>
    <s v="ANANTAPUR"/>
    <x v="2"/>
    <x v="26"/>
    <s v="T SRINIVAS"/>
    <n v="802030802"/>
    <s v="Sgr@0987"/>
    <m/>
    <m/>
    <x v="0"/>
    <s v="LIVE"/>
    <s v="Customer not available _x000a_Customer phone PTP on 14th"/>
    <x v="17"/>
    <d v="2024-09-22T00:00:00"/>
    <n v="0.01"/>
    <s v="ICICI Bank Rubyx Visa Credit Card"/>
    <s v="8TH JUNE"/>
    <d v="2026-06-05T00:00:00"/>
  </r>
  <r>
    <s v="4501721099593003"/>
    <s v="MR SHAIK BASHA"/>
    <n v="0"/>
    <x v="0"/>
    <m/>
    <m/>
    <s v="N"/>
    <x v="15"/>
    <s v="9494070441"/>
    <s v="X"/>
    <n v="17701.059999999998"/>
    <n v="200000"/>
    <n v="217701.06"/>
    <s v=""/>
    <n v="217701.06"/>
    <n v="190021"/>
    <n v="62690"/>
    <n v="33560"/>
    <x v="1"/>
    <x v="1"/>
    <n v="0"/>
    <n v="33560"/>
    <x v="1"/>
    <s v="NA"/>
    <n v="0"/>
    <s v="SAMBA"/>
    <x v="1"/>
    <x v="0"/>
    <s v="&quot;25,339 1 PARTHASARATHI,NAGAR,DHARMAVARAM,&quot;  &quot;ANANTAPUR,ANDHRA PRADESH 515671&quot;   ANANTAPUR ANP 515671 "/>
    <s v="Bharti AXA General Insurance C 25-339-1 Parthasarthi Nagar Dharmavaram Dharmavaram Dharmavaram GUNTAKAL ANP 515671 "/>
    <s v="HINDUPUR"/>
    <x v="2"/>
    <x v="26"/>
    <s v="T SRINIVAS"/>
    <n v="802030802"/>
    <s v="Sgr@0987"/>
    <m/>
    <m/>
    <x v="1"/>
    <m/>
    <m/>
    <x v="10"/>
    <d v="2026-02-17T00:00:00"/>
    <n v="30000"/>
    <s v="ICICI Bank Rubyx Visa Credit Card"/>
    <s v="8TH JUNE"/>
    <d v="2026-06-05T00:00:00"/>
  </r>
  <r>
    <s v="4501721078764005"/>
    <s v="MR MAGIRI ARUN"/>
    <n v="0"/>
    <x v="0"/>
    <m/>
    <m/>
    <s v="N"/>
    <x v="15"/>
    <s v="9848136336"/>
    <s v="X"/>
    <n v="-185636.99"/>
    <n v="400000"/>
    <n v="214363.01"/>
    <s v=""/>
    <n v="214363.01"/>
    <n v="194111.49"/>
    <n v="39190"/>
    <n v="9710"/>
    <x v="0"/>
    <x v="0"/>
    <n v="214363.01"/>
    <n v="-204653.01"/>
    <x v="25"/>
    <s v="FE"/>
    <s v="30501-BBPS Payment received"/>
    <s v="SAMBA"/>
    <x v="2"/>
    <x v="1"/>
    <s v="FLAT NO 305  PRODDUTURI TOWERS OPPOSITE TO MURALI KRISHNA TEMPLE TELANGANA NIZAMABAD TNG 503001 "/>
    <s v="TATA CONSULTANCY SERVICES LIMITED DOOR NO 56/1/36    CMC CAMPUS SYNERGY PARK PREMISES SYNERGY PARK PREMISES HYDERABAD TNG 500032 "/>
    <s v="NIZAMABAD"/>
    <x v="1"/>
    <x v="20"/>
    <s v="D RAMU"/>
    <n v="802663344"/>
    <s v="Sgr@9290"/>
    <m/>
    <m/>
    <x v="0"/>
    <m/>
    <m/>
    <x v="10"/>
    <d v="2026-03-17T00:00:00"/>
    <n v="236954.98"/>
    <s v="ICICI Bank Rubyx Visa Credit Card"/>
    <s v="8TH JUNE"/>
    <d v="2026-06-05T00:00:00"/>
  </r>
  <r>
    <s v="4315810096815000"/>
    <s v="MR DACHAPALLY SHANKAR"/>
    <n v="0"/>
    <x v="0"/>
    <m/>
    <m/>
    <s v="N"/>
    <x v="15"/>
    <s v="9866164479"/>
    <s v="X"/>
    <n v="140919.5"/>
    <n v="72000"/>
    <n v="212919.5"/>
    <s v=""/>
    <n v="212919.5"/>
    <n v="194814.61"/>
    <n v="155510"/>
    <n v="126420"/>
    <x v="1"/>
    <x v="1"/>
    <n v="0"/>
    <n v="126420"/>
    <x v="1"/>
    <s v="NA"/>
    <s v="12111-ICICI BANK COLLECTION PAYMENT"/>
    <s v="SAMBA"/>
    <x v="3"/>
    <x v="0"/>
    <s v="18 17 17  HANUMANPET MIRYALAGUDA NEAR NIRMAL SCHOOL Nalgonda TNG 508207 "/>
    <s v="SRI BALAJI FRIENDS MOBIELS SHOP NO 6 NEW MUNCIPAL COMPLEX COMPLEX Nalgonda TNG 508207 "/>
    <s v="SURYAPET"/>
    <x v="1"/>
    <x v="18"/>
    <s v="INAMUL"/>
    <n v="802823175"/>
    <s v="Sgr@9290"/>
    <m/>
    <m/>
    <x v="0"/>
    <s v="LIVE"/>
    <s v="Customer Adress visit, customer prasent in Hyderabd meerpet police station (purpose : plot issue ) and Customer call Answer and ptp on Friday"/>
    <x v="18"/>
    <d v="2026-04-07T00:00:00"/>
    <n v="1900"/>
    <s v="Amazon Pay ICICI Bank Credit Card"/>
    <s v="8TH JUNE"/>
    <d v="2026-06-05T00:00:00"/>
  </r>
  <r>
    <s v="4501720988488002"/>
    <s v="Mr THALUPURU SURENDRA"/>
    <n v="0"/>
    <x v="0"/>
    <m/>
    <m/>
    <s v="N"/>
    <x v="15"/>
    <s v="9493508807"/>
    <s v="X"/>
    <n v="10542.570000000007"/>
    <n v="200000"/>
    <n v="210542.57"/>
    <s v=""/>
    <n v="210542.57"/>
    <n v="199988.78"/>
    <n v="50830"/>
    <n v="28963.98"/>
    <x v="0"/>
    <x v="0"/>
    <n v="210542.57"/>
    <n v="-181578.59"/>
    <x v="22"/>
    <s v="TC"/>
    <s v="30501-BBPS Payment received"/>
    <s v="SAMBA"/>
    <x v="1"/>
    <x v="0"/>
    <s v="&quot;1-11,ARUNA SANKARA NILAYAM,NEAR,&quot;  &quot;PANCHAYAT OFFICE,POTHIREDDY,PALEM KOVUR&quot;   NELLORE ANP 524137 "/>
    <s v="INNOTION TECHNOLOGIES PVT LTD Nellore Nellore Nellore NELLORE ANP 524137 "/>
    <s v="NELLORE"/>
    <x v="4"/>
    <x v="12"/>
    <s v="B SURESH"/>
    <n v="801570488"/>
    <s v="Ssd@9290"/>
    <m/>
    <m/>
    <x v="0"/>
    <s v="LIVE"/>
    <s v=" cm given ptp 15th sir"/>
    <x v="18"/>
    <d v="2025-04-17T00:00:00"/>
    <n v="23100"/>
    <s v="ICICI Bank Rubyx Visa Credit Card"/>
    <s v="8TH JUNE"/>
    <d v="2026-06-05T00:00:00"/>
  </r>
  <r>
    <s v="4501721126241006"/>
    <s v="MRS BOLLEPALLY SANDHYA"/>
    <n v="0"/>
    <x v="0"/>
    <m/>
    <m/>
    <s v="O"/>
    <x v="15"/>
    <s v="9603071061"/>
    <s v="X"/>
    <n v="7054.6300000000047"/>
    <n v="200000"/>
    <n v="207054.63"/>
    <n v="87477.75"/>
    <n v="119576.88"/>
    <n v="108280.87"/>
    <n v="109670"/>
    <n v="22620"/>
    <x v="1"/>
    <x v="1"/>
    <n v="0"/>
    <n v="22620"/>
    <x v="1"/>
    <s v="NA"/>
    <n v="0"/>
    <s v="SAMBA"/>
    <x v="4"/>
    <x v="0"/>
    <s v="&quot;HNO,1-42 BAHUPET VILLAGE,YADAGIRIGUTTA,&quot;  &quot;MANDALAM,MASAIPET NALGONDA&quot;   NALGONDA TNG 508115 "/>
    <s v="Not Applicable Main road Bhahupet Bhahupet NALGONDA TNG 508115 "/>
    <s v="NALGONDA"/>
    <x v="1"/>
    <x v="18"/>
    <s v="INAMUL"/>
    <n v="802823175"/>
    <s v="Sgr@9290"/>
    <m/>
    <m/>
    <x v="0"/>
    <s v="SKIP"/>
    <s v="Customer adress visit and Customer prasent not there in adress is living in prasent warangal calls not connected and customer another number is (6302075755) inform is Attha&amp; Mama"/>
    <x v="20"/>
    <d v="2026-02-18T00:00:00"/>
    <n v="95016.6"/>
    <s v="ICICI Bank Rubyx Visa Credit Card"/>
    <s v="8TH JUNE"/>
    <d v="2026-06-05T00:00:00"/>
  </r>
  <r>
    <s v="4501721012703002"/>
    <s v="Mr PITTALASAIDULU"/>
    <n v="0"/>
    <x v="0"/>
    <m/>
    <m/>
    <s v="N"/>
    <x v="15"/>
    <s v="7095030092"/>
    <s v="X"/>
    <n v="-8848.5400000000081"/>
    <n v="210000"/>
    <n v="201151.46"/>
    <s v=""/>
    <n v="201151.46"/>
    <n v="183842.48"/>
    <n v="57490"/>
    <n v="40950"/>
    <x v="0"/>
    <x v="0"/>
    <n v="201151.46"/>
    <n v="-160201.46"/>
    <x v="24"/>
    <s v="FE"/>
    <s v="12111-ICICI BANK COLLECTION PAYMENT"/>
    <s v="SAMBA"/>
    <x v="2"/>
    <x v="0"/>
    <s v="&quot;3 108,GATTUSINGARAM SINGARAM P,NALGONDA,&quot;  TELANGANA 508277   NALGONDA TNG 508277 "/>
    <s v="ICICI MANIPAL ACADEMYPICYA Singaram Addaguduru Addaguduru NALGONDA TNG 508277 "/>
    <s v="NALGONDA"/>
    <x v="1"/>
    <x v="18"/>
    <s v="POORNIMA"/>
    <n v="802824019"/>
    <s v="Nihan@2421"/>
    <m/>
    <m/>
    <x v="0"/>
    <s v="LIVE"/>
    <s v="Customer Adress visit and Customer is Live and Customer ptp on Tommorow"/>
    <x v="22"/>
    <d v="2025-12-08T00:00:00"/>
    <n v="48879.93"/>
    <s v="ICICI Bank Rubyx Visa Credit Card"/>
    <s v="8TH JUNE"/>
    <d v="2026-06-05T00:00:00"/>
  </r>
  <r>
    <s v="4501721849500001"/>
    <s v="MR YARADESI VEERABABU"/>
    <n v="0"/>
    <x v="0"/>
    <m/>
    <m/>
    <s v="O"/>
    <x v="15"/>
    <s v="9705876758"/>
    <s v="X"/>
    <n v="-22301.940000000002"/>
    <n v="220000"/>
    <n v="197698.06"/>
    <n v="94650.78"/>
    <n v="103047.28"/>
    <n v="96692.57"/>
    <n v="30150"/>
    <n v="16860"/>
    <x v="0"/>
    <x v="0"/>
    <n v="103047.28"/>
    <n v="-86187.28"/>
    <x v="22"/>
    <s v="FE"/>
    <s v="30501-BBPS Payment received"/>
    <s v="SAMBA"/>
    <x v="3"/>
    <x v="0"/>
    <s v="HOUSE NO 2 1 91 1  TELUKA PALLI KANAPURAM HAVELI NEAR BY ANJANEYA SWAMY TEMPLE KHAMMAM TNG 507002 "/>
    <s v="VEERABABU DAIRY FIRM HOUSE NO 2 1 91 1 TELUKA PALLI KANAPURAM HAVELI KANAPURAM HAVELI KHAMMAM TNG 507002 "/>
    <s v="KHAMMAM"/>
    <x v="1"/>
    <x v="24"/>
    <s v="POORNIMA"/>
    <n v="802824019"/>
    <s v="Nihan@2421"/>
    <m/>
    <m/>
    <x v="0"/>
    <s v="LIVE"/>
    <s v="I have Visited customer given house address Customer is in live Given ptp by Saturday // Re Visited customer given house address Customer not available found house locked customer call not answering // ReVisited customer given house address Customer not available in home Waiting for Customer"/>
    <x v="22"/>
    <d v="2026-02-03T00:00:00"/>
    <n v="14100"/>
    <s v="ICICI Bank Rubyx Visa Credit Card"/>
    <s v="8TH JUNE"/>
    <d v="2026-06-05T00:00:00"/>
  </r>
  <r>
    <s v="4501721016989003"/>
    <s v="MR GOGADA VENKSTA NAGENDRA BABU"/>
    <n v="0"/>
    <x v="0"/>
    <m/>
    <m/>
    <s v="N"/>
    <x v="15"/>
    <s v="9553519688"/>
    <s v="Y"/>
    <n v="-51556.48000000001"/>
    <n v="200000"/>
    <n v="148443.51999999999"/>
    <s v=""/>
    <n v="148443.51999999999"/>
    <n v="134926.28"/>
    <n v="21060"/>
    <n v="8180"/>
    <x v="1"/>
    <x v="1"/>
    <n v="0"/>
    <n v="8180"/>
    <x v="1"/>
    <s v="NA"/>
    <n v="0"/>
    <s v="DURGA"/>
    <x v="0"/>
    <x v="0"/>
    <s v="13-2-88 KRISHNA NAGAR 1ST LINE NEAR  VENKAIAH SWAMY TEMPLE  . GUNTUR ANP 522006 "/>
    <s v="VIRTUSA CONSULTING SERVICES PRIVATE LIMI 34 IT HIGHWAY NAVALUR   CHENNAI TMN 603103 "/>
    <s v="GUNTUR"/>
    <x v="3"/>
    <x v="17"/>
    <s v="DURGA"/>
    <n v="801723195"/>
    <s v="Sgr@9290"/>
    <m/>
    <m/>
    <x v="0"/>
    <s v="SKIP"/>
    <s v="Customer given House address visited but customer not available enquired with neighbour's and renters customer shifted three year back customer mobile number not working need alternative address // Customer given alternative address visited but customer not available in this address also enquiry with renters and neighbours customer sold house 3 year's ago and shifted from this address customer mobile ringing but not answering"/>
    <x v="22"/>
    <d v="2025-04-11T00:00:00"/>
    <n v="740"/>
    <s v="ICICI Bank Rubyx Visa Credit Card"/>
    <s v="8TH JUNE"/>
    <d v="2026-06-05T00:00:00"/>
  </r>
  <r>
    <s v="4501721187664005"/>
    <s v="MR MANTHRI GOVARDHAN"/>
    <n v="0"/>
    <x v="0"/>
    <m/>
    <m/>
    <s v="N"/>
    <x v="15"/>
    <s v="9989575755"/>
    <s v="X"/>
    <n v="10625.589999999997"/>
    <n v="120000"/>
    <n v="130625.59"/>
    <s v=""/>
    <n v="130625.59"/>
    <n v="118663.73"/>
    <n v="29590"/>
    <n v="10460"/>
    <x v="1"/>
    <x v="1"/>
    <n v="0"/>
    <n v="10460"/>
    <x v="1"/>
    <s v="NA"/>
    <n v="0"/>
    <s v="SAMBA"/>
    <x v="3"/>
    <x v="1"/>
    <s v="5-8-1100/20/1  KAMAREDDY SRINIVASA NAGAR COLONY HARI HARA ENCLAVES NIZAMABAD TNG 503111 "/>
    <s v="HEALTH DEPARTMENT ASHOK NAGAR KAMAREDDY KAMAREDDY NIZAMABAD TNG 503111 "/>
    <s v="NIZAMABAD"/>
    <x v="1"/>
    <x v="10"/>
    <s v="PRASHANTH"/>
    <n v="802551967"/>
    <s v="Ssde@9290"/>
    <m/>
    <m/>
    <x v="0"/>
    <s v="SKIP"/>
    <s v="customer shifted house and phone not responding neighbour said he got peralacis"/>
    <x v="17"/>
    <d v="2024-07-03T00:00:00"/>
    <n v="4844.01"/>
    <s v="ICICI Bank Rubyx Visa Credit Card"/>
    <s v="8TH JUNE"/>
    <d v="2026-06-05T00:00:00"/>
  </r>
  <r>
    <s v="4375519937908000"/>
    <s v="MR PANPATTE NANDAKISOR"/>
    <n v="0"/>
    <x v="0"/>
    <m/>
    <m/>
    <s v="N"/>
    <x v="15"/>
    <s v="9010856338"/>
    <s v="X"/>
    <n v="10391.460000000006"/>
    <n v="110000"/>
    <n v="120391.46"/>
    <n v="101439.26"/>
    <n v="18952.2"/>
    <n v="15507.32"/>
    <n v="18952.2"/>
    <n v="7943.25"/>
    <x v="1"/>
    <x v="1"/>
    <n v="0"/>
    <n v="7943.25"/>
    <x v="1"/>
    <s v="NA"/>
    <n v="0"/>
    <s v="SAMBA"/>
    <x v="1"/>
    <x v="0"/>
    <s v="&quot;104,JAMIDI,.,ADILABAD,ICCHODA&quot;   ADILABAD - ADILABAD TNG 504307 "/>
    <s v="ICICI BANK LTD ICICI PLOT NO 12 SURVEY 115 27 GACHIBOWLI NANKRAMGUDA GACHIBOWLI NANKRAMGUDA Rangareddy TNG 500032 "/>
    <s v="ADILABAD"/>
    <x v="1"/>
    <x v="35"/>
    <s v="KANTH"/>
    <n v="802794852"/>
    <s v="Ssd@9290"/>
    <m/>
    <m/>
    <x v="0"/>
    <s v="LIVE"/>
    <s v="Customer visit office address meet customer PTP 16th"/>
    <x v="18"/>
    <d v="2025-11-06T00:00:00"/>
    <n v="7007.51"/>
    <s v="ICICI Bank Platinum Chip Credit Card"/>
    <s v="8TH JUNE"/>
    <d v="2026-06-05T00:00:00"/>
  </r>
  <r>
    <s v="4501721184788005"/>
    <s v="MS PEDDELLI SRAVANTHI"/>
    <n v="0"/>
    <x v="0"/>
    <m/>
    <m/>
    <s v="N"/>
    <x v="15"/>
    <s v="6281893704"/>
    <s v="X"/>
    <n v="10722.580000000002"/>
    <n v="90000"/>
    <n v="100722.58"/>
    <s v=""/>
    <n v="100722.58"/>
    <n v="88000"/>
    <n v="31260"/>
    <n v="16420"/>
    <x v="0"/>
    <x v="2"/>
    <n v="16500"/>
    <n v="-80"/>
    <x v="25"/>
    <s v="TC"/>
    <s v="12124 - UPI Payment Received"/>
    <s v="SAMBA"/>
    <x v="2"/>
    <x v="0"/>
    <s v="5-11-913  HANAMKONDA POCHAMMAKUNTA HANAMKONDA FINE CONVENCTION WARANGAL TNG 506001 "/>
    <s v="DEPARTMENT OF SOCIAL WELFARE SAI NAGAR HANAMKONDA HANAMKONDA WARANGAL TNG 506001 "/>
    <s v="WARANGAL"/>
    <x v="1"/>
    <x v="30"/>
    <s v="AKHIL"/>
    <n v="801772792"/>
    <s v="Sgr@9290"/>
    <m/>
    <m/>
    <x v="0"/>
    <s v="SKIP"/>
    <s v="No such person and no respond to calls"/>
    <x v="17"/>
    <d v="2024-05-27T00:00:00"/>
    <n v="14910"/>
    <s v="ICICI Bank Rubyx Visa Credit Card"/>
    <s v="8TH JUNE"/>
    <d v="2026-06-05T00:00:00"/>
  </r>
  <r>
    <s v="4501721195064057"/>
    <s v="MR GANTA NAVANEETH"/>
    <n v="0"/>
    <x v="0"/>
    <m/>
    <m/>
    <s v="N"/>
    <x v="15"/>
    <s v="9676469616"/>
    <s v="W"/>
    <n v="-55671.820000000007"/>
    <n v="150000"/>
    <n v="94328.18"/>
    <s v=""/>
    <n v="94328.18"/>
    <n v="90127.7"/>
    <n v="10960"/>
    <n v="5960"/>
    <x v="0"/>
    <x v="0"/>
    <n v="11000"/>
    <n v="-5040"/>
    <x v="24"/>
    <s v="FE"/>
    <s v="12124 - UPI Payment Received"/>
    <s v="SAMBA"/>
    <x v="3"/>
    <x v="1"/>
    <s v="&quot;6-13-14/A,SRINAGAR,JAKORE&quot;  &quot;VARNI,NIZAMABAD,TELANGANA&quot;  VARNI NIZAMABAD TNG 503201 "/>
    <s v="Not Applicable icicibank KPHB KPHB NIZAMABAD TNG 503201 "/>
    <s v="NIZAMABAD"/>
    <x v="1"/>
    <x v="20"/>
    <s v="D RAMU"/>
    <n v="802663344"/>
    <s v="Sgr@9290"/>
    <m/>
    <m/>
    <x v="0"/>
    <m/>
    <m/>
    <x v="10"/>
    <d v="2026-04-25T00:00:00"/>
    <n v="8000"/>
    <s v="ICICI Bank Rubyx Visa Credit Card"/>
    <s v="8TH JUNE"/>
    <d v="2026-06-05T00:00:00"/>
  </r>
  <r>
    <s v="4501721193686000"/>
    <s v="MR VELPUKONDA MANOHAR"/>
    <n v="0"/>
    <x v="0"/>
    <m/>
    <m/>
    <s v="N"/>
    <x v="15"/>
    <s v="9618756378"/>
    <s v="X"/>
    <n v="9083.14"/>
    <n v="70000"/>
    <n v="79083.14"/>
    <s v=""/>
    <n v="79083.14"/>
    <n v="69999.17"/>
    <n v="21030"/>
    <n v="8460"/>
    <x v="0"/>
    <x v="2"/>
    <n v="8500"/>
    <n v="-40"/>
    <x v="25"/>
    <s v="FE"/>
    <s v="12124 - UPI Payment Received"/>
    <s v="SAMBA"/>
    <x v="4"/>
    <x v="0"/>
    <s v="16-9-1095  &quot;AC REDDY NAGAR,WARANGAL&quot; &quot;WARANGAL,SHIVANAGAR&quot; NEAR BY KIRANAM SHOP WARANGAL TNG 506002 "/>
    <s v="DEPARTMENT OF POST NAKKALAGUTTA HANAMKONDA HANAMKONDA WARANGAL TNG 506001 "/>
    <s v="WARANGAL"/>
    <x v="1"/>
    <x v="30"/>
    <s v="AKHIL"/>
    <n v="801772792"/>
    <s v="Sgr@9290"/>
    <m/>
    <m/>
    <x v="0"/>
    <s v="MESS"/>
    <s v="Left msg to cust's wife and cust respond to call given ptp on 15th // Left msg to cust's wife cust respond to call and given ptp on Tomarrow by EOD"/>
    <x v="22"/>
    <d v="2026-01-17T00:00:00"/>
    <n v="5780"/>
    <s v="ICICI Bank Rubyx Visa Credit Card"/>
    <s v="8TH JUNE"/>
    <d v="2026-06-05T00:00:00"/>
  </r>
  <r>
    <s v="4501720971838007"/>
    <s v="MS CHELLUBOINA SRUTHI"/>
    <n v="0"/>
    <x v="0"/>
    <m/>
    <m/>
    <s v="O"/>
    <x v="15"/>
    <s v="9573043735"/>
    <s v="X"/>
    <n v="-28051.539999999994"/>
    <n v="103000"/>
    <n v="74948.460000000006"/>
    <n v="1934.56"/>
    <n v="73013.899999999994"/>
    <n v="68220.149999999994"/>
    <n v="20090"/>
    <n v="10250"/>
    <x v="0"/>
    <x v="2"/>
    <n v="10251"/>
    <n v="-1"/>
    <x v="25"/>
    <s v="TC"/>
    <s v="12124 - UPI Payment Received"/>
    <s v="SAMBA"/>
    <x v="3"/>
    <x v="0"/>
    <s v="&quot;1-99,ANTARVEDI PALEM NEAR,CHERUVU,GATTU,&quot;  SAKHINETIPALLI   EAST GODAVARI ANP 533252 "/>
    <s v="CAPGEMINI TECHNOLOGY SERVICES Gachibowli financial district financial district HYDERABAD TNG 500081 "/>
    <s v="AMALAPURAM"/>
    <x v="0"/>
    <x v="25"/>
    <s v="B NAGABABU"/>
    <n v="801448854"/>
    <s v="Sgr@9290"/>
    <m/>
    <m/>
    <x v="0"/>
    <s v="LIVE"/>
    <s v="CUSTOMER NOT AVAILABLE AT HOME JOB PURPOSE SHE IS STAYING OUT SIDE.PTP TO TOMORROW"/>
    <x v="22"/>
    <d v="2026-05-11T00:00:00"/>
    <n v="12030"/>
    <s v="ICICI Bank Rubyx Visa Credit Card"/>
    <s v="8TH JUNE"/>
    <d v="2026-06-05T00:00:00"/>
  </r>
  <r>
    <s v="4375517881706008"/>
    <s v="MR VIJENDAR KAMPELLI"/>
    <n v="0"/>
    <x v="0"/>
    <m/>
    <m/>
    <s v="N"/>
    <x v="15"/>
    <s v="9441546408"/>
    <s v="X"/>
    <n v="7811.8899999999994"/>
    <n v="60000"/>
    <n v="67811.89"/>
    <s v=""/>
    <n v="67811.89"/>
    <n v="56738.77"/>
    <n v="21990"/>
    <n v="8420"/>
    <x v="0"/>
    <x v="2"/>
    <n v="10000"/>
    <n v="-1580"/>
    <x v="21"/>
    <s v="TC"/>
    <s v="30501-BBPS Payment received"/>
    <s v="SAMBA"/>
    <x v="2"/>
    <x v="0"/>
    <s v="1-12 MUTHOJIPET    NEAR POST OFFICE Warangal TNG 506132 "/>
    <s v="CIVIL CONTRACTOR HN0-1-21 MUTHOJIPET   Warangal TNG 506132 "/>
    <s v="WARANGAL"/>
    <x v="1"/>
    <x v="30"/>
    <s v="AKHIL"/>
    <n v="801772792"/>
    <s v="Sgr@9290"/>
    <m/>
    <m/>
    <x v="0"/>
    <s v="MESS"/>
    <s v="Cust not available at home left msg to cust's wife and no respond to calls will update"/>
    <x v="20"/>
    <d v="2026-04-13T00:00:00"/>
    <n v="16850"/>
    <s v="ICICI Bank Platinum Chip Credit Card"/>
    <s v="8TH JUNE"/>
    <d v="2026-06-05T00:00:00"/>
  </r>
  <r>
    <s v="4748468039270002"/>
    <s v="MR G NAGARAJU"/>
    <n v="0"/>
    <x v="0"/>
    <m/>
    <m/>
    <s v="O"/>
    <x v="16"/>
    <s v="9844185539"/>
    <s v="X"/>
    <n v="-39824.160000000033"/>
    <n v="740000"/>
    <n v="700175.84"/>
    <n v="228692.34"/>
    <n v="471483.5"/>
    <n v="431887.27"/>
    <n v="181460"/>
    <n v="91050"/>
    <x v="0"/>
    <x v="2"/>
    <n v="91050"/>
    <n v="0"/>
    <x v="25"/>
    <s v="FE"/>
    <s v="30501-BBPS Payment received"/>
    <s v="DURGA"/>
    <x v="0"/>
    <x v="0"/>
    <s v="1-19A BUGANIPALLI VI KALLAGERI PO GORANTLA MANDAL HINDUPUR TK   ANANTAPUR ANP 515241 "/>
    <s v="Adecco India Pvt ltd &quot;No 73/1,13th floor,summit b&quot; &quot;Brigade metropolis,gorudacharpalya,mahadevapura,white field,bangalore&quot; &quot;Brigade metropolis,gorudacharpalya,mahadevapura,white field,bangalore&quot; BANGALORE KAR 560048 "/>
    <s v="HINDUPUR"/>
    <x v="2"/>
    <x v="26"/>
    <s v="T SRINIVAS"/>
    <n v="802030802"/>
    <s v="Sgr@0987"/>
    <m/>
    <m/>
    <x v="0"/>
    <s v="LIVE"/>
    <s v="Customer PTP on 18th // Waiting for location"/>
    <x v="24"/>
    <d v="2026-03-18T00:00:00"/>
    <n v="13492"/>
    <s v="ICICI Bank HPCL Coral VISA Credit Card"/>
    <s v="5TH JUNE"/>
    <d v="2026-06-07T00:00:00"/>
  </r>
  <r>
    <s v="4315814549135008"/>
    <s v="MR SHAIK CHANBASHA"/>
    <n v="0"/>
    <x v="0"/>
    <m/>
    <m/>
    <s v="N"/>
    <x v="16"/>
    <s v="8500857453"/>
    <s v="X"/>
    <n v="198081.55000000005"/>
    <n v="373000"/>
    <n v="571081.55000000005"/>
    <s v=""/>
    <n v="571081.55000000005"/>
    <n v="535986.64"/>
    <n v="267790"/>
    <n v="181830"/>
    <x v="1"/>
    <x v="1"/>
    <n v="0"/>
    <n v="181830"/>
    <x v="1"/>
    <s v="NA"/>
    <n v="0"/>
    <s v="DURGA"/>
    <x v="5"/>
    <x v="0"/>
    <s v="D NO 18/30 BC COLONY VINJAMUR &quot;VI POST,VINJAMURU MANDAL&quot; BC COLONY NELLORE ANP 524228 "/>
    <s v="MPDO OFFICE &quot;MPDO OFFICE,VINJAMUR&quot;   NELLORE ANP 524228 "/>
    <s v="NELLORE"/>
    <x v="4"/>
    <x v="12"/>
    <s v="B SURESH"/>
    <n v="801570488"/>
    <s v="Ssd@9290"/>
    <m/>
    <m/>
    <x v="0"/>
    <s v="SKIP"/>
    <s v="cm shifted from here sir cm relatives available cm call answered cm serious health issue sir  refused to pay amount sir"/>
    <x v="15"/>
    <d v="2024-07-08T00:00:00"/>
    <n v="76956.11"/>
    <s v="Amazon Pay ICICI Bank Credit Card"/>
    <s v="5TH JUNE"/>
    <d v="2026-06-07T00:00:00"/>
  </r>
  <r>
    <s v="4375513204789003"/>
    <s v="MR KASI VISWANADH MOGALI"/>
    <n v="0"/>
    <x v="2"/>
    <m/>
    <m/>
    <s v="N"/>
    <x v="16"/>
    <s v="9160393143"/>
    <s v="X"/>
    <n v="-28818.689999999944"/>
    <n v="560000"/>
    <n v="531181.31000000006"/>
    <s v=""/>
    <n v="531181.31000000006"/>
    <n v="503871.97"/>
    <n v="92040"/>
    <n v="43103.3"/>
    <x v="1"/>
    <x v="1"/>
    <n v="0"/>
    <n v="43103.3"/>
    <x v="1"/>
    <s v="NA"/>
    <n v="0"/>
    <s v="DURGA"/>
    <x v="0"/>
    <x v="4"/>
    <s v="&quot;7/2/82 RAILWAY STATION,ROAD,&quot; &quot;GOLLAPROLU,EAST GODAVARI&quot;  .. KAKINADA ANP 533445"/>
    <s v="BRILLIO TECHNOLOGIES PRIVATE LIMITED &quot;4TH FLOOR,BREN OPTIMUS NO 8/2,&quot; DR M H MARIGOWDA ROAD DR M H MARIGOWDA ROAD BANGALORE KAR 560029"/>
    <s v="KAKINADA"/>
    <x v="0"/>
    <x v="16"/>
    <s v="UDAY"/>
    <n v="801436997"/>
    <s v="Ssd@9290"/>
    <m/>
    <m/>
    <x v="1"/>
    <m/>
    <m/>
    <x v="10"/>
    <d v="2026-04-30T00:00:00"/>
    <n v="68296.7"/>
    <s v="ICICI Bank Coral Credit Card"/>
    <s v="19TH JUNE"/>
    <d v="2026-06-07T00:00:00"/>
  </r>
  <r>
    <s v="4748468051554002"/>
    <s v="MRS POOJA AGARWAL"/>
    <n v="0"/>
    <x v="2"/>
    <m/>
    <m/>
    <s v="N"/>
    <x v="16"/>
    <s v="8686532560"/>
    <s v="X"/>
    <n v="26792.390000000014"/>
    <n v="470000"/>
    <n v="496792.39"/>
    <n v="421036.89"/>
    <n v="75755.5"/>
    <n v="48958.64"/>
    <n v="75755.5"/>
    <n v="10054.950000000001"/>
    <x v="0"/>
    <x v="2"/>
    <n v="10122"/>
    <n v="-67.049999999999272"/>
    <x v="26"/>
    <s v="TC"/>
    <s v="30501-BBPS Payment received"/>
    <s v="DURGA"/>
    <x v="5"/>
    <x v="4"/>
    <s v="&quot;1-7-143/1,VIVEKANANDA NAGAR,COLLECTOR BANGL&quot;    MAHABUB NAGAR TNG 509001"/>
    <s v="Pooja agarwal 1-7-143/1 Vivekananda masher police  line Vivekananda masher police  line NALGONDA TNG 509001"/>
    <s v="MAHBOOBNAGAR"/>
    <x v="1"/>
    <x v="15"/>
    <s v="SAMBA"/>
    <n v="801772794"/>
    <s v="Ssde@9876"/>
    <m/>
    <m/>
    <x v="0"/>
    <m/>
    <m/>
    <x v="10"/>
    <d v="2026-03-27T00:00:00"/>
    <n v="332"/>
    <s v="ICICI Bank HPCL Coral VISA Credit Card"/>
    <s v="19TH JUNE"/>
    <d v="2026-06-07T00:00:00"/>
  </r>
  <r>
    <s v="4035623241714005"/>
    <s v="MR NARAMAMIDI SURYACHANDRA SEKHAR"/>
    <n v="0"/>
    <x v="0"/>
    <m/>
    <m/>
    <s v="N"/>
    <x v="16"/>
    <s v="9849723955"/>
    <s v="X"/>
    <n v="374106.52"/>
    <n v="120000"/>
    <n v="494106.52"/>
    <n v="334299.84000000003"/>
    <n v="159806.68"/>
    <n v="144866.47"/>
    <n v="92830"/>
    <n v="38170"/>
    <x v="0"/>
    <x v="2"/>
    <n v="38170"/>
    <n v="0"/>
    <x v="26"/>
    <s v="FE"/>
    <s v="12124 - UPI Payment Received"/>
    <s v="DURGA"/>
    <x v="0"/>
    <x v="0"/>
    <s v="2-97 RAMALAYAM VEEDHI   West Godavari ANP 534313 "/>
    <s v="HANU SOFTWARE SOLUTIONS INDIA PRIVATE GLOBLE  DELIVAR CENTER INDIA UNIT F2 FIRST FLOOR PLOT NO 6 GRETAR NOIDA FIRST FLOOR PLOT NO 6 GRETAR NOIDA NOIDA UTP 201308 "/>
    <s v="WEST GODAVARI"/>
    <x v="0"/>
    <x v="13"/>
    <s v="MANIKANTA"/>
    <n v="802852449"/>
    <s v="Ssd@9290"/>
    <m/>
    <m/>
    <x v="0"/>
    <s v="LIVE"/>
    <s v="Custmor job loss  custmor go  to Hyderabad job surching  _x000a_He wants some time"/>
    <x v="23"/>
    <d v="2025-07-21T00:00:00"/>
    <n v="23660"/>
    <s v="ICICI Bank Coral RuPay Credit Card"/>
    <s v="10TH JUNE"/>
    <d v="2026-06-07T00:00:00"/>
  </r>
  <r>
    <s v="4748468816869000"/>
    <s v="MR SHANMUKHA NAGA VINAY KUKKALA"/>
    <n v="0"/>
    <x v="0"/>
    <m/>
    <m/>
    <s v="N"/>
    <x v="16"/>
    <s v="9985998685"/>
    <s v="X"/>
    <n v="46001.590000000026"/>
    <n v="430000"/>
    <n v="476001.59"/>
    <s v=""/>
    <n v="476001.59"/>
    <n v="428257.87"/>
    <n v="116270"/>
    <n v="55310"/>
    <x v="0"/>
    <x v="2"/>
    <n v="55500"/>
    <n v="-190"/>
    <x v="25"/>
    <s v="TC"/>
    <s v="30501-BBPS Payment received"/>
    <s v="DURGA"/>
    <x v="0"/>
    <x v="0"/>
    <s v="3 93 2 CHINTHALAGARUVU VADDIPARRU    BHIMAVARAM ANP 534267 "/>
    <s v="COGNIZANT TECHNOLOGY SOLUTIONS INDIA PVT LTD MANYATA EMBASSY BUSINESS PARK NEAR NAGAWARA NEAR NAGAWARA BANGALORE KAR 560045 "/>
    <s v="BHIMAVARAM"/>
    <x v="0"/>
    <x v="0"/>
    <s v="B NAGABABU"/>
    <n v="801448854"/>
    <s v="Sgr@9290"/>
    <m/>
    <m/>
    <x v="0"/>
    <s v="MESS"/>
    <s v=" cmr not living in this address, cmr father there , cmr answered call and request to call back // waiting for payment, cmr father there at home, cmr answerd call // cmr paid partial amount, remaining amount will pay in 1 hour @~priya"/>
    <x v="24"/>
    <d v="2024-06-08T00:00:00"/>
    <n v="60000"/>
    <s v="ICICI Bank HPCL Coral VISA Credit Card"/>
    <s v="10TH JUNE"/>
    <d v="2026-06-07T00:00:00"/>
  </r>
  <r>
    <s v="4375513602647001"/>
    <s v="MR KRISHNA PODILA"/>
    <n v="0"/>
    <x v="0"/>
    <m/>
    <m/>
    <s v="N"/>
    <x v="16"/>
    <s v="9701577454"/>
    <s v="X"/>
    <n v="28390.510000000009"/>
    <n v="420000"/>
    <n v="448390.51"/>
    <s v=""/>
    <n v="448390.51"/>
    <n v="419848"/>
    <n v="96450"/>
    <n v="21010"/>
    <x v="1"/>
    <x v="1"/>
    <n v="0"/>
    <n v="21010"/>
    <x v="1"/>
    <s v="NA"/>
    <n v="0"/>
    <s v="DURGA"/>
    <x v="5"/>
    <x v="0"/>
    <s v="2-119 GURIJALA BLOCK 2 NARSAMPET DIVISION   WARANGAL TNG 506331 "/>
    <s v="RANDSTAD INDIA PVT LTD Madhapoor Oop petrol pump Oop petrol pump HYDERABAD TNG 500038 "/>
    <s v="WARANGAL"/>
    <x v="1"/>
    <x v="2"/>
    <s v="CHAITANYA"/>
    <n v="802555024"/>
    <s v="Ssde@9290"/>
    <m/>
    <m/>
    <x v="0"/>
    <s v="LIVE"/>
    <s v="Meet Customer Customer Given Commitment On 15th Sir // Visited Customer Given Adress Door locked"/>
    <x v="25"/>
    <d v="2025-09-07T00:00:00"/>
    <n v="50000"/>
    <s v="ICICI Sapphiro Master PLT Chip Card"/>
    <s v="5TH JUNE"/>
    <d v="2026-06-07T00:00:00"/>
  </r>
  <r>
    <s v="5241936601809000"/>
    <s v="MR THIRUMALA SANDEEP MUNTHA"/>
    <n v="0"/>
    <x v="0"/>
    <m/>
    <m/>
    <s v="N"/>
    <x v="16"/>
    <s v="7799270073"/>
    <s v="X"/>
    <n v="25223.260000000009"/>
    <n v="400000"/>
    <n v="425223.26"/>
    <n v="152574.74"/>
    <n v="272648.52"/>
    <n v="242663.26"/>
    <n v="71250"/>
    <n v="30700"/>
    <x v="1"/>
    <x v="1"/>
    <n v="0"/>
    <n v="30700"/>
    <x v="1"/>
    <s v="NA"/>
    <s v="12111-ICICI BANK COLLECTION PAYMENT"/>
    <s v="DURGA"/>
    <x v="0"/>
    <x v="0"/>
    <s v="1ST FLOOR Srikanth nilayam OPP TVS SHOW ROOM Near panti revu Narasapuram  NARASAPURAM ANP 534275 "/>
    <s v="SISA CONSULTANCY PLOT NO 296  PHASE 2 KAMALAPURI COLONY  SRI NAGAR COLONY KAMALAPURI COLONY  SRI NAGAR COLONY HYDERABAD TNG 500073 "/>
    <s v="BHIMAVARAM"/>
    <x v="0"/>
    <x v="0"/>
    <s v="B NAGABABU"/>
    <n v="801448854"/>
    <s v="Sgr@9290"/>
    <m/>
    <m/>
    <x v="0"/>
    <s v="DL"/>
    <s v="cmr house door locked and cmr answered call and cmr taken IP and cmr will send notice Today afternoon //  cmr house door locked and cmr answered call send this document"/>
    <x v="23"/>
    <d v="2026-04-16T00:00:00"/>
    <n v="16838"/>
    <s v="ICICI Bank MasterCard  Platinum chip Credit Card"/>
    <s v="5TH JUNE"/>
    <d v="2026-06-07T00:00:00"/>
  </r>
  <r>
    <s v="4035622934535008"/>
    <s v="MR CHALLA JANARDHAN"/>
    <n v="0"/>
    <x v="0"/>
    <m/>
    <m/>
    <s v="N"/>
    <x v="16"/>
    <s v="9704429103"/>
    <s v="X"/>
    <n v="31081.429999999993"/>
    <n v="330000"/>
    <n v="361081.43"/>
    <n v="25941.62"/>
    <n v="335139.81"/>
    <n v="297134.67"/>
    <n v="86250"/>
    <n v="40720"/>
    <x v="0"/>
    <x v="2"/>
    <n v="41000"/>
    <n v="-280"/>
    <x v="25"/>
    <s v="TC"/>
    <s v="30501-BBPS Payment received"/>
    <s v="DURGA"/>
    <x v="5"/>
    <x v="0"/>
    <s v="&quot;1-36 VIDYANAGAR NELLORE, CHENDODU&quot; NELLORE  BUS STOP GUDUR ANP 524413 "/>
    <s v="INFOSYS LIMITED 44 INFOSYS AVENUE ELECTRONICS CITY HOSUR ROAD BANGALORE CITY HOSUR ROAD BANGALORE BANGALORE KAR 560100 "/>
    <s v="GUDUR"/>
    <x v="4"/>
    <x v="12"/>
    <s v="B SURESH"/>
    <n v="801570488"/>
    <s v="Ssd@9290"/>
    <m/>
    <m/>
    <x v="0"/>
    <s v="LIVE"/>
    <s v="cm door locked sir and cm call not answering sir // : cm job loss sir due to fund issue cm given ptp 17th sir"/>
    <x v="22"/>
    <d v="2026-05-11T00:00:00"/>
    <n v="16080"/>
    <s v="ICICI Bank Coral Credit Card"/>
    <s v="10TH JUNE"/>
    <d v="2026-06-07T00:00:00"/>
  </r>
  <r>
    <s v="5176537191668001"/>
    <s v="MR. KRISHNA CHAITANYA NUNNA"/>
    <n v="0"/>
    <x v="2"/>
    <m/>
    <m/>
    <s v="N"/>
    <x v="16"/>
    <s v="9491971159"/>
    <s v="X"/>
    <n v="-193497.15999999997"/>
    <n v="535000"/>
    <n v="341502.84"/>
    <s v=""/>
    <n v="341502.84"/>
    <n v="308590.03000000003"/>
    <n v="50940"/>
    <n v="20040"/>
    <x v="1"/>
    <x v="1"/>
    <n v="0"/>
    <n v="20040"/>
    <x v="1"/>
    <s v="NA"/>
    <n v="0"/>
    <s v="DURGA"/>
    <x v="0"/>
    <x v="4"/>
    <s v="&quot;8-27,MUNASUBU GARI STREET&quot; &quot;VELPUR,TANUKU MANDAL&quot; WEST GODAVARI  TANUKU ANP 534211"/>
    <s v="&quot;8-27,MUNASUBU GARI STREET&quot; &quot;VELPUR,TANUKU MANDAL&quot; WEST GODAVARI WEST GODAVARI TANUKU ANP 534211"/>
    <s v="TANUKU"/>
    <x v="0"/>
    <x v="13"/>
    <s v="MANIKANTA"/>
    <n v="802852449"/>
    <s v="Ssd@9290"/>
    <m/>
    <m/>
    <x v="0"/>
    <s v="SKIP"/>
    <s v="Custmor not lived present_x000a_Phone not respond"/>
    <x v="26"/>
    <d v="2026-04-18T00:00:00"/>
    <n v="50690"/>
    <s v="ICICI Bank Coral Credit Card"/>
    <s v="19TH JUNE"/>
    <d v="2026-06-07T00:00:00"/>
  </r>
  <r>
    <s v="4035622907993002"/>
    <s v="MR PULIGADDA SANDEEP"/>
    <n v="0"/>
    <x v="0"/>
    <m/>
    <m/>
    <s v="N"/>
    <x v="16"/>
    <s v="7702107768"/>
    <s v="X"/>
    <n v="-22217.770000000019"/>
    <n v="350000"/>
    <n v="327782.23"/>
    <s v=""/>
    <n v="327782.23"/>
    <n v="293600"/>
    <n v="62810"/>
    <n v="33560"/>
    <x v="1"/>
    <x v="1"/>
    <n v="0"/>
    <n v="33560"/>
    <x v="1"/>
    <s v="NA"/>
    <n v="0"/>
    <s v="DURGA"/>
    <x v="0"/>
    <x v="0"/>
    <s v="2-16-1 RAMALAYAM STREET NEAR RAMALAYAM BALUSULAPALEM  NEAR RAMALAYAM GUNTUR ANP 522309 "/>
    <s v="CRITICALRIVER TECHNOLOGIES PRIVATE LIMIT NO 5 1ST FLOOR NORTH BLOCK JVP BUILDING SOFTWER UNIT LAYOUT MADHAPUR SOFTWER UNIT LAYOUT MADHAPUR HYDERABAD TNG 500081 "/>
    <s v="GUNTUR"/>
    <x v="3"/>
    <x v="44"/>
    <s v="DURGA"/>
    <n v="801723195"/>
    <s v="Sgr@9290"/>
    <m/>
    <m/>
    <x v="0"/>
    <s v="SKIP"/>
    <s v="CUSTOMER NOT LIVING IN GIVING ADDRESS CUSTOMER LIVING IN CHERUKUPALLI CUSTOMER ASKING TIME TO PAY CUSTOMER JOBLESS"/>
    <x v="22"/>
    <d v="2026-04-07T00:00:00"/>
    <n v="50000"/>
    <s v="ICICI Bank HPCL Super Saver Master Credit Card"/>
    <s v="10TH JUNE"/>
    <d v="2026-06-07T00:00:00"/>
  </r>
  <r>
    <s v="4315815508098004"/>
    <s v="MR SHAIK JANI PASHA"/>
    <n v="0"/>
    <x v="2"/>
    <m/>
    <m/>
    <s v="N"/>
    <x v="16"/>
    <s v="8179407806"/>
    <s v="X"/>
    <n v="20282.609999999986"/>
    <n v="300000"/>
    <n v="320282.61"/>
    <s v=""/>
    <n v="320282.61"/>
    <n v="299709"/>
    <n v="69070"/>
    <n v="14990"/>
    <x v="1"/>
    <x v="1"/>
    <n v="0"/>
    <n v="14990"/>
    <x v="1"/>
    <s v="NA"/>
    <n v="0"/>
    <s v="DURGA"/>
    <x v="5"/>
    <x v="4"/>
    <s v="11-10-681/2 KHAMMAM  BURAHAN PURAM KHAMMAM TNG 507001"/>
    <s v="DOLPHIN DIAGNOSTIC SERVICE WARYA ROAD MAIN ROAD MAIN ROAD KHAMMAM TNG 507003"/>
    <s v="CUDDAPAH"/>
    <x v="1"/>
    <x v="24"/>
    <s v="POORNIMA"/>
    <n v="802824019"/>
    <s v="Nihan@2421"/>
    <m/>
    <m/>
    <x v="0"/>
    <s v="LIVE"/>
    <s v="I have Visited Customer given working address customer not available here enquired working address going to new working address // I have Visited Customer new working address Customer not available here Customer is in leave from past 3 days I have called to Customer with his colleague mobile Customer call answer Saying that need time to pay due to family financial issues"/>
    <x v="26"/>
    <d v="2026-03-10T00:00:00"/>
    <n v="49100"/>
    <s v="Amazon Pay ICICI Bank Credit Card"/>
    <s v="17TH JUNE"/>
    <d v="2026-06-07T00:00:00"/>
  </r>
  <r>
    <s v="5241936743721006"/>
    <s v="MR LAVUDYA RAVINDER"/>
    <n v="0"/>
    <x v="2"/>
    <m/>
    <m/>
    <s v="N"/>
    <x v="16"/>
    <s v="9948996997"/>
    <s v="X"/>
    <n v="18535.659999999974"/>
    <n v="300000"/>
    <n v="318535.65999999997"/>
    <s v=""/>
    <n v="318535.65999999997"/>
    <n v="299968.37"/>
    <n v="51230"/>
    <n v="14490"/>
    <x v="1"/>
    <x v="1"/>
    <n v="0"/>
    <n v="14490"/>
    <x v="1"/>
    <s v="NA"/>
    <n v="0"/>
    <s v="DURGA"/>
    <x v="5"/>
    <x v="4"/>
    <s v="H.NO11-11-H00061 HUSUNABAD KARIMNAGAR NEAR BHARATH HIGH SCHOOL HYDERABAD TNG 505467"/>
    <s v="GOVT OF  TELANGANA MPPS SOMAJITHANDA MDL AKKANNAPET DIST KARIMNGGAR MDL AKKANNAPET DIST KARIMNGGAR HYDERABAD TNG 505466"/>
    <s v="MEDAK"/>
    <x v="1"/>
    <x v="27"/>
    <s v="SUMANTH"/>
    <n v="802370852"/>
    <s v="Sgr@9290"/>
    <m/>
    <m/>
    <x v="1"/>
    <m/>
    <m/>
    <x v="10"/>
    <d v="2024-09-03T00:00:00"/>
    <n v="921"/>
    <s v="ICICI Bank MasterCard  Platinum chip Credit Card"/>
    <s v="19TH JUNE"/>
    <d v="2026-06-07T00:00:00"/>
  </r>
  <r>
    <s v="4375519948244007"/>
    <s v="MR MAHESH KUMAR RACHAKONDA"/>
    <n v="0"/>
    <x v="2"/>
    <m/>
    <m/>
    <s v="N"/>
    <x v="16"/>
    <s v="9849734485"/>
    <s v="X"/>
    <n v="-105377.43"/>
    <n v="420000"/>
    <n v="314622.57"/>
    <s v=""/>
    <n v="314622.57"/>
    <n v="295060"/>
    <n v="33830"/>
    <n v="14760"/>
    <x v="1"/>
    <x v="1"/>
    <n v="0"/>
    <n v="14760"/>
    <x v="1"/>
    <s v="NA"/>
    <n v="0"/>
    <s v="DURGA"/>
    <x v="5"/>
    <x v="4"/>
    <s v="H NO-7-8-8 GANDHI NAGAR GANDHI NAGAR SIRCILLA  LABOUR ADDA Karimnagar TNG 505301"/>
    <s v="SRI SARASWATHI DRESSES H NO-5-8-135 GANDHI NAGAR GANDHI CHOWK   Karimnagar TNG 505301"/>
    <s v="KARIMNAGAR"/>
    <x v="1"/>
    <x v="10"/>
    <s v="PRASHANTH"/>
    <n v="802551967"/>
    <s v="Ssde@9290"/>
    <m/>
    <m/>
    <x v="1"/>
    <m/>
    <m/>
    <x v="10"/>
    <d v="2025-10-01T00:00:00"/>
    <n v="19501"/>
    <s v="ICICI Bank Platinum Chip Credit Card"/>
    <s v="19TH JUNE"/>
    <d v="2026-06-07T00:00:00"/>
  </r>
  <r>
    <s v="4035622547961021"/>
    <s v="MR KOTHA RAMA KOTESWARA PRASANTH"/>
    <n v="0"/>
    <x v="0"/>
    <m/>
    <m/>
    <s v="N"/>
    <x v="16"/>
    <s v="8686016064"/>
    <s v="X"/>
    <n v="24612.590000000026"/>
    <n v="290000"/>
    <n v="314612.59000000003"/>
    <n v="24522.69"/>
    <n v="290089.90000000002"/>
    <n v="264282.48"/>
    <n v="76290"/>
    <n v="26420"/>
    <x v="0"/>
    <x v="2"/>
    <n v="33400"/>
    <n v="-6980"/>
    <x v="24"/>
    <s v="TC"/>
    <s v="30501-BBPS Payment received"/>
    <s v="DURGA"/>
    <x v="0"/>
    <x v="0"/>
    <s v="&quot;FLAT NO.11,&quot; &quot;8, SESHADRI BLOCK, SRIHARI NIVASAM.,&quot; GUNTUR - GUNTUR ANP 522034 "/>
    <s v="EXPLEO SOLUTIONS LIMITED RAJIV GANDHI SALAI KANDANCHAVADI KANDANCHAVADI CHENNAI TMN 600096 "/>
    <s v="GUNTUR"/>
    <x v="3"/>
    <x v="17"/>
    <s v="DURGA"/>
    <n v="801723195"/>
    <s v="Sgr@9290"/>
    <m/>
    <m/>
    <x v="0"/>
    <s v="LIVE"/>
    <s v="Customer given House address visited customer live respond about payment customer waiting for salary given PTP today evenin // Customer given House address revisited customer live respond customer waiting for salary given PTP today evening"/>
    <x v="21"/>
    <d v="2025-05-20T00:00:00"/>
    <n v="13000"/>
    <s v="ICICI Bank Coral Credit Card"/>
    <s v="10TH JUNE"/>
    <d v="2026-06-07T00:00:00"/>
  </r>
  <r>
    <s v="4035622656654003"/>
    <s v="MR MAHAMMAD HANEEF"/>
    <n v="0"/>
    <x v="0"/>
    <m/>
    <m/>
    <s v="N"/>
    <x v="16"/>
    <s v="9966783476"/>
    <s v="X"/>
    <n v="349.1699999999837"/>
    <n v="300000"/>
    <n v="300349.17"/>
    <n v="20931.759999999998"/>
    <n v="279417.40999999997"/>
    <n v="239144.68"/>
    <n v="69530"/>
    <n v="36170"/>
    <x v="1"/>
    <x v="1"/>
    <n v="0"/>
    <n v="36170"/>
    <x v="1"/>
    <s v="NA"/>
    <n v="0"/>
    <s v="DURGA"/>
    <x v="0"/>
    <x v="1"/>
    <s v="&quot;HOUSE,NUMBER 5-99,CHENUGONIPALLY,,GADWAL&quot; RURAL  NEAR BY PRAGATHI SCHOOL MAHBOOBNAGAR TNG 509125 "/>
    <s v="HANEEF PLUMBING WORKS SHOP NO 5-99 CHENUGONIPALLY CHENUGONIPALLY MAHBOOBNAGAR TNG 509125 "/>
    <s v="MAHBOOBNAGAR"/>
    <x v="2"/>
    <x v="15"/>
    <s v="SAMBA"/>
    <n v="801772794"/>
    <s v="Ssde@9876"/>
    <m/>
    <m/>
    <x v="1"/>
    <m/>
    <m/>
    <x v="10"/>
    <d v="2025-11-14T00:00:00"/>
    <n v="667.1"/>
    <s v="ICICI Bank HPCL Coral Platinum Credit Card"/>
    <s v="5TH JUNE"/>
    <d v="2026-06-07T00:00:00"/>
  </r>
  <r>
    <s v="4035622772208023"/>
    <s v="MR NEERATI CHANDRAIAH"/>
    <n v="0"/>
    <x v="0"/>
    <m/>
    <m/>
    <s v="N"/>
    <x v="16"/>
    <s v="8919105495"/>
    <s v="X"/>
    <n v="-68003.780000000028"/>
    <n v="360000"/>
    <n v="291996.21999999997"/>
    <s v=""/>
    <n v="291996.21999999997"/>
    <n v="266044.81"/>
    <n v="42650"/>
    <n v="15910"/>
    <x v="0"/>
    <x v="2"/>
    <n v="15910"/>
    <n v="0"/>
    <x v="1"/>
    <s v="LO"/>
    <s v="12101-INFINITY PYMT RCVD"/>
    <s v="DURGA"/>
    <x v="5"/>
    <x v="0"/>
    <s v="9-32/A SHABAD HARIJANAVADA SHABAD WANAPARTHY TNG 509217 "/>
    <s v="GOVERNMENT OF TELANGANA SECONDARY EDUCAT MANDAL PARISHAT PRIMARY SCHOOL &quot;AIRPORT COLONY,&quot; &quot;AIRPORT COLONY,&quot; RANGAREDDY TNG 501218 "/>
    <s v="WANAPARTHY"/>
    <x v="1"/>
    <x v="15"/>
    <s v="SAMBA"/>
    <n v="801772794"/>
    <s v="Ssde@9876"/>
    <m/>
    <m/>
    <x v="0"/>
    <m/>
    <m/>
    <x v="10"/>
    <d v="2024-06-30T00:00:00"/>
    <n v="81931.05"/>
    <s v="ICICI Bank Platinum Chip Credit Card"/>
    <s v="10TH JUNE"/>
    <d v="2026-06-07T00:00:00"/>
  </r>
  <r>
    <s v="4035622535449013"/>
    <s v="MR SHAIK SHAJAHAN"/>
    <n v="0"/>
    <x v="0"/>
    <m/>
    <m/>
    <s v="N"/>
    <x v="16"/>
    <s v="6300697829"/>
    <s v="X"/>
    <n v="26805.609999999986"/>
    <n v="262500"/>
    <n v="289305.61"/>
    <s v=""/>
    <n v="289305.61"/>
    <n v="259601.77"/>
    <n v="70820"/>
    <n v="32690"/>
    <x v="1"/>
    <x v="1"/>
    <n v="0"/>
    <n v="32690"/>
    <x v="1"/>
    <s v="NA"/>
    <s v="12111-ICICI BANK COLLECTION PAYMENT"/>
    <s v="DURGA"/>
    <x v="5"/>
    <x v="0"/>
    <s v="78/145 VINAYAKA MANYAM PODALAKURU NEAR KAKATHIYA JUNIOR COLLEGE GUDUR ANP 524345 "/>
    <s v="GOVERNMENT OF ANDHRA PRADESH HEALTH DEPA PRIMARY HEALTH CENTER SRI POTTISRIRAMULU SRI POTTISRIRAMULU GUDUR ANP 524408 "/>
    <s v="GUDUR"/>
    <x v="4"/>
    <x v="12"/>
    <s v="B SURESH"/>
    <n v="801570488"/>
    <s v="Ssd@9290"/>
    <m/>
    <m/>
    <x v="0"/>
    <s v="SKIP"/>
    <s v="cm was not in the present given address sir and cm call not answering sir"/>
    <x v="21"/>
    <d v="2025-06-06T00:00:00"/>
    <n v="13676.26"/>
    <s v="ICICI Bank Platinum Chip Credit Card"/>
    <s v="10TH JUNE"/>
    <d v="2026-06-07T00:00:00"/>
  </r>
  <r>
    <s v="4748468233027000"/>
    <s v="Mr VALLABANENI ROHITH"/>
    <n v="0"/>
    <x v="0"/>
    <m/>
    <m/>
    <s v="N"/>
    <x v="16"/>
    <s v="9701667575"/>
    <s v="X"/>
    <n v="26528.900000000023"/>
    <n v="260000"/>
    <n v="286528.90000000002"/>
    <n v="190238.85"/>
    <n v="96290.05"/>
    <n v="68199.91"/>
    <n v="43560"/>
    <n v="17620"/>
    <x v="0"/>
    <x v="0"/>
    <n v="43560"/>
    <n v="-25940"/>
    <x v="1"/>
    <s v="D"/>
    <s v="12111-ICICI BANK COLLECTION PAYMENT"/>
    <s v="DURGA"/>
    <x v="5"/>
    <x v="0"/>
    <s v="&quot;4-80/2,SC COLONY HUZUR NAGAR MANDALAM&quot; NALGONDA  OPP TRS FLAG SURYAPET TNG 508204 "/>
    <s v="FORAY SOFTWARE PRIVATE LIMITEDPRFAY &quot;BLOCK SDB1 AND SDB2,SY NO 2551&quot; IBRAHIMPATNAM IBRAHIMPATNAM RANGAREDDY TNG 501510 "/>
    <s v="SURYAPET"/>
    <x v="1"/>
    <x v="24"/>
    <s v="POORNIMA"/>
    <n v="802824019"/>
    <s v="Nihan@2421"/>
    <m/>
    <m/>
    <x v="0"/>
    <m/>
    <m/>
    <x v="10"/>
    <d v="2026-01-12T00:00:00"/>
    <n v="4434.21"/>
    <s v="ICICI Bank HPCL Super Saver Visa Credit Card"/>
    <s v="10TH JUNE"/>
    <d v="2026-06-07T00:00:00"/>
  </r>
  <r>
    <s v="4035622528571005"/>
    <s v="MR KATIKAM ASHOK REDDY"/>
    <n v="0"/>
    <x v="0"/>
    <m/>
    <m/>
    <s v="N"/>
    <x v="16"/>
    <s v="9550675282"/>
    <s v="X"/>
    <n v="29936.270000000019"/>
    <n v="250000"/>
    <n v="279936.27"/>
    <s v=""/>
    <n v="279936.27"/>
    <n v="244258.73"/>
    <n v="78700"/>
    <n v="30520"/>
    <x v="0"/>
    <x v="2"/>
    <n v="38100.550000000003"/>
    <n v="-7580.5500000000029"/>
    <x v="27"/>
    <s v="TC"/>
    <s v="30501-BBPS Payment received"/>
    <s v="DURGA"/>
    <x v="5"/>
    <x v="1"/>
    <s v="&quot;1-29/13,.,WADI&quot; ...  &quot;MACHAREDDY,KAMAREDDY,&quot; NIZAMABAD TNG 503123 "/>
    <s v="INOVAR CONSULTING &quot;REDBRICK PRIMEA,TECHOLUTION BLOCK C&quot; &quot;RD NO 2, FINANCIAL DIST,NANAKARAMGUDA&quot; &quot;RD NO 2, FINANCIAL DIST,NANAKARAMGUDA&quot; HYDERABAD TNG 500032 "/>
    <s v="NIZAMABAD"/>
    <x v="1"/>
    <x v="10"/>
    <s v="PRASHANTH"/>
    <n v="802551967"/>
    <s v="Ssde@9290"/>
    <m/>
    <m/>
    <x v="0"/>
    <s v="SKIP"/>
    <s v="customer shifted house and phone respond staying in Hyderabad agree payment on 14 date"/>
    <x v="19"/>
    <d v="2025-12-09T00:00:00"/>
    <n v="45000"/>
    <s v="ICICI Bank Platinum Chip Credit Card"/>
    <s v="10TH JUNE"/>
    <d v="2026-06-07T00:00:00"/>
  </r>
  <r>
    <s v="4315814057656015"/>
    <s v="MR Burra Chandrasen"/>
    <n v="0"/>
    <x v="0"/>
    <m/>
    <m/>
    <s v="O"/>
    <x v="16"/>
    <s v="8328535599"/>
    <s v="X"/>
    <n v="49012.280000000028"/>
    <n v="220000"/>
    <n v="269012.28000000003"/>
    <n v="132485.34"/>
    <n v="136526.94"/>
    <n v="128386.79"/>
    <n v="46900"/>
    <n v="26120"/>
    <x v="0"/>
    <x v="2"/>
    <n v="26200"/>
    <n v="-80"/>
    <x v="18"/>
    <s v="TC"/>
    <s v="12124 - UPI Payment Received"/>
    <s v="DURGA"/>
    <x v="0"/>
    <x v="0"/>
    <s v="1.289 Mudigubba Mudigubba Mudigubba HINDUPUR ANP 515511 "/>
    <s v="SAILAJA.SARRY.CENTER MUDHIGBBA 1.567. 1.567. HINDUPUR ANP 515511 "/>
    <s v="HINDUPUR"/>
    <x v="2"/>
    <x v="26"/>
    <s v="T SRINIVAS"/>
    <n v="802030802"/>
    <s v="Sgr@0987"/>
    <m/>
    <m/>
    <x v="0"/>
    <m/>
    <m/>
    <x v="10"/>
    <d v="2026-05-16T00:00:00"/>
    <n v="23000"/>
    <s v="Amazon Pay ICICI Bank Credit Card"/>
    <s v="10TH JUNE"/>
    <d v="2026-06-07T00:00:00"/>
  </r>
  <r>
    <s v="4035623355796004"/>
    <s v="MR GUNTUKA SRINIVAS"/>
    <n v="0"/>
    <x v="2"/>
    <m/>
    <m/>
    <s v="N"/>
    <x v="16"/>
    <s v="9014020951"/>
    <s v="X"/>
    <n v="18727.380000000005"/>
    <n v="250000"/>
    <n v="268727.38"/>
    <s v=""/>
    <n v="268727.38"/>
    <n v="248036"/>
    <n v="62290"/>
    <n v="12120"/>
    <x v="1"/>
    <x v="1"/>
    <n v="0"/>
    <n v="12120"/>
    <x v="1"/>
    <s v="NA"/>
    <n v="0"/>
    <s v="DURGA"/>
    <x v="5"/>
    <x v="4"/>
    <s v="H NO 11-81 GAJWEL MANDAL BHARATH NAGAR  MEDAK TNG 502278"/>
    <s v="PACER AUTOMATION PRIVATE LIMITED BUILDING NO.33/5 1ST FLOOR MOUNT KAILASH &quot;BUILDING, MEANER AVENUE ROAD ULSUOOR, BA&quot; &quot;BUILDING, MEANER AVENUE ROAD ULSUOOR, BA&quot; BANGALORE KAR 560042"/>
    <s v="MEDAK"/>
    <x v="1"/>
    <x v="21"/>
    <s v="RAJKUMAR"/>
    <n v="802835406"/>
    <s v="Ssde@9290"/>
    <m/>
    <m/>
    <x v="1"/>
    <m/>
    <m/>
    <x v="10"/>
    <d v="2024-06-29T00:00:00"/>
    <n v="428"/>
    <s v="ICICI Bank Platinum Chip Credit Card"/>
    <s v="17TH JUNE"/>
    <d v="2026-06-07T00:00:00"/>
  </r>
  <r>
    <s v="4035622989902004"/>
    <s v="MR MUDHUNURI SAI KRISHNAM"/>
    <n v="0"/>
    <x v="2"/>
    <m/>
    <m/>
    <s v="N"/>
    <x v="16"/>
    <s v="9030933456"/>
    <s v="X"/>
    <n v="16782.489999999991"/>
    <n v="250000"/>
    <n v="266782.49"/>
    <s v=""/>
    <n v="266782.49"/>
    <n v="230116.21"/>
    <n v="64590"/>
    <n v="19700"/>
    <x v="1"/>
    <x v="1"/>
    <n v="0"/>
    <n v="19700"/>
    <x v="1"/>
    <s v="NA"/>
    <s v="12111-ICICI BANK COLLECTION PAYMENT"/>
    <s v="DURGA"/>
    <x v="0"/>
    <x v="4"/>
    <s v="2 125 1 SINGARAJU PETA MAHADEVAPATANAM UNDI MANDALAM NEAR SIVALAYAM NEAR SIVALAYAM BHIMAVARAM ANP 534199"/>
    <s v="AGGNE GLOBAL IT SERVICES PRIVATE LIMITED SY NO 144 KAPIL KAVURI HUB UNIT 2.3 RD FLOOR NANAKRMAMGUDA FINANCIAL DISTRICT G FLOOR NANAKRMAMGUDA FINANCIAL DISTRICT G HYDERABAD TNG 500032"/>
    <s v="BHIMAVARAM"/>
    <x v="0"/>
    <x v="0"/>
    <s v="B NAGABABU"/>
    <n v="801448854"/>
    <s v="Sgr@9290"/>
    <m/>
    <m/>
    <x v="1"/>
    <m/>
    <m/>
    <x v="10"/>
    <d v="2026-03-23T00:00:00"/>
    <n v="520"/>
    <s v="ICICI Bank Sapphiro Visa Credit Card"/>
    <s v="19TH JUNE"/>
    <d v="2026-06-07T00:00:00"/>
  </r>
  <r>
    <s v="4748469452459007"/>
    <s v="MR SRIGIRI SIVA SUBRAHMANYAM"/>
    <n v="0"/>
    <x v="0"/>
    <m/>
    <m/>
    <s v="N"/>
    <x v="16"/>
    <s v="9441195212"/>
    <s v="X"/>
    <n v="15821.630000000005"/>
    <n v="240000"/>
    <n v="255821.63"/>
    <n v="69258.13"/>
    <n v="186563.5"/>
    <n v="165378.71"/>
    <n v="51750"/>
    <n v="26090"/>
    <x v="1"/>
    <x v="1"/>
    <n v="0"/>
    <n v="26090"/>
    <x v="1"/>
    <s v="NA"/>
    <n v="0"/>
    <s v="DURGA"/>
    <x v="0"/>
    <x v="0"/>
    <s v="10-15/465B GUTALA MAIN ROAD DEVANAM West Godavari ANP 534341 "/>
    <s v="KYNDRYL PRIVATE AND CONFIDENTIAL H-01 BUILDING PHOENIX INFOCITY PVT LTD SEZ GACHIBOWLLI SERILINGAMPALLY SEZ GACHIBOWLLI SERILINGAMPALLY HYDERABAD TNG 500081 "/>
    <s v="WEST GODAVARI"/>
    <x v="0"/>
    <x v="13"/>
    <s v="MANIKANTA"/>
    <n v="802852449"/>
    <s v="Ssd@9290"/>
    <m/>
    <m/>
    <x v="1"/>
    <m/>
    <m/>
    <x v="10"/>
    <d v="2026-03-20T00:00:00"/>
    <n v="7300"/>
    <s v="ICICI Bank HPCL Super Saver Visa Credit Card"/>
    <s v="10TH JUNE"/>
    <d v="2026-06-07T00:00:00"/>
  </r>
  <r>
    <s v="4035623402069009"/>
    <s v="MR PEDDI SAI CHAND"/>
    <n v="0"/>
    <x v="0"/>
    <m/>
    <m/>
    <s v="O"/>
    <x v="16"/>
    <s v="8008038984"/>
    <s v="X"/>
    <n v="3218.2399999999907"/>
    <n v="250000"/>
    <n v="253218.24"/>
    <n v="94016.75"/>
    <n v="159201.49"/>
    <n v="148147.29999999999"/>
    <n v="53770"/>
    <n v="30700"/>
    <x v="0"/>
    <x v="0"/>
    <n v="159201.49"/>
    <n v="-128501.48999999999"/>
    <x v="27"/>
    <s v="FE"/>
    <s v="30501-BBPS Payment received"/>
    <s v="DURGA"/>
    <x v="5"/>
    <x v="0"/>
    <s v="FLAT NO- 504 KRISHNA NAGAR OM SAI FREINDS ENCLAVES LB NAGAR WARANGAL TNG 506002 "/>
    <s v="PHYSICIANS INTERACTIVE INDIA PRIVATE LIM LIBERTY TOWER 8TH FLOOR 802 AND 801 NAVI MUMBAI NAVI MUMBAI MUMBAI MAH 400708 "/>
    <s v="WARANGAL"/>
    <x v="1"/>
    <x v="2"/>
    <s v="CHAITANYA"/>
    <n v="802555024"/>
    <s v="Ssde@9290"/>
    <m/>
    <m/>
    <x v="0"/>
    <s v="LIVE"/>
    <s v="Visited Customer Residence Customer Given Commitment On 15th Sir // Visited Customer Given Adress Customer Not Available Phone Call Not Answering Sir"/>
    <x v="27"/>
    <s v=""/>
    <n v="0"/>
    <s v="ICICI Bank Platinum Chip Credit Card"/>
    <s v="5TH JUNE"/>
    <d v="2026-06-07T00:00:00"/>
  </r>
  <r>
    <s v="4035622876657000"/>
    <s v="MR SINGAVARAPU SRINIVAS"/>
    <n v="0"/>
    <x v="0"/>
    <m/>
    <m/>
    <s v="O"/>
    <x v="16"/>
    <s v="9959240344"/>
    <s v="X"/>
    <n v="-13933.899999999994"/>
    <n v="260000"/>
    <n v="246066.1"/>
    <n v="212802.75"/>
    <n v="33263.35"/>
    <n v="26672.15"/>
    <n v="32530"/>
    <n v="16280"/>
    <x v="0"/>
    <x v="2"/>
    <n v="16300"/>
    <n v="-20"/>
    <x v="1"/>
    <s v="D"/>
    <s v="30501-BBPS Payment received"/>
    <s v="DURGA"/>
    <x v="0"/>
    <x v="0"/>
    <s v="&quot;6-14 PANCHAYATHI,DAGGARA BADAMPUDI&quot; &quot;UNGUTURU VUNGUTURU,WEST GODAVARI&quot;  NEAR PANCHAYATHI OFFICE TADEPALLIGUDEM ANP 534411 "/>
    <s v="GOVERNMENT OF ANDHRA PRADESH MPPS SCHOOL BADAMPUDI WEST GODAVAR WEST GODAVAR TADEPALLIGUDEM ANP 534411 "/>
    <s v="TADEPALLIGUDEM"/>
    <x v="0"/>
    <x v="13"/>
    <s v="MANIKANTA"/>
    <n v="802852449"/>
    <s v="Ssd@9290"/>
    <m/>
    <m/>
    <x v="0"/>
    <s v="LIVE"/>
    <s v="Custmor PTP  18"/>
    <x v="18"/>
    <d v="2025-06-19T00:00:00"/>
    <n v="76700"/>
    <s v="ICICI Bank Platinum Chip Credit Card"/>
    <s v="5TH JUNE"/>
    <d v="2026-06-07T00:00:00"/>
  </r>
  <r>
    <s v="4748469493623009"/>
    <s v="MR KURAGANTI MANOHAR"/>
    <n v="0"/>
    <x v="0"/>
    <m/>
    <m/>
    <s v="N"/>
    <x v="16"/>
    <s v="6304534895"/>
    <s v="X"/>
    <n v="25284.399999999994"/>
    <n v="220000"/>
    <n v="245284.4"/>
    <s v=""/>
    <n v="245284.4"/>
    <n v="219894.48"/>
    <n v="59890"/>
    <n v="26370"/>
    <x v="1"/>
    <x v="1"/>
    <n v="0"/>
    <n v="26370"/>
    <x v="1"/>
    <s v="NA"/>
    <n v="0"/>
    <s v="DURGA"/>
    <x v="0"/>
    <x v="2"/>
    <s v="&quot;BALAJI NAGAR,AUTO NAGAR GATE&quot; KRISHNA NILAYAM &quot;VIJAYAWADA,ANDHRA PRADESH&quot; OPPOSITE BUS STOP VIJAYAWADA ANP 520010 "/>
    <s v="GOVERNMENT OF ANDHRA PRADESH &quot;CGO COMPLEX,AUTO NAGAR&quot; &quot;VIJAYAWADA,ANDHRA PRADESH&quot; &quot;VIJAYAWADA,ANDHRA PRADESH&quot; VIJAYAWADA ANP 520007 "/>
    <s v="VIJAYAWADA"/>
    <x v="0"/>
    <x v="22"/>
    <s v="SUDHAKAR"/>
    <n v="802913252"/>
    <s v="Ssd@9290"/>
    <m/>
    <m/>
    <x v="0"/>
    <s v="SKIP"/>
    <s v="Customer currently not available in the given working address // Customer not working in the given working address"/>
    <x v="18"/>
    <d v="2026-01-07T00:00:00"/>
    <n v="50000"/>
    <s v="ICICI Bank Sapphiro Visa Credit Card"/>
    <s v="5TH JUNE"/>
    <d v="2026-06-07T00:00:00"/>
  </r>
  <r>
    <s v="5241936602096003"/>
    <s v="MR MAHESH MAHESH"/>
    <n v="0"/>
    <x v="2"/>
    <m/>
    <m/>
    <s v="N"/>
    <x v="16"/>
    <s v="8501969363"/>
    <s v="X"/>
    <n v="11421.850000000006"/>
    <n v="230000"/>
    <n v="241421.85"/>
    <n v="85833.82"/>
    <n v="155588.03"/>
    <n v="141915.85999999999"/>
    <n v="47980"/>
    <n v="17390"/>
    <x v="0"/>
    <x v="2"/>
    <n v="17390"/>
    <n v="0"/>
    <x v="26"/>
    <s v="TC"/>
    <s v="30501-BBPS Payment received"/>
    <s v="DURGA"/>
    <x v="5"/>
    <x v="4"/>
    <s v="HNO 5-5/1 KOILKONDA X ROAD MAHABUBNAGAR NEAR PETROL PUMP MAHBOOBNAGAR TNG 509001"/>
    <s v="GOVENRMENT OF TEPANGANA GANDEED MAHABUBNAGAR MAHABUBNAGAR MAHBOOBNAGAR TNG 509337"/>
    <s v="MAHBOOBNAGAR"/>
    <x v="1"/>
    <x v="15"/>
    <s v="SAMBA"/>
    <n v="801772794"/>
    <s v="Ssde@9876"/>
    <m/>
    <m/>
    <x v="0"/>
    <m/>
    <m/>
    <x v="10"/>
    <d v="2025-03-20T00:00:00"/>
    <n v="5900"/>
    <s v="ICICI Rubyx PLT Credit Card (AMEX)"/>
    <s v="19TH JUNE"/>
    <d v="2026-06-07T00:00:00"/>
  </r>
  <r>
    <s v="4375518931216006"/>
    <s v="Mr Vishnu Salla"/>
    <n v="0"/>
    <x v="0"/>
    <m/>
    <m/>
    <s v="N"/>
    <x v="16"/>
    <s v="9573383833"/>
    <s v="X"/>
    <n v="-175265.86"/>
    <n v="400000"/>
    <n v="224734.14"/>
    <n v="155249.81"/>
    <n v="69484.33"/>
    <n v="48511.32"/>
    <n v="41630"/>
    <n v="24610"/>
    <x v="1"/>
    <x v="1"/>
    <n v="0"/>
    <n v="24610"/>
    <x v="1"/>
    <s v="NA"/>
    <s v="12111-ICICI BANK COLLECTION PAYMENT"/>
    <s v="DURGA"/>
    <x v="5"/>
    <x v="0"/>
    <s v="1-236/14  MARUTHI NAGAR  NEAR RDO OFFICE MANCHERIAL  MANCHERIAL CEMENT WORKS   Adilabad TNG 504209 "/>
    <s v="Lachler Mancherial Mancherial Mancherial Adilabad TNG 504209 "/>
    <s v="ADILABAD"/>
    <x v="1"/>
    <x v="11"/>
    <s v="T RAMESH "/>
    <n v="801217009"/>
    <s v="Ssd@9290"/>
    <m/>
    <m/>
    <x v="0"/>
    <s v="SKIP"/>
    <s v="Customer given address visit customer address not found trying to alternative, call not answer"/>
    <x v="19"/>
    <d v="2025-12-05T00:00:00"/>
    <n v="12860"/>
    <s v="ICICI Bank Coral Credit Card"/>
    <s v="10TH JUNE"/>
    <d v="2026-06-07T00:00:00"/>
  </r>
  <r>
    <s v="4315811574938017"/>
    <s v="MR MADDI KUMARASWAMY"/>
    <n v="0"/>
    <x v="0"/>
    <m/>
    <s v="CC"/>
    <s v="N"/>
    <x v="16"/>
    <s v="9849402557"/>
    <s v="X"/>
    <n v="-12640.609999999986"/>
    <n v="231000"/>
    <n v="218359.39"/>
    <s v=""/>
    <n v="218359.39"/>
    <n v="200966"/>
    <n v="36980"/>
    <n v="10040"/>
    <x v="1"/>
    <x v="1"/>
    <n v="0"/>
    <n v="10040"/>
    <x v="1"/>
    <s v="NA"/>
    <n v="0"/>
    <s v="DURGA"/>
    <x v="5"/>
    <x v="0"/>
    <s v="9-1-152 GIRMAJIPET WARANGAL &quot;NEAR ICICI BANK LINE,&quot; WARANGAL ANP 506002 "/>
    <s v="PEDDI RAJAMOULI GOLD AND SILVER MERCHANT VISWAKARMA STREET JPN ROAD JPN ROAD WARANGAL ANP 506002 "/>
    <s v="WARANGAL"/>
    <x v="1"/>
    <x v="2"/>
    <s v="CHAITANYA"/>
    <n v="802555024"/>
    <s v="Ssde@9290"/>
    <m/>
    <m/>
    <x v="0"/>
    <s v="LIVE"/>
    <s v="Customer taken injection order"/>
    <x v="17"/>
    <d v="2024-12-07T00:00:00"/>
    <n v="59055"/>
    <s v="Amazon Pay ICICI Bank Credit Card"/>
    <s v="5TH JUNE"/>
    <d v="2026-06-07T00:00:00"/>
  </r>
  <r>
    <s v="374742675267004"/>
    <s v="MR ONTELA RATHNAKAR ONTELA RATHNAKAR REDDY"/>
    <n v="0"/>
    <x v="2"/>
    <m/>
    <m/>
    <s v="N"/>
    <x v="16"/>
    <s v="7095894968"/>
    <s v="X"/>
    <n v="16910.709999999992"/>
    <n v="200000"/>
    <n v="216910.71"/>
    <s v=""/>
    <n v="216910.71"/>
    <n v="197062.35"/>
    <n v="55030"/>
    <n v="12560"/>
    <x v="1"/>
    <x v="1"/>
    <n v="0"/>
    <n v="12560"/>
    <x v="1"/>
    <s v="NA"/>
    <n v="0"/>
    <s v="DURGA"/>
    <x v="5"/>
    <x v="4"/>
    <s v="&quot;1-6,DESHAIPALLY DESHAIPALLY,VILASAGAR,.,&quot;    KARIMNAGAR TNG 505524"/>
    <s v="      "/>
    <s v="KARIMNAGAR"/>
    <x v="1"/>
    <x v="27"/>
    <s v="SUMANTH"/>
    <n v="802370852"/>
    <s v="Sgr@9290"/>
    <m/>
    <m/>
    <x v="1"/>
    <m/>
    <m/>
    <x v="10"/>
    <s v=""/>
    <n v="0"/>
    <s v="ICICI Rubyx PLT Credit Card (AMEX)"/>
    <s v="19TH JUNE"/>
    <d v="2026-06-07T00:00:00"/>
  </r>
  <r>
    <s v="4035623037303005"/>
    <s v="MR TAMMU SATYANARAYANA"/>
    <n v="0"/>
    <x v="0"/>
    <m/>
    <m/>
    <s v="N"/>
    <x v="16"/>
    <s v="9502626530"/>
    <s v="Y"/>
    <n v="-67062.859999999986"/>
    <n v="280000"/>
    <n v="212937.14"/>
    <s v=""/>
    <n v="212937.14"/>
    <n v="192495.73"/>
    <n v="30350"/>
    <n v="11890"/>
    <x v="1"/>
    <x v="1"/>
    <n v="0"/>
    <n v="11890"/>
    <x v="1"/>
    <s v="NA"/>
    <n v="0"/>
    <s v="DURGA"/>
    <x v="0"/>
    <x v="0"/>
    <s v="&quot;1-288,/2,Mani Nilayam&quot; &quot;,DNR College Road&quot; Rayalam Rural Abdul Kalam Nagar BHIMAVARAM ANP 534208 "/>
    <s v="UST GLOBAL TECHNOLOGY SERVICES INDIA PRI 14TH FLOOR B BLOCK SHANTINIKETAN COMPLEX ROAD WHITWFIELD BANGLORE ROAD WHITWFIELD BANGLORE BANGALORE KAR 560066 "/>
    <s v="BHIMAVARAM"/>
    <x v="0"/>
    <x v="0"/>
    <s v="B NAGABABU"/>
    <n v="801448854"/>
    <s v="Sgr@9290"/>
    <m/>
    <m/>
    <x v="1"/>
    <m/>
    <m/>
    <x v="10"/>
    <d v="2025-03-10T00:00:00"/>
    <n v="500"/>
    <s v="ICICI Sapphiro Master PLT Chip Card"/>
    <s v="10TH JUNE"/>
    <d v="2026-06-07T00:00:00"/>
  </r>
  <r>
    <s v="4035623384426003"/>
    <s v="MS MUDDI BHAGYA"/>
    <n v="0"/>
    <x v="0"/>
    <m/>
    <m/>
    <s v="N"/>
    <x v="16"/>
    <s v="6303683561"/>
    <s v="X"/>
    <n v="-397758.36"/>
    <n v="610000"/>
    <n v="212241.64"/>
    <n v="13261.57"/>
    <n v="198980.07"/>
    <n v="175233.5"/>
    <n v="49760"/>
    <n v="18760"/>
    <x v="0"/>
    <x v="2"/>
    <n v="18760"/>
    <n v="0"/>
    <x v="27"/>
    <s v="TC"/>
    <s v="30501-BBPS Payment received"/>
    <s v="DURGA"/>
    <x v="0"/>
    <x v="0"/>
    <s v="&quot;2/19,AMBAKA PALLI AMBAKA,PALLE,CUDDAPAH,&quot; &quot;,CHINNAKUDALA&quot;  MAIN ROAD PRODDATUR ANP 516396 "/>
    <s v="ORACLECERNER HEALTHCARESOLUTIONINDIAPVT &quot;GROUND FLOOR,WING B-BLOCK,H2 MOUNTAIN&quot; &quot;ASH MANYATA EMBASSY BUSINESS PARK,BANGAL&quot; &quot;ASH MANYATA EMBASSY BUSINESS PARK,BANGAL&quot; BANGALORE KAR 560045 "/>
    <s v="PRODDATUR"/>
    <x v="2"/>
    <x v="31"/>
    <s v="POORNIMA"/>
    <n v="802824019"/>
    <s v="Nihan@2421"/>
    <m/>
    <m/>
    <x v="0"/>
    <m/>
    <m/>
    <x v="10"/>
    <d v="2026-03-31T00:00:00"/>
    <n v="40000"/>
    <s v="ICICI Bank Coral RuPay Credit Card"/>
    <s v="10TH JUNE"/>
    <d v="2026-06-07T00:00:00"/>
  </r>
  <r>
    <s v="4315812550573000"/>
    <s v="MR Vanaparthi Veerachary"/>
    <n v="0"/>
    <x v="0"/>
    <m/>
    <m/>
    <s v="O"/>
    <x v="16"/>
    <s v="9542514241"/>
    <s v="X"/>
    <n v="-14172.140000000014"/>
    <n v="220000"/>
    <n v="205827.86"/>
    <n v="127138.24000000001"/>
    <n v="78689.62"/>
    <n v="71041.17"/>
    <n v="31040"/>
    <n v="10190"/>
    <x v="0"/>
    <x v="2"/>
    <n v="10200"/>
    <n v="-10"/>
    <x v="26"/>
    <s v="TC"/>
    <s v="30501-BBPS Payment received"/>
    <s v="DURGA"/>
    <x v="5"/>
    <x v="0"/>
    <s v="2-44/1 laxmipoor laxmipoor Karimnagar KARIMNAGAR TNG 505530 "/>
    <s v="A LAXMIPOOR BEJJANKI SIDDIPET BEJJANKI SIDDIPET KARIMNAGAR TNG 505530 "/>
    <s v="KARIMNAGAR"/>
    <x v="1"/>
    <x v="27"/>
    <s v="SUMANTH"/>
    <n v="802370852"/>
    <s v="Sgr@9290"/>
    <m/>
    <m/>
    <x v="0"/>
    <s v="SKIP"/>
    <s v="Customer own house but he is doing job in hyderabad call answered given ptp on 17th eveing"/>
    <x v="22"/>
    <d v="2025-09-20T00:00:00"/>
    <n v="2530"/>
    <s v="Amazon Pay ICICI Bank Credit Card"/>
    <s v="5TH JUNE"/>
    <d v="2026-06-07T00:00:00"/>
  </r>
  <r>
    <s v="4315812627974017"/>
    <s v="MR Jangala Mahesh Babu"/>
    <n v="0"/>
    <x v="2"/>
    <m/>
    <m/>
    <s v="N"/>
    <x v="16"/>
    <s v="7893990555"/>
    <s v="X"/>
    <n v="1223.3399999999965"/>
    <n v="190000"/>
    <n v="191223.34"/>
    <n v="55381.43"/>
    <n v="135841.91"/>
    <n v="123884.48"/>
    <n v="30940"/>
    <n v="13606"/>
    <x v="0"/>
    <x v="0"/>
    <n v="132000"/>
    <n v="-118394"/>
    <x v="1"/>
    <s v="D"/>
    <s v="30501-BBPS Payment received"/>
    <s v="DURGA"/>
    <x v="5"/>
    <x v="4"/>
    <s v="3-78 RAGHUNADHAPALEM MANDALAM RAGHUNADHAPALEM Khammam KHAMMAM TNG 507002"/>
    <s v="SRI CHENNAKESHAVA ENTERPRISES 2-5-163/1 HANUMAM TEMPLE RAOD HANUMAM TEMPLE RAOD KHAMMAM TNG 507003"/>
    <s v="KHAMMAM"/>
    <x v="1"/>
    <x v="40"/>
    <s v="POORNIMA"/>
    <n v="802824019"/>
    <s v="Nihan@2421"/>
    <m/>
    <m/>
    <x v="0"/>
    <m/>
    <m/>
    <x v="10"/>
    <d v="2024-11-25T00:00:00"/>
    <n v="196.4"/>
    <s v="Amazon Pay ICICI Bank Credit Card"/>
    <s v="19TH JUNE"/>
    <d v="2026-06-07T00:00:00"/>
  </r>
  <r>
    <s v="4315815102113001"/>
    <s v="MR Magudeeswaran Subramani"/>
    <n v="0"/>
    <x v="0"/>
    <m/>
    <s v="CC"/>
    <s v="N"/>
    <x v="16"/>
    <s v="6374805657"/>
    <s v="X"/>
    <n v="-140134.73000000001"/>
    <n v="330000"/>
    <n v="189865.27"/>
    <n v="158204.25"/>
    <n v="31661.02"/>
    <n v="28669.7"/>
    <n v="31030"/>
    <n v="14320"/>
    <x v="1"/>
    <x v="1"/>
    <n v="0"/>
    <n v="14320"/>
    <x v="1"/>
    <s v="NA"/>
    <n v="0"/>
    <s v="DURGA"/>
    <x v="0"/>
    <x v="0"/>
    <s v="F.164.Andhrapradesh.cement works.F.164.Andhra.Pradesh cement.works..Bhogasamudram. &quot;Mandal ,Ta&quot; ANANTAPUR ANP 515415 "/>
    <s v="ULTRA.TECH F.164.Andhrapradesh.cement works.F.164.Andhra.Pradesh.cement.works. works.F.164.Andhra.Pradesh.cement.works. ANANTAPUR ANP 515415 "/>
    <s v="ANANTAPUR"/>
    <x v="2"/>
    <x v="26"/>
    <s v="T SRINIVAS"/>
    <n v="802030802"/>
    <s v="Sgr@0987"/>
    <m/>
    <m/>
    <x v="0"/>
    <s v="LIVE"/>
    <s v="Customer in death"/>
    <x v="24"/>
    <d v="2024-06-29T00:00:00"/>
    <n v="8228.61"/>
    <s v="Amazon Pay ICICI Bank Credit Card"/>
    <s v="5TH JUNE"/>
    <d v="2026-06-07T00:00:00"/>
  </r>
  <r>
    <s v="4035620794117008"/>
    <s v="MR KANDUKOORI NAYAB GHOUSE"/>
    <n v="0"/>
    <x v="2"/>
    <m/>
    <m/>
    <s v="N"/>
    <x v="16"/>
    <s v="9030336611"/>
    <s v="X"/>
    <n v="12629.679999999993"/>
    <n v="160000"/>
    <n v="172629.68"/>
    <n v="7622.42"/>
    <n v="165007.26"/>
    <n v="150312.13"/>
    <n v="50180"/>
    <n v="22960"/>
    <x v="1"/>
    <x v="1"/>
    <n v="0"/>
    <n v="22960"/>
    <x v="1"/>
    <s v="NA"/>
    <n v="0"/>
    <s v="DURGA"/>
    <x v="0"/>
    <x v="4"/>
    <s v="7/1572-A ANDHRAUKOORI KESWARI ROAD  CUDDAPAH PRODDATUR ANP 516360"/>
    <s v="INFOSYS LIMITED &quot;INFOSYS LTD STP SURVEY NO.210, ISB ROAD&quot; MANIKONDA JAGIR GACHIBOWLI MANIKONDA JAGIR GACHIBOWLI HYDERABAD TNG 500032"/>
    <s v="KHAMMAM"/>
    <x v="2"/>
    <x v="31"/>
    <s v="POORNIMA"/>
    <n v="802824019"/>
    <s v="Nihan@2421"/>
    <m/>
    <m/>
    <x v="1"/>
    <m/>
    <m/>
    <x v="10"/>
    <d v="2026-01-31T00:00:00"/>
    <n v="8000"/>
    <s v="ICICI Bank Coral Credit Card"/>
    <s v="17TH JUNE"/>
    <d v="2026-06-07T00:00:00"/>
  </r>
  <r>
    <s v="4315813803605003"/>
    <s v="MR GSurya Narayana Reddy"/>
    <n v="0"/>
    <x v="0"/>
    <m/>
    <m/>
    <s v="N"/>
    <x v="16"/>
    <s v="9494492911"/>
    <s v="X"/>
    <n v="91944.43"/>
    <n v="80000"/>
    <n v="171944.43"/>
    <n v="100909.68"/>
    <n v="71034.75"/>
    <n v="65847.929999999993"/>
    <n v="41500"/>
    <n v="20780"/>
    <x v="0"/>
    <x v="2"/>
    <n v="21000"/>
    <n v="-220"/>
    <x v="26"/>
    <s v="NA"/>
    <s v="12101-INFINITY PYMT RCVD"/>
    <s v="DURGA"/>
    <x v="0"/>
    <x v="0"/>
    <s v="4 106   JULEPALLE NANDYAL ANP 518674 "/>
    <s v="SRINIVAS NAGAR SRINIVAS CENTER SRINIVAS NAGAR SRINIVAS NAGAR NANDYAL ANP 518501 "/>
    <s v="NANDYAL"/>
    <x v="2"/>
    <x v="14"/>
    <s v="HARI"/>
    <n v="802388289"/>
    <s v="Ssd@9290"/>
    <m/>
    <m/>
    <x v="0"/>
    <s v="SKIP"/>
    <s v="Customer office address visit customer not in a office customer mobile responding call back // Customer office address visit customer not in a office customer mobile responding call back evening // Customer office address visit customer not in a office customer mobile responding will have to pay today evening ptp // Customer working address visit customer gave cash"/>
    <x v="26"/>
    <d v="2024-06-30T00:00:00"/>
    <n v="37504.67"/>
    <s v="Amazon Pay ICICI Bank Credit Card"/>
    <s v="10TH JUNE"/>
    <d v="2026-06-07T00:00:00"/>
  </r>
  <r>
    <s v="4375515496577004"/>
    <s v="MR YAPARLA SATYAM REDDY"/>
    <n v="0"/>
    <x v="0"/>
    <m/>
    <m/>
    <s v="N"/>
    <x v="16"/>
    <s v="9966521162"/>
    <s v="X"/>
    <n v="21427.260000000009"/>
    <n v="150000"/>
    <n v="171427.26"/>
    <s v=""/>
    <n v="171427.26"/>
    <n v="145744.04999999999"/>
    <n v="61300"/>
    <n v="33057.5"/>
    <x v="0"/>
    <x v="0"/>
    <n v="145744.04999999999"/>
    <n v="-112686.54999999999"/>
    <x v="25"/>
    <s v="TC"/>
    <s v="30501-BBPS Payment received"/>
    <s v="DURGA"/>
    <x v="0"/>
    <x v="0"/>
    <s v="4 35 NAKKALAVAGULA PALLI DHONE  KURNOOL ANP 518222 "/>
    <s v="T STANES AND COMPANY LTD HOUSING BOARDCOLONY NEAR AUTO STAND KARIMNAGAR TELANGANA KARIMNAGAR TELANGANA Karimnagar TNG 505001 "/>
    <s v="KURNOOL"/>
    <x v="2"/>
    <x v="19"/>
    <s v="SAMBA"/>
    <n v="801772794"/>
    <s v="Ssde@9876"/>
    <m/>
    <m/>
    <x v="0"/>
    <m/>
    <m/>
    <x v="10"/>
    <d v="2025-03-25T00:00:00"/>
    <n v="3914.48"/>
    <s v="ICICI Bank Coral Credit Card"/>
    <s v="10TH JUNE"/>
    <d v="2026-06-07T00:00:00"/>
  </r>
  <r>
    <s v="4748468554095008"/>
    <s v="MR CHANDU YEDUKONDALU"/>
    <n v="0"/>
    <x v="0"/>
    <m/>
    <m/>
    <s v="N"/>
    <x v="16"/>
    <s v="8179724153"/>
    <s v="X"/>
    <n v="10607.420000000013"/>
    <n v="160000"/>
    <n v="170607.42"/>
    <s v=""/>
    <n v="170607.42"/>
    <n v="158693.16"/>
    <n v="36900"/>
    <n v="21050"/>
    <x v="1"/>
    <x v="1"/>
    <n v="0"/>
    <n v="21050"/>
    <x v="1"/>
    <s v="NA"/>
    <n v="0"/>
    <s v="DURGA"/>
    <x v="0"/>
    <x v="0"/>
    <s v="HNO 1-23 CHAKRAYAPALEM GUNTUR ANDHRA PRADESH GUNTUR NEAR HANUMAN TEMPLE GUNTUR ANP 522301 "/>
    <s v="MAGIC SOFTWARE PRIVATE LIMITED FRIST FLOOR THE GREAT EASTERN CENTERE 70 NEHRU PLACE NEW DELHI 70 NEHRU PLACE NEW DELHI DELHI DEL 110019 "/>
    <s v="GUNTUR"/>
    <x v="3"/>
    <x v="9"/>
    <s v="DURGA"/>
    <n v="801723195"/>
    <s v="Sgr@9290"/>
    <m/>
    <m/>
    <x v="0"/>
    <s v="SKIP"/>
    <s v="Ch adress not found asking village asking customer identity or father name // Ch not living in giving address mobile not answering asking neighbors said living in Hyderabad jobless father health issue admitted in Hyderabad hospital"/>
    <x v="24"/>
    <d v="2026-02-13T00:00:00"/>
    <n v="31023.119999999999"/>
    <s v="ICICI Bank HPCL Super Saver Visa Credit Card"/>
    <s v="10TH JUNE"/>
    <d v="2026-06-07T00:00:00"/>
  </r>
  <r>
    <s v="4035623185690013"/>
    <s v="MR KUNCHAPOLLA KRISHNAIAH"/>
    <n v="0"/>
    <x v="0"/>
    <m/>
    <m/>
    <s v="O"/>
    <x v="16"/>
    <s v="9848775458"/>
    <s v="X"/>
    <n v="10116.73000000001"/>
    <n v="150000"/>
    <n v="160116.73000000001"/>
    <s v=""/>
    <n v="160116.73000000001"/>
    <n v="138223.35999999999"/>
    <n v="55640"/>
    <n v="28189.99"/>
    <x v="1"/>
    <x v="1"/>
    <n v="0"/>
    <n v="28189.99"/>
    <x v="1"/>
    <s v="NA"/>
    <s v="12111-ICICI BANK COLLECTION PAYMENT"/>
    <s v="DURGA"/>
    <x v="5"/>
    <x v="0"/>
    <s v="&quot;MADANAPUR,1-79,KOTHAKOTA&quot; ...  MADANAPUR WANAPARTHY TNG 509110 "/>
    <s v="KRISHNAIAH REAL ESTATE 1 79 VADDERA COLONY KOTHAKOTA MANDAL   WANAPARTHY TNG 509110 "/>
    <s v="WANAPARTHY"/>
    <x v="1"/>
    <x v="15"/>
    <s v="SAMBA"/>
    <n v="801772794"/>
    <s v="Ssde@9876"/>
    <m/>
    <m/>
    <x v="1"/>
    <m/>
    <m/>
    <x v="10"/>
    <d v="2026-03-20T00:00:00"/>
    <n v="36014"/>
    <s v="ICICI Bank Platinum Chip Credit Card"/>
    <s v="5TH JUNE"/>
    <d v="2026-06-07T00:00:00"/>
  </r>
  <r>
    <s v="4035622735093009"/>
    <s v="MR PALEPU GAGAN"/>
    <n v="0"/>
    <x v="0"/>
    <m/>
    <m/>
    <s v="O"/>
    <x v="16"/>
    <s v="9494827616"/>
    <s v="X"/>
    <n v="-90231.950000000012"/>
    <n v="250000"/>
    <n v="159768.04999999999"/>
    <n v="23545.11"/>
    <n v="136222.94"/>
    <n v="124923.05"/>
    <n v="39190"/>
    <n v="21800"/>
    <x v="1"/>
    <x v="1"/>
    <n v="0"/>
    <n v="21800"/>
    <x v="1"/>
    <s v="NA"/>
    <n v="0"/>
    <s v="DURGA"/>
    <x v="0"/>
    <x v="0"/>
    <s v="&quot;6-2-060 KURASAM PETA,YANAM&quot; ...  &quot;YANAM,PONDICHERRY&quot; KAKINADA ANP 533464 "/>
    <s v="PIERIAN SERVICES PVT LTD &quot;INDUSTRIAL AREA ,VAKALAPUDI&quot; KAKINADA KAKINADA KAKINADA ANP 533005 "/>
    <s v="KAKINADA"/>
    <x v="0"/>
    <x v="25"/>
    <s v="B NAGABABU"/>
    <n v="801448854"/>
    <s v="Sgr@9290"/>
    <m/>
    <m/>
    <x v="0"/>
    <s v="LIVE"/>
    <s v="CUSTOMER NOT AVAILABLE AT HOME SIR INFORMED TO HIS MOTHER.AND CALL TO HIM RESPONDED TO THE CALL..GIVEN PTP TO 19TH"/>
    <x v="18"/>
    <d v="2026-03-18T00:00:00"/>
    <n v="41000"/>
    <s v="ICICI Bank Coral Credit Card"/>
    <s v="5TH JUNE"/>
    <d v="2026-06-07T00:00:00"/>
  </r>
  <r>
    <s v="4035623093189009"/>
    <s v="MR RASUPALEM VEERAREDDY"/>
    <n v="0"/>
    <x v="0"/>
    <m/>
    <m/>
    <s v="N"/>
    <x v="16"/>
    <s v="7780710240"/>
    <s v="X"/>
    <n v="9554.8500000000058"/>
    <n v="150000"/>
    <n v="159554.85"/>
    <s v=""/>
    <n v="159554.85"/>
    <n v="149196.25"/>
    <n v="26860"/>
    <n v="7440"/>
    <x v="0"/>
    <x v="0"/>
    <n v="159554.85"/>
    <n v="-152114.85"/>
    <x v="20"/>
    <s v="FE"/>
    <s v="30501-BBPS Payment received"/>
    <s v="DURGA"/>
    <x v="0"/>
    <x v="0"/>
    <s v="9-1-61 SURENDRANAGAR  CUDDAPAH CUDDAPAH ANP 516227 "/>
    <s v="INCUBIT GLOBAL BUSINESS SERVICE PVT LTD &quot;OFFICE 12, 10TH FLOOR, WAVE 1ST SILVER T&quot; &quot;TOWER, SECTOR 18, NOIDA, UTTAR PRADESH&quot; &quot;TOWER, SECTOR 18, NOIDA, UTTAR PRADESH&quot; NOIDA UTP 201301 "/>
    <s v="CUDDAPAH"/>
    <x v="2"/>
    <x v="5"/>
    <s v="PAVAN"/>
    <n v="802823180"/>
    <s v="Sgr@9290"/>
    <m/>
    <m/>
    <x v="0"/>
    <m/>
    <m/>
    <x v="10"/>
    <d v="2024-07-03T00:00:00"/>
    <n v="198"/>
    <s v="ICICI Bank Platinum Chip Credit Card"/>
    <s v="10TH JUNE"/>
    <d v="2026-06-07T00:00:00"/>
  </r>
  <r>
    <s v="4035622605362013"/>
    <s v="MS AKKAM SIDDAVVA"/>
    <n v="0"/>
    <x v="0"/>
    <m/>
    <m/>
    <s v="N"/>
    <x v="16"/>
    <s v="9705618981"/>
    <s v="X"/>
    <n v="8383.8500000000058"/>
    <n v="150000"/>
    <n v="158383.85"/>
    <n v="50873.48"/>
    <n v="107510.37"/>
    <n v="76998.960000000006"/>
    <n v="50330"/>
    <n v="36260"/>
    <x v="0"/>
    <x v="0"/>
    <n v="50330"/>
    <n v="-14070"/>
    <x v="25"/>
    <s v="TC"/>
    <s v="30501-BBPS Payment received"/>
    <s v="DURGA"/>
    <x v="5"/>
    <x v="1"/>
    <s v="&quot;H NO,4-40 YADARAM DOMAKONDA,MANDALAM,YAD&quot; YADARAM  NR WATER TANK NIZAMABAD TNG 503125 "/>
    <s v="SIDDAVVA TAILORS NO 4 40 YADARAM DOMAKONDA MANDALAM YADARAM YADARAM NIZAMABAD TNG 503125 "/>
    <s v="NIZAMABAD"/>
    <x v="1"/>
    <x v="10"/>
    <s v="PRASHANTH"/>
    <n v="802551967"/>
    <s v="Ssde@9290"/>
    <m/>
    <m/>
    <x v="0"/>
    <s v="LIVE"/>
    <s v="customer not available and phone respond agree payment on 15 date // customer not available and agree payment today"/>
    <x v="24"/>
    <d v="2025-08-06T00:00:00"/>
    <n v="0.01"/>
    <s v="ICICI Bank Coral RuPay Credit Card"/>
    <s v="10TH JUNE"/>
    <d v="2026-06-07T00:00:00"/>
  </r>
  <r>
    <s v="4035623049701006"/>
    <s v="MR KASU SRINIVAS"/>
    <n v="0"/>
    <x v="0"/>
    <m/>
    <m/>
    <s v="N"/>
    <x v="16"/>
    <s v="9652916956"/>
    <s v="X"/>
    <n v="6216.3099999999977"/>
    <n v="150000"/>
    <n v="156216.31"/>
    <n v="54035.44"/>
    <n v="102180.87"/>
    <n v="91209.98"/>
    <n v="43300"/>
    <n v="17770"/>
    <x v="0"/>
    <x v="0"/>
    <n v="102180.87"/>
    <n v="-84410.87"/>
    <x v="25"/>
    <s v="FE"/>
    <s v="30501-BBPS Payment received"/>
    <s v="DURGA"/>
    <x v="5"/>
    <x v="0"/>
    <s v="4-7-110/1 VIDYA NAGAR VIDYA NAGAR ADILABAD ADILABAD TNG 504001 "/>
    <s v="GLOBUS INFORMATICS INDIA PRIVATE LIMITED VIDYA NAGAR COLONY NEAR ADITYA JUNIOR COLLAGE JUNIOR COLLAGE ADILABAD TNG 504001 "/>
    <s v="ADILABAD"/>
    <x v="1"/>
    <x v="35"/>
    <s v="KANTH"/>
    <n v="802794852"/>
    <s v="Ssd@9290"/>
    <m/>
    <m/>
    <x v="0"/>
    <s v="LIVE"/>
    <s v="Customer visit home address meet customer PTP 18th // Customer revisit home address meet customer PTP 19th"/>
    <x v="21"/>
    <d v="2026-03-07T00:00:00"/>
    <n v="10260"/>
    <s v="ICICI Bank Platinum Chip Credit Card"/>
    <s v="10TH JUNE"/>
    <d v="2026-06-07T00:00:00"/>
  </r>
  <r>
    <s v="4035622973848007"/>
    <s v="MS URKONDA SRAVANI"/>
    <n v="0"/>
    <x v="0"/>
    <m/>
    <m/>
    <s v="N"/>
    <x v="16"/>
    <s v="7010489840"/>
    <s v="X"/>
    <n v="-86356.73000000001"/>
    <n v="230000"/>
    <n v="143643.26999999999"/>
    <s v=""/>
    <n v="143643.26999999999"/>
    <n v="121695.39"/>
    <n v="33820"/>
    <n v="17660"/>
    <x v="0"/>
    <x v="2"/>
    <n v="18000"/>
    <n v="-340"/>
    <x v="27"/>
    <s v="TC"/>
    <s v="30501-BBPS Payment received"/>
    <s v="DURGA"/>
    <x v="5"/>
    <x v="0"/>
    <s v="&quot;9-37,NANDANAVANAM TOWNSHIP,BESIDE,MADHUC&quot; &quot;ON,,GRANIT KHAMMAM,RURAL,MUTHAGUDEM&quot;  &quot;NEAR BY KARTHEKEYA VENTURE,MADHUCON GRAN&quot; KHAMMAM TNG 507163 "/>
    <s v="INTEQ SOFTWARE PRIVATE LIMITED &quot;1365,ROADNO.45,JUBILEE HILLS&quot; HYDERABAD HYDERABAD HYDERABAD TNG 500033 "/>
    <s v="KHAMMAM"/>
    <x v="1"/>
    <x v="24"/>
    <s v="POORNIMA"/>
    <n v="802824019"/>
    <s v="Nihan@2421"/>
    <m/>
    <m/>
    <x v="0"/>
    <m/>
    <m/>
    <x v="10"/>
    <d v="2026-04-08T00:00:00"/>
    <n v="25000"/>
    <s v="ICICI Bank Platinum Chip Credit Card"/>
    <s v="10TH JUNE"/>
    <d v="2026-06-07T00:00:00"/>
  </r>
  <r>
    <s v="4748468594341008"/>
    <s v="MS MRUDULA VISSAMSETTI"/>
    <n v="0"/>
    <x v="0"/>
    <m/>
    <m/>
    <s v="N"/>
    <x v="16"/>
    <s v="7207467888"/>
    <s v="X"/>
    <n v="90130.73000000001"/>
    <n v="50000"/>
    <n v="140130.73000000001"/>
    <n v="105914.12"/>
    <n v="34216.61"/>
    <n v="30644.23"/>
    <n v="30100"/>
    <n v="15049"/>
    <x v="0"/>
    <x v="2"/>
    <n v="15049"/>
    <n v="0"/>
    <x v="24"/>
    <s v="FE"/>
    <s v="12124 - UPI Payment Received"/>
    <s v="DURGA"/>
    <x v="0"/>
    <x v="2"/>
    <s v="&quot;33-18-11 CH VENKATA,.,KRISHNAIAH STREET M,&quot; &quot;J NAIDU,HOSPITAL SURYARAOPET URBAN&quot;   KRISHNA ANP 520002 "/>
    <s v="ACCENTURE SOLUTIONS PVT LTD 76-14-226/4 teachers colony Sivalayam Street Swathi Theatre road bhava Modernmart beside Street 3rd right Sri sai bhavani nilayam 2nd floor Modernmart beside Street 3rd right Sri sai bhavani nilayam 2nd floor VIJAYAWADA ANP 520012 "/>
    <s v="VIJAYAWADA"/>
    <x v="0"/>
    <x v="22"/>
    <s v="SUDHAKAR"/>
    <n v="802913252"/>
    <s v="Ssd@9290"/>
    <m/>
    <m/>
    <x v="0"/>
    <s v="SKIP"/>
    <s v="No such person in the given address"/>
    <x v="20"/>
    <d v="2026-04-20T00:00:00"/>
    <n v="12510"/>
    <s v="ICICI Bank HPCL Coral VISA Credit Card"/>
    <s v="10TH JUNE"/>
    <d v="2026-06-07T00:00:00"/>
  </r>
  <r>
    <s v="4748460129917006"/>
    <s v="MR Thadakala Kranthi Kumar"/>
    <n v="0"/>
    <x v="0"/>
    <m/>
    <m/>
    <s v="N"/>
    <x v="16"/>
    <s v="9985996421"/>
    <s v="X"/>
    <n v="1888.1300000000047"/>
    <n v="130000"/>
    <n v="131888.13"/>
    <s v=""/>
    <n v="131888.13"/>
    <n v="120628.16"/>
    <n v="20410"/>
    <n v="7160"/>
    <x v="0"/>
    <x v="0"/>
    <n v="20410"/>
    <n v="-13250"/>
    <x v="24"/>
    <s v="TC"/>
    <s v="30501-BBPS Payment received"/>
    <s v="DURGA"/>
    <x v="5"/>
    <x v="0"/>
    <s v="1-37/1 BRAHMANAPALLY BRAHMANAPALLY Karimnagar KARIMNAGAR TNG 505504 "/>
    <s v="KRANTHY 1-37/1 BRAMANPALLY BRAMANPALLY MAHADEVPUR KARIMNAGAR BRAMANPALLY MAHADEVPUR KARIMNAGAR KARIMNAGAR TNG 505504 "/>
    <s v="KARIMNAGAR"/>
    <x v="1"/>
    <x v="6"/>
    <s v="K RAMU"/>
    <n v="802898520"/>
    <s v="Ssd@9290"/>
    <m/>
    <m/>
    <x v="0"/>
    <m/>
    <m/>
    <x v="10"/>
    <d v="2025-12-01T00:00:00"/>
    <n v="24499"/>
    <s v="ICICI Bank Expressions Credit Card"/>
    <s v="10TH JUNE"/>
    <d v="2026-06-07T00:00:00"/>
  </r>
  <r>
    <s v="4035627476686002"/>
    <s v="MR PUDARI SRAVAN KUMAR"/>
    <n v="0"/>
    <x v="0"/>
    <m/>
    <m/>
    <s v="O"/>
    <x v="16"/>
    <s v="9849629380"/>
    <s v="X"/>
    <n v="7558"/>
    <n v="120000"/>
    <n v="127558"/>
    <s v=""/>
    <n v="127558"/>
    <n v="119868.85"/>
    <n v="27260"/>
    <n v="19590"/>
    <x v="0"/>
    <x v="0"/>
    <n v="126900"/>
    <n v="-107310"/>
    <x v="21"/>
    <s v="TC"/>
    <s v="30501-BBPS Payment received"/>
    <s v="DURGA"/>
    <x v="5"/>
    <x v="0"/>
    <s v="HNO 1-42/1 SABBEPALLY HAJIPUR ADILABAD ADILABAD NEAR MAIN ROAD ADILABAD TNG 504207 "/>
    <s v="GOVT OF TELANGANA MPPS BUBBAPALLY NANEEL MANCHIRAL ADILABAD ADILABAD ADILABAD TNG 504207 "/>
    <s v="ADILABAD"/>
    <x v="1"/>
    <x v="11"/>
    <s v="T RAMESH "/>
    <n v="801217009"/>
    <s v="Ssd@9290"/>
    <m/>
    <m/>
    <x v="0"/>
    <s v="MESS"/>
    <s v="Customer given address visit customer not available informed to wife, trying by call"/>
    <x v="17"/>
    <d v="2024-09-06T00:00:00"/>
    <n v="40000"/>
    <s v="ICICI Bank HPCL Coral VISA Credit Card"/>
    <s v="5TH JUNE"/>
    <d v="2026-06-07T00:00:00"/>
  </r>
  <r>
    <s v="4035622754830000"/>
    <s v="MR PRABANJAN PRABANJAN"/>
    <n v="0"/>
    <x v="0"/>
    <m/>
    <m/>
    <s v="N"/>
    <x v="16"/>
    <s v="7382266487"/>
    <s v="X"/>
    <n v="5627.1499999999942"/>
    <n v="120000"/>
    <n v="125627.15"/>
    <s v=""/>
    <n v="125627.15"/>
    <n v="118181.15"/>
    <n v="32190"/>
    <n v="19300"/>
    <x v="0"/>
    <x v="0"/>
    <n v="32190"/>
    <n v="-12890"/>
    <x v="23"/>
    <s v="TC"/>
    <s v="30501-BBPS Payment received"/>
    <s v="DURGA"/>
    <x v="0"/>
    <x v="0"/>
    <s v="&quot;3-33, KOTHAPALLI, KOTHAPALLI,&quot; &quot;PEDDAMANTUR, GUNTHAKAL&quot; ANANTHAPURAM NEAR MAIN ROAD HINDUPUR ANP 515124 "/>
    <s v="GOVERNMENT OF ANDHRA PRADESH GOVERNMENT OF AP EDUCATION DEPARTMENT &quot;MPLUPS, MODEL COLONY, HINDUPUR&quot; &quot;MPLUPS, MODEL COLONY, HINDUPUR&quot; HINDUPUR ANP 515201 "/>
    <s v="HINDUPUR"/>
    <x v="2"/>
    <x v="26"/>
    <s v="T SRINIVAS"/>
    <n v="802030802"/>
    <s v="Sgr@0987"/>
    <m/>
    <m/>
    <x v="0"/>
    <m/>
    <m/>
    <x v="10"/>
    <d v="2024-12-26T00:00:00"/>
    <n v="15000"/>
    <s v="Manchester United Signature Credit Card by ICICI Bank"/>
    <s v="10TH JUNE"/>
    <d v="2026-06-07T00:00:00"/>
  </r>
  <r>
    <s v="4315813629537000"/>
    <s v="MR Veluri Mani Naga"/>
    <n v="0"/>
    <x v="0"/>
    <m/>
    <m/>
    <s v="O"/>
    <x v="16"/>
    <s v="8125050640"/>
    <s v="X"/>
    <n v="737.11000000000058"/>
    <n v="120000"/>
    <n v="120737.11"/>
    <n v="32751.27"/>
    <n v="87985.84"/>
    <n v="81975.350000000006"/>
    <n v="34410"/>
    <n v="18380"/>
    <x v="0"/>
    <x v="2"/>
    <n v="19000"/>
    <n v="-620"/>
    <x v="20"/>
    <s v="FE"/>
    <s v="30501-BBPS Payment received"/>
    <s v="DURGA"/>
    <x v="0"/>
    <x v="2"/>
    <s v="43 106 1 22B Ajith Singh Nagar Indira Nayak Nagar Krishna VIJAYAWADA ANP 520015 "/>
    <s v="TRADING GANESH D NO 43 106 1 22B  POSTMAN RAMA CHANDRA INDIRA NAYAK NAGAR AJITH SINGH NAGAR INDIRA NAYAK NAGAR AJITH SINGH NAGAR VIJAYAWADA ANP 520015 "/>
    <s v="VIJAYAWADA"/>
    <x v="0"/>
    <x v="22"/>
    <s v="SUDHAKAR"/>
    <n v="802913252"/>
    <s v="Ssd@9290"/>
    <m/>
    <m/>
    <x v="0"/>
    <s v="DL"/>
    <s v="Customer address door locked need to revisit"/>
    <x v="22"/>
    <d v="2025-06-18T00:00:00"/>
    <n v="17620"/>
    <s v="Amazon Pay ICICI Bank Credit Card"/>
    <s v="10TH JUNE"/>
    <d v="2026-06-07T00:00:00"/>
  </r>
  <r>
    <s v="6528680394088008"/>
    <s v="MR KOTIKALAPUDI HEMANTH KUMAR"/>
    <n v="0"/>
    <x v="0"/>
    <m/>
    <m/>
    <s v="N"/>
    <x v="16"/>
    <s v="9553030924"/>
    <s v="X"/>
    <n v="-31017.320000000007"/>
    <n v="150000"/>
    <n v="118982.68"/>
    <n v="18914.95"/>
    <n v="100067.73"/>
    <n v="87625.31"/>
    <n v="42570"/>
    <n v="24270"/>
    <x v="0"/>
    <x v="2"/>
    <n v="24300"/>
    <n v="-30"/>
    <x v="24"/>
    <s v="TC"/>
    <s v="30501-BBPS Payment received"/>
    <s v="DURGA"/>
    <x v="5"/>
    <x v="0"/>
    <s v="&quot;26-12-1422 SNEHA NAGAR,NEAR,LEPRASI,&quot; &quot;HOSPITAL B V NAGAR,NELLORE&quot;   NELLORE ANP 524004 "/>
    <s v="Sri Venkateswara Hardwares &quot;Plot no 158, Phase-I,&quot; &quot;Plot n0-158, Phase-I&quot; &quot;Plot n0-158, Phase-I&quot; NELLORE ANP 524004 "/>
    <s v="NELLORE"/>
    <x v="4"/>
    <x v="12"/>
    <s v="B SURESH"/>
    <n v="801570488"/>
    <s v="Ssd@9290"/>
    <m/>
    <m/>
    <x v="0"/>
    <s v="MESS"/>
    <s v="cm not available in the given address sir and contacted to they mother mobile number cm was in Kurnool cm mother call back later sir"/>
    <x v="20"/>
    <d v="2025-02-17T00:00:00"/>
    <n v="500"/>
    <s v="ICICI Bank Coral RuPay Credit Card"/>
    <s v="10TH JUNE"/>
    <d v="2026-06-07T00:00:00"/>
  </r>
  <r>
    <s v="4035622600040002"/>
    <s v="MR CHINTHA SRINIVAS"/>
    <n v="0"/>
    <x v="0"/>
    <m/>
    <m/>
    <s v="N"/>
    <x v="16"/>
    <s v="8919514178"/>
    <s v="X"/>
    <n v="8634.3500000000058"/>
    <n v="110000"/>
    <n v="118634.35"/>
    <s v=""/>
    <n v="118634.35"/>
    <n v="109905.31"/>
    <n v="27660"/>
    <n v="5500"/>
    <x v="0"/>
    <x v="2"/>
    <n v="5500"/>
    <n v="0"/>
    <x v="24"/>
    <s v="FE"/>
    <s v="30501-BBPS Payment received"/>
    <s v="DURGA"/>
    <x v="5"/>
    <x v="0"/>
    <s v="3-45 TIMMAMPET DUGGONDI MANDAL TIMMAMPET NEAR ZP HIGH SCHOOL WARANGAL TNG 506331 "/>
    <s v="INTERIOR DESIGNERS TIMMAMPET TIMMAMPET TIMMAMPET WARANGAL TNG 506331 "/>
    <s v="WARANGAL"/>
    <x v="1"/>
    <x v="2"/>
    <s v="CHAITANYA"/>
    <n v="802555024"/>
    <s v="Ssde@9290"/>
    <m/>
    <m/>
    <x v="0"/>
    <s v="DL"/>
    <s v="Visited Customer Residence Address Door locked Customer Staying In Hyderabad Confirm to Niebours"/>
    <x v="21"/>
    <d v="2025-07-21T00:00:00"/>
    <n v="17000"/>
    <s v="ICICI Bank Platinum Chip Credit Card"/>
    <s v="10TH JUNE"/>
    <d v="2026-06-07T00:00:00"/>
  </r>
  <r>
    <s v="4748468325916011"/>
    <s v="MR SHAIK MASTAN VALI"/>
    <n v="0"/>
    <x v="0"/>
    <m/>
    <m/>
    <s v="N"/>
    <x v="16"/>
    <s v="8309976978"/>
    <s v="X"/>
    <n v="9099.6999999999971"/>
    <n v="100000"/>
    <n v="109099.7"/>
    <s v=""/>
    <n v="109099.7"/>
    <n v="99921.49"/>
    <n v="27570"/>
    <n v="5000"/>
    <x v="1"/>
    <x v="1"/>
    <n v="0"/>
    <n v="5000"/>
    <x v="1"/>
    <s v="NA"/>
    <n v="0"/>
    <s v="DURGA"/>
    <x v="0"/>
    <x v="0"/>
    <s v="1 33 PULLAREDDY PALLE PRAKASAM  NEAR SCHOOL NANDYAL ANP 523373 "/>
    <s v="ICICI BANK LIMITED TOWERS FINANCIAL DIST BRANCH NANAKRAMGUDA NANAKRAMGUDA HYDERABAD TNG 500032 "/>
    <s v="NANDYAL"/>
    <x v="2"/>
    <x v="14"/>
    <s v="HARI"/>
    <n v="802388289"/>
    <s v="Ssd@9290"/>
    <m/>
    <m/>
    <x v="1"/>
    <m/>
    <m/>
    <x v="10"/>
    <d v="2025-10-16T00:00:00"/>
    <n v="18470"/>
    <s v="ICICI Bank HPCL Coral VISA Credit Card"/>
    <s v="10TH JUNE"/>
    <d v="2026-06-07T00:00:00"/>
  </r>
  <r>
    <s v="4748468690531007"/>
    <s v="MR MAISA ABHIRAM"/>
    <n v="0"/>
    <x v="0"/>
    <m/>
    <m/>
    <s v="O"/>
    <x v="16"/>
    <s v="6303118961"/>
    <s v="X"/>
    <n v="-34862.399999999994"/>
    <n v="140000"/>
    <n v="105137.60000000001"/>
    <s v=""/>
    <n v="105137.60000000001"/>
    <n v="89580.38"/>
    <n v="24870"/>
    <n v="12440"/>
    <x v="0"/>
    <x v="2"/>
    <n v="12440"/>
    <n v="0"/>
    <x v="27"/>
    <s v="TC"/>
    <s v="30501-BBPS Payment received"/>
    <s v="DURGA"/>
    <x v="5"/>
    <x v="1"/>
    <s v="&quot;HOUSE,NUMBER 10-14-1888,SEETHARAM,NAGAR,&quot; &quot;,COLONY NEAR VARNI,ROAD NIZAMABAD,SOUTH&quot; MANDAL &quot;NEAR ESI HOSPITAL ,RADIO STATION&quot; NIZAMABAD TNG 503001 "/>
    <s v="CAPGEMINI TECHNOLOGY SERVICES INDIA LIMI CAPGEMINI KNOWLEGE PARK SEZ &quot;IT3/IT4,THANE BELAPUR ROAD&quot; &quot;IT3/IT4,THANE BELAPUR ROAD&quot; MUMBAI MAH 400708 "/>
    <s v="NIZAMABAD"/>
    <x v="1"/>
    <x v="20"/>
    <s v="D RAMU"/>
    <n v="802663344"/>
    <s v="Sgr@9290"/>
    <m/>
    <m/>
    <x v="0"/>
    <m/>
    <m/>
    <x v="10"/>
    <d v="2025-11-05T00:00:00"/>
    <n v="6590"/>
    <s v="ICICI Bank HPCL Super Saver Visa Credit Card"/>
    <s v="10TH JUNE"/>
    <d v="2026-06-07T00:00:00"/>
  </r>
  <r>
    <s v="4748468456303005"/>
    <s v="MR SHAIK JAMEER"/>
    <n v="0"/>
    <x v="0"/>
    <m/>
    <m/>
    <s v="N"/>
    <x v="16"/>
    <s v="7093628860"/>
    <s v="X"/>
    <n v="11942.039999999994"/>
    <n v="90000"/>
    <n v="101942.04"/>
    <s v=""/>
    <n v="101942.04"/>
    <n v="89996.3"/>
    <n v="28740"/>
    <n v="9200"/>
    <x v="1"/>
    <x v="1"/>
    <n v="0"/>
    <n v="9200"/>
    <x v="1"/>
    <s v="NA"/>
    <n v="0"/>
    <s v="DURGA"/>
    <x v="5"/>
    <x v="0"/>
    <s v="6-3 KARANAM GANDAVARAM KODAVALUR NELLORE  . NELLORE ANP 524317 "/>
    <s v="INFOSYS BPM LIMITED &quot;UNIT IN RAMANUJAN IT CITY SEZ, HARDY TOW&quot; &quot;INFOPARK LIMITED, RAJIV GANDHI SALAI OM&quot; &quot;INFOPARK LIMITED, RAJIV GANDHI SALAI OM&quot; CHENNAI TMN 600113 "/>
    <s v="NELLORE"/>
    <x v="4"/>
    <x v="12"/>
    <s v="B SURESH"/>
    <n v="801570488"/>
    <s v="Ssd@9290"/>
    <m/>
    <m/>
    <x v="0"/>
    <s v="SKIP"/>
    <s v="cm shifted from here sir and cm call not answering sir"/>
    <x v="20"/>
    <d v="2026-03-31T00:00:00"/>
    <n v="29057.01"/>
    <s v="ICICI Bank HPCL Super Saver RuPay Credit Card"/>
    <s v="10TH JUNE"/>
    <d v="2026-06-07T00:00:00"/>
  </r>
  <r>
    <s v="5241936858781001"/>
    <s v="MR MARRIBOINA HARSHAVARDHAN"/>
    <n v="0"/>
    <x v="0"/>
    <m/>
    <m/>
    <s v="N"/>
    <x v="16"/>
    <s v="6304470461"/>
    <s v="X"/>
    <n v="10485.940000000002"/>
    <n v="90000"/>
    <n v="100485.94"/>
    <s v=""/>
    <n v="100485.94"/>
    <n v="89995.42"/>
    <n v="26520"/>
    <n v="12180"/>
    <x v="0"/>
    <x v="2"/>
    <n v="12300"/>
    <n v="-120"/>
    <x v="1"/>
    <s v="LO"/>
    <s v="30501-BBPS Payment received"/>
    <s v="DURGA"/>
    <x v="0"/>
    <x v="0"/>
    <s v="1/199 1ST WARD VILLAGE KALLUR  Y.S.R. CUP ANP 516355 "/>
    <s v="B BLOCK 59/2 KADERANAHALLI BENGALURU HERITAGE BUILDING OUTER RING ROAD   BNG KAR 560070 "/>
    <s v="PRODDATUR"/>
    <x v="2"/>
    <x v="31"/>
    <s v="POORNIMA"/>
    <n v="802824019"/>
    <s v="Nihan@2421"/>
    <m/>
    <m/>
    <x v="0"/>
    <s v="LIVE"/>
    <s v="Cm will pay by tomorrow sir."/>
    <x v="23"/>
    <d v="2025-07-09T00:00:00"/>
    <n v="8"/>
    <s v="ICICI Bank MasterCard  Platinum chip Credit Card"/>
    <s v="10TH JUNE"/>
    <d v="2026-06-07T00:00:00"/>
  </r>
  <r>
    <s v="4035622967174006"/>
    <s v="MR VAMSI JATLA"/>
    <n v="0"/>
    <x v="0"/>
    <m/>
    <m/>
    <s v="N"/>
    <x v="16"/>
    <s v="9550825678"/>
    <s v="X"/>
    <n v="-20538"/>
    <n v="120000"/>
    <n v="99462"/>
    <s v=""/>
    <n v="99462"/>
    <n v="93114.57"/>
    <n v="8580"/>
    <n v="1520"/>
    <x v="0"/>
    <x v="0"/>
    <n v="8580"/>
    <n v="-7060"/>
    <x v="1"/>
    <s v="D"/>
    <s v="30501-BBPS Payment received"/>
    <s v="DURGA"/>
    <x v="5"/>
    <x v="0"/>
    <s v="&quot;7-613/1 LAXMIPURAM,KONIJERLA MD&quot; ...  MAIN ROAD KHAMMAM TNG 507305 "/>
    <s v="HCL TECHNOLOGIES LIMITED PLOT H-01B &quot;PHOENIX AVANCE SY NO.30,34,36&quot; &quot;PHOENIX AVANCE SY NO.30,34,36&quot; HYDERABAD TNG 500081 "/>
    <s v="KHAMMAM"/>
    <x v="1"/>
    <x v="24"/>
    <s v="POORNIMA"/>
    <n v="802824019"/>
    <s v="Nihan@2421"/>
    <m/>
    <m/>
    <x v="0"/>
    <m/>
    <m/>
    <x v="10"/>
    <d v="2026-01-20T00:00:00"/>
    <n v="7200"/>
    <s v="ICICI Bank Platinum Chip Credit Card"/>
    <s v="5TH JUNE"/>
    <d v="2026-06-07T00:00:00"/>
  </r>
  <r>
    <s v="4748464732868002"/>
    <s v="MS MANDA MAHESHWARI"/>
    <n v="0"/>
    <x v="0"/>
    <m/>
    <m/>
    <s v="N"/>
    <x v="16"/>
    <s v="9381038234"/>
    <s v="X"/>
    <n v="4901.4600000000064"/>
    <n v="90000"/>
    <n v="94901.46"/>
    <s v=""/>
    <n v="94901.46"/>
    <n v="83979.95"/>
    <n v="31030"/>
    <n v="13760"/>
    <x v="0"/>
    <x v="2"/>
    <n v="15000"/>
    <n v="-1240"/>
    <x v="25"/>
    <s v="FE"/>
    <s v="30501-BBPS Payment received"/>
    <s v="DURGA"/>
    <x v="5"/>
    <x v="0"/>
    <s v="2 116/3 THAMADAPALLE I IPPAGUDEM  JANGOAN WARANGAL TNG 506143 "/>
    <s v="GENIUS CONSULTANTS LTD &quot;419,422 4TH FLOOR PRANK CHAMBERS&quot; SAKIVARAR ROAD SAKINAKA ANDHERI MUMBAI SAKIVARAR ROAD SAKINAKA ANDHERI MUMBAI MUMBAI MAH 400072 "/>
    <s v="WARANGAL"/>
    <x v="1"/>
    <x v="2"/>
    <s v="CHAITANYA"/>
    <n v="802555024"/>
    <s v="Ssde@9290"/>
    <m/>
    <m/>
    <x v="0"/>
    <m/>
    <m/>
    <x v="10"/>
    <d v="2024-07-10T00:00:00"/>
    <n v="4693.96"/>
    <s v="Chennai Super Kings ICICI Bank Credit Card"/>
    <s v="10TH JUNE"/>
    <d v="2026-06-07T00:00:00"/>
  </r>
  <r>
    <s v="4375513662380006"/>
    <s v="MR KANKESH CHENNAIIAH DON"/>
    <n v="0"/>
    <x v="0"/>
    <m/>
    <m/>
    <s v="N"/>
    <x v="16"/>
    <s v="9948506310"/>
    <s v="X"/>
    <n v="8058.2299999999959"/>
    <n v="84000"/>
    <n v="92058.23"/>
    <s v=""/>
    <n v="92058.23"/>
    <n v="82920.56"/>
    <n v="24890"/>
    <n v="4860"/>
    <x v="1"/>
    <x v="1"/>
    <n v="0"/>
    <n v="4860"/>
    <x v="1"/>
    <s v="NA"/>
    <n v="0"/>
    <s v="DURGA"/>
    <x v="5"/>
    <x v="1"/>
    <s v="&quot;-,1 58 0 YELLAREDDY PALLY,-,0,&quot; &quot;YELLAREDDY PALLY,KOILKONDA,0 MAHABUBNAGAR&quot; MAHABUB NAGAR - MAHABUB NAGAR TNG 509371 "/>
    <s v="LAXMI NARAYAN ASSOICATES ZONE AT LAXMI NARAYANA ASSOCIT SZONE SHRIRM NAGAR PUSAD TIRUPATI PARK SHRIRM NAGAR PUSAD TIRUPATI PARK YAVATMAL MAH 445215 "/>
    <s v="MAHBOOBNAGAR"/>
    <x v="1"/>
    <x v="15"/>
    <s v="SAMBA"/>
    <n v="801772794"/>
    <s v="Ssde@9876"/>
    <m/>
    <m/>
    <x v="1"/>
    <m/>
    <m/>
    <x v="10"/>
    <d v="2025-11-06T00:00:00"/>
    <n v="8537"/>
    <s v="ICICI Bank HPCL Super Saver Visa Credit Card"/>
    <s v="10TH JUNE"/>
    <d v="2026-06-07T00:00:00"/>
  </r>
  <r>
    <s v="4035622906609005"/>
    <s v="MR DHARLA HARISH"/>
    <n v="0"/>
    <x v="0"/>
    <m/>
    <m/>
    <s v="N"/>
    <x v="16"/>
    <s v="9177189397"/>
    <s v="X"/>
    <n v="-8555.14"/>
    <n v="100000"/>
    <n v="91444.86"/>
    <s v=""/>
    <n v="91444.86"/>
    <n v="80897.8"/>
    <n v="15710"/>
    <n v="6520"/>
    <x v="0"/>
    <x v="2"/>
    <n v="6520"/>
    <n v="0"/>
    <x v="25"/>
    <s v="TC"/>
    <s v="30501-BBPS Payment received"/>
    <s v="DURGA"/>
    <x v="5"/>
    <x v="0"/>
    <s v="10-20 CHIKKUDUGUNTA RAMANIJAVARAN MANUGURU NR BTS POWER PLANT KHAMMAM TNG 507117 "/>
    <s v="GOVT OF TELAGANA STATEPOWERGENERATION 10-20 CHIKKUDUGUNTA RAMANIJAVARAN MANUGURU RAMANIJAVARAN MANUGURU KHAMMAM TNG 507117 "/>
    <s v="KHAMMAM"/>
    <x v="1"/>
    <x v="7"/>
    <s v="POORNIMA"/>
    <n v="802824019"/>
    <s v="Nihan@2421"/>
    <m/>
    <m/>
    <x v="0"/>
    <m/>
    <m/>
    <x v="10"/>
    <d v="2024-12-09T00:00:00"/>
    <n v="40000"/>
    <s v="ICICI Bank Platinum Chip Credit Card"/>
    <s v="10TH JUNE"/>
    <d v="2026-06-07T00:00:00"/>
  </r>
  <r>
    <s v="4035623105738017"/>
    <s v="MR BAGE MAHENDER REDDY"/>
    <n v="0"/>
    <x v="0"/>
    <m/>
    <m/>
    <s v="N"/>
    <x v="16"/>
    <s v="9985688921"/>
    <s v="X"/>
    <n v="8760.1600000000035"/>
    <n v="80000"/>
    <n v="88760.16"/>
    <s v=""/>
    <n v="88760.16"/>
    <n v="78456.17"/>
    <n v="23310"/>
    <n v="9660"/>
    <x v="1"/>
    <x v="1"/>
    <n v="0"/>
    <n v="9660"/>
    <x v="1"/>
    <s v="NA"/>
    <n v="0"/>
    <s v="DURGA"/>
    <x v="5"/>
    <x v="1"/>
    <s v="18-204/2/A ESHWARY COLONY LATTU VIJAYA SRI SHADNAGAR NEAR VISWASHANTHI SCHOOL MAHBOOBNAGAR TNG 509126 "/>
    <s v="MSN LABORATORIES PRIVATE LIMITED BOCK NO C 2 FLOOR   NANDIGRAM VILLAGE MA MANDAL  KUTTUR DIST RANGAREDDY MANDAL  KUTTUR DIST RANGAREDDY SHADNAGAR TNG 509216 "/>
    <s v="MAHBOOBNAGAR"/>
    <x v="1"/>
    <x v="15"/>
    <s v="SAMBA"/>
    <n v="801772794"/>
    <s v="Ssde@9876"/>
    <m/>
    <m/>
    <x v="1"/>
    <m/>
    <m/>
    <x v="10"/>
    <d v="2024-06-02T00:00:00"/>
    <n v="13970"/>
    <s v="ICICI Bank Platinum Chip Credit Card"/>
    <s v="10TH JUNE"/>
    <d v="2026-06-07T00:00:00"/>
  </r>
  <r>
    <s v="4748467945341006"/>
    <s v="MS ADEPU MEENA KUMARI"/>
    <n v="0"/>
    <x v="0"/>
    <m/>
    <m/>
    <s v="N"/>
    <x v="16"/>
    <s v="7989059754"/>
    <s v="X"/>
    <n v="7275.6999999999971"/>
    <n v="80000"/>
    <n v="87275.7"/>
    <n v="6955.01"/>
    <n v="80320.69"/>
    <n v="73299.44"/>
    <n v="26760"/>
    <n v="10620"/>
    <x v="0"/>
    <x v="2"/>
    <n v="10620"/>
    <n v="0"/>
    <x v="26"/>
    <s v="FE"/>
    <s v="30501-BBPS Payment received"/>
    <s v="DURGA"/>
    <x v="5"/>
    <x v="1"/>
    <s v="H.NO3-5-153 KOTAGALLI NIZAAMABAD NIZAMABAD NEAR USHAMAYURI THEATRE NIZAMABAD TNG 503001 "/>
    <s v="SAINIVI TECHNOLOGIE SERVICES H.NO9-4-41/2B/1 HASMATHPET OLD BOWENPALLY HASMATHPET OLD BOWENPALLY HYDERABAD TNG 500009 "/>
    <s v="NIZAMABAD"/>
    <x v="1"/>
    <x v="20"/>
    <s v="D RAMU"/>
    <n v="802663344"/>
    <s v="Sgr@9290"/>
    <m/>
    <m/>
    <x v="0"/>
    <s v="LIVE"/>
    <s v="customer paymet on monday"/>
    <x v="23"/>
    <d v="2025-05-08T00:00:00"/>
    <n v="23000"/>
    <s v="ICICI Bank Platinum Chip Credit Card"/>
    <s v="10TH JUNE"/>
    <d v="2026-06-07T00:00:00"/>
  </r>
  <r>
    <s v="4035622933944003"/>
    <s v="MR VUNUKONDA AKHIL BABU"/>
    <n v="0"/>
    <x v="0"/>
    <m/>
    <m/>
    <s v="N"/>
    <x v="16"/>
    <s v="8919286442"/>
    <s v="X"/>
    <n v="5233.9400000000023"/>
    <n v="80000"/>
    <n v="85233.94"/>
    <s v=""/>
    <n v="85233.94"/>
    <n v="77948.87"/>
    <n v="15840"/>
    <n v="3240"/>
    <x v="0"/>
    <x v="2"/>
    <n v="3250"/>
    <n v="-10"/>
    <x v="26"/>
    <s v="TC"/>
    <s v="30501-BBPS Payment received"/>
    <s v="DURGA"/>
    <x v="5"/>
    <x v="0"/>
    <s v="16-8-244/1 &quot;GODAVARIKHANI, PEDDAPALLI&quot; KAKATHIYA NAGAR KARIMNAGAR PEDDAPALLI TNG 505209 "/>
    <s v="CUSHMAN AND WAKEFIELD INDIA PRIVATE LIMI MINDSPACE HYDERABAD HYDERABAD HYDERABAD TNG 500032 "/>
    <s v="PEDDAPALLI"/>
    <x v="1"/>
    <x v="6"/>
    <s v="K RAMU"/>
    <n v="802898520"/>
    <s v="Ssd@9290"/>
    <m/>
    <m/>
    <x v="0"/>
    <m/>
    <m/>
    <x v="10"/>
    <d v="2026-03-24T00:00:00"/>
    <n v="26033"/>
    <s v="ICICI Bank Platinum Chip Credit Card"/>
    <s v="10TH JUNE"/>
    <d v="2026-06-07T00:00:00"/>
  </r>
  <r>
    <s v="4315811677257026"/>
    <s v="MR RAYINI ROHITH SUNNY"/>
    <n v="0"/>
    <x v="0"/>
    <m/>
    <m/>
    <s v="N"/>
    <x v="16"/>
    <s v="9676804949"/>
    <s v="X"/>
    <n v="-526650.55000000005"/>
    <n v="610000"/>
    <n v="83349.45"/>
    <n v="71551.259999999995"/>
    <n v="11798.19"/>
    <n v="6251.05"/>
    <n v="11610"/>
    <n v="6095.5"/>
    <x v="0"/>
    <x v="0"/>
    <n v="11798"/>
    <n v="-5702.5"/>
    <x v="24"/>
    <s v="FE"/>
    <s v="30501-BBPS Payment received"/>
    <s v="DURGA"/>
    <x v="5"/>
    <x v="0"/>
    <s v="H NO 35-2-1080 SAIKESHAVA COLONY GOPALPUR BHIMARAM  NEAR KALLU MANDUVA BHIMARAM RURAL WARANGAL ANP 506015 "/>
    <s v="MAHESHWARI INDISTRES SAIKESHAVA COLONY BHIMARAM RURAL GOPALPUR HANAM KONDA GOPALPUR HANAM KONDA WARANGAL ANP 506015 "/>
    <s v="WARANGAL"/>
    <x v="1"/>
    <x v="2"/>
    <s v="CHAITANYA"/>
    <n v="802555024"/>
    <s v="Ssde@9290"/>
    <m/>
    <m/>
    <x v="0"/>
    <s v="LIVE"/>
    <s v="Visited Customer Residence Address Customer Live Given Commitment On 15th Sir // Visited Customer Residence Customer Live Customer Given Commitment Afternoon sir // Visited Customer Residence Customer Not Available Inform To His Mother Sir"/>
    <x v="27"/>
    <d v="2024-07-08T00:00:00"/>
    <n v="7704.51"/>
    <s v="Amazon Pay ICICI Bank Credit Card"/>
    <s v="10TH JUNE"/>
    <d v="2026-06-07T00:00:00"/>
  </r>
  <r>
    <s v="4035627749566007"/>
    <s v="Mr GADIBAVI SAI KALYANI"/>
    <n v="0"/>
    <x v="0"/>
    <m/>
    <m/>
    <s v="N"/>
    <x v="16"/>
    <s v="7780371136"/>
    <s v="X"/>
    <n v="7891.7700000000041"/>
    <n v="70000"/>
    <n v="77891.77"/>
    <s v=""/>
    <n v="77891.77"/>
    <n v="69971.039999999994"/>
    <n v="19640"/>
    <n v="7150"/>
    <x v="0"/>
    <x v="2"/>
    <n v="7158"/>
    <n v="-8"/>
    <x v="24"/>
    <s v="TC"/>
    <s v="12124 - UPI Payment Received"/>
    <s v="DURGA"/>
    <x v="0"/>
    <x v="0"/>
    <s v="&quot;1-11,SANAGALAGUDURU,SANAGALAGUDURU,PUTLURU,&quot; SANAGALAGUDURU ANANTAPUR   TADPATRI ANP 515411 "/>
    <s v="not applicable tadipatri tadipatri tadipatri TADPATRI ANP 515411 "/>
    <s v="ANANTAPUR"/>
    <x v="2"/>
    <x v="26"/>
    <s v="T SRINIVAS"/>
    <n v="802030802"/>
    <s v="Sgr@0987"/>
    <m/>
    <m/>
    <x v="0"/>
    <m/>
    <m/>
    <x v="10"/>
    <d v="2026-04-06T00:00:00"/>
    <n v="6780"/>
    <s v="ICICI Bank HPCL Coral VISA Credit Card"/>
    <s v="10TH JUNE"/>
    <d v="2026-06-07T00:00:00"/>
  </r>
  <r>
    <s v="4375513125212002"/>
    <s v="MR ERUGU YELLAIAH"/>
    <n v="0"/>
    <x v="0"/>
    <m/>
    <m/>
    <s v="N"/>
    <x v="16"/>
    <s v="9912271520"/>
    <s v="X"/>
    <n v="-14219.779999999999"/>
    <n v="90000"/>
    <n v="75780.22"/>
    <s v=""/>
    <n v="75780.22"/>
    <n v="70693.91"/>
    <n v="11050"/>
    <n v="5559"/>
    <x v="0"/>
    <x v="2"/>
    <n v="5600"/>
    <n v="-41"/>
    <x v="22"/>
    <s v="FE"/>
    <s v="30501-BBPS Payment received"/>
    <s v="DURGA"/>
    <x v="5"/>
    <x v="0"/>
    <s v="HARIJANVADA MIRYALA   HARIJANVADA MIRYALA SURYAPET ANP 508221 "/>
    <s v="GOVERNMENT OF TELANGANA SCHOOL EDUCATION PS BANDARAMARAM THUGATHURTHY   SURYAPET ANP 508221 "/>
    <s v="SURYAPET"/>
    <x v="1"/>
    <x v="24"/>
    <s v="POORNIMA"/>
    <n v="802824019"/>
    <s v="Nihan@2421"/>
    <m/>
    <m/>
    <x v="0"/>
    <m/>
    <m/>
    <x v="10"/>
    <d v="2024-07-10T00:00:00"/>
    <n v="76451.53"/>
    <s v="ICICI Bank Platinum Chip Credit Card"/>
    <s v="5TH JUNE"/>
    <d v="2026-06-07T00:00:00"/>
  </r>
  <r>
    <s v="4035622925710008"/>
    <s v="MR NARENDAR KAMBALA"/>
    <n v="0"/>
    <x v="0"/>
    <m/>
    <m/>
    <s v="N"/>
    <x v="16"/>
    <s v="9032032064"/>
    <s v="X"/>
    <n v="-44330.09"/>
    <n v="120000"/>
    <n v="75669.91"/>
    <s v=""/>
    <n v="75669.91"/>
    <n v="68356.27"/>
    <n v="13950"/>
    <n v="3380"/>
    <x v="0"/>
    <x v="0"/>
    <n v="75669.91"/>
    <n v="-72289.91"/>
    <x v="25"/>
    <s v="FE"/>
    <s v="30501-BBPS Payment received"/>
    <s v="DURGA"/>
    <x v="5"/>
    <x v="0"/>
    <s v="H NO 4-65/1/21/K GANESH NAGAR &quot;SURYAPET DIST,KODAD&quot; OPP C C REDDY SCHOOL SURYAPET TNG 508206 "/>
    <s v="GENERAL STATE GOVT &quot;OFFICE OF THE EXECUTIVE ENGINEER,&quot; &quot;IRRIGITATION DIVISION NO 3,HUZURNAGAR,&quot; &quot;IRRIGITATION DIVISION NO 3,HUZURNAGAR,&quot; SURYAPET TNG 508204 "/>
    <s v="SURYAPET"/>
    <x v="1"/>
    <x v="24"/>
    <s v="POORNIMA"/>
    <n v="802824019"/>
    <s v="Nihan@2421"/>
    <m/>
    <m/>
    <x v="0"/>
    <s v="MESS"/>
    <s v="I have Visited Customer given house address Customer not available here Customer staying in Hyderabad I have called to Customer father with rented ppl Customer father call answered Saying that will speak with my Son &amp; Call you back evening _x000a_Customer father mobile"/>
    <x v="21"/>
    <d v="2025-12-26T00:00:00"/>
    <n v="49000"/>
    <s v="ICICI Bank Platinum Chip Credit Card"/>
    <s v="10TH JUNE"/>
    <d v="2026-06-07T00:00:00"/>
  </r>
  <r>
    <s v="4035623340443001"/>
    <s v="MR SEELLA SUNIL KUMAR"/>
    <n v="0"/>
    <x v="0"/>
    <m/>
    <m/>
    <s v="N"/>
    <x v="16"/>
    <s v="9505581769"/>
    <s v="X"/>
    <n v="3458.0599999999977"/>
    <n v="70000"/>
    <n v="73458.06"/>
    <s v=""/>
    <n v="73458.06"/>
    <n v="63354.01"/>
    <n v="16900"/>
    <n v="6612.92"/>
    <x v="0"/>
    <x v="0"/>
    <n v="16900"/>
    <n v="-10287.08"/>
    <x v="22"/>
    <s v="TC"/>
    <s v="30501-BBPS Payment received"/>
    <s v="DURGA"/>
    <x v="0"/>
    <x v="0"/>
    <s v="&quot;NALLA VAGU PALLE,NALLA VAGU PALLE&quot; KURNOOL  MAIN ROAD NANDYAL ANP 518543 "/>
    <s v="STEFANINI INDIA PVT LTD 5TH FLOOR SANALI SPAZIO PLOT NO 19 SOFTWARE  LAYOUT MADHAPUR SOFTWARE  LAYOUT MADHAPUR HYDERABAD TNG 500081 "/>
    <s v="NANDYAL"/>
    <x v="2"/>
    <x v="14"/>
    <s v="HARI"/>
    <n v="802388289"/>
    <s v="Ssd@9290"/>
    <m/>
    <m/>
    <x v="0"/>
    <m/>
    <m/>
    <x v="10"/>
    <d v="2024-07-08T00:00:00"/>
    <n v="6341"/>
    <s v="ICICI Bank Coral RuPay Credit Card"/>
    <s v="10TH JUNE"/>
    <d v="2026-06-07T00:00:00"/>
  </r>
  <r>
    <s v="4315815430682008"/>
    <s v="MR MEDICHARLA MANIKANTA"/>
    <n v="0"/>
    <x v="0"/>
    <m/>
    <s v="CC"/>
    <s v="N"/>
    <x v="16"/>
    <s v="7287956493"/>
    <s v="X"/>
    <n v="1829.4499999999971"/>
    <n v="70000"/>
    <n v="71829.45"/>
    <s v=""/>
    <n v="71829.45"/>
    <n v="65000"/>
    <n v="14910"/>
    <n v="3250"/>
    <x v="1"/>
    <x v="1"/>
    <n v="0"/>
    <n v="3250"/>
    <x v="1"/>
    <s v="NA"/>
    <n v="0"/>
    <s v="DURGA"/>
    <x v="0"/>
    <x v="0"/>
    <s v="&quot;4-31,NEAR SUBRAHMANYA SWAMY,TEMPLE,,MALI&quot; &quot;KIPURAM,MANDALAM,RAMARAJULANKA&quot;  NEAR SHIVA TEMPLE AMALAPURAM ANP 533253 "/>
    <s v="INFOSYS LIMITED NO 44 HOSUR MAIN ROAD ELECTRONIC CITY GATE NO 6 GATE NO 6 BANGALORE KAR 560100 "/>
    <s v="AMALAPURAM"/>
    <x v="0"/>
    <x v="0"/>
    <s v="B NAGABABU"/>
    <n v="801448854"/>
    <s v="Sgr@9290"/>
    <m/>
    <m/>
    <x v="0"/>
    <s v="LIVE"/>
    <s v="cmr Expired , this is cmr house, no at home , cmr brother answered call"/>
    <x v="23"/>
    <d v="2026-03-26T00:00:00"/>
    <n v="48149"/>
    <s v="Amazon Pay ICICI Bank Credit Card"/>
    <s v="5TH JUNE"/>
    <d v="2026-06-07T00:00:00"/>
  </r>
  <r>
    <s v="4035628008408006"/>
    <s v="MR BELLAMKONDA  BELLAMKONDA LAKSHMIKANTH"/>
    <n v="0"/>
    <x v="0"/>
    <m/>
    <m/>
    <s v="N"/>
    <x v="16"/>
    <s v="8801370135"/>
    <s v="X"/>
    <n v="-509.30000000000291"/>
    <n v="70000"/>
    <n v="69490.7"/>
    <s v=""/>
    <n v="69490.7"/>
    <n v="64828.2"/>
    <n v="8430"/>
    <n v="3199.19"/>
    <x v="1"/>
    <x v="1"/>
    <n v="0"/>
    <n v="3199.19"/>
    <x v="1"/>
    <s v="NA"/>
    <n v="0"/>
    <s v="DURGA"/>
    <x v="0"/>
    <x v="0"/>
    <s v="&quot;D NO,63-7-812 BALAJI NAGAR,5TH LINE,&quot; &quot;NEAR HINDU HIGH,SCHOOL OLD,GUNTUR&quot;   GUNTUR ANP 522001 "/>
    <s v="       "/>
    <s v="GUNTUR"/>
    <x v="3"/>
    <x v="17"/>
    <s v="DURGA"/>
    <n v="801723195"/>
    <s v="Sgr@9290"/>
    <m/>
    <m/>
    <x v="0"/>
    <s v="SKIP"/>
    <s v="CUSTOMER GIVEN HOUSE ADDRESS VISITED CUSTOMER NOT AVAILABLE NO ONE IS THERE AT HOME ENQUIRED WITH NEIGHBOUR'S AND RENTERS CUSTOMER SHIFTED FROM THIS ADDRESS ONE MONTH BACK CUSTOMER MOBILE RINGING BUT NOT ANSWERING"/>
    <x v="19"/>
    <d v="2026-05-18T00:00:00"/>
    <n v="10000.81"/>
    <s v="ICICI Bank HPCL Coral VISA Credit Card"/>
    <s v="10TH JUNE"/>
    <d v="2026-06-07T00:00:00"/>
  </r>
  <r>
    <s v="6528680627667008"/>
    <s v="MR MADDI KUMARASWAMY"/>
    <n v="0"/>
    <x v="0"/>
    <m/>
    <s v="CC"/>
    <s v="N"/>
    <x v="16"/>
    <s v="9849402557"/>
    <s v="X"/>
    <n v="-2668.4700000000012"/>
    <n v="72000"/>
    <n v="69331.53"/>
    <s v=""/>
    <n v="69331.53"/>
    <n v="62539.12"/>
    <n v="12900"/>
    <n v="3130"/>
    <x v="1"/>
    <x v="1"/>
    <n v="0"/>
    <n v="3130"/>
    <x v="1"/>
    <s v="NA"/>
    <n v="0"/>
    <s v="DURGA"/>
    <x v="5"/>
    <x v="0"/>
    <s v="9-1-152 GIRMAJIPET WARANGAL &quot;NEAR ICICI BANK LINE,&quot; WARANGAL ANP 506002 "/>
    <s v="PEDDI RAJAMOULI GOLD AND SILVER MERCHANT VISWAKARMA STREET JPN ROAD JPN ROAD WARANGAL ANP 506002 "/>
    <s v="WARANGAL"/>
    <x v="1"/>
    <x v="2"/>
    <s v="CHAITANYA"/>
    <n v="802555024"/>
    <s v="Ssde@9290"/>
    <m/>
    <m/>
    <x v="0"/>
    <s v="LIVE"/>
    <s v="Visited Customer Given Adress Customer Taken Injection order Sir"/>
    <x v="19"/>
    <d v="2024-09-03T00:00:00"/>
    <n v="50000"/>
    <s v="ICICI Bank Coral RuPay Credit Card"/>
    <s v="10TH JUNE"/>
    <d v="2026-06-07T00:00:00"/>
  </r>
  <r>
    <s v="4035623263408007"/>
    <s v="MR JATROTHU SAI"/>
    <n v="0"/>
    <x v="0"/>
    <m/>
    <m/>
    <s v="N"/>
    <x v="16"/>
    <s v="7660800132"/>
    <s v="X"/>
    <n v="7478.929999999993"/>
    <n v="60000"/>
    <n v="67478.929999999993"/>
    <s v=""/>
    <n v="67478.929999999993"/>
    <n v="59910.9"/>
    <n v="22930"/>
    <n v="14930"/>
    <x v="0"/>
    <x v="2"/>
    <n v="15000"/>
    <n v="-70"/>
    <x v="1"/>
    <s v="D"/>
    <s v="30501-BBPS Payment received"/>
    <s v="DURGA"/>
    <x v="5"/>
    <x v="0"/>
    <s v="11-100/11 CHINTHAKUNTA SHANTHINAGAR TOWER BUILDING ADILABAD TNG 505001 "/>
    <s v="JAISEVALAL CEMENT SHOP GROUND FLOOR 11-100/6 SHANTI NAGAR CHINNTHAKUNTA SHANTI NAGAR CHINNTHAKUNTA ADILABAD TNG 505001 "/>
    <s v="KARIMNAGAR"/>
    <x v="1"/>
    <x v="8"/>
    <s v="V Sridhar"/>
    <n v="801174030"/>
    <s v="Sgr@0987"/>
    <m/>
    <m/>
    <x v="0"/>
    <m/>
    <m/>
    <x v="10"/>
    <d v="2025-04-30T00:00:00"/>
    <n v="10000"/>
    <s v="ICICI Bank Platinum Chip Credit Card"/>
    <s v="10TH JUNE"/>
    <d v="2026-06-07T00:00:00"/>
  </r>
  <r>
    <s v="4035622598541003"/>
    <s v="MS DHANASRI BOJJA"/>
    <n v="0"/>
    <x v="0"/>
    <m/>
    <m/>
    <s v="N"/>
    <x v="16"/>
    <s v="7674054507"/>
    <s v="X"/>
    <n v="6508.5399999999936"/>
    <n v="60000"/>
    <n v="66508.539999999994"/>
    <n v="23537.119999999999"/>
    <n v="42971.42"/>
    <n v="36280.769999999997"/>
    <n v="11790"/>
    <n v="5170"/>
    <x v="1"/>
    <x v="1"/>
    <n v="0"/>
    <n v="5170"/>
    <x v="1"/>
    <s v="NA"/>
    <n v="0"/>
    <s v="DURGA"/>
    <x v="0"/>
    <x v="0"/>
    <s v="4-143 GANNIDI VARI STREET PENTAPADU VALLAMMA PETA TADEPALLIGUDEM ANP 534166 "/>
    <s v="INFOSYS LIMITED 44 INF0SYS AVENUE ELECTRONIC CITY ELECTRONIC CITY BANGALORE KAR 560100 "/>
    <s v="TADEPALLIGUDEM"/>
    <x v="0"/>
    <x v="13"/>
    <s v="MANIKANTA"/>
    <n v="802852449"/>
    <s v="Ssd@9290"/>
    <m/>
    <m/>
    <x v="0"/>
    <s v="SKIP"/>
    <s v="Custmor not lived this address  sir"/>
    <x v="19"/>
    <d v="2026-03-31T00:00:00"/>
    <n v="19060"/>
    <s v="ICICI Bank Platinum Chip Credit Card"/>
    <s v="10TH JUNE"/>
    <d v="2026-06-07T00:00:00"/>
  </r>
  <r>
    <s v="4748467949270011"/>
    <s v="MR S VIJAYANAND"/>
    <n v="0"/>
    <x v="0"/>
    <m/>
    <m/>
    <s v="N"/>
    <x v="16"/>
    <s v="9248759789"/>
    <s v="X"/>
    <n v="-35895.519999999997"/>
    <n v="100000"/>
    <n v="64104.480000000003"/>
    <n v="3733.42"/>
    <n v="60371.06"/>
    <n v="53512.14"/>
    <n v="11200"/>
    <n v="5260"/>
    <x v="1"/>
    <x v="1"/>
    <n v="0"/>
    <n v="5260"/>
    <x v="1"/>
    <s v="NA"/>
    <n v="0"/>
    <s v="DURGA"/>
    <x v="0"/>
    <x v="0"/>
    <s v="&quot;D NO 15-8-103,&quot; 1ST LINE JAKEER HUSSEN NAGAR &quot;OLD GUNTUR,GUNTUR&quot; NEAR MUSJID GUNTUR ANP 522001 "/>
    <s v="ITC LIMITED &quot;NAGARMPALEM,&quot; &quot;NAGARMPALEM,GUNTUR&quot; &quot;NAGARMPALEM,GUNTUR&quot; GUNTUR ANP 522004 "/>
    <s v="GUNTUR"/>
    <x v="3"/>
    <x v="17"/>
    <s v="DURGA"/>
    <n v="801723195"/>
    <s v="Sgr@9290"/>
    <m/>
    <m/>
    <x v="0"/>
    <s v="SKIP"/>
    <s v="Customer given working address visited security not allowing inside customer mobile number not working want to visit house address // Customer given House address visited but door number not matched Will revisit again // Customer given House address visited but customer not available given fake address customer mobile number not working need alternative address // Customer new House address visited but new address also fake call not working // Customer given House address visited but customer not available given fake address customer mobile number not working need alternative address // Customer given working address revisited enquiry about customer details with staff members // Customer given working address visited enquired with staff members customer details found customer left his job in this company and shifted to Us conformed by staff customer mobile number not working"/>
    <x v="21"/>
    <d v="2025-08-20T00:00:00"/>
    <n v="49990"/>
    <s v="ICICI Bank HPCL Super Saver Visa Credit Card"/>
    <s v="10TH JUNE"/>
    <d v="2026-06-07T00:00:00"/>
  </r>
  <r>
    <s v="4748468518217003"/>
    <s v="MR MADDIPATI CHANDU"/>
    <n v="0"/>
    <x v="0"/>
    <m/>
    <m/>
    <s v="N"/>
    <x v="16"/>
    <s v="9573675904"/>
    <s v="X"/>
    <n v="1926.4100000000035"/>
    <n v="60000"/>
    <n v="61926.41"/>
    <n v="12657.27"/>
    <n v="49269.14"/>
    <n v="44790.87"/>
    <n v="31040"/>
    <n v="15420"/>
    <x v="1"/>
    <x v="1"/>
    <n v="0"/>
    <n v="15420"/>
    <x v="1"/>
    <s v="NA"/>
    <s v="12111-ICICI BANK COLLECTION PAYMENT"/>
    <s v="DURGA"/>
    <x v="0"/>
    <x v="0"/>
    <s v="3-68 ADAMILLI ADAMILLI KAMAVARAPUKOTA   WEST GODAVARI ANP 534449 "/>
    <s v="GURU GOWRIKRUPA TECHNOLOGIES P &quot;Adamilli post, k Kota mandal&quot; West Godavari district West Godavari district ELURU ANP 534449 "/>
    <s v="ELURU"/>
    <x v="0"/>
    <x v="32"/>
    <s v="BHARAT CHANDRA"/>
    <n v="802631601"/>
    <s v="Ssde@9290"/>
    <m/>
    <m/>
    <x v="1"/>
    <m/>
    <m/>
    <x v="10"/>
    <d v="2026-04-14T00:00:00"/>
    <n v="9900"/>
    <s v="ICICI Bank Expressions Credit Card"/>
    <s v="10TH JUNE"/>
    <d v="2026-06-07T00:00:00"/>
  </r>
  <r>
    <s v="4035623322145004"/>
    <s v="MR GAJULA BABU"/>
    <n v="0"/>
    <x v="0"/>
    <m/>
    <m/>
    <s v="N"/>
    <x v="16"/>
    <s v="9182022632"/>
    <s v="X"/>
    <n v="6150.4700000000012"/>
    <n v="50000"/>
    <n v="56150.47"/>
    <s v=""/>
    <n v="56150.47"/>
    <n v="50488.31"/>
    <n v="15280"/>
    <n v="5550"/>
    <x v="0"/>
    <x v="0"/>
    <n v="40323"/>
    <n v="-34773"/>
    <x v="27"/>
    <s v="FE"/>
    <s v="12111-ICICI BANK COLLECTION PAYMENT"/>
    <s v="DURGA"/>
    <x v="5"/>
    <x v="0"/>
    <s v="&quot;9-11,MAIN ROOD NUTHANAKAL,MANDALAM,NUTHA&quot; &quot;NKAL,,NUTHANKAL&quot;  MAIN ROAD SURYAPET TNG 508221 "/>
    <s v="BHARATH HEALTHCARE LABORATORIES PVT LTD &quot;PLOT NO 50/A, RAGHAVENDRA NAGAR COLONY&quot; &quot;JEEDIMETLA. SUCHITRA, BOWENPALLY HYDERAB&quot; &quot;JEEDIMETLA. SUCHITRA, BOWENPALLY HYDERAB&quot; HYDERABAD TNG 500055 "/>
    <s v="SURYAPET"/>
    <x v="1"/>
    <x v="24"/>
    <s v="POORNIMA"/>
    <n v="802824019"/>
    <s v="Nihan@2421"/>
    <m/>
    <m/>
    <x v="0"/>
    <m/>
    <m/>
    <x v="10"/>
    <d v="2025-11-04T00:00:00"/>
    <n v="6090"/>
    <s v="ICICI Bank Coral American Express Credit Card"/>
    <s v="10TH JUNE"/>
    <d v="2026-06-07T00:00:00"/>
  </r>
  <r>
    <s v="4748468865769002"/>
    <s v="Mr PERABATTULA CHINA PULLAYA"/>
    <n v="0"/>
    <x v="0"/>
    <m/>
    <m/>
    <s v="N"/>
    <x v="16"/>
    <s v="9989343393"/>
    <s v="X"/>
    <n v="6017.3700000000026"/>
    <n v="50000"/>
    <n v="56017.37"/>
    <s v=""/>
    <n v="56017.37"/>
    <n v="49999"/>
    <n v="14820"/>
    <n v="5040"/>
    <x v="0"/>
    <x v="2"/>
    <n v="5100"/>
    <n v="-60"/>
    <x v="1"/>
    <s v="D"/>
    <s v="30501-BBPS Payment received"/>
    <s v="DURGA"/>
    <x v="0"/>
    <x v="0"/>
    <s v="&quot;2-76/3 VAKALAGARUVU,VAKALAGARUVU,&quot; VAAKALA GARUVU   AMALAPURAM ANP 533218 "/>
    <s v="Redchillies entertainment pvt NA1 NA2 NA2 AMALAPURAM ANP 533218 "/>
    <s v="AMALAPURAM"/>
    <x v="0"/>
    <x v="25"/>
    <s v="B NAGABABU"/>
    <n v="801448854"/>
    <s v="Sgr@9290"/>
    <m/>
    <m/>
    <x v="0"/>
    <s v="LIVE"/>
    <s v="CUSTOMER NOT AVAILABLE AT HOME SIR.RESPONDED TO THE CALL GIVEN PTP TO TODAY"/>
    <x v="20"/>
    <d v="2024-08-17T00:00:00"/>
    <n v="3000"/>
    <s v="ICICI Bank HPCL Coral VISA Credit Card"/>
    <s v="10TH JUNE"/>
    <d v="2026-06-07T00:00:00"/>
  </r>
  <r>
    <s v="4035622551380001"/>
    <s v="MR VADLURI PRADEEP KUMAR"/>
    <n v="0"/>
    <x v="0"/>
    <m/>
    <m/>
    <s v="N"/>
    <x v="16"/>
    <s v="9948603320"/>
    <s v="X"/>
    <n v="5869.8000000000029"/>
    <n v="50000"/>
    <n v="55869.8"/>
    <s v=""/>
    <n v="55869.8"/>
    <n v="49783.8"/>
    <n v="14720"/>
    <n v="4960"/>
    <x v="0"/>
    <x v="2"/>
    <n v="5000"/>
    <n v="-40"/>
    <x v="21"/>
    <s v="TC"/>
    <s v="30501-BBPS Payment received"/>
    <s v="DURGA"/>
    <x v="5"/>
    <x v="0"/>
    <s v="2-231/1 POOSALA ROAD  KARIMNAGAR KARIMNAGAR TNG 505185 "/>
    <s v="GOVERNMENT OF TELANGANA 5-262 IQBALAHMED NAGAR MANCHERIAL IQBALAHMED NAGAR MANCHERIAL ADILABAD TNG 504208 "/>
    <s v="PEDDAPALLI"/>
    <x v="1"/>
    <x v="6"/>
    <s v="K RAMU"/>
    <n v="802898520"/>
    <s v="Ssd@9290"/>
    <m/>
    <m/>
    <x v="0"/>
    <m/>
    <m/>
    <x v="10"/>
    <d v="2025-11-12T00:00:00"/>
    <n v="6000"/>
    <s v="ICICI Bank Platinum Chip Credit Card"/>
    <s v="10TH JUNE"/>
    <d v="2026-06-07T00:00:00"/>
  </r>
  <r>
    <s v="4035623166936005"/>
    <s v="MR BILLA SEKHAR"/>
    <n v="0"/>
    <x v="0"/>
    <m/>
    <m/>
    <s v="N"/>
    <x v="16"/>
    <s v="9160780459"/>
    <s v="X"/>
    <n v="5397.6699999999983"/>
    <n v="50000"/>
    <n v="55397.67"/>
    <n v="2457.88"/>
    <n v="52939.79"/>
    <n v="47185.36"/>
    <n v="16000"/>
    <n v="5260"/>
    <x v="1"/>
    <x v="1"/>
    <n v="0"/>
    <n v="5260"/>
    <x v="1"/>
    <s v="NA"/>
    <s v="12111-ICICI BANK COLLECTION PAYMENT"/>
    <s v="DURGA"/>
    <x v="0"/>
    <x v="0"/>
    <s v="&quot;16-8-22/A NIMMA THOTA,NARASARAOPET GUNTU&quot; &quot;R, ANDHRAPRADESH,522601&quot;  ATM GUNTUR ANP 522601 "/>
    <s v="PRAVALLIKA MEDI NEEDS PVT LTD NO.11-475-479 SANDB ESTATE FLATNO.327 SATTENAPALLI ROAD BEHIND SAI BABA SATTENAPALLI ROAD BEHIND SAI BABA GUNTUR ANP 522601 "/>
    <s v="GUNTUR"/>
    <x v="3"/>
    <x v="28"/>
    <s v="DURGA"/>
    <n v="801723195"/>
    <s v="Sgr@9290"/>
    <m/>
    <m/>
    <x v="0"/>
    <s v="SKIP"/>
    <s v="customer not available at given address by local enquiry shifted to mulakaluru by call conversation customer asking said charges issue asking for settlement not ready to pay… // customer avilable he asking for settlement try to convince"/>
    <x v="25"/>
    <d v="2026-04-10T00:00:00"/>
    <n v="4920"/>
    <s v="ICICI Bank Platinum Chip Credit Card"/>
    <s v="10TH JUNE"/>
    <d v="2026-06-07T00:00:00"/>
  </r>
  <r>
    <s v="5241936776772009"/>
    <s v="MS B HEMA"/>
    <n v="0"/>
    <x v="0"/>
    <m/>
    <m/>
    <s v="N"/>
    <x v="16"/>
    <s v="9492379707"/>
    <s v="X"/>
    <n v="5265.739999999998"/>
    <n v="50000"/>
    <n v="55265.74"/>
    <s v=""/>
    <n v="55265.74"/>
    <n v="49707.32"/>
    <n v="19230"/>
    <n v="5610"/>
    <x v="0"/>
    <x v="0"/>
    <n v="19230"/>
    <n v="-13620"/>
    <x v="18"/>
    <s v="TC"/>
    <s v="30501-BBPS Payment received"/>
    <s v="DURGA"/>
    <x v="0"/>
    <x v="0"/>
    <s v="&quot;2-25/2 NAGIREDDI COLONY,PILERU,.,PILERU,&quot; ...  MAIN ROAD TIRUPATHI ANP 517214 "/>
    <s v="EPIONE PAINCARE PRIVATE LIMITED &quot;HNO 8-2-293/A/A/1/4F,4TH FLOOR,ROAD NO 2&quot; &quot;BANJARA HILLS,HYDERABAD,TELANGANA&quot; &quot;BANJARA HILLS,HYDERABAD,TELANGANA&quot; HYDERABAD TNG 500034 "/>
    <s v="TIRUPATHI"/>
    <x v="2"/>
    <x v="33"/>
    <s v="GUNASEKAR"/>
    <n v="802241455"/>
    <s v="Sgr@9290"/>
    <m/>
    <m/>
    <x v="0"/>
    <m/>
    <m/>
    <x v="10"/>
    <d v="2025-05-12T00:00:00"/>
    <n v="6887.53"/>
    <s v="ICICI Bank Coral RuPay Credit Card"/>
    <s v="10TH JUNE"/>
    <d v="2026-06-07T00:00:00"/>
  </r>
  <r>
    <s v="4035627702467003"/>
    <s v="Mr KOTIPALLI SRINIVASARAO"/>
    <n v="0"/>
    <x v="0"/>
    <m/>
    <m/>
    <s v="O"/>
    <x v="16"/>
    <s v="9704108085"/>
    <s v="X"/>
    <n v="4649.8899999999994"/>
    <n v="50000"/>
    <n v="54649.89"/>
    <s v=""/>
    <n v="54649.89"/>
    <n v="45578.8"/>
    <n v="22950"/>
    <n v="11650"/>
    <x v="0"/>
    <x v="0"/>
    <n v="54649.89"/>
    <n v="-42999.89"/>
    <x v="27"/>
    <s v="TC"/>
    <s v="30501-BBPS Payment received"/>
    <s v="DURGA"/>
    <x v="0"/>
    <x v="0"/>
    <s v="&quot;BLOCK,NO-48 GF-8 RAJIV GRUHA,KALPA,&quot; &quot;DAIRY FARM CENTRER,KAKINADA  URBAN&quot;   KAKINADA ANP 533001 "/>
    <s v="Kkd Kkd Kkd Kkd KAKINADA ANP 533001 "/>
    <s v="KAKINADA"/>
    <x v="0"/>
    <x v="16"/>
    <s v="UDAY"/>
    <n v="801436997"/>
    <s v="Ssd@9290"/>
    <m/>
    <m/>
    <x v="0"/>
    <s v="SKIP"/>
    <s v="Customer address skip call not working need to kyc sir // Customer tracing address visit ch not available skip address // Customer address skip call not working need to kyc sir // Customer tracing address visit ch not available skip call not working sir"/>
    <x v="21"/>
    <d v="2025-12-19T00:00:00"/>
    <n v="4710.6499999999996"/>
    <s v="ICICI Bank HPCL Coral VISA Credit Card"/>
    <s v="10TH JUNE"/>
    <d v="2026-06-07T00:00:00"/>
  </r>
  <r>
    <s v="4035627641392007"/>
    <s v="Mr GALI SETTY PAVAN KUMAR"/>
    <n v="0"/>
    <x v="2"/>
    <m/>
    <m/>
    <s v="N"/>
    <x v="16"/>
    <s v="7977766464"/>
    <s v="X"/>
    <n v="2737.0400000000009"/>
    <n v="50000"/>
    <n v="52737.04"/>
    <n v="5756.28"/>
    <n v="46980.76"/>
    <n v="40586.370000000003"/>
    <n v="15410"/>
    <n v="5320"/>
    <x v="1"/>
    <x v="1"/>
    <n v="0"/>
    <n v="5320"/>
    <x v="1"/>
    <s v="NA"/>
    <s v="12111-ICICI BANK COLLECTION PAYMENT"/>
    <s v="DURGA"/>
    <x v="0"/>
    <x v="4"/>
    <s v="&quot;13/157 INDIRA NAGAR,DEVUNI,KADAPA,&quot; PATHACUDDAPAH   CUDDAPAH ANP 516002"/>
    <s v="pvt ltd 13/157 indira nagar indira nagar CUDDAPAH ANP 516002"/>
    <s v="PRODDATUR"/>
    <x v="2"/>
    <x v="5"/>
    <s v="PAVAN"/>
    <n v="802823180"/>
    <s v="Sgr@9290"/>
    <m/>
    <m/>
    <x v="1"/>
    <m/>
    <m/>
    <x v="10"/>
    <d v="2026-02-07T00:00:00"/>
    <n v="2995.47"/>
    <s v="ICICI Bank Coral RuPay Credit Card"/>
    <s v="17TH JUNE"/>
    <d v="2026-06-07T00:00:00"/>
  </r>
  <r>
    <s v="4315814382873004"/>
    <s v="MS Sista Phani Sailaja"/>
    <n v="0"/>
    <x v="0"/>
    <m/>
    <m/>
    <s v="N"/>
    <x v="16"/>
    <s v="9676375699"/>
    <s v="X"/>
    <n v="2569.3799999999974"/>
    <n v="50000"/>
    <n v="52569.38"/>
    <n v="9565.91"/>
    <n v="43003.47"/>
    <n v="38716.550000000003"/>
    <n v="43003.47"/>
    <n v="19845.669999999998"/>
    <x v="0"/>
    <x v="2"/>
    <n v="19850.47"/>
    <n v="-4.8000000000029104"/>
    <x v="21"/>
    <s v="TC"/>
    <s v="30501-BBPS Payment received"/>
    <s v="DURGA"/>
    <x v="0"/>
    <x v="0"/>
    <s v="53.4.23 PALAKOL SOMESWARA.AGRAHARAM PALAKOL PALAKOL ANP 534260 "/>
    <s v="DEVI.SRI.AQUA.FEEDS.AND.NEEDS 53.7.23 PP.ROAD..NEAR.ANDHRA.BANK. PP.ROAD..NEAR.ANDHRA.BANK. PALAKOL ANP 534260 "/>
    <s v="PALAKOL"/>
    <x v="0"/>
    <x v="0"/>
    <s v="B NAGABABU"/>
    <n v="801448854"/>
    <s v="Sgr@9290"/>
    <m/>
    <m/>
    <x v="0"/>
    <s v="DL"/>
    <s v=" Cmr not  at house door locked and cmr not  answering calls , revisit Required"/>
    <x v="23"/>
    <d v="2024-07-16T00:00:00"/>
    <n v="1025"/>
    <s v="Amazon Pay ICICI Bank Credit Card"/>
    <s v="10TH JUNE"/>
    <d v="2026-06-07T00:00:00"/>
  </r>
  <r>
    <s v="4035623390520005"/>
    <s v="MR MARAMULLA DAVIDRAJU"/>
    <n v="0"/>
    <x v="0"/>
    <m/>
    <m/>
    <s v="N"/>
    <x v="16"/>
    <s v="7337308147"/>
    <s v="X"/>
    <n v="1268.9400000000023"/>
    <n v="50000"/>
    <n v="51268.94"/>
    <n v="31310.17"/>
    <n v="19958.77"/>
    <n v="16937.72"/>
    <n v="8330"/>
    <n v="3360"/>
    <x v="0"/>
    <x v="2"/>
    <n v="3500"/>
    <n v="-140"/>
    <x v="1"/>
    <s v="D"/>
    <s v="30501-BBPS Payment received"/>
    <s v="DURGA"/>
    <x v="0"/>
    <x v="0"/>
    <s v="&quot;6-150,YELESWARAM,MAIN RAOD,SIRIPURAM&quot; ...  NEAR AMBEDKAR STATUE KAKINADA ANP 533432 "/>
    <s v="MUTHOOT HOUSING FINANCE COMPANY LIMITED KAKINADA MAIN ROAD TEMPLE STREET NEAR HDFC BANK NEAR HDFC BANK KAKINADA ANP 533001 "/>
    <s v="KAKINADA"/>
    <x v="0"/>
    <x v="16"/>
    <s v="UDAY"/>
    <n v="801436997"/>
    <s v="Ssd@9290"/>
    <m/>
    <m/>
    <x v="0"/>
    <s v="SKIP"/>
    <s v="Customer given address skip call not answering sir // Customer new track address visited not available skip call not answering sir"/>
    <x v="27"/>
    <d v="2025-06-07T00:00:00"/>
    <n v="50000.800000000003"/>
    <s v="ICICI Bank Coral Credit Card"/>
    <s v="10TH JUNE"/>
    <d v="2026-06-07T00:00:00"/>
  </r>
  <r>
    <s v="5241935759709004"/>
    <s v="MR PAMISETTY LAKSHMINARAYANA"/>
    <n v="0"/>
    <x v="2"/>
    <m/>
    <m/>
    <s v="N"/>
    <x v="17"/>
    <s v="9440458255"/>
    <s v="X"/>
    <n v="16275.030000000028"/>
    <n v="500000"/>
    <n v="516275.03"/>
    <n v="272430.38"/>
    <n v="243844.65"/>
    <n v="226191.71"/>
    <n v="97930"/>
    <n v="36881.18"/>
    <x v="0"/>
    <x v="2"/>
    <n v="36900"/>
    <n v="-18.819999999999709"/>
    <x v="26"/>
    <s v="O"/>
    <s v="30501-BBPS Payment received"/>
    <s v="SAMBA"/>
    <x v="6"/>
    <x v="4"/>
    <s v="&quot;31-180,RAM NAGAR RAM NAGAR DHARMAVARAM&quot; &quot;DHARMAVARAM,ANANTAPUR&quot;  NEAR MAIN ROAD HINDUPUR ANP 515671"/>
    <s v="CROP AND ANIMAL PRODUCTION HUNTING AND R &quot;9/368,KPT STREET&quot; ANANTAPUR ANANTAPUR HINDUPUR ANP 515671"/>
    <s v="HINDUPUR"/>
    <x v="2"/>
    <x v="26"/>
    <s v="T SRINIVAS"/>
    <n v="802030802"/>
    <s v="Sgr@0987"/>
    <m/>
    <m/>
    <x v="0"/>
    <m/>
    <m/>
    <x v="10"/>
    <d v="2024-10-30T00:00:00"/>
    <n v="7000"/>
    <s v="ICICI Bank Expressions Credit Card"/>
    <s v="19TH JUNE"/>
    <d v="2026-06-08T00:00:00"/>
  </r>
  <r>
    <s v="4748460838622004"/>
    <s v="MR MOHD ABDUL BASITH"/>
    <n v="0"/>
    <x v="2"/>
    <m/>
    <m/>
    <s v="N"/>
    <x v="17"/>
    <s v="9441348111"/>
    <s v="X"/>
    <n v="-47389.849999999977"/>
    <n v="550000"/>
    <n v="502610.15"/>
    <s v=""/>
    <n v="502610.15"/>
    <n v="460158.84"/>
    <n v="70570"/>
    <n v="25600"/>
    <x v="1"/>
    <x v="1"/>
    <n v="0"/>
    <n v="25600"/>
    <x v="1"/>
    <s v="NA"/>
    <n v="0"/>
    <s v="SAMBA"/>
    <x v="6"/>
    <x v="4"/>
    <s v="VIVEK NAGAR COLONY KC COLONY 6-14/2 100FT ROAD BHIMARAM RURAL  NEAR SM TOWERS WARANGAL TNG 506015"/>
    <s v="GOVERNMENT OF TELANGANA PANCHAYAT RAJ ENGINNEERING ZPHS KANURU ZAFFARGADH   WARANGAL TNG 506001"/>
    <s v="WARANGAL"/>
    <x v="1"/>
    <x v="30"/>
    <s v="AKHIL"/>
    <n v="801772792"/>
    <s v="Sgr@9290"/>
    <m/>
    <m/>
    <x v="0"/>
    <s v="SKIP"/>
    <s v="1 year back cust shifted from given address confirmed by renters and cust no respond to calls"/>
    <x v="26"/>
    <d v="2025-01-11T00:00:00"/>
    <n v="25920"/>
    <s v="MakeMyTrip ICICI Bank Platinum Credit Card"/>
    <s v="19TH JUNE"/>
    <d v="2026-06-08T00:00:00"/>
  </r>
  <r>
    <s v="4748461247802005"/>
    <s v="MR SINGARAJU SRIKANTH"/>
    <n v="0"/>
    <x v="0"/>
    <m/>
    <m/>
    <s v="N"/>
    <x v="17"/>
    <s v="9030120143"/>
    <s v="X"/>
    <n v="19329.830000000016"/>
    <n v="480000"/>
    <n v="499329.83"/>
    <s v=""/>
    <n v="499329.83"/>
    <n v="456310.63"/>
    <n v="91060"/>
    <n v="28070"/>
    <x v="0"/>
    <x v="0"/>
    <n v="499329.83"/>
    <n v="-471259.83"/>
    <x v="21"/>
    <s v="TC"/>
    <s v="30501-BBPS Payment received"/>
    <s v="SAMBA"/>
    <x v="1"/>
    <x v="0"/>
    <s v="12-1-36 GANTA PALEM ONGOLE NEAR PARVATAMMA ONGOLE ANP 523001 "/>
    <s v="CALLIDUSCLOUD INDIA PRIVATE LIMITED 12B PHASE 2 MINDSPACE HITECH CITY PHASE 2 MINDSPACE HITECH CITY HYDERABAD TNG 500081 "/>
    <s v="ONGOLE"/>
    <x v="5"/>
    <x v="42"/>
    <s v="IMAMVALLI"/>
    <n v="802789320"/>
    <s v="Ssd@9290"/>
    <m/>
    <m/>
    <x v="0"/>
    <m/>
    <m/>
    <x v="10"/>
    <d v="2024-02-29T00:00:00"/>
    <n v="2950"/>
    <s v="MakeMyTrip ICICI Bank Platinum Credit Card"/>
    <s v="10TH JUNE"/>
    <d v="2026-06-08T00:00:00"/>
  </r>
  <r>
    <s v="4073520450915013"/>
    <s v="MR RAJU AKKALADEVI"/>
    <n v="0"/>
    <x v="0"/>
    <m/>
    <s v="CC"/>
    <s v="N"/>
    <x v="17"/>
    <s v="8247634979"/>
    <s v="X"/>
    <n v="201916.49"/>
    <n v="290000"/>
    <n v="491916.49"/>
    <n v="437692.62"/>
    <n v="54223.87"/>
    <n v="47514.04"/>
    <n v="49760"/>
    <n v="19480"/>
    <x v="0"/>
    <x v="2"/>
    <n v="26000"/>
    <n v="-6520"/>
    <x v="16"/>
    <s v="NA"/>
    <s v="12124 - UPI Payment Received"/>
    <s v="SAMBA"/>
    <x v="1"/>
    <x v="0"/>
    <s v="H.NO.13-1250 RAGAMAYURI GREEN HILLA PHASE 3 NANNUR NEAR BESIDE TEMPLE KURNOOL ANP 518002 "/>
    <s v="GOVERNMENT OF AP &quot;DISTRECT FOREST OFFICE,WILD DIVISION&quot; &quot;NANDYAL,NUNEPALLI&quot; &quot;NANDYAL,NUNEPALLI&quot; NANDYAL ANP 518501 "/>
    <s v="KURNOOL"/>
    <x v="2"/>
    <x v="19"/>
    <s v="SAMBA"/>
    <n v="801772794"/>
    <s v="Ssde@9876"/>
    <m/>
    <m/>
    <x v="0"/>
    <m/>
    <m/>
    <x v="10"/>
    <d v="2026-05-06T00:00:00"/>
    <n v="13000"/>
    <s v="MakeMyTrip ICICI Bank Signature Credit Card"/>
    <s v="6TH JUNE"/>
    <d v="2026-06-08T00:00:00"/>
  </r>
  <r>
    <s v="5241935774547009"/>
    <s v="MR BYRA LEELA SAILAKSMI PAVAN KUM"/>
    <n v="0"/>
    <x v="0"/>
    <m/>
    <m/>
    <s v="O"/>
    <x v="17"/>
    <s v="8897650009"/>
    <s v="X"/>
    <n v="-10177.960000000021"/>
    <n v="500000"/>
    <n v="489822.04"/>
    <s v=""/>
    <n v="489822.04"/>
    <n v="466128.35"/>
    <n v="70830"/>
    <n v="43860"/>
    <x v="0"/>
    <x v="0"/>
    <n v="70830"/>
    <n v="-26970"/>
    <x v="1"/>
    <s v="D"/>
    <s v="30501-BBPS Payment received"/>
    <s v="DURGA"/>
    <x v="0"/>
    <x v="0"/>
    <s v="37-323 MAIN BAZAR PURUSHOTHAMA PATNAM CHILAKALURIPET GUNTUR PATNAM MAIN ROAD GUNTUR ANP 522616 "/>
    <s v="HCL TECHNOLOGIES LIMITED HI-08 PHOENIX INFOCITY MADHAPUR   HYDERABAD TNG 500081 "/>
    <s v="GUNTUR"/>
    <x v="3"/>
    <x v="45"/>
    <s v="DURGA"/>
    <n v="801723195"/>
    <s v="Sgr@9290"/>
    <m/>
    <m/>
    <x v="0"/>
    <m/>
    <m/>
    <x v="10"/>
    <d v="2025-12-18T00:00:00"/>
    <n v="3000"/>
    <s v="ICICI Bank HPCL Super Saver Master Credit Card"/>
    <s v="6TH JUNE"/>
    <d v="2026-06-08T00:00:00"/>
  </r>
  <r>
    <s v="5241935806799008"/>
    <s v="MS PATTAPAGALU NAGALAKSHMI"/>
    <n v="0"/>
    <x v="0"/>
    <m/>
    <m/>
    <s v="N"/>
    <x v="17"/>
    <s v="8790036312"/>
    <s v="X"/>
    <n v="8935.539999999979"/>
    <n v="450000"/>
    <n v="458935.54"/>
    <n v="346825.72"/>
    <n v="112109.82"/>
    <n v="92203.33"/>
    <n v="86200"/>
    <n v="37330"/>
    <x v="0"/>
    <x v="2"/>
    <n v="37330"/>
    <n v="0"/>
    <x v="13"/>
    <s v="FE"/>
    <s v="30501-BBPS Payment received"/>
    <s v="SAMBA"/>
    <x v="3"/>
    <x v="0"/>
    <s v="&quot;DO NO 22-12-40/9,TANUKU MANDALAM,&quot; &quot;MUTYALA VARI STREET,BESIDE OF CHURCH,&quot; &quot;SOCIETY BACK SIDE,TANUKU MANDALAM&quot; BESIDE OF CHURCH TANUKU ANP 534211 "/>
    <s v="STATE GOVERNMENT &quot;STATE GOVERNMENT OF ANDHRAPRADESH,&quot; &quot;AREA HOSPITAL,PALACOLE,PALACOLE&quot; &quot;AREA HOSPITAL,PALACOLE,PALACOLE&quot; PALAKOL ANP 534260 "/>
    <s v="TANUKU"/>
    <x v="0"/>
    <x v="13"/>
    <s v="MANIKANTA"/>
    <n v="802852449"/>
    <s v="Ssd@9290"/>
    <m/>
    <m/>
    <x v="0"/>
    <s v="LIVE"/>
    <s v="Custmor PTP   18"/>
    <x v="18"/>
    <s v=""/>
    <n v="0"/>
    <s v="ICICI Bank HPCL Super Saver Master Credit Card"/>
    <s v="6TH JUNE"/>
    <d v="2026-06-08T00:00:00"/>
  </r>
  <r>
    <s v="4748461340745002"/>
    <s v="MR C V RAJASEKHAR"/>
    <n v="0"/>
    <x v="0"/>
    <m/>
    <m/>
    <s v="O"/>
    <x v="17"/>
    <s v="8317511542"/>
    <s v="X"/>
    <n v="134847.71000000002"/>
    <n v="320000"/>
    <n v="454847.71"/>
    <n v="175648.79"/>
    <n v="279198.92"/>
    <n v="256103.22"/>
    <n v="114430"/>
    <n v="63215"/>
    <x v="1"/>
    <x v="1"/>
    <n v="0"/>
    <n v="63215"/>
    <x v="1"/>
    <s v="NA"/>
    <n v="0"/>
    <s v="SAMBA"/>
    <x v="4"/>
    <x v="0"/>
    <s v="26-4-3502 CHOWDESWARI COLONY CHOWDESWARI COLONY ANANTAPUR HINDUPUR ANP 515201 "/>
    <s v="OPTUM GLOBAL SOLUTIONS INDIA PVT LTD OPTUM GLOBAL SOLUTIONS INDIA PVT LTD PAR GROUND FLOOR BLOCK 01 AND GROUND FLOOR 1 GROUND FLOOR BLOCK 01 AND GROUND FLOOR 1 GURGAON HAR 122101 "/>
    <s v="HINDUPUR"/>
    <x v="2"/>
    <x v="26"/>
    <s v="T SRINIVAS"/>
    <n v="802030802"/>
    <s v="Sgr@0987"/>
    <m/>
    <m/>
    <x v="0"/>
    <s v="LIVE"/>
    <s v="Customer PTP on today evening"/>
    <x v="26"/>
    <d v="2025-07-03T00:00:00"/>
    <n v="5000"/>
    <s v="MakeMyTrip ICICI Bank Platinum Credit Card"/>
    <s v="6TH JUNE"/>
    <d v="2026-06-08T00:00:00"/>
  </r>
  <r>
    <s v="5241935708057000"/>
    <s v="MR SHAIK AGJAD BASHA"/>
    <n v="0"/>
    <x v="0"/>
    <m/>
    <m/>
    <s v="N"/>
    <x v="17"/>
    <s v="9160504042"/>
    <s v="X"/>
    <n v="-12771.950000000012"/>
    <n v="440000"/>
    <n v="427228.05"/>
    <n v="287423.90000000002"/>
    <n v="139804.15"/>
    <n v="117137.03"/>
    <n v="89090"/>
    <n v="52490"/>
    <x v="0"/>
    <x v="0"/>
    <n v="139804.15"/>
    <n v="-87314.15"/>
    <x v="25"/>
    <s v="TC"/>
    <s v="30501-BBPS Payment received"/>
    <s v="SAMBA"/>
    <x v="2"/>
    <x v="0"/>
    <s v="1-70A CHINNAMANDEM CUDDAPAH KUMMARA VEEDHI CUDDAPAH ANP 516214 "/>
    <s v="QUESS CORP LIMITED 3/3/2 SARJAPUR BENGALURU BENGALURU BANGALORE KAR 560103 "/>
    <s v="CUDDAPAH"/>
    <x v="2"/>
    <x v="5"/>
    <s v="PAVAN"/>
    <n v="802823180"/>
    <s v="Sgr@9290"/>
    <m/>
    <m/>
    <x v="0"/>
    <m/>
    <m/>
    <x v="10"/>
    <d v="2024-08-03T00:00:00"/>
    <n v="300"/>
    <s v="ICICI Bank HPCL Super Saver Master Credit Card"/>
    <s v="6TH JUNE"/>
    <d v="2026-06-08T00:00:00"/>
  </r>
  <r>
    <s v="4748461290129009"/>
    <s v="MR VADAKALA GOPI"/>
    <n v="0"/>
    <x v="2"/>
    <m/>
    <m/>
    <s v="N"/>
    <x v="17"/>
    <s v="9666606948"/>
    <s v="X"/>
    <n v="31616.400000000023"/>
    <n v="390000"/>
    <n v="421616.4"/>
    <n v="80259.89"/>
    <n v="341356.51"/>
    <n v="309052.61"/>
    <n v="94530"/>
    <n v="41400"/>
    <x v="0"/>
    <x v="0"/>
    <n v="341356.51"/>
    <n v="-299956.51"/>
    <x v="1"/>
    <s v="D"/>
    <s v="12124 - UPI Payment Received"/>
    <s v="SAMBA"/>
    <x v="6"/>
    <x v="4"/>
    <s v="3-55A GUMMADIDURRU  KRISHNA VIJAYAWADA ANP 521190"/>
    <s v="BIRLA SOFT LIMITED PLOT NO EL 207/1 &quot;MIDC MAHAPE ROAD, TTC INDUSTRIAL AREA&quot; &quot;MIDC MAHAPE ROAD, TTC INDUSTRIAL AREA&quot; THANE MAH 400710"/>
    <s v="VIJAYAWADA"/>
    <x v="0"/>
    <x v="46"/>
    <s v="POORNIMA"/>
    <n v="802824019"/>
    <s v="Nihan@2421"/>
    <m/>
    <m/>
    <x v="0"/>
    <m/>
    <m/>
    <x v="10"/>
    <d v="2025-03-07T00:00:00"/>
    <n v="30000"/>
    <s v="MakeMyTrip ICICI Bank Platinum Credit Card"/>
    <s v="19TH JUNE"/>
    <d v="2026-06-08T00:00:00"/>
  </r>
  <r>
    <s v="4748461084958001"/>
    <s v="MR NARRA SEKHAR CHOWDARY"/>
    <n v="0"/>
    <x v="0"/>
    <m/>
    <m/>
    <s v="N"/>
    <x v="17"/>
    <s v="9248013123"/>
    <s v="X"/>
    <n v="-183575.75"/>
    <n v="600000"/>
    <n v="416424.25"/>
    <n v="359922.43"/>
    <n v="56501.82"/>
    <n v="45270.68"/>
    <n v="56501.82"/>
    <n v="27963.97"/>
    <x v="0"/>
    <x v="0"/>
    <n v="56501.82"/>
    <n v="-28537.85"/>
    <x v="25"/>
    <s v="TC"/>
    <s v="12124 - UPI Payment Received"/>
    <s v="SAMBA"/>
    <x v="2"/>
    <x v="2"/>
    <s v="101 DIVYA SHAKTI TOWERS ROY NAGAR GANNAVARAM NEAR KARUR VYSYA BANK VIJAYAWADA ANP 521101 "/>
    <s v="RAVITEJ PROJECTS 54-5-98 2 CROSS 4TH FLOOR AUTO NAGAR AUTO NAGAR VIJAYAWADA ANP 520007 "/>
    <s v="VIJAYAWADA"/>
    <x v="0"/>
    <x v="22"/>
    <s v="SUDHAKAR"/>
    <n v="802913252"/>
    <s v="Ssd@9290"/>
    <m/>
    <m/>
    <x v="0"/>
    <s v="DL"/>
    <s v="Customer not available in the working address // Customer new address door locked _x000a_Need to revisit // Customer address still door locked // Customer willing to pa"/>
    <x v="22"/>
    <d v="2026-02-21T00:00:00"/>
    <n v="36470"/>
    <s v="MakeMyTrip ICICI Bank Platinum Credit Card"/>
    <s v="6TH JUNE"/>
    <d v="2026-06-08T00:00:00"/>
  </r>
  <r>
    <s v="4748464734721001"/>
    <s v="MR KANDA VENKATA RAMARAO"/>
    <n v="0"/>
    <x v="0"/>
    <m/>
    <m/>
    <s v="N"/>
    <x v="17"/>
    <s v="8919169408"/>
    <s v="X"/>
    <n v="167443.43"/>
    <n v="220000"/>
    <n v="387443.43"/>
    <n v="158206.46"/>
    <n v="229236.97"/>
    <n v="207100.96"/>
    <n v="79040"/>
    <n v="31940"/>
    <x v="0"/>
    <x v="2"/>
    <n v="34100"/>
    <n v="-2160"/>
    <x v="25"/>
    <s v="TC"/>
    <s v="30501-BBPS Payment received"/>
    <s v="SAMBA"/>
    <x v="2"/>
    <x v="0"/>
    <s v="1-48/2 GOLLAPROLU MANDALAM KOTTAURU EAST GODAVARI KAKINADA ANP 533449 "/>
    <s v="GREENKO ENERGIES PRIVATE LIMITED &quot;GREENKO CAMP OFFICE,GREENKO GANI SOLAR P&quot; &quot;BRAMHANAPALLI,ORVAKAL,KURNOOL&quot; &quot;BRAMHANAPALLI,ORVAKAL,KURNOOL&quot; KURNOOL ANP 518010 "/>
    <s v="KAKINADA"/>
    <x v="0"/>
    <x v="16"/>
    <s v="UDAY"/>
    <n v="801436997"/>
    <s v="Ssd@9290"/>
    <m/>
    <m/>
    <x v="0"/>
    <m/>
    <m/>
    <x v="10"/>
    <d v="2026-01-22T00:00:00"/>
    <n v="30000"/>
    <s v="Chennai Super Kings ICICI Bank Credit Card"/>
    <s v="10TH JUNE"/>
    <d v="2026-06-08T00:00:00"/>
  </r>
  <r>
    <s v="4748464734447003"/>
    <s v="MR CHAKALI SATHISH KUMAR"/>
    <n v="0"/>
    <x v="2"/>
    <m/>
    <m/>
    <s v="N"/>
    <x v="17"/>
    <s v="9014325570"/>
    <s v="X"/>
    <n v="89527.729999999981"/>
    <n v="290000"/>
    <n v="379527.73"/>
    <n v="109808.68"/>
    <n v="269719.05"/>
    <n v="251947.99"/>
    <n v="81050"/>
    <n v="23870"/>
    <x v="0"/>
    <x v="2"/>
    <n v="29955"/>
    <n v="-6085"/>
    <x v="26"/>
    <s v="TC"/>
    <s v="30501-BBPS Payment received"/>
    <s v="SAMBA"/>
    <x v="6"/>
    <x v="4"/>
    <s v="15/33 MADDIKERA BOGAPPA BAVI KURNOOL KURNOOL ANP 518385"/>
    <s v="QUESS CORP LIMITED SY NO 18/56 MAHATMAGANDHI RD TILAK NAGAR ANANTAPUR NEAR UNION BANK OF INDIA ANANTAPUR NEAR UNION BANK OF INDIA GUNTAKAL ANP 515801"/>
    <s v="KURNOOL"/>
    <x v="2"/>
    <x v="26"/>
    <s v="T SRINIVAS"/>
    <n v="802030802"/>
    <s v="Sgr@0987"/>
    <m/>
    <m/>
    <x v="0"/>
    <m/>
    <m/>
    <x v="10"/>
    <d v="2024-06-23T00:00:00"/>
    <n v="60000"/>
    <s v="ICICI Rubyx PLT Credit Card (AMEX)"/>
    <s v="19TH JUNE"/>
    <d v="2026-06-08T00:00:00"/>
  </r>
  <r>
    <s v="4748461170877008"/>
    <s v="MR MALLELA SHAIK SHAFI"/>
    <n v="0"/>
    <x v="2"/>
    <m/>
    <m/>
    <s v="N"/>
    <x v="17"/>
    <s v="9491967687"/>
    <s v="X"/>
    <n v="8399.8800000000047"/>
    <n v="367500"/>
    <n v="375899.88"/>
    <s v=""/>
    <n v="375899.88"/>
    <n v="345323.02"/>
    <n v="71460"/>
    <n v="16455"/>
    <x v="1"/>
    <x v="1"/>
    <n v="0"/>
    <n v="16455"/>
    <x v="1"/>
    <s v="NA"/>
    <n v="0"/>
    <s v="SAMBA"/>
    <x v="6"/>
    <x v="4"/>
    <s v="5-1-110/1 NEAR HIGH SCHOOL AMALAPURAM EAST GODAVARI BESIDE HIGH SCHOOL AMALAPURAM ANP 533201"/>
    <s v="BAJAJ FINANCE LIMITED BAJAJ FINSERV MAIN ROAD AMALAPURAM AMALAPURAM AMALAPURAM ANP 533201"/>
    <s v="AMALAPURAM"/>
    <x v="0"/>
    <x v="25"/>
    <s v="B NAGABABU"/>
    <n v="801448854"/>
    <s v="Sgr@9290"/>
    <m/>
    <m/>
    <x v="1"/>
    <m/>
    <m/>
    <x v="10"/>
    <d v="2026-03-17T00:00:00"/>
    <n v="1"/>
    <s v="MakeMyTrip ICICI Bank Platinum Credit Card"/>
    <s v="19TH JUNE"/>
    <d v="2026-06-08T00:00:00"/>
  </r>
  <r>
    <s v="4748464744932002"/>
    <s v="MR KOTAKONDA SIVA SAI"/>
    <n v="0"/>
    <x v="0"/>
    <m/>
    <m/>
    <s v="N"/>
    <x v="17"/>
    <s v="6301621743"/>
    <s v="X"/>
    <n v="29576.820000000007"/>
    <n v="320000"/>
    <n v="349576.82"/>
    <s v=""/>
    <n v="349576.82"/>
    <n v="318901.19"/>
    <n v="102640"/>
    <n v="31060"/>
    <x v="0"/>
    <x v="0"/>
    <n v="349576.82"/>
    <n v="-318516.82"/>
    <x v="12"/>
    <s v="TC"/>
    <s v="30501-BBPS Payment received"/>
    <s v="SAMBA"/>
    <x v="2"/>
    <x v="0"/>
    <s v="4/20A CHERUVU KINDHA PALLI   CUDDAPAH ANP 516215 "/>
    <s v="GOVERNMENT OF ANDHRA PRADESH GRAMA SACHIVALAYAM NARAYANAREDDY PALLI SAMBEPALLI MANDAL ANNAMAYYA SAMBEPALLI MANDAL ANNAMAYYA CUDDAPAH ANP 516215 "/>
    <s v="CUDDAPAH"/>
    <x v="2"/>
    <x v="5"/>
    <s v="PAVAN"/>
    <n v="802823180"/>
    <s v="Sgr@9290"/>
    <m/>
    <m/>
    <x v="0"/>
    <m/>
    <m/>
    <x v="10"/>
    <d v="2025-06-20T00:00:00"/>
    <n v="60450"/>
    <s v="ICICI Bank Sapphiro Visa Credit Card"/>
    <s v="6TH JUNE"/>
    <d v="2026-06-08T00:00:00"/>
  </r>
  <r>
    <s v="5241935788532005"/>
    <s v="MS KALA LALITHA"/>
    <n v="0"/>
    <x v="0"/>
    <m/>
    <m/>
    <s v="N"/>
    <x v="17"/>
    <s v="7032923803"/>
    <s v="X"/>
    <n v="22545.909999999974"/>
    <n v="320000"/>
    <n v="342545.91"/>
    <n v="19057.689999999999"/>
    <n v="323488.21999999997"/>
    <n v="293890.84999999998"/>
    <n v="83890"/>
    <n v="33490"/>
    <x v="1"/>
    <x v="1"/>
    <n v="0"/>
    <n v="33490"/>
    <x v="1"/>
    <s v="NA"/>
    <s v="12124 - UPI Payment Received"/>
    <s v="SAMBA"/>
    <x v="4"/>
    <x v="0"/>
    <s v="&quot;D.NO-1-196,&quot; CHEEDIGA KAKINADA NEAR  GANESH TEMPLE KAKINADA ANP 533006 "/>
    <s v="ITC INFOTECH INDIA LIMITED ITC GREEN CENTER TECHNOLOGY PARK BANGALORE BANGALORE BANGALORE KAR 560005 "/>
    <s v="KAKINADA"/>
    <x v="0"/>
    <x v="16"/>
    <s v="UDAY"/>
    <n v="801436997"/>
    <s v="Ssd@9290"/>
    <m/>
    <m/>
    <x v="0"/>
    <s v="SKIP"/>
    <s v="Customer address skip call not answering sir need to kyc sir // Customer address skip call not answering neighbour enquiry no identity person"/>
    <x v="21"/>
    <d v="2026-04-17T00:00:00"/>
    <n v="100000"/>
    <s v="ICICI Bank HPCL Super Saver Master Credit Card"/>
    <s v="6TH JUNE"/>
    <d v="2026-06-08T00:00:00"/>
  </r>
  <r>
    <s v="4748464744449015"/>
    <s v="MR CHILUKURI SADASHIV"/>
    <n v="0"/>
    <x v="0"/>
    <m/>
    <m/>
    <s v="N"/>
    <x v="17"/>
    <s v="7730904376"/>
    <s v="X"/>
    <n v="56405.030000000028"/>
    <n v="280000"/>
    <n v="336405.03"/>
    <n v="298674.02"/>
    <n v="37731.01"/>
    <n v="28475.63"/>
    <n v="37731.01"/>
    <n v="17751.14"/>
    <x v="0"/>
    <x v="0"/>
    <n v="38000"/>
    <n v="-20248.86"/>
    <x v="23"/>
    <s v="FE"/>
    <s v="12124 - UPI Payment Received"/>
    <s v="SAMBA"/>
    <x v="3"/>
    <x v="0"/>
    <s v="1-116 RAJURA RAJURA  ADILABAD TNG 504310 "/>
    <s v="DISTRICT RURAL DEVELOPMENT AGENCY GILLAPET NIRMAL NIRMAL ADILABAD TNG 504106 "/>
    <s v="ADILABAD"/>
    <x v="1"/>
    <x v="35"/>
    <s v="KANTH"/>
    <n v="802794852"/>
    <s v="Ssd@9290"/>
    <m/>
    <m/>
    <x v="0"/>
    <s v="LIVE"/>
    <s v="Customer visit new address at Khanapur meer customer PTP 16TH"/>
    <x v="19"/>
    <d v="2024-11-08T00:00:00"/>
    <n v="50000"/>
    <s v="Chennai Super Kings ICICI Bank Credit Card"/>
    <s v="10TH JUNE"/>
    <d v="2026-06-08T00:00:00"/>
  </r>
  <r>
    <s v="5241935810746003"/>
    <s v="MR NALLURI SUDHAKAR"/>
    <n v="0"/>
    <x v="0"/>
    <m/>
    <m/>
    <s v="N"/>
    <x v="17"/>
    <s v="8919906560"/>
    <s v="X"/>
    <n v="-34238.010000000009"/>
    <n v="350000"/>
    <n v="315761.99"/>
    <s v=""/>
    <n v="315761.99"/>
    <n v="285425.42"/>
    <n v="47700"/>
    <n v="19070"/>
    <x v="1"/>
    <x v="1"/>
    <n v="0"/>
    <n v="19070"/>
    <x v="1"/>
    <s v="NA"/>
    <n v="0"/>
    <s v="SAMBA"/>
    <x v="1"/>
    <x v="0"/>
    <s v="28 &quot;6 340,HOUSING BOARD COLONY NEAR MASID ANANTAP&quot;  Anantapur ANA ANP 515001 "/>
    <s v="18/999 NEERUGANTI STREET   ANA ANP 515001 "/>
    <s v="ANAPARTHI"/>
    <x v="2"/>
    <x v="26"/>
    <s v="T SRINIVAS"/>
    <n v="802030802"/>
    <s v="Sgr@0987"/>
    <m/>
    <m/>
    <x v="0"/>
    <s v="SKIP"/>
    <s v="Customer house shifted _x000a_Customer calls not responding // Customer work address wrong_x000a_Customer calls not responding"/>
    <x v="22"/>
    <s v=""/>
    <n v="0"/>
    <s v="ICICI Bank HPCL Super Saver Master Credit Card"/>
    <s v="10TH JUNE"/>
    <d v="2026-06-08T00:00:00"/>
  </r>
  <r>
    <s v="6528690150272001"/>
    <s v="MR Sreenivasulu Yeddula"/>
    <n v="0"/>
    <x v="2"/>
    <m/>
    <m/>
    <s v="N"/>
    <x v="17"/>
    <s v="9000614820"/>
    <s v="X"/>
    <n v="11762"/>
    <n v="290000"/>
    <n v="301762"/>
    <s v=""/>
    <n v="301762"/>
    <n v="280000"/>
    <n v="48850"/>
    <n v="9500"/>
    <x v="0"/>
    <x v="2"/>
    <n v="12750"/>
    <n v="-3250"/>
    <x v="26"/>
    <s v="TC"/>
    <s v="12124 - UPI Payment Received"/>
    <s v="SAMBA"/>
    <x v="6"/>
    <x v="4"/>
    <s v="MADANAPALLE CHITTOOR DISTRICT H NO 2-250-A-16/2 RAMIREDDY LAYOUT NG PALLI  Kollabylu-1Chittoor CTT ANP 517325"/>
    <s v="MADANAPALLI MANDAL ANNAMAYYA DISTRICT SY NO 194 B K PALLI VILLAGE SACHIVALAYAM   CTT ANP 517325"/>
    <s v="MADANAPALLE"/>
    <x v="2"/>
    <x v="33"/>
    <s v="GUNASEKAR"/>
    <n v="802241455"/>
    <s v="Sgr@9290"/>
    <m/>
    <m/>
    <x v="0"/>
    <m/>
    <m/>
    <x v="10"/>
    <s v=""/>
    <n v="0"/>
    <s v="ICICI Bank HPCL Super Saver RuPay Credit Card"/>
    <s v="19TH JUNE"/>
    <d v="2026-06-08T00:00:00"/>
  </r>
  <r>
    <s v="4035620925894012"/>
    <s v="MR K GOVARDHAN REDDY"/>
    <n v="0"/>
    <x v="0"/>
    <m/>
    <m/>
    <s v="N"/>
    <x v="17"/>
    <s v="8790132492"/>
    <s v="X"/>
    <n v="20996.969999999972"/>
    <n v="270000"/>
    <n v="290996.96999999997"/>
    <n v="51954.93"/>
    <n v="239042.04"/>
    <n v="216058.16"/>
    <n v="59310"/>
    <n v="25190"/>
    <x v="0"/>
    <x v="0"/>
    <n v="239042.04"/>
    <n v="-213852.04"/>
    <x v="25"/>
    <s v="TC"/>
    <s v="30501-BBPS Payment received"/>
    <s v="SAMBA"/>
    <x v="2"/>
    <x v="0"/>
    <s v="1/78 MOLLACHERUVU CUDDAPAH GOVT SCHOOL NEAR PRODDATUR ANP 516321 "/>
    <s v="VINGEET TECHNOLOGIES PVT LTD BENGALURU   BANGALORE KAR 560071 "/>
    <s v="PRODDATUR"/>
    <x v="2"/>
    <x v="31"/>
    <s v="POORNIMA"/>
    <n v="802824019"/>
    <s v="Nihan@2421"/>
    <m/>
    <m/>
    <x v="0"/>
    <m/>
    <m/>
    <x v="10"/>
    <d v="2026-01-07T00:00:00"/>
    <n v="1066"/>
    <s v="ICICI Bank Coral Credit Card"/>
    <s v="10TH JUNE"/>
    <d v="2026-06-08T00:00:00"/>
  </r>
  <r>
    <s v="4748464735406008"/>
    <s v="MR PUDI VENKATA KRISHNA"/>
    <n v="0"/>
    <x v="0"/>
    <m/>
    <m/>
    <s v="N"/>
    <x v="17"/>
    <s v="8919454689"/>
    <s v="X"/>
    <n v="13656.190000000002"/>
    <n v="270000"/>
    <n v="283656.19"/>
    <n v="162190.24"/>
    <n v="121465.95"/>
    <n v="105245.53"/>
    <n v="44770"/>
    <n v="18670"/>
    <x v="0"/>
    <x v="0"/>
    <n v="113465"/>
    <n v="-94795"/>
    <x v="18"/>
    <s v="TC"/>
    <s v="12124 - UPI Payment Received"/>
    <s v="SAMBA"/>
    <x v="3"/>
    <x v="0"/>
    <s v="12-6-94/6 PEDDAPURAM MANDALAM BHASKAR COLONY EAST GODAVARI PEDDAPURAM ANP 533437 "/>
    <s v="RELIANCE SMSL LIMITED DNO 19-1-176 TRENDS MAIN RD PEDDAPURAM E ASTGODAVARI ANDHRAPRADESH NEAR SURYAREST ASTGODAVARI ANDHRAPRADESH NEAR SURYAREST PEDDAPURAM ANP 533437 "/>
    <s v="PEDDAPURAM"/>
    <x v="0"/>
    <x v="16"/>
    <s v="UDAY"/>
    <n v="801436997"/>
    <s v="Ssd@9290"/>
    <m/>
    <m/>
    <x v="0"/>
    <m/>
    <m/>
    <x v="10"/>
    <d v="2026-04-07T00:00:00"/>
    <n v="87251"/>
    <s v="Chennai Super Kings ICICI Bank Credit Card"/>
    <s v="10TH JUNE"/>
    <d v="2026-06-08T00:00:00"/>
  </r>
  <r>
    <s v="5241935753278006"/>
    <s v="MS VUTTERLA PADMA"/>
    <n v="0"/>
    <x v="0"/>
    <m/>
    <m/>
    <s v="N"/>
    <x v="17"/>
    <s v="9666652983"/>
    <s v="X"/>
    <n v="16678.320000000007"/>
    <n v="250000"/>
    <n v="266678.32"/>
    <n v="11611.58"/>
    <n v="255066.74"/>
    <n v="238374.81"/>
    <n v="54980"/>
    <n v="17320"/>
    <x v="1"/>
    <x v="1"/>
    <n v="0"/>
    <n v="17320"/>
    <x v="1"/>
    <s v="NA"/>
    <n v="0"/>
    <s v="SAMBA"/>
    <x v="3"/>
    <x v="0"/>
    <s v="2-6-149  CHANDRANNAKUNTA CHANDRANNAKUNTA NALGONDANALGONDATELANGANA NEAR MAIN ROAD SURYAPET TNG 508213 "/>
    <s v="GOVT OF TELANGANA GOVERNMENT OF TELANGANA PRIMARY HEALTH CENTRE TEEKUMATLA VILLAGE PRIMARY HEALTH CENTRE TEEKUMATLA VILLAGE SURYAPET TNG 508213 "/>
    <s v="SURYAPET"/>
    <x v="1"/>
    <x v="24"/>
    <s v="INAMUL"/>
    <n v="802823175"/>
    <s v="Sgr@9290"/>
    <m/>
    <m/>
    <x v="1"/>
    <m/>
    <m/>
    <x v="10"/>
    <d v="2025-11-21T00:00:00"/>
    <n v="16000"/>
    <s v="ICICI Bank HPCL Super Saver Master Credit Card"/>
    <s v="10TH JUNE"/>
    <d v="2026-06-08T00:00:00"/>
  </r>
  <r>
    <s v="4748464726636001"/>
    <s v="MR BAYYARAM PRAMOD"/>
    <n v="0"/>
    <x v="0"/>
    <m/>
    <m/>
    <s v="N"/>
    <x v="17"/>
    <s v="7306883511"/>
    <s v="X"/>
    <n v="21643.320000000007"/>
    <n v="240000"/>
    <n v="261643.32"/>
    <s v=""/>
    <n v="261643.32"/>
    <n v="239999.87"/>
    <n v="58070"/>
    <n v="22743.18"/>
    <x v="0"/>
    <x v="0"/>
    <n v="261643.32"/>
    <n v="-238900.14"/>
    <x v="21"/>
    <s v="TC"/>
    <s v="30501-BBPS Payment received"/>
    <s v="SAMBA"/>
    <x v="4"/>
    <x v="0"/>
    <s v="PLOT 38 VALU HOME &quot;THIMMAPUR,&quot; RTO OFFICE KARIMNAGAR TNG 505527 "/>
    <s v="RELIANCE SMSL LIMITED HAJIPURA ROAD KARIMNAGAR KARIMNAGAR ADILABAD TNG 505001 "/>
    <s v="KARIMNAGAR"/>
    <x v="1"/>
    <x v="27"/>
    <s v="SUMANTH"/>
    <n v="802370852"/>
    <s v="Sgr@9290"/>
    <m/>
    <m/>
    <x v="0"/>
    <s v="SKIP"/>
    <s v="Customer given address is fake and the address is land venture place searching another address"/>
    <x v="22"/>
    <d v="2024-04-10T00:00:00"/>
    <n v="10762.44"/>
    <s v="Chennai Super Kings ICICI Bank Credit Card"/>
    <s v="10TH JUNE"/>
    <d v="2026-06-08T00:00:00"/>
  </r>
  <r>
    <s v="4073520149537004"/>
    <s v="MR MD HASSAN"/>
    <n v="0"/>
    <x v="0"/>
    <m/>
    <m/>
    <s v="N"/>
    <x v="17"/>
    <s v="7729869919"/>
    <s v="X"/>
    <n v="-19393.609999999986"/>
    <n v="280000"/>
    <n v="260606.39"/>
    <n v="63521.760000000002"/>
    <n v="197084.63"/>
    <n v="175917.58"/>
    <n v="85040"/>
    <n v="39780"/>
    <x v="1"/>
    <x v="1"/>
    <n v="0"/>
    <n v="39780"/>
    <x v="1"/>
    <s v="NA"/>
    <n v="0"/>
    <s v="SAMBA"/>
    <x v="2"/>
    <x v="1"/>
    <s v="&quot;H NO 6-5-75,NALSAB GADDA,SANGAREDDY&quot;    MEDAK TNG 502001 "/>
    <s v="VARA INFOTECH PVT LTD H NO 6-5-75 Nalsabgadda Sangareddy Sangareddy HYDERABAD TNG 502001 "/>
    <s v="MEDAK"/>
    <x v="1"/>
    <x v="38"/>
    <s v="POORNIMA"/>
    <n v="802824019"/>
    <s v="Nihan@2421"/>
    <m/>
    <m/>
    <x v="1"/>
    <m/>
    <m/>
    <x v="10"/>
    <d v="2026-04-12T00:00:00"/>
    <n v="34840"/>
    <s v="MakeMyTrip ICICI Bank Signature Credit Card"/>
    <s v="10TH JUNE"/>
    <d v="2026-06-08T00:00:00"/>
  </r>
  <r>
    <s v="4748461080352001"/>
    <s v="MR GANAPATIRAJU HARIKRISHNA"/>
    <n v="0"/>
    <x v="0"/>
    <m/>
    <m/>
    <s v="N"/>
    <x v="17"/>
    <s v="6281224635"/>
    <s v="X"/>
    <n v="20402.690000000002"/>
    <n v="240000"/>
    <n v="260402.69"/>
    <s v=""/>
    <n v="260402.69"/>
    <n v="237534.56"/>
    <n v="56950"/>
    <n v="21630"/>
    <x v="0"/>
    <x v="0"/>
    <n v="260402.69"/>
    <n v="-238772.69"/>
    <x v="1"/>
    <s v="D"/>
    <s v="30501-BBPS Payment received"/>
    <s v="SAMBA"/>
    <x v="3"/>
    <x v="0"/>
    <s v="&quot;25-9-283 4TH CROSS ROAD,Z P,COLONY PODAL&quot; &quot;AKUR,,ROAD&quot;  RED CROSS SOCIETY NELLORE ANP 524004 "/>
    <s v="CONSERO SOLUTIONS INDIA PRIVATE LIMITED ABM GRAND NO 94 2ND MAIN RD DIGITAL PARK RD YESHWANTHPURA RD YESHWANTHPURA BANGALORE KAR 560022 "/>
    <s v="NELLORE"/>
    <x v="4"/>
    <x v="12"/>
    <s v="B SURESH"/>
    <n v="801570488"/>
    <s v="Ssd@9290"/>
    <m/>
    <m/>
    <x v="0"/>
    <s v="SKIP"/>
    <s v="cm shifted from here sir and cm call answered given ptp Monday sir"/>
    <x v="20"/>
    <d v="2026-02-05T00:00:00"/>
    <n v="2500"/>
    <s v="MakeMyTrip ICICI Bank Platinum Credit Card"/>
    <s v="10TH JUNE"/>
    <d v="2026-06-08T00:00:00"/>
  </r>
  <r>
    <s v="4748464740323008"/>
    <s v="MR NALLAMALA PUNITH"/>
    <n v="0"/>
    <x v="0"/>
    <m/>
    <m/>
    <s v="N"/>
    <x v="17"/>
    <s v="9490508288"/>
    <s v="W"/>
    <n v="149290.26"/>
    <n v="100000"/>
    <n v="249290.26"/>
    <n v="183757.86"/>
    <n v="65532.4"/>
    <n v="34468.730000000003"/>
    <n v="24570"/>
    <n v="12490"/>
    <x v="1"/>
    <x v="1"/>
    <n v="0"/>
    <n v="12490"/>
    <x v="1"/>
    <s v="NA"/>
    <n v="0"/>
    <s v="SAMBA"/>
    <x v="1"/>
    <x v="0"/>
    <s v="H.NO 1/25 KOSOGI VILLAGE KOSIGI MANDAL KURNOOL OPPOSITE RTC BUSTAND SRI VISHNU MEDICAL KURNOOL ANP 518313 "/>
    <s v="GOVERNMENT OF ANDHRA PRADESH &quot;H NO 305,GAVIGATTU VILLAGE,GAVIGATTU VIL&quot; &quot;LAGE SACHIVALAYAM,PEDDAKADUBOR MANDAL&quot; &quot;LAGE SACHIVALAYAM,PEDDAKADUBOR MANDAL&quot; KURNOOL ANP 518313 "/>
    <s v="KURNOOL"/>
    <x v="2"/>
    <x v="19"/>
    <s v="SAMBA"/>
    <n v="801772794"/>
    <s v="Ssde@9876"/>
    <m/>
    <m/>
    <x v="0"/>
    <s v="SKIP"/>
    <s v="Customer shifted to Kurnool _x000a_Contact by phone he told the he will pay .but not confirmed the date sir"/>
    <x v="19"/>
    <d v="2024-12-04T00:00:00"/>
    <n v="42000"/>
    <s v="Chennai Super Kings ICICI Bank Credit Card"/>
    <s v="10TH JUNE"/>
    <d v="2026-06-08T00:00:00"/>
  </r>
  <r>
    <s v="4073520412716004"/>
    <s v="MR YESUPOGU SURYA PRAKASH"/>
    <n v="0"/>
    <x v="0"/>
    <m/>
    <m/>
    <s v="N"/>
    <x v="17"/>
    <s v="9441911761"/>
    <s v="X"/>
    <n v="-220785.93"/>
    <n v="460000"/>
    <n v="239214.07"/>
    <s v=""/>
    <n v="239214.07"/>
    <n v="217953.46"/>
    <n v="36130"/>
    <n v="14070"/>
    <x v="0"/>
    <x v="0"/>
    <n v="239214.07"/>
    <n v="-225144.07"/>
    <x v="1"/>
    <s v="D"/>
    <s v="30501-BBPS Payment received"/>
    <s v="SAMBA"/>
    <x v="3"/>
    <x v="0"/>
    <s v="4-8-265 SRISAILAM SC COLONY KOTHAPETA KURNOOL ANP 518101 "/>
    <s v="EY GLOBAL DELIVERY SERVICES INDIA LLP PLOT NO 1 2 3 SURVEY NO 8 6TH FLOOR KONDAPUR SERILINGAMPALLY MANDAL RANGARED KONDAPUR SERILINGAMPALLY MANDAL RANGARED HYDERABAD TNG 500084 "/>
    <s v="KURNOOL"/>
    <x v="2"/>
    <x v="47"/>
    <s v="SAMBA"/>
    <n v="801772794"/>
    <s v="Ssde@9876"/>
    <m/>
    <m/>
    <x v="0"/>
    <m/>
    <m/>
    <x v="10"/>
    <d v="2024-11-30T00:00:00"/>
    <n v="21165.21"/>
    <s v="MakeMyTrip ICICI Bank Signature Credit Card"/>
    <s v="10TH JUNE"/>
    <d v="2026-06-08T00:00:00"/>
  </r>
  <r>
    <s v="4748464723817000"/>
    <s v="MR MUMMADI HARISH"/>
    <n v="0"/>
    <x v="0"/>
    <m/>
    <m/>
    <s v="N"/>
    <x v="17"/>
    <s v="9177585337"/>
    <s v="X"/>
    <n v="-24463.429999999993"/>
    <n v="260000"/>
    <n v="235536.57"/>
    <n v="202998.09"/>
    <n v="32538.48"/>
    <n v="18215.599999999999"/>
    <n v="32538.48"/>
    <n v="17374.830000000002"/>
    <x v="0"/>
    <x v="0"/>
    <n v="32550"/>
    <n v="-15175.169999999998"/>
    <x v="15"/>
    <s v="TC"/>
    <s v="12124 - UPI Payment Received"/>
    <s v="SAMBA"/>
    <x v="1"/>
    <x v="0"/>
    <s v="2-135 G KOTTHAPALLI BC PETA WEST GODAVARI ELURU ANP 534451 "/>
    <s v="3F OIL PALM PRIVATE LIMITED FORMERLY 3F SY NO 192 DEVARAPALLI KOVVURU RD YEENAGUDEM WEST GODAVARI YEENAGUDEM WEST GODAVARI West Godavari ANP 534313 "/>
    <s v="ELURU"/>
    <x v="0"/>
    <x v="32"/>
    <s v="BHARAT CHANDRA"/>
    <n v="802631601"/>
    <s v="Ssde@9290"/>
    <m/>
    <m/>
    <x v="0"/>
    <m/>
    <m/>
    <x v="10"/>
    <d v="2026-04-18T00:00:00"/>
    <n v="16200"/>
    <s v="Chennai Super Kings ICICI Bank Credit Card"/>
    <s v="10TH JUNE"/>
    <d v="2026-06-08T00:00:00"/>
  </r>
  <r>
    <s v="4748464727806009"/>
    <s v="MR PULLA VIPIN KUMAR"/>
    <n v="0"/>
    <x v="0"/>
    <m/>
    <m/>
    <s v="N"/>
    <x v="17"/>
    <s v="7799111113"/>
    <s v="X"/>
    <n v="14815.720000000001"/>
    <n v="220000"/>
    <n v="234815.72"/>
    <s v=""/>
    <n v="234815.72"/>
    <n v="219000"/>
    <n v="51250"/>
    <n v="10950"/>
    <x v="0"/>
    <x v="0"/>
    <n v="234815.72"/>
    <n v="-223865.72"/>
    <x v="25"/>
    <s v="TC"/>
    <s v="30501-BBPS Payment received"/>
    <s v="SAMBA"/>
    <x v="4"/>
    <x v="0"/>
    <s v="&quot;5-11-1184,LAXMI MS RESIDENCY, HANUMAN NA&quot; HANAMKONDA  BESIDE SS CONCEPT SCHOOL WARANGAL TNG 506001 "/>
    <s v="WALMART INDIA PRIVATE LIMITED EKASHILA NAGAR WARANGAL WARANGAL WARANGAL TNG 506001 "/>
    <s v="WARANGAL"/>
    <x v="1"/>
    <x v="30"/>
    <s v="AKHIL"/>
    <n v="801772792"/>
    <s v="Sgr@9290"/>
    <m/>
    <m/>
    <x v="0"/>
    <s v="LIVE"/>
    <s v="Met the cust and given ptp on today by EOD // Left msg to cust's mother and cust no respond to calls will update"/>
    <x v="24"/>
    <d v="2024-03-12T00:00:00"/>
    <n v="100000"/>
    <s v="Chennai Super Kings ICICI Bank Credit Card"/>
    <s v="10TH JUNE"/>
    <d v="2026-06-08T00:00:00"/>
  </r>
  <r>
    <s v="6528690014919003"/>
    <s v="MR THIGULLA PRABHAKAR"/>
    <n v="0"/>
    <x v="2"/>
    <m/>
    <m/>
    <s v="N"/>
    <x v="17"/>
    <s v="8985154527"/>
    <s v="X"/>
    <n v="14142.910000000003"/>
    <n v="220000"/>
    <n v="234142.91"/>
    <n v="31150.11"/>
    <n v="202992.8"/>
    <n v="188800.4"/>
    <n v="40120"/>
    <n v="13860"/>
    <x v="1"/>
    <x v="1"/>
    <n v="0"/>
    <n v="13860"/>
    <x v="1"/>
    <s v="NA"/>
    <n v="0"/>
    <s v="SAMBA"/>
    <x v="6"/>
    <x v="4"/>
    <s v="10-68/4 PRAGNAPUR JAGADEVPUR ROAD  MEDAK TNG 502311"/>
    <s v="GOVERNMENT OF TELANGANA &quot;SY NO 185/D,PREGNAPUR GAJWEL&quot; &quot;PREGNAPUR,MEDAK&quot; &quot;PREGNAPUR,MEDAK&quot; MEDAK TNG 502311"/>
    <s v="MEDAK"/>
    <x v="1"/>
    <x v="21"/>
    <s v="RAJKUMAR"/>
    <n v="802835406"/>
    <s v="Ssde@9290"/>
    <m/>
    <m/>
    <x v="1"/>
    <m/>
    <m/>
    <x v="10"/>
    <d v="2024-09-04T00:00:00"/>
    <n v="42361.81"/>
    <s v="ICICI Bank HPCL Super Saver RuPay Credit Card"/>
    <s v="19TH JUNE"/>
    <d v="2026-06-08T00:00:00"/>
  </r>
  <r>
    <s v="4748464719904002"/>
    <s v="MR BODDU SHIVASOMANATH"/>
    <n v="0"/>
    <x v="0"/>
    <m/>
    <m/>
    <s v="N"/>
    <x v="17"/>
    <s v="8099948668"/>
    <s v="X"/>
    <n v="10431.600000000006"/>
    <n v="220000"/>
    <n v="230431.6"/>
    <n v="171243.99"/>
    <n v="59187.61"/>
    <n v="48728.46"/>
    <n v="28290"/>
    <n v="12190"/>
    <x v="0"/>
    <x v="0"/>
    <n v="31110"/>
    <n v="-18920"/>
    <x v="27"/>
    <s v="FE"/>
    <s v="30501-BBPS Payment received"/>
    <s v="SAMBA"/>
    <x v="1"/>
    <x v="0"/>
    <s v="7-75 RAMANNAPETA HARIJANA WADA NALGONDA NALGONDA TNG 508113 "/>
    <s v="RELIANCE JIO INFOCOMM LIMITED SHOP NO 301 TO 310 406TO 410 2AND3 FLOOR NC S SAI SWARNA PALACE PETROL PUMP ROAD NC S SAI SWARNA PALACE PETROL PUMP ROAD NALGONDA TNG 508001 "/>
    <s v="NALGONDA"/>
    <x v="1"/>
    <x v="18"/>
    <s v="INAMUL"/>
    <n v="802823175"/>
    <s v="Sgr@9290"/>
    <m/>
    <m/>
    <x v="0"/>
    <m/>
    <m/>
    <x v="10"/>
    <d v="2025-08-21T00:00:00"/>
    <n v="21500"/>
    <s v="ICICI Bank Coral RuPay Credit Card"/>
    <s v="10TH JUNE"/>
    <d v="2026-06-08T00:00:00"/>
  </r>
  <r>
    <s v="6528690035107000"/>
    <s v="MR GOTTAM MASTHAN"/>
    <n v="0"/>
    <x v="0"/>
    <m/>
    <m/>
    <s v="N"/>
    <x v="17"/>
    <s v="8523823440"/>
    <s v="X"/>
    <n v="24262.179999999993"/>
    <n v="200000"/>
    <n v="224262.18"/>
    <s v=""/>
    <n v="224262.18"/>
    <n v="199000.97"/>
    <n v="67080"/>
    <n v="37260"/>
    <x v="1"/>
    <x v="1"/>
    <n v="0"/>
    <n v="37260"/>
    <x v="1"/>
    <s v="NA"/>
    <n v="0"/>
    <s v="SAMBA"/>
    <x v="3"/>
    <x v="0"/>
    <s v="&quot;CHAKRADHAR COLONY,6/384,TALLAPAKA,TALLAP&quot; AKA  NEAR MAIN ROAD CUDDAPAH ANP 516126 "/>
    <s v="MASTAN TEXTILES 6/384 TALLAPAKA TALLAPAKA CUDDAPAH ANP 516126 "/>
    <s v="CUDDAPAH"/>
    <x v="2"/>
    <x v="5"/>
    <s v="PAVAN"/>
    <n v="802823180"/>
    <s v="Sgr@9290"/>
    <m/>
    <m/>
    <x v="1"/>
    <m/>
    <m/>
    <x v="10"/>
    <d v="2026-04-06T00:00:00"/>
    <n v="79000"/>
    <s v="ICICI Bank HPCL Super Saver RuPay Credit Card"/>
    <s v="10TH JUNE"/>
    <d v="2026-06-08T00:00:00"/>
  </r>
  <r>
    <s v="4748464742928002"/>
    <s v="MR CHALLA RAJESH BABU"/>
    <n v="0"/>
    <x v="2"/>
    <m/>
    <m/>
    <s v="N"/>
    <x v="17"/>
    <s v="9640374871"/>
    <s v="X"/>
    <n v="17099.869999999995"/>
    <n v="200000"/>
    <n v="217099.87"/>
    <n v="9427.5400000000009"/>
    <n v="207672.33"/>
    <n v="183845.77"/>
    <n v="151340"/>
    <n v="121150"/>
    <x v="1"/>
    <x v="1"/>
    <n v="0"/>
    <n v="121150"/>
    <x v="1"/>
    <s v="NA"/>
    <s v="30501-BBPS Payment received"/>
    <s v="SAMBA"/>
    <x v="6"/>
    <x v="4"/>
    <s v="07-154/45 YELESWARAM MANDALAM LACHHARAO COLANY  KAKINADA ANP 533429"/>
    <s v="GOVERNMENT OF ANDHRA PRADESH &quot;PEDDAVEEDHI -02 GRAMA WARD SACHIVALAYAM,&quot; &quot;YELESWARAM MANDAL,KAKINADA,EAST GODAVARI&quot; &quot;YELESWARAM MANDAL,KAKINADA,EAST GODAVARI&quot; KAKINADA ANP 533429"/>
    <s v="KAKINADA"/>
    <x v="0"/>
    <x v="16"/>
    <s v="POORNIMA"/>
    <n v="802824019"/>
    <s v="Nihan@2421"/>
    <m/>
    <m/>
    <x v="0"/>
    <s v="LIVE"/>
    <s v="Customer address visit ch not available call response ptp on today evening sir"/>
    <x v="26"/>
    <d v="2024-12-15T00:00:00"/>
    <n v="28200"/>
    <s v="Chennai Super Kings ICICI Bank Credit Card"/>
    <s v="19TH JUNE"/>
    <d v="2026-06-08T00:00:00"/>
  </r>
  <r>
    <s v="5241935783552008"/>
    <s v="MR RAMAKRISHNA KUPPAGIRI"/>
    <n v="0"/>
    <x v="0"/>
    <m/>
    <m/>
    <s v="N"/>
    <x v="17"/>
    <s v="9149667469"/>
    <s v="X"/>
    <n v="15962.640000000014"/>
    <n v="200000"/>
    <n v="215962.64"/>
    <n v="11804.28"/>
    <n v="204158.36"/>
    <n v="185521.85"/>
    <n v="44820"/>
    <n v="16390"/>
    <x v="1"/>
    <x v="1"/>
    <n v="0"/>
    <n v="16390"/>
    <x v="1"/>
    <s v="NA"/>
    <n v="0"/>
    <s v="SAMBA"/>
    <x v="1"/>
    <x v="1"/>
    <s v="H NO-2 131 AMBTAANIPALLY HANWADA MANDAL  NEAR BUS STOP MAHBOOBNAGAR TNG 509334 "/>
    <s v="DIFFENCE UDHAMPUR 5071 ASC 5071 ASC UDHAMPUR JAK 182101 "/>
    <s v="MAHBOOBNAGAR"/>
    <x v="1"/>
    <x v="15"/>
    <s v="SAMBA"/>
    <n v="801772794"/>
    <s v="Ssde@9876"/>
    <m/>
    <m/>
    <x v="1"/>
    <m/>
    <m/>
    <x v="10"/>
    <d v="2024-07-09T00:00:00"/>
    <n v="21759"/>
    <s v="ICICI Bank HPCL Super Saver Master Credit Card"/>
    <s v="10TH JUNE"/>
    <d v="2026-06-08T00:00:00"/>
  </r>
  <r>
    <s v="5241935788707003"/>
    <s v="MR PERUMULLA CHANDRUDU"/>
    <n v="0"/>
    <x v="0"/>
    <m/>
    <m/>
    <s v="N"/>
    <x v="17"/>
    <s v="8247804180"/>
    <s v="X"/>
    <n v="12984.130000000005"/>
    <n v="200000"/>
    <n v="212984.13"/>
    <s v=""/>
    <n v="212984.13"/>
    <n v="199000"/>
    <n v="45730"/>
    <n v="9950"/>
    <x v="0"/>
    <x v="2"/>
    <n v="13200"/>
    <n v="-3250"/>
    <x v="15"/>
    <s v="FE"/>
    <s v="30501-BBPS Payment received"/>
    <s v="SAMBA"/>
    <x v="4"/>
    <x v="0"/>
    <s v="&quot;30-10-15 SURYANARAYANA,PURAM,,ATHAM VARI&quot; &quot;STREET,KAKINADA  URBAN&quot;  NEAR ATHAM VARI STREET KAKINADA ANP 533001 "/>
    <s v="LALITHA JEWELLERY &quot;33-1-32,&quot; NILLAPNNA GOLED MARKET ROAD NILLAPNNA GOLED MARKET ROAD KAKINADA ANP 533001 "/>
    <s v="KAKINADA"/>
    <x v="0"/>
    <x v="16"/>
    <s v="UDAY"/>
    <n v="801436997"/>
    <s v="Ssd@9290"/>
    <m/>
    <m/>
    <x v="0"/>
    <s v="DL"/>
    <s v="Customer address door lock"/>
    <x v="19"/>
    <d v="2026-04-10T00:00:00"/>
    <n v="1000"/>
    <s v="ICICI Bank HPCL Super Saver Master Credit Card"/>
    <s v="10TH JUNE"/>
    <d v="2026-06-08T00:00:00"/>
  </r>
  <r>
    <s v="4748464737101003"/>
    <s v="MR BATTULA CHAITANYA"/>
    <n v="0"/>
    <x v="0"/>
    <m/>
    <m/>
    <s v="N"/>
    <x v="17"/>
    <s v="9177002346"/>
    <s v="X"/>
    <n v="11874.920000000013"/>
    <n v="200000"/>
    <n v="211874.92"/>
    <n v="53756.81"/>
    <n v="158118.10999999999"/>
    <n v="144398.69"/>
    <n v="42570"/>
    <n v="15420"/>
    <x v="1"/>
    <x v="1"/>
    <n v="0"/>
    <n v="15420"/>
    <x v="1"/>
    <s v="NA"/>
    <n v="0"/>
    <s v="SAMBA"/>
    <x v="2"/>
    <x v="0"/>
    <s v="3-163 PAMARRU MANDALAM ......................... EAST GODAVARI KAKINADA ANP 533262 "/>
    <s v="GOVERNMENT OF ANDHRA PRADESH &quot;S NO 146,KUDUPURU VILLAGE,KUDUPURU VILLA&quot; &quot;GE SACHIVALAYAM,PAMARRU MANDAL&quot; &quot;GE SACHIVALAYAM,PAMARRU MANDAL&quot; KAKINADA ANP 533263 "/>
    <s v="KAKINADA"/>
    <x v="0"/>
    <x v="25"/>
    <s v="B NAGABABU"/>
    <n v="801448854"/>
    <s v="Sgr@9290"/>
    <m/>
    <m/>
    <x v="1"/>
    <m/>
    <m/>
    <x v="10"/>
    <d v="2026-02-08T00:00:00"/>
    <n v="25000"/>
    <s v="Chennai Super Kings ICICI Bank Credit Card"/>
    <s v="10TH JUNE"/>
    <d v="2026-06-08T00:00:00"/>
  </r>
  <r>
    <s v="4748464740550006"/>
    <s v="MR PULLURU RAMA KRISHNAIAH"/>
    <n v="0"/>
    <x v="0"/>
    <m/>
    <m/>
    <s v="N"/>
    <x v="17"/>
    <s v="9573307050"/>
    <s v="X"/>
    <n v="11545.25"/>
    <n v="200000"/>
    <n v="211545.25"/>
    <n v="76107.53"/>
    <n v="135437.72"/>
    <n v="122545.49"/>
    <n v="46100"/>
    <n v="18400"/>
    <x v="0"/>
    <x v="0"/>
    <n v="135437.72"/>
    <n v="-117037.72"/>
    <x v="26"/>
    <s v="TC"/>
    <s v="30501-BBPS Payment received"/>
    <s v="SAMBA"/>
    <x v="1"/>
    <x v="0"/>
    <s v="&quot;DOOR NO 3-114-A,BC&quot; &quot;KHAJIPETA,KHAJIPETA&quot; CUDDAPAH NEAR BY MANNAN CHURCH CUDDAPAH ANP 516203 "/>
    <s v="GOVERNMENT OF ANDHRA PRADESH &quot;COOPERATIVE COLONY 02,RAJAREDDY STREET&quot; &quot;SECRETARIATE,KADAPA&quot; &quot;SECRETARIATE,KADAPA&quot; CUDDAPAH ANP 516001 "/>
    <s v="CUDDAPAH"/>
    <x v="2"/>
    <x v="5"/>
    <s v="PAVAN"/>
    <n v="802823180"/>
    <s v="Sgr@9290"/>
    <m/>
    <m/>
    <x v="0"/>
    <m/>
    <m/>
    <x v="10"/>
    <d v="2024-07-11T00:00:00"/>
    <n v="15250"/>
    <s v="Chennai Super Kings ICICI Bank Credit Card"/>
    <s v="10TH JUNE"/>
    <d v="2026-06-08T00:00:00"/>
  </r>
  <r>
    <s v="4748464716127003"/>
    <s v="MR BOYAPALLI ASHOK KUMAR"/>
    <n v="0"/>
    <x v="2"/>
    <m/>
    <m/>
    <s v="N"/>
    <x v="17"/>
    <s v="9010900844"/>
    <s v="X"/>
    <n v="425"/>
    <n v="210000"/>
    <n v="210425"/>
    <n v="10742.4"/>
    <n v="199682.6"/>
    <n v="117625.69"/>
    <n v="119910"/>
    <n v="104110"/>
    <x v="0"/>
    <x v="0"/>
    <n v="119920"/>
    <n v="-15810"/>
    <x v="27"/>
    <s v="O"/>
    <s v="30501-BBPS Payment received"/>
    <s v="SAMBA"/>
    <x v="6"/>
    <x v="4"/>
    <s v="PATHALINGALA PATHALINGALA  LINGALA CENTRE KHAMMAM TNG 507122"/>
    <s v="EQUITAS SMALL FINANCE BANK LIMITED H NO 6-3-295 RAGHU COMPLEX BY PASS ROAD KHAMMAM KHAMMAM KHAMMAM TNG 507002"/>
    <s v="KHAMMAM"/>
    <x v="1"/>
    <x v="24"/>
    <s v="POORNIMA"/>
    <n v="802824019"/>
    <s v="Nihan@2421"/>
    <m/>
    <m/>
    <x v="0"/>
    <m/>
    <m/>
    <x v="10"/>
    <d v="2024-07-12T00:00:00"/>
    <n v="11750"/>
    <s v="ICICI Bank HPCL Super Saver RuPay Credit Card"/>
    <s v="19TH JUNE"/>
    <d v="2026-06-08T00:00:00"/>
  </r>
  <r>
    <s v="4748464734492009"/>
    <s v="MR SADHANALA SURESH"/>
    <n v="0"/>
    <x v="0"/>
    <m/>
    <m/>
    <s v="N"/>
    <x v="17"/>
    <s v="9603363442"/>
    <s v="X"/>
    <n v="18267.890000000014"/>
    <n v="190000"/>
    <n v="208267.89"/>
    <s v=""/>
    <n v="208267.89"/>
    <n v="188328.51"/>
    <n v="48910"/>
    <n v="20370"/>
    <x v="0"/>
    <x v="0"/>
    <n v="208267.89"/>
    <n v="-187897.89"/>
    <x v="26"/>
    <s v="TC"/>
    <s v="30501-BBPS Payment received"/>
    <s v="SAMBA"/>
    <x v="1"/>
    <x v="0"/>
    <s v="5-166/1 S C COLONY  WEST GODAVARI West Godavari ANP 534341 "/>
    <s v="TAGOOR LABORATORIES SURVEY NO 29 TALLAPUDI TALLAPUDI West Godavari ANP 534341 "/>
    <s v="WEST GODAVARI"/>
    <x v="0"/>
    <x v="13"/>
    <s v="MANIKANTA"/>
    <n v="802852449"/>
    <s v="Ssd@9290"/>
    <m/>
    <m/>
    <x v="0"/>
    <s v="SKIP"/>
    <s v="Custmor shifted   colany"/>
    <x v="23"/>
    <d v="2024-07-07T00:00:00"/>
    <n v="26109.57"/>
    <s v="ICICI Bank Coral RuPay Credit Card"/>
    <s v="10TH JUNE"/>
    <d v="2026-06-08T00:00:00"/>
  </r>
  <r>
    <s v="4748464744683001"/>
    <s v="MR CHETTUPOGU SRIKANTH"/>
    <n v="0"/>
    <x v="0"/>
    <m/>
    <m/>
    <s v="N"/>
    <x v="17"/>
    <s v="9110738391"/>
    <s v="X"/>
    <n v="-223278.28"/>
    <n v="420000"/>
    <n v="196721.72"/>
    <n v="153952.04999999999"/>
    <n v="42769.67"/>
    <n v="38222.639999999999"/>
    <n v="42769.67"/>
    <n v="29121.22"/>
    <x v="1"/>
    <x v="1"/>
    <n v="0"/>
    <n v="29121.22"/>
    <x v="1"/>
    <s v="NA"/>
    <n v="0"/>
    <s v="DURGA"/>
    <x v="0"/>
    <x v="0"/>
    <s v="H.NO 00 MACHERLA MUNICIPALITY MAIN ROAD MACHERLA MANDAL MACHERLA PALANADU NEAR HEAD WATER PAMPU HOUSE NARASAPURAM ANP 522426 "/>
    <s v="GOVERNMENT OF ANDHRA PRADESH SY.NO 162 MACHERLA MUNICIPALITY MACHERLA MACHERLA NARASAPURAM ANP 522426 "/>
    <s v="NARASARAOPET"/>
    <x v="3"/>
    <x v="34"/>
    <s v="DURGA"/>
    <n v="801723195"/>
    <s v="Sgr@9290"/>
    <m/>
    <m/>
    <x v="0"/>
    <s v="MESS"/>
    <s v="Customer is in meeting said come evening will talk to you // Customer not available at given address not responding calls // -Customer not available at given address by phone call said 20th will pay // ustomer not available at given address by phone call said will pay Tommorow evening // Customer not available at given address phone not answering"/>
    <x v="26"/>
    <d v="2024-06-07T00:00:00"/>
    <n v="10384.1"/>
    <s v="Chennai Super Kings ICICI Bank Credit Card"/>
    <s v="10TH JUNE"/>
    <d v="2026-06-08T00:00:00"/>
  </r>
  <r>
    <s v="4748464754817002"/>
    <s v="MS TANVEER SULTANA"/>
    <n v="0"/>
    <x v="0"/>
    <m/>
    <m/>
    <s v="N"/>
    <x v="17"/>
    <s v="7989775218"/>
    <s v="X"/>
    <n v="16512.309999999998"/>
    <n v="180000"/>
    <n v="196512.31"/>
    <s v=""/>
    <n v="196512.31"/>
    <n v="178867.35"/>
    <n v="91940"/>
    <n v="59910"/>
    <x v="0"/>
    <x v="0"/>
    <n v="196512.31"/>
    <n v="-136602.31"/>
    <x v="25"/>
    <s v="TC"/>
    <s v="30501-BBPS Payment received"/>
    <s v="SAMBA"/>
    <x v="4"/>
    <x v="1"/>
    <s v="H NO 1-1-988 BODHAN MUNCIPAL RAKASIPET  NIZAMABAD TNG 503185 "/>
    <s v="GOVT OF TELANGANA ZPHS URUDU MEDIUM  RAKASIPET VILLAGE BODHAN MANDAL MR NAGAR BODHAN NIZAMABAD BODHAN MANDAL MR NAGAR BODHAN NIZAMABAD NIZAMABAD TNG 503185 "/>
    <s v="NIZAMABAD"/>
    <x v="1"/>
    <x v="20"/>
    <s v="D RAMU"/>
    <n v="802663344"/>
    <s v="Sgr@9290"/>
    <m/>
    <m/>
    <x v="0"/>
    <s v="LIVE"/>
    <s v="customer paymet today evening"/>
    <x v="27"/>
    <d v="2025-03-03T00:00:00"/>
    <n v="17410"/>
    <s v="Chennai Super Kings ICICI Bank Credit Card"/>
    <s v="10TH JUNE"/>
    <d v="2026-06-08T00:00:00"/>
  </r>
  <r>
    <s v="5241935730939001"/>
    <s v="MR GOUNIPALLI GURUNADHA"/>
    <n v="0"/>
    <x v="0"/>
    <m/>
    <m/>
    <s v="N"/>
    <x v="17"/>
    <s v="8142417200"/>
    <s v="X"/>
    <n v="13820.470000000001"/>
    <n v="180000"/>
    <n v="193820.47"/>
    <s v=""/>
    <n v="193820.47"/>
    <n v="176389.38"/>
    <n v="41410"/>
    <n v="14450.51"/>
    <x v="1"/>
    <x v="1"/>
    <n v="0"/>
    <n v="14450.51"/>
    <x v="1"/>
    <s v="NA"/>
    <s v="30501-BBPS Payment received"/>
    <s v="SAMBA"/>
    <x v="2"/>
    <x v="0"/>
    <s v="12/13B MEDAPALLI KOTHAPALLI MALLUR CUDDAPAH CHINNAMANDEM DINNE MAIN ROAD CUDDAPAH ANP 516214 "/>
    <s v="ETEAM INFOSERVICES PRIVATE LIMITED HOSUR RD BENGALURU BENGALURU BANGALORE KAR 560100 "/>
    <s v="CUDDAPAH"/>
    <x v="2"/>
    <x v="5"/>
    <s v="PAVAN"/>
    <n v="802823180"/>
    <s v="Sgr@9290"/>
    <m/>
    <m/>
    <x v="1"/>
    <m/>
    <m/>
    <x v="10"/>
    <d v="2024-09-04T00:00:00"/>
    <n v="1116.82"/>
    <s v="ICICI Bank HPCL Super Saver Master Credit Card"/>
    <s v="10TH JUNE"/>
    <d v="2026-06-08T00:00:00"/>
  </r>
  <r>
    <s v="4748464733732009"/>
    <s v="MR JAKKAM SURESH"/>
    <n v="0"/>
    <x v="0"/>
    <m/>
    <m/>
    <s v="O"/>
    <x v="17"/>
    <s v="9676481899"/>
    <s v="X"/>
    <n v="-330.38000000000466"/>
    <n v="190000"/>
    <n v="189669.62"/>
    <s v=""/>
    <n v="189669.62"/>
    <n v="179137.92000000001"/>
    <n v="39730"/>
    <n v="28930"/>
    <x v="0"/>
    <x v="0"/>
    <n v="189669.62"/>
    <n v="-160739.62"/>
    <x v="1"/>
    <s v="D"/>
    <s v="30501-BBPS Payment received"/>
    <s v="SAMBA"/>
    <x v="2"/>
    <x v="0"/>
    <s v="&quot;1-45/10 , GADDERAGADI&quot; OPPOSIT AMMA GARDEN KHAMAN ROAD  NEAR GADDERAGADI BUS STOP ADILABAD TNG 504301 "/>
    <s v="TATA CONSULTANCY SERVICES LIMITED &quot;PLOT NO-1, HITECH CITY MAIN ROAD,&quot; &quot;HUDA TECHNO ENCLAVE, MADHAPUR, HYD&quot; &quot;HUDA TECHNO ENCLAVE, MADHAPUR, HYD&quot; HYDERABAD TNG 500081 "/>
    <s v="ADILABAD"/>
    <x v="1"/>
    <x v="11"/>
    <s v="T RAMESH "/>
    <n v="801217009"/>
    <s v="Ssd@9290"/>
    <m/>
    <m/>
    <x v="0"/>
    <s v="MESS"/>
    <s v="Customer given address visit customer not available informed to mother, trying by call // Customer given address visit customer not available informed to mother, trying by call // Customer given address visit customer available, trying to payment"/>
    <x v="26"/>
    <d v="2025-12-16T00:00:00"/>
    <n v="21000"/>
    <s v="Chennai Super Kings ICICI Bank Credit Card"/>
    <s v="10TH JUNE"/>
    <d v="2026-06-08T00:00:00"/>
  </r>
  <r>
    <s v="6528690147408007"/>
    <s v="MR Etukala Venkatesh"/>
    <n v="0"/>
    <x v="0"/>
    <m/>
    <m/>
    <s v="N"/>
    <x v="17"/>
    <s v="7095367308"/>
    <s v="X"/>
    <n v="14808.23000000001"/>
    <n v="160000"/>
    <n v="174808.23"/>
    <n v="13279.68"/>
    <n v="161528.54999999999"/>
    <n v="144784"/>
    <n v="29740"/>
    <n v="11540"/>
    <x v="0"/>
    <x v="0"/>
    <n v="59740"/>
    <n v="-48200"/>
    <x v="1"/>
    <s v="D"/>
    <s v="30501-BBPS Payment received"/>
    <s v="SAMBA"/>
    <x v="3"/>
    <x v="0"/>
    <s v="1-138-A CHATLAMITTA PRAKASAM CHATLA MITTA  Prakasam ONG ANP 523320 "/>
    <s v="YERRAGONDAPALEM MANDAL PRAKASAM S NO 159 BOYILAPALLI VILLAGE SACHIVALAYAM   ONG ANP 523327 "/>
    <s v="NANDYAL"/>
    <x v="3"/>
    <x v="39"/>
    <s v="IMAMVALLI"/>
    <n v="802789320"/>
    <s v="Ssd@9290"/>
    <m/>
    <m/>
    <x v="0"/>
    <m/>
    <m/>
    <x v="10"/>
    <s v=""/>
    <n v="0"/>
    <s v="ICICI Bank HPCL Super Saver RuPay Credit Card"/>
    <s v="10TH JUNE"/>
    <d v="2026-06-08T00:00:00"/>
  </r>
  <r>
    <s v="6528690170136004"/>
    <s v="MR Mokka Kumar"/>
    <n v="0"/>
    <x v="0"/>
    <m/>
    <m/>
    <s v="N"/>
    <x v="17"/>
    <s v="9848715133"/>
    <s v="X"/>
    <n v="10136.940000000002"/>
    <n v="160000"/>
    <n v="170136.94"/>
    <s v=""/>
    <n v="170136.94"/>
    <n v="158422.76"/>
    <n v="36800"/>
    <n v="7930"/>
    <x v="1"/>
    <x v="1"/>
    <n v="0"/>
    <n v="7930"/>
    <x v="1"/>
    <s v="NA"/>
    <n v="0"/>
    <s v="SAMBA"/>
    <x v="2"/>
    <x v="0"/>
    <s v="House number - 5 3 90 &quot;LATCHIRAJU VEEDHI , SURYARAOPETA, EAST GODAVA&quot;  SURYARAOPETAEast Godavari KKN ANP 533001 "/>
    <s v="&quot;Door - 25 -6-37, ground floor&quot; &quot;Ganjamvari streat, kakinda, east godavari,&quot;   KKN ANP 533001 "/>
    <s v="KAKINADA"/>
    <x v="0"/>
    <x v="16"/>
    <s v="UDAY"/>
    <n v="801436997"/>
    <s v="Ssd@9290"/>
    <m/>
    <m/>
    <x v="0"/>
    <s v="MESS"/>
    <s v="Customer address visit ch not available msg left to family call not answering // Customer address visit ch not available msg left to family call not answering // Customer address visit ch not available msg left to family call not answering"/>
    <x v="25"/>
    <s v=""/>
    <n v="0"/>
    <s v="ICICI Bank HPCL Super Saver RuPay Credit Card"/>
    <s v="10TH JUNE"/>
    <d v="2026-06-08T00:00:00"/>
  </r>
  <r>
    <s v="4748461058545016"/>
    <s v="MR KOLLURU VENKATESH"/>
    <n v="0"/>
    <x v="0"/>
    <m/>
    <m/>
    <s v="N"/>
    <x v="17"/>
    <s v="9490984867"/>
    <s v="X"/>
    <n v="7188.9700000000012"/>
    <n v="160000"/>
    <n v="167188.97"/>
    <s v=""/>
    <n v="167188.97"/>
    <n v="155846.73000000001"/>
    <n v="32980"/>
    <n v="7378"/>
    <x v="1"/>
    <x v="1"/>
    <n v="0"/>
    <n v="7378"/>
    <x v="1"/>
    <s v="NA"/>
    <n v="0"/>
    <s v="DURGA"/>
    <x v="0"/>
    <x v="0"/>
    <s v="16-12-55 OLD GUNTUR ANJANEYASWAMY TEMPLE STREET GUNTUR GUNTUR ANP 522001 "/>
    <s v="COGNIZANT TECHNOLOGY SERVICES PRIVATE LI PLOT NO 129 130 DLF BLOCK CYBER CITY GACHIBOWLI GACHIBOWLI HYDERABAD TNG 500019 "/>
    <s v="GUNTUR"/>
    <x v="3"/>
    <x v="17"/>
    <s v="DURGA"/>
    <n v="801723195"/>
    <s v="Sgr@9290"/>
    <m/>
    <m/>
    <x v="0"/>
    <s v="DL"/>
    <s v="Customer given House address visited but customer door number not matched in this ares will revist again"/>
    <x v="22"/>
    <d v="2026-04-07T00:00:00"/>
    <n v="70"/>
    <s v="MakeMyTrip ICICI Bank Platinum Credit Card"/>
    <s v="10TH JUNE"/>
    <d v="2026-06-08T00:00:00"/>
  </r>
  <r>
    <s v="4748464732390007"/>
    <s v="MR THUNIKI PRASAD"/>
    <n v="0"/>
    <x v="0"/>
    <m/>
    <m/>
    <s v="N"/>
    <x v="17"/>
    <s v="9398272098"/>
    <s v="X"/>
    <n v="16628.28"/>
    <n v="150000"/>
    <n v="166628.28"/>
    <s v=""/>
    <n v="166628.28"/>
    <n v="149255.66"/>
    <n v="42780"/>
    <n v="19710"/>
    <x v="0"/>
    <x v="2"/>
    <n v="19800"/>
    <n v="-90"/>
    <x v="24"/>
    <s v="TC"/>
    <s v="30501-BBPS Payment received"/>
    <s v="SAMBA"/>
    <x v="4"/>
    <x v="0"/>
    <s v="H NO 2-27/3 GHANPUR MANDAL BANGLAPALLY WARANGAL WARANGAL TNG 506345 "/>
    <s v="TELANGANA STATE POWER GENERATION CORPORA 0/0 SE/0 M-11/KTPP CHELPUR GHANPUR CHELPUR GHANPUR WARANGAL TNG 506168 "/>
    <s v="WARANGAL"/>
    <x v="1"/>
    <x v="30"/>
    <s v="AKHIL"/>
    <n v="801772792"/>
    <s v="Sgr@9290"/>
    <m/>
    <m/>
    <x v="0"/>
    <m/>
    <m/>
    <x v="10"/>
    <d v="2024-11-11T00:00:00"/>
    <n v="11770"/>
    <s v="Chennai Super Kings ICICI Bank Credit Card"/>
    <s v="10TH JUNE"/>
    <d v="2026-06-08T00:00:00"/>
  </r>
  <r>
    <s v="5241935707036005"/>
    <s v="MR KUNCHA VENUGOPAL"/>
    <n v="0"/>
    <x v="0"/>
    <m/>
    <m/>
    <s v="N"/>
    <x v="17"/>
    <s v="9494503310"/>
    <s v="X"/>
    <n v="2161.9500000000116"/>
    <n v="160000"/>
    <n v="162161.95000000001"/>
    <s v=""/>
    <n v="162161.95000000001"/>
    <n v="147112.4"/>
    <n v="26230"/>
    <n v="8690"/>
    <x v="0"/>
    <x v="2"/>
    <n v="8700"/>
    <n v="-10"/>
    <x v="26"/>
    <s v="TC"/>
    <s v="30501-BBPS Payment received"/>
    <s v="SAMBA"/>
    <x v="1"/>
    <x v="0"/>
    <s v="&quot;26-03-2434/2B V NAGAR, NEAR SADHANA&quot; &quot;SCHOOL , NELLORE , NELLORE  2&quot; NELLORE NEAR SADHANA SCHOOL NELLORE ANP 524003 "/>
    <s v="GOVT OF EDUCATION  DEPARTMENT &quot;KOVURU  , SUBSTATION , PATURU ROAD&quot; &quot;KOVURU , NELLORE&quot; &quot;KOVURU , NELLORE&quot; NELLORE ANP 524137 "/>
    <s v="NELLORE"/>
    <x v="4"/>
    <x v="12"/>
    <s v="B SURESH"/>
    <n v="801570488"/>
    <s v="Ssd@9290"/>
    <m/>
    <m/>
    <x v="0"/>
    <s v="SKIP"/>
    <s v="cm shifted from here sir and cm call not answering sir"/>
    <x v="24"/>
    <d v="2025-12-30T00:00:00"/>
    <n v="48676"/>
    <s v="ICICI Bank HPCL Super Saver Master Credit Card"/>
    <s v="10TH JUNE"/>
    <d v="2026-06-08T00:00:00"/>
  </r>
  <r>
    <s v="4073520308741009"/>
    <s v="MR REDDY RAVI TEJA"/>
    <n v="0"/>
    <x v="0"/>
    <m/>
    <m/>
    <s v="N"/>
    <x v="17"/>
    <s v="8099996090"/>
    <s v="X"/>
    <n v="-113452.66"/>
    <n v="270000"/>
    <n v="156547.34"/>
    <n v="2316.02"/>
    <n v="154231.32"/>
    <n v="138707.1"/>
    <n v="28120"/>
    <n v="11250"/>
    <x v="0"/>
    <x v="0"/>
    <n v="154231.32"/>
    <n v="-142981.32"/>
    <x v="22"/>
    <s v="TC"/>
    <s v="30501-BBPS Payment received"/>
    <s v="SAMBA"/>
    <x v="4"/>
    <x v="0"/>
    <s v="5-175   MAHBUBNAGAR WANAPARTHY TNG 509203 "/>
    <s v="MENAG INFAR STRUCHER INGINIYARAING PLT MENAG INFAR STRUCHER INGINIYARAING PLT MENAG INFAR STRUCHER INGINIYARAING PLT MENAG INFAR STRUCHER INGINIYARAING PLT HYDERABAD TNG 500081 "/>
    <s v="WANAPARTHY"/>
    <x v="1"/>
    <x v="23"/>
    <s v="SAMBA"/>
    <n v="801772794"/>
    <s v="Ssde@9876"/>
    <m/>
    <m/>
    <x v="0"/>
    <m/>
    <m/>
    <x v="10"/>
    <d v="2024-07-10T00:00:00"/>
    <n v="5729.86"/>
    <s v="MakeMyTrip ICICI Bank Signature Credit Card"/>
    <s v="10TH JUNE"/>
    <d v="2026-06-08T00:00:00"/>
  </r>
  <r>
    <s v="4073520399218008"/>
    <s v="MR BANDARI VISHWA TEJA"/>
    <n v="0"/>
    <x v="0"/>
    <m/>
    <m/>
    <s v="N"/>
    <x v="17"/>
    <s v="7993177387"/>
    <s v="X"/>
    <n v="-78266.26999999999"/>
    <n v="220000"/>
    <n v="141733.73000000001"/>
    <s v=""/>
    <n v="141733.73000000001"/>
    <n v="130037.37"/>
    <n v="23900"/>
    <n v="7610"/>
    <x v="1"/>
    <x v="1"/>
    <n v="0"/>
    <n v="7610"/>
    <x v="1"/>
    <s v="NA"/>
    <n v="0"/>
    <s v="SAMBA"/>
    <x v="3"/>
    <x v="0"/>
    <s v="14-85 SUBASH COLONY  WARANGAL WARANGAL TNG 506169 "/>
    <s v="QUESS CORP LIMITED &quot;6-149,AMBEDKAR CIRCLE&quot; BHUPALPALLY BHUPALPALLY WARANGAL TNG 506169 "/>
    <s v="WARANGAL"/>
    <x v="1"/>
    <x v="30"/>
    <s v="AKHIL"/>
    <n v="801772792"/>
    <s v="Sgr@9290"/>
    <m/>
    <m/>
    <x v="1"/>
    <m/>
    <m/>
    <x v="10"/>
    <d v="2024-09-04T00:00:00"/>
    <n v="4500"/>
    <s v="MakeMyTrip ICICI Bank Signature Credit Card"/>
    <s v="10TH JUNE"/>
    <d v="2026-06-08T00:00:00"/>
  </r>
  <r>
    <s v="4073520068148015"/>
    <s v="MR JUTTIKA S K CHAITANYA"/>
    <n v="0"/>
    <x v="0"/>
    <m/>
    <m/>
    <s v="N"/>
    <x v="17"/>
    <s v="9985265146"/>
    <s v="X"/>
    <n v="-10575.809999999998"/>
    <n v="150000"/>
    <n v="139424.19"/>
    <n v="110362.06"/>
    <n v="29062.13"/>
    <n v="19996.990000000002"/>
    <n v="28980"/>
    <n v="17140"/>
    <x v="0"/>
    <x v="2"/>
    <n v="18000"/>
    <n v="-860"/>
    <x v="27"/>
    <s v="TC"/>
    <s v="30501-BBPS Payment received"/>
    <s v="SAMBA"/>
    <x v="2"/>
    <x v="0"/>
    <s v="&quot;5-2,PADAMATI GOPURAM,DRAKSHARAMA&quot; - EAST GODAVARI - EAST GODAVARI ANP 533262 "/>
    <s v="NIIT TECHNOLOGIES LIMITED PLOT NO TZ 2 AND 2A SECTOR TECH ZONE YAMUNA EXPY YAMUNA EXPY NOIDA UTP 201308 "/>
    <s v="KAKINADA"/>
    <x v="0"/>
    <x v="25"/>
    <s v="B NAGABABU"/>
    <n v="801448854"/>
    <s v="Sgr@9290"/>
    <m/>
    <m/>
    <x v="0"/>
    <m/>
    <m/>
    <x v="10"/>
    <d v="2025-08-20T00:00:00"/>
    <n v="15650"/>
    <s v="MakeMyTrip ICICI Bank Signature Credit Card"/>
    <s v="10TH JUNE"/>
    <d v="2026-06-08T00:00:00"/>
  </r>
  <r>
    <s v="4073520320209001"/>
    <s v="MR PALEM SRIKANTH GOUD"/>
    <n v="0"/>
    <x v="0"/>
    <m/>
    <m/>
    <s v="N"/>
    <x v="17"/>
    <s v="9908364672"/>
    <s v="X"/>
    <n v="9957.1000000000058"/>
    <n v="120000"/>
    <n v="129957.1"/>
    <s v=""/>
    <n v="129957.1"/>
    <n v="119401"/>
    <n v="31670"/>
    <n v="5980"/>
    <x v="0"/>
    <x v="2"/>
    <n v="6000"/>
    <n v="-20"/>
    <x v="1"/>
    <s v="D"/>
    <s v="30501-BBPS Payment received"/>
    <s v="SAMBA"/>
    <x v="3"/>
    <x v="0"/>
    <s v="3-69 RAJAPUR MANDALAM RAYAPALLY  WANAPARTHY TNG 509202 "/>
    <s v="AMNEAL ONCOLOGY PRIVATE LIMITED PLOT NO S-3 S-4 S-5A TSIIC VIL POLEPALLY JADCHERALA MANDAL MAHABOOBNAGAR JADCHERALA MANDAL MAHABOOBNAGAR JEDCHERLA TNG 509301 "/>
    <s v="WANAPARTHY"/>
    <x v="1"/>
    <x v="15"/>
    <s v="SAMBA"/>
    <n v="801772794"/>
    <s v="Ssde@9876"/>
    <m/>
    <m/>
    <x v="0"/>
    <m/>
    <m/>
    <x v="10"/>
    <d v="2026-03-31T00:00:00"/>
    <n v="117993"/>
    <s v="MakeMyTrip ICICI Bank Signature Credit Card"/>
    <s v="10TH JUNE"/>
    <d v="2026-06-08T00:00:00"/>
  </r>
  <r>
    <s v="5241935787762009"/>
    <s v="MR SHAIK BAJI"/>
    <n v="0"/>
    <x v="0"/>
    <m/>
    <m/>
    <s v="N"/>
    <x v="17"/>
    <s v="9966943012"/>
    <s v="X"/>
    <n v="9639.8399999999965"/>
    <n v="120000"/>
    <n v="129639.84"/>
    <s v=""/>
    <n v="129639.84"/>
    <n v="119892"/>
    <n v="30540"/>
    <n v="5930"/>
    <x v="1"/>
    <x v="1"/>
    <n v="0"/>
    <n v="5930"/>
    <x v="1"/>
    <s v="NA"/>
    <n v="0"/>
    <s v="DURGA"/>
    <x v="0"/>
    <x v="0"/>
    <s v="15-12-153 &quot;VENKATARAO PET,GUNTUR&quot; 2ND LINE NEAR MAIN ROAD GUNTUR ANP 522001 "/>
    <s v="HTC GLOBAL SERVICES INDIAPRIVATE LIMIT &quot;6-3-1192/V,&quot; &quot;KUNDANBA COLONY,BEGUMPET,HYDERABAD,&quot; &quot;KUNDANBA COLONY,BEGUMPET,HYDERABAD,&quot; HYDERABAD TNG 500016 "/>
    <s v="GUNTUR"/>
    <x v="3"/>
    <x v="17"/>
    <s v="DURGA"/>
    <n v="801723195"/>
    <s v="Sgr@9290"/>
    <m/>
    <m/>
    <x v="0"/>
    <s v="DL"/>
    <s v="CUSTOMER GIVEN HOUSE ADDRESS VISTED CUSTOMER NOT AVAILABLE AT HOME DOOR LOCKED REVISIT AGAIN CUSTOMER MOBILE NUMBER RINGING BUT NOT ANSWERING // Meet with customer outside customer job loss asking settlement with High waiver // customer live present not available call answer customer job loss asking settlement with High waiver"/>
    <x v="23"/>
    <s v=""/>
    <n v="0"/>
    <s v="ICICI Bank HPCL Super Saver Master Credit Card"/>
    <s v="10TH JUNE"/>
    <d v="2026-06-08T00:00:00"/>
  </r>
  <r>
    <s v="4748464730912000"/>
    <s v="MR KONANKI VENKATESWARLU"/>
    <n v="0"/>
    <x v="0"/>
    <m/>
    <m/>
    <s v="N"/>
    <x v="17"/>
    <s v="9133114562"/>
    <s v="X"/>
    <n v="7566.2400000000052"/>
    <n v="120000"/>
    <n v="127566.24"/>
    <s v=""/>
    <n v="127566.24"/>
    <n v="118938"/>
    <n v="21710"/>
    <n v="5950"/>
    <x v="0"/>
    <x v="2"/>
    <n v="6000"/>
    <n v="-50"/>
    <x v="26"/>
    <s v="FE"/>
    <s v="30501-BBPS Payment received"/>
    <s v="SAMBA"/>
    <x v="1"/>
    <x v="0"/>
    <s v="5-69 GUDINARAVA  UDAYAGIRI NELLORE ANP 524236 "/>
    <s v="TECH MAHINDRA LIMITED &quot;TOWER-1,PLOT NO,22 TO,34,TECH MAHINDRA&quot; &quot;SEZ RD,JUBILEE ENCLAVE,MADHAPUR&quot; &quot;SEZ RD,JUBILEE ENCLAVE,MADHAPUR&quot; HYDERABAD TNG 500081 "/>
    <s v="NELLORE"/>
    <x v="4"/>
    <x v="12"/>
    <s v="B SURESH"/>
    <n v="801570488"/>
    <s v="Ssd@9290"/>
    <m/>
    <m/>
    <x v="0"/>
    <m/>
    <m/>
    <x v="10"/>
    <d v="2024-06-07T00:00:00"/>
    <n v="105061.27"/>
    <s v="Chennai Super Kings ICICI Bank Credit Card"/>
    <s v="10TH JUNE"/>
    <d v="2026-06-08T00:00:00"/>
  </r>
  <r>
    <s v="4748464755088009"/>
    <s v="MR RAMINEEDI MANIKUMAR"/>
    <n v="0"/>
    <x v="0"/>
    <m/>
    <m/>
    <s v="N"/>
    <x v="17"/>
    <s v="7396167631"/>
    <s v="X"/>
    <n v="5910.4799999999959"/>
    <n v="120000"/>
    <n v="125910.48"/>
    <n v="80321.75"/>
    <n v="45588.73"/>
    <n v="39243.81"/>
    <n v="25510"/>
    <n v="9060"/>
    <x v="1"/>
    <x v="1"/>
    <n v="0"/>
    <n v="9060"/>
    <x v="1"/>
    <s v="NA"/>
    <n v="0"/>
    <s v="SAMBA"/>
    <x v="4"/>
    <x v="0"/>
    <s v="13-2-1M/154 JAGGAYYA CHERUVU VERTERINARY HOSPITAL ROAD  KAKINADA ANP 533450 "/>
    <s v="TECHNODYSIS &quot;2ND FLOOR, BANNERGATTA MAIN ROAD,&quot; &quot;KALENA AGRAHARA, BANGALURU, KARNATAKA&quot; &quot;KALENA AGRAHARA, BANGALURU, KARNATAKA&quot; BANGALORE KAR 560076 "/>
    <s v="KAKINADA"/>
    <x v="0"/>
    <x v="16"/>
    <s v="UDAY"/>
    <n v="801436997"/>
    <s v="Ssd@9290"/>
    <m/>
    <m/>
    <x v="0"/>
    <s v="MESS"/>
    <s v="Customer address visit ch not available msg left to family call not answering sir _x000a_Ph new number 9393394338"/>
    <x v="22"/>
    <d v="2024-09-05T00:00:00"/>
    <n v="7000"/>
    <s v="Chennai Super Kings ICICI Bank Credit Card"/>
    <s v="10TH JUNE"/>
    <d v="2026-06-08T00:00:00"/>
  </r>
  <r>
    <s v="4748464729318003"/>
    <s v="MR ADIPALLY HARSHATH KUMAR"/>
    <n v="0"/>
    <x v="0"/>
    <m/>
    <m/>
    <s v="N"/>
    <x v="17"/>
    <s v="9398041008"/>
    <s v="X"/>
    <n v="3439.4400000000023"/>
    <n v="120000"/>
    <n v="123439.44"/>
    <n v="50716.86"/>
    <n v="72722.58"/>
    <n v="61044.74"/>
    <n v="55030"/>
    <n v="26000"/>
    <x v="0"/>
    <x v="0"/>
    <n v="72722.58"/>
    <n v="-46722.58"/>
    <x v="24"/>
    <s v="TC"/>
    <s v="30501-BBPS Payment received"/>
    <s v="SAMBA"/>
    <x v="2"/>
    <x v="0"/>
    <s v="H NO 6-6-898 AMBEDKAR NAGAR  KARIMNAGAR ADILABAD TNG 505001 "/>
    <s v="WALMART INDIA PRIVATE LIMITED WALMART PADMANAGAR KARIMNAGAR KARIMNAGAR ADILABAD TNG 505001 "/>
    <s v="KARIMNAGAR"/>
    <x v="1"/>
    <x v="27"/>
    <s v="SUMANTH"/>
    <n v="802370852"/>
    <s v="Sgr@9290"/>
    <m/>
    <m/>
    <x v="0"/>
    <s v="MESS"/>
    <s v="Customer live in address and he is not at home and his father recently expired so he asking 1wk time"/>
    <x v="19"/>
    <d v="2024-11-26T00:00:00"/>
    <n v="3000"/>
    <s v="ICICI Bank HPCL Super Saver Visa Credit Card"/>
    <s v="10TH JUNE"/>
    <d v="2026-06-08T00:00:00"/>
  </r>
  <r>
    <s v="4748464745301009"/>
    <s v="MR KADIVENDI RAMANA CHARY"/>
    <n v="0"/>
    <x v="0"/>
    <m/>
    <m/>
    <s v="N"/>
    <x v="17"/>
    <s v="8099822390"/>
    <s v="X"/>
    <n v="2227.3899999999994"/>
    <n v="120000"/>
    <n v="122227.39"/>
    <n v="39441.31"/>
    <n v="82786.080000000002"/>
    <n v="74495.7"/>
    <n v="26240"/>
    <n v="10830"/>
    <x v="0"/>
    <x v="2"/>
    <n v="11000"/>
    <n v="-170"/>
    <x v="26"/>
    <s v="FE"/>
    <s v="30501-BBPS Payment received"/>
    <s v="SAMBA"/>
    <x v="3"/>
    <x v="0"/>
    <s v="H NO 1-75/2 PARAKAL MANDAL SEETHARAMPURAM  WARANGAL TNG 506164 "/>
    <s v="TRANSMISSION CORPORATION OF TELANGANA LI SALIVAGU JOGAMPALLI JOGAMPALLI WARANGAL TNG 506164 "/>
    <s v="WARANGAL"/>
    <x v="1"/>
    <x v="30"/>
    <s v="AKHIL"/>
    <n v="801772792"/>
    <s v="Sgr@9290"/>
    <m/>
    <m/>
    <x v="0"/>
    <m/>
    <m/>
    <x v="10"/>
    <d v="2024-07-09T00:00:00"/>
    <n v="114876.7"/>
    <s v="Chennai Super Kings ICICI Bank Credit Card"/>
    <s v="10TH JUNE"/>
    <d v="2026-06-08T00:00:00"/>
  </r>
  <r>
    <s v="4748461169569012"/>
    <s v="MR AVULA MOHANREDDY"/>
    <n v="0"/>
    <x v="0"/>
    <m/>
    <m/>
    <s v="N"/>
    <x v="17"/>
    <s v="7989777871"/>
    <s v="X"/>
    <n v="-122524.6"/>
    <n v="240000"/>
    <n v="117475.4"/>
    <n v="8025.4"/>
    <n v="109450"/>
    <n v="100409.36"/>
    <n v="21120"/>
    <n v="6510"/>
    <x v="1"/>
    <x v="1"/>
    <n v="0"/>
    <n v="6510"/>
    <x v="1"/>
    <s v="NA"/>
    <n v="0"/>
    <s v="SAMBA"/>
    <x v="2"/>
    <x v="0"/>
    <s v="&quot;GANGUVARI PALLI K V,PALLI,.,.,.&quot; ...CHITTOOR ANDHRAPRADESH  HNO-46 TIRUPATHI ANP 517213 "/>
    <s v="GENPACT INDIA PVT LTD SURYA PARK...99 3RD CRSS RD ELCETRONIC TIRUPATHI ANDHRA PRADESH TIRUPATHI ANDHRA PRADESH TIRUPATHI ANP 517213 "/>
    <s v="TIRUPATHI"/>
    <x v="2"/>
    <x v="33"/>
    <s v="GUNASEKAR"/>
    <n v="802241455"/>
    <s v="Sgr@9290"/>
    <m/>
    <m/>
    <x v="1"/>
    <m/>
    <m/>
    <x v="10"/>
    <d v="2026-03-26T00:00:00"/>
    <n v="106615"/>
    <s v="MakeMyTrip ICICI Bank Platinum Credit Card"/>
    <s v="10TH JUNE"/>
    <d v="2026-06-08T00:00:00"/>
  </r>
  <r>
    <s v="4748461506324006"/>
    <s v="MR PERAMSETTY GURURAJESH"/>
    <n v="0"/>
    <x v="0"/>
    <m/>
    <m/>
    <s v="N"/>
    <x v="17"/>
    <s v="8686862571"/>
    <s v="X"/>
    <n v="8470.5299999999988"/>
    <n v="100000"/>
    <n v="108470.53"/>
    <s v=""/>
    <n v="108470.53"/>
    <n v="99956.55"/>
    <n v="26310"/>
    <n v="5000"/>
    <x v="1"/>
    <x v="1"/>
    <n v="0"/>
    <n v="5000"/>
    <x v="1"/>
    <s v="NA"/>
    <n v="0"/>
    <s v="SAMBA"/>
    <x v="4"/>
    <x v="0"/>
    <s v="000 NAIDUPETA MENAKURU NELLORE GUDUR ANP 524421 "/>
    <s v="INFOSYS LIMITED &quot;PLOT NO 44,HOSUR ROAD KONAPPANA AGRAHARA&quot; ELECTRONIC CITY ELECTRONIC CITY BANGALORE KAR 560100 "/>
    <s v="GUDUR"/>
    <x v="4"/>
    <x v="12"/>
    <s v="B SURESH"/>
    <n v="801570488"/>
    <s v="Ssd@9290"/>
    <m/>
    <m/>
    <x v="0"/>
    <s v="MESS"/>
    <s v="cm not available sir and cm father talking abuse language and cm call answered given ptp 17 th sir"/>
    <x v="22"/>
    <d v="2024-09-05T00:00:00"/>
    <n v="160"/>
    <s v="MakeMyTrip ICICI Bank Platinum Credit Card"/>
    <s v="10TH JUNE"/>
    <d v="2026-06-08T00:00:00"/>
  </r>
  <r>
    <s v="4748464740455008"/>
    <s v="MR SAIDULA PARSHA RAMULU"/>
    <n v="0"/>
    <x v="0"/>
    <m/>
    <m/>
    <s v="N"/>
    <x v="17"/>
    <s v="9963771934"/>
    <s v="X"/>
    <n v="6900.9700000000012"/>
    <n v="100000"/>
    <n v="106900.97"/>
    <n v="92775.94"/>
    <n v="14125.03"/>
    <n v="7023.06"/>
    <n v="14125.03"/>
    <n v="7606.2"/>
    <x v="1"/>
    <x v="1"/>
    <n v="0"/>
    <n v="7606.2"/>
    <x v="1"/>
    <s v="NA"/>
    <n v="0"/>
    <s v="SAMBA"/>
    <x v="1"/>
    <x v="1"/>
    <s v="H.NO. 4-135/5 CHANDLAPUR   MEDAK TNG 502276 "/>
    <s v="MANAPPURAM HOME FINANCE LIMITED &quot;H NO 8-2-3 ,1ST FLOOR BB COMPLEX&quot; OLD BUS STAND ROAD SIDDIPET OLD BUS STAND ROAD SIDDIPET MEDAK TNG 502103 "/>
    <s v="MEDAK"/>
    <x v="1"/>
    <x v="38"/>
    <s v="POORNIMA"/>
    <n v="802824019"/>
    <s v="Nihan@2421"/>
    <m/>
    <m/>
    <x v="1"/>
    <m/>
    <m/>
    <x v="10"/>
    <d v="2025-03-12T00:00:00"/>
    <n v="166.43"/>
    <s v="ICICI Bank Coral RuPay Credit Card"/>
    <s v="10TH JUNE"/>
    <d v="2026-06-08T00:00:00"/>
  </r>
  <r>
    <s v="5241935776890001"/>
    <s v="MR WASEEM SHAIK"/>
    <n v="0"/>
    <x v="0"/>
    <m/>
    <m/>
    <s v="O"/>
    <x v="17"/>
    <s v="9989414142"/>
    <s v="X"/>
    <n v="5985.179999999993"/>
    <n v="100000"/>
    <n v="105985.18"/>
    <s v=""/>
    <n v="105985.18"/>
    <n v="99694.7"/>
    <n v="28320"/>
    <n v="16000"/>
    <x v="0"/>
    <x v="0"/>
    <n v="28320"/>
    <n v="-12320"/>
    <x v="15"/>
    <s v="TC"/>
    <s v="12121-ECS PAYMENTS"/>
    <s v="SAMBA"/>
    <x v="2"/>
    <x v="0"/>
    <s v="H NO QNB-11 VITTAL NAGAR NEAR SBI BANK GODAVARIKHANI VITTAL NAGAR KARIMNAGAR MAIN ROAD KARIMNAGAR TNG 505214 "/>
    <s v="GOVERNMENT OF TELANGANA GDK11A INCLINERGM-RAMAGUNDAM   HYDERABAD TNG 500016 "/>
    <s v="PEDDAPALLI"/>
    <x v="1"/>
    <x v="6"/>
    <s v="K RAMU"/>
    <n v="802898520"/>
    <s v="Ssd@9290"/>
    <m/>
    <m/>
    <x v="0"/>
    <m/>
    <m/>
    <x v="10"/>
    <d v="2024-01-04T00:00:00"/>
    <n v="6012"/>
    <s v="ICICI Bank HPCL Super Saver Master Credit Card"/>
    <s v="10TH JUNE"/>
    <d v="2026-06-08T00:00:00"/>
  </r>
  <r>
    <s v="4748464700380006"/>
    <s v="MR SIRIGIRI GOPI"/>
    <n v="0"/>
    <x v="0"/>
    <m/>
    <m/>
    <s v="N"/>
    <x v="17"/>
    <s v="9603880524"/>
    <s v="X"/>
    <n v="5835.1600000000035"/>
    <n v="100000"/>
    <n v="105835.16"/>
    <s v=""/>
    <n v="105835.16"/>
    <n v="66084.929999999993"/>
    <n v="83330"/>
    <n v="70460"/>
    <x v="1"/>
    <x v="1"/>
    <n v="0"/>
    <n v="70460"/>
    <x v="1"/>
    <s v="NA"/>
    <n v="0"/>
    <s v="SAMBA"/>
    <x v="3"/>
    <x v="0"/>
    <s v="HOUSE NUMBER 0-1 TALAKONDAPALLY PADKAL K.V. RANGAREDDY WANAPARTHY TNG 509408 "/>
    <s v="RELIANCE SMSL LIMITED B BLOCK NO 8-2-626 ROAD NO 11 BANJARAHILLS  OPP CARE HOSPITAL BANJARAHILLS  OPP CARE HOSPITAL HYDERABAD TNG 500034 "/>
    <s v="WANAPARTHY"/>
    <x v="1"/>
    <x v="15"/>
    <s v="SAMBA"/>
    <n v="801772794"/>
    <s v="Ssde@9876"/>
    <m/>
    <m/>
    <x v="0"/>
    <s v="LIVE"/>
    <s v="Custmor not lived this address   puone respond he diacuss bank  don't distrab"/>
    <x v="23"/>
    <d v="2024-06-09T00:00:00"/>
    <n v="1440"/>
    <s v="Chennai Super Kings ICICI Bank Credit Card"/>
    <s v="10TH JUNE"/>
    <d v="2026-06-08T00:00:00"/>
  </r>
  <r>
    <s v="4375518349010017"/>
    <s v="MR VOORADI ARUN KUMAR"/>
    <n v="0"/>
    <x v="0"/>
    <m/>
    <m/>
    <s v="N"/>
    <x v="17"/>
    <s v="7386668883"/>
    <s v="X"/>
    <n v="-354804.45"/>
    <n v="460000"/>
    <n v="105195.55"/>
    <n v="60481.08"/>
    <n v="44714.47"/>
    <n v="38845.93"/>
    <n v="44714.47"/>
    <n v="21036.49"/>
    <x v="1"/>
    <x v="1"/>
    <n v="0"/>
    <n v="21036.49"/>
    <x v="1"/>
    <s v="NA"/>
    <n v="0"/>
    <s v="SAMBA"/>
    <x v="4"/>
    <x v="0"/>
    <s v="&quot;1-4-,KRISHNA NAGAR,98/1 FLR,JAGTIAL,JAGTIAL&quot; - KARIMNAGAR - KARIMNAGAR TNG 505327 "/>
    <s v="COLLABERA TECHNOLOGIES PRIVATE LIMITED BUILDING NO 28 MAXIMUS TOWERS MAHAPUR HYDERABAD MAHAPUR HYDERABAD Hyderabad TNG 500081 "/>
    <s v="KARIMNAGAR"/>
    <x v="1"/>
    <x v="27"/>
    <s v="SUMANTH"/>
    <n v="802370852"/>
    <s v="Sgr@9290"/>
    <m/>
    <m/>
    <x v="0"/>
    <s v="SKIP"/>
    <s v="Customer living in US and informed to his mother"/>
    <x v="25"/>
    <d v="2026-02-05T00:00:00"/>
    <n v="50000"/>
    <s v="MakeMyTrip ICICI Bank Platinum Credit Card"/>
    <s v="10TH JUNE"/>
    <d v="2026-06-08T00:00:00"/>
  </r>
  <r>
    <s v="4748464736879005"/>
    <s v="MR PONDUGU SRINIVAS"/>
    <n v="0"/>
    <x v="0"/>
    <m/>
    <m/>
    <s v="N"/>
    <x v="17"/>
    <s v="9949760960"/>
    <s v="X"/>
    <n v="4864.5800000000017"/>
    <n v="100000"/>
    <n v="104864.58"/>
    <n v="28902.92"/>
    <n v="75961.66"/>
    <n v="65585.38"/>
    <n v="21100"/>
    <n v="9850"/>
    <x v="1"/>
    <x v="1"/>
    <n v="0"/>
    <n v="9850"/>
    <x v="1"/>
    <s v="NA"/>
    <n v="0"/>
    <s v="SAMBA"/>
    <x v="1"/>
    <x v="0"/>
    <s v="11-7-421/1161 8 INC LINE COLONY SANTHOSH NAGAR KARIMNAGAR KARIMNAGAR TNG 505211 "/>
    <s v="BANDHAN BANK LIMITED FLOOR HOUSE NO 2 UPPER GROUND 83 2-85 ANNAPURNA ENCLAVE CHANDA NAGAR 2-85 ANNAPURNA ENCLAVE CHANDA NAGAR HYDERABAD TNG 500050 "/>
    <s v="PEDDAPALLI"/>
    <x v="1"/>
    <x v="6"/>
    <s v="K RAMU"/>
    <n v="802898520"/>
    <s v="Ssd@9290"/>
    <m/>
    <m/>
    <x v="1"/>
    <m/>
    <m/>
    <x v="10"/>
    <d v="2024-06-10T00:00:00"/>
    <n v="54071"/>
    <s v="Chennai Super Kings ICICI Bank Credit Card"/>
    <s v="10TH JUNE"/>
    <d v="2026-06-08T00:00:00"/>
  </r>
  <r>
    <s v="4748461011076018"/>
    <s v="MR KONDANNA GARI MAHAMMAD"/>
    <n v="0"/>
    <x v="0"/>
    <m/>
    <m/>
    <s v="N"/>
    <x v="17"/>
    <s v="9502410415"/>
    <s v="X"/>
    <n v="3779.3399999999965"/>
    <n v="100000"/>
    <n v="103779.34"/>
    <n v="61612.84"/>
    <n v="42166.5"/>
    <n v="34196.620000000003"/>
    <n v="42166.5"/>
    <n v="19786.37"/>
    <x v="0"/>
    <x v="0"/>
    <n v="42166.5"/>
    <n v="-22380.13"/>
    <x v="21"/>
    <s v="TC"/>
    <s v="30501-BBPS Payment received"/>
    <s v="SAMBA"/>
    <x v="2"/>
    <x v="0"/>
    <s v="&quot;M,VARADAYAPALLI,.,PEDDAPAPPURU,MUCHUKOTA&quot; - ANANTHAPUR - ANANTHAPUR ANP 515445 "/>
    <s v="GLOBALLOGIC INDIA PRIVATE LIMITED PRITECH PARK SEZ MARTHALLI SARJAPUR ORR BELLANDUR VILLAGE ORR BELLANDUR VILLAGE BANGALORE KAR 560103 "/>
    <s v="ANANTAPUR"/>
    <x v="2"/>
    <x v="26"/>
    <s v="T SRINIVAS"/>
    <n v="802030802"/>
    <s v="Sgr@0987"/>
    <m/>
    <m/>
    <x v="0"/>
    <m/>
    <m/>
    <x v="10"/>
    <d v="2024-07-18T00:00:00"/>
    <n v="49200"/>
    <s v="MakeMyTrip ICICI Bank Platinum Credit Card"/>
    <s v="10TH JUNE"/>
    <d v="2026-06-08T00:00:00"/>
  </r>
  <r>
    <s v="4748460950791017"/>
    <s v="MR THALAKOTI SUKANYA"/>
    <n v="0"/>
    <x v="0"/>
    <m/>
    <m/>
    <s v="N"/>
    <x v="17"/>
    <s v="9959054096"/>
    <s v="X"/>
    <n v="9313.6900000000023"/>
    <n v="90000"/>
    <n v="99313.69"/>
    <s v=""/>
    <n v="99313.69"/>
    <n v="87999"/>
    <n v="25310"/>
    <n v="10330"/>
    <x v="0"/>
    <x v="2"/>
    <n v="10500"/>
    <n v="-170"/>
    <x v="1"/>
    <s v="D"/>
    <s v="30501-BBPS Payment received"/>
    <s v="SAMBA"/>
    <x v="3"/>
    <x v="0"/>
    <s v="1-1-931/303 SIDHARTHA NAGAR HANUMAKONDA KAZIPET  NEAR COMMUNITY HALL WARANGAL TNG 506004 "/>
    <s v="GOVERNMENT OF TELENGANA ZPHS GIRLS JANGOAN CHITAKODUR   WARANGAL TNG 506167 "/>
    <s v="WARANGAL"/>
    <x v="1"/>
    <x v="30"/>
    <s v="AKHIL"/>
    <n v="801772792"/>
    <s v="Sgr@9290"/>
    <m/>
    <m/>
    <x v="0"/>
    <s v="SKIP"/>
    <s v="Cust shifted from given address and no respond to calls"/>
    <x v="27"/>
    <d v="2026-04-13T00:00:00"/>
    <n v="5500"/>
    <s v="MakeMyTrip ICICI Bank Platinum Credit Card"/>
    <s v="10TH JUNE"/>
    <d v="2026-06-08T00:00:00"/>
  </r>
  <r>
    <s v="4748464726574004"/>
    <s v="MR THALLAPALLI RAKSHITH"/>
    <n v="0"/>
    <x v="0"/>
    <m/>
    <m/>
    <s v="N"/>
    <x v="17"/>
    <s v="8555066945"/>
    <s v="X"/>
    <n v="37636.97"/>
    <n v="60000"/>
    <n v="97636.97"/>
    <n v="46583.22"/>
    <n v="51053.75"/>
    <n v="46195.54"/>
    <n v="37530"/>
    <n v="16900"/>
    <x v="0"/>
    <x v="2"/>
    <n v="17000"/>
    <n v="-100"/>
    <x v="1"/>
    <s v="D"/>
    <s v="30501-BBPS Payment received"/>
    <s v="SAMBA"/>
    <x v="1"/>
    <x v="0"/>
    <s v="4-5-23/3 JANGAON CHAMAN WARANGAL WARANGAL TNG 506167 "/>
    <s v="TATA CONSULTANCY SERVICES LIMITED PLOT NO 1 TECHNO ENCLAVE HITECH CITY MADHAPUR UNITS LAYOUT HITECH CITY MADHAPUR UNITS LAYOUT HYDERABAD TNG 500081 "/>
    <s v="WARANGAL"/>
    <x v="1"/>
    <x v="21"/>
    <s v="RAJKUMAR"/>
    <n v="802835406"/>
    <s v="Ssde@9290"/>
    <m/>
    <m/>
    <x v="0"/>
    <s v="LIVE"/>
    <s v="Customer house address visited sir his available given PTP commitment tomorrow"/>
    <x v="28"/>
    <d v="2025-04-15T00:00:00"/>
    <n v="13000"/>
    <s v="Chennai Super Kings ICICI Bank Credit Card"/>
    <s v="10TH JUNE"/>
    <d v="2026-06-08T00:00:00"/>
  </r>
  <r>
    <s v="5241935713974009"/>
    <s v="MR DILEEP S"/>
    <n v="0"/>
    <x v="0"/>
    <m/>
    <m/>
    <s v="O"/>
    <x v="17"/>
    <s v="9000873509"/>
    <s v="X"/>
    <n v="-4061.1199999999953"/>
    <n v="100000"/>
    <n v="95938.880000000005"/>
    <s v=""/>
    <n v="95938.880000000005"/>
    <n v="89933.77"/>
    <n v="21920"/>
    <n v="15800"/>
    <x v="0"/>
    <x v="0"/>
    <n v="95938.880000000005"/>
    <n v="-80138.880000000005"/>
    <x v="15"/>
    <s v="FE"/>
    <s v="12124 - UPI Payment Received"/>
    <s v="SAMBA"/>
    <x v="4"/>
    <x v="0"/>
    <s v="H NO 9-231 TEACHERS COLONY ADILABAD  NEAR MAIN ROAD ADILABAD TNG 504001 "/>
    <s v="PANCHAYAT RAJ DEPARTMENT TALAMADUGU ADILABAD   ADILABAD TNG 504001 "/>
    <s v="ADILABAD"/>
    <x v="1"/>
    <x v="35"/>
    <s v="KANTH"/>
    <n v="802794852"/>
    <s v="Ssd@9290"/>
    <m/>
    <m/>
    <x v="0"/>
    <m/>
    <m/>
    <x v="10"/>
    <d v="2026-05-19T00:00:00"/>
    <n v="16000"/>
    <s v="ICICI Bank HPCL Super Saver Master Credit Card"/>
    <s v="10TH JUNE"/>
    <d v="2026-06-08T00:00:00"/>
  </r>
  <r>
    <s v="5241935810382007"/>
    <s v="MR Sriram Shivakumar"/>
    <n v="0"/>
    <x v="0"/>
    <m/>
    <m/>
    <s v="N"/>
    <x v="17"/>
    <s v="9948299722"/>
    <s v="X"/>
    <n v="-26553.130000000005"/>
    <n v="120000"/>
    <n v="93446.87"/>
    <s v=""/>
    <n v="93446.87"/>
    <n v="87758.61"/>
    <n v="16120"/>
    <n v="9880"/>
    <x v="0"/>
    <x v="0"/>
    <n v="93446.87"/>
    <n v="-83566.87"/>
    <x v="27"/>
    <s v="FE"/>
    <s v="30501-BBPS Payment received"/>
    <s v="SAMBA"/>
    <x v="1"/>
    <x v="0"/>
    <s v="1-14/2 chityala  Jayashankar Bhupalapally WNL TNG 506348 "/>
    <s v="OGLAPUR VILLAGE DAMERA MANDAL   WNL TNG 506006 "/>
    <s v="WARANGAL"/>
    <x v="1"/>
    <x v="30"/>
    <s v="AKHIL"/>
    <n v="801772792"/>
    <s v="Sgr@9290"/>
    <m/>
    <m/>
    <x v="0"/>
    <s v="SKIP"/>
    <s v="No such person and cust number switched off"/>
    <x v="27"/>
    <d v="2026-05-19T00:00:00"/>
    <n v="10300"/>
    <s v="ICICI Bank HPCL Super Saver Master Credit Card"/>
    <s v="10TH JUNE"/>
    <d v="2026-06-08T00:00:00"/>
  </r>
  <r>
    <s v="6528690017962000"/>
    <s v="MR KALLEPELLY POCHAMALLU"/>
    <n v="0"/>
    <x v="0"/>
    <m/>
    <m/>
    <s v="N"/>
    <x v="17"/>
    <s v="7416135209"/>
    <s v="X"/>
    <n v="-9018.0899999999965"/>
    <n v="100000"/>
    <n v="90981.91"/>
    <s v=""/>
    <n v="90981.91"/>
    <n v="81935.17"/>
    <n v="16720"/>
    <n v="4640"/>
    <x v="1"/>
    <x v="1"/>
    <n v="0"/>
    <n v="4640"/>
    <x v="1"/>
    <s v="NA"/>
    <n v="0"/>
    <s v="SAMBA"/>
    <x v="4"/>
    <x v="0"/>
    <s v="5-8 MANAKONDUR MANDALAM AMBETHKAR NAGAR  HYDERABAD TNG 505469 "/>
    <s v="TRANSMISSION CORPORACTION OF TELANGANA SURVEY NO 132/33  KV SUBSTATION MANAKONDUR EDULAGATTIPALLY KARINAGAR MANAKONDUR EDULAGATTIPALLY KARINAGAR HYDERABAD TNG 505469 "/>
    <s v="KARIMNAGAR"/>
    <x v="1"/>
    <x v="27"/>
    <s v="SUMANTH"/>
    <n v="802370852"/>
    <s v="Sgr@9290"/>
    <m/>
    <m/>
    <x v="0"/>
    <s v="LIVE"/>
    <s v="Customer live in address and he recently decharged from hospital with high fever he asking time to pay"/>
    <x v="26"/>
    <d v="2024-07-09T00:00:00"/>
    <n v="59992"/>
    <s v="ICICI Bank HPCL Super Saver RuPay Credit Card"/>
    <s v="10TH JUNE"/>
    <d v="2026-06-08T00:00:00"/>
  </r>
  <r>
    <s v="4073520278851010"/>
    <s v="MS ARUTLA SRAVANI"/>
    <n v="0"/>
    <x v="0"/>
    <m/>
    <m/>
    <s v="N"/>
    <x v="17"/>
    <s v="7013062548"/>
    <s v="X"/>
    <n v="-11467.570000000007"/>
    <n v="100000"/>
    <n v="88532.43"/>
    <s v=""/>
    <n v="88532.43"/>
    <n v="82632.37"/>
    <n v="14890"/>
    <n v="8810"/>
    <x v="0"/>
    <x v="0"/>
    <n v="88532.43"/>
    <n v="-79722.429999999993"/>
    <x v="23"/>
    <s v="TC"/>
    <s v="30501-BBPS Payment received"/>
    <s v="SAMBA"/>
    <x v="2"/>
    <x v="0"/>
    <s v="3-10-20 BAHARPET  BHUVANAGIRI NALGONDA TNG 508116 "/>
    <s v="WNS GLOBAL SERVICES PRIVATE LIMITED &quot;SY NO 64,UNIT NO1, 1ST FLRBUILDING NO 24&quot; MAXIMUS TOWERS MINDSPACE HITECH CITY MAXIMUS TOWERS MINDSPACE HITECH CITY HYDERABAD TNG 500081 "/>
    <s v="NALGONDA"/>
    <x v="1"/>
    <x v="18"/>
    <s v="INAMUL"/>
    <n v="802823175"/>
    <s v="Sgr@9290"/>
    <m/>
    <m/>
    <x v="0"/>
    <s v="LIVE"/>
    <s v="Customer adress visit, Customer prasent not avilable home is in Office and call Answer ptp on Monday"/>
    <x v="20"/>
    <d v="2026-04-04T00:00:00"/>
    <n v="13700"/>
    <s v="MakeMyTrip ICICI Bank Signature Credit Card"/>
    <s v="10TH JUNE"/>
    <d v="2026-06-08T00:00:00"/>
  </r>
  <r>
    <s v="4748461216338007"/>
    <s v="MR ANDRU MOHANA KRISHNA"/>
    <n v="0"/>
    <x v="0"/>
    <m/>
    <m/>
    <s v="O"/>
    <x v="17"/>
    <s v="9908340528"/>
    <s v="X"/>
    <n v="6339.7599999999948"/>
    <n v="82000"/>
    <n v="88339.76"/>
    <n v="15079.4"/>
    <n v="73260.36"/>
    <n v="63441.15"/>
    <n v="22570"/>
    <n v="11410"/>
    <x v="1"/>
    <x v="1"/>
    <n v="0"/>
    <n v="11410"/>
    <x v="1"/>
    <s v="NA"/>
    <n v="0"/>
    <s v="SAMBA"/>
    <x v="2"/>
    <x v="0"/>
    <s v="DOOR NUMBER-21-36 CHINA PETA  WEST GODAVARI BHIMAVARAM ANP 534123 "/>
    <s v="HDB FINANCIAL SERVICES LIMITED &quot;HDBFINANCIALSERVICELTD,TANUKU RASTRAPATI&quot; &quot;ROAD, TANUKU, WEST GODAVARI&quot; &quot;ROAD, TANUKU, WEST GODAVARI&quot; TANUKU ANP 534211 "/>
    <s v="BHIMAVARAM"/>
    <x v="0"/>
    <x v="0"/>
    <s v="B NAGABABU"/>
    <n v="801448854"/>
    <s v="Sgr@9290"/>
    <m/>
    <m/>
    <x v="0"/>
    <s v="SKIP"/>
    <s v="mr shifted hydera// cmr House door locked and cmr answered call request to call back"/>
    <x v="27"/>
    <d v="2025-11-09T00:00:00"/>
    <n v="57020"/>
    <s v="MakeMyTrip ICICI Bank Platinum Credit Card"/>
    <s v="10TH JUNE"/>
    <d v="2026-06-08T00:00:00"/>
  </r>
  <r>
    <s v="4748460733594019"/>
    <s v="MR BELLAM GOPI"/>
    <n v="0"/>
    <x v="0"/>
    <m/>
    <m/>
    <s v="N"/>
    <x v="17"/>
    <s v="9908229920"/>
    <s v="X"/>
    <n v="-11835.070000000007"/>
    <n v="100000"/>
    <n v="88164.93"/>
    <s v=""/>
    <n v="88164.93"/>
    <n v="79341.47"/>
    <n v="13750"/>
    <n v="4690"/>
    <x v="0"/>
    <x v="2"/>
    <n v="4690"/>
    <n v="0"/>
    <x v="13"/>
    <s v="TC"/>
    <s v="30501-BBPS Payment received"/>
    <s v="SAMBA"/>
    <x v="3"/>
    <x v="0"/>
    <s v="ROOM NO 114 A HOSTEL DIVIS LABS LINGOJI GUDEM  NEAR DIVIS LABS NALGONDA ANP 508252 "/>
    <s v="DIVIS LABS LTD LINGOJI GUDEM V CHOUTUPPAL M   NALGONDA ANP 508252 "/>
    <s v="NALGONDA"/>
    <x v="1"/>
    <x v="18"/>
    <s v="INAMUL"/>
    <n v="802823175"/>
    <s v="Sgr@9290"/>
    <m/>
    <m/>
    <x v="0"/>
    <m/>
    <m/>
    <x v="10"/>
    <d v="2024-06-06T00:00:00"/>
    <n v="96707.31"/>
    <s v="MakeMyTrip ICICI Bank Platinum Credit Card"/>
    <s v="10TH JUNE"/>
    <d v="2026-06-08T00:00:00"/>
  </r>
  <r>
    <s v="4748464719424019"/>
    <s v="MR D RAJA SEKHAR"/>
    <n v="0"/>
    <x v="0"/>
    <m/>
    <m/>
    <s v="N"/>
    <x v="17"/>
    <s v="9985676066"/>
    <s v="X"/>
    <n v="3576.8500000000058"/>
    <n v="80000"/>
    <n v="83576.850000000006"/>
    <n v="35994.51"/>
    <n v="47582.34"/>
    <n v="41662.410000000003"/>
    <n v="16650"/>
    <n v="6163.18"/>
    <x v="0"/>
    <x v="0"/>
    <n v="20000"/>
    <n v="-13836.82"/>
    <x v="1"/>
    <s v="D"/>
    <s v="30501-BBPS Payment received"/>
    <s v="SAMBA"/>
    <x v="3"/>
    <x v="0"/>
    <s v="5/171-B NAALA GADDA VEEDHI NAALA GADDA VEEDHI ANANTAPUR ANANTAPUR ANP 515402 "/>
    <s v="RELIANCE  SMSL LIMITED &quot;1SY FLOOR, DNO 18-55&quot; &quot;KVS COMPLEX ,ANANTAPUR&quot; &quot;KVS COMPLEX ,ANANTAPUR&quot; GUNTAKAL ANP 515801 "/>
    <s v="ANANTAPUR"/>
    <x v="2"/>
    <x v="26"/>
    <s v="T SRINIVAS"/>
    <n v="802030802"/>
    <s v="Sgr@0987"/>
    <m/>
    <m/>
    <x v="0"/>
    <m/>
    <m/>
    <x v="10"/>
    <d v="2024-08-06T00:00:00"/>
    <n v="12000"/>
    <s v="ICICI Bank Coral RuPay Credit Card"/>
    <s v="10TH JUNE"/>
    <d v="2026-06-08T00:00:00"/>
  </r>
  <r>
    <s v="4748461213306007"/>
    <s v="MS KARUTURI JAHNAVI"/>
    <n v="0"/>
    <x v="0"/>
    <m/>
    <m/>
    <s v="N"/>
    <x v="17"/>
    <s v="6304676522"/>
    <s v="X"/>
    <n v="7155.3099999999977"/>
    <n v="70000"/>
    <n v="77155.31"/>
    <s v=""/>
    <n v="77155.31"/>
    <n v="69995.679999999993"/>
    <n v="18780"/>
    <n v="6340"/>
    <x v="0"/>
    <x v="0"/>
    <n v="77155.31"/>
    <n v="-70815.31"/>
    <x v="1"/>
    <s v="D"/>
    <s v="30501-BBPS Payment received"/>
    <s v="SAMBA"/>
    <x v="3"/>
    <x v="0"/>
    <s v="&quot;2-3,TANUKU MANDALAM,MANDAPAKA,RURAL,.,.,&quot; &quot;RURAL ,WEST GODAVARI,&quot; &quot;WEST GODAVARI,ANDHRAPRADESH&quot; NEAR MANIKANTA MILK CENTER BHIMAVARAM ANP 534218 "/>
    <s v="TATA CONSULTANCY SERVICES LIMITED PREMISES NO.2-56/1/36 PHASE 2 GACHIBOWLI &quot;ROAD TCS,SERI LINGAMPALLY, GACHIBOWLI,&quot; &quot;ROAD TCS,SERI LINGAMPALLY, GACHIBOWLI,&quot; HYDERABAD TNG 500019 "/>
    <s v="BHIMAVARAM"/>
    <x v="0"/>
    <x v="13"/>
    <s v="MANIKANTA"/>
    <n v="802852449"/>
    <s v="Ssd@9290"/>
    <m/>
    <m/>
    <x v="0"/>
    <s v="LIVE"/>
    <s v="Custmor phone respond PTP tomorrow sir"/>
    <x v="19"/>
    <d v="2026-03-12T00:00:00"/>
    <n v="13550"/>
    <s v="MakeMyTrip ICICI Bank Platinum Credit Card"/>
    <s v="10TH JUNE"/>
    <d v="2026-06-08T00:00:00"/>
  </r>
  <r>
    <s v="4748464746948006"/>
    <s v="MR KALLURI AJAY"/>
    <n v="0"/>
    <x v="0"/>
    <m/>
    <m/>
    <s v="N"/>
    <x v="17"/>
    <s v="9160233713"/>
    <s v="X"/>
    <n v="6810.0099999999948"/>
    <n v="70000"/>
    <n v="76810.009999999995"/>
    <n v="4336.4399999999996"/>
    <n v="72473.570000000007"/>
    <n v="62481.88"/>
    <n v="23630"/>
    <n v="9940"/>
    <x v="0"/>
    <x v="0"/>
    <n v="72473.570000000007"/>
    <n v="-62533.570000000007"/>
    <x v="1"/>
    <s v="D"/>
    <s v="30501-BBPS Payment received"/>
    <s v="SAMBA"/>
    <x v="3"/>
    <x v="0"/>
    <s v="9-71 BEJJANKI BEJJANKI NEAR BUS STOP KARIMNAGAR TNG 505528 "/>
    <s v="SRINIVASA ONLINE COMMUNICATION 1-1 &quot;BEJANKI,SUDDIPET&quot; &quot;BEJANKI,SUDDIPET&quot; KARIMNAGAR TNG 505528 "/>
    <s v="KARIMNAGAR"/>
    <x v="1"/>
    <x v="21"/>
    <s v="RAJKUMAR"/>
    <n v="802835406"/>
    <s v="Ssde@9290"/>
    <m/>
    <m/>
    <x v="0"/>
    <m/>
    <m/>
    <x v="10"/>
    <d v="2025-01-09T00:00:00"/>
    <n v="69001"/>
    <s v="Chennai Super Kings ICICI Bank Credit Card"/>
    <s v="10TH JUNE"/>
    <d v="2026-06-08T00:00:00"/>
  </r>
  <r>
    <s v="5241935736752010"/>
    <s v="MR M SAI KIRAN REDDY"/>
    <n v="0"/>
    <x v="0"/>
    <m/>
    <m/>
    <s v="N"/>
    <x v="17"/>
    <s v="7660808843"/>
    <s v="W"/>
    <n v="-34813.5"/>
    <n v="110000"/>
    <n v="75186.5"/>
    <s v=""/>
    <n v="75186.5"/>
    <n v="68829.899999999994"/>
    <n v="10610"/>
    <n v="4080"/>
    <x v="0"/>
    <x v="0"/>
    <n v="10610"/>
    <n v="-6530"/>
    <x v="18"/>
    <s v="TC"/>
    <s v="30501-BBPS Payment received"/>
    <s v="SAMBA"/>
    <x v="2"/>
    <x v="0"/>
    <s v="5-63 MAIN ROAD VALIGONDA EDULLAGUDA  NEAR ZPHS HIGH SCHOOL NALGONDA TNG 508112 "/>
    <s v="OFFICE OF THE DISTRICT MEDICAL HEALTH OF BDK SAMAD CHOURASTHA UPHC THURKAPALLY BHONGIR THURKAPALLY BHONGIR NALGONDA TNG 508116 "/>
    <s v="NALGONDA"/>
    <x v="1"/>
    <x v="18"/>
    <s v="INAMUL"/>
    <n v="802823175"/>
    <s v="Sgr@9290"/>
    <m/>
    <m/>
    <x v="0"/>
    <m/>
    <m/>
    <x v="10"/>
    <d v="2025-10-20T00:00:00"/>
    <n v="12120"/>
    <s v="ICICI Bank HPCL Super Saver Master Credit Card"/>
    <s v="10TH JUNE"/>
    <d v="2026-06-08T00:00:00"/>
  </r>
  <r>
    <s v="4748464753219002"/>
    <s v="MR DANTU DURGA PRASAD"/>
    <n v="0"/>
    <x v="0"/>
    <m/>
    <m/>
    <s v="O"/>
    <x v="17"/>
    <s v="7997499850"/>
    <s v="X"/>
    <n v="2692.7200000000012"/>
    <n v="70000"/>
    <n v="72692.72"/>
    <n v="6542.39"/>
    <n v="66150.33"/>
    <n v="63197.36"/>
    <n v="13020"/>
    <n v="6420"/>
    <x v="0"/>
    <x v="0"/>
    <n v="13020"/>
    <n v="-6600"/>
    <x v="15"/>
    <s v="TC"/>
    <s v="30501-BBPS Payment received"/>
    <s v="SAMBA"/>
    <x v="4"/>
    <x v="0"/>
    <s v="3-92/1 PEDAVEGI MANDALAM KAVVAGUNTA VILLAGE  ELURU ANP 534475 "/>
    <s v="MANPOWERGROUP SERVICES INDIA PRIVATE LIM DNO 1 RELIANCE TRENDS 1 ST FLOOR VINUKONDA ROAD PALNADU VINUKONDA ROAD PALNADU NARASAPURAM ANP 522647 "/>
    <s v="ELURU"/>
    <x v="0"/>
    <x v="32"/>
    <s v="BHARAT CHANDRA"/>
    <n v="802631601"/>
    <s v="Ssde@9290"/>
    <m/>
    <m/>
    <x v="0"/>
    <m/>
    <m/>
    <x v="10"/>
    <d v="2024-07-08T00:00:00"/>
    <n v="66000"/>
    <s v="ICICI Bank Expressions Credit Card"/>
    <s v="10TH JUNE"/>
    <d v="2026-06-08T00:00:00"/>
  </r>
  <r>
    <s v="4748464731607005"/>
    <s v="MR MALUGA MANIKANTA"/>
    <n v="0"/>
    <x v="0"/>
    <m/>
    <m/>
    <s v="N"/>
    <x v="17"/>
    <s v="9705552733"/>
    <s v="X"/>
    <n v="6271.4400000000023"/>
    <n v="65000"/>
    <n v="71271.44"/>
    <s v=""/>
    <n v="71271.44"/>
    <n v="64034.68"/>
    <n v="17220"/>
    <n v="5500"/>
    <x v="0"/>
    <x v="2"/>
    <n v="6000"/>
    <n v="-500"/>
    <x v="1"/>
    <s v="D"/>
    <s v="30501-BBPS Payment received"/>
    <s v="SAMBA"/>
    <x v="1"/>
    <x v="0"/>
    <s v="6-131   NALGONDA NALGONDA TNG 508112 "/>
    <s v="HDB FINANCIAL SERVICES LIMITED 3-388/2 FIRST FLOOR GANESH NAGAR CHOUTUPPAL NALGONDA CHOUTUPPAL NALGONDA NALGONDA TNG 508252 "/>
    <s v="NALGONDA"/>
    <x v="1"/>
    <x v="18"/>
    <s v="INAMUL"/>
    <n v="802823175"/>
    <s v="Sgr@9290"/>
    <m/>
    <m/>
    <x v="0"/>
    <s v="LIVE"/>
    <s v="Customer office adress visit and Customer prasent bhongir hospital and customer call Answer ptp on Tommorow"/>
    <x v="22"/>
    <d v="2024-07-03T00:00:00"/>
    <n v="40000"/>
    <s v="ICICI Bank HPCL Super Saver Visa Credit Card"/>
    <s v="10TH JUNE"/>
    <d v="2026-06-08T00:00:00"/>
  </r>
  <r>
    <s v="5241935796367006"/>
    <s v="MS GOLLAPALLI SUNITHA"/>
    <n v="0"/>
    <x v="0"/>
    <m/>
    <m/>
    <s v="N"/>
    <x v="17"/>
    <s v="8919665047"/>
    <s v="X"/>
    <n v="8850.1199999999953"/>
    <n v="60000"/>
    <n v="68850.12"/>
    <s v=""/>
    <n v="68850.12"/>
    <n v="59992.74"/>
    <n v="22930"/>
    <n v="11050"/>
    <x v="1"/>
    <x v="1"/>
    <n v="0"/>
    <n v="11050"/>
    <x v="1"/>
    <s v="NA"/>
    <n v="0"/>
    <s v="SAMBA"/>
    <x v="4"/>
    <x v="0"/>
    <s v="H NO.9-6-32 SANYASI BATHI KOTHAGUDEM NEAR TEMPLE KHAMMAM TNG 507101 "/>
    <s v="ICICI PRUDENTIAL LIFE INSURANCE CO LIMIT DOOR NO.6 42/1 ICICIPRUDENTIAL LIFE INSU RANCE CO LTD LAXMIDEVIPALLI KOTHAGUDEM RANCE CO LTD LAXMIDEVIPALLI KOTHAGUDEM KHAMMAM TNG 507101 "/>
    <s v="KHAMMAM"/>
    <x v="1"/>
    <x v="7"/>
    <s v="POORNIMA"/>
    <n v="802824019"/>
    <s v="Nihan@2421"/>
    <m/>
    <m/>
    <x v="0"/>
    <s v="MESS"/>
    <s v="Visited customer given address Customer not available Customer daughter available information given to daughter she will inform to customer mobile ringing not responding Re visit again sir. // Re visited customer given address customer daughter available customer responded on phone given PTP 15th sir. // Customer given PTP today Visited customer working address present customer in leave confirmed by staff phone cals not responding revisit again Tommorow sir. // Revisited customer given address customer given PTP today broken . Door lock Customer out of station Contacted customer through phone given PTP today evening sir...."/>
    <x v="27"/>
    <d v="2025-10-13T00:00:00"/>
    <n v="3500"/>
    <s v="ICICI Bank Expressions Credit Card"/>
    <s v="10TH JUNE"/>
    <d v="2026-06-08T00:00:00"/>
  </r>
  <r>
    <s v="4748464737666005"/>
    <s v="MR SADIRE THIRUPATHI"/>
    <n v="0"/>
    <x v="0"/>
    <m/>
    <m/>
    <s v="N"/>
    <x v="17"/>
    <s v="9515580860"/>
    <s v="X"/>
    <n v="6808.8399999999965"/>
    <n v="60000"/>
    <n v="66808.84"/>
    <n v="1532.05"/>
    <n v="65276.79"/>
    <n v="47345.760000000002"/>
    <n v="41490"/>
    <n v="29270"/>
    <x v="1"/>
    <x v="1"/>
    <n v="0"/>
    <n v="29270"/>
    <x v="1"/>
    <s v="NA"/>
    <n v="0"/>
    <s v="SAMBA"/>
    <x v="3"/>
    <x v="0"/>
    <s v="H NO 1-99/1 THIMMAPUR MANDLAM  KARIMNAGAR HYDERABAD TNG 505469 "/>
    <s v="DEPARTMNETS OF POSTS POST OFFICE &quot;LMD COLONY,THIMMAPUR,KARIMNAGAR&quot; &quot;LMD COLONY,THIMMAPUR,KARIMNAGAR&quot; KARIMNAGAR TNG 505527 "/>
    <s v="KARIMNAGAR"/>
    <x v="1"/>
    <x v="27"/>
    <s v="SUMANTH"/>
    <n v="802370852"/>
    <s v="Sgr@9290"/>
    <m/>
    <m/>
    <x v="0"/>
    <s v="LIVE"/>
    <s v="Customer live in address and he went to office and given ptp on 19th date"/>
    <x v="22"/>
    <d v="2026-03-25T00:00:00"/>
    <n v="22100"/>
    <s v="Chennai Super Kings ICICI Bank Credit Card"/>
    <s v="10TH JUNE"/>
    <d v="2026-06-08T00:00:00"/>
  </r>
  <r>
    <s v="4748464725090002"/>
    <s v="MR KATURI ANAND BABU"/>
    <n v="0"/>
    <x v="0"/>
    <m/>
    <m/>
    <s v="N"/>
    <x v="17"/>
    <s v="6309255886"/>
    <s v="X"/>
    <n v="4234.5800000000017"/>
    <n v="60000"/>
    <n v="64234.58"/>
    <n v="19110.86"/>
    <n v="45123.72"/>
    <n v="39970.6"/>
    <n v="29900"/>
    <n v="4960"/>
    <x v="1"/>
    <x v="1"/>
    <n v="0"/>
    <n v="4960"/>
    <x v="1"/>
    <s v="NA"/>
    <n v="0"/>
    <s v="SAMBA"/>
    <x v="2"/>
    <x v="2"/>
    <s v="16-82 MARLAPALEM  KRISHNA VIJAYAWADA ANP 521101 "/>
    <s v="RAVI HOSPITAL &quot;DOOR NO 29-28/1-24,KOVELAMUDI VARI STREE&quot; SURYA RAO PET SURYA RAO PET VIJAYAWADA ANP 520002 "/>
    <s v="VIJAYAWADA"/>
    <x v="0"/>
    <x v="22"/>
    <s v="SUDHAKAR"/>
    <n v="802913252"/>
    <s v="Ssd@9290"/>
    <m/>
    <m/>
    <x v="0"/>
    <s v="SKIP"/>
    <s v="Customer not working in the working address"/>
    <x v="20"/>
    <d v="2026-02-06T00:00:00"/>
    <n v="10400"/>
    <s v="Chennai Super Kings ICICI Bank Credit Card"/>
    <s v="10TH JUNE"/>
    <d v="2026-06-08T00:00:00"/>
  </r>
  <r>
    <s v="4748464752727005"/>
    <s v="MR BAMPELLY SURESH"/>
    <n v="0"/>
    <x v="0"/>
    <m/>
    <m/>
    <s v="N"/>
    <x v="17"/>
    <s v="8639164940"/>
    <s v="X"/>
    <n v="3201.8499999999985"/>
    <n v="60000"/>
    <n v="63201.85"/>
    <n v="2102.7399999999998"/>
    <n v="61099.11"/>
    <n v="56090.59"/>
    <n v="11550"/>
    <n v="4260"/>
    <x v="0"/>
    <x v="0"/>
    <n v="11550"/>
    <n v="-7290"/>
    <x v="22"/>
    <s v="TC"/>
    <s v="30501-BBPS Payment received"/>
    <s v="SAMBA"/>
    <x v="4"/>
    <x v="0"/>
    <s v="55-1-325/1 BHEEMARAM BHEEMARAM NEAR RADHIKA HOSPITAL WARANGAL TNG 506009 "/>
    <s v="GOVERNMENT OF TELANGANA MPDO OFFICE ETURNAGARAM ETURNAGARAM WARANGAL TNG 506165 "/>
    <s v="WARANGAL"/>
    <x v="1"/>
    <x v="30"/>
    <s v="AKHIL"/>
    <n v="801772792"/>
    <s v="Sgr@9290"/>
    <m/>
    <m/>
    <x v="0"/>
    <m/>
    <m/>
    <x v="10"/>
    <d v="2024-09-05T00:00:00"/>
    <n v="3762.15"/>
    <s v="ICICI Bank Expressions Credit Card"/>
    <s v="10TH JUNE"/>
    <d v="2026-06-08T00:00:00"/>
  </r>
  <r>
    <s v="4073520406933003"/>
    <s v="MS CHIPPALAPALLY UPARNA"/>
    <n v="0"/>
    <x v="0"/>
    <m/>
    <m/>
    <s v="O"/>
    <x v="17"/>
    <s v="9505626079"/>
    <s v="X"/>
    <n v="-58375.65"/>
    <n v="120000"/>
    <n v="61624.35"/>
    <s v=""/>
    <n v="61624.35"/>
    <n v="54322.61"/>
    <n v="13380"/>
    <n v="6750"/>
    <x v="1"/>
    <x v="1"/>
    <n v="0"/>
    <n v="6750"/>
    <x v="1"/>
    <s v="NA"/>
    <n v="0"/>
    <s v="SAMBA"/>
    <x v="4"/>
    <x v="0"/>
    <s v="&quot;4-11-434/4, CHAITANYAPURI COLONY,&quot; &quot;FROM GV GUDAM ROAD TO NATION,&quot; NALGONDA NEAR NATIONAL FUNCTION HALL NALGONDA TNG 508001 "/>
    <s v="NEW NAGAPRASANNA AUTO CONSULTANCY &quot;CHAITNYAPURI COLONY, NEAR NATIONAL FUNCT&quot; &quot;ION HALL, DVK ROAD,  NALGONDA&quot; &quot;ION HALL, DVK ROAD,  NALGONDA&quot; NALGONDA TNG 508001 "/>
    <s v="NALGONDA"/>
    <x v="1"/>
    <x v="18"/>
    <s v="INAMUL"/>
    <n v="802823175"/>
    <s v="Sgr@9290"/>
    <m/>
    <m/>
    <x v="0"/>
    <s v="LIVE"/>
    <s v="Customer Adress visit and Customer prasent in Village goto work purpose prasent home lock and Customer call answer He is getting angry because he says he was told last month that the amount would be converted into an EMI, but it wasn't done and Customer ptp on Monday"/>
    <x v="21"/>
    <s v=""/>
    <n v="0"/>
    <s v="MakeMyTrip ICICI Bank Signature Credit Card"/>
    <s v="10TH JUNE"/>
    <d v="2026-06-08T00:00:00"/>
  </r>
  <r>
    <s v="5241935714151003"/>
    <s v="MR DEVARAKONDA BALAKOTESWARA RAO"/>
    <n v="0"/>
    <x v="0"/>
    <m/>
    <m/>
    <s v="N"/>
    <x v="17"/>
    <s v="9666161771"/>
    <s v="X"/>
    <n v="1250.9000000000015"/>
    <n v="60000"/>
    <n v="61250.9"/>
    <s v=""/>
    <n v="61250.9"/>
    <n v="53445.82"/>
    <n v="14210"/>
    <n v="6470"/>
    <x v="1"/>
    <x v="1"/>
    <n v="0"/>
    <n v="6470"/>
    <x v="1"/>
    <s v="NA"/>
    <n v="0"/>
    <s v="DURGA"/>
    <x v="0"/>
    <x v="0"/>
    <s v="5-145 KHAJIPALEM GUNTUR MAIN ROAD GUNTUR ANP 522329 "/>
    <s v="VDA INFOSOLUTIONS PVT LTD &quot;76,SHAKUNTALA,5TH ROAD&quot; MUMBAI MUMBAI MUMBAI MAH 400052 "/>
    <s v="GUNTUR"/>
    <x v="3"/>
    <x v="44"/>
    <s v="DURGA"/>
    <n v="801723195"/>
    <s v="Sgr@9290"/>
    <m/>
    <m/>
    <x v="0"/>
    <s v="SKIP"/>
    <s v="CUSTOMER NOT LIVING IN GIVING ADDERS CUSTOMER PAYMENT IN 18 PHONE PTP SIR // CUSTOMER NOT LIVING IN GIVING ADDERS CUSTOMER ASKING TIME TO PAY PHONR PTP SIR // CUSTOMER NOT LIVING IN GIVING ADDERS CUSTOMER ASKING TIME  CUSTOMER PAYMENT IN ADDJEST NENT TODAY EVINING SIR"/>
    <x v="26"/>
    <d v="2024-07-03T00:00:00"/>
    <n v="37053.31"/>
    <s v="ICICI Bank HPCL Super Saver Master Credit Card"/>
    <s v="10TH JUNE"/>
    <d v="2026-06-08T00:00:00"/>
  </r>
  <r>
    <s v="4748464712342002"/>
    <s v="MR MADDURU BALA CHANDRA"/>
    <n v="0"/>
    <x v="0"/>
    <m/>
    <m/>
    <s v="N"/>
    <x v="17"/>
    <s v="9052678935"/>
    <s v="W"/>
    <n v="-168882.99"/>
    <n v="230000"/>
    <n v="61117.01"/>
    <n v="30263.7"/>
    <n v="30853.31"/>
    <n v="27534.48"/>
    <n v="30853.31"/>
    <n v="14853.03"/>
    <x v="1"/>
    <x v="1"/>
    <n v="0"/>
    <n v="14853.03"/>
    <x v="1"/>
    <s v="NA"/>
    <n v="0"/>
    <s v="SAMBA"/>
    <x v="1"/>
    <x v="0"/>
    <s v="2/132-H KRANTHI NAGAR KRANTHI NAGAR CUDDAPAH PRODDATUR ANP 516309 "/>
    <s v="COGNIZANT TECHNOLOGY SOLUTIONS INDIA PRI COGNIZANT TECHNOLOGY SOLUTIONS PVT LTD GACHIBOWLI APHB COLONY GACHIBOWLI APHB COLONY HYDERABAD TNG 500019 "/>
    <s v="PRODDATUR"/>
    <x v="2"/>
    <x v="31"/>
    <s v="POORNIMA"/>
    <n v="802824019"/>
    <s v="Nihan@2421"/>
    <m/>
    <m/>
    <x v="1"/>
    <m/>
    <m/>
    <x v="10"/>
    <d v="2025-12-11T00:00:00"/>
    <n v="21600"/>
    <s v="Chennai Super Kings ICICI Bank Credit Card"/>
    <s v="10TH JUNE"/>
    <d v="2026-06-08T00:00:00"/>
  </r>
  <r>
    <s v="4073520361249007"/>
    <s v="MR MOHAMMED ANWAR"/>
    <n v="0"/>
    <x v="0"/>
    <m/>
    <m/>
    <s v="N"/>
    <x v="17"/>
    <s v="9989648073"/>
    <s v="X"/>
    <n v="-60713.82"/>
    <n v="120000"/>
    <n v="59286.18"/>
    <s v=""/>
    <n v="59286.18"/>
    <n v="51997"/>
    <n v="12370"/>
    <n v="5960"/>
    <x v="1"/>
    <x v="1"/>
    <n v="0"/>
    <n v="5960"/>
    <x v="1"/>
    <s v="NA"/>
    <n v="0"/>
    <s v="SAMBA"/>
    <x v="1"/>
    <x v="0"/>
    <s v="25-11 BADEPALLY FAZAL BANDA NEAR MADINA MASJID JEDCHERLA TNG 509301 "/>
    <s v="CITY FASHION SHOPE NO 30/78 KVR COMPLEX NETA JI ROAD DIST MAHEBOOBNAGAR STATE TELANGANA DIST MAHEBOOBNAGAR STATE TELANGANA JEDCHERLA TNG 509301 "/>
    <s v="JEDCHERLA"/>
    <x v="1"/>
    <x v="15"/>
    <s v="SAMBA"/>
    <n v="801772794"/>
    <s v="Ssde@9876"/>
    <m/>
    <m/>
    <x v="1"/>
    <m/>
    <m/>
    <x v="10"/>
    <d v="2024-01-07T00:00:00"/>
    <n v="50380.57"/>
    <s v="MakeMyTrip ICICI Bank Signature Credit Card"/>
    <s v="10TH JUNE"/>
    <d v="2026-06-08T00:00:00"/>
  </r>
  <r>
    <s v="5241935799793000"/>
    <s v="MR UBA VIJAYA KUMAR"/>
    <n v="0"/>
    <x v="0"/>
    <m/>
    <m/>
    <s v="N"/>
    <x v="17"/>
    <s v="9676613974"/>
    <s v="X"/>
    <n v="6342.0400000000009"/>
    <n v="50000"/>
    <n v="56342.04"/>
    <s v=""/>
    <n v="56342.04"/>
    <n v="49742.34"/>
    <n v="15690"/>
    <n v="4790"/>
    <x v="0"/>
    <x v="0"/>
    <n v="56342.04"/>
    <n v="-51552.04"/>
    <x v="15"/>
    <s v="TC"/>
    <s v="30501-BBPS Payment received"/>
    <s v="SAMBA"/>
    <x v="2"/>
    <x v="0"/>
    <s v="&quot;DOOR NO 2-61,&quot; AREDU POST  UNDI BHIMAVARAM ANP 534199 "/>
    <s v="CIPLA LIMITED DHAGYACHAKARA CHAMBERS BUILDING 1ST FLOOR 1ST FLOOR VIJAYAWADA ANP 520007 "/>
    <s v="BHIMAVARAM"/>
    <x v="0"/>
    <x v="0"/>
    <s v="B NAGABABU"/>
    <n v="801448854"/>
    <s v="Sgr@9290"/>
    <m/>
    <m/>
    <x v="0"/>
    <m/>
    <m/>
    <x v="10"/>
    <d v="2026-03-21T00:00:00"/>
    <n v="2000"/>
    <s v="ICICI Bank HPCL Super Saver Master Credit Card"/>
    <s v="10TH JUNE"/>
    <d v="2026-06-08T00:00:00"/>
  </r>
  <r>
    <s v="4748460819680005"/>
    <s v="MR AENAPALLY YADAGIRI"/>
    <n v="0"/>
    <x v="0"/>
    <m/>
    <m/>
    <s v="N"/>
    <x v="17"/>
    <s v="9032682512"/>
    <s v="X"/>
    <n v="-47237.120000000003"/>
    <n v="100000"/>
    <n v="52762.879999999997"/>
    <s v=""/>
    <n v="52762.879999999997"/>
    <n v="45344.94"/>
    <n v="10060"/>
    <n v="4440"/>
    <x v="0"/>
    <x v="0"/>
    <n v="27500"/>
    <n v="-23060"/>
    <x v="1"/>
    <s v="D"/>
    <s v="12103-CASH PYMT RCVD"/>
    <s v="SAMBA"/>
    <x v="4"/>
    <x v="0"/>
    <s v="1-1-119/A/7/2/B THALLA GADDA SURYAPET BESIDE MUNICIPAL WATER TANK GATE  NEXT LANE OF GOVT PRIMARY SCHOOL SURYAPET TNG 508213 "/>
    <s v="MUNICIPAL ADMINISTRATION MUNICIPAL OFFICE BOYAWADA RAMAGIRI CENTRE CENTRE NALGONDA TNG 508001 "/>
    <s v="NALGONDA"/>
    <x v="1"/>
    <x v="24"/>
    <s v="INAMUL"/>
    <n v="802823175"/>
    <s v="Sgr@9290"/>
    <m/>
    <m/>
    <x v="0"/>
    <m/>
    <m/>
    <x v="10"/>
    <d v="2026-04-20T00:00:00"/>
    <n v="9000"/>
    <s v="MakeMyTrip ICICI Bank Platinum Credit Card"/>
    <s v="10TH JUNE"/>
    <d v="2026-06-08T00:00:00"/>
  </r>
  <r>
    <s v="4748468081203000"/>
    <s v="MR SANTHAN PARVATANENI"/>
    <n v="0"/>
    <x v="2"/>
    <m/>
    <m/>
    <s v="N"/>
    <x v="18"/>
    <s v="8686609060"/>
    <s v="X"/>
    <n v="21869.98000000001"/>
    <n v="220000"/>
    <n v="241869.98"/>
    <n v="40629.57"/>
    <n v="201240.41"/>
    <n v="178886.15"/>
    <n v="72590"/>
    <n v="30440"/>
    <x v="1"/>
    <x v="1"/>
    <n v="0"/>
    <n v="30440"/>
    <x v="1"/>
    <s v="NA"/>
    <n v="0"/>
    <s v="SAMBA"/>
    <x v="6"/>
    <x v="4"/>
    <s v="FLAT NO 404 RATNA TOWERS 2ND LANE JKCNAGAR GUNTUR NEAR JKC COLLEGE   GUNTUR ANP 522007"/>
    <s v="Santhan 501 akhil homes &quot;Bapiah nagar, JKC college road&quot; &quot;Bapiah nagar, JKC college road&quot; GUNTUR ANP 522006"/>
    <s v="GUNTUR"/>
    <x v="3"/>
    <x v="17"/>
    <s v="DURGA"/>
    <n v="801723195"/>
    <s v="Sgr@9290"/>
    <m/>
    <m/>
    <x v="0"/>
    <s v="SKIP"/>
    <s v="Customer given House address visited but customer not available mobile number ringing but not answering enquired with apartment security guard and renters customer not available at address given address was fake going to working address // Customer given second address visited customer not available customer father living at address but present not available revisit again customer mobile ringing but not answering // Customer given second address visited customer not available customer father living at address but present not available went Hyderabad conformed by apartment security guard customer mobile ringing but not answering"/>
    <x v="29"/>
    <d v="2026-03-25T00:00:00"/>
    <n v="30000"/>
    <s v="ICICI Bank Coral Credit Card"/>
    <s v="19TH JUNE"/>
    <d v="2026-06-09T00:00:00"/>
  </r>
  <r>
    <s v="4375519629008002"/>
    <s v="Mr K Srinivasulu"/>
    <n v="0"/>
    <x v="0"/>
    <m/>
    <m/>
    <s v="N"/>
    <x v="19"/>
    <s v="9182015954"/>
    <s v="X"/>
    <n v="54873.489999999991"/>
    <n v="480000"/>
    <n v="534873.49"/>
    <s v=""/>
    <n v="534873.49"/>
    <n v="470795.77"/>
    <n v="145000"/>
    <n v="55090"/>
    <x v="0"/>
    <x v="2"/>
    <n v="56580.01"/>
    <n v="-1490.010000000002"/>
    <x v="27"/>
    <s v="TC"/>
    <s v="12111-ICICI BANK COLLECTION PAYMENT"/>
    <s v="SAMBA"/>
    <x v="2"/>
    <x v="4"/>
    <s v="&quot;H NO 2-63,GADWAL(RURAL),GADWAL, CHENUGONIPALLE GADWAL MANDAL&quot;    Mahbubnagar TNG 509125"/>
    <s v="SElf employed Gadwal Noor Majid Noor Majid Mahbubnagar TNG 509125"/>
    <s v="MAHBOOBNAGAR"/>
    <x v="1"/>
    <x v="15"/>
    <s v="SAMBA"/>
    <n v="801772794"/>
    <s v="Ssde@9876"/>
    <m/>
    <m/>
    <x v="0"/>
    <m/>
    <m/>
    <x v="10"/>
    <d v="2026-03-21T00:00:00"/>
    <n v="20000"/>
    <s v="ICICI Bank Coral Credit Card"/>
    <s v="17TH JUNE"/>
    <d v="2026-06-10T00:00:00"/>
  </r>
  <r>
    <s v="4375516228352013"/>
    <s v="MR. DONEMDUDI SANDEEP"/>
    <n v="0"/>
    <x v="0"/>
    <m/>
    <m/>
    <s v="O"/>
    <x v="19"/>
    <s v="8555946976"/>
    <s v="X"/>
    <n v="-18854.260000000009"/>
    <n v="190000"/>
    <n v="171145.74"/>
    <n v="64540.95"/>
    <n v="106604.79"/>
    <n v="99153.279999999999"/>
    <n v="80680"/>
    <n v="40300"/>
    <x v="1"/>
    <x v="1"/>
    <n v="0"/>
    <n v="40300"/>
    <x v="1"/>
    <s v="NA"/>
    <n v="0"/>
    <s v="DURGA"/>
    <x v="0"/>
    <x v="4"/>
    <s v="4-125/1 NEAR AMBETHKAR STATUE AND LUTHERAN CHURCH KUNCHANAPALLI TADEPALLI MANDAL -NEAR YSR STATUE GUNTUR ANP 522501"/>
    <s v="KOTAK MAHINDRA BANK LIMITED &quot;40-1-48, SIRI TOWERS MG ROAD&quot; OPP SWEET MAGIC OPP SWEET MAGIC VIJAYAWADA ANP 520010"/>
    <s v="GUNTUR"/>
    <x v="3"/>
    <x v="29"/>
    <s v="DURGA"/>
    <n v="801723195"/>
    <s v="Sgr@9290"/>
    <m/>
    <m/>
    <x v="1"/>
    <m/>
    <m/>
    <x v="10"/>
    <d v="2026-05-20T00:00:00"/>
    <n v="35000"/>
    <s v="ICICI Bank Platinum Chip Credit Card"/>
    <s v="17TH JUNE"/>
    <d v="2026-06-10T00:00:00"/>
  </r>
  <r>
    <s v="5241935797598005"/>
    <s v="MR CHUNDURI SANDEEP"/>
    <n v="0"/>
    <x v="0"/>
    <m/>
    <m/>
    <s v="N"/>
    <x v="19"/>
    <s v="9949718345"/>
    <s v="X"/>
    <n v="10662.920000000013"/>
    <n v="150000"/>
    <n v="160662.92000000001"/>
    <s v=""/>
    <n v="160662.92000000001"/>
    <n v="148883.35"/>
    <n v="36440"/>
    <n v="8040"/>
    <x v="0"/>
    <x v="0"/>
    <n v="37250"/>
    <n v="-29210"/>
    <x v="28"/>
    <s v="FE"/>
    <s v="30501-BBPS Payment received"/>
    <s v="SAMBA"/>
    <x v="4"/>
    <x v="4"/>
    <s v="&quot;FLAT,NO 102 RAGHAVA KRISHNA,APARTMEN,,T&quot; &quot;TUMMALA VENKATA,SUBBA RAO STREE,&quot;  NEAR MAIN ROAD VIJAYAWADA ANP 520007"/>
    <s v="CONSTRUCTION &quot;FLAT NO 102,RAGHAVA KRISHNA APARTMENT&quot; TUMMALA VENKATA SUBBA RAO STREET TUMMALA VENKATA SUBBA RAO STREET VIJAYAWADA ANP 520007"/>
    <s v="VIJAYAWADA"/>
    <x v="0"/>
    <x v="22"/>
    <s v="SUDHAKAR"/>
    <n v="802913252"/>
    <s v="Ssd@9290"/>
    <m/>
    <m/>
    <x v="0"/>
    <s v="MESS"/>
    <s v="Customer currently unavailable informed to his family"/>
    <x v="26"/>
    <d v="2026-02-10T00:00:00"/>
    <n v="19560"/>
    <s v="ICICI Bank HPCL Super Saver Master Credit Card"/>
    <s v="17TH JUNE"/>
    <d v="2026-06-10T00:00:00"/>
  </r>
  <r>
    <s v="4375517459454007"/>
    <s v="MR. BHASKER DUVVARAPU"/>
    <n v="0"/>
    <x v="0"/>
    <m/>
    <m/>
    <s v="N"/>
    <x v="19"/>
    <s v="8886888592"/>
    <s v="X"/>
    <n v="7937.7099999999919"/>
    <n v="132000"/>
    <n v="139937.71"/>
    <n v="92383.76"/>
    <n v="47553.95"/>
    <n v="42545.440000000002"/>
    <n v="47553.95"/>
    <n v="14621.22"/>
    <x v="1"/>
    <x v="1"/>
    <n v="0"/>
    <n v="14621.22"/>
    <x v="1"/>
    <s v="NA"/>
    <n v="0"/>
    <s v="SAMBA"/>
    <x v="1"/>
    <x v="4"/>
    <s v="&quot;3-21,BIRKOOR MANDAL,TIMMAPUR,THIMMAPURAM&quot; - NIZAMABAD - NIZAMABAD ANP 503321"/>
    <s v="ZUVENTUS HEALTHCARE LTD 5/195 TH OBEROI GARDEN ESTATE SAKI NAKA D WING ANDHERI EAST CHANDIVALI FARM RD MUMBAI D WING ANDHERI EAST CHANDIVALI FARM RD MUMBAI MUMBAI MAH 400072"/>
    <s v="NIZAMABAD"/>
    <x v="1"/>
    <x v="20"/>
    <s v="D RAMU"/>
    <n v="802663344"/>
    <s v="Sgr@9290"/>
    <m/>
    <m/>
    <x v="1"/>
    <m/>
    <m/>
    <x v="10"/>
    <d v="2024-07-09T00:00:00"/>
    <n v="96770.72"/>
    <s v="ICICI Bank Coral Credit Card"/>
    <s v="17TH JUNE"/>
    <d v="2026-06-10T00:00:00"/>
  </r>
  <r>
    <s v="5241933217121003"/>
    <s v="MR. MANDLI JEEVAN"/>
    <n v="0"/>
    <x v="0"/>
    <m/>
    <m/>
    <s v="N"/>
    <x v="19"/>
    <s v="9440435043"/>
    <s v="X"/>
    <n v="-89771.74"/>
    <n v="220000"/>
    <n v="130228.26"/>
    <s v=""/>
    <n v="130228.26"/>
    <n v="119995"/>
    <n v="20990"/>
    <n v="5000"/>
    <x v="1"/>
    <x v="1"/>
    <n v="0"/>
    <n v="5000"/>
    <x v="1"/>
    <s v="NA"/>
    <n v="0"/>
    <s v="SAMBA"/>
    <x v="3"/>
    <x v="4"/>
    <s v="&quot;1/433-4,&quot; MARUTHI NAGAR KADAPA NEAR NAGARJUNA MODEL SCHOOL KADAPA ANP 516001"/>
    <s v="KARUR VYSYA BANK D NO 9-2-31 32 AND 33 NIRMALA MALL   Warangal TNG 506002"/>
    <s v="CUDDAPAH"/>
    <x v="2"/>
    <x v="5"/>
    <s v="PAVAN"/>
    <n v="802823180"/>
    <s v="Sgr@9290"/>
    <m/>
    <m/>
    <x v="1"/>
    <m/>
    <m/>
    <x v="10"/>
    <d v="2025-01-10T00:00:00"/>
    <n v="49000"/>
    <s v="ICICI Bank MasterCard  Platinum chip Credit Card"/>
    <s v="17TH JUNE"/>
    <d v="2026-06-10T00:00:00"/>
  </r>
  <r>
    <s v="4501721396182005"/>
    <s v="MR PULIDINDI RAO"/>
    <n v="0"/>
    <x v="0"/>
    <m/>
    <m/>
    <s v="N"/>
    <x v="20"/>
    <s v="9182171249"/>
    <s v="X"/>
    <n v="128606.40999999992"/>
    <n v="1780000"/>
    <n v="1908606.41"/>
    <n v="482532.14"/>
    <n v="1426074.27"/>
    <n v="1249565.1599999999"/>
    <n v="255580"/>
    <n v="79928.67"/>
    <x v="0"/>
    <x v="2"/>
    <n v="176450"/>
    <n v="-96521.33"/>
    <x v="28"/>
    <s v="25TH J"/>
    <s v="12124 - UPI Payment Received"/>
    <s v="SAMBA"/>
    <x v="3"/>
    <x v="0"/>
    <s v="&quot;12-147/1 HARIJANA PETA,PENTAPADU MANDALAM,&quot; &quot;PENTAPADU WEST,GODAVARI ANDHRA PRADESH 534166&quot;   WEST GODAVARI ANP 534166 "/>
    <s v="PP OIL NATURAL GAS COMM &quot;Dr P Mohan Rao,HNo-9-533, LIG-86, Muralidharnagar&quot; &quot;Opp SRMT Mall,RAMANAYYAPETA , Kakinada&quot; &quot;Opp SRMT Mall,RAMANAYYAPETA , Kakinada&quot; KAKINADA ANP 533005 "/>
    <s v="KAKINADA"/>
    <x v="0"/>
    <x v="13"/>
    <s v="MANIKANTA"/>
    <n v="802852449"/>
    <s v="Ssd@9290"/>
    <m/>
    <m/>
    <x v="0"/>
    <s v="SKIP"/>
    <s v="Custmor shifted  kakinada"/>
    <x v="19"/>
    <d v="2026-04-25T00:00:00"/>
    <n v="1899"/>
    <s v="ICICI Bank Sapphiro Visa Credit Card"/>
    <s v="10TH JUNE"/>
    <d v="2026-06-12T00:00:00"/>
  </r>
  <r>
    <s v="4375516423084015"/>
    <s v="MR ABDUL RIYAZ SHAIK"/>
    <n v="0"/>
    <x v="0"/>
    <m/>
    <s v="CC"/>
    <s v="O"/>
    <x v="20"/>
    <s v="7799278273"/>
    <s v="X"/>
    <n v="-9300.7199999999721"/>
    <n v="500000"/>
    <n v="490699.28"/>
    <n v="330539.38"/>
    <n v="160159.9"/>
    <n v="143525.01999999999"/>
    <n v="73010"/>
    <n v="35770"/>
    <x v="0"/>
    <x v="2"/>
    <n v="35770"/>
    <n v="0"/>
    <x v="1"/>
    <s v="D"/>
    <s v="30501-BBPS Payment received"/>
    <s v="DURGA"/>
    <x v="0"/>
    <x v="0"/>
    <s v="&quot;HAZI SAIDA MANZIL,8-6-14,VARAVAKATTA,,NA&quot; RASARAOPET  GUNTAR GUNTUR ANP 522601 "/>
    <s v="EMBITEL TECHNOLOGIES  INDIA PVT LTD DELTA  BLOCK SIGMA  SOFT  TECH  PARK UNIT NO 208  TO 216  2ND FLOOR UNIT NO 208  TO 216  2ND FLOOR BANGALORE KAR 560066 "/>
    <s v="GUNTUR"/>
    <x v="3"/>
    <x v="28"/>
    <s v="DURGA"/>
    <n v="801723195"/>
    <s v="Sgr@9290"/>
    <m/>
    <m/>
    <x v="0"/>
    <m/>
    <m/>
    <x v="10"/>
    <d v="2026-03-30T00:00:00"/>
    <n v="29500"/>
    <s v="ICICI Bank Platinum Chip Credit Card"/>
    <s v="10TH JUNE"/>
    <d v="2026-06-12T00:00:00"/>
  </r>
  <r>
    <s v="4375516552527024"/>
    <s v="MR ARAVIND PITTA"/>
    <n v="0"/>
    <x v="0"/>
    <m/>
    <m/>
    <s v="N"/>
    <x v="20"/>
    <s v="8121006887"/>
    <s v="X"/>
    <n v="33555.679999999993"/>
    <n v="360000"/>
    <n v="393555.68"/>
    <s v=""/>
    <n v="393555.68"/>
    <n v="359559.37"/>
    <n v="87840"/>
    <n v="36060"/>
    <x v="1"/>
    <x v="1"/>
    <n v="0"/>
    <n v="36060"/>
    <x v="1"/>
    <s v="NA"/>
    <n v="0"/>
    <s v="SAMBA"/>
    <x v="3"/>
    <x v="4"/>
    <s v="&quot;H.NO.10-7-47,RAMAVARI STREET,GIRMAJIPET,&quot; &quot;,GIRMAJIPET&quot;  &quot;NEAR TEMPLE, NEAR POST OFFICE,&quot; WARANGAL TNG 506002"/>
    <s v="IBM INDIA PRIVATE LIMITED &quot;MINDSPACE 12D,&quot; &quot;HITECH CITY, HYDERABAD,&quot; &quot;HITECH CITY, HYDERABAD,&quot; HYDERABAD TNG 500081"/>
    <s v="WARANGAL"/>
    <x v="1"/>
    <x v="30"/>
    <s v="AKHIL"/>
    <n v="801772792"/>
    <s v="Sgr@9290"/>
    <m/>
    <m/>
    <x v="0"/>
    <s v="DL"/>
    <s v="Cust house door locked respond to call and said Prasent cust family staying in hyd he will call back evng // House door locked and no such person enquiry by neighbours and cust no respond to calls"/>
    <x v="29"/>
    <d v="2026-04-08T00:00:00"/>
    <n v="67020"/>
    <s v="ICICI Rubyx Master PLT Chip Card"/>
    <s v="17TH JUNE"/>
    <d v="2026-06-12T00:00:00"/>
  </r>
  <r>
    <s v="4375510765534018"/>
    <s v="MR. DASARI VENU"/>
    <n v="0"/>
    <x v="0"/>
    <m/>
    <m/>
    <s v="N"/>
    <x v="20"/>
    <s v="9505880066"/>
    <s v="X"/>
    <n v="32635.830000000016"/>
    <n v="310000"/>
    <n v="342635.83"/>
    <s v=""/>
    <n v="342635.83"/>
    <n v="309291.3"/>
    <n v="83190"/>
    <n v="32910"/>
    <x v="0"/>
    <x v="2"/>
    <n v="38000"/>
    <n v="-5090"/>
    <x v="1"/>
    <s v="D"/>
    <s v="30501-BBPS Payment received"/>
    <s v="SAMBA"/>
    <x v="2"/>
    <x v="0"/>
    <s v="HNO C7VL QUATERS RDO BUNGALOW ACC MANCHERIAL  NEAR BUS STAND ADILABAD TNG 504208 "/>
    <s v="GOVT OF TELANGANA REVENUE DEPARTMENT GOVT OF TELANGANA RDO OFFICE MANCHERIAL MANCHERIAL MANCHERIAL ADILABAD TNG 504208 "/>
    <s v="ADILABAD"/>
    <x v="1"/>
    <x v="11"/>
    <s v="T RAMESH "/>
    <n v="801217009"/>
    <s v="Ssd@9290"/>
    <m/>
    <m/>
    <x v="0"/>
    <s v="SKIP"/>
    <s v="Customer given address visit customer address not found, no information from neighbors call not answer"/>
    <x v="22"/>
    <d v="2025-02-13T00:00:00"/>
    <n v="15000"/>
    <s v="ICICI Bank Coral Credit Card"/>
    <s v="10TH JUNE"/>
    <d v="2026-06-12T00:00:00"/>
  </r>
  <r>
    <s v="4315814673518011"/>
    <s v="MR SHAIK MOHAMMED RAFI"/>
    <n v="0"/>
    <x v="0"/>
    <m/>
    <m/>
    <s v="N"/>
    <x v="20"/>
    <s v="8712341862"/>
    <s v="X"/>
    <n v="21180.299999999988"/>
    <n v="310000"/>
    <n v="331180.3"/>
    <s v=""/>
    <n v="331180.3"/>
    <n v="309851.19"/>
    <n v="70760"/>
    <n v="14534.98"/>
    <x v="1"/>
    <x v="1"/>
    <n v="0"/>
    <n v="14534.98"/>
    <x v="1"/>
    <s v="NA"/>
    <n v="0"/>
    <s v="DURGA"/>
    <x v="0"/>
    <x v="0"/>
    <s v="25.17.219.2ND.ZENDA.CHETTU. STREET.NIZAM.BAZAR.SRINIVASARAO.PETA ..  GUNTUR ANP 522004 "/>
    <s v="Epowerx.private.ltd. SRINIVASARAO.pet.2Nd.flag.tree Street.naizam.bazar Street.naizam.bazar GUNTUR ANP 522004 "/>
    <s v="GUNTUR"/>
    <x v="3"/>
    <x v="17"/>
    <s v="DURGA"/>
    <n v="801723195"/>
    <s v="Sgr@9290"/>
    <m/>
    <m/>
    <x v="0"/>
    <s v="LIVE"/>
    <s v="ADDRESS VISTED CUSTOMER LIVE BUT PRESENT CUSTOMER NOT AVAILABLE AT HOME RESPONDED TO PHONE CALL CUSTOMER SUFFERING FROM JOB LOSS AND HEALTH ISSUES PROVIDED INJECTION LETTER // CUSTOMER GIVEN HOUSE ADDRESS VISTED CUSTOMER LIVE BUT PRESENT CUSTOMER NOT AVAILABLE AT HOME RESPONDED TO PHONE CALL CUSTOMER SUFFERING FROM JOB LOSS AND HEALTH ISSUES PROVIDED INJECTION LETTER // CUSTOMER GIVEN HOUSE ADDRESS VISTED CUSTOMER LIVE BUT PRESENT CUSTOMER NOT AVAILABLE AT HOME RESPONDED TO PHONE CALL CUSTOMER SUFFERING FROM JOB LOSS AND HEALTH ISSUES PROVIDED INJECTION LETTER"/>
    <x v="30"/>
    <d v="2026-01-12T00:00:00"/>
    <n v="74397"/>
    <s v="Amazon Pay ICICI Bank Credit Card"/>
    <s v="10TH JUNE"/>
    <d v="2026-06-12T00:00:00"/>
  </r>
  <r>
    <s v="4748469601152008"/>
    <s v="MS TODETI ROHITA"/>
    <n v="0"/>
    <x v="0"/>
    <m/>
    <m/>
    <s v="N"/>
    <x v="20"/>
    <s v="9121574274"/>
    <s v="X"/>
    <n v="2753.5200000000186"/>
    <n v="280000"/>
    <n v="282753.52"/>
    <n v="119673.62"/>
    <n v="163079.9"/>
    <n v="148175.75"/>
    <n v="44420"/>
    <n v="20670"/>
    <x v="1"/>
    <x v="1"/>
    <n v="0"/>
    <n v="20670"/>
    <x v="1"/>
    <s v="NA"/>
    <n v="0"/>
    <s v="DURGA"/>
    <x v="0"/>
    <x v="4"/>
    <s v="1-18 CHINATHALANKA CHINATHALANKA CHINATHALANKA GUNTUR ANP 522324"/>
    <s v="GOVERNMENT OF ANHMDHRPRADESH BALIJEPALLI SECRETARIAT BALIJEPALLI VILL VEMUR MANDAL BAPATLA DIST VEMUR MANDAL BAPATLA DIST GUNTUR ANP 522261"/>
    <s v="GUNTUR"/>
    <x v="3"/>
    <x v="9"/>
    <s v="DURGA"/>
    <n v="801723195"/>
    <s v="Sgr@9290"/>
    <m/>
    <m/>
    <x v="0"/>
    <s v="SKIP"/>
    <s v="Ch live present not available shifted to pedravuru veterinary hospital mobile answering some bank account issue Monday will slove Wednesday will pay"/>
    <x v="25"/>
    <d v="2024-10-15T00:00:00"/>
    <n v="4779"/>
    <s v="ICICI Bank HPCL Super Saver Visa Credit Card"/>
    <s v="17TH JUNE"/>
    <d v="2026-06-12T00:00:00"/>
  </r>
  <r>
    <s v="4315813038513006"/>
    <s v="MR DUBBAKA THRISHUL"/>
    <n v="0"/>
    <x v="0"/>
    <m/>
    <m/>
    <s v="N"/>
    <x v="20"/>
    <s v="8686866007"/>
    <s v="X"/>
    <n v="-41499.869999999995"/>
    <n v="220000"/>
    <n v="178500.13"/>
    <n v="80197.919999999998"/>
    <n v="98302.21"/>
    <n v="85928.34"/>
    <n v="44590"/>
    <n v="20790"/>
    <x v="1"/>
    <x v="1"/>
    <n v="0"/>
    <n v="20790"/>
    <x v="1"/>
    <s v="NA"/>
    <n v="0"/>
    <s v="SAMBA"/>
    <x v="2"/>
    <x v="4"/>
    <s v="&quot;H NO,3-17-34 RAJARAM NAGAR,ARMUR,.,&quot; MUNCIPALITY ARMUR . MUNCIPALITY ARMUR NIZAMABAD TNG 503224"/>
    <s v="TATA MOTORS LIMITED 1-3-2 Perkit Perkit NIZAMABAD TNG 503224"/>
    <s v="NIZAMABAD"/>
    <x v="1"/>
    <x v="20"/>
    <s v="D RAMU"/>
    <n v="802663344"/>
    <s v="Sgr@9290"/>
    <m/>
    <m/>
    <x v="0"/>
    <s v="MESS"/>
    <s v=" customer not available in india coustmer mother telling  talking with Trishul after call for me"/>
    <x v="30"/>
    <d v="2024-04-01T00:00:00"/>
    <n v="44432"/>
    <s v="Amazon Pay ICICI Bank Credit Card"/>
    <s v="17TH JUNE"/>
    <d v="2026-06-12T00:00:00"/>
  </r>
  <r>
    <s v="4315811936494014"/>
    <s v="MR Shaik Hussain Ahamad"/>
    <n v="0"/>
    <x v="0"/>
    <m/>
    <m/>
    <s v="O"/>
    <x v="20"/>
    <s v="8712348480"/>
    <s v="X"/>
    <n v="-287972.95"/>
    <n v="450000"/>
    <n v="162027.04999999999"/>
    <s v=""/>
    <n v="162027.04999999999"/>
    <n v="151770"/>
    <n v="20330"/>
    <n v="10280"/>
    <x v="1"/>
    <x v="1"/>
    <n v="0"/>
    <n v="10280"/>
    <x v="1"/>
    <s v="NA"/>
    <n v="0"/>
    <s v="DURGA"/>
    <x v="0"/>
    <x v="4"/>
    <s v="302 DB HOMES 5TH LANE 2ND CROSS ROAD GUNTUR SITHA RAMMAYYA SCHOOL GUNTUR ANP 522007"/>
    <s v="AARVEE ASSOC ARCHITECTS ENG AND CONSULT SRINAGAR COLONY BIGBAZZAR BACKSIDE BIGBAZZAR BACKSIDE HYDERABAD TNG 500008"/>
    <s v="GUNTUR"/>
    <x v="3"/>
    <x v="17"/>
    <s v="DURGA"/>
    <n v="801723195"/>
    <s v="Sgr@9290"/>
    <m/>
    <m/>
    <x v="0"/>
    <s v="SKIP"/>
    <s v=" Customer given House address visited customer not available shifted from given address confirmed by present living renters customer mobile number not working"/>
    <x v="29"/>
    <d v="2025-09-10T00:00:00"/>
    <n v="3400"/>
    <s v="Amazon Pay ICICI Bank Credit Card"/>
    <s v="17TH JUNE"/>
    <d v="2026-06-12T00:00:00"/>
  </r>
  <r>
    <s v="5241933774352009"/>
    <s v="MR BANDARI SATISH"/>
    <n v="0"/>
    <x v="0"/>
    <m/>
    <m/>
    <s v="O"/>
    <x v="20"/>
    <s v="9010941578"/>
    <s v="X"/>
    <n v="-172367.2"/>
    <n v="320000"/>
    <n v="147632.79999999999"/>
    <s v=""/>
    <n v="147632.79999999999"/>
    <n v="139535.69"/>
    <n v="23880"/>
    <n v="14830"/>
    <x v="0"/>
    <x v="2"/>
    <n v="14850"/>
    <n v="-20"/>
    <x v="28"/>
    <s v="TC"/>
    <s v="30501-BBPS Payment received"/>
    <s v="SAMBA"/>
    <x v="4"/>
    <x v="4"/>
    <s v="H NO 73 PADMASHALIWADA CHENNUR   NEAR SHIVALAYAM Adilabad TNG 504201"/>
    <s v="GOVT OT TELANGANA EDUCATION DEPARTMENT M P P S OTHUKULAPALLY   Adilabad TNG 504201"/>
    <s v="ADILABAD"/>
    <x v="1"/>
    <x v="11"/>
    <s v="T RAMESH "/>
    <n v="801217009"/>
    <s v="Ssd@9290"/>
    <m/>
    <m/>
    <x v="0"/>
    <m/>
    <m/>
    <x v="10"/>
    <d v="2024-06-30T00:00:00"/>
    <n v="5390"/>
    <s v="ICICI Bank MasterCard  Platinum chip Credit Card"/>
    <s v="17TH JUNE"/>
    <d v="2026-06-12T00:00:00"/>
  </r>
  <r>
    <s v="4315811746006008"/>
    <s v="MR Syed Allauddin"/>
    <s v="RTP"/>
    <x v="0"/>
    <m/>
    <m/>
    <s v="O"/>
    <x v="20"/>
    <s v="8500554401"/>
    <s v="X"/>
    <n v="6687.8600000000006"/>
    <n v="120000"/>
    <n v="126687.86"/>
    <s v=""/>
    <n v="126687.86"/>
    <n v="117000"/>
    <n v="32390"/>
    <n v="13829"/>
    <x v="1"/>
    <x v="1"/>
    <n v="0"/>
    <n v="13829"/>
    <x v="1"/>
    <s v="NA"/>
    <n v="0"/>
    <s v="SAMBA"/>
    <x v="1"/>
    <x v="4"/>
    <s v="&quot;4-1-7,,&quot; BIG MOSQUE STREET Nayudupeta OPP KALYAN SINGH HOSPITAL TIRUPATI ANP 524126"/>
    <s v="SOUTHERN RAILWAY RAILWAY YARD BASIN BRIDGE NR RAILWAY STATION BASIN BRIDGE NR RAILWAY STATION CHENNAI TMN 600001"/>
    <s v="GUDUR"/>
    <x v="4"/>
    <x v="12"/>
    <s v="B SURESH"/>
    <n v="801570488"/>
    <s v="Ssd@9290"/>
    <m/>
    <m/>
    <x v="0"/>
    <s v="DL"/>
    <s v="cm door locked sir and cm call not answering sir"/>
    <x v="29"/>
    <d v="2024-07-23T00:00:00"/>
    <n v="20500"/>
    <s v="Amazon Pay ICICI Bank Credit Card"/>
    <s v="17TH JUNE"/>
    <d v="2026-06-12T00:00:00"/>
  </r>
  <r>
    <s v="6528681484119018"/>
    <s v="MR. SHAIK JANI BASHA"/>
    <n v="0"/>
    <x v="0"/>
    <m/>
    <m/>
    <s v="N"/>
    <x v="20"/>
    <s v="9948547943"/>
    <s v="X"/>
    <n v="-137147.25"/>
    <n v="250000"/>
    <n v="112852.75"/>
    <s v=""/>
    <n v="112852.75"/>
    <n v="102431.01"/>
    <n v="17450"/>
    <n v="6270"/>
    <x v="0"/>
    <x v="0"/>
    <n v="20000"/>
    <n v="-13730"/>
    <x v="1"/>
    <s v="D"/>
    <s v="30501-BBPS Payment received"/>
    <s v="DURGA"/>
    <x v="0"/>
    <x v="4"/>
    <s v="DRNO 2-212 KESANUPALLI  NEAR MASJID GUNTUR ANP 522601"/>
    <s v="IWS INTIGRATED WIRELESS SOLUTIONS DRNO 2-212 KESANUPALLI NARASARAOPET GUNTUR   NARASARAOPET ANP 522661"/>
    <s v="GUNTUR"/>
    <x v="3"/>
    <x v="28"/>
    <s v="DURGA"/>
    <n v="801723195"/>
    <s v="Sgr@9290"/>
    <m/>
    <m/>
    <x v="0"/>
    <m/>
    <m/>
    <x v="10"/>
    <d v="2026-03-31T00:00:00"/>
    <n v="6511"/>
    <s v="ICICI Bank Coral RuPay Credit Card"/>
    <s v="17TH JUNE"/>
    <d v="2026-06-12T00:00:00"/>
  </r>
  <r>
    <s v="4315811163044003"/>
    <s v="MR. MANDLI JEEVAN"/>
    <n v="0"/>
    <x v="0"/>
    <m/>
    <m/>
    <s v="N"/>
    <x v="20"/>
    <s v="9440435043"/>
    <s v="X"/>
    <n v="-57609.179999999993"/>
    <n v="168000"/>
    <n v="110390.82"/>
    <s v=""/>
    <n v="110390.82"/>
    <n v="99984"/>
    <n v="20160"/>
    <n v="5000"/>
    <x v="1"/>
    <x v="1"/>
    <n v="0"/>
    <n v="5000"/>
    <x v="1"/>
    <s v="NA"/>
    <n v="0"/>
    <s v="SAMBA"/>
    <x v="4"/>
    <x v="4"/>
    <s v="&quot;1/433-4,&quot; MARUTHI NAGAR KADAPA NEAR NAGARJUNA MODEL SCHOOL KADAPA ANP 516001"/>
    <s v="KARUR VYSYA BANK D NO 9-2-31 32 AND 33 NIRMALA MALL   Warangal TNG 506002"/>
    <s v="CUDDAPAH"/>
    <x v="2"/>
    <x v="5"/>
    <s v="PAVAN"/>
    <n v="802823180"/>
    <s v="Sgr@9290"/>
    <m/>
    <m/>
    <x v="1"/>
    <m/>
    <m/>
    <x v="10"/>
    <d v="2024-05-27T00:00:00"/>
    <n v="100000"/>
    <s v="Amazon Pay ICICI Bank Credit Card"/>
    <s v="17TH JUNE"/>
    <d v="2026-06-12T00:00:00"/>
  </r>
  <r>
    <s v="4375518393795000"/>
    <s v="MR E KARUNAKAR"/>
    <n v="0"/>
    <x v="0"/>
    <m/>
    <m/>
    <s v="N"/>
    <x v="20"/>
    <s v="9059399326"/>
    <s v="X"/>
    <n v="5574.2400000000052"/>
    <n v="70000"/>
    <n v="75574.240000000005"/>
    <s v=""/>
    <n v="75574.240000000005"/>
    <n v="67302.06"/>
    <n v="57720"/>
    <n v="25690"/>
    <x v="0"/>
    <x v="0"/>
    <n v="75574.240000000005"/>
    <n v="-49884.240000000005"/>
    <x v="26"/>
    <s v="TC"/>
    <s v="30501-BBPS Payment received"/>
    <s v="SAMBA"/>
    <x v="2"/>
    <x v="4"/>
    <s v="6 1 34A SURYAPET ROAD RESTARANT NEAR CORPORATION BANK AND BALAJ BARE Warangal TNG 506167"/>
    <s v="GOVT OF IS AGRICULTURE DEPARTMENT GOVT OF TS AGRICULTURE DTP IRRIGATION QUARTES IRRIGATION QUARTES Warangal TNG 506167"/>
    <s v="WARANGAL"/>
    <x v="1"/>
    <x v="21"/>
    <s v="RAJKUMAR"/>
    <n v="802835406"/>
    <s v="Ssde@9290"/>
    <m/>
    <m/>
    <x v="0"/>
    <m/>
    <m/>
    <x v="10"/>
    <d v="2025-02-15T00:00:00"/>
    <n v="3450"/>
    <s v="MakeMyTrip ICICI Bank Platinum Credit Card"/>
    <s v="17TH JUNE"/>
    <d v="2026-06-12T00:00:00"/>
  </r>
  <r>
    <s v="4315814506824008"/>
    <s v="MR Sonti Bhavani Mutyam"/>
    <n v="0"/>
    <x v="0"/>
    <m/>
    <m/>
    <s v="N"/>
    <x v="20"/>
    <s v="9177357618"/>
    <s v="X"/>
    <n v="4972.4499999999971"/>
    <n v="70000"/>
    <n v="74972.45"/>
    <n v="36306.300000000003"/>
    <n v="38666.15"/>
    <n v="32752.82"/>
    <n v="18940"/>
    <n v="9490"/>
    <x v="0"/>
    <x v="0"/>
    <n v="18940"/>
    <n v="-9450"/>
    <x v="29"/>
    <s v="TC"/>
    <s v="30501-BBPS Payment received"/>
    <s v="SAMBA"/>
    <x v="1"/>
    <x v="4"/>
    <s v="2.59 Tanuku.mandal Ramlayam.street Konala TADEPALLIGUDEM ANP 534146"/>
    <s v="SRINIVAS.AGRI RAMALAYAM.STREET.KONALA ARULLA.ROAD. ARULLA.ROAD. TADEPALLIGUDEM ANP 534146"/>
    <s v="TADEPALLIGUDEM"/>
    <x v="0"/>
    <x v="13"/>
    <s v="MANIKANTA"/>
    <n v="802852449"/>
    <s v="Ssd@9290"/>
    <m/>
    <m/>
    <x v="0"/>
    <s v="DL"/>
    <s v="Door locked sir"/>
    <x v="26"/>
    <d v="2024-11-18T00:00:00"/>
    <n v="3470"/>
    <s v="Amazon Pay ICICI Bank Credit Card"/>
    <s v="17TH JUNE"/>
    <d v="2026-06-12T00:00:00"/>
  </r>
  <r>
    <s v="4315813511581017"/>
    <s v="MR BANDA MAHESH"/>
    <n v="0"/>
    <x v="0"/>
    <m/>
    <m/>
    <s v="O"/>
    <x v="20"/>
    <s v="9949534181"/>
    <s v="W"/>
    <n v="-15902.879999999997"/>
    <n v="70000"/>
    <n v="54097.120000000003"/>
    <s v=""/>
    <n v="54097.120000000003"/>
    <n v="49866.23"/>
    <n v="9450"/>
    <n v="4740"/>
    <x v="0"/>
    <x v="2"/>
    <n v="4800"/>
    <n v="-60"/>
    <x v="30"/>
    <s v="TC"/>
    <n v="0"/>
    <s v="SAMBA"/>
    <x v="2"/>
    <x v="4"/>
    <s v="1 17 Dandupally Dandupally Medak MEDAK TNG 502336"/>
    <s v="MAHESH TRANSPORTATION 1 17 DANDUPALLY  MANOHARABAD MANDAL MEDAK DIS DANDUPALLY  MANOHARABAD MANDAL MEDAK DIS MEDAK TNG 502336"/>
    <s v="MEDAK"/>
    <x v="1"/>
    <x v="10"/>
    <s v="PRASHANTH"/>
    <n v="802551967"/>
    <s v="Ssde@9290"/>
    <m/>
    <m/>
    <x v="0"/>
    <m/>
    <m/>
    <x v="10"/>
    <d v="2024-09-26T00:00:00"/>
    <n v="3501.79"/>
    <s v="Amazon Pay ICICI Bank Credit Card"/>
    <s v="17TH JUNE"/>
    <d v="2026-06-12T00:00:00"/>
  </r>
  <r>
    <s v="4315815571713000"/>
    <s v="MR Challa Aravind Reddy"/>
    <n v="0"/>
    <x v="0"/>
    <m/>
    <m/>
    <s v="N"/>
    <x v="20"/>
    <s v="6301445659"/>
    <s v="X"/>
    <n v="2559.2300000000032"/>
    <n v="50000"/>
    <n v="52559.23"/>
    <n v="13659.16"/>
    <n v="38900.07"/>
    <n v="33016.74"/>
    <n v="33280"/>
    <n v="16570"/>
    <x v="1"/>
    <x v="1"/>
    <n v="0"/>
    <n v="16570"/>
    <x v="1"/>
    <s v="NA"/>
    <n v="0"/>
    <s v="SAMBA"/>
    <x v="3"/>
    <x v="4"/>
    <s v="12.213 SH.18..Gowri.Shanker.Colony Badepally Dr brr govt degree college JEDCHERLA TNG 509301"/>
    <s v="AUROBINDO.PHARMA.LIMITED AUROBINDO.PHARMA.LTD Railalli.Raipalle..Telangana Railalli.Raipalle..Telangana JEDCHERLA TNG 509301"/>
    <s v="JEDCHERLA"/>
    <x v="1"/>
    <x v="15"/>
    <s v="SAMBA"/>
    <n v="801772794"/>
    <s v="Ssde@9876"/>
    <m/>
    <m/>
    <x v="1"/>
    <m/>
    <m/>
    <x v="10"/>
    <s v=""/>
    <n v="0"/>
    <s v="Amazon Pay ICICI Bank Credit Card"/>
    <s v="17TH JUNE"/>
    <d v="2026-06-12T00:00:00"/>
  </r>
  <r>
    <s v="4085110053401003"/>
    <s v="MR DASI LIKHITESWAR REDDY"/>
    <n v="0"/>
    <x v="0"/>
    <m/>
    <m/>
    <s v="N"/>
    <x v="20"/>
    <s v="7330714163"/>
    <s v="X"/>
    <n v="355.88999999999942"/>
    <n v="50000"/>
    <n v="50355.89"/>
    <s v=""/>
    <n v="50355.89"/>
    <n v="45925.66"/>
    <n v="12870"/>
    <n v="7860"/>
    <x v="0"/>
    <x v="2"/>
    <n v="7860"/>
    <n v="0"/>
    <x v="29"/>
    <s v="FE"/>
    <s v="30501-BBPS Payment received"/>
    <s v="SAMBA"/>
    <x v="4"/>
    <x v="4"/>
    <s v="&quot;2-23,VEERABADRA TEMPLE,.,CHERUKUCHERLA,&quot; &quot;CHERUKUCHERLA,VILLAGE MIDTHURU MANDAL&quot;  ... KURNOOL ANP 518405"/>
    <s v="EIT SERVICES INDIA PRIVATE LIMITED &quot;39, DGS-CAMPUS, PHASE-1, HP AVENUE,&quot; &quot;NO-40, HOSUR RD, ELECTRONIC CITY,&quot; &quot;NO-40, HOSUR RD, ELECTRONIC CITY,&quot; BANGALORE KAR 560100"/>
    <s v="KURNOOL"/>
    <x v="2"/>
    <x v="19"/>
    <s v="SAMBA"/>
    <n v="801772794"/>
    <s v="Ssde@9876"/>
    <m/>
    <m/>
    <x v="0"/>
    <m/>
    <m/>
    <x v="10"/>
    <d v="2025-08-01T00:00:00"/>
    <n v="18390"/>
    <s v="Mine Credit Card by ICICI Bank Visa Card"/>
    <s v="17TH JUNE"/>
    <d v="2026-06-12T00:00:00"/>
  </r>
  <r>
    <s v="4748467960911006"/>
    <s v="MR YOGANAND HANUMANTHU"/>
    <n v="0"/>
    <x v="0"/>
    <m/>
    <m/>
    <s v="O"/>
    <x v="21"/>
    <s v="7013039914"/>
    <s v="X"/>
    <n v="77640.359999999986"/>
    <n v="900000"/>
    <n v="977640.36"/>
    <s v=""/>
    <n v="977640.36"/>
    <n v="898997.63"/>
    <n v="249180"/>
    <n v="167170"/>
    <x v="0"/>
    <x v="0"/>
    <n v="510000"/>
    <n v="-342830"/>
    <x v="31"/>
    <s v="TC"/>
    <n v="0"/>
    <s v="SAMBA"/>
    <x v="2"/>
    <x v="4"/>
    <s v="A5 RENU TOWERS KONDAYAPALEM  VANANTHOPU NELLORE ANP 524004"/>
    <s v="ADANI WILMAR LTD SURVEY NO 293 KANTHAPALAM VILLAGE EPURU 1B  MUTHKURU MANDAL SPSR NELLORE 1B  MUTHKURU MANDAL SPSR NELLORE GUDUR ANP 524323"/>
    <s v="NELLORE"/>
    <x v="4"/>
    <x v="12"/>
    <s v="B SURESH"/>
    <n v="801570488"/>
    <s v="Ssd@9290"/>
    <m/>
    <m/>
    <x v="0"/>
    <s v="LIVE"/>
    <s v="cm not available sir and cm call answered given ptp 23rd sir // waiting for cm sir // :cm door locked sir and cm call not answered sir // cm door locked sir and cm call not answered sir // m given ptp by 1pm due to fund issue"/>
    <x v="31"/>
    <d v="2025-01-28T00:00:00"/>
    <n v="10000"/>
    <s v="ICICI Bank Platinum Chip Credit Card"/>
    <s v="17TH JUNE"/>
    <d v="2026-06-15T00:00:00"/>
  </r>
  <r>
    <s v="4315810513127005"/>
    <s v="Mr Yedoti Arunmahesh"/>
    <n v="0"/>
    <x v="0"/>
    <n v="1"/>
    <m/>
    <s v="N"/>
    <x v="21"/>
    <s v="7842786877"/>
    <s v="X"/>
    <n v="484106.26"/>
    <n v="20000"/>
    <n v="504106.26"/>
    <s v=""/>
    <n v="504106.26"/>
    <n v="452309"/>
    <n v="504106.26"/>
    <n v="481708.15"/>
    <x v="1"/>
    <x v="1"/>
    <n v="0"/>
    <n v="481708.15"/>
    <x v="1"/>
    <s v="NA"/>
    <n v="0"/>
    <s v="SAMBA"/>
    <x v="6"/>
    <x v="4"/>
    <s v="&quot;4,B KOTHAPALLI,BP RACHAPALLI,OBULAVARIPALLI, BOMMAVARAM&quot;    CUDDAPAH ANP 516110"/>
    <s v="Self employee &quot;4, B Kothapalli,  Bp&quot; &quot;Rachapalli,  Obulvaripalli&quot; &quot;Rachapalli,  Obulvaripalli&quot; CUDDAPAH ANP 516110"/>
    <s v="CUDDAPAH"/>
    <x v="2"/>
    <x v="5"/>
    <s v="PAVAN"/>
    <n v="802823180"/>
    <s v="Sgr@9290"/>
    <m/>
    <m/>
    <x v="1"/>
    <m/>
    <m/>
    <x v="10"/>
    <d v="2026-03-31T00:00:00"/>
    <n v="98936"/>
    <s v="Amazon Pay ICICI Bank Credit Card"/>
    <s v="19TH JUNE"/>
    <d v="2026-06-15T00:00:00"/>
  </r>
  <r>
    <s v="4477470310962007"/>
    <s v="Mr. GUNDA SRIKUMAR"/>
    <n v="0"/>
    <x v="0"/>
    <m/>
    <m/>
    <s v="N"/>
    <x v="21"/>
    <s v="9849753730"/>
    <s v="X"/>
    <n v="21497.789999999979"/>
    <n v="480000"/>
    <n v="501497.79"/>
    <n v="111677.22"/>
    <n v="389820.57"/>
    <n v="365088.33"/>
    <n v="101510"/>
    <n v="45180"/>
    <x v="0"/>
    <x v="2"/>
    <n v="45200"/>
    <n v="-20"/>
    <x v="31"/>
    <s v="TC"/>
    <n v="0"/>
    <s v="SAMBA"/>
    <x v="6"/>
    <x v="4"/>
    <s v="hno 12-6-55 svn road andhra balika junior college -andhra balika juinor college WARANGAL TNG 506002"/>
    <s v="SAAKETA CONSULTANCE LTD &quot;3-4-616/1,2nd FLOOR,NARAYANAGUDA&quot; HYDERABAD HYDERABAD Hyderabad TNG 500029"/>
    <s v="WARANGAL"/>
    <x v="1"/>
    <x v="30"/>
    <s v="AKHIL"/>
    <n v="801772792"/>
    <s v="Sgr@9290"/>
    <m/>
    <m/>
    <x v="0"/>
    <s v="SKIP"/>
    <s v="Cust shifted to hyd confirmed by neighbours and cust no respond to calls will update"/>
    <x v="30"/>
    <d v="2025-11-16T00:00:00"/>
    <n v="165636"/>
    <s v="ICICI Bank Coral Credit Card"/>
    <s v="19TH JUNE"/>
    <d v="2026-06-15T00:00:00"/>
  </r>
  <r>
    <s v="4315812620163006"/>
    <s v="MR Maheshwaram Naveen Kumar"/>
    <n v="0"/>
    <x v="0"/>
    <m/>
    <m/>
    <s v="N"/>
    <x v="21"/>
    <s v="8185905958"/>
    <s v="X"/>
    <n v="22402.789999999979"/>
    <n v="380000"/>
    <n v="402402.79"/>
    <n v="174349.58"/>
    <n v="228053.21"/>
    <n v="205524.44"/>
    <n v="71330"/>
    <n v="28150"/>
    <x v="1"/>
    <x v="1"/>
    <n v="0"/>
    <n v="28150"/>
    <x v="1"/>
    <s v="NA"/>
    <n v="0"/>
    <s v="SAMBA"/>
    <x v="6"/>
    <x v="4"/>
    <s v="H.No. 12-3-402 Nasar Pura Nasar Pura Medak MEDAK TNG 502103"/>
    <s v="SRI RAJESHWARI LADIES EMPORIUM BESIDE CHENNAI SHOPPING MALL &quot;MG ROAD, SIDDIPET&quot; &quot;MG ROAD, SIDDIPET&quot; MEDAK TNG 502103"/>
    <s v="MEDAK"/>
    <x v="1"/>
    <x v="21"/>
    <s v="RAJKUMAR"/>
    <n v="802835406"/>
    <s v="Ssde@9290"/>
    <m/>
    <m/>
    <x v="0"/>
    <s v="LIVE"/>
    <s v="Customer shop address visited sir his not available went to marriage function &amp;  shop name change call not responding // Customer given shop address visited sir his not available phone call not responding inform to  worker // Customer given permanent house address visited sir his not available phone call not responding informed to his brother // Customer shop address visited sir  his available customer said have financial problems refused to pay"/>
    <x v="32"/>
    <d v="2024-09-04T00:00:00"/>
    <n v="200000"/>
    <s v="Amazon Pay ICICI Bank Credit Card"/>
    <s v="19TH JUNE"/>
    <d v="2026-06-15T00:00:00"/>
  </r>
  <r>
    <s v="4315811241605007"/>
    <s v="MS PADMA KALISETTY"/>
    <n v="0"/>
    <x v="0"/>
    <m/>
    <m/>
    <s v="N"/>
    <x v="21"/>
    <s v="8866666617"/>
    <s v="X"/>
    <n v="25798"/>
    <n v="370000"/>
    <n v="395798"/>
    <s v=""/>
    <n v="395798"/>
    <n v="361381.16"/>
    <n v="81200"/>
    <n v="28760"/>
    <x v="1"/>
    <x v="1"/>
    <n v="0"/>
    <n v="28760"/>
    <x v="1"/>
    <s v="NA"/>
    <n v="0"/>
    <s v="SAMBA"/>
    <x v="6"/>
    <x v="4"/>
    <s v="&quot;D.NO.125-151,FLAT NO.306,3RD FLOOR&quot; &quot;SAMSTHITHA APARTMENT,&quot; &quot;AMARAVATHI ROAD,GORANTLA&quot; OPP HOSANNA MANDIR GUNTUR ANP 522034"/>
    <s v="AASHRITH AGRO ENTERPRISES AMARAVATHI ROAD GORANTLA GORANTLA GUNTUR ANP 522034"/>
    <s v="GUNTUR"/>
    <x v="3"/>
    <x v="17"/>
    <s v="DURGA"/>
    <n v="801723195"/>
    <s v="Sgr@9290"/>
    <m/>
    <m/>
    <x v="0"/>
    <s v="SKIP"/>
    <s v="Customer given House address visited but customer not available customer sold house 3 years back and shifted from this address confirmed by renters customer mobile number ringing but not answering need alternative address of this customer // Customer working address visited but customer not available at working address need alternative address of this customer sir"/>
    <x v="26"/>
    <d v="2024-10-30T00:00:00"/>
    <n v="326152"/>
    <s v="Amazon Pay ICICI Bank Credit Card"/>
    <s v="19TH JUNE"/>
    <d v="2026-06-15T00:00:00"/>
  </r>
  <r>
    <s v="4035620607928047"/>
    <s v="MR PUTTAPAKA BHASKAR"/>
    <n v="0"/>
    <x v="0"/>
    <m/>
    <m/>
    <s v="N"/>
    <x v="21"/>
    <s v="8309602092"/>
    <s v="X"/>
    <n v="-125721.38"/>
    <n v="510000"/>
    <n v="384278.62"/>
    <n v="263048.31"/>
    <n v="121230.31"/>
    <n v="109669.1"/>
    <n v="121230.31"/>
    <n v="54907.94"/>
    <x v="1"/>
    <x v="1"/>
    <n v="0"/>
    <n v="54907.94"/>
    <x v="1"/>
    <s v="NA"/>
    <n v="0"/>
    <s v="SAMBA"/>
    <x v="2"/>
    <x v="4"/>
    <s v="H NO 1-15 KAMMEPALLE WARANGAL NEAR MAIN ROAD WARANGAL TNG 506331"/>
    <s v="OTHERS GOVERNMENT H NO 1-15 KAMMAPALLE KAMMAPALLE WARANGAL TNG 506331"/>
    <s v="WARANGAL"/>
    <x v="1"/>
    <x v="30"/>
    <s v="AKHIL"/>
    <n v="801772792"/>
    <s v="Sgr@9290"/>
    <m/>
    <m/>
    <x v="0"/>
    <s v="MESS"/>
    <s v="Left msg to cust's parents and said Prasent cust staying in hyd no contactable and cust respond to call and said going to through legal not ready to pay"/>
    <x v="29"/>
    <d v="2024-06-01T00:00:00"/>
    <n v="19700"/>
    <s v="ICICI Bank Coral RuPay Credit Card"/>
    <s v="17TH JUNE"/>
    <d v="2026-06-15T00:00:00"/>
  </r>
  <r>
    <s v="4315811144304005"/>
    <s v="MR SRIRM ANVESH"/>
    <n v="0"/>
    <x v="0"/>
    <n v="1"/>
    <m/>
    <s v="N"/>
    <x v="21"/>
    <s v="9949436356"/>
    <s v="X"/>
    <n v="354429.73"/>
    <n v="20000"/>
    <n v="374429.73"/>
    <s v=""/>
    <n v="374429.73"/>
    <n v="349983.78"/>
    <n v="374429.73"/>
    <n v="330990"/>
    <x v="1"/>
    <x v="1"/>
    <n v="0"/>
    <n v="330990"/>
    <x v="1"/>
    <s v="NA"/>
    <n v="0"/>
    <s v="SAMBA"/>
    <x v="6"/>
    <x v="4"/>
    <s v="H NO 6-77/6 CHINDAMWADA THIMMAPUR ALUGUNUR  NR WATER TANK KARIMNAGAR ANP 505527"/>
    <s v="TELANGANA STATE LIVESTOCK DEVELOPMENT AGENCY H NO O/O THE DEPUTY DIRECTOR FIROZEN SEMEN BULL STATION PAMANAGR FIROZEN SEMEN BULL STATION PAMANAGR KARIMNAGAR ANP 505527"/>
    <s v="KARIMNAGAR"/>
    <x v="1"/>
    <x v="27"/>
    <s v="SUMANTH"/>
    <n v="802370852"/>
    <s v="Sgr@9290"/>
    <m/>
    <m/>
    <x v="0"/>
    <s v="LIVE"/>
    <s v="Customer live in address and customer job loss and helath issues he is asking Settlment"/>
    <x v="26"/>
    <d v="2026-03-18T00:00:00"/>
    <n v="104000"/>
    <s v="Amazon Pay ICICI Bank Credit Card"/>
    <s v="19TH JUNE"/>
    <d v="2026-06-15T00:00:00"/>
  </r>
  <r>
    <s v="4315814191515002"/>
    <s v="MR SHAIK RAFI"/>
    <n v="0"/>
    <x v="0"/>
    <m/>
    <m/>
    <s v="O"/>
    <x v="21"/>
    <s v="7989877463"/>
    <s v="X"/>
    <n v="112728.04999999999"/>
    <n v="210000"/>
    <n v="322728.05"/>
    <n v="216932.33"/>
    <n v="105795.72"/>
    <n v="97002.81"/>
    <n v="78500"/>
    <n v="39310"/>
    <x v="1"/>
    <x v="1"/>
    <n v="0"/>
    <n v="39310"/>
    <x v="1"/>
    <s v="NA"/>
    <n v="0"/>
    <s v="SAMBA"/>
    <x v="3"/>
    <x v="4"/>
    <s v="ALTHURTHI ALTHURTHI  NELLORE GUDUR ANP 524345"/>
    <s v="CALSOFT PVT LTD 1ST FLOOR RIGHT WING SHAILENDRA TECHNO PARK PLOT NO 116 1ST PHASE EPIP ZONE PARK PLOT NO 116 1ST PHASE EPIP ZONE BANGALORE KAR 560066"/>
    <s v="GUDUR"/>
    <x v="4"/>
    <x v="12"/>
    <s v="B SURESH"/>
    <n v="801570488"/>
    <s v="Ssd@9290"/>
    <m/>
    <m/>
    <x v="0"/>
    <s v="SKIP"/>
    <s v="cm not available sir and cm was in Bangalore cm call not answered sir"/>
    <x v="25"/>
    <d v="2024-12-31T00:00:00"/>
    <n v="51660"/>
    <s v="Amazon Pay ICICI Bank Credit Card"/>
    <s v="17TH JUNE"/>
    <d v="2026-06-15T00:00:00"/>
  </r>
  <r>
    <s v="5241930608582017"/>
    <s v="MR POLABATHULA THRIMURTHULU"/>
    <n v="0"/>
    <x v="0"/>
    <m/>
    <m/>
    <s v="N"/>
    <x v="21"/>
    <s v="7893102324"/>
    <s v="X"/>
    <n v="27329.260000000009"/>
    <n v="290000"/>
    <n v="317329.26"/>
    <s v=""/>
    <n v="317329.26"/>
    <n v="289724.82"/>
    <n v="71340"/>
    <n v="29040"/>
    <x v="0"/>
    <x v="0"/>
    <n v="317329.26"/>
    <n v="-288289.26"/>
    <x v="29"/>
    <s v="TC"/>
    <s v="30501-BBPS Payment received"/>
    <s v="SAMBA"/>
    <x v="6"/>
    <x v="4"/>
    <s v="&quot;1-189,ADDANKIVARILANKA,RAMALAYAM VEEDHI,&quot; &quot;,KAPILESWARAPURAM MANDALM VANAP&quot;  NEAR BY WATER TANK AMALAPURAM ANP 533228"/>
    <s v="TATA CONSULTANCY SERVICES LIMITED TATA CONSULTANCY SERVICES LIMITED MADHAP MADHAPUR DECCAN PARK HYDERABAD MADHAPUR DECCAN PARK HYDERABAD HYDERABAD TNG 500018"/>
    <s v="AMALAPURAM"/>
    <x v="0"/>
    <x v="25"/>
    <s v="B NAGABABU"/>
    <n v="801448854"/>
    <s v="Sgr@9290"/>
    <m/>
    <m/>
    <x v="0"/>
    <m/>
    <m/>
    <x v="10"/>
    <d v="2026-04-17T00:00:00"/>
    <n v="54420"/>
    <s v="ICICI Rubyx PLT Credit Card (AMEX)"/>
    <s v="19TH JUNE"/>
    <d v="2026-06-15T00:00:00"/>
  </r>
  <r>
    <s v="4477468418730003"/>
    <s v="Mr. PAYALAPATI KUPERSURESH KUMAR"/>
    <n v="0"/>
    <x v="0"/>
    <m/>
    <m/>
    <s v="N"/>
    <x v="21"/>
    <s v="9848504660"/>
    <s v="X"/>
    <n v="-612.70000000001164"/>
    <n v="310000"/>
    <n v="309387.3"/>
    <n v="137171.45000000001"/>
    <n v="172215.85"/>
    <n v="148835.35"/>
    <n v="53670"/>
    <n v="26470"/>
    <x v="1"/>
    <x v="1"/>
    <n v="0"/>
    <n v="26470"/>
    <x v="1"/>
    <s v="NA"/>
    <n v="0"/>
    <s v="SAMBA"/>
    <x v="6"/>
    <x v="4"/>
    <s v="FLAT NO 406 D BLOCK SRI CHAKRA RESIDENCY NAVODAYA COLONY TADEPALLI - -- GUNTUR ANP 522501"/>
    <s v="RELIANCE HOME FINANCE JM3 MOHIUDDIN ESTATE 2nd FLOOR MG ROAD MG ROAD VIJAYAWADA ANP 520007"/>
    <s v="GUNTUR"/>
    <x v="3"/>
    <x v="29"/>
    <s v="DURGA"/>
    <n v="801723195"/>
    <s v="Sgr@9290"/>
    <m/>
    <m/>
    <x v="0"/>
    <s v="SKIP"/>
    <s v="Cmr given address visited customer he told the home cmr not living in this address &amp; call not answering _x000a_  Ineed kyc &amp; Alternate details sir"/>
    <x v="30"/>
    <d v="2025-02-06T00:00:00"/>
    <n v="201.96"/>
    <s v="ICICI Bank Platinum Chip Credit Card"/>
    <s v="19TH JUNE"/>
    <d v="2026-06-15T00:00:00"/>
  </r>
  <r>
    <s v="4315813990367003"/>
    <s v="MR SAHAVAS NUKALAPATI"/>
    <n v="0"/>
    <x v="0"/>
    <m/>
    <m/>
    <s v="N"/>
    <x v="21"/>
    <s v="7093408820"/>
    <s v="X"/>
    <n v="79272.090000000026"/>
    <n v="230000"/>
    <n v="309272.09000000003"/>
    <n v="188276.66"/>
    <n v="120995.43"/>
    <n v="104537.8"/>
    <n v="66090"/>
    <n v="35480"/>
    <x v="0"/>
    <x v="2"/>
    <n v="35500"/>
    <n v="-20"/>
    <x v="26"/>
    <s v="FE"/>
    <s v="30501-BBPS Payment received"/>
    <s v="SAMBA"/>
    <x v="4"/>
    <x v="4"/>
    <s v="Flat.202.Akshya.Aparatment..Vanamthopu .. Nellore STEEL FACTORY LANE VANAMTHOPU NELLORE ANP 524004"/>
    <s v="SAHAVAS.NUKALAPATI OLD.AKSHAYA.APPARTMENT..FALTO.NO.202 OPP.HANDICAPP.OFFICE.LANE.VANAMTHOPU...N OPP.HANDICAPP.OFFICE.LANE.VANAMTHOPU...N NELLORE ANP 524004"/>
    <s v="NELLORE"/>
    <x v="4"/>
    <x v="12"/>
    <s v="B SURESH"/>
    <n v="801570488"/>
    <s v="Ssd@9290"/>
    <m/>
    <m/>
    <x v="0"/>
    <s v="LIVE"/>
    <s v="m not available sir and cm father available given ptp today evening sir"/>
    <x v="26"/>
    <d v="2024-09-05T00:00:00"/>
    <n v="30322.25"/>
    <s v="Amazon Pay ICICI Bank Credit Card"/>
    <s v="17TH JUNE"/>
    <d v="2026-06-15T00:00:00"/>
  </r>
  <r>
    <s v="4315811027665001"/>
    <s v="MR SITA MANOHAR AKELLA"/>
    <n v="0"/>
    <x v="0"/>
    <m/>
    <m/>
    <s v="N"/>
    <x v="21"/>
    <s v="9966084323"/>
    <s v="X"/>
    <n v="20315.26999999999"/>
    <n v="230000"/>
    <n v="250315.27"/>
    <n v="44321.66"/>
    <n v="205993.61"/>
    <n v="183176.86"/>
    <n v="51320"/>
    <n v="26580"/>
    <x v="1"/>
    <x v="1"/>
    <n v="0"/>
    <n v="26580"/>
    <x v="1"/>
    <s v="NA"/>
    <n v="0"/>
    <s v="SAMBA"/>
    <x v="6"/>
    <x v="4"/>
    <s v="H.NO 9-8-60 SF4 3RD FLOOR VIJAYA DURGA APARTMENTS KAMALADEVI STREE NEAR WATER TANK GANDHINAGAR NEAR YSR SHUTTLE COURT KAKINADA ANP 533004"/>
    <s v="SAI SREEDEVI HYUNDAI COMPANY NO 52-10-38/1 KOTIPALLI ROAD GATI CENTRE KAKINADA GATI CENTRE KAKINADA KAKINADA ANP 533002"/>
    <s v="KAKINADA"/>
    <x v="0"/>
    <x v="16"/>
    <s v="UDAY"/>
    <n v="801436997"/>
    <s v="Ssd@9290"/>
    <m/>
    <m/>
    <x v="0"/>
    <s v="MESS"/>
    <s v="Customer address visit ch not available msg left to family call response asking time facing financial issue and job less GIVEN RTP // Customer address visit ch not available call response asking time and settlement facing financial and jobs less saying sir_x000a_Ask for time"/>
    <x v="30"/>
    <d v="2024-07-04T00:00:00"/>
    <n v="20201.41"/>
    <s v="Amazon Pay ICICI Bank Credit Card"/>
    <s v="19TH JUNE"/>
    <d v="2026-06-15T00:00:00"/>
  </r>
  <r>
    <s v="4748469390465009"/>
    <s v="MR AMJURI SATYA SWAROOP"/>
    <n v="0"/>
    <x v="0"/>
    <m/>
    <m/>
    <s v="N"/>
    <x v="21"/>
    <s v="8073756094"/>
    <s v="X"/>
    <n v="19213.119999999995"/>
    <n v="230000"/>
    <n v="249213.12"/>
    <s v=""/>
    <n v="249213.12"/>
    <n v="227993"/>
    <n v="61710"/>
    <n v="11400"/>
    <x v="0"/>
    <x v="2"/>
    <n v="11400"/>
    <n v="0"/>
    <x v="31"/>
    <s v="TC"/>
    <n v="0"/>
    <s v="SAMBA"/>
    <x v="1"/>
    <x v="4"/>
    <s v="1-257/1 MADHAVAPATNAM SAMARLAKOTA EAST GODAVARI ANDHRAPRADESH BESIDE COMMUNITY HALL KAKINADA ANP 533005"/>
    <s v="CYIENT LIMITED CYIENT LIMTED K13 KAKINADA AUTONAGAR KAKINADA EAST GODAVARI ANDHRAORADESH KAKINADA EAST GODAVARI ANDHRAORADESH KAKINADA ANP 533005"/>
    <s v="KAKINADA"/>
    <x v="0"/>
    <x v="16"/>
    <s v="UDAY"/>
    <n v="801436997"/>
    <s v="Ssd@9290"/>
    <m/>
    <m/>
    <x v="0"/>
    <s v="SKIP"/>
    <s v="Customer address visit ch not available skip address call not answering sir"/>
    <x v="26"/>
    <d v="2025-07-10T00:00:00"/>
    <n v="116717"/>
    <s v="ICICI Bank HPCL Super Saver Visa Credit Card"/>
    <s v="17TH JUNE"/>
    <d v="2026-06-15T00:00:00"/>
  </r>
  <r>
    <s v="6528680449457000"/>
    <s v="MR Palukuri Rohith"/>
    <n v="0"/>
    <x v="0"/>
    <m/>
    <m/>
    <s v="N"/>
    <x v="21"/>
    <s v="9063013333"/>
    <s v="X"/>
    <n v="-8097.7999999999884"/>
    <n v="240000"/>
    <n v="231902.2"/>
    <s v=""/>
    <n v="231902.2"/>
    <n v="208022.82"/>
    <n v="34400"/>
    <n v="12900"/>
    <x v="0"/>
    <x v="2"/>
    <n v="19000"/>
    <n v="-6100"/>
    <x v="28"/>
    <s v="TC"/>
    <s v="30501-BBPS Payment received"/>
    <s v="SAMBA"/>
    <x v="2"/>
    <x v="4"/>
    <s v="2 104 Panasapadu Panasapadu East Godavari KAKINADA ANP 533005"/>
    <s v="cyient Ltd MAIN road NEAR CANARA BANK NEAR CANARA BANK KAKINADA ANP 533005"/>
    <s v="KAKINADA"/>
    <x v="0"/>
    <x v="16"/>
    <s v="UDAY"/>
    <n v="801436997"/>
    <s v="Ssd@9290"/>
    <m/>
    <m/>
    <x v="0"/>
    <s v="SKIP"/>
    <s v="Customer address visit ch not available skip address _x000a_Need kyc sir number aslo not working sir // Customer address visit ch not available skip call not answering sir"/>
    <x v="29"/>
    <d v="2024-07-18T00:00:00"/>
    <n v="67792.94"/>
    <s v="ICICI Bank Coral RuPay Credit Card"/>
    <s v="17TH JUNE"/>
    <d v="2026-06-15T00:00:00"/>
  </r>
  <r>
    <s v="374740331024009"/>
    <s v="MR SANJEEVA SASANOORI"/>
    <n v="0"/>
    <x v="0"/>
    <m/>
    <m/>
    <s v="N"/>
    <x v="21"/>
    <s v="9000092288"/>
    <s v="X"/>
    <n v="-32086.309999999998"/>
    <n v="200000"/>
    <n v="167913.69"/>
    <n v="102583.34"/>
    <n v="65330.35"/>
    <n v="49045.66"/>
    <n v="65330.35"/>
    <n v="34074.339999999997"/>
    <x v="0"/>
    <x v="0"/>
    <n v="65330.35"/>
    <n v="-31256.010000000002"/>
    <x v="32"/>
    <s v="TC"/>
    <s v="30501-BBPS Payment received"/>
    <s v="SAMBA"/>
    <x v="2"/>
    <x v="4"/>
    <s v="&quot;C/O P PRABHAKAR REDDY,H NO 8-1-40/1&quot; &quot;CHINNA AGRAHARAM,GADWAL,MAHABUBNAGAR D&quot;   MAHBUBNAGAR TNG 509125"/>
    <s v="Not Applicable &quot;Plotno44 Bheemnagar,Gadwal&quot; &quot;Bheemnagar, Gadwal&quot; &quot;Bheemnagar, Gadwal&quot; MAHABUBNAGAR TNG 509125"/>
    <s v="MAHBOOBNAGAR"/>
    <x v="1"/>
    <x v="15"/>
    <s v="SAMBA"/>
    <n v="801772794"/>
    <s v="Ssde@9876"/>
    <m/>
    <m/>
    <x v="0"/>
    <m/>
    <m/>
    <x v="10"/>
    <d v="2025-10-27T00:00:00"/>
    <n v="4"/>
    <s v="ICICI Rubyx PLT Credit Card (AMEX)"/>
    <s v="17TH JUNE"/>
    <d v="2026-06-15T00:00:00"/>
  </r>
  <r>
    <s v="4315813109962009"/>
    <s v="MR Guguloth Rajender Naik"/>
    <n v="0"/>
    <x v="0"/>
    <m/>
    <m/>
    <s v="N"/>
    <x v="21"/>
    <s v="9866351508"/>
    <s v="X"/>
    <n v="-327332.49"/>
    <n v="490000"/>
    <n v="162667.51"/>
    <n v="15741.95"/>
    <n v="146925.56"/>
    <n v="132384.29"/>
    <n v="31780"/>
    <n v="12800"/>
    <x v="1"/>
    <x v="1"/>
    <n v="0"/>
    <n v="12800"/>
    <x v="1"/>
    <s v="NA"/>
    <n v="0"/>
    <s v="SAMBA"/>
    <x v="3"/>
    <x v="4"/>
    <s v="4-11/1 Gopal puram kanaka durga colony Warangal WARANGAL TNG 506015"/>
    <s v="KAKATIYA INSTITUTE OF TECHNOLOGY AND SCI DEPT. OF EEE BLOCK 3 BLOCK 3 WARANGAL TNG 506015"/>
    <s v="WARANGAL"/>
    <x v="1"/>
    <x v="30"/>
    <s v="AKHIL"/>
    <n v="801772792"/>
    <s v="Sgr@9290"/>
    <m/>
    <m/>
    <x v="0"/>
    <s v="DL"/>
    <s v="House door locked and cust number not working"/>
    <x v="26"/>
    <s v=""/>
    <n v="0"/>
    <s v="Amazon Pay ICICI Bank Credit Card"/>
    <s v="17TH JUNE"/>
    <d v="2026-06-15T00:00:00"/>
  </r>
  <r>
    <s v="4035621341719007"/>
    <s v="MR NAMPELLY SRIDHAR"/>
    <n v="0"/>
    <x v="0"/>
    <m/>
    <m/>
    <s v="N"/>
    <x v="21"/>
    <s v="9533834143"/>
    <s v="X"/>
    <n v="73459.91"/>
    <n v="80000"/>
    <n v="153459.91"/>
    <n v="136877.29"/>
    <n v="16582.62"/>
    <n v="13883.48"/>
    <n v="16582.62"/>
    <n v="7466.51"/>
    <x v="1"/>
    <x v="1"/>
    <n v="0"/>
    <n v="7466.51"/>
    <x v="1"/>
    <s v="NA"/>
    <n v="0"/>
    <s v="SAMBA"/>
    <x v="2"/>
    <x v="4"/>
    <s v="&quot;3-70,GUNDARAM GUNDARAM,.,GUNDARAM P S,&quot; ...  NEAR BUS STOP KARIMNAGAR TNG 505528"/>
    <s v="KI MOBILITY SOLUTIONS PRIVATE LIMITED &quot;NO-F968,68-8,PRASANTH NAGAR COLONY&quot; &quot;KONDAPUR,HYDERABAD&quot; &quot;KONDAPUR,HYDERABAD&quot; HYDERABAD TNG 500084"/>
    <s v="KARIMNAGAR"/>
    <x v="1"/>
    <x v="21"/>
    <s v="RAJKUMAR"/>
    <n v="802835406"/>
    <s v="Ssde@9290"/>
    <m/>
    <m/>
    <x v="0"/>
    <s v="SKIP"/>
    <s v="Customer house address visited sir his not available living in Hyderabad phone call not responding"/>
    <x v="33"/>
    <d v="2025-09-15T00:00:00"/>
    <n v="53398.720000000001"/>
    <s v="ICICI Bank Coral RuPay Credit Card"/>
    <s v="17TH JUNE"/>
    <d v="2026-06-15T00:00:00"/>
  </r>
  <r>
    <s v="4315814593823004"/>
    <s v="MR MANGALI UDAYKUMAR"/>
    <n v="0"/>
    <x v="0"/>
    <m/>
    <m/>
    <s v="O"/>
    <x v="21"/>
    <s v="8978207989"/>
    <s v="X"/>
    <n v="-127384.77"/>
    <n v="250000"/>
    <n v="122615.23"/>
    <s v=""/>
    <n v="122615.23"/>
    <n v="112985.86"/>
    <n v="110280"/>
    <n v="100000"/>
    <x v="0"/>
    <x v="0"/>
    <n v="122615"/>
    <n v="-22615"/>
    <x v="33"/>
    <s v="TC"/>
    <n v="0"/>
    <s v="SAMBA"/>
    <x v="4"/>
    <x v="4"/>
    <s v="8.735.C.GOOTY  ..  ANANTAPUR ANP 515401"/>
    <s v="Merkur.slots 8.735.C. BC.COLONY BC.COLONY ANANTAPUR ANP 515401"/>
    <s v="ANANTAPUR"/>
    <x v="2"/>
    <x v="26"/>
    <s v="T SRINIVAS"/>
    <n v="802030802"/>
    <s v="Sgr@0987"/>
    <m/>
    <m/>
    <x v="0"/>
    <m/>
    <m/>
    <x v="10"/>
    <d v="2026-02-14T00:00:00"/>
    <n v="1470"/>
    <s v="Amazon Pay ICICI Bank Credit Card"/>
    <s v="17TH JUNE"/>
    <d v="2026-06-15T00:00:00"/>
  </r>
  <r>
    <s v="4477466935610005"/>
    <s v="Mr. MUPPANA SRINIVAS"/>
    <n v="0"/>
    <x v="0"/>
    <m/>
    <m/>
    <s v="N"/>
    <x v="21"/>
    <s v="7382145529"/>
    <s v="X"/>
    <n v="16834.149999999994"/>
    <n v="93000"/>
    <n v="109834.15"/>
    <n v="5879.66"/>
    <n v="103954.49"/>
    <n v="97423.21"/>
    <n v="20600"/>
    <n v="6200"/>
    <x v="0"/>
    <x v="0"/>
    <n v="20600"/>
    <n v="-14400"/>
    <x v="1"/>
    <s v="D"/>
    <s v="12124 - UPI Payment Received"/>
    <s v="SAMBA"/>
    <x v="6"/>
    <x v="4"/>
    <s v="&quot;70-3-46, Road No:3,Plot No: 19,&quot; &quot;Vydhya Nagar -1, (Doctors colony),&quot; &quot;Ramanayyapeta, Kakinada&quot; NR BROWN STAR HOTEL KAKINADA ANP 533005"/>
    <s v="LARSEN &amp; TOUBRO LIMITED 3RD FLOOR ADMIN BLDG LARSEN &amp; TOUBRO LTD MOUNT POONAMALLEE ROAD MOUNT POONAMALLEE ROAD CHENNAI TMN 600089"/>
    <s v="KAKINADA"/>
    <x v="0"/>
    <x v="16"/>
    <s v="UDAY"/>
    <n v="801436997"/>
    <s v="Ssd@9290"/>
    <m/>
    <m/>
    <x v="0"/>
    <m/>
    <m/>
    <x v="10"/>
    <d v="2026-05-16T00:00:00"/>
    <n v="1000"/>
    <s v="ICICI Bank HPCL Coral VISA Credit Card"/>
    <s v="19TH JUNE"/>
    <d v="2026-06-15T00:00:00"/>
  </r>
  <r>
    <s v="4035621508133000"/>
    <s v="MR KATHULA PRAKASARAO"/>
    <n v="0"/>
    <x v="0"/>
    <m/>
    <m/>
    <s v="N"/>
    <x v="21"/>
    <s v="9491545617"/>
    <s v="X"/>
    <n v="3805.6600000000035"/>
    <n v="100000"/>
    <n v="103805.66"/>
    <s v=""/>
    <n v="103805.66"/>
    <n v="95253.05"/>
    <n v="29330"/>
    <n v="15600"/>
    <x v="1"/>
    <x v="1"/>
    <n v="0"/>
    <n v="15600"/>
    <x v="1"/>
    <s v="NA"/>
    <n v="0"/>
    <s v="SAMBA"/>
    <x v="4"/>
    <x v="4"/>
    <s v="35-4-8 NEAR BY HEAD POST OFFICE RAMALAYAM ROAD ENDING RATNABHAVAN-1996 TANUKU ANP 534211"/>
    <s v="SASI ENGLISH MEDIUM HIGH SCHOOL &quot;TANUKU MANDAL,WEST GODAVARI&quot; ANDHRA PRADESH ANDHRA PRADESH TANUKU ANP 534211"/>
    <s v="TANUKU"/>
    <x v="0"/>
    <x v="13"/>
    <s v="MANIKANTA"/>
    <n v="802852449"/>
    <s v="Ssd@9290"/>
    <m/>
    <m/>
    <x v="0"/>
    <s v="LIVE"/>
    <s v="Custmor shifted this address_x000a_Tomorrow visted office address // Visted custmor office address _x000a_Custmor in class phone not respond after 7 pm // Visted custmor office address_x000a_But not allowed sir  present custmor working this school"/>
    <x v="32"/>
    <d v="2024-07-13T00:00:00"/>
    <n v="22551.24"/>
    <s v="ICICI Bank Coral Credit Card"/>
    <s v="17TH JUNE"/>
    <d v="2026-06-15T00:00:00"/>
  </r>
  <r>
    <s v="4315812961448008"/>
    <s v="MR MORE SAMBAIAH"/>
    <n v="0"/>
    <x v="0"/>
    <m/>
    <m/>
    <s v="N"/>
    <x v="21"/>
    <s v="6281185018"/>
    <s v="X"/>
    <n v="-48977.7"/>
    <n v="150000"/>
    <n v="101022.3"/>
    <s v=""/>
    <n v="101022.3"/>
    <n v="91349.55"/>
    <n v="15530"/>
    <n v="5350"/>
    <x v="0"/>
    <x v="2"/>
    <n v="5360"/>
    <n v="-10"/>
    <x v="29"/>
    <s v="TC"/>
    <s v="30501-BBPS Payment received"/>
    <s v="SAMBA"/>
    <x v="1"/>
    <x v="4"/>
    <s v="3 28 BORNAPALLI BORNAPALLI HUZURABAD BORNAPALLI HUZURABAD  HYDERABAD ANP 505468"/>
    <s v="SWATHI ASSOCIATES HUZURABAD HUZURABAD HUZURABAD HYDERABAD ANP 505468"/>
    <s v="KARIMNAGAR"/>
    <x v="1"/>
    <x v="48"/>
    <s v="POORNIMA"/>
    <n v="802824019"/>
    <s v="Nihan@2421"/>
    <m/>
    <m/>
    <x v="0"/>
    <m/>
    <m/>
    <x v="10"/>
    <d v="2025-04-15T00:00:00"/>
    <n v="6340"/>
    <s v="Amazon Pay ICICI Bank Credit Card"/>
    <s v="17TH JUNE"/>
    <d v="2026-06-15T00:00:00"/>
  </r>
  <r>
    <s v="4315814576617001"/>
    <s v="MR Bommareddy Chandrahasa Reddy"/>
    <n v="0"/>
    <x v="0"/>
    <m/>
    <m/>
    <s v="N"/>
    <x v="21"/>
    <s v="9493705484"/>
    <s v="X"/>
    <n v="8636.8800000000047"/>
    <n v="90000"/>
    <n v="98636.88"/>
    <s v=""/>
    <n v="98636.88"/>
    <n v="87067.24"/>
    <n v="35280"/>
    <n v="24540"/>
    <x v="1"/>
    <x v="1"/>
    <n v="0"/>
    <n v="24540"/>
    <x v="1"/>
    <s v="NA"/>
    <n v="0"/>
    <s v="DURGA"/>
    <x v="0"/>
    <x v="4"/>
    <s v="flot.no.105.lakshmisri.towers.opposit.bu flot.no.105.lakshmisri.towers.opposit.bu ..flot.no.105.lakshmisri.towers.opposit. Guntur NARASAPURAM ANP 522413"/>
    <s v="LIFE.INSURANCE.CORPORATION.OF.INDIAPLICA DHANUNJAYA.COMPLEX Sattenapalli. Sattenapalli. NARASAPURAM ANP 522403"/>
    <s v="NARASARAOPET"/>
    <x v="3"/>
    <x v="49"/>
    <s v="DURGA"/>
    <n v="801723195"/>
    <s v="Sgr@9290"/>
    <m/>
    <m/>
    <x v="1"/>
    <m/>
    <m/>
    <x v="10"/>
    <d v="2023-12-25T00:00:00"/>
    <n v="12000"/>
    <s v="Amazon Pay ICICI Bank Credit Card"/>
    <s v="17TH JUNE"/>
    <d v="2026-06-15T00:00:00"/>
  </r>
  <r>
    <s v="4315812467047007"/>
    <s v="Mr MARIA SARPRASADAM ABHISHE"/>
    <n v="0"/>
    <x v="0"/>
    <m/>
    <m/>
    <s v="N"/>
    <x v="21"/>
    <s v="9052167949"/>
    <s v="X"/>
    <n v="8582.3099999999977"/>
    <n v="90000"/>
    <n v="98582.31"/>
    <n v="6020.84"/>
    <n v="92561.47"/>
    <n v="83276.61"/>
    <n v="17780"/>
    <n v="5440"/>
    <x v="1"/>
    <x v="1"/>
    <n v="0"/>
    <n v="5440"/>
    <x v="1"/>
    <s v="NA"/>
    <n v="0"/>
    <s v="SAMBA"/>
    <x v="4"/>
    <x v="4"/>
    <s v="&quot;70-8-1 EMPLOYEE STREET,PATAMATA,VIJAYAWADA,&quot; VENKATESWARAPURAM   VIJAYAWADA ANP 520010"/>
    <s v="GDC KANTAR private limited Vbit park gate no5 7th floor Near inorbit Near inorbit HYDERABAD TNG 500081"/>
    <s v="VIJAYAWADA"/>
    <x v="0"/>
    <x v="22"/>
    <s v="SUDHAKAR"/>
    <n v="802913252"/>
    <s v="Ssd@9290"/>
    <m/>
    <m/>
    <x v="0"/>
    <s v="SKIP"/>
    <s v="No such person in the given address"/>
    <x v="26"/>
    <d v="2026-04-18T00:00:00"/>
    <n v="200"/>
    <s v="Amazon Pay ICICI Bank Credit Card"/>
    <s v="17TH JUNE"/>
    <d v="2026-06-15T00:00:00"/>
  </r>
  <r>
    <s v="4748468310311004"/>
    <s v="MR REGURI DHARANI"/>
    <n v="0"/>
    <x v="0"/>
    <m/>
    <m/>
    <s v="O"/>
    <x v="21"/>
    <s v="9908071054"/>
    <s v="X"/>
    <n v="-4045.5500000000029"/>
    <n v="100000"/>
    <n v="95954.45"/>
    <s v=""/>
    <n v="95954.45"/>
    <n v="87594.23"/>
    <n v="26180"/>
    <n v="17820"/>
    <x v="0"/>
    <x v="0"/>
    <n v="95954.45"/>
    <n v="-78134.45"/>
    <x v="27"/>
    <s v="TC"/>
    <s v="12101-INFINITY PYMT RCVD"/>
    <s v="SAMBA"/>
    <x v="1"/>
    <x v="4"/>
    <s v="8-4-391 GANESHNAGAR KARIMNAGAR NEAR CPI OFFICE ADILABAD TNG 505001"/>
    <s v="HARMAN CONNECTED SERVICES CORPORATION IN NO 3 3A EOLZ INDUATRIAL AREA SADARAMANGALA VILLAGE SADARAMANGALA VILLAGE BANGALORE KAR 560066"/>
    <s v="KARIMNAGAR"/>
    <x v="1"/>
    <x v="27"/>
    <s v="SUMANTH"/>
    <n v="802370852"/>
    <s v="Sgr@9290"/>
    <m/>
    <m/>
    <x v="0"/>
    <m/>
    <m/>
    <x v="10"/>
    <d v="2026-05-26T00:00:00"/>
    <n v="12850"/>
    <s v="ICICI Bank HPCL Coral VISA Credit Card"/>
    <s v="17TH JUNE"/>
    <d v="2026-06-15T00:00:00"/>
  </r>
  <r>
    <s v="374740227543005"/>
    <s v="MR KUKUTAPU MAHESH"/>
    <n v="0"/>
    <x v="0"/>
    <m/>
    <m/>
    <s v="N"/>
    <x v="21"/>
    <s v="9032519169"/>
    <s v="J3"/>
    <n v="-69847.27"/>
    <n v="156000"/>
    <n v="86152.73"/>
    <s v=""/>
    <n v="86152.73"/>
    <n v="78490.34"/>
    <n v="54060"/>
    <n v="48780"/>
    <x v="0"/>
    <x v="2"/>
    <n v="48900"/>
    <n v="-120"/>
    <x v="31"/>
    <s v="FE"/>
    <s v="30501-BBPS Payment received"/>
    <s v="SAMBA"/>
    <x v="3"/>
    <x v="4"/>
    <s v="&quot;3-1-29 SHIVAJI NAGAR,BHONGIR,SHIVAJI NAGAR,&quot; BHONGIR   NALGONDA TNG 508116"/>
    <s v="self employed bhongir bhongir bhongir NALGONDA TNG 508116"/>
    <s v="NALGONDA"/>
    <x v="1"/>
    <x v="18"/>
    <s v="INAMUL"/>
    <n v="802823175"/>
    <s v="Sgr@9290"/>
    <m/>
    <m/>
    <x v="1"/>
    <m/>
    <m/>
    <x v="10"/>
    <d v="2025-12-18T00:00:00"/>
    <n v="5200"/>
    <s v="ICICI Rubyx PLT Credit Card (AMEX)"/>
    <s v="17TH JUNE"/>
    <d v="2026-06-15T00:00:00"/>
  </r>
  <r>
    <s v="4035623108090002"/>
    <s v="MS SYEDA SHAHID"/>
    <n v="0"/>
    <x v="0"/>
    <m/>
    <m/>
    <s v="N"/>
    <x v="21"/>
    <s v="7995685232"/>
    <s v="X"/>
    <n v="8435.7899999999936"/>
    <n v="60000"/>
    <n v="68435.789999999994"/>
    <s v=""/>
    <n v="68435.789999999994"/>
    <n v="59937.120000000003"/>
    <n v="20160"/>
    <n v="6070"/>
    <x v="1"/>
    <x v="1"/>
    <n v="0"/>
    <n v="6070"/>
    <x v="1"/>
    <s v="NA"/>
    <n v="0"/>
    <s v="SAMBA"/>
    <x v="1"/>
    <x v="4"/>
    <s v="&quot;501,5th floor,MallaReddy Silveroak 2&quot; &quot;block B,Ameen abbas nagar&quot; VR colony beside ucon paradise apartment KURNOOL ANP 518003"/>
    <s v="ACCENTURE SOLUTIONS PRIVATE LIMITED &quot;HP9G H3G,KUNDALAHALLI,BROOKEFIELD,&quot; &quot;BENGALURU,KARNATAKA,&quot; &quot;BENGALURU,KARNATAKA,&quot; BANGALORE KAR 560066"/>
    <s v="KURNOOL"/>
    <x v="2"/>
    <x v="19"/>
    <s v="SAMBA"/>
    <n v="801772794"/>
    <s v="Ssde@9876"/>
    <m/>
    <m/>
    <x v="0"/>
    <s v="LIVE"/>
    <s v="Customer out of station contact to his son . After that contact to customer by phone he given ptp on 26th sir  // Customer out of station not answering for calls . // /Customer given ptp on 27 evening sir "/>
    <x v="32"/>
    <d v="2026-04-24T00:00:00"/>
    <n v="230"/>
    <s v="ICICI Bank Platinum Chip Credit Card"/>
    <s v="17TH JUNE"/>
    <d v="2026-06-15T00:00:00"/>
  </r>
  <r>
    <s v="4315812454848003"/>
    <s v="MR K Vamsi Krishna"/>
    <n v="0"/>
    <x v="0"/>
    <m/>
    <m/>
    <s v="N"/>
    <x v="21"/>
    <s v="9959168220"/>
    <s v="X"/>
    <n v="46789.020000000004"/>
    <n v="20000"/>
    <n v="66789.02"/>
    <n v="58087.13"/>
    <n v="8701.89"/>
    <n v="5947.37"/>
    <n v="8701.89"/>
    <n v="4337.28"/>
    <x v="0"/>
    <x v="0"/>
    <n v="8701.89"/>
    <n v="-4364.6099999999997"/>
    <x v="34"/>
    <s v="TC"/>
    <s v="30501-BBPS Payment received"/>
    <s v="SAMBA"/>
    <x v="1"/>
    <x v="4"/>
    <s v="1-80 eguvaReddy Vari Palli eguvA Reddy  Vari Palli Chittoor TIRUPATHI ANP 517101"/>
    <s v="FINANCE EGUVA REDDY VARI PALLI CHANDRAGIRI CHANDRAGIRI TIRUPATHI ANP 517101"/>
    <s v="TIRUPATHI"/>
    <x v="2"/>
    <x v="33"/>
    <s v="GUNASEKAR"/>
    <n v="802241455"/>
    <s v="Sgr@9290"/>
    <m/>
    <m/>
    <x v="0"/>
    <m/>
    <m/>
    <x v="10"/>
    <d v="2024-07-12T00:00:00"/>
    <n v="47000"/>
    <s v="Amazon Pay ICICI Bank Credit Card"/>
    <s v="17TH JUNE"/>
    <d v="2026-06-15T00:00:00"/>
  </r>
  <r>
    <s v="4375519764192017"/>
    <s v="MR MORE SAMBAIAH"/>
    <n v="0"/>
    <x v="0"/>
    <m/>
    <m/>
    <s v="N"/>
    <x v="21"/>
    <s v="6281185018"/>
    <s v="X"/>
    <n v="-83512.899999999994"/>
    <n v="150000"/>
    <n v="66487.100000000006"/>
    <s v=""/>
    <n v="66487.100000000006"/>
    <n v="58482.48"/>
    <n v="24820"/>
    <n v="10010"/>
    <x v="1"/>
    <x v="1"/>
    <n v="0"/>
    <n v="10010"/>
    <x v="1"/>
    <s v="NA"/>
    <n v="0"/>
    <s v="SAMBA"/>
    <x v="3"/>
    <x v="4"/>
    <s v="3 28 BORNAPALLI BORNAPALLI HUZURABAD BORNAPALLI HUZURABAD  HYDERABAD ANP 505468"/>
    <s v="SWATHI ASSOCIATES HUZURABAD HUZURABAD HUZURABAD HYDERABAD ANP 505468"/>
    <s v="KARIMNAGAR"/>
    <x v="1"/>
    <x v="48"/>
    <s v="POORNIMA"/>
    <n v="802824019"/>
    <s v="Nihan@2421"/>
    <m/>
    <m/>
    <x v="1"/>
    <m/>
    <m/>
    <x v="10"/>
    <d v="2025-04-17T00:00:00"/>
    <n v="10502.26"/>
    <s v="ICICI Bank Coral Credit Card"/>
    <s v="17TH JUNE"/>
    <d v="2026-06-15T00:00:00"/>
  </r>
  <r>
    <s v="4748469378865006"/>
    <s v="MR MOPURI VISHNUVARDHAN REDDY"/>
    <n v="0"/>
    <x v="0"/>
    <m/>
    <m/>
    <s v="O"/>
    <x v="21"/>
    <s v="7416462353"/>
    <s v="X"/>
    <n v="-1410.1800000000003"/>
    <n v="60000"/>
    <n v="58589.82"/>
    <s v=""/>
    <n v="58589.82"/>
    <n v="54325.24"/>
    <n v="12090"/>
    <n v="7690"/>
    <x v="0"/>
    <x v="0"/>
    <n v="12090"/>
    <n v="-4400"/>
    <x v="1"/>
    <s v="D"/>
    <s v="30501-BBPS Payment received"/>
    <s v="SAMBA"/>
    <x v="3"/>
    <x v="4"/>
    <s v="2 KOGATAM  CUDDAPAH PRODDATUR ANP 516289"/>
    <s v="B S R AND CO LLP &quot;BLOCK A 11/12/1,100 FEET ROAD EMBASSY&quot; GOLF LINKS BUSINESS PARK KORAMANGALA GOLF LINKS BUSINESS PARK KORAMANGALA BANGALORE KAR 560071"/>
    <s v="PRODDATUR"/>
    <x v="2"/>
    <x v="31"/>
    <s v="POORNIMA"/>
    <n v="802824019"/>
    <s v="Nihan@2421"/>
    <m/>
    <m/>
    <x v="0"/>
    <m/>
    <m/>
    <x v="10"/>
    <d v="2026-04-27T00:00:00"/>
    <n v="3370"/>
    <s v="ICICI Bank HPCL Super Saver Visa Credit Card"/>
    <s v="17TH JUNE"/>
    <d v="2026-06-15T00:00:00"/>
  </r>
  <r>
    <s v="4748469490493000"/>
    <s v="MR KAKARLA KALYAN"/>
    <n v="0"/>
    <x v="0"/>
    <m/>
    <m/>
    <s v="N"/>
    <x v="21"/>
    <s v="8897195163"/>
    <s v="X"/>
    <n v="-32551.03"/>
    <n v="90000"/>
    <n v="57448.97"/>
    <s v=""/>
    <n v="57448.97"/>
    <n v="22426.12"/>
    <n v="57448.97"/>
    <n v="53589.19"/>
    <x v="1"/>
    <x v="1"/>
    <n v="46375"/>
    <n v="7214.1900000000023"/>
    <x v="1"/>
    <s v="NA"/>
    <n v="0"/>
    <s v="SAMBA"/>
    <x v="2"/>
    <x v="4"/>
    <s v="1135 SAJJALADINNE SAJJALADINNE &quot;ANANTAPUR, ANDHRAPRADESH&quot;  NEAR TEMPLE ANANTAPUR ANP 515415"/>
    <s v="ERRAMANCHI VILLAGE BEHIND KIA MOTORS NEAR HYUNDAI MOBIS ANDHRAPRADESH ANDHRAPRADESH HINDUPUR ANP 515164"/>
    <s v="ANANTAPUR"/>
    <x v="2"/>
    <x v="26"/>
    <s v="T SRINIVAS"/>
    <n v="802030802"/>
    <s v="Sgr@0987"/>
    <m/>
    <m/>
    <x v="1"/>
    <m/>
    <m/>
    <x v="10"/>
    <d v="2026-04-08T00:00:00"/>
    <n v="10700"/>
    <s v="ICICI Bank Coral American Express Credit Card"/>
    <s v="17TH JUNE"/>
    <d v="2026-06-15T00:00:00"/>
  </r>
  <r>
    <s v="4315810895182016"/>
    <s v="MR. VENKATESWARLU NARAPAREDDY"/>
    <n v="0"/>
    <x v="0"/>
    <m/>
    <m/>
    <s v="O"/>
    <x v="21"/>
    <s v="9966140077"/>
    <s v="X"/>
    <n v="-5548.1900000000023"/>
    <n v="58000"/>
    <n v="52451.81"/>
    <s v=""/>
    <n v="52451.81"/>
    <n v="48684.4"/>
    <n v="8210"/>
    <n v="4000"/>
    <x v="0"/>
    <x v="0"/>
    <n v="8220"/>
    <n v="-4220"/>
    <x v="1"/>
    <s v="D"/>
    <s v="12124 - UPI Payment Received"/>
    <s v="SAMBA"/>
    <x v="3"/>
    <x v="4"/>
    <s v="D NO 11-26 PORNKI FISHNURSARIES VIJAYWADA - VIJAYWADA ANP 521137"/>
    <s v="MEDVISION PVT LTD PLOT NO 31 AND 32 5TH FLR RAMKY SELEIUNUM GACHIBOWLI GACHIBOWLI HYDERABAD TNG 500032"/>
    <s v="VIJAYAWADA"/>
    <x v="0"/>
    <x v="22"/>
    <s v="SUDHAKAR"/>
    <n v="802913252"/>
    <s v="Ssd@9290"/>
    <m/>
    <m/>
    <x v="0"/>
    <m/>
    <m/>
    <x v="10"/>
    <d v="2026-05-27T00:00:00"/>
    <n v="4240"/>
    <s v="Amazon Pay ICICI Bank Credit Card"/>
    <s v="17TH JUNE"/>
    <d v="2026-06-15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6" cacheId="350" dataOnRows="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olHeaderCaption="MIS">
  <location ref="A136:F162" firstHeaderRow="1" firstDataRow="3" firstDataCol="1"/>
  <pivotFields count="47">
    <pivotField showAll="0"/>
    <pivotField showAll="0"/>
    <pivotField showAll="0"/>
    <pivotField showAll="0">
      <items count="18">
        <item h="1" m="1" x="8"/>
        <item x="0"/>
        <item h="1" m="1" x="14"/>
        <item h="1" m="1" x="16"/>
        <item h="1" m="1" x="15"/>
        <item x="2"/>
        <item h="1" m="1" x="13"/>
        <item h="1" m="1" x="3"/>
        <item h="1" m="1" x="10"/>
        <item h="1" m="1" x="7"/>
        <item h="1" m="1" x="12"/>
        <item h="1" x="1"/>
        <item h="1" m="1" x="9"/>
        <item h="1" m="1" x="4"/>
        <item h="1" m="1" x="11"/>
        <item h="1" m="1" x="6"/>
        <item h="1" m="1" x="5"/>
        <item t="default"/>
      </items>
    </pivotField>
    <pivotField showAll="0"/>
    <pivotField showAll="0"/>
    <pivotField showAll="0"/>
    <pivotField showAll="0">
      <items count="28">
        <item x="0"/>
        <item x="1"/>
        <item x="2"/>
        <item m="1" x="23"/>
        <item x="3"/>
        <item m="1" x="22"/>
        <item x="4"/>
        <item x="5"/>
        <item x="6"/>
        <item x="7"/>
        <item x="8"/>
        <item x="9"/>
        <item x="10"/>
        <item x="11"/>
        <item x="12"/>
        <item x="13"/>
        <item x="14"/>
        <item x="15"/>
        <item m="1" x="24"/>
        <item x="16"/>
        <item x="17"/>
        <item x="18"/>
        <item x="19"/>
        <item x="20"/>
        <item m="1" x="26"/>
        <item m="1" x="25"/>
        <item x="21"/>
        <item t="default"/>
      </items>
    </pivotField>
    <pivotField showAll="0"/>
    <pivotField showAll="0"/>
    <pivotField showAll="0"/>
    <pivotField showAll="0"/>
    <pivotField dataField="1" showAll="0"/>
    <pivotField showAll="0"/>
    <pivotField showAll="0"/>
    <pivotField showAll="0"/>
    <pivotField showAll="0"/>
    <pivotField showAll="0"/>
    <pivotField axis="axisCol" showAll="0">
      <items count="3">
        <item x="0"/>
        <item sd="0" x="1"/>
        <item t="default"/>
      </items>
    </pivotField>
    <pivotField axis="axisCol" showAll="0">
      <items count="5">
        <item x="1"/>
        <item x="0"/>
        <item x="2"/>
        <item m="1" x="3"/>
        <item t="default"/>
      </items>
    </pivotField>
    <pivotField dataField="1" showAll="0"/>
    <pivotField showAll="0"/>
    <pivotField showAll="0"/>
    <pivotField showAll="0"/>
    <pivotField showAll="0"/>
    <pivotField showAll="0" defaultSubtotal="0"/>
    <pivotField showAll="0">
      <items count="28">
        <item m="1" x="23"/>
        <item m="1" x="17"/>
        <item m="1" x="25"/>
        <item m="1" x="26"/>
        <item m="1" x="9"/>
        <item m="1" x="15"/>
        <item m="1" x="21"/>
        <item m="1" x="14"/>
        <item x="4"/>
        <item x="0"/>
        <item m="1" x="11"/>
        <item m="1" x="13"/>
        <item m="1" x="18"/>
        <item x="3"/>
        <item m="1" x="19"/>
        <item m="1" x="20"/>
        <item x="5"/>
        <item m="1" x="8"/>
        <item m="1" x="24"/>
        <item x="1"/>
        <item m="1" x="12"/>
        <item x="2"/>
        <item m="1" x="22"/>
        <item m="1" x="7"/>
        <item m="1" x="16"/>
        <item m="1" x="10"/>
        <item x="6"/>
        <item t="default"/>
      </items>
    </pivotField>
    <pivotField axis="axisRow" showAll="0">
      <items count="7">
        <item m="1" x="5"/>
        <item x="0"/>
        <item x="1"/>
        <item x="2"/>
        <item x="3"/>
        <item x="4"/>
        <item t="default"/>
      </items>
    </pivotField>
    <pivotField showAll="0"/>
    <pivotField showAll="0"/>
    <pivotField showAll="0"/>
    <pivotField showAll="0">
      <items count="12">
        <item m="1" x="7"/>
        <item x="0"/>
        <item x="3"/>
        <item x="2"/>
        <item m="1" x="10"/>
        <item x="4"/>
        <item x="5"/>
        <item m="1" x="9"/>
        <item x="1"/>
        <item m="1" x="8"/>
        <item m="1" x="6"/>
        <item t="default"/>
      </items>
    </pivotField>
    <pivotField showAll="0">
      <items count="132">
        <item m="1" x="83"/>
        <item m="1" x="115"/>
        <item m="1" x="104"/>
        <item m="1" x="102"/>
        <item m="1" x="101"/>
        <item x="42"/>
        <item m="1" x="88"/>
        <item m="1" x="121"/>
        <item x="6"/>
        <item m="1" x="125"/>
        <item m="1" x="53"/>
        <item x="44"/>
        <item m="1" x="95"/>
        <item x="7"/>
        <item m="1" x="84"/>
        <item m="1" x="70"/>
        <item m="1" x="58"/>
        <item m="1" x="65"/>
        <item x="40"/>
        <item m="1" x="114"/>
        <item m="1" x="51"/>
        <item m="1" x="74"/>
        <item m="1" x="94"/>
        <item x="5"/>
        <item m="1" x="81"/>
        <item m="1" x="116"/>
        <item x="29"/>
        <item m="1" x="93"/>
        <item m="1" x="92"/>
        <item x="46"/>
        <item m="1" x="117"/>
        <item x="48"/>
        <item x="34"/>
        <item x="17"/>
        <item m="1" x="64"/>
        <item m="1" x="107"/>
        <item m="1" x="87"/>
        <item x="2"/>
        <item m="1" x="66"/>
        <item m="1" x="96"/>
        <item m="1" x="79"/>
        <item x="49"/>
        <item m="1" x="60"/>
        <item x="25"/>
        <item m="1" x="62"/>
        <item m="1" x="113"/>
        <item m="1" x="89"/>
        <item m="1" x="63"/>
        <item x="24"/>
        <item x="32"/>
        <item m="1" x="91"/>
        <item m="1" x="61"/>
        <item x="14"/>
        <item x="15"/>
        <item x="20"/>
        <item m="1" x="119"/>
        <item x="37"/>
        <item m="1" x="111"/>
        <item m="1" x="108"/>
        <item m="1" x="122"/>
        <item x="43"/>
        <item m="1" x="72"/>
        <item m="1" x="80"/>
        <item x="1"/>
        <item m="1" x="98"/>
        <item m="1" x="97"/>
        <item x="31"/>
        <item x="38"/>
        <item x="47"/>
        <item m="1" x="52"/>
        <item m="1" x="105"/>
        <item m="1" x="78"/>
        <item m="1" x="106"/>
        <item m="1" x="129"/>
        <item m="1" x="86"/>
        <item x="10"/>
        <item x="11"/>
        <item x="9"/>
        <item m="1" x="128"/>
        <item x="19"/>
        <item x="4"/>
        <item x="21"/>
        <item x="0"/>
        <item m="1" x="100"/>
        <item x="36"/>
        <item x="23"/>
        <item m="1" x="130"/>
        <item x="30"/>
        <item m="1" x="110"/>
        <item m="1" x="56"/>
        <item m="1" x="55"/>
        <item m="1" x="76"/>
        <item x="27"/>
        <item m="1" x="54"/>
        <item m="1" x="109"/>
        <item x="33"/>
        <item m="1" x="127"/>
        <item m="1" x="118"/>
        <item m="1" x="112"/>
        <item m="1" x="69"/>
        <item x="26"/>
        <item x="18"/>
        <item x="13"/>
        <item m="1" x="82"/>
        <item x="45"/>
        <item m="1" x="103"/>
        <item m="1" x="99"/>
        <item m="1" x="126"/>
        <item m="1" x="124"/>
        <item x="39"/>
        <item x="8"/>
        <item m="1" x="68"/>
        <item x="22"/>
        <item m="1" x="59"/>
        <item m="1" x="71"/>
        <item m="1" x="67"/>
        <item x="35"/>
        <item m="1" x="57"/>
        <item m="1" x="90"/>
        <item m="1" x="75"/>
        <item x="12"/>
        <item x="41"/>
        <item x="16"/>
        <item x="3"/>
        <item x="28"/>
        <item m="1" x="73"/>
        <item m="1" x="85"/>
        <item m="1" x="123"/>
        <item m="1" x="77"/>
        <item m="1" x="120"/>
        <item m="1" x="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s>
  <rowFields count="2">
    <field x="27"/>
    <field x="-2"/>
  </rowFields>
  <rowItems count="24">
    <i>
      <x v="1"/>
    </i>
    <i r="1">
      <x/>
    </i>
    <i r="1" i="1">
      <x v="1"/>
    </i>
    <i r="1" i="2">
      <x v="2"/>
    </i>
    <i r="1" i="3">
      <x v="3"/>
    </i>
    <i>
      <x v="2"/>
    </i>
    <i r="1">
      <x/>
    </i>
    <i r="1" i="1">
      <x v="1"/>
    </i>
    <i r="1" i="2">
      <x v="2"/>
    </i>
    <i r="1" i="3">
      <x v="3"/>
    </i>
    <i>
      <x v="3"/>
    </i>
    <i r="1">
      <x/>
    </i>
    <i r="1" i="1">
      <x v="1"/>
    </i>
    <i r="1" i="2">
      <x v="2"/>
    </i>
    <i r="1" i="3">
      <x v="3"/>
    </i>
    <i>
      <x v="5"/>
    </i>
    <i r="1">
      <x/>
    </i>
    <i r="1" i="1">
      <x v="1"/>
    </i>
    <i r="1" i="2">
      <x v="2"/>
    </i>
    <i r="1" i="3">
      <x v="3"/>
    </i>
    <i t="grand">
      <x/>
    </i>
    <i t="grand" i="1">
      <x/>
    </i>
    <i t="grand" i="2">
      <x/>
    </i>
    <i t="grand" i="3">
      <x/>
    </i>
  </rowItems>
  <colFields count="2">
    <field x="18"/>
    <field x="19"/>
  </colFields>
  <colItems count="5">
    <i>
      <x/>
      <x v="1"/>
    </i>
    <i r="1">
      <x v="2"/>
    </i>
    <i t="default">
      <x/>
    </i>
    <i>
      <x v="1"/>
    </i>
    <i t="grand">
      <x/>
    </i>
  </colItems>
  <dataFields count="4">
    <dataField name="COUNT." fld="12" subtotal="count" baseField="4" baseItem="0"/>
    <dataField name="%" fld="12" showDataAs="percentOfRow" baseField="4" baseItem="0" numFmtId="10"/>
    <dataField name="ENR." fld="12" baseField="0" baseItem="0"/>
    <dataField name="AMT." fld="20" baseField="0" baseItem="0"/>
  </dataFields>
  <formats count="5">
    <format dxfId="121">
      <pivotArea type="all" dataOnly="0" outline="0" fieldPosition="0"/>
    </format>
    <format dxfId="120">
      <pivotArea type="all" dataOnly="0" outline="0" fieldPosition="0"/>
    </format>
    <format dxfId="119">
      <pivotArea dataOnly="0" outline="0" fieldPosition="0">
        <references count="1">
          <reference field="4294967294" count="1">
            <x v="1"/>
          </reference>
        </references>
      </pivotArea>
    </format>
    <format dxfId="118">
      <pivotArea type="all" dataOnly="0" outline="0" fieldPosition="0"/>
    </format>
    <format dxfId="117">
      <pivotArea type="all" dataOnly="0" outline="0" fieldPosition="0"/>
    </format>
  </formats>
  <conditionalFormats count="1">
    <conditionalFormat priority="43">
      <pivotAreas count="1">
        <pivotArea type="data" outline="0" collapsedLevelsAreSubtotals="1" fieldPosition="0">
          <references count="2">
            <reference field="4294967294" count="1" selected="0">
              <x v="1"/>
            </reference>
            <reference field="18" count="1" selected="0" defaultSubtotal="1">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3" cacheId="35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olHeaderCaption="MIS">
  <location ref="K1:T54" firstHeaderRow="1" firstDataRow="3" firstDataCol="1"/>
  <pivotFields count="47">
    <pivotField showAll="0"/>
    <pivotField showAll="0"/>
    <pivotField showAll="0"/>
    <pivotField showAll="0">
      <items count="18">
        <item h="1" m="1" x="8"/>
        <item x="0"/>
        <item h="1" m="1" x="14"/>
        <item h="1" m="1" x="16"/>
        <item h="1" m="1" x="15"/>
        <item x="2"/>
        <item h="1" m="1" x="13"/>
        <item h="1" m="1" x="3"/>
        <item h="1" m="1" x="10"/>
        <item h="1" m="1" x="7"/>
        <item h="1" m="1" x="12"/>
        <item h="1" x="1"/>
        <item h="1" m="1" x="9"/>
        <item h="1" m="1" x="4"/>
        <item h="1" m="1" x="11"/>
        <item h="1" m="1" x="6"/>
        <item h="1" m="1" x="5"/>
        <item t="default"/>
      </items>
    </pivotField>
    <pivotField showAll="0"/>
    <pivotField showAll="0"/>
    <pivotField showAll="0"/>
    <pivotField showAll="0">
      <items count="28">
        <item x="0"/>
        <item x="1"/>
        <item x="2"/>
        <item m="1" x="23"/>
        <item x="3"/>
        <item m="1" x="22"/>
        <item x="4"/>
        <item x="5"/>
        <item x="6"/>
        <item x="7"/>
        <item x="8"/>
        <item x="9"/>
        <item x="10"/>
        <item x="11"/>
        <item x="12"/>
        <item x="13"/>
        <item x="14"/>
        <item x="15"/>
        <item m="1" x="24"/>
        <item x="16"/>
        <item x="17"/>
        <item x="18"/>
        <item x="19"/>
        <item x="20"/>
        <item m="1" x="26"/>
        <item m="1" x="25"/>
        <item x="21"/>
        <item t="default"/>
      </items>
    </pivotField>
    <pivotField showAll="0"/>
    <pivotField showAll="0"/>
    <pivotField showAll="0"/>
    <pivotField showAll="0"/>
    <pivotField dataField="1" showAll="0"/>
    <pivotField showAll="0"/>
    <pivotField showAll="0"/>
    <pivotField showAll="0"/>
    <pivotField showAll="0"/>
    <pivotField showAll="0"/>
    <pivotField axis="axisCol" showAll="0">
      <items count="3">
        <item x="0"/>
        <item sd="0" x="1"/>
        <item t="default"/>
      </items>
    </pivotField>
    <pivotField showAll="0"/>
    <pivotField showAll="0"/>
    <pivotField showAll="0"/>
    <pivotField showAll="0"/>
    <pivotField showAll="0"/>
    <pivotField showAll="0"/>
    <pivotField showAll="0" defaultSubtotal="0"/>
    <pivotField showAll="0">
      <items count="28">
        <item m="1" x="23"/>
        <item m="1" x="17"/>
        <item m="1" x="25"/>
        <item m="1" x="26"/>
        <item m="1" x="9"/>
        <item m="1" x="15"/>
        <item m="1" x="21"/>
        <item m="1" x="14"/>
        <item x="4"/>
        <item x="0"/>
        <item m="1" x="11"/>
        <item m="1" x="13"/>
        <item m="1" x="18"/>
        <item x="3"/>
        <item m="1" x="19"/>
        <item m="1" x="20"/>
        <item x="5"/>
        <item m="1" x="8"/>
        <item m="1" x="24"/>
        <item x="1"/>
        <item m="1" x="12"/>
        <item x="2"/>
        <item m="1" x="22"/>
        <item m="1" x="7"/>
        <item m="1" x="16"/>
        <item m="1" x="10"/>
        <item x="6"/>
        <item t="default"/>
      </items>
    </pivotField>
    <pivotField showAll="0"/>
    <pivotField showAll="0"/>
    <pivotField showAll="0"/>
    <pivotField showAll="0"/>
    <pivotField showAll="0">
      <items count="12">
        <item m="1" x="7"/>
        <item x="0"/>
        <item x="3"/>
        <item x="2"/>
        <item m="1" x="10"/>
        <item x="4"/>
        <item x="5"/>
        <item m="1" x="9"/>
        <item x="1"/>
        <item m="1" x="8"/>
        <item m="1" x="6"/>
        <item t="default"/>
      </items>
    </pivotField>
    <pivotField axis="axisRow" showAll="0" sortType="ascending">
      <items count="132">
        <item m="1" x="83"/>
        <item m="1" x="115"/>
        <item m="1" x="104"/>
        <item m="1" x="102"/>
        <item m="1" x="101"/>
        <item x="42"/>
        <item m="1" x="88"/>
        <item m="1" x="121"/>
        <item x="6"/>
        <item m="1" x="125"/>
        <item m="1" x="53"/>
        <item x="44"/>
        <item m="1" x="95"/>
        <item x="7"/>
        <item m="1" x="84"/>
        <item m="1" x="70"/>
        <item m="1" x="58"/>
        <item m="1" x="65"/>
        <item x="40"/>
        <item m="1" x="114"/>
        <item m="1" x="51"/>
        <item m="1" x="74"/>
        <item m="1" x="94"/>
        <item x="5"/>
        <item m="1" x="81"/>
        <item m="1" x="116"/>
        <item x="29"/>
        <item m="1" x="93"/>
        <item m="1" x="92"/>
        <item x="46"/>
        <item m="1" x="117"/>
        <item x="48"/>
        <item x="34"/>
        <item x="17"/>
        <item m="1" x="64"/>
        <item m="1" x="107"/>
        <item m="1" x="87"/>
        <item x="2"/>
        <item m="1" x="66"/>
        <item m="1" x="96"/>
        <item m="1" x="79"/>
        <item x="49"/>
        <item m="1" x="60"/>
        <item x="25"/>
        <item m="1" x="62"/>
        <item m="1" x="113"/>
        <item m="1" x="89"/>
        <item m="1" x="63"/>
        <item x="24"/>
        <item x="32"/>
        <item m="1" x="91"/>
        <item m="1" x="61"/>
        <item x="14"/>
        <item x="15"/>
        <item x="20"/>
        <item m="1" x="119"/>
        <item x="37"/>
        <item m="1" x="111"/>
        <item m="1" x="108"/>
        <item m="1" x="122"/>
        <item x="43"/>
        <item m="1" x="72"/>
        <item m="1" x="80"/>
        <item x="1"/>
        <item m="1" x="98"/>
        <item m="1" x="97"/>
        <item x="31"/>
        <item x="38"/>
        <item x="47"/>
        <item m="1" x="52"/>
        <item m="1" x="105"/>
        <item m="1" x="78"/>
        <item m="1" x="106"/>
        <item m="1" x="129"/>
        <item m="1" x="86"/>
        <item x="10"/>
        <item x="11"/>
        <item x="9"/>
        <item m="1" x="128"/>
        <item x="19"/>
        <item x="4"/>
        <item x="21"/>
        <item x="0"/>
        <item m="1" x="100"/>
        <item x="36"/>
        <item x="23"/>
        <item m="1" x="130"/>
        <item x="30"/>
        <item m="1" x="110"/>
        <item m="1" x="56"/>
        <item m="1" x="55"/>
        <item m="1" x="76"/>
        <item x="27"/>
        <item m="1" x="54"/>
        <item m="1" x="109"/>
        <item x="33"/>
        <item m="1" x="127"/>
        <item m="1" x="118"/>
        <item m="1" x="112"/>
        <item m="1" x="69"/>
        <item x="26"/>
        <item x="18"/>
        <item x="13"/>
        <item m="1" x="82"/>
        <item x="45"/>
        <item m="1" x="103"/>
        <item m="1" x="99"/>
        <item m="1" x="126"/>
        <item m="1" x="124"/>
        <item x="39"/>
        <item x="8"/>
        <item m="1" x="68"/>
        <item x="22"/>
        <item m="1" x="59"/>
        <item m="1" x="71"/>
        <item m="1" x="67"/>
        <item x="35"/>
        <item m="1" x="57"/>
        <item m="1" x="90"/>
        <item m="1" x="75"/>
        <item x="12"/>
        <item x="41"/>
        <item x="16"/>
        <item x="3"/>
        <item x="28"/>
        <item m="1" x="73"/>
        <item m="1" x="85"/>
        <item m="1" x="123"/>
        <item m="1" x="77"/>
        <item m="1" x="120"/>
        <item m="1" x="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s>
  <rowFields count="1">
    <field x="32"/>
  </rowFields>
  <rowItems count="51">
    <i>
      <x v="5"/>
    </i>
    <i>
      <x v="8"/>
    </i>
    <i>
      <x v="11"/>
    </i>
    <i>
      <x v="13"/>
    </i>
    <i>
      <x v="18"/>
    </i>
    <i>
      <x v="23"/>
    </i>
    <i>
      <x v="26"/>
    </i>
    <i>
      <x v="29"/>
    </i>
    <i>
      <x v="31"/>
    </i>
    <i>
      <x v="32"/>
    </i>
    <i>
      <x v="33"/>
    </i>
    <i>
      <x v="37"/>
    </i>
    <i>
      <x v="41"/>
    </i>
    <i>
      <x v="43"/>
    </i>
    <i>
      <x v="48"/>
    </i>
    <i>
      <x v="49"/>
    </i>
    <i>
      <x v="52"/>
    </i>
    <i>
      <x v="53"/>
    </i>
    <i>
      <x v="54"/>
    </i>
    <i>
      <x v="56"/>
    </i>
    <i>
      <x v="60"/>
    </i>
    <i>
      <x v="63"/>
    </i>
    <i>
      <x v="66"/>
    </i>
    <i>
      <x v="67"/>
    </i>
    <i>
      <x v="68"/>
    </i>
    <i>
      <x v="75"/>
    </i>
    <i>
      <x v="76"/>
    </i>
    <i>
      <x v="77"/>
    </i>
    <i>
      <x v="79"/>
    </i>
    <i>
      <x v="80"/>
    </i>
    <i>
      <x v="81"/>
    </i>
    <i>
      <x v="82"/>
    </i>
    <i>
      <x v="84"/>
    </i>
    <i>
      <x v="85"/>
    </i>
    <i>
      <x v="87"/>
    </i>
    <i>
      <x v="92"/>
    </i>
    <i>
      <x v="95"/>
    </i>
    <i>
      <x v="100"/>
    </i>
    <i>
      <x v="101"/>
    </i>
    <i>
      <x v="102"/>
    </i>
    <i>
      <x v="104"/>
    </i>
    <i>
      <x v="109"/>
    </i>
    <i>
      <x v="110"/>
    </i>
    <i>
      <x v="112"/>
    </i>
    <i>
      <x v="116"/>
    </i>
    <i>
      <x v="120"/>
    </i>
    <i>
      <x v="121"/>
    </i>
    <i>
      <x v="122"/>
    </i>
    <i>
      <x v="123"/>
    </i>
    <i>
      <x v="124"/>
    </i>
    <i t="grand">
      <x/>
    </i>
  </rowItems>
  <colFields count="2">
    <field x="18"/>
    <field x="-2"/>
  </colFields>
  <colItems count="9">
    <i>
      <x/>
      <x/>
    </i>
    <i r="1" i="1">
      <x v="1"/>
    </i>
    <i r="1" i="2">
      <x v="2"/>
    </i>
    <i>
      <x v="1"/>
      <x/>
    </i>
    <i r="1" i="1">
      <x v="1"/>
    </i>
    <i r="1" i="2">
      <x v="2"/>
    </i>
    <i t="grand">
      <x/>
    </i>
    <i t="grand" i="1">
      <x/>
    </i>
    <i t="grand" i="2">
      <x/>
    </i>
  </colItems>
  <dataFields count="3">
    <dataField name="COUNT." fld="12" subtotal="count" baseField="22" baseItem="1"/>
    <dataField name="%" fld="12" showDataAs="percentOfRow" baseField="22" baseItem="1" numFmtId="10"/>
    <dataField name="ENR." fld="12" baseField="0" baseItem="0"/>
  </dataFields>
  <formats count="6">
    <format dxfId="127">
      <pivotArea type="all" dataOnly="0" outline="0" fieldPosition="0"/>
    </format>
    <format dxfId="126">
      <pivotArea type="all" dataOnly="0" outline="0" fieldPosition="0"/>
    </format>
    <format dxfId="125">
      <pivotArea outline="0" fieldPosition="0">
        <references count="1">
          <reference field="4294967294" count="1">
            <x v="1"/>
          </reference>
        </references>
      </pivotArea>
    </format>
    <format dxfId="124">
      <pivotArea dataOnly="0" labelOnly="1" fieldPosition="0">
        <references count="1">
          <reference field="32" count="0"/>
        </references>
      </pivotArea>
    </format>
    <format dxfId="123">
      <pivotArea type="all" dataOnly="0" outline="0" fieldPosition="0"/>
    </format>
    <format dxfId="122">
      <pivotArea type="all" dataOnly="0" outline="0" fieldPosition="0"/>
    </format>
  </formats>
  <conditionalFormats count="1">
    <conditionalFormat priority="45">
      <pivotAreas count="1">
        <pivotArea type="data" outline="0" collapsedLevelsAreSubtotals="1" fieldPosition="0">
          <references count="2">
            <reference field="4294967294" count="1" selected="0">
              <x v="1"/>
            </reference>
            <reference field="18"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AF6AD4-849B-48D8-9F4C-E63AA4800F62}" name="PivotTable4" cacheId="35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 colHeaderCaption="MIS">
  <location ref="BZ2:CE55" firstHeaderRow="1" firstDataRow="3" firstDataCol="1"/>
  <pivotFields count="47">
    <pivotField showAll="0"/>
    <pivotField showAll="0"/>
    <pivotField showAll="0"/>
    <pivotField showAll="0">
      <items count="18">
        <item h="1" m="1" x="8"/>
        <item x="0"/>
        <item h="1" m="1" x="14"/>
        <item h="1" m="1" x="16"/>
        <item h="1" m="1" x="15"/>
        <item x="2"/>
        <item h="1" m="1" x="13"/>
        <item h="1" m="1" x="3"/>
        <item h="1" m="1" x="10"/>
        <item h="1" m="1" x="7"/>
        <item h="1" m="1" x="12"/>
        <item h="1" x="1"/>
        <item h="1" m="1" x="9"/>
        <item h="1" m="1" x="4"/>
        <item h="1" m="1" x="11"/>
        <item h="1" m="1" x="6"/>
        <item h="1" m="1" x="5"/>
        <item t="default"/>
      </items>
    </pivotField>
    <pivotField showAll="0"/>
    <pivotField showAll="0"/>
    <pivotField showAll="0"/>
    <pivotField showAll="0">
      <items count="28">
        <item x="0"/>
        <item x="1"/>
        <item x="2"/>
        <item m="1" x="23"/>
        <item x="3"/>
        <item m="1" x="22"/>
        <item x="4"/>
        <item x="5"/>
        <item x="6"/>
        <item x="7"/>
        <item x="8"/>
        <item x="9"/>
        <item x="10"/>
        <item x="11"/>
        <item x="12"/>
        <item x="13"/>
        <item x="14"/>
        <item x="15"/>
        <item m="1" x="24"/>
        <item x="16"/>
        <item x="17"/>
        <item x="18"/>
        <item x="19"/>
        <item x="20"/>
        <item m="1" x="26"/>
        <item m="1" x="25"/>
        <item x="21"/>
        <item t="default"/>
      </items>
    </pivotField>
    <pivotField showAll="0"/>
    <pivotField showAll="0"/>
    <pivotField showAll="0"/>
    <pivotField showAll="0"/>
    <pivotField dataField="1" showAll="0"/>
    <pivotField showAll="0"/>
    <pivotField showAll="0"/>
    <pivotField showAll="0"/>
    <pivotField showAll="0"/>
    <pivotField showAll="0"/>
    <pivotField axis="axisCol" showAll="0">
      <items count="3">
        <item sd="0" x="0"/>
        <item x="1"/>
        <item t="default"/>
      </items>
    </pivotField>
    <pivotField showAll="0"/>
    <pivotField showAll="0"/>
    <pivotField showAll="0"/>
    <pivotField showAll="0"/>
    <pivotField showAll="0"/>
    <pivotField showAll="0"/>
    <pivotField showAll="0" defaultSubtotal="0"/>
    <pivotField showAll="0">
      <items count="28">
        <item m="1" x="23"/>
        <item m="1" x="17"/>
        <item m="1" x="25"/>
        <item m="1" x="26"/>
        <item m="1" x="9"/>
        <item m="1" x="15"/>
        <item m="1" x="21"/>
        <item m="1" x="14"/>
        <item x="4"/>
        <item x="0"/>
        <item m="1" x="11"/>
        <item m="1" x="13"/>
        <item m="1" x="18"/>
        <item x="3"/>
        <item m="1" x="19"/>
        <item m="1" x="20"/>
        <item x="5"/>
        <item m="1" x="8"/>
        <item m="1" x="24"/>
        <item x="1"/>
        <item m="1" x="12"/>
        <item x="2"/>
        <item m="1" x="22"/>
        <item m="1" x="7"/>
        <item m="1" x="16"/>
        <item m="1" x="10"/>
        <item x="6"/>
        <item t="default"/>
      </items>
    </pivotField>
    <pivotField showAll="0"/>
    <pivotField showAll="0"/>
    <pivotField showAll="0"/>
    <pivotField showAll="0"/>
    <pivotField showAll="0">
      <items count="12">
        <item m="1" x="7"/>
        <item x="0"/>
        <item x="3"/>
        <item x="2"/>
        <item m="1" x="10"/>
        <item x="4"/>
        <item x="5"/>
        <item m="1" x="9"/>
        <item x="1"/>
        <item m="1" x="8"/>
        <item m="1" x="6"/>
        <item t="default"/>
      </items>
    </pivotField>
    <pivotField axis="axisRow" showAll="0" sortType="ascending">
      <items count="132">
        <item m="1" x="83"/>
        <item m="1" x="115"/>
        <item m="1" x="104"/>
        <item m="1" x="102"/>
        <item m="1" x="101"/>
        <item x="42"/>
        <item m="1" x="88"/>
        <item m="1" x="121"/>
        <item x="6"/>
        <item m="1" x="125"/>
        <item m="1" x="53"/>
        <item x="44"/>
        <item m="1" x="95"/>
        <item x="7"/>
        <item m="1" x="84"/>
        <item m="1" x="70"/>
        <item m="1" x="58"/>
        <item m="1" x="65"/>
        <item x="40"/>
        <item m="1" x="114"/>
        <item m="1" x="51"/>
        <item m="1" x="74"/>
        <item m="1" x="94"/>
        <item x="5"/>
        <item m="1" x="81"/>
        <item m="1" x="116"/>
        <item x="29"/>
        <item m="1" x="93"/>
        <item m="1" x="92"/>
        <item x="46"/>
        <item m="1" x="117"/>
        <item x="48"/>
        <item x="34"/>
        <item x="17"/>
        <item m="1" x="64"/>
        <item m="1" x="107"/>
        <item m="1" x="87"/>
        <item x="2"/>
        <item m="1" x="66"/>
        <item m="1" x="96"/>
        <item m="1" x="79"/>
        <item x="49"/>
        <item m="1" x="60"/>
        <item x="25"/>
        <item m="1" x="62"/>
        <item m="1" x="113"/>
        <item m="1" x="89"/>
        <item m="1" x="63"/>
        <item x="24"/>
        <item x="32"/>
        <item m="1" x="91"/>
        <item m="1" x="61"/>
        <item x="14"/>
        <item x="15"/>
        <item x="20"/>
        <item m="1" x="119"/>
        <item x="37"/>
        <item m="1" x="111"/>
        <item m="1" x="108"/>
        <item m="1" x="122"/>
        <item x="43"/>
        <item m="1" x="72"/>
        <item m="1" x="80"/>
        <item x="1"/>
        <item m="1" x="98"/>
        <item m="1" x="97"/>
        <item x="31"/>
        <item x="38"/>
        <item x="47"/>
        <item m="1" x="52"/>
        <item m="1" x="105"/>
        <item m="1" x="78"/>
        <item m="1" x="106"/>
        <item m="1" x="129"/>
        <item m="1" x="86"/>
        <item x="10"/>
        <item x="11"/>
        <item x="9"/>
        <item m="1" x="128"/>
        <item x="19"/>
        <item x="4"/>
        <item x="21"/>
        <item x="0"/>
        <item m="1" x="100"/>
        <item x="36"/>
        <item x="23"/>
        <item m="1" x="130"/>
        <item x="30"/>
        <item m="1" x="110"/>
        <item m="1" x="56"/>
        <item m="1" x="55"/>
        <item m="1" x="76"/>
        <item x="27"/>
        <item m="1" x="54"/>
        <item m="1" x="109"/>
        <item x="33"/>
        <item m="1" x="127"/>
        <item m="1" x="118"/>
        <item m="1" x="112"/>
        <item m="1" x="69"/>
        <item x="26"/>
        <item x="18"/>
        <item x="13"/>
        <item m="1" x="82"/>
        <item x="45"/>
        <item m="1" x="103"/>
        <item m="1" x="99"/>
        <item m="1" x="126"/>
        <item m="1" x="124"/>
        <item x="39"/>
        <item x="8"/>
        <item m="1" x="68"/>
        <item x="22"/>
        <item m="1" x="59"/>
        <item m="1" x="71"/>
        <item m="1" x="67"/>
        <item x="35"/>
        <item m="1" x="57"/>
        <item m="1" x="90"/>
        <item m="1" x="75"/>
        <item x="12"/>
        <item x="41"/>
        <item x="16"/>
        <item x="3"/>
        <item x="28"/>
        <item m="1" x="73"/>
        <item m="1" x="85"/>
        <item m="1" x="123"/>
        <item m="1" x="77"/>
        <item m="1" x="120"/>
        <item m="1" x="50"/>
        <item t="default"/>
      </items>
    </pivotField>
    <pivotField showAll="0"/>
    <pivotField showAll="0"/>
    <pivotField showAll="0"/>
    <pivotField showAll="0"/>
    <pivotField showAll="0"/>
    <pivotField axis="axisCol" showAll="0">
      <items count="4">
        <item x="1"/>
        <item x="0"/>
        <item m="1" x="2"/>
        <item t="default"/>
      </items>
    </pivotField>
    <pivotField showAll="0"/>
    <pivotField showAll="0"/>
    <pivotField showAll="0"/>
    <pivotField showAll="0"/>
    <pivotField showAll="0"/>
    <pivotField showAll="0"/>
    <pivotField showAll="0"/>
    <pivotField numFmtId="14" showAll="0"/>
  </pivotFields>
  <rowFields count="1">
    <field x="32"/>
  </rowFields>
  <rowItems count="51">
    <i>
      <x v="5"/>
    </i>
    <i>
      <x v="8"/>
    </i>
    <i>
      <x v="11"/>
    </i>
    <i>
      <x v="13"/>
    </i>
    <i>
      <x v="18"/>
    </i>
    <i>
      <x v="23"/>
    </i>
    <i>
      <x v="26"/>
    </i>
    <i>
      <x v="29"/>
    </i>
    <i>
      <x v="31"/>
    </i>
    <i>
      <x v="32"/>
    </i>
    <i>
      <x v="33"/>
    </i>
    <i>
      <x v="37"/>
    </i>
    <i>
      <x v="41"/>
    </i>
    <i>
      <x v="43"/>
    </i>
    <i>
      <x v="48"/>
    </i>
    <i>
      <x v="49"/>
    </i>
    <i>
      <x v="52"/>
    </i>
    <i>
      <x v="53"/>
    </i>
    <i>
      <x v="54"/>
    </i>
    <i>
      <x v="56"/>
    </i>
    <i>
      <x v="60"/>
    </i>
    <i>
      <x v="63"/>
    </i>
    <i>
      <x v="66"/>
    </i>
    <i>
      <x v="67"/>
    </i>
    <i>
      <x v="68"/>
    </i>
    <i>
      <x v="75"/>
    </i>
    <i>
      <x v="76"/>
    </i>
    <i>
      <x v="77"/>
    </i>
    <i>
      <x v="79"/>
    </i>
    <i>
      <x v="80"/>
    </i>
    <i>
      <x v="81"/>
    </i>
    <i>
      <x v="82"/>
    </i>
    <i>
      <x v="84"/>
    </i>
    <i>
      <x v="85"/>
    </i>
    <i>
      <x v="87"/>
    </i>
    <i>
      <x v="92"/>
    </i>
    <i>
      <x v="95"/>
    </i>
    <i>
      <x v="100"/>
    </i>
    <i>
      <x v="101"/>
    </i>
    <i>
      <x v="102"/>
    </i>
    <i>
      <x v="104"/>
    </i>
    <i>
      <x v="109"/>
    </i>
    <i>
      <x v="110"/>
    </i>
    <i>
      <x v="112"/>
    </i>
    <i>
      <x v="116"/>
    </i>
    <i>
      <x v="120"/>
    </i>
    <i>
      <x v="121"/>
    </i>
    <i>
      <x v="122"/>
    </i>
    <i>
      <x v="123"/>
    </i>
    <i>
      <x v="124"/>
    </i>
    <i t="grand">
      <x/>
    </i>
  </rowItems>
  <colFields count="2">
    <field x="18"/>
    <field x="38"/>
  </colFields>
  <colItems count="5">
    <i>
      <x/>
    </i>
    <i>
      <x v="1"/>
      <x/>
    </i>
    <i r="1">
      <x v="1"/>
    </i>
    <i t="default">
      <x v="1"/>
    </i>
    <i t="grand">
      <x/>
    </i>
  </colItems>
  <dataFields count="1">
    <dataField name="COUNT." fld="12" subtotal="count" baseField="4" baseItem="0"/>
  </dataFields>
  <formats count="8">
    <format dxfId="135">
      <pivotArea type="all" dataOnly="0" outline="0" fieldPosition="0"/>
    </format>
    <format dxfId="134">
      <pivotArea type="all" dataOnly="0" outline="0" fieldPosition="0"/>
    </format>
    <format dxfId="133">
      <pivotArea type="all" dataOnly="0" outline="0" fieldPosition="0"/>
    </format>
    <format dxfId="132">
      <pivotArea type="all" dataOnly="0" outline="0" fieldPosition="0"/>
    </format>
    <format dxfId="131">
      <pivotArea dataOnly="0" labelOnly="1" fieldPosition="0">
        <references count="1">
          <reference field="32" count="50">
            <x v="0"/>
            <x v="5"/>
            <x v="8"/>
            <x v="12"/>
            <x v="13"/>
            <x v="15"/>
            <x v="22"/>
            <x v="27"/>
            <x v="28"/>
            <x v="32"/>
            <x v="33"/>
            <x v="34"/>
            <x v="36"/>
            <x v="38"/>
            <x v="39"/>
            <x v="40"/>
            <x v="42"/>
            <x v="43"/>
            <x v="44"/>
            <x v="47"/>
            <x v="48"/>
            <x v="49"/>
            <x v="52"/>
            <x v="54"/>
            <x v="63"/>
            <x v="64"/>
            <x v="65"/>
            <x v="66"/>
            <x v="67"/>
            <x v="68"/>
            <x v="69"/>
            <x v="75"/>
            <x v="76"/>
            <x v="77"/>
            <x v="80"/>
            <x v="81"/>
            <x v="82"/>
            <x v="83"/>
            <x v="84"/>
            <x v="87"/>
            <x v="89"/>
            <x v="99"/>
            <x v="100"/>
            <x v="101"/>
            <x v="102"/>
            <x v="106"/>
            <x v="109"/>
            <x v="110"/>
            <x v="112"/>
            <x v="114"/>
          </reference>
        </references>
      </pivotArea>
    </format>
    <format dxfId="130">
      <pivotArea dataOnly="0" labelOnly="1" fieldPosition="0">
        <references count="1">
          <reference field="32" count="5">
            <x v="116"/>
            <x v="120"/>
            <x v="122"/>
            <x v="124"/>
            <x v="126"/>
          </reference>
        </references>
      </pivotArea>
    </format>
    <format dxfId="129">
      <pivotArea type="all" dataOnly="0" outline="0" fieldPosition="0"/>
    </format>
    <format dxfId="128">
      <pivotArea dataOnly="0" labelOnly="1" fieldPosition="0">
        <references count="1">
          <reference field="3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7000000}" name="PivotTable2" cacheId="35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olHeaderCaption="MIS">
  <location ref="BR3:BS54" firstHeaderRow="1" firstDataRow="1" firstDataCol="1"/>
  <pivotFields count="47">
    <pivotField showAll="0"/>
    <pivotField showAll="0"/>
    <pivotField showAll="0"/>
    <pivotField showAll="0">
      <items count="18">
        <item h="1" m="1" x="8"/>
        <item x="0"/>
        <item h="1" m="1" x="14"/>
        <item h="1" m="1" x="16"/>
        <item h="1" m="1" x="15"/>
        <item x="2"/>
        <item h="1" m="1" x="13"/>
        <item h="1" m="1" x="3"/>
        <item h="1" m="1" x="10"/>
        <item h="1" m="1" x="7"/>
        <item h="1" m="1" x="12"/>
        <item h="1" x="1"/>
        <item h="1" m="1" x="9"/>
        <item h="1" m="1" x="4"/>
        <item h="1" m="1" x="11"/>
        <item h="1" m="1" x="6"/>
        <item h="1" m="1" x="5"/>
        <item t="default"/>
      </items>
    </pivotField>
    <pivotField showAll="0"/>
    <pivotField showAll="0"/>
    <pivotField showAll="0"/>
    <pivotField showAll="0">
      <items count="28">
        <item x="0"/>
        <item x="1"/>
        <item x="2"/>
        <item m="1" x="23"/>
        <item x="3"/>
        <item m="1" x="22"/>
        <item x="4"/>
        <item x="5"/>
        <item x="6"/>
        <item x="7"/>
        <item x="8"/>
        <item x="9"/>
        <item x="10"/>
        <item x="11"/>
        <item x="12"/>
        <item x="13"/>
        <item x="14"/>
        <item x="15"/>
        <item m="1" x="24"/>
        <item x="16"/>
        <item x="17"/>
        <item x="18"/>
        <item x="19"/>
        <item x="20"/>
        <item m="1" x="26"/>
        <item m="1" x="25"/>
        <item x="2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36">
        <item x="1"/>
        <item x="13"/>
        <item x="15"/>
        <item x="18"/>
        <item x="23"/>
        <item x="20"/>
        <item x="22"/>
        <item x="21"/>
        <item x="24"/>
        <item x="25"/>
        <item x="27"/>
        <item x="2"/>
        <item x="26"/>
        <item x="34"/>
        <item x="28"/>
        <item x="29"/>
        <item x="7"/>
        <item x="32"/>
        <item x="30"/>
        <item x="33"/>
        <item x="0"/>
        <item x="31"/>
        <item x="11"/>
        <item x="8"/>
        <item x="4"/>
        <item x="3"/>
        <item x="6"/>
        <item x="5"/>
        <item x="10"/>
        <item x="14"/>
        <item x="9"/>
        <item x="16"/>
        <item x="19"/>
        <item x="12"/>
        <item x="17"/>
        <item t="default"/>
      </items>
    </pivotField>
    <pivotField showAll="0"/>
    <pivotField showAll="0"/>
    <pivotField showAll="0" defaultSubtotal="0"/>
    <pivotField showAll="0">
      <items count="28">
        <item m="1" x="23"/>
        <item m="1" x="17"/>
        <item m="1" x="25"/>
        <item m="1" x="26"/>
        <item m="1" x="9"/>
        <item m="1" x="15"/>
        <item m="1" x="21"/>
        <item m="1" x="14"/>
        <item x="4"/>
        <item x="0"/>
        <item m="1" x="11"/>
        <item m="1" x="13"/>
        <item m="1" x="18"/>
        <item x="3"/>
        <item m="1" x="19"/>
        <item m="1" x="20"/>
        <item x="5"/>
        <item m="1" x="8"/>
        <item m="1" x="24"/>
        <item x="1"/>
        <item m="1" x="12"/>
        <item x="2"/>
        <item m="1" x="22"/>
        <item m="1" x="7"/>
        <item m="1" x="16"/>
        <item m="1" x="10"/>
        <item x="6"/>
        <item t="default"/>
      </items>
    </pivotField>
    <pivotField showAll="0"/>
    <pivotField showAll="0"/>
    <pivotField showAll="0"/>
    <pivotField showAll="0"/>
    <pivotField showAll="0">
      <items count="12">
        <item m="1" x="7"/>
        <item x="0"/>
        <item x="3"/>
        <item x="2"/>
        <item m="1" x="10"/>
        <item x="4"/>
        <item x="5"/>
        <item m="1" x="9"/>
        <item x="1"/>
        <item m="1" x="8"/>
        <item m="1" x="6"/>
        <item t="default"/>
      </items>
    </pivotField>
    <pivotField axis="axisRow" showAll="0">
      <items count="132">
        <item m="1" x="83"/>
        <item m="1" x="115"/>
        <item m="1" x="104"/>
        <item m="1" x="102"/>
        <item m="1" x="101"/>
        <item x="42"/>
        <item m="1" x="88"/>
        <item m="1" x="121"/>
        <item x="6"/>
        <item m="1" x="125"/>
        <item m="1" x="53"/>
        <item x="44"/>
        <item m="1" x="95"/>
        <item x="7"/>
        <item m="1" x="84"/>
        <item m="1" x="70"/>
        <item m="1" x="58"/>
        <item m="1" x="65"/>
        <item x="40"/>
        <item m="1" x="114"/>
        <item m="1" x="51"/>
        <item m="1" x="74"/>
        <item m="1" x="94"/>
        <item x="5"/>
        <item m="1" x="81"/>
        <item m="1" x="116"/>
        <item x="29"/>
        <item m="1" x="93"/>
        <item m="1" x="92"/>
        <item m="1" x="117"/>
        <item x="48"/>
        <item x="34"/>
        <item x="17"/>
        <item m="1" x="64"/>
        <item m="1" x="107"/>
        <item m="1" x="87"/>
        <item x="2"/>
        <item m="1" x="66"/>
        <item m="1" x="96"/>
        <item m="1" x="79"/>
        <item x="49"/>
        <item m="1" x="60"/>
        <item x="25"/>
        <item m="1" x="62"/>
        <item m="1" x="113"/>
        <item m="1" x="89"/>
        <item m="1" x="63"/>
        <item x="24"/>
        <item x="32"/>
        <item m="1" x="91"/>
        <item m="1" x="61"/>
        <item x="14"/>
        <item x="15"/>
        <item x="20"/>
        <item m="1" x="119"/>
        <item x="37"/>
        <item m="1" x="111"/>
        <item m="1" x="108"/>
        <item m="1" x="122"/>
        <item m="1" x="72"/>
        <item m="1" x="80"/>
        <item x="1"/>
        <item m="1" x="98"/>
        <item m="1" x="97"/>
        <item x="31"/>
        <item x="38"/>
        <item x="47"/>
        <item m="1" x="52"/>
        <item m="1" x="105"/>
        <item m="1" x="78"/>
        <item m="1" x="106"/>
        <item m="1" x="129"/>
        <item m="1" x="86"/>
        <item x="10"/>
        <item x="11"/>
        <item x="9"/>
        <item m="1" x="128"/>
        <item x="19"/>
        <item x="4"/>
        <item x="21"/>
        <item x="0"/>
        <item m="1" x="100"/>
        <item x="36"/>
        <item x="23"/>
        <item m="1" x="130"/>
        <item x="30"/>
        <item m="1" x="110"/>
        <item m="1" x="56"/>
        <item m="1" x="55"/>
        <item m="1" x="76"/>
        <item x="27"/>
        <item m="1" x="54"/>
        <item m="1" x="109"/>
        <item x="33"/>
        <item m="1" x="127"/>
        <item m="1" x="118"/>
        <item m="1" x="112"/>
        <item m="1" x="69"/>
        <item x="26"/>
        <item x="18"/>
        <item x="13"/>
        <item m="1" x="82"/>
        <item x="45"/>
        <item m="1" x="103"/>
        <item m="1" x="99"/>
        <item m="1" x="126"/>
        <item m="1" x="124"/>
        <item x="39"/>
        <item x="8"/>
        <item m="1" x="68"/>
        <item x="22"/>
        <item m="1" x="59"/>
        <item m="1" x="71"/>
        <item m="1" x="67"/>
        <item x="35"/>
        <item m="1" x="57"/>
        <item m="1" x="90"/>
        <item m="1" x="75"/>
        <item x="12"/>
        <item x="41"/>
        <item x="16"/>
        <item x="3"/>
        <item x="28"/>
        <item m="1" x="73"/>
        <item m="1" x="85"/>
        <item m="1" x="123"/>
        <item m="1" x="77"/>
        <item m="1" x="120"/>
        <item m="1" x="50"/>
        <item x="43"/>
        <item x="46"/>
        <item t="default"/>
      </items>
    </pivotField>
    <pivotField showAll="0"/>
    <pivotField showAll="0"/>
    <pivotField showAll="0"/>
    <pivotField showAll="0"/>
    <pivotField showAll="0"/>
    <pivotField showAll="0"/>
    <pivotField showAll="0"/>
    <pivotField showAll="0"/>
    <pivotField showAll="0">
      <items count="116">
        <item m="1" x="73"/>
        <item m="1" x="100"/>
        <item x="17"/>
        <item m="1" x="63"/>
        <item m="1" x="74"/>
        <item m="1" x="102"/>
        <item x="19"/>
        <item m="1" x="50"/>
        <item m="1" x="82"/>
        <item m="1" x="103"/>
        <item x="20"/>
        <item m="1" x="54"/>
        <item m="1" x="78"/>
        <item m="1" x="105"/>
        <item x="23"/>
        <item m="1" x="56"/>
        <item m="1" x="107"/>
        <item m="1" x="76"/>
        <item m="1" x="106"/>
        <item x="28"/>
        <item m="1" x="55"/>
        <item m="1" x="79"/>
        <item m="1" x="114"/>
        <item x="22"/>
        <item m="1" x="57"/>
        <item m="1" x="77"/>
        <item m="1" x="108"/>
        <item x="21"/>
        <item m="1" x="58"/>
        <item m="1" x="80"/>
        <item m="1" x="110"/>
        <item x="27"/>
        <item m="1" x="59"/>
        <item m="1" x="81"/>
        <item m="1" x="109"/>
        <item x="24"/>
        <item m="1" x="60"/>
        <item m="1" x="112"/>
        <item x="25"/>
        <item m="1" x="61"/>
        <item m="1" x="66"/>
        <item x="2"/>
        <item m="1" x="36"/>
        <item m="1" x="40"/>
        <item m="1" x="111"/>
        <item x="26"/>
        <item m="1" x="62"/>
        <item m="1" x="64"/>
        <item m="1" x="113"/>
        <item m="1" x="34"/>
        <item m="1" x="39"/>
        <item x="29"/>
        <item x="7"/>
        <item m="1" x="35"/>
        <item m="1" x="88"/>
        <item x="30"/>
        <item x="5"/>
        <item m="1" x="43"/>
        <item m="1" x="86"/>
        <item x="33"/>
        <item m="1" x="65"/>
        <item m="1" x="44"/>
        <item m="1" x="87"/>
        <item x="31"/>
        <item x="9"/>
        <item m="1" x="84"/>
        <item x="32"/>
        <item x="1"/>
        <item m="1" x="42"/>
        <item m="1" x="85"/>
        <item m="1" x="90"/>
        <item x="0"/>
        <item m="1" x="41"/>
        <item m="1" x="83"/>
        <item m="1" x="92"/>
        <item x="3"/>
        <item m="1" x="45"/>
        <item m="1" x="94"/>
        <item x="6"/>
        <item m="1" x="67"/>
        <item m="1" x="93"/>
        <item x="4"/>
        <item m="1" x="37"/>
        <item m="1" x="38"/>
        <item m="1" x="91"/>
        <item x="8"/>
        <item m="1" x="89"/>
        <item x="13"/>
        <item m="1" x="68"/>
        <item m="1" x="97"/>
        <item x="12"/>
        <item m="1" x="53"/>
        <item m="1" x="69"/>
        <item m="1" x="95"/>
        <item x="14"/>
        <item m="1" x="46"/>
        <item m="1" x="96"/>
        <item x="11"/>
        <item m="1" x="47"/>
        <item m="1" x="71"/>
        <item m="1" x="98"/>
        <item x="16"/>
        <item m="1" x="48"/>
        <item m="1" x="70"/>
        <item m="1" x="99"/>
        <item m="1" x="49"/>
        <item m="1" x="75"/>
        <item m="1" x="104"/>
        <item x="15"/>
        <item m="1" x="52"/>
        <item m="1" x="72"/>
        <item m="1" x="101"/>
        <item x="18"/>
        <item m="1" x="51"/>
        <item x="10"/>
        <item t="default"/>
      </items>
    </pivotField>
    <pivotField showAll="0"/>
    <pivotField showAll="0"/>
    <pivotField showAll="0"/>
    <pivotField showAll="0"/>
    <pivotField numFmtId="14" showAll="0"/>
  </pivotFields>
  <rowFields count="1">
    <field x="32"/>
  </rowFields>
  <rowItems count="51">
    <i>
      <x v="5"/>
    </i>
    <i>
      <x v="8"/>
    </i>
    <i>
      <x v="11"/>
    </i>
    <i>
      <x v="13"/>
    </i>
    <i>
      <x v="18"/>
    </i>
    <i>
      <x v="23"/>
    </i>
    <i>
      <x v="26"/>
    </i>
    <i>
      <x v="30"/>
    </i>
    <i>
      <x v="31"/>
    </i>
    <i>
      <x v="32"/>
    </i>
    <i>
      <x v="36"/>
    </i>
    <i>
      <x v="40"/>
    </i>
    <i>
      <x v="42"/>
    </i>
    <i>
      <x v="47"/>
    </i>
    <i>
      <x v="48"/>
    </i>
    <i>
      <x v="51"/>
    </i>
    <i>
      <x v="52"/>
    </i>
    <i>
      <x v="53"/>
    </i>
    <i>
      <x v="55"/>
    </i>
    <i>
      <x v="61"/>
    </i>
    <i>
      <x v="64"/>
    </i>
    <i>
      <x v="65"/>
    </i>
    <i>
      <x v="66"/>
    </i>
    <i>
      <x v="73"/>
    </i>
    <i>
      <x v="74"/>
    </i>
    <i>
      <x v="75"/>
    </i>
    <i>
      <x v="77"/>
    </i>
    <i>
      <x v="78"/>
    </i>
    <i>
      <x v="79"/>
    </i>
    <i>
      <x v="80"/>
    </i>
    <i>
      <x v="82"/>
    </i>
    <i>
      <x v="83"/>
    </i>
    <i>
      <x v="85"/>
    </i>
    <i>
      <x v="90"/>
    </i>
    <i>
      <x v="93"/>
    </i>
    <i>
      <x v="98"/>
    </i>
    <i>
      <x v="99"/>
    </i>
    <i>
      <x v="100"/>
    </i>
    <i>
      <x v="102"/>
    </i>
    <i>
      <x v="107"/>
    </i>
    <i>
      <x v="108"/>
    </i>
    <i>
      <x v="110"/>
    </i>
    <i>
      <x v="114"/>
    </i>
    <i>
      <x v="118"/>
    </i>
    <i>
      <x v="119"/>
    </i>
    <i>
      <x v="120"/>
    </i>
    <i>
      <x v="121"/>
    </i>
    <i>
      <x v="122"/>
    </i>
    <i>
      <x v="129"/>
    </i>
    <i>
      <x v="130"/>
    </i>
    <i t="grand">
      <x/>
    </i>
  </rowItems>
  <colItems count="1">
    <i/>
  </colItems>
  <dataFields count="1">
    <dataField name="Sum of ENR" fld="12" baseField="32" baseItem="53"/>
  </dataFields>
  <formats count="7">
    <format dxfId="142">
      <pivotArea type="all" dataOnly="0" outline="0" fieldPosition="0"/>
    </format>
    <format dxfId="141">
      <pivotArea type="all" dataOnly="0" outline="0" fieldPosition="0"/>
    </format>
    <format dxfId="140">
      <pivotArea type="all" dataOnly="0" outline="0" fieldPosition="0"/>
    </format>
    <format dxfId="139">
      <pivotArea type="all" dataOnly="0" outline="0" fieldPosition="0"/>
    </format>
    <format dxfId="138">
      <pivotArea dataOnly="0" labelOnly="1" fieldPosition="0">
        <references count="1">
          <reference field="32" count="0"/>
        </references>
      </pivotArea>
    </format>
    <format dxfId="137">
      <pivotArea collapsedLevelsAreSubtotals="1" fieldPosition="0">
        <references count="1">
          <reference field="32" count="1">
            <x v="13"/>
          </reference>
        </references>
      </pivotArea>
    </format>
    <format dxfId="1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1" cacheId="350" dataOnRows="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 colHeaderCaption="MIS">
  <location ref="A1:F117" firstHeaderRow="1" firstDataRow="3" firstDataCol="1"/>
  <pivotFields count="47">
    <pivotField showAll="0"/>
    <pivotField showAll="0"/>
    <pivotField showAll="0"/>
    <pivotField showAll="0">
      <items count="18">
        <item h="1" m="1" x="8"/>
        <item x="0"/>
        <item h="1" m="1" x="14"/>
        <item h="1" m="1" x="16"/>
        <item h="1" m="1" x="15"/>
        <item x="2"/>
        <item h="1" m="1" x="13"/>
        <item h="1" m="1" x="3"/>
        <item h="1" m="1" x="10"/>
        <item h="1" m="1" x="7"/>
        <item h="1" m="1" x="12"/>
        <item h="1" x="1"/>
        <item h="1" m="1" x="9"/>
        <item h="1" m="1" x="4"/>
        <item h="1" m="1" x="11"/>
        <item h="1" m="1" x="6"/>
        <item h="1" m="1" x="5"/>
        <item t="default"/>
      </items>
    </pivotField>
    <pivotField showAll="0"/>
    <pivotField showAll="0"/>
    <pivotField showAll="0"/>
    <pivotField axis="axisRow" showAll="0">
      <items count="28">
        <item x="0"/>
        <item x="1"/>
        <item x="2"/>
        <item m="1" x="23"/>
        <item x="3"/>
        <item m="1" x="22"/>
        <item x="4"/>
        <item x="5"/>
        <item x="6"/>
        <item x="7"/>
        <item x="8"/>
        <item x="9"/>
        <item x="10"/>
        <item x="11"/>
        <item x="14"/>
        <item x="12"/>
        <item x="13"/>
        <item x="15"/>
        <item m="1" x="24"/>
        <item x="16"/>
        <item x="17"/>
        <item x="18"/>
        <item x="19"/>
        <item x="20"/>
        <item x="21"/>
        <item m="1" x="26"/>
        <item m="1" x="25"/>
        <item t="default"/>
      </items>
    </pivotField>
    <pivotField showAll="0"/>
    <pivotField showAll="0"/>
    <pivotField showAll="0"/>
    <pivotField showAll="0"/>
    <pivotField dataField="1" showAll="0"/>
    <pivotField showAll="0"/>
    <pivotField showAll="0"/>
    <pivotField showAll="0"/>
    <pivotField showAll="0"/>
    <pivotField showAll="0"/>
    <pivotField axis="axisCol" showAll="0">
      <items count="3">
        <item x="0"/>
        <item sd="0" x="1"/>
        <item t="default"/>
      </items>
    </pivotField>
    <pivotField axis="axisCol" showAll="0">
      <items count="5">
        <item x="1"/>
        <item x="0"/>
        <item x="2"/>
        <item m="1" x="3"/>
        <item t="default"/>
      </items>
    </pivotField>
    <pivotField dataField="1" showAll="0"/>
    <pivotField showAll="0"/>
    <pivotField showAll="0"/>
    <pivotField showAll="0"/>
    <pivotField showAll="0"/>
    <pivotField showAll="0" defaultSubtotal="0"/>
    <pivotField showAll="0">
      <items count="28">
        <item m="1" x="23"/>
        <item m="1" x="17"/>
        <item m="1" x="25"/>
        <item m="1" x="26"/>
        <item m="1" x="9"/>
        <item m="1" x="15"/>
        <item m="1" x="21"/>
        <item m="1" x="14"/>
        <item x="4"/>
        <item x="0"/>
        <item m="1" x="11"/>
        <item m="1" x="13"/>
        <item m="1" x="18"/>
        <item x="3"/>
        <item m="1" x="19"/>
        <item m="1" x="20"/>
        <item x="5"/>
        <item m="1" x="8"/>
        <item m="1" x="24"/>
        <item x="1"/>
        <item m="1" x="12"/>
        <item x="2"/>
        <item m="1" x="22"/>
        <item m="1" x="7"/>
        <item m="1" x="16"/>
        <item m="1" x="10"/>
        <item x="6"/>
        <item t="default"/>
      </items>
    </pivotField>
    <pivotField showAll="0"/>
    <pivotField showAll="0"/>
    <pivotField showAll="0"/>
    <pivotField showAll="0"/>
    <pivotField showAll="0">
      <items count="12">
        <item m="1" x="7"/>
        <item x="0"/>
        <item x="3"/>
        <item x="2"/>
        <item m="1" x="10"/>
        <item x="4"/>
        <item x="5"/>
        <item m="1" x="9"/>
        <item x="1"/>
        <item m="1" x="8"/>
        <item m="1" x="6"/>
        <item t="default"/>
      </items>
    </pivotField>
    <pivotField showAll="0">
      <items count="132">
        <item m="1" x="83"/>
        <item m="1" x="115"/>
        <item m="1" x="104"/>
        <item m="1" x="102"/>
        <item m="1" x="101"/>
        <item x="42"/>
        <item m="1" x="88"/>
        <item m="1" x="121"/>
        <item x="6"/>
        <item m="1" x="125"/>
        <item m="1" x="53"/>
        <item x="44"/>
        <item m="1" x="95"/>
        <item x="7"/>
        <item m="1" x="84"/>
        <item m="1" x="70"/>
        <item m="1" x="58"/>
        <item m="1" x="65"/>
        <item x="40"/>
        <item m="1" x="114"/>
        <item m="1" x="51"/>
        <item m="1" x="74"/>
        <item m="1" x="94"/>
        <item x="5"/>
        <item m="1" x="81"/>
        <item m="1" x="116"/>
        <item x="29"/>
        <item m="1" x="93"/>
        <item m="1" x="92"/>
        <item x="46"/>
        <item m="1" x="117"/>
        <item x="48"/>
        <item x="34"/>
        <item x="17"/>
        <item m="1" x="64"/>
        <item m="1" x="107"/>
        <item m="1" x="87"/>
        <item x="2"/>
        <item m="1" x="66"/>
        <item m="1" x="96"/>
        <item m="1" x="79"/>
        <item x="49"/>
        <item m="1" x="60"/>
        <item x="25"/>
        <item m="1" x="62"/>
        <item m="1" x="113"/>
        <item m="1" x="89"/>
        <item m="1" x="63"/>
        <item x="24"/>
        <item x="32"/>
        <item m="1" x="91"/>
        <item m="1" x="61"/>
        <item x="14"/>
        <item x="15"/>
        <item x="20"/>
        <item m="1" x="119"/>
        <item x="37"/>
        <item m="1" x="111"/>
        <item m="1" x="108"/>
        <item m="1" x="122"/>
        <item x="43"/>
        <item m="1" x="72"/>
        <item m="1" x="80"/>
        <item x="1"/>
        <item m="1" x="98"/>
        <item m="1" x="97"/>
        <item x="31"/>
        <item x="38"/>
        <item x="47"/>
        <item m="1" x="52"/>
        <item m="1" x="105"/>
        <item m="1" x="78"/>
        <item m="1" x="106"/>
        <item m="1" x="129"/>
        <item m="1" x="86"/>
        <item x="10"/>
        <item x="11"/>
        <item x="9"/>
        <item m="1" x="128"/>
        <item x="19"/>
        <item x="4"/>
        <item x="21"/>
        <item x="0"/>
        <item m="1" x="100"/>
        <item x="36"/>
        <item x="23"/>
        <item m="1" x="130"/>
        <item x="30"/>
        <item m="1" x="110"/>
        <item m="1" x="56"/>
        <item m="1" x="55"/>
        <item m="1" x="76"/>
        <item x="27"/>
        <item m="1" x="54"/>
        <item m="1" x="109"/>
        <item x="33"/>
        <item m="1" x="127"/>
        <item m="1" x="118"/>
        <item m="1" x="112"/>
        <item m="1" x="69"/>
        <item x="26"/>
        <item x="18"/>
        <item x="13"/>
        <item m="1" x="82"/>
        <item x="45"/>
        <item m="1" x="103"/>
        <item m="1" x="99"/>
        <item m="1" x="126"/>
        <item m="1" x="124"/>
        <item x="39"/>
        <item x="8"/>
        <item m="1" x="68"/>
        <item x="22"/>
        <item m="1" x="59"/>
        <item m="1" x="71"/>
        <item m="1" x="67"/>
        <item x="35"/>
        <item m="1" x="57"/>
        <item m="1" x="90"/>
        <item m="1" x="75"/>
        <item x="12"/>
        <item x="41"/>
        <item x="16"/>
        <item x="3"/>
        <item x="28"/>
        <item m="1" x="73"/>
        <item m="1" x="85"/>
        <item m="1" x="123"/>
        <item m="1" x="77"/>
        <item m="1" x="120"/>
        <item m="1" x="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s>
  <rowFields count="2">
    <field x="7"/>
    <field x="-2"/>
  </rowFields>
  <rowItems count="114">
    <i>
      <x/>
    </i>
    <i r="1">
      <x/>
    </i>
    <i r="1" i="1">
      <x v="1"/>
    </i>
    <i r="1" i="2">
      <x v="2"/>
    </i>
    <i r="1" i="3">
      <x v="3"/>
    </i>
    <i>
      <x v="1"/>
    </i>
    <i r="1">
      <x/>
    </i>
    <i r="1" i="1">
      <x v="1"/>
    </i>
    <i r="1" i="2">
      <x v="2"/>
    </i>
    <i r="1" i="3">
      <x v="3"/>
    </i>
    <i>
      <x v="2"/>
    </i>
    <i r="1">
      <x/>
    </i>
    <i r="1" i="1">
      <x v="1"/>
    </i>
    <i r="1" i="2">
      <x v="2"/>
    </i>
    <i r="1" i="3">
      <x v="3"/>
    </i>
    <i>
      <x v="4"/>
    </i>
    <i r="1">
      <x/>
    </i>
    <i r="1" i="1">
      <x v="1"/>
    </i>
    <i r="1" i="2">
      <x v="2"/>
    </i>
    <i r="1" i="3">
      <x v="3"/>
    </i>
    <i>
      <x v="6"/>
    </i>
    <i r="1">
      <x/>
    </i>
    <i r="1" i="1">
      <x v="1"/>
    </i>
    <i r="1" i="2">
      <x v="2"/>
    </i>
    <i r="1" i="3">
      <x v="3"/>
    </i>
    <i>
      <x v="7"/>
    </i>
    <i r="1">
      <x/>
    </i>
    <i r="1" i="1">
      <x v="1"/>
    </i>
    <i r="1" i="2">
      <x v="2"/>
    </i>
    <i r="1" i="3">
      <x v="3"/>
    </i>
    <i>
      <x v="8"/>
    </i>
    <i r="1">
      <x/>
    </i>
    <i r="1" i="1">
      <x v="1"/>
    </i>
    <i r="1" i="2">
      <x v="2"/>
    </i>
    <i r="1" i="3">
      <x v="3"/>
    </i>
    <i>
      <x v="9"/>
    </i>
    <i r="1">
      <x/>
    </i>
    <i r="1" i="1">
      <x v="1"/>
    </i>
    <i r="1" i="2">
      <x v="2"/>
    </i>
    <i r="1" i="3">
      <x v="3"/>
    </i>
    <i>
      <x v="10"/>
    </i>
    <i r="1">
      <x/>
    </i>
    <i r="1" i="1">
      <x v="1"/>
    </i>
    <i r="1" i="2">
      <x v="2"/>
    </i>
    <i r="1" i="3">
      <x v="3"/>
    </i>
    <i>
      <x v="11"/>
    </i>
    <i r="1">
      <x/>
    </i>
    <i r="1" i="1">
      <x v="1"/>
    </i>
    <i r="1" i="2">
      <x v="2"/>
    </i>
    <i r="1" i="3">
      <x v="3"/>
    </i>
    <i>
      <x v="12"/>
    </i>
    <i r="1">
      <x/>
    </i>
    <i r="1" i="1">
      <x v="1"/>
    </i>
    <i r="1" i="2">
      <x v="2"/>
    </i>
    <i r="1" i="3">
      <x v="3"/>
    </i>
    <i>
      <x v="13"/>
    </i>
    <i r="1">
      <x/>
    </i>
    <i r="1" i="1">
      <x v="1"/>
    </i>
    <i r="1" i="2">
      <x v="2"/>
    </i>
    <i r="1" i="3">
      <x v="3"/>
    </i>
    <i>
      <x v="14"/>
    </i>
    <i r="1">
      <x/>
    </i>
    <i r="1" i="1">
      <x v="1"/>
    </i>
    <i r="1" i="2">
      <x v="2"/>
    </i>
    <i r="1" i="3">
      <x v="3"/>
    </i>
    <i>
      <x v="15"/>
    </i>
    <i r="1">
      <x/>
    </i>
    <i r="1" i="1">
      <x v="1"/>
    </i>
    <i r="1" i="2">
      <x v="2"/>
    </i>
    <i r="1" i="3">
      <x v="3"/>
    </i>
    <i>
      <x v="16"/>
    </i>
    <i r="1">
      <x/>
    </i>
    <i r="1" i="1">
      <x v="1"/>
    </i>
    <i r="1" i="2">
      <x v="2"/>
    </i>
    <i r="1" i="3">
      <x v="3"/>
    </i>
    <i>
      <x v="17"/>
    </i>
    <i r="1">
      <x/>
    </i>
    <i r="1" i="1">
      <x v="1"/>
    </i>
    <i r="1" i="2">
      <x v="2"/>
    </i>
    <i r="1" i="3">
      <x v="3"/>
    </i>
    <i>
      <x v="19"/>
    </i>
    <i r="1">
      <x/>
    </i>
    <i r="1" i="1">
      <x v="1"/>
    </i>
    <i r="1" i="2">
      <x v="2"/>
    </i>
    <i r="1" i="3">
      <x v="3"/>
    </i>
    <i>
      <x v="20"/>
    </i>
    <i r="1">
      <x/>
    </i>
    <i r="1" i="1">
      <x v="1"/>
    </i>
    <i r="1" i="2">
      <x v="2"/>
    </i>
    <i r="1" i="3">
      <x v="3"/>
    </i>
    <i>
      <x v="21"/>
    </i>
    <i r="1">
      <x/>
    </i>
    <i r="1" i="1">
      <x v="1"/>
    </i>
    <i r="1" i="2">
      <x v="2"/>
    </i>
    <i r="1" i="3">
      <x v="3"/>
    </i>
    <i>
      <x v="22"/>
    </i>
    <i r="1">
      <x/>
    </i>
    <i r="1" i="1">
      <x v="1"/>
    </i>
    <i r="1" i="2">
      <x v="2"/>
    </i>
    <i r="1" i="3">
      <x v="3"/>
    </i>
    <i>
      <x v="23"/>
    </i>
    <i r="1">
      <x/>
    </i>
    <i r="1" i="1">
      <x v="1"/>
    </i>
    <i r="1" i="2">
      <x v="2"/>
    </i>
    <i r="1" i="3">
      <x v="3"/>
    </i>
    <i>
      <x v="24"/>
    </i>
    <i r="1">
      <x/>
    </i>
    <i r="1" i="1">
      <x v="1"/>
    </i>
    <i r="1" i="2">
      <x v="2"/>
    </i>
    <i r="1" i="3">
      <x v="3"/>
    </i>
    <i t="grand">
      <x/>
    </i>
    <i t="grand" i="1">
      <x/>
    </i>
    <i t="grand" i="2">
      <x/>
    </i>
    <i t="grand" i="3">
      <x/>
    </i>
  </rowItems>
  <colFields count="2">
    <field x="18"/>
    <field x="19"/>
  </colFields>
  <colItems count="5">
    <i>
      <x/>
      <x v="1"/>
    </i>
    <i r="1">
      <x v="2"/>
    </i>
    <i t="default">
      <x/>
    </i>
    <i>
      <x v="1"/>
    </i>
    <i t="grand">
      <x/>
    </i>
  </colItems>
  <dataFields count="4">
    <dataField name="COUNT." fld="12" subtotal="count" baseField="4" baseItem="0"/>
    <dataField name="%" fld="12" showDataAs="percentOfRow" baseField="4" baseItem="0" numFmtId="10"/>
    <dataField name="ENR." fld="12" baseField="0" baseItem="0"/>
    <dataField name="AMT." fld="20" baseField="0" baseItem="0"/>
  </dataFields>
  <formats count="7">
    <format dxfId="149">
      <pivotArea type="all" dataOnly="0" outline="0" fieldPosition="0"/>
    </format>
    <format dxfId="148">
      <pivotArea type="all" dataOnly="0" outline="0" fieldPosition="0"/>
    </format>
    <format dxfId="147">
      <pivotArea dataOnly="0" labelOnly="1" fieldPosition="0">
        <references count="1">
          <reference field="7" count="0"/>
        </references>
      </pivotArea>
    </format>
    <format dxfId="146">
      <pivotArea dataOnly="0" outline="0" fieldPosition="0">
        <references count="1">
          <reference field="4294967294" count="1">
            <x v="1"/>
          </reference>
        </references>
      </pivotArea>
    </format>
    <format dxfId="145">
      <pivotArea type="all" dataOnly="0" outline="0" fieldPosition="0"/>
    </format>
    <format dxfId="144">
      <pivotArea type="all" dataOnly="0" outline="0" fieldPosition="0"/>
    </format>
    <format dxfId="143">
      <pivotArea dataOnly="0" outline="0" fieldPosition="0">
        <references count="1">
          <reference field="4294967294" count="1">
            <x v="1"/>
          </reference>
        </references>
      </pivotArea>
    </format>
  </formats>
  <conditionalFormats count="1">
    <conditionalFormat priority="47">
      <pivotAreas count="1">
        <pivotArea type="data" outline="0" collapsedLevelsAreSubtotals="1" fieldPosition="0">
          <references count="2">
            <reference field="4294967294" count="1" selected="0">
              <x v="1"/>
            </reference>
            <reference field="18" count="1" selected="0" defaultSubtotal="1">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8" cacheId="350" dataOnRows="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olHeaderCaption="MIS">
  <location ref="BD3:BI39" firstHeaderRow="1" firstDataRow="3" firstDataCol="1"/>
  <pivotFields count="47">
    <pivotField showAll="0"/>
    <pivotField showAll="0"/>
    <pivotField showAll="0"/>
    <pivotField showAll="0">
      <items count="18">
        <item h="1" m="1" x="8"/>
        <item x="0"/>
        <item h="1" m="1" x="14"/>
        <item h="1" m="1" x="16"/>
        <item h="1" m="1" x="15"/>
        <item x="2"/>
        <item h="1" m="1" x="13"/>
        <item h="1" m="1" x="3"/>
        <item h="1" m="1" x="10"/>
        <item h="1" m="1" x="7"/>
        <item h="1" m="1" x="12"/>
        <item h="1" x="1"/>
        <item h="1" m="1" x="9"/>
        <item h="1" m="1" x="4"/>
        <item h="1" m="1" x="11"/>
        <item h="1" m="1" x="6"/>
        <item h="1" m="1" x="5"/>
        <item t="default"/>
      </items>
    </pivotField>
    <pivotField showAll="0"/>
    <pivotField showAll="0"/>
    <pivotField showAll="0"/>
    <pivotField showAll="0">
      <items count="28">
        <item x="0"/>
        <item x="1"/>
        <item x="2"/>
        <item m="1" x="23"/>
        <item x="3"/>
        <item m="1" x="22"/>
        <item x="4"/>
        <item x="5"/>
        <item x="6"/>
        <item x="7"/>
        <item x="8"/>
        <item x="9"/>
        <item x="10"/>
        <item x="11"/>
        <item x="12"/>
        <item x="13"/>
        <item x="14"/>
        <item x="15"/>
        <item m="1" x="24"/>
        <item x="16"/>
        <item x="17"/>
        <item x="18"/>
        <item x="19"/>
        <item x="20"/>
        <item m="1" x="26"/>
        <item m="1" x="25"/>
        <item x="21"/>
        <item t="default"/>
      </items>
    </pivotField>
    <pivotField showAll="0"/>
    <pivotField showAll="0"/>
    <pivotField showAll="0"/>
    <pivotField showAll="0"/>
    <pivotField dataField="1" showAll="0"/>
    <pivotField showAll="0"/>
    <pivotField showAll="0"/>
    <pivotField showAll="0"/>
    <pivotField showAll="0"/>
    <pivotField showAll="0"/>
    <pivotField axis="axisCol" showAll="0">
      <items count="3">
        <item x="0"/>
        <item sd="0" x="1"/>
        <item t="default"/>
      </items>
    </pivotField>
    <pivotField axis="axisCol" showAll="0">
      <items count="5">
        <item x="1"/>
        <item x="0"/>
        <item x="2"/>
        <item m="1" x="3"/>
        <item t="default"/>
      </items>
    </pivotField>
    <pivotField dataField="1" showAll="0"/>
    <pivotField showAll="0"/>
    <pivotField showAll="0"/>
    <pivotField showAll="0"/>
    <pivotField showAll="0"/>
    <pivotField showAll="0" defaultSubtotal="0"/>
    <pivotField showAll="0">
      <items count="28">
        <item m="1" x="23"/>
        <item m="1" x="17"/>
        <item m="1" x="25"/>
        <item m="1" x="26"/>
        <item m="1" x="9"/>
        <item m="1" x="15"/>
        <item m="1" x="21"/>
        <item m="1" x="14"/>
        <item x="4"/>
        <item x="0"/>
        <item m="1" x="11"/>
        <item m="1" x="13"/>
        <item m="1" x="18"/>
        <item x="3"/>
        <item m="1" x="19"/>
        <item m="1" x="20"/>
        <item x="5"/>
        <item m="1" x="8"/>
        <item m="1" x="24"/>
        <item x="1"/>
        <item m="1" x="12"/>
        <item x="2"/>
        <item m="1" x="22"/>
        <item m="1" x="7"/>
        <item m="1" x="16"/>
        <item m="1" x="10"/>
        <item x="6"/>
        <item t="default"/>
      </items>
    </pivotField>
    <pivotField showAll="0"/>
    <pivotField showAll="0"/>
    <pivotField showAll="0"/>
    <pivotField showAll="0"/>
    <pivotField axis="axisRow" showAll="0">
      <items count="12">
        <item x="3"/>
        <item x="2"/>
        <item m="1" x="10"/>
        <item x="4"/>
        <item x="5"/>
        <item x="1"/>
        <item m="1" x="8"/>
        <item m="1" x="9"/>
        <item m="1" x="6"/>
        <item x="0"/>
        <item m="1" x="7"/>
        <item t="default"/>
      </items>
    </pivotField>
    <pivotField showAll="0">
      <items count="132">
        <item m="1" x="83"/>
        <item m="1" x="115"/>
        <item m="1" x="104"/>
        <item m="1" x="102"/>
        <item m="1" x="101"/>
        <item x="42"/>
        <item m="1" x="88"/>
        <item m="1" x="121"/>
        <item x="6"/>
        <item m="1" x="125"/>
        <item m="1" x="53"/>
        <item x="44"/>
        <item m="1" x="95"/>
        <item x="7"/>
        <item m="1" x="84"/>
        <item m="1" x="70"/>
        <item m="1" x="58"/>
        <item m="1" x="65"/>
        <item x="40"/>
        <item m="1" x="114"/>
        <item m="1" x="51"/>
        <item m="1" x="74"/>
        <item m="1" x="94"/>
        <item x="5"/>
        <item m="1" x="81"/>
        <item m="1" x="116"/>
        <item x="29"/>
        <item m="1" x="93"/>
        <item m="1" x="92"/>
        <item x="46"/>
        <item m="1" x="117"/>
        <item x="48"/>
        <item x="34"/>
        <item x="17"/>
        <item m="1" x="64"/>
        <item m="1" x="107"/>
        <item m="1" x="87"/>
        <item x="2"/>
        <item m="1" x="66"/>
        <item m="1" x="96"/>
        <item m="1" x="79"/>
        <item x="49"/>
        <item m="1" x="60"/>
        <item x="25"/>
        <item m="1" x="62"/>
        <item m="1" x="113"/>
        <item m="1" x="89"/>
        <item m="1" x="63"/>
        <item x="24"/>
        <item x="32"/>
        <item m="1" x="91"/>
        <item m="1" x="61"/>
        <item x="14"/>
        <item x="15"/>
        <item x="20"/>
        <item m="1" x="119"/>
        <item x="37"/>
        <item m="1" x="111"/>
        <item m="1" x="108"/>
        <item m="1" x="122"/>
        <item x="43"/>
        <item m="1" x="72"/>
        <item m="1" x="80"/>
        <item x="1"/>
        <item m="1" x="98"/>
        <item m="1" x="97"/>
        <item x="31"/>
        <item x="38"/>
        <item x="47"/>
        <item m="1" x="52"/>
        <item m="1" x="105"/>
        <item m="1" x="78"/>
        <item m="1" x="106"/>
        <item m="1" x="129"/>
        <item m="1" x="86"/>
        <item x="10"/>
        <item x="11"/>
        <item x="9"/>
        <item m="1" x="128"/>
        <item x="19"/>
        <item x="4"/>
        <item x="21"/>
        <item x="0"/>
        <item m="1" x="100"/>
        <item x="36"/>
        <item x="23"/>
        <item m="1" x="130"/>
        <item x="30"/>
        <item m="1" x="110"/>
        <item m="1" x="56"/>
        <item m="1" x="55"/>
        <item m="1" x="76"/>
        <item x="27"/>
        <item m="1" x="54"/>
        <item m="1" x="109"/>
        <item x="33"/>
        <item m="1" x="127"/>
        <item m="1" x="118"/>
        <item m="1" x="112"/>
        <item m="1" x="69"/>
        <item x="26"/>
        <item x="18"/>
        <item x="13"/>
        <item m="1" x="82"/>
        <item x="45"/>
        <item m="1" x="103"/>
        <item m="1" x="99"/>
        <item m="1" x="126"/>
        <item m="1" x="124"/>
        <item x="39"/>
        <item x="8"/>
        <item m="1" x="68"/>
        <item x="22"/>
        <item m="1" x="59"/>
        <item m="1" x="71"/>
        <item m="1" x="67"/>
        <item x="35"/>
        <item m="1" x="57"/>
        <item m="1" x="90"/>
        <item m="1" x="75"/>
        <item x="12"/>
        <item x="41"/>
        <item x="16"/>
        <item x="3"/>
        <item x="28"/>
        <item m="1" x="73"/>
        <item m="1" x="85"/>
        <item m="1" x="123"/>
        <item m="1" x="77"/>
        <item m="1" x="120"/>
        <item m="1" x="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s>
  <rowFields count="2">
    <field x="31"/>
    <field x="-2"/>
  </rowFields>
  <rowItems count="34">
    <i>
      <x/>
    </i>
    <i r="1">
      <x/>
    </i>
    <i r="1" i="1">
      <x v="1"/>
    </i>
    <i r="1" i="2">
      <x v="2"/>
    </i>
    <i r="1" i="3">
      <x v="3"/>
    </i>
    <i>
      <x v="1"/>
    </i>
    <i r="1">
      <x/>
    </i>
    <i r="1" i="1">
      <x v="1"/>
    </i>
    <i r="1" i="2">
      <x v="2"/>
    </i>
    <i r="1" i="3">
      <x v="3"/>
    </i>
    <i>
      <x v="3"/>
    </i>
    <i r="1">
      <x/>
    </i>
    <i r="1" i="1">
      <x v="1"/>
    </i>
    <i r="1" i="2">
      <x v="2"/>
    </i>
    <i r="1" i="3">
      <x v="3"/>
    </i>
    <i>
      <x v="4"/>
    </i>
    <i r="1">
      <x/>
    </i>
    <i r="1" i="1">
      <x v="1"/>
    </i>
    <i r="1" i="2">
      <x v="2"/>
    </i>
    <i r="1" i="3">
      <x v="3"/>
    </i>
    <i>
      <x v="5"/>
    </i>
    <i r="1">
      <x/>
    </i>
    <i r="1" i="1">
      <x v="1"/>
    </i>
    <i r="1" i="2">
      <x v="2"/>
    </i>
    <i r="1" i="3">
      <x v="3"/>
    </i>
    <i>
      <x v="9"/>
    </i>
    <i r="1">
      <x/>
    </i>
    <i r="1" i="1">
      <x v="1"/>
    </i>
    <i r="1" i="2">
      <x v="2"/>
    </i>
    <i r="1" i="3">
      <x v="3"/>
    </i>
    <i t="grand">
      <x/>
    </i>
    <i t="grand" i="1">
      <x/>
    </i>
    <i t="grand" i="2">
      <x/>
    </i>
    <i t="grand" i="3">
      <x/>
    </i>
  </rowItems>
  <colFields count="2">
    <field x="18"/>
    <field x="19"/>
  </colFields>
  <colItems count="5">
    <i>
      <x/>
      <x v="1"/>
    </i>
    <i r="1">
      <x v="2"/>
    </i>
    <i t="default">
      <x/>
    </i>
    <i>
      <x v="1"/>
    </i>
    <i t="grand">
      <x/>
    </i>
  </colItems>
  <dataFields count="4">
    <dataField name="COUNT." fld="12" subtotal="count" baseField="4" baseItem="0"/>
    <dataField name="%" fld="12" showDataAs="percentOfRow" baseField="4" baseItem="0" numFmtId="10"/>
    <dataField name="ENR." fld="12" baseField="0" baseItem="0"/>
    <dataField name="AMT." fld="20" baseField="0" baseItem="0"/>
  </dataFields>
  <formats count="6">
    <format dxfId="155">
      <pivotArea type="all" dataOnly="0" outline="0" fieldPosition="0"/>
    </format>
    <format dxfId="154">
      <pivotArea type="all" dataOnly="0" outline="0" fieldPosition="0"/>
    </format>
    <format dxfId="153">
      <pivotArea dataOnly="0" outline="0" fieldPosition="0">
        <references count="1">
          <reference field="4294967294" count="1">
            <x v="1"/>
          </reference>
        </references>
      </pivotArea>
    </format>
    <format dxfId="152">
      <pivotArea dataOnly="0" labelOnly="1" fieldPosition="0">
        <references count="1">
          <reference field="31" count="0"/>
        </references>
      </pivotArea>
    </format>
    <format dxfId="151">
      <pivotArea type="all" dataOnly="0" outline="0" fieldPosition="0"/>
    </format>
    <format dxfId="150">
      <pivotArea type="all" dataOnly="0" outline="0" fieldPosition="0"/>
    </format>
  </formats>
  <conditionalFormats count="1">
    <conditionalFormat priority="41">
      <pivotAreas count="1">
        <pivotArea type="data" outline="0" collapsedLevelsAreSubtotals="1" fieldPosition="0">
          <references count="2">
            <reference field="4294967294" count="1" selected="0">
              <x v="1"/>
            </reference>
            <reference field="18" count="1" selected="0" defaultSubtotal="1">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C311BD-0AD4-496B-B09F-C4911519ADAA}" name="PivotTable10" cacheId="350" dataOnRows="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 colHeaderCaption="MIS">
  <location ref="A178:B201" firstHeaderRow="1" firstDataRow="1" firstDataCol="1"/>
  <pivotFields count="47">
    <pivotField showAll="0"/>
    <pivotField showAll="0"/>
    <pivotField showAll="0"/>
    <pivotField showAll="0">
      <items count="18">
        <item h="1" m="1" x="8"/>
        <item x="0"/>
        <item h="1" m="1" x="14"/>
        <item h="1" m="1" x="16"/>
        <item h="1" m="1" x="15"/>
        <item x="2"/>
        <item h="1" m="1" x="13"/>
        <item h="1" m="1" x="3"/>
        <item h="1" m="1" x="10"/>
        <item h="1" m="1" x="7"/>
        <item h="1" m="1" x="12"/>
        <item h="1" x="1"/>
        <item h="1" m="1" x="9"/>
        <item h="1" m="1" x="4"/>
        <item h="1" m="1" x="11"/>
        <item h="1" m="1" x="6"/>
        <item h="1" m="1" x="5"/>
        <item t="default"/>
      </items>
    </pivotField>
    <pivotField showAll="0"/>
    <pivotField showAll="0"/>
    <pivotField showAll="0"/>
    <pivotField axis="axisRow" showAll="0">
      <items count="28">
        <item x="0"/>
        <item x="1"/>
        <item x="2"/>
        <item m="1" x="23"/>
        <item x="3"/>
        <item m="1" x="22"/>
        <item x="4"/>
        <item x="5"/>
        <item x="6"/>
        <item x="7"/>
        <item x="8"/>
        <item x="9"/>
        <item x="10"/>
        <item x="11"/>
        <item x="14"/>
        <item x="12"/>
        <item x="13"/>
        <item x="15"/>
        <item m="1" x="24"/>
        <item x="16"/>
        <item x="17"/>
        <item x="18"/>
        <item x="19"/>
        <item x="20"/>
        <item x="21"/>
        <item m="1" x="26"/>
        <item m="1" x="25"/>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items count="28">
        <item m="1" x="23"/>
        <item m="1" x="17"/>
        <item m="1" x="25"/>
        <item m="1" x="26"/>
        <item m="1" x="9"/>
        <item m="1" x="15"/>
        <item m="1" x="21"/>
        <item m="1" x="14"/>
        <item x="4"/>
        <item x="0"/>
        <item m="1" x="11"/>
        <item m="1" x="13"/>
        <item m="1" x="18"/>
        <item x="3"/>
        <item m="1" x="19"/>
        <item m="1" x="20"/>
        <item x="5"/>
        <item m="1" x="8"/>
        <item m="1" x="24"/>
        <item x="1"/>
        <item m="1" x="12"/>
        <item x="2"/>
        <item m="1" x="22"/>
        <item m="1" x="7"/>
        <item m="1" x="16"/>
        <item m="1" x="10"/>
        <item x="6"/>
        <item t="default"/>
      </items>
    </pivotField>
    <pivotField showAll="0"/>
    <pivotField showAll="0"/>
    <pivotField showAll="0"/>
    <pivotField showAll="0"/>
    <pivotField showAll="0">
      <items count="12">
        <item m="1" x="7"/>
        <item x="0"/>
        <item x="3"/>
        <item x="2"/>
        <item m="1" x="10"/>
        <item x="4"/>
        <item x="5"/>
        <item m="1" x="9"/>
        <item x="1"/>
        <item m="1" x="8"/>
        <item m="1" x="6"/>
        <item t="default"/>
      </items>
    </pivotField>
    <pivotField showAll="0">
      <items count="132">
        <item m="1" x="83"/>
        <item m="1" x="115"/>
        <item m="1" x="104"/>
        <item m="1" x="102"/>
        <item m="1" x="101"/>
        <item x="42"/>
        <item m="1" x="88"/>
        <item m="1" x="121"/>
        <item x="6"/>
        <item m="1" x="125"/>
        <item m="1" x="53"/>
        <item x="44"/>
        <item m="1" x="95"/>
        <item x="7"/>
        <item m="1" x="84"/>
        <item m="1" x="70"/>
        <item m="1" x="58"/>
        <item m="1" x="65"/>
        <item x="40"/>
        <item m="1" x="114"/>
        <item m="1" x="51"/>
        <item m="1" x="74"/>
        <item m="1" x="94"/>
        <item x="5"/>
        <item m="1" x="81"/>
        <item m="1" x="116"/>
        <item x="29"/>
        <item m="1" x="93"/>
        <item m="1" x="92"/>
        <item x="46"/>
        <item m="1" x="117"/>
        <item x="48"/>
        <item x="34"/>
        <item x="17"/>
        <item m="1" x="64"/>
        <item m="1" x="107"/>
        <item m="1" x="87"/>
        <item x="2"/>
        <item m="1" x="66"/>
        <item m="1" x="96"/>
        <item m="1" x="79"/>
        <item x="49"/>
        <item m="1" x="60"/>
        <item x="25"/>
        <item m="1" x="62"/>
        <item m="1" x="113"/>
        <item m="1" x="89"/>
        <item m="1" x="63"/>
        <item x="24"/>
        <item x="32"/>
        <item m="1" x="91"/>
        <item m="1" x="61"/>
        <item x="14"/>
        <item x="15"/>
        <item x="20"/>
        <item m="1" x="119"/>
        <item x="37"/>
        <item m="1" x="111"/>
        <item m="1" x="108"/>
        <item m="1" x="122"/>
        <item x="43"/>
        <item m="1" x="72"/>
        <item m="1" x="80"/>
        <item x="1"/>
        <item m="1" x="98"/>
        <item m="1" x="97"/>
        <item x="31"/>
        <item x="38"/>
        <item x="47"/>
        <item m="1" x="52"/>
        <item m="1" x="105"/>
        <item m="1" x="78"/>
        <item m="1" x="106"/>
        <item m="1" x="129"/>
        <item m="1" x="86"/>
        <item x="10"/>
        <item x="11"/>
        <item x="9"/>
        <item m="1" x="128"/>
        <item x="19"/>
        <item x="4"/>
        <item x="21"/>
        <item x="0"/>
        <item m="1" x="100"/>
        <item x="36"/>
        <item x="23"/>
        <item m="1" x="130"/>
        <item x="30"/>
        <item m="1" x="110"/>
        <item m="1" x="56"/>
        <item m="1" x="55"/>
        <item m="1" x="76"/>
        <item x="27"/>
        <item m="1" x="54"/>
        <item m="1" x="109"/>
        <item x="33"/>
        <item m="1" x="127"/>
        <item m="1" x="118"/>
        <item m="1" x="112"/>
        <item m="1" x="69"/>
        <item x="26"/>
        <item x="18"/>
        <item x="13"/>
        <item m="1" x="82"/>
        <item x="45"/>
        <item m="1" x="103"/>
        <item m="1" x="99"/>
        <item m="1" x="126"/>
        <item m="1" x="124"/>
        <item x="39"/>
        <item x="8"/>
        <item m="1" x="68"/>
        <item x="22"/>
        <item m="1" x="59"/>
        <item m="1" x="71"/>
        <item m="1" x="67"/>
        <item x="35"/>
        <item m="1" x="57"/>
        <item m="1" x="90"/>
        <item m="1" x="75"/>
        <item x="12"/>
        <item x="41"/>
        <item x="16"/>
        <item x="3"/>
        <item x="28"/>
        <item m="1" x="73"/>
        <item m="1" x="85"/>
        <item m="1" x="123"/>
        <item m="1" x="77"/>
        <item m="1" x="120"/>
        <item m="1" x="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s>
  <rowFields count="1">
    <field x="7"/>
  </rowFields>
  <rowItems count="23">
    <i>
      <x/>
    </i>
    <i>
      <x v="1"/>
    </i>
    <i>
      <x v="2"/>
    </i>
    <i>
      <x v="4"/>
    </i>
    <i>
      <x v="6"/>
    </i>
    <i>
      <x v="7"/>
    </i>
    <i>
      <x v="8"/>
    </i>
    <i>
      <x v="9"/>
    </i>
    <i>
      <x v="10"/>
    </i>
    <i>
      <x v="11"/>
    </i>
    <i>
      <x v="12"/>
    </i>
    <i>
      <x v="13"/>
    </i>
    <i>
      <x v="14"/>
    </i>
    <i>
      <x v="15"/>
    </i>
    <i>
      <x v="16"/>
    </i>
    <i>
      <x v="17"/>
    </i>
    <i>
      <x v="19"/>
    </i>
    <i>
      <x v="20"/>
    </i>
    <i>
      <x v="21"/>
    </i>
    <i>
      <x v="22"/>
    </i>
    <i>
      <x v="23"/>
    </i>
    <i>
      <x v="24"/>
    </i>
    <i t="grand">
      <x/>
    </i>
  </rowItems>
  <colItems count="1">
    <i/>
  </colItems>
  <dataFields count="1">
    <dataField name="COUNT." fld="12" subtotal="count" baseField="4" baseItem="0"/>
  </dataFields>
  <formats count="5">
    <format dxfId="160">
      <pivotArea type="all" dataOnly="0" outline="0" fieldPosition="0"/>
    </format>
    <format dxfId="159">
      <pivotArea type="all" dataOnly="0" outline="0" fieldPosition="0"/>
    </format>
    <format dxfId="158">
      <pivotArea dataOnly="0" labelOnly="1" fieldPosition="0">
        <references count="1">
          <reference field="7" count="0"/>
        </references>
      </pivotArea>
    </format>
    <format dxfId="157">
      <pivotArea type="all" dataOnly="0" outline="0" fieldPosition="0"/>
    </format>
    <format dxfId="156">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5" cacheId="350" dataOnRows="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olHeaderCaption="MIS">
  <location ref="V2:Y54" firstHeaderRow="1" firstDataRow="2" firstDataCol="1"/>
  <pivotFields count="47">
    <pivotField showAll="0"/>
    <pivotField showAll="0"/>
    <pivotField showAll="0"/>
    <pivotField showAll="0">
      <items count="18">
        <item h="1" m="1" x="8"/>
        <item x="0"/>
        <item h="1" m="1" x="14"/>
        <item h="1" m="1" x="16"/>
        <item h="1" m="1" x="15"/>
        <item x="2"/>
        <item h="1" m="1" x="13"/>
        <item h="1" m="1" x="3"/>
        <item h="1" m="1" x="10"/>
        <item h="1" m="1" x="7"/>
        <item h="1" m="1" x="12"/>
        <item h="1" x="1"/>
        <item h="1" m="1" x="9"/>
        <item h="1" m="1" x="4"/>
        <item h="1" m="1" x="11"/>
        <item h="1" m="1" x="6"/>
        <item h="1" m="1" x="5"/>
        <item t="default"/>
      </items>
    </pivotField>
    <pivotField showAll="0"/>
    <pivotField showAll="0"/>
    <pivotField showAll="0"/>
    <pivotField showAll="0">
      <items count="28">
        <item x="0"/>
        <item x="1"/>
        <item x="2"/>
        <item m="1" x="23"/>
        <item x="3"/>
        <item m="1" x="22"/>
        <item x="4"/>
        <item x="5"/>
        <item x="6"/>
        <item x="7"/>
        <item x="8"/>
        <item x="9"/>
        <item x="10"/>
        <item x="11"/>
        <item x="12"/>
        <item x="13"/>
        <item x="14"/>
        <item x="15"/>
        <item m="1" x="24"/>
        <item x="16"/>
        <item x="17"/>
        <item x="18"/>
        <item x="19"/>
        <item x="20"/>
        <item m="1" x="26"/>
        <item m="1" x="25"/>
        <item x="2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items count="28">
        <item m="1" x="23"/>
        <item m="1" x="17"/>
        <item m="1" x="25"/>
        <item m="1" x="26"/>
        <item m="1" x="9"/>
        <item m="1" x="15"/>
        <item m="1" x="21"/>
        <item m="1" x="14"/>
        <item x="4"/>
        <item x="0"/>
        <item m="1" x="11"/>
        <item m="1" x="13"/>
        <item m="1" x="18"/>
        <item x="3"/>
        <item m="1" x="19"/>
        <item m="1" x="20"/>
        <item x="5"/>
        <item m="1" x="8"/>
        <item m="1" x="24"/>
        <item x="1"/>
        <item m="1" x="12"/>
        <item x="2"/>
        <item m="1" x="22"/>
        <item m="1" x="7"/>
        <item m="1" x="16"/>
        <item m="1" x="10"/>
        <item x="6"/>
        <item t="default"/>
      </items>
    </pivotField>
    <pivotField showAll="0"/>
    <pivotField showAll="0"/>
    <pivotField showAll="0"/>
    <pivotField showAll="0"/>
    <pivotField showAll="0">
      <items count="12">
        <item m="1" x="7"/>
        <item x="0"/>
        <item x="3"/>
        <item x="2"/>
        <item m="1" x="10"/>
        <item x="4"/>
        <item x="5"/>
        <item m="1" x="9"/>
        <item x="1"/>
        <item m="1" x="8"/>
        <item m="1" x="6"/>
        <item t="default"/>
      </items>
    </pivotField>
    <pivotField axis="axisRow" showAll="0" sortType="ascending">
      <items count="132">
        <item m="1" x="83"/>
        <item m="1" x="115"/>
        <item m="1" x="104"/>
        <item m="1" x="102"/>
        <item m="1" x="101"/>
        <item x="42"/>
        <item m="1" x="88"/>
        <item m="1" x="121"/>
        <item x="6"/>
        <item m="1" x="125"/>
        <item m="1" x="53"/>
        <item x="44"/>
        <item m="1" x="95"/>
        <item x="7"/>
        <item m="1" x="84"/>
        <item m="1" x="70"/>
        <item m="1" x="58"/>
        <item m="1" x="65"/>
        <item x="40"/>
        <item m="1" x="114"/>
        <item m="1" x="51"/>
        <item m="1" x="74"/>
        <item m="1" x="94"/>
        <item x="5"/>
        <item m="1" x="81"/>
        <item m="1" x="116"/>
        <item x="29"/>
        <item m="1" x="93"/>
        <item m="1" x="92"/>
        <item x="46"/>
        <item m="1" x="117"/>
        <item x="48"/>
        <item x="34"/>
        <item x="17"/>
        <item m="1" x="64"/>
        <item m="1" x="107"/>
        <item m="1" x="87"/>
        <item x="2"/>
        <item m="1" x="66"/>
        <item m="1" x="96"/>
        <item m="1" x="79"/>
        <item x="49"/>
        <item m="1" x="60"/>
        <item x="25"/>
        <item m="1" x="62"/>
        <item m="1" x="113"/>
        <item m="1" x="89"/>
        <item m="1" x="63"/>
        <item x="24"/>
        <item x="32"/>
        <item m="1" x="91"/>
        <item m="1" x="61"/>
        <item x="14"/>
        <item x="15"/>
        <item x="20"/>
        <item m="1" x="119"/>
        <item x="37"/>
        <item m="1" x="111"/>
        <item m="1" x="108"/>
        <item m="1" x="122"/>
        <item x="43"/>
        <item m="1" x="72"/>
        <item m="1" x="80"/>
        <item x="1"/>
        <item m="1" x="98"/>
        <item m="1" x="97"/>
        <item x="31"/>
        <item x="38"/>
        <item x="47"/>
        <item m="1" x="52"/>
        <item m="1" x="105"/>
        <item m="1" x="78"/>
        <item m="1" x="106"/>
        <item m="1" x="129"/>
        <item m="1" x="86"/>
        <item x="10"/>
        <item x="11"/>
        <item x="9"/>
        <item m="1" x="128"/>
        <item x="19"/>
        <item x="4"/>
        <item x="21"/>
        <item x="0"/>
        <item m="1" x="100"/>
        <item x="36"/>
        <item x="23"/>
        <item m="1" x="130"/>
        <item x="30"/>
        <item m="1" x="110"/>
        <item m="1" x="56"/>
        <item m="1" x="55"/>
        <item m="1" x="76"/>
        <item x="27"/>
        <item m="1" x="54"/>
        <item m="1" x="109"/>
        <item x="33"/>
        <item m="1" x="127"/>
        <item m="1" x="118"/>
        <item m="1" x="112"/>
        <item m="1" x="69"/>
        <item x="26"/>
        <item x="18"/>
        <item x="13"/>
        <item m="1" x="82"/>
        <item x="45"/>
        <item m="1" x="103"/>
        <item m="1" x="99"/>
        <item m="1" x="126"/>
        <item m="1" x="124"/>
        <item x="39"/>
        <item x="8"/>
        <item m="1" x="68"/>
        <item x="22"/>
        <item m="1" x="59"/>
        <item m="1" x="71"/>
        <item m="1" x="67"/>
        <item x="35"/>
        <item m="1" x="57"/>
        <item m="1" x="90"/>
        <item m="1" x="75"/>
        <item x="12"/>
        <item x="41"/>
        <item x="16"/>
        <item x="3"/>
        <item x="28"/>
        <item m="1" x="73"/>
        <item m="1" x="85"/>
        <item m="1" x="123"/>
        <item m="1" x="77"/>
        <item m="1" x="120"/>
        <item m="1" x="50"/>
        <item t="default"/>
      </items>
    </pivotField>
    <pivotField showAll="0"/>
    <pivotField showAll="0"/>
    <pivotField showAll="0"/>
    <pivotField showAll="0"/>
    <pivotField showAll="0"/>
    <pivotField axis="axisCol" showAll="0">
      <items count="4">
        <item x="0"/>
        <item x="1"/>
        <item m="1" x="2"/>
        <item t="default"/>
      </items>
    </pivotField>
    <pivotField showAll="0"/>
    <pivotField showAll="0"/>
    <pivotField showAll="0"/>
    <pivotField showAll="0"/>
    <pivotField showAll="0"/>
    <pivotField showAll="0"/>
    <pivotField showAll="0"/>
    <pivotField numFmtId="14" showAll="0"/>
  </pivotFields>
  <rowFields count="1">
    <field x="32"/>
  </rowFields>
  <rowItems count="51">
    <i>
      <x v="5"/>
    </i>
    <i>
      <x v="8"/>
    </i>
    <i>
      <x v="11"/>
    </i>
    <i>
      <x v="13"/>
    </i>
    <i>
      <x v="18"/>
    </i>
    <i>
      <x v="23"/>
    </i>
    <i>
      <x v="26"/>
    </i>
    <i>
      <x v="29"/>
    </i>
    <i>
      <x v="31"/>
    </i>
    <i>
      <x v="32"/>
    </i>
    <i>
      <x v="33"/>
    </i>
    <i>
      <x v="37"/>
    </i>
    <i>
      <x v="41"/>
    </i>
    <i>
      <x v="43"/>
    </i>
    <i>
      <x v="48"/>
    </i>
    <i>
      <x v="49"/>
    </i>
    <i>
      <x v="52"/>
    </i>
    <i>
      <x v="53"/>
    </i>
    <i>
      <x v="54"/>
    </i>
    <i>
      <x v="56"/>
    </i>
    <i>
      <x v="60"/>
    </i>
    <i>
      <x v="63"/>
    </i>
    <i>
      <x v="66"/>
    </i>
    <i>
      <x v="67"/>
    </i>
    <i>
      <x v="68"/>
    </i>
    <i>
      <x v="75"/>
    </i>
    <i>
      <x v="76"/>
    </i>
    <i>
      <x v="77"/>
    </i>
    <i>
      <x v="79"/>
    </i>
    <i>
      <x v="80"/>
    </i>
    <i>
      <x v="81"/>
    </i>
    <i>
      <x v="82"/>
    </i>
    <i>
      <x v="84"/>
    </i>
    <i>
      <x v="85"/>
    </i>
    <i>
      <x v="87"/>
    </i>
    <i>
      <x v="92"/>
    </i>
    <i>
      <x v="95"/>
    </i>
    <i>
      <x v="100"/>
    </i>
    <i>
      <x v="101"/>
    </i>
    <i>
      <x v="102"/>
    </i>
    <i>
      <x v="104"/>
    </i>
    <i>
      <x v="109"/>
    </i>
    <i>
      <x v="110"/>
    </i>
    <i>
      <x v="112"/>
    </i>
    <i>
      <x v="116"/>
    </i>
    <i>
      <x v="120"/>
    </i>
    <i>
      <x v="121"/>
    </i>
    <i>
      <x v="122"/>
    </i>
    <i>
      <x v="123"/>
    </i>
    <i>
      <x v="124"/>
    </i>
    <i t="grand">
      <x/>
    </i>
  </rowItems>
  <colFields count="1">
    <field x="38"/>
  </colFields>
  <colItems count="3">
    <i>
      <x/>
    </i>
    <i>
      <x v="1"/>
    </i>
    <i t="grand">
      <x/>
    </i>
  </colItems>
  <dataFields count="1">
    <dataField name="COUNT." fld="12" subtotal="count" baseField="4" baseItem="0"/>
  </dataFields>
  <formats count="5">
    <format dxfId="165">
      <pivotArea type="all" dataOnly="0" outline="0" fieldPosition="0"/>
    </format>
    <format dxfId="164">
      <pivotArea type="all" dataOnly="0" outline="0" fieldPosition="0"/>
    </format>
    <format dxfId="163">
      <pivotArea dataOnly="0" labelOnly="1" fieldPosition="0">
        <references count="1">
          <reference field="32" count="0"/>
        </references>
      </pivotArea>
    </format>
    <format dxfId="162">
      <pivotArea type="all" dataOnly="0" outline="0" fieldPosition="0"/>
    </format>
    <format dxfId="161">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9" cacheId="350" dataOnRows="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olHeaderCaption="MIS">
  <location ref="BK3:BP44" firstHeaderRow="1" firstDataRow="3" firstDataCol="1"/>
  <pivotFields count="47">
    <pivotField showAll="0"/>
    <pivotField showAll="0"/>
    <pivotField showAll="0"/>
    <pivotField showAll="0">
      <items count="18">
        <item h="1" m="1" x="8"/>
        <item x="0"/>
        <item h="1" m="1" x="14"/>
        <item h="1" m="1" x="16"/>
        <item h="1" m="1" x="15"/>
        <item x="2"/>
        <item h="1" m="1" x="13"/>
        <item h="1" m="1" x="3"/>
        <item h="1" m="1" x="10"/>
        <item h="1" m="1" x="7"/>
        <item h="1" m="1" x="12"/>
        <item h="1" x="1"/>
        <item h="1" m="1" x="9"/>
        <item h="1" m="1" x="4"/>
        <item h="1" m="1" x="11"/>
        <item h="1" m="1" x="6"/>
        <item h="1" m="1" x="5"/>
        <item t="default"/>
      </items>
    </pivotField>
    <pivotField showAll="0"/>
    <pivotField showAll="0"/>
    <pivotField showAll="0"/>
    <pivotField showAll="0">
      <items count="28">
        <item x="0"/>
        <item x="1"/>
        <item x="2"/>
        <item m="1" x="23"/>
        <item x="3"/>
        <item m="1" x="22"/>
        <item x="4"/>
        <item x="5"/>
        <item x="6"/>
        <item x="7"/>
        <item x="8"/>
        <item x="9"/>
        <item x="10"/>
        <item x="11"/>
        <item x="12"/>
        <item x="13"/>
        <item x="14"/>
        <item x="15"/>
        <item m="1" x="24"/>
        <item x="16"/>
        <item x="17"/>
        <item x="18"/>
        <item x="19"/>
        <item x="20"/>
        <item m="1" x="26"/>
        <item m="1" x="25"/>
        <item x="21"/>
        <item t="default"/>
      </items>
    </pivotField>
    <pivotField showAll="0"/>
    <pivotField showAll="0"/>
    <pivotField showAll="0"/>
    <pivotField showAll="0"/>
    <pivotField dataField="1" showAll="0"/>
    <pivotField showAll="0"/>
    <pivotField showAll="0"/>
    <pivotField showAll="0"/>
    <pivotField showAll="0"/>
    <pivotField showAll="0"/>
    <pivotField axis="axisCol" showAll="0">
      <items count="3">
        <item x="0"/>
        <item sd="0" x="1"/>
        <item t="default"/>
      </items>
    </pivotField>
    <pivotField axis="axisCol" showAll="0">
      <items count="5">
        <item x="1"/>
        <item x="0"/>
        <item x="2"/>
        <item m="1" x="3"/>
        <item t="default"/>
      </items>
    </pivotField>
    <pivotField dataField="1" showAll="0"/>
    <pivotField showAll="0"/>
    <pivotField showAll="0"/>
    <pivotField showAll="0"/>
    <pivotField showAll="0"/>
    <pivotField showAll="0" defaultSubtotal="0"/>
    <pivotField axis="axisRow" showAll="0">
      <items count="28">
        <item m="1" x="26"/>
        <item m="1" x="19"/>
        <item m="1" x="20"/>
        <item m="1" x="24"/>
        <item m="1" x="17"/>
        <item x="6"/>
        <item m="1" x="23"/>
        <item m="1" x="22"/>
        <item m="1" x="21"/>
        <item m="1" x="8"/>
        <item m="1" x="25"/>
        <item m="1" x="18"/>
        <item m="1" x="13"/>
        <item x="5"/>
        <item x="2"/>
        <item m="1" x="16"/>
        <item x="3"/>
        <item x="1"/>
        <item m="1" x="12"/>
        <item x="0"/>
        <item x="4"/>
        <item m="1" x="15"/>
        <item m="1" x="14"/>
        <item m="1" x="7"/>
        <item m="1" x="9"/>
        <item m="1" x="11"/>
        <item m="1" x="10"/>
        <item t="default"/>
      </items>
    </pivotField>
    <pivotField showAll="0"/>
    <pivotField showAll="0"/>
    <pivotField showAll="0"/>
    <pivotField showAll="0"/>
    <pivotField showAll="0">
      <items count="12">
        <item m="1" x="7"/>
        <item x="0"/>
        <item x="3"/>
        <item x="2"/>
        <item m="1" x="10"/>
        <item x="4"/>
        <item x="5"/>
        <item m="1" x="9"/>
        <item x="1"/>
        <item m="1" x="8"/>
        <item m="1" x="6"/>
        <item t="default"/>
      </items>
    </pivotField>
    <pivotField showAll="0">
      <items count="132">
        <item m="1" x="83"/>
        <item m="1" x="115"/>
        <item m="1" x="104"/>
        <item m="1" x="102"/>
        <item m="1" x="101"/>
        <item x="42"/>
        <item m="1" x="88"/>
        <item m="1" x="121"/>
        <item x="6"/>
        <item m="1" x="125"/>
        <item m="1" x="53"/>
        <item x="44"/>
        <item m="1" x="95"/>
        <item x="7"/>
        <item m="1" x="84"/>
        <item m="1" x="70"/>
        <item m="1" x="58"/>
        <item m="1" x="65"/>
        <item x="40"/>
        <item m="1" x="114"/>
        <item m="1" x="51"/>
        <item m="1" x="74"/>
        <item m="1" x="94"/>
        <item x="5"/>
        <item m="1" x="81"/>
        <item m="1" x="116"/>
        <item x="29"/>
        <item m="1" x="93"/>
        <item m="1" x="92"/>
        <item x="46"/>
        <item m="1" x="117"/>
        <item x="48"/>
        <item x="34"/>
        <item x="17"/>
        <item m="1" x="64"/>
        <item m="1" x="107"/>
        <item m="1" x="87"/>
        <item x="2"/>
        <item m="1" x="66"/>
        <item m="1" x="96"/>
        <item m="1" x="79"/>
        <item x="49"/>
        <item m="1" x="60"/>
        <item x="25"/>
        <item m="1" x="62"/>
        <item m="1" x="113"/>
        <item m="1" x="89"/>
        <item m="1" x="63"/>
        <item x="24"/>
        <item x="32"/>
        <item m="1" x="91"/>
        <item m="1" x="61"/>
        <item x="14"/>
        <item x="15"/>
        <item x="20"/>
        <item m="1" x="119"/>
        <item x="37"/>
        <item m="1" x="111"/>
        <item m="1" x="108"/>
        <item m="1" x="122"/>
        <item x="43"/>
        <item m="1" x="72"/>
        <item m="1" x="80"/>
        <item x="1"/>
        <item m="1" x="98"/>
        <item m="1" x="97"/>
        <item x="31"/>
        <item x="38"/>
        <item x="47"/>
        <item m="1" x="52"/>
        <item m="1" x="105"/>
        <item m="1" x="78"/>
        <item m="1" x="106"/>
        <item m="1" x="129"/>
        <item m="1" x="86"/>
        <item x="10"/>
        <item x="11"/>
        <item x="9"/>
        <item m="1" x="128"/>
        <item x="19"/>
        <item x="4"/>
        <item x="21"/>
        <item x="0"/>
        <item m="1" x="100"/>
        <item x="36"/>
        <item x="23"/>
        <item m="1" x="130"/>
        <item x="30"/>
        <item m="1" x="110"/>
        <item m="1" x="56"/>
        <item m="1" x="55"/>
        <item m="1" x="76"/>
        <item x="27"/>
        <item m="1" x="54"/>
        <item m="1" x="109"/>
        <item x="33"/>
        <item m="1" x="127"/>
        <item m="1" x="118"/>
        <item m="1" x="112"/>
        <item m="1" x="69"/>
        <item x="26"/>
        <item x="18"/>
        <item x="13"/>
        <item m="1" x="82"/>
        <item x="45"/>
        <item m="1" x="103"/>
        <item m="1" x="99"/>
        <item m="1" x="126"/>
        <item m="1" x="124"/>
        <item x="39"/>
        <item x="8"/>
        <item m="1" x="68"/>
        <item x="22"/>
        <item m="1" x="59"/>
        <item m="1" x="71"/>
        <item m="1" x="67"/>
        <item x="35"/>
        <item m="1" x="57"/>
        <item m="1" x="90"/>
        <item m="1" x="75"/>
        <item x="12"/>
        <item x="41"/>
        <item x="16"/>
        <item x="3"/>
        <item x="28"/>
        <item m="1" x="73"/>
        <item m="1" x="85"/>
        <item m="1" x="123"/>
        <item m="1" x="77"/>
        <item m="1" x="120"/>
        <item m="1" x="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s>
  <rowFields count="2">
    <field x="26"/>
    <field x="-2"/>
  </rowFields>
  <rowItems count="39">
    <i>
      <x v="5"/>
    </i>
    <i r="1">
      <x/>
    </i>
    <i r="1" i="1">
      <x v="1"/>
    </i>
    <i r="1" i="2">
      <x v="2"/>
    </i>
    <i r="1" i="3">
      <x v="3"/>
    </i>
    <i>
      <x v="13"/>
    </i>
    <i r="1">
      <x/>
    </i>
    <i r="1" i="1">
      <x v="1"/>
    </i>
    <i r="1" i="2">
      <x v="2"/>
    </i>
    <i r="1" i="3">
      <x v="3"/>
    </i>
    <i>
      <x v="14"/>
    </i>
    <i r="1">
      <x/>
    </i>
    <i r="1" i="1">
      <x v="1"/>
    </i>
    <i r="1" i="2">
      <x v="2"/>
    </i>
    <i r="1" i="3">
      <x v="3"/>
    </i>
    <i>
      <x v="16"/>
    </i>
    <i r="1">
      <x/>
    </i>
    <i r="1" i="1">
      <x v="1"/>
    </i>
    <i r="1" i="2">
      <x v="2"/>
    </i>
    <i r="1" i="3">
      <x v="3"/>
    </i>
    <i>
      <x v="17"/>
    </i>
    <i r="1">
      <x/>
    </i>
    <i r="1" i="1">
      <x v="1"/>
    </i>
    <i r="1" i="2">
      <x v="2"/>
    </i>
    <i r="1" i="3">
      <x v="3"/>
    </i>
    <i>
      <x v="19"/>
    </i>
    <i r="1">
      <x/>
    </i>
    <i r="1" i="1">
      <x v="1"/>
    </i>
    <i r="1" i="2">
      <x v="2"/>
    </i>
    <i r="1" i="3">
      <x v="3"/>
    </i>
    <i>
      <x v="20"/>
    </i>
    <i r="1">
      <x/>
    </i>
    <i r="1" i="1">
      <x v="1"/>
    </i>
    <i r="1" i="2">
      <x v="2"/>
    </i>
    <i r="1" i="3">
      <x v="3"/>
    </i>
    <i t="grand">
      <x/>
    </i>
    <i t="grand" i="1">
      <x/>
    </i>
    <i t="grand" i="2">
      <x/>
    </i>
    <i t="grand" i="3">
      <x/>
    </i>
  </rowItems>
  <colFields count="2">
    <field x="18"/>
    <field x="19"/>
  </colFields>
  <colItems count="5">
    <i>
      <x/>
      <x v="1"/>
    </i>
    <i r="1">
      <x v="2"/>
    </i>
    <i t="default">
      <x/>
    </i>
    <i>
      <x v="1"/>
    </i>
    <i t="grand">
      <x/>
    </i>
  </colItems>
  <dataFields count="4">
    <dataField name="COUNT." fld="12" subtotal="count" baseField="4" baseItem="0"/>
    <dataField name="%" fld="12" showDataAs="percentOfRow" baseField="4" baseItem="0" numFmtId="10"/>
    <dataField name="ENR." fld="12" baseField="0" baseItem="0"/>
    <dataField name="AMT." fld="20" baseField="0" baseItem="0"/>
  </dataFields>
  <formats count="6">
    <format dxfId="171">
      <pivotArea type="all" dataOnly="0" outline="0" fieldPosition="0"/>
    </format>
    <format dxfId="170">
      <pivotArea type="all" dataOnly="0" outline="0" fieldPosition="0"/>
    </format>
    <format dxfId="169">
      <pivotArea dataOnly="0" outline="0" fieldPosition="0">
        <references count="1">
          <reference field="4294967294" count="1">
            <x v="1"/>
          </reference>
        </references>
      </pivotArea>
    </format>
    <format dxfId="168">
      <pivotArea dataOnly="0" labelOnly="1" fieldPosition="0">
        <references count="1">
          <reference field="26" count="0"/>
        </references>
      </pivotArea>
    </format>
    <format dxfId="167">
      <pivotArea type="all" dataOnly="0" outline="0" fieldPosition="0"/>
    </format>
    <format dxfId="166">
      <pivotArea type="all" dataOnly="0" outline="0" fieldPosition="0"/>
    </format>
  </formats>
  <conditionalFormats count="1">
    <conditionalFormat priority="40">
      <pivotAreas count="1">
        <pivotArea type="data" outline="0" collapsedLevelsAreSubtotals="1" fieldPosition="0">
          <references count="2">
            <reference field="4294967294" count="1" selected="0">
              <x v="1"/>
            </reference>
            <reference field="18" count="1" selected="0" defaultSubtotal="1">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7" cacheId="350" dataOnRows="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olHeaderCaption="MIS">
  <location ref="AA3:AB54" firstHeaderRow="1" firstDataRow="1" firstDataCol="1"/>
  <pivotFields count="47">
    <pivotField showAll="0"/>
    <pivotField showAll="0"/>
    <pivotField showAll="0"/>
    <pivotField showAll="0">
      <items count="18">
        <item h="1" m="1" x="8"/>
        <item x="0"/>
        <item h="1" m="1" x="14"/>
        <item h="1" m="1" x="16"/>
        <item h="1" m="1" x="15"/>
        <item x="2"/>
        <item h="1" m="1" x="13"/>
        <item h="1" m="1" x="3"/>
        <item h="1" m="1" x="10"/>
        <item h="1" m="1" x="7"/>
        <item h="1" m="1" x="12"/>
        <item h="1" x="1"/>
        <item h="1" m="1" x="9"/>
        <item h="1" m="1" x="4"/>
        <item h="1" m="1" x="11"/>
        <item h="1" m="1" x="6"/>
        <item h="1" m="1" x="5"/>
        <item t="default"/>
      </items>
    </pivotField>
    <pivotField showAll="0"/>
    <pivotField showAll="0"/>
    <pivotField showAll="0"/>
    <pivotField showAll="0">
      <items count="28">
        <item x="0"/>
        <item x="1"/>
        <item x="2"/>
        <item m="1" x="23"/>
        <item x="3"/>
        <item m="1" x="22"/>
        <item x="4"/>
        <item x="5"/>
        <item x="6"/>
        <item x="7"/>
        <item x="8"/>
        <item x="9"/>
        <item x="10"/>
        <item x="11"/>
        <item x="12"/>
        <item x="13"/>
        <item x="14"/>
        <item x="15"/>
        <item m="1" x="24"/>
        <item x="16"/>
        <item x="17"/>
        <item x="18"/>
        <item x="19"/>
        <item x="20"/>
        <item m="1" x="26"/>
        <item m="1" x="25"/>
        <item x="2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defaultSubtotal="0"/>
    <pivotField showAll="0">
      <items count="28">
        <item m="1" x="23"/>
        <item m="1" x="17"/>
        <item m="1" x="25"/>
        <item m="1" x="26"/>
        <item m="1" x="9"/>
        <item m="1" x="15"/>
        <item m="1" x="21"/>
        <item m="1" x="14"/>
        <item x="4"/>
        <item x="0"/>
        <item m="1" x="11"/>
        <item m="1" x="13"/>
        <item m="1" x="18"/>
        <item x="3"/>
        <item m="1" x="19"/>
        <item m="1" x="20"/>
        <item x="5"/>
        <item m="1" x="8"/>
        <item m="1" x="24"/>
        <item x="1"/>
        <item m="1" x="12"/>
        <item x="2"/>
        <item m="1" x="22"/>
        <item m="1" x="7"/>
        <item m="1" x="16"/>
        <item m="1" x="10"/>
        <item x="6"/>
        <item t="default"/>
      </items>
    </pivotField>
    <pivotField showAll="0"/>
    <pivotField showAll="0"/>
    <pivotField showAll="0"/>
    <pivotField showAll="0"/>
    <pivotField showAll="0">
      <items count="12">
        <item m="1" x="7"/>
        <item x="0"/>
        <item x="3"/>
        <item x="2"/>
        <item m="1" x="10"/>
        <item x="4"/>
        <item x="5"/>
        <item m="1" x="9"/>
        <item x="1"/>
        <item m="1" x="8"/>
        <item m="1" x="6"/>
        <item t="default"/>
      </items>
    </pivotField>
    <pivotField axis="axisRow" showAll="0" sortType="ascending">
      <items count="132">
        <item m="1" x="83"/>
        <item m="1" x="115"/>
        <item m="1" x="104"/>
        <item m="1" x="102"/>
        <item m="1" x="101"/>
        <item x="42"/>
        <item m="1" x="88"/>
        <item m="1" x="121"/>
        <item x="6"/>
        <item m="1" x="125"/>
        <item m="1" x="53"/>
        <item x="44"/>
        <item m="1" x="95"/>
        <item x="7"/>
        <item m="1" x="84"/>
        <item m="1" x="70"/>
        <item m="1" x="58"/>
        <item m="1" x="65"/>
        <item x="40"/>
        <item m="1" x="114"/>
        <item m="1" x="51"/>
        <item m="1" x="74"/>
        <item m="1" x="94"/>
        <item x="5"/>
        <item m="1" x="81"/>
        <item m="1" x="116"/>
        <item x="29"/>
        <item m="1" x="93"/>
        <item m="1" x="92"/>
        <item x="46"/>
        <item m="1" x="117"/>
        <item x="48"/>
        <item x="34"/>
        <item x="17"/>
        <item m="1" x="64"/>
        <item m="1" x="107"/>
        <item m="1" x="87"/>
        <item x="2"/>
        <item m="1" x="66"/>
        <item m="1" x="96"/>
        <item m="1" x="79"/>
        <item x="49"/>
        <item m="1" x="60"/>
        <item x="25"/>
        <item m="1" x="62"/>
        <item m="1" x="113"/>
        <item m="1" x="89"/>
        <item m="1" x="63"/>
        <item x="24"/>
        <item x="32"/>
        <item m="1" x="91"/>
        <item m="1" x="61"/>
        <item x="14"/>
        <item x="15"/>
        <item x="20"/>
        <item m="1" x="119"/>
        <item x="37"/>
        <item m="1" x="111"/>
        <item m="1" x="108"/>
        <item m="1" x="122"/>
        <item x="43"/>
        <item m="1" x="72"/>
        <item m="1" x="80"/>
        <item x="1"/>
        <item m="1" x="98"/>
        <item m="1" x="97"/>
        <item x="31"/>
        <item x="38"/>
        <item x="47"/>
        <item m="1" x="52"/>
        <item m="1" x="105"/>
        <item m="1" x="78"/>
        <item m="1" x="106"/>
        <item m="1" x="129"/>
        <item m="1" x="86"/>
        <item x="10"/>
        <item x="11"/>
        <item x="9"/>
        <item m="1" x="128"/>
        <item x="19"/>
        <item x="4"/>
        <item x="21"/>
        <item x="0"/>
        <item m="1" x="100"/>
        <item x="36"/>
        <item x="23"/>
        <item m="1" x="130"/>
        <item x="30"/>
        <item m="1" x="110"/>
        <item m="1" x="56"/>
        <item m="1" x="55"/>
        <item m="1" x="76"/>
        <item x="27"/>
        <item m="1" x="54"/>
        <item m="1" x="109"/>
        <item x="33"/>
        <item m="1" x="127"/>
        <item m="1" x="118"/>
        <item m="1" x="112"/>
        <item m="1" x="69"/>
        <item x="26"/>
        <item x="18"/>
        <item x="13"/>
        <item m="1" x="82"/>
        <item x="45"/>
        <item m="1" x="103"/>
        <item m="1" x="99"/>
        <item m="1" x="126"/>
        <item m="1" x="124"/>
        <item x="39"/>
        <item x="8"/>
        <item m="1" x="68"/>
        <item x="22"/>
        <item m="1" x="59"/>
        <item m="1" x="71"/>
        <item m="1" x="67"/>
        <item x="35"/>
        <item m="1" x="57"/>
        <item m="1" x="90"/>
        <item m="1" x="75"/>
        <item x="12"/>
        <item x="41"/>
        <item x="16"/>
        <item x="3"/>
        <item x="28"/>
        <item m="1" x="73"/>
        <item m="1" x="85"/>
        <item m="1" x="123"/>
        <item m="1" x="77"/>
        <item m="1" x="120"/>
        <item m="1" x="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s>
  <rowFields count="1">
    <field x="32"/>
  </rowFields>
  <rowItems count="51">
    <i>
      <x v="5"/>
    </i>
    <i>
      <x v="8"/>
    </i>
    <i>
      <x v="11"/>
    </i>
    <i>
      <x v="13"/>
    </i>
    <i>
      <x v="18"/>
    </i>
    <i>
      <x v="23"/>
    </i>
    <i>
      <x v="26"/>
    </i>
    <i>
      <x v="29"/>
    </i>
    <i>
      <x v="31"/>
    </i>
    <i>
      <x v="32"/>
    </i>
    <i>
      <x v="33"/>
    </i>
    <i>
      <x v="37"/>
    </i>
    <i>
      <x v="41"/>
    </i>
    <i>
      <x v="43"/>
    </i>
    <i>
      <x v="48"/>
    </i>
    <i>
      <x v="49"/>
    </i>
    <i>
      <x v="52"/>
    </i>
    <i>
      <x v="53"/>
    </i>
    <i>
      <x v="54"/>
    </i>
    <i>
      <x v="56"/>
    </i>
    <i>
      <x v="60"/>
    </i>
    <i>
      <x v="63"/>
    </i>
    <i>
      <x v="66"/>
    </i>
    <i>
      <x v="67"/>
    </i>
    <i>
      <x v="68"/>
    </i>
    <i>
      <x v="75"/>
    </i>
    <i>
      <x v="76"/>
    </i>
    <i>
      <x v="77"/>
    </i>
    <i>
      <x v="79"/>
    </i>
    <i>
      <x v="80"/>
    </i>
    <i>
      <x v="81"/>
    </i>
    <i>
      <x v="82"/>
    </i>
    <i>
      <x v="84"/>
    </i>
    <i>
      <x v="85"/>
    </i>
    <i>
      <x v="87"/>
    </i>
    <i>
      <x v="92"/>
    </i>
    <i>
      <x v="95"/>
    </i>
    <i>
      <x v="100"/>
    </i>
    <i>
      <x v="101"/>
    </i>
    <i>
      <x v="102"/>
    </i>
    <i>
      <x v="104"/>
    </i>
    <i>
      <x v="109"/>
    </i>
    <i>
      <x v="110"/>
    </i>
    <i>
      <x v="112"/>
    </i>
    <i>
      <x v="116"/>
    </i>
    <i>
      <x v="120"/>
    </i>
    <i>
      <x v="121"/>
    </i>
    <i>
      <x v="122"/>
    </i>
    <i>
      <x v="123"/>
    </i>
    <i>
      <x v="124"/>
    </i>
    <i t="grand">
      <x/>
    </i>
  </rowItems>
  <colItems count="1">
    <i/>
  </colItems>
  <dataFields count="1">
    <dataField name="Sum of AMOUNT" fld="20" baseField="0" baseItem="0"/>
  </dataFields>
  <formats count="5">
    <format dxfId="176">
      <pivotArea type="all" dataOnly="0" outline="0" fieldPosition="0"/>
    </format>
    <format dxfId="175">
      <pivotArea type="all" dataOnly="0" outline="0" fieldPosition="0"/>
    </format>
    <format dxfId="174">
      <pivotArea dataOnly="0" labelOnly="1" fieldPosition="0">
        <references count="1">
          <reference field="32" count="0"/>
        </references>
      </pivotArea>
    </format>
    <format dxfId="173">
      <pivotArea type="all" dataOnly="0" outline="0" fieldPosition="0"/>
    </format>
    <format dxfId="172">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YC" xr10:uid="{00000000-0013-0000-FFFF-FFFF01000000}" sourceName="CYC">
  <pivotTables>
    <pivotTable tabId="4" name="PivotTable1"/>
    <pivotTable tabId="4" name="PivotTable3"/>
    <pivotTable tabId="4" name="PivotTable5"/>
    <pivotTable tabId="4" name="PivotTable6"/>
    <pivotTable tabId="4" name="PivotTable7"/>
    <pivotTable tabId="4" name="PivotTable8"/>
    <pivotTable tabId="4" name="PivotTable9"/>
    <pivotTable tabId="4" name="PivotTable2"/>
    <pivotTable tabId="4" name="PivotTable4"/>
    <pivotTable tabId="4" name="PivotTable10"/>
  </pivotTables>
  <data>
    <tabular pivotCacheId="1">
      <items count="27">
        <i x="0" s="1"/>
        <i x="1" s="1"/>
        <i x="2" s="1"/>
        <i x="3" s="1"/>
        <i x="4" s="1"/>
        <i x="5" s="1"/>
        <i x="6" s="1"/>
        <i x="7" s="1"/>
        <i x="8" s="1"/>
        <i x="9" s="1"/>
        <i x="10" s="1"/>
        <i x="11" s="1"/>
        <i x="12" s="1"/>
        <i x="13" s="1"/>
        <i x="14" s="1"/>
        <i x="15" s="1"/>
        <i x="16" s="1"/>
        <i x="17" s="1"/>
        <i x="18" s="1"/>
        <i x="19" s="1"/>
        <i x="20" s="1"/>
        <i x="21" s="1"/>
        <i x="23" s="1" nd="1"/>
        <i x="22" s="1" nd="1"/>
        <i x="24" s="1" nd="1"/>
        <i x="26" s="1" nd="1"/>
        <i x="2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PR" xr10:uid="{00000000-0013-0000-FFFF-FFFF02000000}" sourceName="FPR">
  <pivotTables>
    <pivotTable tabId="4" name="PivotTable1"/>
    <pivotTable tabId="4" name="PivotTable3"/>
    <pivotTable tabId="4" name="PivotTable5"/>
    <pivotTable tabId="4" name="PivotTable6"/>
    <pivotTable tabId="4" name="PivotTable7"/>
    <pivotTable tabId="4" name="PivotTable8"/>
    <pivotTable tabId="4" name="PivotTable9"/>
    <pivotTable tabId="4" name="PivotTable2"/>
    <pivotTable tabId="4" name="PivotTable4"/>
    <pivotTable tabId="4" name="PivotTable10"/>
  </pivotTables>
  <data>
    <tabular pivotCacheId="1">
      <items count="17">
        <i x="0" s="1"/>
        <i x="2" s="1"/>
        <i x="1"/>
        <i x="8" nd="1"/>
        <i x="14" nd="1"/>
        <i x="16" nd="1"/>
        <i x="15" nd="1"/>
        <i x="13" nd="1"/>
        <i x="3" nd="1"/>
        <i x="10" nd="1"/>
        <i x="7" nd="1"/>
        <i x="12" nd="1"/>
        <i x="9" nd="1"/>
        <i x="4" nd="1"/>
        <i x="11" nd="1"/>
        <i x="6" nd="1"/>
        <i x="5"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LER" xr10:uid="{00000000-0013-0000-FFFF-FFFF03000000}" sourceName="CALLER">
  <pivotTables>
    <pivotTable tabId="4" name="PivotTable1"/>
    <pivotTable tabId="4" name="PivotTable3"/>
    <pivotTable tabId="4" name="PivotTable5"/>
    <pivotTable tabId="4" name="PivotTable6"/>
    <pivotTable tabId="4" name="PivotTable7"/>
    <pivotTable tabId="4" name="PivotTable8"/>
    <pivotTable tabId="4" name="PivotTable9"/>
    <pivotTable tabId="4" name="PivotTable2"/>
    <pivotTable tabId="4" name="PivotTable4"/>
    <pivotTable tabId="4" name="PivotTable10"/>
  </pivotTables>
  <data>
    <tabular pivotCacheId="1">
      <items count="27">
        <i x="4" s="1"/>
        <i x="0" s="1"/>
        <i x="3" s="1"/>
        <i x="5" s="1"/>
        <i x="1" s="1"/>
        <i x="2" s="1"/>
        <i x="6" s="1"/>
        <i x="23" s="1" nd="1"/>
        <i x="17" s="1" nd="1"/>
        <i x="25" s="1" nd="1"/>
        <i x="26" s="1" nd="1"/>
        <i x="9" s="1" nd="1"/>
        <i x="15" s="1" nd="1"/>
        <i x="21" s="1" nd="1"/>
        <i x="14" s="1" nd="1"/>
        <i x="11" s="1" nd="1"/>
        <i x="13" s="1" nd="1"/>
        <i x="18" s="1" nd="1"/>
        <i x="19" s="1" nd="1"/>
        <i x="20" s="1" nd="1"/>
        <i x="8" s="1" nd="1"/>
        <i x="24" s="1" nd="1"/>
        <i x="12" s="1" nd="1"/>
        <i x="22" s="1" nd="1"/>
        <i x="7" s="1" nd="1"/>
        <i x="16" s="1" nd="1"/>
        <i x="1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00000000-0013-0000-FFFF-FFFF04000000}" sourceName="AREA">
  <pivotTables>
    <pivotTable tabId="4" name="PivotTable1"/>
    <pivotTable tabId="4" name="PivotTable3"/>
    <pivotTable tabId="4" name="PivotTable5"/>
    <pivotTable tabId="4" name="PivotTable6"/>
    <pivotTable tabId="4" name="PivotTable7"/>
    <pivotTable tabId="4" name="PivotTable8"/>
    <pivotTable tabId="4" name="PivotTable9"/>
    <pivotTable tabId="4" name="PivotTable2"/>
    <pivotTable tabId="4" name="PivotTable4"/>
    <pivotTable tabId="4" name="PivotTable10"/>
  </pivotTables>
  <data>
    <tabular pivotCacheId="1">
      <items count="11">
        <i x="0" s="1"/>
        <i x="3" s="1"/>
        <i x="2" s="1"/>
        <i x="4" s="1"/>
        <i x="5" s="1"/>
        <i x="1" s="1"/>
        <i x="7" s="1" nd="1"/>
        <i x="10" s="1" nd="1"/>
        <i x="9" s="1" nd="1"/>
        <i x="8" s="1" nd="1"/>
        <i x="6"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S_NAME" xr10:uid="{00000000-0013-0000-FFFF-FFFF05000000}" sourceName="FOS NAME">
  <pivotTables>
    <pivotTable tabId="4" name="PivotTable1"/>
    <pivotTable tabId="4" name="PivotTable3"/>
    <pivotTable tabId="4" name="PivotTable5"/>
    <pivotTable tabId="4" name="PivotTable6"/>
    <pivotTable tabId="4" name="PivotTable7"/>
    <pivotTable tabId="4" name="PivotTable8"/>
    <pivotTable tabId="4" name="PivotTable9"/>
    <pivotTable tabId="4" name="PivotTable2"/>
    <pivotTable tabId="4" name="PivotTable4"/>
    <pivotTable tabId="4" name="PivotTable10"/>
  </pivotTables>
  <data>
    <tabular pivotCacheId="1">
      <items count="131">
        <i x="42" s="1"/>
        <i x="6" s="1"/>
        <i x="44" s="1"/>
        <i x="7" s="1"/>
        <i x="40" s="1"/>
        <i x="5" s="1"/>
        <i x="29" s="1"/>
        <i x="46" s="1"/>
        <i x="48" s="1"/>
        <i x="34" s="1"/>
        <i x="17" s="1"/>
        <i x="2" s="1"/>
        <i x="49" s="1"/>
        <i x="25" s="1"/>
        <i x="24" s="1"/>
        <i x="32" s="1"/>
        <i x="14" s="1"/>
        <i x="15" s="1"/>
        <i x="20" s="1"/>
        <i x="37" s="1"/>
        <i x="43" s="1"/>
        <i x="1" s="1"/>
        <i x="31" s="1"/>
        <i x="38" s="1"/>
        <i x="47" s="1"/>
        <i x="10" s="1"/>
        <i x="11" s="1"/>
        <i x="9" s="1"/>
        <i x="19" s="1"/>
        <i x="4" s="1"/>
        <i x="21" s="1"/>
        <i x="0" s="1"/>
        <i x="36" s="1"/>
        <i x="23" s="1"/>
        <i x="30" s="1"/>
        <i x="27" s="1"/>
        <i x="33" s="1"/>
        <i x="26" s="1"/>
        <i x="18" s="1"/>
        <i x="13" s="1"/>
        <i x="45" s="1"/>
        <i x="39" s="1"/>
        <i x="8" s="1"/>
        <i x="22" s="1"/>
        <i x="35" s="1"/>
        <i x="12" s="1"/>
        <i x="41" s="1"/>
        <i x="16" s="1"/>
        <i x="3" s="1"/>
        <i x="28" s="1"/>
        <i x="83" s="1" nd="1"/>
        <i x="115" s="1" nd="1"/>
        <i x="104" s="1" nd="1"/>
        <i x="102" s="1" nd="1"/>
        <i x="101" s="1" nd="1"/>
        <i x="88" s="1" nd="1"/>
        <i x="121" s="1" nd="1"/>
        <i x="125" s="1" nd="1"/>
        <i x="53" s="1" nd="1"/>
        <i x="95" s="1" nd="1"/>
        <i x="84" s="1" nd="1"/>
        <i x="70" s="1" nd="1"/>
        <i x="58" s="1" nd="1"/>
        <i x="65" s="1" nd="1"/>
        <i x="114" s="1" nd="1"/>
        <i x="51" s="1" nd="1"/>
        <i x="74" s="1" nd="1"/>
        <i x="94" s="1" nd="1"/>
        <i x="81" s="1" nd="1"/>
        <i x="116" s="1" nd="1"/>
        <i x="93" s="1" nd="1"/>
        <i x="92" s="1" nd="1"/>
        <i x="117" s="1" nd="1"/>
        <i x="64" s="1" nd="1"/>
        <i x="107" s="1" nd="1"/>
        <i x="87" s="1" nd="1"/>
        <i x="66" s="1" nd="1"/>
        <i x="96" s="1" nd="1"/>
        <i x="79" s="1" nd="1"/>
        <i x="60" s="1" nd="1"/>
        <i x="62" s="1" nd="1"/>
        <i x="113" s="1" nd="1"/>
        <i x="89" s="1" nd="1"/>
        <i x="63" s="1" nd="1"/>
        <i x="91" s="1" nd="1"/>
        <i x="61" s="1" nd="1"/>
        <i x="119" s="1" nd="1"/>
        <i x="111" s="1" nd="1"/>
        <i x="108" s="1" nd="1"/>
        <i x="122" s="1" nd="1"/>
        <i x="72" s="1" nd="1"/>
        <i x="80" s="1" nd="1"/>
        <i x="98" s="1" nd="1"/>
        <i x="97" s="1" nd="1"/>
        <i x="52" s="1" nd="1"/>
        <i x="105" s="1" nd="1"/>
        <i x="78" s="1" nd="1"/>
        <i x="106" s="1" nd="1"/>
        <i x="129" s="1" nd="1"/>
        <i x="86" s="1" nd="1"/>
        <i x="128" s="1" nd="1"/>
        <i x="100" s="1" nd="1"/>
        <i x="130" s="1" nd="1"/>
        <i x="110" s="1" nd="1"/>
        <i x="56" s="1" nd="1"/>
        <i x="55" s="1" nd="1"/>
        <i x="76" s="1" nd="1"/>
        <i x="54" s="1" nd="1"/>
        <i x="109" s="1" nd="1"/>
        <i x="127" s="1" nd="1"/>
        <i x="118" s="1" nd="1"/>
        <i x="112" s="1" nd="1"/>
        <i x="69" s="1" nd="1"/>
        <i x="82" s="1" nd="1"/>
        <i x="103" s="1" nd="1"/>
        <i x="99" s="1" nd="1"/>
        <i x="126" s="1" nd="1"/>
        <i x="124" s="1" nd="1"/>
        <i x="68" s="1" nd="1"/>
        <i x="59" s="1" nd="1"/>
        <i x="71" s="1" nd="1"/>
        <i x="67" s="1" nd="1"/>
        <i x="57" s="1" nd="1"/>
        <i x="90" s="1" nd="1"/>
        <i x="75" s="1" nd="1"/>
        <i x="73" s="1" nd="1"/>
        <i x="85" s="1" nd="1"/>
        <i x="123" s="1" nd="1"/>
        <i x="77" s="1" nd="1"/>
        <i x="120" s="1" nd="1"/>
        <i x="50"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C3149471-6FB6-48F2-810D-D14D29E19635}" sourceName="DATE">
  <pivotTables>
    <pivotTable tabId="4" name="PivotTable2"/>
  </pivotTables>
  <data>
    <tabular pivotCacheId="1">
      <items count="35">
        <i x="1" s="1"/>
        <i x="13" s="1"/>
        <i x="15" s="1"/>
        <i x="18" s="1"/>
        <i x="23" s="1"/>
        <i x="20" s="1"/>
        <i x="22" s="1"/>
        <i x="21" s="1"/>
        <i x="24" s="1"/>
        <i x="25" s="1"/>
        <i x="27" s="1"/>
        <i x="2" s="1"/>
        <i x="26" s="1"/>
        <i x="34" s="1"/>
        <i x="28" s="1"/>
        <i x="29" s="1"/>
        <i x="7" s="1"/>
        <i x="32" s="1"/>
        <i x="30" s="1"/>
        <i x="33" s="1"/>
        <i x="0" s="1"/>
        <i x="31" s="1"/>
        <i x="11" s="1"/>
        <i x="8" s="1"/>
        <i x="4" s="1"/>
        <i x="3" s="1"/>
        <i x="6" s="1"/>
        <i x="5" s="1"/>
        <i x="10" s="1"/>
        <i x="14" s="1"/>
        <i x="9" s="1"/>
        <i x="16" s="1"/>
        <i x="19" s="1"/>
        <i x="12" s="1"/>
        <i x="17"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_DATE" xr10:uid="{9B0342AD-1C7C-4F2B-9341-4D75DC6FC892}" sourceName="V DATE">
  <pivotTables>
    <pivotTable tabId="4" name="PivotTable2"/>
  </pivotTables>
  <data>
    <tabular pivotCacheId="1">
      <items count="115">
        <i x="17" s="1"/>
        <i x="19" s="1"/>
        <i x="20" s="1"/>
        <i x="23" s="1"/>
        <i x="28" s="1"/>
        <i x="22" s="1"/>
        <i x="21" s="1"/>
        <i x="27" s="1"/>
        <i x="24" s="1"/>
        <i x="25" s="1"/>
        <i x="2" s="1"/>
        <i x="26" s="1"/>
        <i x="29" s="1"/>
        <i x="7" s="1"/>
        <i x="30" s="1"/>
        <i x="5" s="1"/>
        <i x="33" s="1"/>
        <i x="31" s="1"/>
        <i x="9" s="1"/>
        <i x="32" s="1"/>
        <i x="1" s="1"/>
        <i x="0" s="1"/>
        <i x="3" s="1"/>
        <i x="6" s="1"/>
        <i x="4" s="1"/>
        <i x="8" s="1"/>
        <i x="13" s="1"/>
        <i x="12" s="1"/>
        <i x="14" s="1"/>
        <i x="11" s="1"/>
        <i x="16" s="1"/>
        <i x="15" s="1"/>
        <i x="18" s="1"/>
        <i x="10" s="1"/>
        <i x="73" s="1" nd="1"/>
        <i x="100" s="1" nd="1"/>
        <i x="63" s="1" nd="1"/>
        <i x="74" s="1" nd="1"/>
        <i x="102" s="1" nd="1"/>
        <i x="50" s="1" nd="1"/>
        <i x="82" s="1" nd="1"/>
        <i x="103" s="1" nd="1"/>
        <i x="54" s="1" nd="1"/>
        <i x="78" s="1" nd="1"/>
        <i x="105" s="1" nd="1"/>
        <i x="56" s="1" nd="1"/>
        <i x="107" s="1" nd="1"/>
        <i x="76" s="1" nd="1"/>
        <i x="106" s="1" nd="1"/>
        <i x="55" s="1" nd="1"/>
        <i x="79" s="1" nd="1"/>
        <i x="114" s="1" nd="1"/>
        <i x="57" s="1" nd="1"/>
        <i x="77" s="1" nd="1"/>
        <i x="108" s="1" nd="1"/>
        <i x="58" s="1" nd="1"/>
        <i x="80" s="1" nd="1"/>
        <i x="110" s="1" nd="1"/>
        <i x="59" s="1" nd="1"/>
        <i x="81" s="1" nd="1"/>
        <i x="109" s="1" nd="1"/>
        <i x="60" s="1" nd="1"/>
        <i x="112" s="1" nd="1"/>
        <i x="61" s="1" nd="1"/>
        <i x="66" s="1" nd="1"/>
        <i x="36" s="1" nd="1"/>
        <i x="40" s="1" nd="1"/>
        <i x="111" s="1" nd="1"/>
        <i x="62" s="1" nd="1"/>
        <i x="64" s="1" nd="1"/>
        <i x="113" s="1" nd="1"/>
        <i x="34" s="1" nd="1"/>
        <i x="39" s="1" nd="1"/>
        <i x="35" s="1" nd="1"/>
        <i x="88" s="1" nd="1"/>
        <i x="43" s="1" nd="1"/>
        <i x="86" s="1" nd="1"/>
        <i x="65" s="1" nd="1"/>
        <i x="44" s="1" nd="1"/>
        <i x="87" s="1" nd="1"/>
        <i x="84" s="1" nd="1"/>
        <i x="42" s="1" nd="1"/>
        <i x="85" s="1" nd="1"/>
        <i x="90" s="1" nd="1"/>
        <i x="41" s="1" nd="1"/>
        <i x="83" s="1" nd="1"/>
        <i x="92" s="1" nd="1"/>
        <i x="45" s="1" nd="1"/>
        <i x="94" s="1" nd="1"/>
        <i x="67" s="1" nd="1"/>
        <i x="93" s="1" nd="1"/>
        <i x="37" s="1" nd="1"/>
        <i x="38" s="1" nd="1"/>
        <i x="91" s="1" nd="1"/>
        <i x="89" s="1" nd="1"/>
        <i x="68" s="1" nd="1"/>
        <i x="97" s="1" nd="1"/>
        <i x="53" s="1" nd="1"/>
        <i x="69" s="1" nd="1"/>
        <i x="95" s="1" nd="1"/>
        <i x="46" s="1" nd="1"/>
        <i x="96" s="1" nd="1"/>
        <i x="47" s="1" nd="1"/>
        <i x="71" s="1" nd="1"/>
        <i x="98" s="1" nd="1"/>
        <i x="48" s="1" nd="1"/>
        <i x="70" s="1" nd="1"/>
        <i x="99" s="1" nd="1"/>
        <i x="49" s="1" nd="1"/>
        <i x="75" s="1" nd="1"/>
        <i x="104" s="1" nd="1"/>
        <i x="52" s="1" nd="1"/>
        <i x="72" s="1" nd="1"/>
        <i x="101" s="1" nd="1"/>
        <i x="5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YC" xr10:uid="{00000000-0014-0000-FFFF-FFFF01000000}" cache="Slicer_CYC" caption="CYC" startItem="8" rowHeight="241300"/>
  <slicer name="FPR" xr10:uid="{00000000-0014-0000-FFFF-FFFF02000000}" cache="Slicer_FPR" caption="FPR" rowHeight="241300"/>
  <slicer name="CALLER" xr10:uid="{00000000-0014-0000-FFFF-FFFF03000000}" cache="Slicer_CALLER" caption="CALLER" rowHeight="241300"/>
  <slicer name="AREA" xr10:uid="{00000000-0014-0000-FFFF-FFFF04000000}" cache="Slicer_AREA" caption="AREA" rowHeight="241300"/>
  <slicer name="FOS NAME" xr10:uid="{00000000-0014-0000-FFFF-FFFF05000000}" cache="Slicer_FOS_NAME" caption="FOS NAME" startItem="20" rowHeight="241300"/>
  <slicer name="DATE" xr10:uid="{BDAC31F8-FC58-4E59-97C2-049BB545330A}" cache="Slicer_DATE" caption="DATE" startItem="5" rowHeight="241300"/>
  <slicer name="V DATE" xr10:uid="{4CA0A15F-E626-471A-89D2-38D77E77EF64}" cache="Slicer_V_DATE" caption="V DATE" startItem="7"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U603" totalsRowShown="0" headerRowDxfId="116" dataDxfId="114" headerRowBorderDxfId="115" tableBorderDxfId="113" totalsRowBorderDxfId="112">
  <sortState xmlns:xlrd2="http://schemas.microsoft.com/office/spreadsheetml/2017/richdata2" ref="A2:AU603">
    <sortCondition ref="H1:H603"/>
  </sortState>
  <tableColumns count="47">
    <tableColumn id="1" xr3:uid="{00000000-0010-0000-0000-000001000000}" name="ACC.NO" dataDxfId="111"/>
    <tableColumn id="2" xr3:uid="{00000000-0010-0000-0000-000002000000}" name="NAMES" dataDxfId="110"/>
    <tableColumn id="53" xr3:uid="{0D63AA17-45EA-43E8-8FFB-E1A26F402CD5}" name="RTP" dataDxfId="109">
      <calculatedColumnFormula>VLOOKUP(Table1[[#This Row],[ACC.NO]],[1]Sheet1!$A$2:$C$643,2,0)</calculatedColumnFormula>
    </tableColumn>
    <tableColumn id="3" xr3:uid="{00000000-0010-0000-0000-000003000000}" name="FPR" dataDxfId="108"/>
    <tableColumn id="47" xr3:uid="{76D06194-ACF1-48F1-9E34-EA429C0ADBC4}" name="RE" dataDxfId="107"/>
    <tableColumn id="48" xr3:uid="{0D030064-9373-406A-9555-19A413FBB5FB}" name="CC" dataDxfId="106"/>
    <tableColumn id="4" xr3:uid="{00000000-0010-0000-0000-000004000000}" name="O/N" dataDxfId="105">
      <calculatedColumnFormula>VLOOKUP(Table1[[#This Row],[ACC.NO]],[2]!Table1[ACC.NO],1,0)</calculatedColumnFormula>
    </tableColumn>
    <tableColumn id="5" xr3:uid="{00000000-0010-0000-0000-000005000000}" name="CYC" dataDxfId="104"/>
    <tableColumn id="6" xr3:uid="{00000000-0010-0000-0000-000006000000}" name="MOBILE" dataDxfId="103"/>
    <tableColumn id="7" xr3:uid="{00000000-0010-0000-0000-000007000000}" name="BLOCK" dataDxfId="102"/>
    <tableColumn id="8" xr3:uid="{00000000-0010-0000-0000-000008000000}" name="EXCESS LIMIT" dataDxfId="101">
      <calculatedColumnFormula>Table1[[#This Row],[ENR]]-Table1[[#This Row],[CREDIT]]</calculatedColumnFormula>
    </tableColumn>
    <tableColumn id="9" xr3:uid="{00000000-0010-0000-0000-000009000000}" name="CREDIT" dataDxfId="100"/>
    <tableColumn id="10" xr3:uid="{00000000-0010-0000-0000-00000A000000}" name="ENR" dataDxfId="99"/>
    <tableColumn id="11" xr3:uid="{00000000-0010-0000-0000-00000B000000}" name="EMI 0/S" dataDxfId="98"/>
    <tableColumn id="12" xr3:uid="{00000000-0010-0000-0000-00000C000000}" name="CURR_BAL" dataDxfId="97"/>
    <tableColumn id="13" xr3:uid="{00000000-0010-0000-0000-00000D000000}" name="PRI" dataDxfId="96"/>
    <tableColumn id="14" xr3:uid="{00000000-0010-0000-0000-00000E000000}" name="NORM" dataDxfId="95"/>
    <tableColumn id="15" xr3:uid="{00000000-0010-0000-0000-00000F000000}" name="STAB" dataDxfId="94"/>
    <tableColumn id="16" xr3:uid="{00000000-0010-0000-0000-000010000000}" name="PAID/UNPAID" dataDxfId="93"/>
    <tableColumn id="17" xr3:uid="{00000000-0010-0000-0000-000011000000}" name="STATUS" dataDxfId="92"/>
    <tableColumn id="18" xr3:uid="{00000000-0010-0000-0000-000012000000}" name="AMOUNT" dataDxfId="91"/>
    <tableColumn id="19" xr3:uid="{00000000-0010-0000-0000-000013000000}" name="PENDING" dataDxfId="90">
      <calculatedColumnFormula>Table1[[#This Row],[STAB]]-Table1[[#This Row],[AMOUNT]]</calculatedColumnFormula>
    </tableColumn>
    <tableColumn id="20" xr3:uid="{00000000-0010-0000-0000-000014000000}" name="DATE" dataDxfId="89"/>
    <tableColumn id="21" xr3:uid="{00000000-0010-0000-0000-000015000000}" name="DONE BY" dataDxfId="88"/>
    <tableColumn id="22" xr3:uid="{00000000-0010-0000-0000-000016000000}" name="MODE" dataDxfId="87"/>
    <tableColumn id="44" xr3:uid="{00000000-0010-0000-0000-00002C000000}" name="TEAM" dataDxfId="86"/>
    <tableColumn id="23" xr3:uid="{00000000-0010-0000-0000-000017000000}" name="CALLER" dataDxfId="85"/>
    <tableColumn id="24" xr3:uid="{00000000-0010-0000-0000-000018000000}" name="CAT ALLO" dataDxfId="84"/>
    <tableColumn id="25" xr3:uid="{00000000-0010-0000-0000-000019000000}" name="ADD 1" dataDxfId="83"/>
    <tableColumn id="26" xr3:uid="{00000000-0010-0000-0000-00001A000000}" name="ADD 2" dataDxfId="82"/>
    <tableColumn id="27" xr3:uid="{00000000-0010-0000-0000-00001B000000}" name="LOCATION" dataDxfId="81"/>
    <tableColumn id="28" xr3:uid="{00000000-0010-0000-0000-00001C000000}" name="AREA" dataDxfId="80"/>
    <tableColumn id="29" xr3:uid="{00000000-0010-0000-0000-00001D000000}" name="FOS NAME" dataDxfId="79"/>
    <tableColumn id="30" xr3:uid="{00000000-0010-0000-0000-00001E000000}" name="MARC" dataDxfId="78"/>
    <tableColumn id="31" xr3:uid="{00000000-0010-0000-0000-00001F000000}" name="MARC ID" dataDxfId="77"/>
    <tableColumn id="32" xr3:uid="{00000000-0010-0000-0000-000020000000}" name="MARC PW" dataDxfId="76"/>
    <tableColumn id="33" xr3:uid="{00000000-0010-0000-0000-000021000000}" name="TC DISPO" dataDxfId="75"/>
    <tableColumn id="34" xr3:uid="{00000000-0010-0000-0000-000022000000}" name="TC REMARK" dataDxfId="74"/>
    <tableColumn id="35" xr3:uid="{00000000-0010-0000-0000-000023000000}" name="VISITS" dataDxfId="73"/>
    <tableColumn id="36" xr3:uid="{00000000-0010-0000-0000-000024000000}" name="FOS DISPO" dataDxfId="72"/>
    <tableColumn id="37" xr3:uid="{00000000-0010-0000-0000-000025000000}" name="REMARKS" dataDxfId="71"/>
    <tableColumn id="38" xr3:uid="{00000000-0010-0000-0000-000026000000}" name="V DATE" dataDxfId="70"/>
    <tableColumn id="39" xr3:uid="{00000000-0010-0000-0000-000027000000}" name="LAST PAYMENT DATE" dataDxfId="69"/>
    <tableColumn id="40" xr3:uid="{00000000-0010-0000-0000-000028000000}" name="LAST PAYMENT AMOUNT" dataDxfId="68"/>
    <tableColumn id="41" xr3:uid="{00000000-0010-0000-0000-000029000000}" name="CARD TYPE" dataDxfId="67"/>
    <tableColumn id="42" xr3:uid="{00000000-0010-0000-0000-00002A000000}" name="ALLOC DATE" dataDxfId="66"/>
    <tableColumn id="43" xr3:uid="{00000000-0010-0000-0000-00002B000000}" name="DueDate" dataDxfId="65"/>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T284"/>
  <sheetViews>
    <sheetView tabSelected="1" topLeftCell="A103" zoomScale="90" zoomScaleNormal="90" workbookViewId="0">
      <selection activeCell="A105" sqref="A105"/>
    </sheetView>
  </sheetViews>
  <sheetFormatPr defaultRowHeight="15" x14ac:dyDescent="0.25"/>
  <cols>
    <col min="1" max="1" width="15.85546875" style="13" bestFit="1" customWidth="1"/>
    <col min="2" max="2" width="8" style="13" bestFit="1" customWidth="1"/>
    <col min="3" max="7" width="13.28515625" style="13" bestFit="1" customWidth="1"/>
    <col min="8" max="8" width="15.28515625" style="13" customWidth="1"/>
    <col min="9" max="9" width="22.28515625" style="13" customWidth="1"/>
    <col min="10" max="10" width="5.7109375" style="13" customWidth="1"/>
    <col min="11" max="11" width="36.85546875" style="13" bestFit="1" customWidth="1"/>
    <col min="12" max="12" width="9.28515625" style="13" bestFit="1" customWidth="1"/>
    <col min="13" max="13" width="8.5703125" style="13" bestFit="1" customWidth="1"/>
    <col min="14" max="14" width="13.28515625" style="13" bestFit="1" customWidth="1"/>
    <col min="15" max="15" width="8.140625" style="13" bestFit="1" customWidth="1"/>
    <col min="16" max="16" width="8.5703125" style="13" bestFit="1" customWidth="1"/>
    <col min="17" max="17" width="13.28515625" style="13" bestFit="1" customWidth="1"/>
    <col min="18" max="18" width="12.85546875" style="13" bestFit="1" customWidth="1"/>
    <col min="19" max="19" width="8.5703125" style="13" bestFit="1" customWidth="1"/>
    <col min="20" max="20" width="13.28515625" style="13" bestFit="1" customWidth="1"/>
    <col min="21" max="21" width="10" style="13" bestFit="1" customWidth="1"/>
    <col min="22" max="22" width="36.85546875" style="13" bestFit="1" customWidth="1"/>
    <col min="23" max="23" width="9.28515625" style="13" bestFit="1" customWidth="1"/>
    <col min="24" max="24" width="12" style="13" bestFit="1" customWidth="1"/>
    <col min="25" max="26" width="11.28515625" style="13" bestFit="1" customWidth="1"/>
    <col min="27" max="27" width="36.85546875" style="13" bestFit="1" customWidth="1"/>
    <col min="28" max="28" width="16.140625" style="13" customWidth="1"/>
    <col min="29" max="29" width="6.42578125" style="13" customWidth="1"/>
    <col min="30" max="30" width="6" style="13" customWidth="1"/>
    <col min="31" max="31" width="36.85546875" style="13" bestFit="1" customWidth="1"/>
    <col min="32" max="32" width="7.42578125" style="13" bestFit="1" customWidth="1"/>
    <col min="33" max="33" width="8.140625" style="13" bestFit="1" customWidth="1"/>
    <col min="34" max="34" width="5.28515625" style="13" bestFit="1" customWidth="1"/>
    <col min="35" max="35" width="12.140625" style="13" bestFit="1" customWidth="1"/>
    <col min="36" max="36" width="9.85546875" style="13" bestFit="1" customWidth="1"/>
    <col min="37" max="37" width="13.28515625" style="13" bestFit="1" customWidth="1"/>
    <col min="38" max="38" width="11.85546875" style="13" bestFit="1" customWidth="1"/>
    <col min="39" max="39" width="14" style="13" bestFit="1" customWidth="1"/>
    <col min="40" max="40" width="14.28515625" style="13" bestFit="1" customWidth="1"/>
    <col min="41" max="41" width="12.140625" style="13" bestFit="1" customWidth="1"/>
    <col min="42" max="43" width="5.7109375" style="13" customWidth="1"/>
    <col min="44" max="44" width="36.140625" style="13" bestFit="1" customWidth="1"/>
    <col min="45" max="45" width="7.42578125" style="13" bestFit="1" customWidth="1"/>
    <col min="46" max="46" width="8.140625" style="13" bestFit="1" customWidth="1"/>
    <col min="47" max="47" width="5.28515625" style="13" bestFit="1" customWidth="1"/>
    <col min="48" max="48" width="12.140625" style="13" customWidth="1"/>
    <col min="49" max="49" width="9.85546875" style="33" bestFit="1" customWidth="1"/>
    <col min="50" max="50" width="13.28515625" style="13" bestFit="1" customWidth="1"/>
    <col min="51" max="51" width="11.85546875" style="24" bestFit="1" customWidth="1"/>
    <col min="52" max="52" width="14" style="13" bestFit="1" customWidth="1"/>
    <col min="53" max="53" width="14.28515625" style="13" bestFit="1" customWidth="1"/>
    <col min="54" max="54" width="12.140625" style="13" bestFit="1" customWidth="1"/>
    <col min="55" max="55" width="9.140625" style="13"/>
    <col min="56" max="56" width="15.85546875" style="13" bestFit="1" customWidth="1"/>
    <col min="57" max="62" width="13.28515625" style="13" bestFit="1" customWidth="1"/>
    <col min="63" max="63" width="15.85546875" style="13" bestFit="1" customWidth="1"/>
    <col min="64" max="69" width="13.28515625" style="13" bestFit="1" customWidth="1"/>
    <col min="70" max="70" width="36.85546875" style="13" bestFit="1" customWidth="1"/>
    <col min="71" max="71" width="13.28515625" style="13" bestFit="1" customWidth="1"/>
    <col min="72" max="72" width="12.140625" style="13" bestFit="1" customWidth="1"/>
    <col min="73" max="74" width="11.140625" style="13" bestFit="1" customWidth="1"/>
    <col min="75" max="75" width="10" style="13" bestFit="1" customWidth="1"/>
    <col min="76" max="77" width="11.140625" style="13" bestFit="1" customWidth="1"/>
    <col min="78" max="78" width="36.85546875" style="13" bestFit="1" customWidth="1"/>
    <col min="79" max="79" width="9.28515625" style="13" bestFit="1" customWidth="1"/>
    <col min="80" max="80" width="12" style="13" bestFit="1" customWidth="1"/>
    <col min="81" max="81" width="7.7109375" style="13" bestFit="1" customWidth="1"/>
    <col min="82" max="82" width="13.140625" style="13" bestFit="1" customWidth="1"/>
    <col min="83" max="84" width="11.28515625" style="13" bestFit="1" customWidth="1"/>
    <col min="85" max="85" width="12.85546875" style="13" bestFit="1" customWidth="1"/>
    <col min="86" max="87" width="13.28515625" style="13" bestFit="1" customWidth="1"/>
    <col min="88" max="88" width="8.5703125" style="13" bestFit="1" customWidth="1"/>
    <col min="89" max="90" width="13.28515625" style="13" bestFit="1" customWidth="1"/>
    <col min="91" max="91" width="12.5703125" style="13" bestFit="1" customWidth="1"/>
    <col min="92" max="92" width="12.140625" style="13" bestFit="1" customWidth="1"/>
    <col min="93" max="93" width="12.5703125" style="13" bestFit="1" customWidth="1"/>
    <col min="94" max="94" width="12.140625" style="13" bestFit="1" customWidth="1"/>
    <col min="95" max="95" width="12.5703125" style="13" bestFit="1" customWidth="1"/>
    <col min="96" max="96" width="12.140625" style="13" bestFit="1" customWidth="1"/>
    <col min="97" max="97" width="17.7109375" style="13" bestFit="1" customWidth="1"/>
    <col min="98" max="98" width="16.140625" style="13" bestFit="1" customWidth="1"/>
    <col min="99" max="16384" width="9.140625" style="13"/>
  </cols>
  <sheetData>
    <row r="1" spans="1:98" x14ac:dyDescent="0.25">
      <c r="B1" s="14" t="s">
        <v>67</v>
      </c>
      <c r="G1"/>
      <c r="L1" s="14" t="s">
        <v>67</v>
      </c>
      <c r="BR1"/>
      <c r="BS1"/>
    </row>
    <row r="2" spans="1:98" x14ac:dyDescent="0.25">
      <c r="B2" s="13" t="s">
        <v>58</v>
      </c>
      <c r="D2" s="13" t="s">
        <v>473</v>
      </c>
      <c r="E2" s="13" t="s">
        <v>44</v>
      </c>
      <c r="F2" s="13" t="s">
        <v>50</v>
      </c>
      <c r="G2"/>
      <c r="L2" s="13" t="s">
        <v>58</v>
      </c>
      <c r="O2" s="13" t="s">
        <v>44</v>
      </c>
      <c r="R2" s="13" t="s">
        <v>69</v>
      </c>
      <c r="S2" s="13" t="s">
        <v>66</v>
      </c>
      <c r="T2" s="13" t="s">
        <v>71</v>
      </c>
      <c r="V2" s="14" t="s">
        <v>68</v>
      </c>
      <c r="W2" s="14" t="s">
        <v>67</v>
      </c>
      <c r="Z2"/>
      <c r="BZ2" s="36" t="s">
        <v>68</v>
      </c>
      <c r="CA2" s="36" t="s">
        <v>67</v>
      </c>
      <c r="CB2" s="23"/>
      <c r="CC2" s="23"/>
      <c r="CD2" s="23"/>
      <c r="CE2" s="23"/>
      <c r="CF2"/>
      <c r="CG2"/>
      <c r="CH2"/>
      <c r="CI2"/>
      <c r="CJ2"/>
      <c r="CK2"/>
      <c r="CL2"/>
    </row>
    <row r="3" spans="1:98" x14ac:dyDescent="0.25">
      <c r="A3" s="14" t="s">
        <v>49</v>
      </c>
      <c r="B3" s="13" t="s">
        <v>13</v>
      </c>
      <c r="C3" s="13" t="s">
        <v>14</v>
      </c>
      <c r="G3"/>
      <c r="K3" s="14" t="s">
        <v>49</v>
      </c>
      <c r="L3" s="13" t="s">
        <v>68</v>
      </c>
      <c r="M3" s="13" t="s">
        <v>65</v>
      </c>
      <c r="N3" s="13" t="s">
        <v>70</v>
      </c>
      <c r="O3" s="13" t="s">
        <v>68</v>
      </c>
      <c r="P3" s="13" t="s">
        <v>65</v>
      </c>
      <c r="Q3" s="13" t="s">
        <v>70</v>
      </c>
      <c r="V3" s="14" t="s">
        <v>49</v>
      </c>
      <c r="W3" s="13" t="s">
        <v>64</v>
      </c>
      <c r="X3" s="13" t="s">
        <v>46</v>
      </c>
      <c r="Y3" s="13" t="s">
        <v>50</v>
      </c>
      <c r="Z3"/>
      <c r="AA3" s="14" t="s">
        <v>49</v>
      </c>
      <c r="AB3" s="13" t="s">
        <v>51</v>
      </c>
      <c r="AE3" s="20" t="s">
        <v>74</v>
      </c>
      <c r="AF3" s="20" t="s">
        <v>75</v>
      </c>
      <c r="AG3" s="20" t="s">
        <v>44</v>
      </c>
      <c r="AH3" s="20" t="s">
        <v>58</v>
      </c>
      <c r="AI3" s="20" t="s">
        <v>9</v>
      </c>
      <c r="AJ3" s="20" t="s">
        <v>76</v>
      </c>
      <c r="AK3" s="20" t="s">
        <v>77</v>
      </c>
      <c r="AL3" s="21" t="s">
        <v>78</v>
      </c>
      <c r="AM3" s="20" t="s">
        <v>79</v>
      </c>
      <c r="AN3" s="20" t="s">
        <v>80</v>
      </c>
      <c r="AO3" s="20" t="s">
        <v>81</v>
      </c>
      <c r="AR3" s="20" t="s">
        <v>74</v>
      </c>
      <c r="AS3" s="20" t="s">
        <v>75</v>
      </c>
      <c r="AT3" s="20" t="s">
        <v>44</v>
      </c>
      <c r="AU3" s="20" t="s">
        <v>58</v>
      </c>
      <c r="AV3" s="20" t="s">
        <v>9</v>
      </c>
      <c r="AW3" s="34" t="s">
        <v>76</v>
      </c>
      <c r="AX3" s="20" t="s">
        <v>77</v>
      </c>
      <c r="AY3" s="25" t="s">
        <v>78</v>
      </c>
      <c r="AZ3" s="20" t="s">
        <v>79</v>
      </c>
      <c r="BA3" s="20" t="s">
        <v>80</v>
      </c>
      <c r="BB3" s="20" t="s">
        <v>81</v>
      </c>
      <c r="BE3" s="14" t="s">
        <v>67</v>
      </c>
      <c r="BJ3"/>
      <c r="BL3" s="14" t="s">
        <v>67</v>
      </c>
      <c r="BQ3"/>
      <c r="BR3" s="14" t="s">
        <v>49</v>
      </c>
      <c r="BS3" s="13" t="s">
        <v>3472</v>
      </c>
      <c r="BT3"/>
      <c r="BU3"/>
      <c r="BV3"/>
      <c r="BW3"/>
      <c r="BX3"/>
      <c r="BY3"/>
      <c r="BZ3" s="23"/>
      <c r="CA3" s="23" t="s">
        <v>58</v>
      </c>
      <c r="CB3" s="23" t="s">
        <v>44</v>
      </c>
      <c r="CC3" s="23"/>
      <c r="CD3" s="23" t="s">
        <v>98</v>
      </c>
      <c r="CE3" s="23" t="s">
        <v>50</v>
      </c>
      <c r="CF3"/>
      <c r="CG3"/>
      <c r="CH3"/>
      <c r="CI3"/>
      <c r="CJ3"/>
      <c r="CK3"/>
      <c r="CL3"/>
      <c r="CM3"/>
      <c r="CN3"/>
      <c r="CO3"/>
      <c r="CP3"/>
      <c r="CQ3"/>
      <c r="CR3"/>
      <c r="CS3"/>
      <c r="CT3"/>
    </row>
    <row r="4" spans="1:98" x14ac:dyDescent="0.25">
      <c r="A4" s="17">
        <v>1</v>
      </c>
      <c r="B4" s="59"/>
      <c r="C4" s="59"/>
      <c r="D4" s="59"/>
      <c r="E4" s="59"/>
      <c r="F4" s="59"/>
      <c r="G4"/>
      <c r="K4" s="17" t="s">
        <v>2154</v>
      </c>
      <c r="L4" s="59">
        <v>2</v>
      </c>
      <c r="M4" s="15">
        <v>1</v>
      </c>
      <c r="N4" s="59">
        <v>630349.08000000007</v>
      </c>
      <c r="O4" s="59"/>
      <c r="P4" s="15">
        <v>0</v>
      </c>
      <c r="Q4" s="59"/>
      <c r="R4" s="59">
        <v>2</v>
      </c>
      <c r="S4" s="15">
        <v>1</v>
      </c>
      <c r="T4" s="59">
        <v>630349.08000000007</v>
      </c>
      <c r="V4" s="17" t="s">
        <v>2154</v>
      </c>
      <c r="W4" s="59">
        <v>2</v>
      </c>
      <c r="X4" s="59"/>
      <c r="Y4" s="59">
        <v>2</v>
      </c>
      <c r="Z4"/>
      <c r="AA4" s="17" t="s">
        <v>2154</v>
      </c>
      <c r="AB4" s="59">
        <v>513519.83</v>
      </c>
      <c r="AE4" s="13" t="str">
        <f t="shared" ref="AE4:AE45" si="0">K4</f>
        <v>AJEES/OOGOLE , 7093700713</v>
      </c>
      <c r="AF4" s="13">
        <f t="shared" ref="AF4:AF45" si="1">R4</f>
        <v>2</v>
      </c>
      <c r="AG4" s="13">
        <f t="shared" ref="AG4:AG45" si="2">O4</f>
        <v>0</v>
      </c>
      <c r="AH4" s="13">
        <f t="shared" ref="AH4:AH45" si="3">L4</f>
        <v>2</v>
      </c>
      <c r="AI4" s="13">
        <f t="shared" ref="AI4:AI45" si="4">T4</f>
        <v>630349.08000000007</v>
      </c>
      <c r="AJ4" s="22">
        <v>0.75</v>
      </c>
      <c r="AK4" s="13">
        <f>AI4*AJ4</f>
        <v>472761.81000000006</v>
      </c>
      <c r="AL4" s="15">
        <f t="shared" ref="AL4:AL45" si="5">M4</f>
        <v>1</v>
      </c>
      <c r="AM4" s="13">
        <f t="shared" ref="AM4:AM45" si="6">N4</f>
        <v>630349.08000000007</v>
      </c>
      <c r="AN4" s="13">
        <f t="shared" ref="AN4:AN45" si="7">X4</f>
        <v>0</v>
      </c>
      <c r="AO4" s="13">
        <f t="shared" ref="AO4:AO45" si="8">AB4</f>
        <v>513519.83</v>
      </c>
      <c r="AR4" s="23" t="s">
        <v>188</v>
      </c>
      <c r="AS4" s="23">
        <v>1</v>
      </c>
      <c r="AT4" s="23">
        <v>0</v>
      </c>
      <c r="AU4" s="23">
        <v>1</v>
      </c>
      <c r="AV4" s="23">
        <v>359701.26</v>
      </c>
      <c r="AW4" s="35">
        <v>0.75</v>
      </c>
      <c r="AX4" s="23">
        <v>269775.94500000001</v>
      </c>
      <c r="AY4" s="26">
        <v>1</v>
      </c>
      <c r="AZ4" s="23">
        <v>359701.26</v>
      </c>
      <c r="BA4" s="23">
        <v>0</v>
      </c>
      <c r="BB4" s="23">
        <v>173356.15</v>
      </c>
      <c r="BE4" s="13" t="s">
        <v>58</v>
      </c>
      <c r="BG4" s="13" t="s">
        <v>473</v>
      </c>
      <c r="BH4" s="13" t="s">
        <v>44</v>
      </c>
      <c r="BI4" s="13" t="s">
        <v>50</v>
      </c>
      <c r="BJ4"/>
      <c r="BL4" s="13" t="s">
        <v>58</v>
      </c>
      <c r="BN4" s="13" t="s">
        <v>473</v>
      </c>
      <c r="BO4" s="13" t="s">
        <v>44</v>
      </c>
      <c r="BP4" s="13" t="s">
        <v>50</v>
      </c>
      <c r="BQ4"/>
      <c r="BR4" s="17" t="s">
        <v>2154</v>
      </c>
      <c r="BS4" s="59">
        <v>630349.08000000007</v>
      </c>
      <c r="BT4"/>
      <c r="BU4"/>
      <c r="BV4"/>
      <c r="BW4"/>
      <c r="BX4"/>
      <c r="BY4"/>
      <c r="BZ4" s="36" t="s">
        <v>49</v>
      </c>
      <c r="CA4" s="23"/>
      <c r="CB4" s="23" t="s">
        <v>46</v>
      </c>
      <c r="CC4" s="23" t="s">
        <v>64</v>
      </c>
      <c r="CD4" s="23"/>
      <c r="CE4" s="23"/>
      <c r="CF4"/>
      <c r="CG4"/>
      <c r="CH4"/>
      <c r="CI4"/>
      <c r="CJ4"/>
      <c r="CK4"/>
      <c r="CL4"/>
      <c r="CM4"/>
      <c r="CN4"/>
      <c r="CO4"/>
      <c r="CP4"/>
      <c r="CQ4"/>
      <c r="CR4"/>
      <c r="CS4"/>
      <c r="CT4"/>
    </row>
    <row r="5" spans="1:98" x14ac:dyDescent="0.25">
      <c r="A5" s="13" t="s">
        <v>68</v>
      </c>
      <c r="B5" s="59">
        <v>1</v>
      </c>
      <c r="C5" s="59"/>
      <c r="D5" s="59">
        <v>1</v>
      </c>
      <c r="E5" s="59"/>
      <c r="F5" s="59">
        <v>1</v>
      </c>
      <c r="G5"/>
      <c r="K5" s="17" t="s">
        <v>120</v>
      </c>
      <c r="L5" s="59">
        <v>8</v>
      </c>
      <c r="M5" s="15">
        <v>0.65955429534111509</v>
      </c>
      <c r="N5" s="59">
        <v>978063.07000000007</v>
      </c>
      <c r="O5" s="59">
        <v>2</v>
      </c>
      <c r="P5" s="15">
        <v>0.34044570465888485</v>
      </c>
      <c r="Q5" s="59">
        <v>504852.10000000003</v>
      </c>
      <c r="R5" s="59">
        <v>10</v>
      </c>
      <c r="S5" s="15">
        <v>1</v>
      </c>
      <c r="T5" s="59">
        <v>1482915.1700000002</v>
      </c>
      <c r="V5" s="17" t="s">
        <v>120</v>
      </c>
      <c r="W5" s="59">
        <v>9</v>
      </c>
      <c r="X5" s="59">
        <v>1</v>
      </c>
      <c r="Y5" s="59">
        <v>10</v>
      </c>
      <c r="Z5"/>
      <c r="AA5" s="17" t="s">
        <v>120</v>
      </c>
      <c r="AB5" s="59">
        <v>171152</v>
      </c>
      <c r="AE5" s="13" t="str">
        <f t="shared" si="0"/>
        <v>ANIL KUMAR/TS , 6305285702</v>
      </c>
      <c r="AF5" s="13">
        <f t="shared" si="1"/>
        <v>10</v>
      </c>
      <c r="AG5" s="13">
        <f t="shared" si="2"/>
        <v>2</v>
      </c>
      <c r="AH5" s="13">
        <f t="shared" si="3"/>
        <v>8</v>
      </c>
      <c r="AI5" s="13">
        <f t="shared" si="4"/>
        <v>1482915.1700000002</v>
      </c>
      <c r="AJ5" s="22">
        <v>0.75</v>
      </c>
      <c r="AK5" s="13">
        <f t="shared" ref="AK5:AK45" si="9">AI5*AJ5</f>
        <v>1112186.3775000002</v>
      </c>
      <c r="AL5" s="15">
        <f t="shared" si="5"/>
        <v>0.65955429534111509</v>
      </c>
      <c r="AM5" s="13">
        <f t="shared" si="6"/>
        <v>978063.07000000007</v>
      </c>
      <c r="AN5" s="13">
        <f t="shared" si="7"/>
        <v>1</v>
      </c>
      <c r="AO5" s="13">
        <f t="shared" si="8"/>
        <v>171152</v>
      </c>
      <c r="AR5" s="23" t="s">
        <v>60</v>
      </c>
      <c r="AS5" s="23">
        <v>1</v>
      </c>
      <c r="AT5" s="23">
        <v>0</v>
      </c>
      <c r="AU5" s="23">
        <v>1</v>
      </c>
      <c r="AV5" s="23">
        <v>197698.06</v>
      </c>
      <c r="AW5" s="35">
        <v>0.75</v>
      </c>
      <c r="AX5" s="23">
        <v>148273.54499999998</v>
      </c>
      <c r="AY5" s="26">
        <v>1</v>
      </c>
      <c r="AZ5" s="23">
        <v>197698.06</v>
      </c>
      <c r="BA5" s="23">
        <v>0</v>
      </c>
      <c r="BB5" s="23">
        <v>17000</v>
      </c>
      <c r="BD5" s="14" t="s">
        <v>49</v>
      </c>
      <c r="BE5" s="13" t="s">
        <v>13</v>
      </c>
      <c r="BF5" s="13" t="s">
        <v>14</v>
      </c>
      <c r="BJ5"/>
      <c r="BK5" s="14" t="s">
        <v>49</v>
      </c>
      <c r="BL5" s="13" t="s">
        <v>13</v>
      </c>
      <c r="BM5" s="13" t="s">
        <v>14</v>
      </c>
      <c r="BQ5"/>
      <c r="BR5" s="17" t="s">
        <v>120</v>
      </c>
      <c r="BS5" s="59">
        <v>1482915.17</v>
      </c>
      <c r="BT5"/>
      <c r="BU5"/>
      <c r="BV5"/>
      <c r="BW5"/>
      <c r="BX5"/>
      <c r="BY5"/>
      <c r="BZ5" s="37" t="s">
        <v>2154</v>
      </c>
      <c r="CA5" s="60">
        <v>2</v>
      </c>
      <c r="CB5" s="60"/>
      <c r="CC5" s="60"/>
      <c r="CD5" s="60"/>
      <c r="CE5" s="60">
        <v>2</v>
      </c>
      <c r="CF5"/>
      <c r="CG5"/>
      <c r="CH5"/>
      <c r="CI5"/>
      <c r="CJ5"/>
      <c r="CK5"/>
      <c r="CL5"/>
      <c r="CM5"/>
      <c r="CN5"/>
      <c r="CO5"/>
      <c r="CP5"/>
      <c r="CQ5"/>
      <c r="CR5"/>
      <c r="CS5"/>
      <c r="CT5"/>
    </row>
    <row r="6" spans="1:98" x14ac:dyDescent="0.25">
      <c r="A6" s="38" t="s">
        <v>65</v>
      </c>
      <c r="B6" s="39">
        <v>1</v>
      </c>
      <c r="C6" s="39">
        <v>0</v>
      </c>
      <c r="D6" s="39">
        <v>1</v>
      </c>
      <c r="E6" s="39">
        <v>0</v>
      </c>
      <c r="F6" s="39">
        <v>1</v>
      </c>
      <c r="G6"/>
      <c r="K6" s="17" t="s">
        <v>2445</v>
      </c>
      <c r="L6" s="59"/>
      <c r="M6" s="15">
        <v>0</v>
      </c>
      <c r="N6" s="59"/>
      <c r="O6" s="59">
        <v>3</v>
      </c>
      <c r="P6" s="15">
        <v>1</v>
      </c>
      <c r="Q6" s="59">
        <v>647693.24</v>
      </c>
      <c r="R6" s="59">
        <v>3</v>
      </c>
      <c r="S6" s="15">
        <v>1</v>
      </c>
      <c r="T6" s="59">
        <v>647693.24</v>
      </c>
      <c r="V6" s="17" t="s">
        <v>2445</v>
      </c>
      <c r="W6" s="59">
        <v>3</v>
      </c>
      <c r="X6" s="59"/>
      <c r="Y6" s="59">
        <v>3</v>
      </c>
      <c r="Z6"/>
      <c r="AA6" s="17" t="s">
        <v>2445</v>
      </c>
      <c r="AB6" s="59">
        <v>0</v>
      </c>
      <c r="AE6" s="13" t="str">
        <f t="shared" si="0"/>
        <v>ARAVIND/GTR , 9154094854</v>
      </c>
      <c r="AF6" s="13">
        <f t="shared" si="1"/>
        <v>3</v>
      </c>
      <c r="AG6" s="13">
        <f t="shared" si="2"/>
        <v>3</v>
      </c>
      <c r="AH6" s="13">
        <f t="shared" si="3"/>
        <v>0</v>
      </c>
      <c r="AI6" s="13">
        <f t="shared" si="4"/>
        <v>647693.24</v>
      </c>
      <c r="AJ6" s="22">
        <v>0.75</v>
      </c>
      <c r="AK6" s="13">
        <f t="shared" si="9"/>
        <v>485769.93</v>
      </c>
      <c r="AL6" s="15">
        <f t="shared" si="5"/>
        <v>0</v>
      </c>
      <c r="AM6" s="13">
        <f t="shared" si="6"/>
        <v>0</v>
      </c>
      <c r="AN6" s="13">
        <f t="shared" si="7"/>
        <v>0</v>
      </c>
      <c r="AO6" s="13">
        <f t="shared" si="8"/>
        <v>0</v>
      </c>
      <c r="AR6" s="23" t="s">
        <v>146</v>
      </c>
      <c r="AS6" s="23">
        <v>1</v>
      </c>
      <c r="AT6" s="23">
        <v>0</v>
      </c>
      <c r="AU6" s="23">
        <v>1</v>
      </c>
      <c r="AV6" s="23">
        <v>324479.03999999998</v>
      </c>
      <c r="AW6" s="35">
        <v>0.75</v>
      </c>
      <c r="AX6" s="23">
        <v>243359.27999999997</v>
      </c>
      <c r="AY6" s="26">
        <v>1</v>
      </c>
      <c r="AZ6" s="23">
        <v>324479.03999999998</v>
      </c>
      <c r="BA6" s="23">
        <v>0</v>
      </c>
      <c r="BB6" s="23">
        <v>37790</v>
      </c>
      <c r="BD6" s="17" t="s">
        <v>84</v>
      </c>
      <c r="BE6" s="59"/>
      <c r="BF6" s="59"/>
      <c r="BG6" s="59"/>
      <c r="BH6" s="59"/>
      <c r="BI6" s="59"/>
      <c r="BJ6"/>
      <c r="BK6" s="17" t="s">
        <v>3641</v>
      </c>
      <c r="BL6" s="59"/>
      <c r="BM6" s="59"/>
      <c r="BN6" s="59"/>
      <c r="BO6" s="59"/>
      <c r="BP6" s="59"/>
      <c r="BQ6"/>
      <c r="BR6" s="17" t="s">
        <v>2445</v>
      </c>
      <c r="BS6" s="59">
        <v>647693.24</v>
      </c>
      <c r="BT6"/>
      <c r="BU6"/>
      <c r="BV6"/>
      <c r="BW6"/>
      <c r="BX6"/>
      <c r="BY6"/>
      <c r="BZ6" s="37" t="s">
        <v>120</v>
      </c>
      <c r="CA6" s="60">
        <v>8</v>
      </c>
      <c r="CB6" s="60">
        <v>1</v>
      </c>
      <c r="CC6" s="60">
        <v>1</v>
      </c>
      <c r="CD6" s="60">
        <v>2</v>
      </c>
      <c r="CE6" s="60">
        <v>10</v>
      </c>
      <c r="CF6"/>
      <c r="CG6"/>
      <c r="CH6"/>
      <c r="CI6"/>
      <c r="CJ6"/>
      <c r="CK6"/>
      <c r="CL6"/>
      <c r="CM6"/>
      <c r="CN6"/>
      <c r="CO6"/>
      <c r="CP6"/>
      <c r="CQ6"/>
      <c r="CR6"/>
      <c r="CS6"/>
      <c r="CT6"/>
    </row>
    <row r="7" spans="1:98" x14ac:dyDescent="0.25">
      <c r="A7" s="13" t="s">
        <v>70</v>
      </c>
      <c r="B7" s="59">
        <v>63626.85</v>
      </c>
      <c r="C7" s="59"/>
      <c r="D7" s="59">
        <v>63626.85</v>
      </c>
      <c r="E7" s="59"/>
      <c r="F7" s="59">
        <v>63626.85</v>
      </c>
      <c r="G7"/>
      <c r="K7" s="17" t="s">
        <v>59</v>
      </c>
      <c r="L7" s="59">
        <v>4</v>
      </c>
      <c r="M7" s="15">
        <v>0.94570653123031378</v>
      </c>
      <c r="N7" s="59">
        <v>1199260.4200000002</v>
      </c>
      <c r="O7" s="59">
        <v>1</v>
      </c>
      <c r="P7" s="15">
        <v>5.4293468769686271E-2</v>
      </c>
      <c r="Q7" s="59">
        <v>68850.12</v>
      </c>
      <c r="R7" s="59">
        <v>5</v>
      </c>
      <c r="S7" s="15">
        <v>1</v>
      </c>
      <c r="T7" s="59">
        <v>1268110.54</v>
      </c>
      <c r="V7" s="17" t="s">
        <v>59</v>
      </c>
      <c r="W7" s="59">
        <v>5</v>
      </c>
      <c r="X7" s="59"/>
      <c r="Y7" s="59">
        <v>5</v>
      </c>
      <c r="Z7"/>
      <c r="AA7" s="17" t="s">
        <v>59</v>
      </c>
      <c r="AB7" s="59">
        <v>217998.32</v>
      </c>
      <c r="AE7" s="13" t="str">
        <f t="shared" si="0"/>
        <v>B RANJITH/BADRACHALAM , 9154994666</v>
      </c>
      <c r="AF7" s="13">
        <f t="shared" si="1"/>
        <v>5</v>
      </c>
      <c r="AG7" s="13">
        <f t="shared" si="2"/>
        <v>1</v>
      </c>
      <c r="AH7" s="13">
        <f t="shared" si="3"/>
        <v>4</v>
      </c>
      <c r="AI7" s="13">
        <f t="shared" si="4"/>
        <v>1268110.54</v>
      </c>
      <c r="AJ7" s="22">
        <v>0.75</v>
      </c>
      <c r="AK7" s="13">
        <f t="shared" si="9"/>
        <v>951082.90500000003</v>
      </c>
      <c r="AL7" s="15">
        <f t="shared" si="5"/>
        <v>0.94570653123031378</v>
      </c>
      <c r="AM7" s="13">
        <f t="shared" si="6"/>
        <v>1199260.4200000002</v>
      </c>
      <c r="AN7" s="13">
        <f t="shared" si="7"/>
        <v>0</v>
      </c>
      <c r="AO7" s="13">
        <f t="shared" si="8"/>
        <v>217998.32</v>
      </c>
      <c r="AR7" s="23" t="s">
        <v>105</v>
      </c>
      <c r="AS7" s="23">
        <v>1</v>
      </c>
      <c r="AT7" s="23">
        <v>0</v>
      </c>
      <c r="AU7" s="23">
        <v>1</v>
      </c>
      <c r="AV7" s="23">
        <v>272165.36</v>
      </c>
      <c r="AW7" s="35">
        <v>0.75</v>
      </c>
      <c r="AX7" s="23">
        <v>204124.02</v>
      </c>
      <c r="AY7" s="26">
        <v>1</v>
      </c>
      <c r="AZ7" s="23">
        <v>272165.36</v>
      </c>
      <c r="BA7" s="23">
        <v>0</v>
      </c>
      <c r="BB7" s="23">
        <v>25420</v>
      </c>
      <c r="BD7" s="13" t="s">
        <v>68</v>
      </c>
      <c r="BE7" s="59">
        <v>10</v>
      </c>
      <c r="BF7" s="59">
        <v>13</v>
      </c>
      <c r="BG7" s="59">
        <v>23</v>
      </c>
      <c r="BH7" s="59">
        <v>36</v>
      </c>
      <c r="BI7" s="59">
        <v>59</v>
      </c>
      <c r="BJ7"/>
      <c r="BK7" s="13" t="s">
        <v>68</v>
      </c>
      <c r="BL7" s="59">
        <v>4</v>
      </c>
      <c r="BM7" s="59">
        <v>4</v>
      </c>
      <c r="BN7" s="59">
        <v>8</v>
      </c>
      <c r="BO7" s="59">
        <v>12</v>
      </c>
      <c r="BP7" s="59">
        <v>20</v>
      </c>
      <c r="BQ7"/>
      <c r="BR7" s="17" t="s">
        <v>59</v>
      </c>
      <c r="BS7" s="59">
        <v>1268110.54</v>
      </c>
      <c r="BT7"/>
      <c r="BU7"/>
      <c r="BV7"/>
      <c r="BW7"/>
      <c r="BX7"/>
      <c r="BY7"/>
      <c r="BZ7" s="37" t="s">
        <v>2445</v>
      </c>
      <c r="CA7" s="60"/>
      <c r="CB7" s="60"/>
      <c r="CC7" s="60">
        <v>3</v>
      </c>
      <c r="CD7" s="60">
        <v>3</v>
      </c>
      <c r="CE7" s="60">
        <v>3</v>
      </c>
      <c r="CF7"/>
      <c r="CG7"/>
      <c r="CH7"/>
      <c r="CI7"/>
      <c r="CJ7"/>
      <c r="CK7"/>
      <c r="CL7"/>
      <c r="CM7"/>
      <c r="CN7"/>
      <c r="CO7"/>
      <c r="CP7"/>
      <c r="CQ7"/>
      <c r="CR7"/>
      <c r="CS7"/>
      <c r="CT7"/>
    </row>
    <row r="8" spans="1:98" x14ac:dyDescent="0.25">
      <c r="A8" s="13" t="s">
        <v>72</v>
      </c>
      <c r="B8" s="59">
        <v>63626.85</v>
      </c>
      <c r="C8" s="59"/>
      <c r="D8" s="59">
        <v>63626.85</v>
      </c>
      <c r="E8" s="59"/>
      <c r="F8" s="59">
        <v>63626.85</v>
      </c>
      <c r="G8"/>
      <c r="K8" s="17" t="s">
        <v>2164</v>
      </c>
      <c r="L8" s="59">
        <v>3</v>
      </c>
      <c r="M8" s="15">
        <v>1</v>
      </c>
      <c r="N8" s="59">
        <v>497998.19999999995</v>
      </c>
      <c r="O8" s="59"/>
      <c r="P8" s="15">
        <v>0</v>
      </c>
      <c r="Q8" s="59"/>
      <c r="R8" s="59">
        <v>3</v>
      </c>
      <c r="S8" s="15">
        <v>1</v>
      </c>
      <c r="T8" s="59">
        <v>497998.19999999995</v>
      </c>
      <c r="V8" s="17" t="s">
        <v>2164</v>
      </c>
      <c r="W8" s="59">
        <v>3</v>
      </c>
      <c r="X8" s="59"/>
      <c r="Y8" s="59">
        <v>3</v>
      </c>
      <c r="Z8"/>
      <c r="AA8" s="17" t="s">
        <v>2164</v>
      </c>
      <c r="AB8" s="59">
        <v>206733.44</v>
      </c>
      <c r="AE8" s="13" t="str">
        <f t="shared" si="0"/>
        <v>DPR</v>
      </c>
      <c r="AF8" s="13">
        <f t="shared" si="1"/>
        <v>3</v>
      </c>
      <c r="AG8" s="13">
        <f t="shared" si="2"/>
        <v>0</v>
      </c>
      <c r="AH8" s="13">
        <f t="shared" si="3"/>
        <v>3</v>
      </c>
      <c r="AI8" s="13">
        <f t="shared" si="4"/>
        <v>497998.19999999995</v>
      </c>
      <c r="AJ8" s="22">
        <v>0.75</v>
      </c>
      <c r="AK8" s="13">
        <f t="shared" si="9"/>
        <v>373498.64999999997</v>
      </c>
      <c r="AL8" s="15">
        <f t="shared" si="5"/>
        <v>1</v>
      </c>
      <c r="AM8" s="13">
        <f t="shared" si="6"/>
        <v>497998.19999999995</v>
      </c>
      <c r="AN8" s="13">
        <f t="shared" si="7"/>
        <v>0</v>
      </c>
      <c r="AO8" s="13">
        <f t="shared" si="8"/>
        <v>206733.44</v>
      </c>
      <c r="AR8" s="23" t="s">
        <v>147</v>
      </c>
      <c r="AS8" s="23">
        <v>1</v>
      </c>
      <c r="AT8" s="23">
        <v>0</v>
      </c>
      <c r="AU8" s="23">
        <v>1</v>
      </c>
      <c r="AV8" s="23">
        <v>426605.01</v>
      </c>
      <c r="AW8" s="35">
        <v>0.75</v>
      </c>
      <c r="AX8" s="23">
        <v>319953.75750000001</v>
      </c>
      <c r="AY8" s="26">
        <v>1</v>
      </c>
      <c r="AZ8" s="23">
        <v>426605.01</v>
      </c>
      <c r="BA8" s="23">
        <v>0</v>
      </c>
      <c r="BB8" s="23">
        <v>78690</v>
      </c>
      <c r="BD8" s="18" t="s">
        <v>65</v>
      </c>
      <c r="BE8" s="19">
        <v>0.15673863213625358</v>
      </c>
      <c r="BF8" s="19">
        <v>0.24698034816993203</v>
      </c>
      <c r="BG8" s="19">
        <v>0.40371898030618569</v>
      </c>
      <c r="BH8" s="19">
        <v>0.5962810196938142</v>
      </c>
      <c r="BI8" s="19">
        <v>1</v>
      </c>
      <c r="BJ8"/>
      <c r="BK8" s="18" t="s">
        <v>65</v>
      </c>
      <c r="BL8" s="19">
        <v>0.15807653400625396</v>
      </c>
      <c r="BM8" s="19">
        <v>0.25356939132841322</v>
      </c>
      <c r="BN8" s="19">
        <v>0.41164592533466721</v>
      </c>
      <c r="BO8" s="19">
        <v>0.58835407466533274</v>
      </c>
      <c r="BP8" s="19">
        <v>1</v>
      </c>
      <c r="BQ8"/>
      <c r="BR8" s="17" t="s">
        <v>2164</v>
      </c>
      <c r="BS8" s="59">
        <v>497998.19999999995</v>
      </c>
      <c r="BT8"/>
      <c r="BU8"/>
      <c r="BV8"/>
      <c r="BW8"/>
      <c r="BX8"/>
      <c r="BY8"/>
      <c r="BZ8" s="37" t="s">
        <v>59</v>
      </c>
      <c r="CA8" s="60">
        <v>4</v>
      </c>
      <c r="CB8" s="60"/>
      <c r="CC8" s="60">
        <v>1</v>
      </c>
      <c r="CD8" s="60">
        <v>1</v>
      </c>
      <c r="CE8" s="60">
        <v>5</v>
      </c>
      <c r="CF8"/>
      <c r="CG8"/>
      <c r="CH8"/>
      <c r="CI8"/>
      <c r="CJ8"/>
      <c r="CK8"/>
      <c r="CL8"/>
      <c r="CM8"/>
      <c r="CN8"/>
      <c r="CO8"/>
      <c r="CP8"/>
      <c r="CQ8"/>
      <c r="CR8"/>
      <c r="CS8"/>
      <c r="CT8"/>
    </row>
    <row r="9" spans="1:98" x14ac:dyDescent="0.25">
      <c r="A9" s="17">
        <v>2</v>
      </c>
      <c r="B9" s="59"/>
      <c r="C9" s="59"/>
      <c r="D9" s="59"/>
      <c r="E9" s="59"/>
      <c r="F9" s="59"/>
      <c r="G9"/>
      <c r="K9" s="17" t="s">
        <v>188</v>
      </c>
      <c r="L9" s="59">
        <v>14</v>
      </c>
      <c r="M9" s="15">
        <v>0.47936847251625636</v>
      </c>
      <c r="N9" s="59">
        <v>3471815.9899999998</v>
      </c>
      <c r="O9" s="59">
        <v>14</v>
      </c>
      <c r="P9" s="15">
        <v>0.52063152748374364</v>
      </c>
      <c r="Q9" s="59">
        <v>3770662.79</v>
      </c>
      <c r="R9" s="59">
        <v>28</v>
      </c>
      <c r="S9" s="15">
        <v>1</v>
      </c>
      <c r="T9" s="59">
        <v>7242478.7799999993</v>
      </c>
      <c r="V9" s="17" t="s">
        <v>188</v>
      </c>
      <c r="W9" s="59">
        <v>20</v>
      </c>
      <c r="X9" s="59">
        <v>8</v>
      </c>
      <c r="Y9" s="59">
        <v>28</v>
      </c>
      <c r="Z9"/>
      <c r="AA9" s="17" t="s">
        <v>188</v>
      </c>
      <c r="AB9" s="59">
        <v>1313022.81</v>
      </c>
      <c r="AE9" s="13" t="str">
        <f t="shared" si="0"/>
        <v>GAFOOR/KDP , 9392457562</v>
      </c>
      <c r="AF9" s="13">
        <f t="shared" si="1"/>
        <v>28</v>
      </c>
      <c r="AG9" s="13">
        <f t="shared" si="2"/>
        <v>14</v>
      </c>
      <c r="AH9" s="13">
        <f t="shared" si="3"/>
        <v>14</v>
      </c>
      <c r="AI9" s="13">
        <f t="shared" si="4"/>
        <v>7242478.7799999993</v>
      </c>
      <c r="AJ9" s="22">
        <v>0.75</v>
      </c>
      <c r="AK9" s="13">
        <f t="shared" si="9"/>
        <v>5431859.084999999</v>
      </c>
      <c r="AL9" s="15">
        <f t="shared" si="5"/>
        <v>0.47936847251625636</v>
      </c>
      <c r="AM9" s="13">
        <f t="shared" si="6"/>
        <v>3471815.9899999998</v>
      </c>
      <c r="AN9" s="13">
        <f t="shared" si="7"/>
        <v>8</v>
      </c>
      <c r="AO9" s="13">
        <f t="shared" si="8"/>
        <v>1313022.81</v>
      </c>
      <c r="AR9" s="23" t="s">
        <v>101</v>
      </c>
      <c r="AS9" s="23">
        <v>1</v>
      </c>
      <c r="AT9" s="23">
        <v>0</v>
      </c>
      <c r="AU9" s="23">
        <v>1</v>
      </c>
      <c r="AV9" s="23">
        <v>239487.4</v>
      </c>
      <c r="AW9" s="35">
        <v>0.75</v>
      </c>
      <c r="AX9" s="23">
        <v>179615.55</v>
      </c>
      <c r="AY9" s="26">
        <v>1</v>
      </c>
      <c r="AZ9" s="23">
        <v>239487.4</v>
      </c>
      <c r="BA9" s="23">
        <v>0</v>
      </c>
      <c r="BB9" s="23">
        <v>239487.4</v>
      </c>
      <c r="BD9" s="13" t="s">
        <v>70</v>
      </c>
      <c r="BE9" s="59">
        <v>2051507.82</v>
      </c>
      <c r="BF9" s="59">
        <v>3232656.2299999995</v>
      </c>
      <c r="BG9" s="59">
        <v>5284164.0500000007</v>
      </c>
      <c r="BH9" s="59">
        <v>7804554.3600000003</v>
      </c>
      <c r="BI9" s="59">
        <v>13088718.410000002</v>
      </c>
      <c r="BJ9"/>
      <c r="BK9" s="13" t="s">
        <v>70</v>
      </c>
      <c r="BL9" s="59">
        <v>1059204.81</v>
      </c>
      <c r="BM9" s="59">
        <v>1699062.55</v>
      </c>
      <c r="BN9" s="59">
        <v>2758267.3600000003</v>
      </c>
      <c r="BO9" s="59">
        <v>3942314.84</v>
      </c>
      <c r="BP9" s="59">
        <v>6700582.2000000002</v>
      </c>
      <c r="BQ9"/>
      <c r="BR9" s="17" t="s">
        <v>188</v>
      </c>
      <c r="BS9" s="59">
        <v>7242478.7799999984</v>
      </c>
      <c r="BT9"/>
      <c r="BU9"/>
      <c r="BV9"/>
      <c r="BW9"/>
      <c r="BX9"/>
      <c r="BY9"/>
      <c r="BZ9" s="37" t="s">
        <v>2164</v>
      </c>
      <c r="CA9" s="60">
        <v>3</v>
      </c>
      <c r="CB9" s="60"/>
      <c r="CC9" s="60"/>
      <c r="CD9" s="60"/>
      <c r="CE9" s="60">
        <v>3</v>
      </c>
      <c r="CF9"/>
      <c r="CG9"/>
      <c r="CH9"/>
      <c r="CI9"/>
      <c r="CJ9"/>
      <c r="CK9"/>
      <c r="CL9"/>
      <c r="CM9"/>
      <c r="CN9"/>
      <c r="CO9"/>
      <c r="CP9"/>
      <c r="CQ9"/>
      <c r="CR9"/>
      <c r="CS9"/>
      <c r="CT9"/>
    </row>
    <row r="10" spans="1:98" x14ac:dyDescent="0.25">
      <c r="A10" s="13" t="s">
        <v>68</v>
      </c>
      <c r="B10" s="59">
        <v>13</v>
      </c>
      <c r="C10" s="59">
        <v>13</v>
      </c>
      <c r="D10" s="59">
        <v>26</v>
      </c>
      <c r="E10" s="59">
        <v>18</v>
      </c>
      <c r="F10" s="59">
        <v>44</v>
      </c>
      <c r="G10"/>
      <c r="K10" s="17" t="s">
        <v>107</v>
      </c>
      <c r="L10" s="59">
        <v>3</v>
      </c>
      <c r="M10" s="15">
        <v>0.32398512889917802</v>
      </c>
      <c r="N10" s="59">
        <v>602428.30000000005</v>
      </c>
      <c r="O10" s="59">
        <v>6</v>
      </c>
      <c r="P10" s="15">
        <v>0.67601487110082192</v>
      </c>
      <c r="Q10" s="59">
        <v>1257003.6500000001</v>
      </c>
      <c r="R10" s="59">
        <v>9</v>
      </c>
      <c r="S10" s="15">
        <v>1</v>
      </c>
      <c r="T10" s="59">
        <v>1859431.9500000002</v>
      </c>
      <c r="V10" s="17" t="s">
        <v>107</v>
      </c>
      <c r="W10" s="59">
        <v>8</v>
      </c>
      <c r="X10" s="59">
        <v>1</v>
      </c>
      <c r="Y10" s="59">
        <v>9</v>
      </c>
      <c r="Z10"/>
      <c r="AA10" s="17" t="s">
        <v>107</v>
      </c>
      <c r="AB10" s="59">
        <v>51760</v>
      </c>
      <c r="AE10" s="13" t="str">
        <f t="shared" si="0"/>
        <v>GANESH/GTR , 7013441521</v>
      </c>
      <c r="AF10" s="13">
        <f t="shared" si="1"/>
        <v>9</v>
      </c>
      <c r="AG10" s="13">
        <f t="shared" si="2"/>
        <v>6</v>
      </c>
      <c r="AH10" s="13">
        <f t="shared" si="3"/>
        <v>3</v>
      </c>
      <c r="AI10" s="13">
        <f t="shared" si="4"/>
        <v>1859431.9500000002</v>
      </c>
      <c r="AJ10" s="22">
        <v>0.75</v>
      </c>
      <c r="AK10" s="13">
        <f t="shared" si="9"/>
        <v>1394573.9625000001</v>
      </c>
      <c r="AL10" s="15">
        <f t="shared" si="5"/>
        <v>0.32398512889917802</v>
      </c>
      <c r="AM10" s="13">
        <f t="shared" si="6"/>
        <v>602428.30000000005</v>
      </c>
      <c r="AN10" s="13">
        <f t="shared" si="7"/>
        <v>1</v>
      </c>
      <c r="AO10" s="13">
        <f t="shared" si="8"/>
        <v>51760</v>
      </c>
      <c r="AR10" s="23" t="s">
        <v>63</v>
      </c>
      <c r="AS10" s="23">
        <v>2</v>
      </c>
      <c r="AT10" s="23">
        <v>0</v>
      </c>
      <c r="AU10" s="23">
        <v>2</v>
      </c>
      <c r="AV10" s="23">
        <v>510397.2</v>
      </c>
      <c r="AW10" s="35">
        <v>0.75</v>
      </c>
      <c r="AX10" s="23">
        <v>382797.9</v>
      </c>
      <c r="AY10" s="26">
        <v>1</v>
      </c>
      <c r="AZ10" s="23">
        <v>510397.2</v>
      </c>
      <c r="BA10" s="23">
        <v>0</v>
      </c>
      <c r="BB10" s="23">
        <v>55000</v>
      </c>
      <c r="BD10" s="13" t="s">
        <v>72</v>
      </c>
      <c r="BE10" s="59">
        <v>1086696.8499999999</v>
      </c>
      <c r="BF10" s="59">
        <v>266330</v>
      </c>
      <c r="BG10" s="59">
        <v>1353026.8499999999</v>
      </c>
      <c r="BH10" s="59">
        <v>0</v>
      </c>
      <c r="BI10" s="59">
        <v>1353026.8499999999</v>
      </c>
      <c r="BJ10"/>
      <c r="BK10" s="13" t="s">
        <v>72</v>
      </c>
      <c r="BL10" s="59">
        <v>799205.77</v>
      </c>
      <c r="BM10" s="59">
        <v>124805</v>
      </c>
      <c r="BN10" s="59">
        <v>924010.77</v>
      </c>
      <c r="BO10" s="59">
        <v>0</v>
      </c>
      <c r="BP10" s="59">
        <v>924010.77</v>
      </c>
      <c r="BQ10"/>
      <c r="BR10" s="17" t="s">
        <v>107</v>
      </c>
      <c r="BS10" s="59">
        <v>1859431.9500000002</v>
      </c>
      <c r="BT10"/>
      <c r="BU10"/>
      <c r="BV10"/>
      <c r="BW10"/>
      <c r="BX10"/>
      <c r="BY10"/>
      <c r="BZ10" s="37" t="s">
        <v>188</v>
      </c>
      <c r="CA10" s="60">
        <v>14</v>
      </c>
      <c r="CB10" s="60">
        <v>8</v>
      </c>
      <c r="CC10" s="60">
        <v>6</v>
      </c>
      <c r="CD10" s="60">
        <v>14</v>
      </c>
      <c r="CE10" s="60">
        <v>28</v>
      </c>
      <c r="CF10"/>
      <c r="CG10"/>
      <c r="CH10"/>
      <c r="CI10"/>
      <c r="CJ10"/>
      <c r="CK10"/>
      <c r="CL10"/>
      <c r="CM10"/>
      <c r="CN10"/>
      <c r="CO10"/>
      <c r="CP10"/>
      <c r="CQ10"/>
      <c r="CR10"/>
      <c r="CS10"/>
      <c r="CT10"/>
    </row>
    <row r="11" spans="1:98" x14ac:dyDescent="0.25">
      <c r="A11" s="38" t="s">
        <v>65</v>
      </c>
      <c r="B11" s="39">
        <v>0.3107152104401647</v>
      </c>
      <c r="C11" s="39">
        <v>0.29355196096029285</v>
      </c>
      <c r="D11" s="39">
        <v>0.60426717140045771</v>
      </c>
      <c r="E11" s="39">
        <v>0.39573282859954212</v>
      </c>
      <c r="F11" s="39">
        <v>1</v>
      </c>
      <c r="G11"/>
      <c r="K11" s="17" t="s">
        <v>3640</v>
      </c>
      <c r="L11" s="59">
        <v>1</v>
      </c>
      <c r="M11" s="15">
        <v>1</v>
      </c>
      <c r="N11" s="59">
        <v>421616.4</v>
      </c>
      <c r="O11" s="59"/>
      <c r="P11" s="15">
        <v>0</v>
      </c>
      <c r="Q11" s="59"/>
      <c r="R11" s="59">
        <v>1</v>
      </c>
      <c r="S11" s="15">
        <v>1</v>
      </c>
      <c r="T11" s="59">
        <v>421616.4</v>
      </c>
      <c r="V11" s="17" t="s">
        <v>3640</v>
      </c>
      <c r="W11" s="59">
        <v>1</v>
      </c>
      <c r="X11" s="59"/>
      <c r="Y11" s="59">
        <v>1</v>
      </c>
      <c r="Z11"/>
      <c r="AA11" s="17" t="s">
        <v>3640</v>
      </c>
      <c r="AB11" s="59">
        <v>341356.51</v>
      </c>
      <c r="AE11" s="13" t="str">
        <f t="shared" si="0"/>
        <v>HARSHA/NANDIGAMA , 8639040413</v>
      </c>
      <c r="AF11" s="13">
        <f t="shared" si="1"/>
        <v>1</v>
      </c>
      <c r="AG11" s="13">
        <f t="shared" si="2"/>
        <v>0</v>
      </c>
      <c r="AH11" s="13">
        <f t="shared" si="3"/>
        <v>1</v>
      </c>
      <c r="AI11" s="13">
        <f t="shared" si="4"/>
        <v>421616.4</v>
      </c>
      <c r="AJ11" s="22">
        <v>0.75</v>
      </c>
      <c r="AK11" s="13">
        <f t="shared" si="9"/>
        <v>316212.30000000005</v>
      </c>
      <c r="AL11" s="15">
        <f t="shared" si="5"/>
        <v>1</v>
      </c>
      <c r="AM11" s="13">
        <f t="shared" si="6"/>
        <v>421616.4</v>
      </c>
      <c r="AN11" s="13">
        <f t="shared" si="7"/>
        <v>0</v>
      </c>
      <c r="AO11" s="13">
        <f t="shared" si="8"/>
        <v>341356.51</v>
      </c>
      <c r="AR11" s="23" t="s">
        <v>119</v>
      </c>
      <c r="AS11" s="23">
        <v>2</v>
      </c>
      <c r="AT11" s="23">
        <v>1</v>
      </c>
      <c r="AU11" s="23">
        <v>1</v>
      </c>
      <c r="AV11" s="23">
        <v>308691.19</v>
      </c>
      <c r="AW11" s="35">
        <v>0.75</v>
      </c>
      <c r="AX11" s="23">
        <v>231518.39250000002</v>
      </c>
      <c r="AY11" s="26">
        <v>0.69442542237761951</v>
      </c>
      <c r="AZ11" s="23">
        <v>214363.01</v>
      </c>
      <c r="BA11" s="23">
        <v>2</v>
      </c>
      <c r="BB11" s="23">
        <v>10000</v>
      </c>
      <c r="BD11" s="17" t="s">
        <v>53</v>
      </c>
      <c r="BE11" s="59"/>
      <c r="BF11" s="59"/>
      <c r="BG11" s="59"/>
      <c r="BH11" s="59"/>
      <c r="BI11" s="59"/>
      <c r="BJ11"/>
      <c r="BK11" s="17" t="s">
        <v>86</v>
      </c>
      <c r="BL11" s="59"/>
      <c r="BM11" s="59"/>
      <c r="BN11" s="59"/>
      <c r="BO11" s="59"/>
      <c r="BP11" s="59"/>
      <c r="BQ11"/>
      <c r="BR11" s="17" t="s">
        <v>3471</v>
      </c>
      <c r="BS11" s="59">
        <v>167509.40000000002</v>
      </c>
      <c r="BT11"/>
      <c r="BU11"/>
      <c r="BV11"/>
      <c r="BW11"/>
      <c r="BX11"/>
      <c r="BY11"/>
      <c r="BZ11" s="37" t="s">
        <v>107</v>
      </c>
      <c r="CA11" s="60">
        <v>3</v>
      </c>
      <c r="CB11" s="60">
        <v>1</v>
      </c>
      <c r="CC11" s="60">
        <v>5</v>
      </c>
      <c r="CD11" s="60">
        <v>6</v>
      </c>
      <c r="CE11" s="60">
        <v>9</v>
      </c>
      <c r="CF11"/>
      <c r="CG11"/>
      <c r="CH11"/>
      <c r="CI11"/>
      <c r="CJ11"/>
      <c r="CK11"/>
      <c r="CL11"/>
      <c r="CM11"/>
      <c r="CN11"/>
      <c r="CO11"/>
      <c r="CP11"/>
      <c r="CQ11"/>
      <c r="CR11"/>
      <c r="CS11"/>
      <c r="CT11"/>
    </row>
    <row r="12" spans="1:98" x14ac:dyDescent="0.25">
      <c r="A12" s="13" t="s">
        <v>70</v>
      </c>
      <c r="B12" s="59">
        <v>2900264.2800000003</v>
      </c>
      <c r="C12" s="59">
        <v>2740059.8299999996</v>
      </c>
      <c r="D12" s="59">
        <v>5640324.1100000013</v>
      </c>
      <c r="E12" s="59">
        <v>3693832</v>
      </c>
      <c r="F12" s="59">
        <v>9334156.1100000031</v>
      </c>
      <c r="G12"/>
      <c r="K12" s="17" t="s">
        <v>3471</v>
      </c>
      <c r="L12" s="59">
        <v>1</v>
      </c>
      <c r="M12" s="15">
        <v>0.60308436422075407</v>
      </c>
      <c r="N12" s="59">
        <v>101022.3</v>
      </c>
      <c r="O12" s="59">
        <v>1</v>
      </c>
      <c r="P12" s="15">
        <v>0.39691563577924582</v>
      </c>
      <c r="Q12" s="59">
        <v>66487.100000000006</v>
      </c>
      <c r="R12" s="59">
        <v>2</v>
      </c>
      <c r="S12" s="15">
        <v>1</v>
      </c>
      <c r="T12" s="59">
        <v>167509.40000000002</v>
      </c>
      <c r="V12" s="17" t="s">
        <v>3471</v>
      </c>
      <c r="W12" s="59">
        <v>1</v>
      </c>
      <c r="X12" s="59">
        <v>1</v>
      </c>
      <c r="Y12" s="59">
        <v>2</v>
      </c>
      <c r="Z12"/>
      <c r="AA12" s="17" t="s">
        <v>3471</v>
      </c>
      <c r="AB12" s="59">
        <v>5360</v>
      </c>
      <c r="AE12" s="13" t="str">
        <f t="shared" si="0"/>
        <v>HUZURABAD</v>
      </c>
      <c r="AF12" s="13">
        <f t="shared" si="1"/>
        <v>2</v>
      </c>
      <c r="AG12" s="13">
        <f t="shared" si="2"/>
        <v>1</v>
      </c>
      <c r="AH12" s="13">
        <f t="shared" si="3"/>
        <v>1</v>
      </c>
      <c r="AI12" s="13">
        <f t="shared" si="4"/>
        <v>167509.40000000002</v>
      </c>
      <c r="AJ12" s="22">
        <v>0.75</v>
      </c>
      <c r="AK12" s="13">
        <f t="shared" si="9"/>
        <v>125632.05000000002</v>
      </c>
      <c r="AL12" s="15">
        <f t="shared" si="5"/>
        <v>0.60308436422075407</v>
      </c>
      <c r="AM12" s="13">
        <f t="shared" si="6"/>
        <v>101022.3</v>
      </c>
      <c r="AN12" s="13">
        <f t="shared" si="7"/>
        <v>1</v>
      </c>
      <c r="AO12" s="13">
        <f t="shared" si="8"/>
        <v>5360</v>
      </c>
      <c r="AR12" s="23" t="s">
        <v>95</v>
      </c>
      <c r="AS12" s="23">
        <v>4</v>
      </c>
      <c r="AT12" s="23">
        <v>2</v>
      </c>
      <c r="AU12" s="23">
        <v>2</v>
      </c>
      <c r="AV12" s="23">
        <v>965927.25</v>
      </c>
      <c r="AW12" s="35">
        <v>0.75</v>
      </c>
      <c r="AX12" s="23">
        <v>724445.4375</v>
      </c>
      <c r="AY12" s="26">
        <v>0.56521142767221855</v>
      </c>
      <c r="AZ12" s="23">
        <v>545953.12</v>
      </c>
      <c r="BA12" s="23">
        <v>0</v>
      </c>
      <c r="BB12" s="23">
        <v>545953.12</v>
      </c>
      <c r="BD12" s="13" t="s">
        <v>68</v>
      </c>
      <c r="BE12" s="59">
        <v>46</v>
      </c>
      <c r="BF12" s="59">
        <v>28</v>
      </c>
      <c r="BG12" s="59">
        <v>74</v>
      </c>
      <c r="BH12" s="59">
        <v>59</v>
      </c>
      <c r="BI12" s="59">
        <v>133</v>
      </c>
      <c r="BJ12"/>
      <c r="BK12" s="13" t="s">
        <v>68</v>
      </c>
      <c r="BL12" s="59">
        <v>39</v>
      </c>
      <c r="BM12" s="59">
        <v>48</v>
      </c>
      <c r="BN12" s="59">
        <v>87</v>
      </c>
      <c r="BO12" s="59">
        <v>52</v>
      </c>
      <c r="BP12" s="59">
        <v>139</v>
      </c>
      <c r="BQ12"/>
      <c r="BR12" s="17" t="s">
        <v>1500</v>
      </c>
      <c r="BS12" s="59">
        <v>643454.54</v>
      </c>
      <c r="BT12"/>
      <c r="BU12"/>
      <c r="BV12"/>
      <c r="BW12"/>
      <c r="BX12"/>
      <c r="BY12"/>
      <c r="BZ12" s="37" t="s">
        <v>3640</v>
      </c>
      <c r="CA12" s="60">
        <v>1</v>
      </c>
      <c r="CB12" s="60"/>
      <c r="CC12" s="60"/>
      <c r="CD12" s="60"/>
      <c r="CE12" s="60">
        <v>1</v>
      </c>
      <c r="CF12"/>
      <c r="CG12"/>
      <c r="CH12"/>
      <c r="CI12"/>
      <c r="CJ12"/>
      <c r="CK12"/>
      <c r="CL12"/>
      <c r="CM12"/>
      <c r="CN12"/>
      <c r="CO12"/>
      <c r="CP12"/>
      <c r="CQ12"/>
      <c r="CR12"/>
      <c r="CS12"/>
      <c r="CT12"/>
    </row>
    <row r="13" spans="1:98" x14ac:dyDescent="0.25">
      <c r="A13" s="13" t="s">
        <v>72</v>
      </c>
      <c r="B13" s="59">
        <v>1599894.72</v>
      </c>
      <c r="C13" s="59">
        <v>275720</v>
      </c>
      <c r="D13" s="59">
        <v>1875614.72</v>
      </c>
      <c r="E13" s="59">
        <v>0</v>
      </c>
      <c r="F13" s="59">
        <v>1875614.72</v>
      </c>
      <c r="G13"/>
      <c r="K13" s="17" t="s">
        <v>1500</v>
      </c>
      <c r="L13" s="59">
        <v>3</v>
      </c>
      <c r="M13" s="15">
        <v>0.60224580900462688</v>
      </c>
      <c r="N13" s="59">
        <v>387517.80000000005</v>
      </c>
      <c r="O13" s="59">
        <v>2</v>
      </c>
      <c r="P13" s="15">
        <v>0.39775419099537318</v>
      </c>
      <c r="Q13" s="59">
        <v>255936.74</v>
      </c>
      <c r="R13" s="59">
        <v>5</v>
      </c>
      <c r="S13" s="15">
        <v>1</v>
      </c>
      <c r="T13" s="59">
        <v>643454.54</v>
      </c>
      <c r="V13" s="17" t="s">
        <v>1500</v>
      </c>
      <c r="W13" s="59">
        <v>5</v>
      </c>
      <c r="X13" s="59"/>
      <c r="Y13" s="59">
        <v>5</v>
      </c>
      <c r="Z13"/>
      <c r="AA13" s="17" t="s">
        <v>1500</v>
      </c>
      <c r="AB13" s="59">
        <v>42190</v>
      </c>
      <c r="AE13" s="13" t="str">
        <f t="shared" si="0"/>
        <v>IMAM/GTR , 6302979798</v>
      </c>
      <c r="AF13" s="13">
        <f t="shared" si="1"/>
        <v>5</v>
      </c>
      <c r="AG13" s="13">
        <f t="shared" si="2"/>
        <v>2</v>
      </c>
      <c r="AH13" s="13">
        <f t="shared" si="3"/>
        <v>3</v>
      </c>
      <c r="AI13" s="13">
        <f t="shared" si="4"/>
        <v>643454.54</v>
      </c>
      <c r="AJ13" s="22">
        <v>0.75</v>
      </c>
      <c r="AK13" s="13">
        <f t="shared" si="9"/>
        <v>482590.90500000003</v>
      </c>
      <c r="AL13" s="15">
        <f t="shared" si="5"/>
        <v>0.60224580900462688</v>
      </c>
      <c r="AM13" s="13">
        <f t="shared" si="6"/>
        <v>387517.80000000005</v>
      </c>
      <c r="AN13" s="13">
        <f t="shared" si="7"/>
        <v>0</v>
      </c>
      <c r="AO13" s="13">
        <f t="shared" si="8"/>
        <v>42190</v>
      </c>
      <c r="AR13" s="23" t="s">
        <v>55</v>
      </c>
      <c r="AS13" s="23">
        <v>4</v>
      </c>
      <c r="AT13" s="23">
        <v>2</v>
      </c>
      <c r="AU13" s="23">
        <v>2</v>
      </c>
      <c r="AV13" s="23">
        <v>2231324.42</v>
      </c>
      <c r="AW13" s="35">
        <v>0.75</v>
      </c>
      <c r="AX13" s="23">
        <v>1673493.3149999999</v>
      </c>
      <c r="AY13" s="26">
        <v>0.43510533981427946</v>
      </c>
      <c r="AZ13" s="23">
        <v>970861.17</v>
      </c>
      <c r="BA13" s="23">
        <v>1</v>
      </c>
      <c r="BB13" s="23">
        <v>163590</v>
      </c>
      <c r="BD13" s="18" t="s">
        <v>65</v>
      </c>
      <c r="BE13" s="19">
        <v>0.29814184964979551</v>
      </c>
      <c r="BF13" s="19">
        <v>0.21746825942672543</v>
      </c>
      <c r="BG13" s="19">
        <v>0.51561010907652094</v>
      </c>
      <c r="BH13" s="19">
        <v>0.48438989092347912</v>
      </c>
      <c r="BI13" s="19">
        <v>1</v>
      </c>
      <c r="BJ13"/>
      <c r="BK13" s="18" t="s">
        <v>65</v>
      </c>
      <c r="BL13" s="19">
        <v>0.22683666884972206</v>
      </c>
      <c r="BM13" s="19">
        <v>0.30050939642436225</v>
      </c>
      <c r="BN13" s="19">
        <v>0.52734606527408423</v>
      </c>
      <c r="BO13" s="19">
        <v>0.47265393472591544</v>
      </c>
      <c r="BP13" s="19">
        <v>1</v>
      </c>
      <c r="BQ13"/>
      <c r="BR13" s="17" t="s">
        <v>97</v>
      </c>
      <c r="BS13" s="59">
        <v>5110469.1499999994</v>
      </c>
      <c r="BT13"/>
      <c r="BU13"/>
      <c r="BV13"/>
      <c r="BW13"/>
      <c r="BX13"/>
      <c r="BY13"/>
      <c r="BZ13" s="37" t="s">
        <v>3471</v>
      </c>
      <c r="CA13" s="60">
        <v>1</v>
      </c>
      <c r="CB13" s="60">
        <v>1</v>
      </c>
      <c r="CC13" s="60"/>
      <c r="CD13" s="60">
        <v>1</v>
      </c>
      <c r="CE13" s="60">
        <v>2</v>
      </c>
      <c r="CF13"/>
      <c r="CG13"/>
      <c r="CH13"/>
      <c r="CI13"/>
      <c r="CJ13"/>
      <c r="CK13"/>
      <c r="CL13"/>
      <c r="CM13"/>
      <c r="CN13"/>
      <c r="CO13"/>
      <c r="CP13"/>
      <c r="CQ13"/>
      <c r="CR13"/>
      <c r="CS13"/>
      <c r="CT13"/>
    </row>
    <row r="14" spans="1:98" x14ac:dyDescent="0.25">
      <c r="A14" s="17">
        <v>3</v>
      </c>
      <c r="B14" s="59"/>
      <c r="C14" s="59"/>
      <c r="D14" s="59"/>
      <c r="E14" s="59"/>
      <c r="F14" s="59"/>
      <c r="G14"/>
      <c r="K14" s="17" t="s">
        <v>97</v>
      </c>
      <c r="L14" s="59">
        <v>11</v>
      </c>
      <c r="M14" s="15">
        <v>0.387525243156981</v>
      </c>
      <c r="N14" s="59">
        <v>1980435.7999999998</v>
      </c>
      <c r="O14" s="59">
        <v>14</v>
      </c>
      <c r="P14" s="15">
        <v>0.612474756843019</v>
      </c>
      <c r="Q14" s="59">
        <v>3130033.3499999996</v>
      </c>
      <c r="R14" s="59">
        <v>25</v>
      </c>
      <c r="S14" s="15">
        <v>1</v>
      </c>
      <c r="T14" s="59">
        <v>5110469.1499999994</v>
      </c>
      <c r="V14" s="17" t="s">
        <v>97</v>
      </c>
      <c r="W14" s="59">
        <v>25</v>
      </c>
      <c r="X14" s="59"/>
      <c r="Y14" s="59">
        <v>25</v>
      </c>
      <c r="Z14"/>
      <c r="AA14" s="17" t="s">
        <v>97</v>
      </c>
      <c r="AB14" s="59">
        <v>1028226.8499999999</v>
      </c>
      <c r="AE14" s="13" t="str">
        <f t="shared" si="0"/>
        <v>INAMUL/GTR , 8367073588</v>
      </c>
      <c r="AF14" s="13">
        <f t="shared" si="1"/>
        <v>25</v>
      </c>
      <c r="AG14" s="13">
        <f t="shared" si="2"/>
        <v>14</v>
      </c>
      <c r="AH14" s="13">
        <f t="shared" si="3"/>
        <v>11</v>
      </c>
      <c r="AI14" s="13">
        <f t="shared" si="4"/>
        <v>5110469.1499999994</v>
      </c>
      <c r="AJ14" s="22">
        <v>0.75</v>
      </c>
      <c r="AK14" s="13">
        <f t="shared" si="9"/>
        <v>3832851.8624999998</v>
      </c>
      <c r="AL14" s="15">
        <f t="shared" si="5"/>
        <v>0.387525243156981</v>
      </c>
      <c r="AM14" s="13">
        <f t="shared" si="6"/>
        <v>1980435.7999999998</v>
      </c>
      <c r="AN14" s="13">
        <f t="shared" si="7"/>
        <v>0</v>
      </c>
      <c r="AO14" s="13">
        <f t="shared" si="8"/>
        <v>1028226.8499999999</v>
      </c>
      <c r="AR14" s="23" t="s">
        <v>610</v>
      </c>
      <c r="AS14" s="23">
        <v>4</v>
      </c>
      <c r="AT14" s="23">
        <v>3</v>
      </c>
      <c r="AU14" s="23">
        <v>1</v>
      </c>
      <c r="AV14" s="23">
        <v>516112.64000000001</v>
      </c>
      <c r="AW14" s="35">
        <v>0.75</v>
      </c>
      <c r="AX14" s="23">
        <v>387084.48</v>
      </c>
      <c r="AY14" s="26">
        <v>0.13138970981218362</v>
      </c>
      <c r="AZ14" s="23">
        <v>67811.89</v>
      </c>
      <c r="BA14" s="23">
        <v>0</v>
      </c>
      <c r="BB14" s="23">
        <v>10000</v>
      </c>
      <c r="BD14" s="13" t="s">
        <v>70</v>
      </c>
      <c r="BE14" s="59">
        <v>8754220.2799999993</v>
      </c>
      <c r="BF14" s="59">
        <v>6385433.8099999996</v>
      </c>
      <c r="BG14" s="59">
        <v>15139654.09</v>
      </c>
      <c r="BH14" s="59">
        <v>14222947.269999998</v>
      </c>
      <c r="BI14" s="59">
        <v>29362601.359999996</v>
      </c>
      <c r="BJ14"/>
      <c r="BK14" s="13" t="s">
        <v>70</v>
      </c>
      <c r="BL14" s="59">
        <v>5574058.6499999994</v>
      </c>
      <c r="BM14" s="59">
        <v>7384418.9699999979</v>
      </c>
      <c r="BN14" s="59">
        <v>12958477.619999995</v>
      </c>
      <c r="BO14" s="59">
        <v>11614527.610000001</v>
      </c>
      <c r="BP14" s="59">
        <v>24573005.230000004</v>
      </c>
      <c r="BQ14"/>
      <c r="BR14" s="17" t="s">
        <v>109</v>
      </c>
      <c r="BS14" s="59">
        <v>5369639.7199999997</v>
      </c>
      <c r="BT14"/>
      <c r="BU14"/>
      <c r="BV14"/>
      <c r="BW14"/>
      <c r="BX14"/>
      <c r="BY14"/>
      <c r="BZ14" s="37" t="s">
        <v>1500</v>
      </c>
      <c r="CA14" s="60">
        <v>3</v>
      </c>
      <c r="CB14" s="60"/>
      <c r="CC14" s="60">
        <v>2</v>
      </c>
      <c r="CD14" s="60">
        <v>2</v>
      </c>
      <c r="CE14" s="60">
        <v>5</v>
      </c>
      <c r="CF14"/>
      <c r="CG14"/>
      <c r="CH14"/>
      <c r="CI14"/>
      <c r="CJ14"/>
      <c r="CK14"/>
      <c r="CL14"/>
      <c r="CM14"/>
      <c r="CN14"/>
      <c r="CO14"/>
      <c r="CP14"/>
      <c r="CQ14"/>
      <c r="CR14"/>
      <c r="CS14"/>
      <c r="CT14"/>
    </row>
    <row r="15" spans="1:98" x14ac:dyDescent="0.25">
      <c r="A15" s="13" t="s">
        <v>68</v>
      </c>
      <c r="B15" s="59"/>
      <c r="C15" s="59"/>
      <c r="D15" s="59"/>
      <c r="E15" s="59">
        <v>1</v>
      </c>
      <c r="F15" s="59">
        <v>1</v>
      </c>
      <c r="G15"/>
      <c r="K15" s="17" t="s">
        <v>109</v>
      </c>
      <c r="L15" s="59">
        <v>14</v>
      </c>
      <c r="M15" s="15">
        <v>0.39379848747096213</v>
      </c>
      <c r="N15" s="59">
        <v>2114556</v>
      </c>
      <c r="O15" s="59">
        <v>12</v>
      </c>
      <c r="P15" s="15">
        <v>0.6062015125290382</v>
      </c>
      <c r="Q15" s="59">
        <v>3255083.7200000007</v>
      </c>
      <c r="R15" s="59">
        <v>26</v>
      </c>
      <c r="S15" s="15">
        <v>1</v>
      </c>
      <c r="T15" s="59">
        <v>5369639.7199999988</v>
      </c>
      <c r="V15" s="17" t="s">
        <v>109</v>
      </c>
      <c r="W15" s="59">
        <v>25</v>
      </c>
      <c r="X15" s="59">
        <v>1</v>
      </c>
      <c r="Y15" s="59">
        <v>26</v>
      </c>
      <c r="Z15"/>
      <c r="AA15" s="17" t="s">
        <v>109</v>
      </c>
      <c r="AB15" s="59">
        <v>458330.06</v>
      </c>
      <c r="AE15" s="13" t="str">
        <f t="shared" si="0"/>
        <v>KARUNAKAR/WARANGAL , 9989734512</v>
      </c>
      <c r="AF15" s="13">
        <f t="shared" si="1"/>
        <v>26</v>
      </c>
      <c r="AG15" s="13">
        <f t="shared" si="2"/>
        <v>12</v>
      </c>
      <c r="AH15" s="13">
        <f t="shared" si="3"/>
        <v>14</v>
      </c>
      <c r="AI15" s="13">
        <f t="shared" si="4"/>
        <v>5369639.7199999988</v>
      </c>
      <c r="AJ15" s="22">
        <v>0.75</v>
      </c>
      <c r="AK15" s="13">
        <f t="shared" si="9"/>
        <v>4027229.7899999991</v>
      </c>
      <c r="AL15" s="15">
        <f t="shared" si="5"/>
        <v>0.39379848747096213</v>
      </c>
      <c r="AM15" s="13">
        <f t="shared" si="6"/>
        <v>2114556</v>
      </c>
      <c r="AN15" s="13">
        <f t="shared" si="7"/>
        <v>1</v>
      </c>
      <c r="AO15" s="13">
        <f t="shared" si="8"/>
        <v>458330.06</v>
      </c>
      <c r="AR15" s="23" t="s">
        <v>2445</v>
      </c>
      <c r="AS15" s="23">
        <v>1</v>
      </c>
      <c r="AT15" s="23">
        <v>1</v>
      </c>
      <c r="AU15" s="23">
        <v>0</v>
      </c>
      <c r="AV15" s="23">
        <v>258660.11</v>
      </c>
      <c r="AW15" s="35">
        <v>0.75</v>
      </c>
      <c r="AX15" s="23">
        <v>193995.08249999999</v>
      </c>
      <c r="AY15" s="26">
        <v>0</v>
      </c>
      <c r="AZ15" s="23">
        <v>0</v>
      </c>
      <c r="BA15" s="23">
        <v>0</v>
      </c>
      <c r="BB15" s="23">
        <v>0</v>
      </c>
      <c r="BD15" s="13" t="s">
        <v>72</v>
      </c>
      <c r="BE15" s="59">
        <v>4687063.169999999</v>
      </c>
      <c r="BF15" s="59">
        <v>651880</v>
      </c>
      <c r="BG15" s="59">
        <v>5338943.169999999</v>
      </c>
      <c r="BH15" s="59">
        <v>46375</v>
      </c>
      <c r="BI15" s="59">
        <v>5385318.169999999</v>
      </c>
      <c r="BJ15"/>
      <c r="BK15" s="13" t="s">
        <v>72</v>
      </c>
      <c r="BL15" s="59">
        <v>3501859.5599999996</v>
      </c>
      <c r="BM15" s="59">
        <v>754087.55</v>
      </c>
      <c r="BN15" s="59">
        <v>4255947.1099999994</v>
      </c>
      <c r="BO15" s="59">
        <v>0</v>
      </c>
      <c r="BP15" s="59">
        <v>4255947.1099999994</v>
      </c>
      <c r="BQ15"/>
      <c r="BR15" s="17" t="s">
        <v>116</v>
      </c>
      <c r="BS15" s="59">
        <v>98636.88</v>
      </c>
      <c r="BT15"/>
      <c r="BU15"/>
      <c r="BV15"/>
      <c r="BW15"/>
      <c r="BX15"/>
      <c r="BY15"/>
      <c r="BZ15" s="37" t="s">
        <v>97</v>
      </c>
      <c r="CA15" s="60">
        <v>11</v>
      </c>
      <c r="CB15" s="60"/>
      <c r="CC15" s="60">
        <v>14</v>
      </c>
      <c r="CD15" s="60">
        <v>14</v>
      </c>
      <c r="CE15" s="60">
        <v>25</v>
      </c>
      <c r="CF15"/>
      <c r="CG15"/>
      <c r="CH15"/>
      <c r="CI15"/>
      <c r="CJ15"/>
      <c r="CK15"/>
      <c r="CL15"/>
      <c r="CM15"/>
      <c r="CN15"/>
      <c r="CO15"/>
      <c r="CP15"/>
      <c r="CQ15"/>
      <c r="CR15"/>
      <c r="CS15"/>
      <c r="CT15"/>
    </row>
    <row r="16" spans="1:98" x14ac:dyDescent="0.25">
      <c r="A16" s="38" t="s">
        <v>65</v>
      </c>
      <c r="B16" s="39">
        <v>0</v>
      </c>
      <c r="C16" s="39">
        <v>0</v>
      </c>
      <c r="D16" s="39">
        <v>0</v>
      </c>
      <c r="E16" s="39">
        <v>1</v>
      </c>
      <c r="F16" s="39">
        <v>1</v>
      </c>
      <c r="G16"/>
      <c r="K16" s="17" t="s">
        <v>116</v>
      </c>
      <c r="L16" s="59"/>
      <c r="M16" s="15">
        <v>0</v>
      </c>
      <c r="N16" s="59"/>
      <c r="O16" s="59">
        <v>1</v>
      </c>
      <c r="P16" s="15">
        <v>1</v>
      </c>
      <c r="Q16" s="59">
        <v>98636.88</v>
      </c>
      <c r="R16" s="59">
        <v>1</v>
      </c>
      <c r="S16" s="15">
        <v>1</v>
      </c>
      <c r="T16" s="59">
        <v>98636.88</v>
      </c>
      <c r="V16" s="17" t="s">
        <v>116</v>
      </c>
      <c r="W16" s="59"/>
      <c r="X16" s="59">
        <v>1</v>
      </c>
      <c r="Y16" s="59">
        <v>1</v>
      </c>
      <c r="Z16"/>
      <c r="AA16" s="17" t="s">
        <v>116</v>
      </c>
      <c r="AB16" s="59">
        <v>0</v>
      </c>
      <c r="AE16" s="13" t="str">
        <f t="shared" si="0"/>
        <v>KISHORE/GTR , 8688104987</v>
      </c>
      <c r="AF16" s="13">
        <f t="shared" si="1"/>
        <v>1</v>
      </c>
      <c r="AG16" s="13">
        <f t="shared" si="2"/>
        <v>1</v>
      </c>
      <c r="AH16" s="13">
        <f t="shared" si="3"/>
        <v>0</v>
      </c>
      <c r="AI16" s="13">
        <f t="shared" si="4"/>
        <v>98636.88</v>
      </c>
      <c r="AJ16" s="22">
        <v>0.75</v>
      </c>
      <c r="AK16" s="13">
        <f t="shared" si="9"/>
        <v>73977.66</v>
      </c>
      <c r="AL16" s="15">
        <f t="shared" si="5"/>
        <v>0</v>
      </c>
      <c r="AM16" s="13">
        <f t="shared" si="6"/>
        <v>0</v>
      </c>
      <c r="AN16" s="13">
        <f t="shared" si="7"/>
        <v>1</v>
      </c>
      <c r="AO16" s="13">
        <f t="shared" si="8"/>
        <v>0</v>
      </c>
      <c r="AR16" s="23" t="s">
        <v>97</v>
      </c>
      <c r="AS16" s="23">
        <v>2</v>
      </c>
      <c r="AT16" s="23">
        <v>2</v>
      </c>
      <c r="AU16" s="23">
        <v>0</v>
      </c>
      <c r="AV16" s="23">
        <v>434231.05999999994</v>
      </c>
      <c r="AW16" s="35">
        <v>0.75</v>
      </c>
      <c r="AX16" s="23">
        <v>325673.29499999993</v>
      </c>
      <c r="AY16" s="26">
        <v>0</v>
      </c>
      <c r="AZ16" s="23">
        <v>0</v>
      </c>
      <c r="BA16" s="23">
        <v>0</v>
      </c>
      <c r="BB16" s="23">
        <v>0</v>
      </c>
      <c r="BD16" s="17" t="s">
        <v>439</v>
      </c>
      <c r="BE16" s="59"/>
      <c r="BF16" s="59"/>
      <c r="BG16" s="59"/>
      <c r="BH16" s="59"/>
      <c r="BI16" s="59"/>
      <c r="BJ16"/>
      <c r="BK16" s="17" t="s">
        <v>613</v>
      </c>
      <c r="BL16" s="59"/>
      <c r="BM16" s="59"/>
      <c r="BN16" s="59"/>
      <c r="BO16" s="59"/>
      <c r="BP16" s="59"/>
      <c r="BQ16"/>
      <c r="BR16" s="17" t="s">
        <v>56</v>
      </c>
      <c r="BS16" s="59">
        <v>3886719.3899999997</v>
      </c>
      <c r="BT16"/>
      <c r="BU16"/>
      <c r="BV16"/>
      <c r="BW16"/>
      <c r="BX16"/>
      <c r="BY16"/>
      <c r="BZ16" s="37" t="s">
        <v>109</v>
      </c>
      <c r="CA16" s="60">
        <v>14</v>
      </c>
      <c r="CB16" s="60">
        <v>1</v>
      </c>
      <c r="CC16" s="60">
        <v>11</v>
      </c>
      <c r="CD16" s="60">
        <v>12</v>
      </c>
      <c r="CE16" s="60">
        <v>26</v>
      </c>
      <c r="CF16"/>
      <c r="CG16"/>
      <c r="CH16"/>
      <c r="CI16"/>
      <c r="CJ16"/>
      <c r="CK16"/>
      <c r="CL16"/>
      <c r="CM16"/>
      <c r="CN16"/>
      <c r="CO16"/>
      <c r="CP16"/>
      <c r="CQ16"/>
      <c r="CR16"/>
      <c r="CS16"/>
      <c r="CT16"/>
    </row>
    <row r="17" spans="1:98" x14ac:dyDescent="0.25">
      <c r="A17" s="13" t="s">
        <v>70</v>
      </c>
      <c r="B17" s="59"/>
      <c r="C17" s="59"/>
      <c r="D17" s="59"/>
      <c r="E17" s="59">
        <v>240612.33</v>
      </c>
      <c r="F17" s="59">
        <v>240612.33</v>
      </c>
      <c r="G17"/>
      <c r="K17" s="17" t="s">
        <v>56</v>
      </c>
      <c r="L17" s="59">
        <v>11</v>
      </c>
      <c r="M17" s="15">
        <v>0.6295198249441929</v>
      </c>
      <c r="N17" s="59">
        <v>2446766.91</v>
      </c>
      <c r="O17" s="59">
        <v>7</v>
      </c>
      <c r="P17" s="15">
        <v>0.37048017505580716</v>
      </c>
      <c r="Q17" s="59">
        <v>1439952.48</v>
      </c>
      <c r="R17" s="59">
        <v>18</v>
      </c>
      <c r="S17" s="15">
        <v>1</v>
      </c>
      <c r="T17" s="59">
        <v>3886719.3899999997</v>
      </c>
      <c r="V17" s="17" t="s">
        <v>56</v>
      </c>
      <c r="W17" s="59">
        <v>16</v>
      </c>
      <c r="X17" s="59">
        <v>2</v>
      </c>
      <c r="Y17" s="59">
        <v>18</v>
      </c>
      <c r="Z17"/>
      <c r="AA17" s="17" t="s">
        <v>56</v>
      </c>
      <c r="AB17" s="59">
        <v>1059042.49</v>
      </c>
      <c r="AE17" s="13" t="str">
        <f t="shared" si="0"/>
        <v>KRISHNA/EAST , 8985743534</v>
      </c>
      <c r="AF17" s="13">
        <f t="shared" si="1"/>
        <v>18</v>
      </c>
      <c r="AG17" s="13">
        <f t="shared" si="2"/>
        <v>7</v>
      </c>
      <c r="AH17" s="13">
        <f t="shared" si="3"/>
        <v>11</v>
      </c>
      <c r="AI17" s="13">
        <f t="shared" si="4"/>
        <v>3886719.3899999997</v>
      </c>
      <c r="AJ17" s="22">
        <v>0.75</v>
      </c>
      <c r="AK17" s="13">
        <f t="shared" si="9"/>
        <v>2915039.5424999995</v>
      </c>
      <c r="AL17" s="15">
        <f t="shared" si="5"/>
        <v>0.6295198249441929</v>
      </c>
      <c r="AM17" s="13">
        <f t="shared" si="6"/>
        <v>2446766.91</v>
      </c>
      <c r="AN17" s="13">
        <f t="shared" si="7"/>
        <v>2</v>
      </c>
      <c r="AO17" s="13">
        <f t="shared" si="8"/>
        <v>1059042.49</v>
      </c>
      <c r="AR17" s="23" t="s">
        <v>56</v>
      </c>
      <c r="AS17" s="23">
        <v>1</v>
      </c>
      <c r="AT17" s="23">
        <v>1</v>
      </c>
      <c r="AU17" s="23">
        <v>0</v>
      </c>
      <c r="AV17" s="23">
        <v>74948.460000000006</v>
      </c>
      <c r="AW17" s="35">
        <v>0.75</v>
      </c>
      <c r="AX17" s="23">
        <v>56211.345000000001</v>
      </c>
      <c r="AY17" s="26">
        <v>0</v>
      </c>
      <c r="AZ17" s="23">
        <v>0</v>
      </c>
      <c r="BA17" s="23">
        <v>0</v>
      </c>
      <c r="BB17" s="23">
        <v>0</v>
      </c>
      <c r="BD17" s="13" t="s">
        <v>68</v>
      </c>
      <c r="BE17" s="59">
        <v>7</v>
      </c>
      <c r="BF17" s="59">
        <v>12</v>
      </c>
      <c r="BG17" s="59">
        <v>19</v>
      </c>
      <c r="BH17" s="59">
        <v>15</v>
      </c>
      <c r="BI17" s="59">
        <v>34</v>
      </c>
      <c r="BJ17"/>
      <c r="BK17" s="13" t="s">
        <v>68</v>
      </c>
      <c r="BL17" s="59">
        <v>28</v>
      </c>
      <c r="BM17" s="59">
        <v>13</v>
      </c>
      <c r="BN17" s="59">
        <v>41</v>
      </c>
      <c r="BO17" s="59">
        <v>20</v>
      </c>
      <c r="BP17" s="59">
        <v>61</v>
      </c>
      <c r="BQ17"/>
      <c r="BR17" s="17" t="s">
        <v>60</v>
      </c>
      <c r="BS17" s="59">
        <v>3576657.8300000005</v>
      </c>
      <c r="BT17"/>
      <c r="BU17"/>
      <c r="BV17"/>
      <c r="BW17"/>
      <c r="BX17"/>
      <c r="BY17"/>
      <c r="BZ17" s="37" t="s">
        <v>116</v>
      </c>
      <c r="CA17" s="60"/>
      <c r="CB17" s="60">
        <v>1</v>
      </c>
      <c r="CC17" s="60"/>
      <c r="CD17" s="60">
        <v>1</v>
      </c>
      <c r="CE17" s="60">
        <v>1</v>
      </c>
      <c r="CF17"/>
      <c r="CG17"/>
      <c r="CH17"/>
      <c r="CI17"/>
      <c r="CJ17"/>
      <c r="CK17"/>
      <c r="CL17"/>
      <c r="CM17"/>
      <c r="CN17"/>
      <c r="CO17"/>
      <c r="CP17"/>
      <c r="CQ17"/>
      <c r="CR17"/>
      <c r="CS17"/>
      <c r="CT17"/>
    </row>
    <row r="18" spans="1:98" x14ac:dyDescent="0.25">
      <c r="A18" s="13" t="s">
        <v>72</v>
      </c>
      <c r="B18" s="59"/>
      <c r="C18" s="59"/>
      <c r="D18" s="59"/>
      <c r="E18" s="59">
        <v>0</v>
      </c>
      <c r="F18" s="59">
        <v>0</v>
      </c>
      <c r="G18"/>
      <c r="K18" s="17" t="s">
        <v>60</v>
      </c>
      <c r="L18" s="59">
        <v>16</v>
      </c>
      <c r="M18" s="15">
        <v>0.68573064200552836</v>
      </c>
      <c r="N18" s="59">
        <v>2452623.87</v>
      </c>
      <c r="O18" s="59">
        <v>5</v>
      </c>
      <c r="P18" s="15">
        <v>0.31426935799447159</v>
      </c>
      <c r="Q18" s="59">
        <v>1124033.96</v>
      </c>
      <c r="R18" s="59">
        <v>21</v>
      </c>
      <c r="S18" s="15">
        <v>1</v>
      </c>
      <c r="T18" s="59">
        <v>3576657.83</v>
      </c>
      <c r="V18" s="17" t="s">
        <v>60</v>
      </c>
      <c r="W18" s="59">
        <v>20</v>
      </c>
      <c r="X18" s="59">
        <v>1</v>
      </c>
      <c r="Y18" s="59">
        <v>21</v>
      </c>
      <c r="Z18"/>
      <c r="AA18" s="17" t="s">
        <v>60</v>
      </c>
      <c r="AB18" s="59">
        <v>1209778.06</v>
      </c>
      <c r="AE18" s="13" t="str">
        <f t="shared" si="0"/>
        <v>LIKITH/KHAMMAM , 7981063429</v>
      </c>
      <c r="AF18" s="13">
        <f t="shared" si="1"/>
        <v>21</v>
      </c>
      <c r="AG18" s="13">
        <f t="shared" si="2"/>
        <v>5</v>
      </c>
      <c r="AH18" s="13">
        <f t="shared" si="3"/>
        <v>16</v>
      </c>
      <c r="AI18" s="13">
        <f t="shared" si="4"/>
        <v>3576657.83</v>
      </c>
      <c r="AJ18" s="22">
        <v>0.75</v>
      </c>
      <c r="AK18" s="13">
        <f t="shared" si="9"/>
        <v>2682493.3725000001</v>
      </c>
      <c r="AL18" s="15">
        <f t="shared" si="5"/>
        <v>0.68573064200552836</v>
      </c>
      <c r="AM18" s="13">
        <f t="shared" si="6"/>
        <v>2452623.87</v>
      </c>
      <c r="AN18" s="13">
        <f t="shared" si="7"/>
        <v>1</v>
      </c>
      <c r="AO18" s="13">
        <f t="shared" si="8"/>
        <v>1209778.06</v>
      </c>
      <c r="AR18" s="23" t="s">
        <v>89</v>
      </c>
      <c r="AS18" s="23">
        <v>1</v>
      </c>
      <c r="AT18" s="23">
        <v>1</v>
      </c>
      <c r="AU18" s="23">
        <v>0</v>
      </c>
      <c r="AV18" s="23">
        <v>804250.76</v>
      </c>
      <c r="AW18" s="35">
        <v>0.75</v>
      </c>
      <c r="AX18" s="23">
        <v>603188.07000000007</v>
      </c>
      <c r="AY18" s="26">
        <v>0</v>
      </c>
      <c r="AZ18" s="23">
        <v>0</v>
      </c>
      <c r="BA18" s="23">
        <v>1</v>
      </c>
      <c r="BB18" s="23">
        <v>0</v>
      </c>
      <c r="BD18" s="18" t="s">
        <v>65</v>
      </c>
      <c r="BE18" s="19">
        <v>0.34244196222798678</v>
      </c>
      <c r="BF18" s="19">
        <v>0.23441448101952087</v>
      </c>
      <c r="BG18" s="19">
        <v>0.57685644324750784</v>
      </c>
      <c r="BH18" s="19">
        <v>0.42314355675249204</v>
      </c>
      <c r="BI18" s="19">
        <v>1</v>
      </c>
      <c r="BJ18"/>
      <c r="BK18" s="18" t="s">
        <v>65</v>
      </c>
      <c r="BL18" s="19">
        <v>0.47509137285400771</v>
      </c>
      <c r="BM18" s="19">
        <v>0.20226511347630735</v>
      </c>
      <c r="BN18" s="19">
        <v>0.67735648633031487</v>
      </c>
      <c r="BO18" s="19">
        <v>0.32264351366968513</v>
      </c>
      <c r="BP18" s="19">
        <v>1</v>
      </c>
      <c r="BQ18"/>
      <c r="BR18" s="17" t="s">
        <v>94</v>
      </c>
      <c r="BS18" s="59">
        <v>581781.81000000006</v>
      </c>
      <c r="BT18"/>
      <c r="BU18"/>
      <c r="BV18"/>
      <c r="BW18"/>
      <c r="BX18"/>
      <c r="BY18"/>
      <c r="BZ18" s="37" t="s">
        <v>56</v>
      </c>
      <c r="CA18" s="60">
        <v>11</v>
      </c>
      <c r="CB18" s="60">
        <v>2</v>
      </c>
      <c r="CC18" s="60">
        <v>5</v>
      </c>
      <c r="CD18" s="60">
        <v>7</v>
      </c>
      <c r="CE18" s="60">
        <v>18</v>
      </c>
      <c r="CF18"/>
      <c r="CG18"/>
      <c r="CH18"/>
      <c r="CI18"/>
      <c r="CJ18"/>
      <c r="CK18"/>
      <c r="CL18"/>
      <c r="CM18"/>
      <c r="CN18"/>
      <c r="CO18"/>
      <c r="CP18"/>
      <c r="CQ18"/>
      <c r="CR18"/>
      <c r="CS18"/>
      <c r="CT18"/>
    </row>
    <row r="19" spans="1:98" x14ac:dyDescent="0.25">
      <c r="A19" s="17">
        <v>5</v>
      </c>
      <c r="B19" s="59"/>
      <c r="C19" s="59"/>
      <c r="D19" s="59"/>
      <c r="E19" s="59"/>
      <c r="F19" s="59"/>
      <c r="G19"/>
      <c r="K19" s="17" t="s">
        <v>94</v>
      </c>
      <c r="L19" s="59">
        <v>2</v>
      </c>
      <c r="M19" s="15">
        <v>0.52980221227611091</v>
      </c>
      <c r="N19" s="59">
        <v>308229.29000000004</v>
      </c>
      <c r="O19" s="59">
        <v>4</v>
      </c>
      <c r="P19" s="15">
        <v>0.47019778772388909</v>
      </c>
      <c r="Q19" s="59">
        <v>273552.52</v>
      </c>
      <c r="R19" s="59">
        <v>6</v>
      </c>
      <c r="S19" s="15">
        <v>1</v>
      </c>
      <c r="T19" s="59">
        <v>581781.81000000006</v>
      </c>
      <c r="V19" s="17" t="s">
        <v>94</v>
      </c>
      <c r="W19" s="59">
        <v>2</v>
      </c>
      <c r="X19" s="59">
        <v>4</v>
      </c>
      <c r="Y19" s="59">
        <v>6</v>
      </c>
      <c r="Z19"/>
      <c r="AA19" s="17" t="s">
        <v>94</v>
      </c>
      <c r="AB19" s="59">
        <v>45570</v>
      </c>
      <c r="AE19" s="13" t="str">
        <f t="shared" si="0"/>
        <v>LOHITH/ELLURU , 9705411758</v>
      </c>
      <c r="AF19" s="13">
        <f t="shared" si="1"/>
        <v>6</v>
      </c>
      <c r="AG19" s="13">
        <f t="shared" si="2"/>
        <v>4</v>
      </c>
      <c r="AH19" s="13">
        <f t="shared" si="3"/>
        <v>2</v>
      </c>
      <c r="AI19" s="13">
        <f t="shared" si="4"/>
        <v>581781.81000000006</v>
      </c>
      <c r="AJ19" s="22">
        <v>0.75</v>
      </c>
      <c r="AK19" s="13">
        <f t="shared" si="9"/>
        <v>436336.35750000004</v>
      </c>
      <c r="AL19" s="15">
        <f t="shared" si="5"/>
        <v>0.52980221227611091</v>
      </c>
      <c r="AM19" s="13">
        <f t="shared" si="6"/>
        <v>308229.29000000004</v>
      </c>
      <c r="AN19" s="13">
        <f t="shared" si="7"/>
        <v>4</v>
      </c>
      <c r="AO19" s="13">
        <f t="shared" si="8"/>
        <v>45570</v>
      </c>
      <c r="AR19" s="23" t="s">
        <v>61</v>
      </c>
      <c r="AS19" s="23">
        <v>1</v>
      </c>
      <c r="AT19" s="23">
        <v>1</v>
      </c>
      <c r="AU19" s="23">
        <v>0</v>
      </c>
      <c r="AV19" s="23">
        <v>130625.59</v>
      </c>
      <c r="AW19" s="35">
        <v>0.75</v>
      </c>
      <c r="AX19" s="23">
        <v>97969.192500000005</v>
      </c>
      <c r="AY19" s="26">
        <v>0</v>
      </c>
      <c r="AZ19" s="23">
        <v>0</v>
      </c>
      <c r="BA19" s="23">
        <v>0</v>
      </c>
      <c r="BB19" s="23">
        <v>0</v>
      </c>
      <c r="BD19" s="13" t="s">
        <v>70</v>
      </c>
      <c r="BE19" s="59">
        <v>2620823.87</v>
      </c>
      <c r="BF19" s="59">
        <v>1794053.1099999999</v>
      </c>
      <c r="BG19" s="59">
        <v>4414876.9800000014</v>
      </c>
      <c r="BH19" s="59">
        <v>3238460.3999999994</v>
      </c>
      <c r="BI19" s="59">
        <v>7653337.3800000018</v>
      </c>
      <c r="BJ19"/>
      <c r="BK19" s="13" t="s">
        <v>70</v>
      </c>
      <c r="BL19" s="59">
        <v>7201838.1400000006</v>
      </c>
      <c r="BM19" s="59">
        <v>3066106.21</v>
      </c>
      <c r="BN19" s="59">
        <v>10267944.349999998</v>
      </c>
      <c r="BO19" s="59">
        <v>4890904.1400000006</v>
      </c>
      <c r="BP19" s="59">
        <v>15158848.489999998</v>
      </c>
      <c r="BQ19"/>
      <c r="BR19" s="17" t="s">
        <v>117</v>
      </c>
      <c r="BS19" s="59">
        <v>2067857.2399999998</v>
      </c>
      <c r="BT19"/>
      <c r="BU19"/>
      <c r="BV19"/>
      <c r="BW19"/>
      <c r="BX19"/>
      <c r="BY19"/>
      <c r="BZ19" s="37" t="s">
        <v>60</v>
      </c>
      <c r="CA19" s="60">
        <v>16</v>
      </c>
      <c r="CB19" s="60">
        <v>1</v>
      </c>
      <c r="CC19" s="60">
        <v>4</v>
      </c>
      <c r="CD19" s="60">
        <v>5</v>
      </c>
      <c r="CE19" s="60">
        <v>21</v>
      </c>
      <c r="CF19"/>
      <c r="CG19"/>
      <c r="CH19"/>
      <c r="CI19"/>
      <c r="CJ19"/>
      <c r="CK19"/>
      <c r="CL19"/>
      <c r="CM19"/>
      <c r="CN19"/>
      <c r="CO19"/>
      <c r="CP19"/>
      <c r="CQ19"/>
      <c r="CR19"/>
      <c r="CS19"/>
      <c r="CT19"/>
    </row>
    <row r="20" spans="1:98" x14ac:dyDescent="0.25">
      <c r="A20" s="13" t="s">
        <v>68</v>
      </c>
      <c r="B20" s="59">
        <v>6</v>
      </c>
      <c r="C20" s="59">
        <v>6</v>
      </c>
      <c r="D20" s="59">
        <v>12</v>
      </c>
      <c r="E20" s="59">
        <v>16</v>
      </c>
      <c r="F20" s="59">
        <v>28</v>
      </c>
      <c r="G20"/>
      <c r="K20" s="17" t="s">
        <v>117</v>
      </c>
      <c r="L20" s="59">
        <v>2</v>
      </c>
      <c r="M20" s="15">
        <v>0.11867477369956157</v>
      </c>
      <c r="N20" s="59">
        <v>245402.49</v>
      </c>
      <c r="O20" s="59">
        <v>9</v>
      </c>
      <c r="P20" s="15">
        <v>0.8813252263004383</v>
      </c>
      <c r="Q20" s="59">
        <v>1822454.7499999998</v>
      </c>
      <c r="R20" s="59">
        <v>11</v>
      </c>
      <c r="S20" s="15">
        <v>1</v>
      </c>
      <c r="T20" s="59">
        <v>2067857.24</v>
      </c>
      <c r="V20" s="17" t="s">
        <v>117</v>
      </c>
      <c r="W20" s="59">
        <v>9</v>
      </c>
      <c r="X20" s="59">
        <v>2</v>
      </c>
      <c r="Y20" s="59">
        <v>11</v>
      </c>
      <c r="Z20"/>
      <c r="AA20" s="17" t="s">
        <v>117</v>
      </c>
      <c r="AB20" s="59">
        <v>37900</v>
      </c>
      <c r="AE20" s="13" t="str">
        <f t="shared" si="0"/>
        <v>MADHU/NANDYAL , 9550812050</v>
      </c>
      <c r="AF20" s="13">
        <f t="shared" si="1"/>
        <v>11</v>
      </c>
      <c r="AG20" s="13">
        <f t="shared" si="2"/>
        <v>9</v>
      </c>
      <c r="AH20" s="13">
        <f t="shared" si="3"/>
        <v>2</v>
      </c>
      <c r="AI20" s="13">
        <f t="shared" si="4"/>
        <v>2067857.24</v>
      </c>
      <c r="AJ20" s="22">
        <v>0.75</v>
      </c>
      <c r="AK20" s="13">
        <f t="shared" si="9"/>
        <v>1550892.93</v>
      </c>
      <c r="AL20" s="15">
        <f t="shared" si="5"/>
        <v>0.11867477369956157</v>
      </c>
      <c r="AM20" s="13">
        <f t="shared" si="6"/>
        <v>245402.49</v>
      </c>
      <c r="AN20" s="13">
        <f t="shared" si="7"/>
        <v>2</v>
      </c>
      <c r="AO20" s="13">
        <f t="shared" si="8"/>
        <v>37900</v>
      </c>
      <c r="AR20" s="23" t="s">
        <v>1658</v>
      </c>
      <c r="AS20" s="23">
        <v>2</v>
      </c>
      <c r="AT20" s="23">
        <v>2</v>
      </c>
      <c r="AU20" s="23">
        <v>0</v>
      </c>
      <c r="AV20" s="23">
        <v>784875.49</v>
      </c>
      <c r="AW20" s="35">
        <v>0.75</v>
      </c>
      <c r="AX20" s="23">
        <v>588656.61749999993</v>
      </c>
      <c r="AY20" s="26">
        <v>0</v>
      </c>
      <c r="AZ20" s="23">
        <v>0</v>
      </c>
      <c r="BA20" s="23">
        <v>1</v>
      </c>
      <c r="BB20" s="23">
        <v>0</v>
      </c>
      <c r="BD20" s="13" t="s">
        <v>72</v>
      </c>
      <c r="BE20" s="59">
        <v>1585531.28</v>
      </c>
      <c r="BF20" s="59">
        <v>226846</v>
      </c>
      <c r="BG20" s="59">
        <v>1812377.28</v>
      </c>
      <c r="BH20" s="59">
        <v>0</v>
      </c>
      <c r="BI20" s="59">
        <v>1812377.28</v>
      </c>
      <c r="BJ20"/>
      <c r="BK20" s="13" t="s">
        <v>72</v>
      </c>
      <c r="BL20" s="59">
        <v>5245124.2499999991</v>
      </c>
      <c r="BM20" s="59">
        <v>303421.01</v>
      </c>
      <c r="BN20" s="59">
        <v>5548545.2599999988</v>
      </c>
      <c r="BO20" s="59">
        <v>46375</v>
      </c>
      <c r="BP20" s="59">
        <v>5594920.2599999988</v>
      </c>
      <c r="BQ20"/>
      <c r="BR20" s="17" t="s">
        <v>1086</v>
      </c>
      <c r="BS20" s="59">
        <v>3134932.62</v>
      </c>
      <c r="BT20"/>
      <c r="BU20"/>
      <c r="BV20"/>
      <c r="BW20"/>
      <c r="BX20"/>
      <c r="BY20"/>
      <c r="BZ20" s="37" t="s">
        <v>94</v>
      </c>
      <c r="CA20" s="60">
        <v>2</v>
      </c>
      <c r="CB20" s="60">
        <v>4</v>
      </c>
      <c r="CC20" s="60"/>
      <c r="CD20" s="60">
        <v>4</v>
      </c>
      <c r="CE20" s="60">
        <v>6</v>
      </c>
      <c r="CF20"/>
      <c r="CG20"/>
      <c r="CH20"/>
      <c r="CI20"/>
      <c r="CJ20"/>
      <c r="CK20"/>
      <c r="CL20"/>
      <c r="CM20"/>
      <c r="CN20"/>
      <c r="CO20"/>
      <c r="CP20"/>
      <c r="CQ20"/>
      <c r="CR20"/>
      <c r="CS20"/>
      <c r="CT20"/>
    </row>
    <row r="21" spans="1:98" x14ac:dyDescent="0.25">
      <c r="A21" s="38" t="s">
        <v>65</v>
      </c>
      <c r="B21" s="39">
        <v>0.1172638628803694</v>
      </c>
      <c r="C21" s="39">
        <v>0.18594156679007157</v>
      </c>
      <c r="D21" s="39">
        <v>0.30320542967044101</v>
      </c>
      <c r="E21" s="39">
        <v>0.69679457032955883</v>
      </c>
      <c r="F21" s="39">
        <v>1</v>
      </c>
      <c r="G21"/>
      <c r="K21" s="17" t="s">
        <v>1086</v>
      </c>
      <c r="L21" s="59">
        <v>7</v>
      </c>
      <c r="M21" s="15">
        <v>0.65711304506442625</v>
      </c>
      <c r="N21" s="59">
        <v>2060005.12</v>
      </c>
      <c r="O21" s="59">
        <v>8</v>
      </c>
      <c r="P21" s="15">
        <v>0.3428869549355737</v>
      </c>
      <c r="Q21" s="59">
        <v>1074927.5000000002</v>
      </c>
      <c r="R21" s="59">
        <v>15</v>
      </c>
      <c r="S21" s="15">
        <v>1</v>
      </c>
      <c r="T21" s="59">
        <v>3134932.6200000006</v>
      </c>
      <c r="V21" s="17" t="s">
        <v>1086</v>
      </c>
      <c r="W21" s="59">
        <v>8</v>
      </c>
      <c r="X21" s="59">
        <v>7</v>
      </c>
      <c r="Y21" s="59">
        <v>15</v>
      </c>
      <c r="Z21"/>
      <c r="AA21" s="17" t="s">
        <v>1086</v>
      </c>
      <c r="AB21" s="59">
        <v>182332.36000000002</v>
      </c>
      <c r="AE21" s="13" t="str">
        <f t="shared" si="0"/>
        <v>MADHUSUDHAN/TS , 8367481163</v>
      </c>
      <c r="AF21" s="13">
        <f t="shared" si="1"/>
        <v>15</v>
      </c>
      <c r="AG21" s="13">
        <f t="shared" si="2"/>
        <v>8</v>
      </c>
      <c r="AH21" s="13">
        <f t="shared" si="3"/>
        <v>7</v>
      </c>
      <c r="AI21" s="13">
        <f t="shared" si="4"/>
        <v>3134932.6200000006</v>
      </c>
      <c r="AJ21" s="22">
        <v>0.75</v>
      </c>
      <c r="AK21" s="13">
        <f t="shared" si="9"/>
        <v>2351199.4650000003</v>
      </c>
      <c r="AL21" s="15">
        <f t="shared" si="5"/>
        <v>0.65711304506442625</v>
      </c>
      <c r="AM21" s="13">
        <f t="shared" si="6"/>
        <v>2060005.12</v>
      </c>
      <c r="AN21" s="13">
        <f t="shared" si="7"/>
        <v>7</v>
      </c>
      <c r="AO21" s="13">
        <f t="shared" si="8"/>
        <v>182332.36000000002</v>
      </c>
      <c r="AR21" s="23" t="s">
        <v>3469</v>
      </c>
      <c r="AS21" s="23">
        <v>1</v>
      </c>
      <c r="AT21" s="23">
        <v>1</v>
      </c>
      <c r="AU21" s="23">
        <v>0</v>
      </c>
      <c r="AV21" s="23">
        <v>322980.93</v>
      </c>
      <c r="AW21" s="35">
        <v>0.75</v>
      </c>
      <c r="AX21" s="23">
        <v>242235.69750000001</v>
      </c>
      <c r="AY21" s="26">
        <v>0</v>
      </c>
      <c r="AZ21" s="23">
        <v>0</v>
      </c>
      <c r="BA21" s="23">
        <v>1</v>
      </c>
      <c r="BB21" s="23">
        <v>0</v>
      </c>
      <c r="BD21" s="17" t="s">
        <v>2153</v>
      </c>
      <c r="BE21" s="59"/>
      <c r="BF21" s="59"/>
      <c r="BG21" s="59"/>
      <c r="BH21" s="59"/>
      <c r="BI21" s="59"/>
      <c r="BJ21"/>
      <c r="BK21" s="17" t="s">
        <v>611</v>
      </c>
      <c r="BL21" s="59"/>
      <c r="BM21" s="59"/>
      <c r="BN21" s="59"/>
      <c r="BO21" s="59"/>
      <c r="BP21" s="59"/>
      <c r="BQ21"/>
      <c r="BR21" s="17" t="s">
        <v>119</v>
      </c>
      <c r="BS21" s="59">
        <v>5409664.0399999991</v>
      </c>
      <c r="BT21"/>
      <c r="BU21"/>
      <c r="BV21"/>
      <c r="BW21"/>
      <c r="BX21"/>
      <c r="BY21"/>
      <c r="BZ21" s="37" t="s">
        <v>117</v>
      </c>
      <c r="CA21" s="60">
        <v>2</v>
      </c>
      <c r="CB21" s="60">
        <v>2</v>
      </c>
      <c r="CC21" s="60">
        <v>7</v>
      </c>
      <c r="CD21" s="60">
        <v>9</v>
      </c>
      <c r="CE21" s="60">
        <v>11</v>
      </c>
      <c r="CF21"/>
      <c r="CG21"/>
      <c r="CH21"/>
      <c r="CI21"/>
      <c r="CJ21"/>
      <c r="CK21"/>
      <c r="CL21"/>
      <c r="CM21"/>
      <c r="CN21"/>
      <c r="CO21"/>
      <c r="CP21"/>
      <c r="CQ21"/>
      <c r="CR21"/>
      <c r="CS21"/>
      <c r="CT21"/>
    </row>
    <row r="22" spans="1:98" x14ac:dyDescent="0.25">
      <c r="A22" s="13" t="s">
        <v>70</v>
      </c>
      <c r="B22" s="59">
        <v>965038.49</v>
      </c>
      <c r="C22" s="59">
        <v>1530230.7499999998</v>
      </c>
      <c r="D22" s="59">
        <v>2495269.2400000002</v>
      </c>
      <c r="E22" s="59">
        <v>5734363.2000000002</v>
      </c>
      <c r="F22" s="59">
        <v>8229632.4400000013</v>
      </c>
      <c r="G22"/>
      <c r="K22" s="17" t="s">
        <v>119</v>
      </c>
      <c r="L22" s="59">
        <v>15</v>
      </c>
      <c r="M22" s="15">
        <v>0.81882781208719946</v>
      </c>
      <c r="N22" s="59">
        <v>4429583.37</v>
      </c>
      <c r="O22" s="59">
        <v>4</v>
      </c>
      <c r="P22" s="15">
        <v>0.18117218791280057</v>
      </c>
      <c r="Q22" s="59">
        <v>980080.66999999993</v>
      </c>
      <c r="R22" s="59">
        <v>19</v>
      </c>
      <c r="S22" s="15">
        <v>1</v>
      </c>
      <c r="T22" s="59">
        <v>5409664.04</v>
      </c>
      <c r="V22" s="17" t="s">
        <v>119</v>
      </c>
      <c r="W22" s="59">
        <v>18</v>
      </c>
      <c r="X22" s="59">
        <v>1</v>
      </c>
      <c r="Y22" s="59">
        <v>19</v>
      </c>
      <c r="Z22"/>
      <c r="AA22" s="17" t="s">
        <v>119</v>
      </c>
      <c r="AB22" s="59">
        <v>1092087.96</v>
      </c>
      <c r="AE22" s="13" t="str">
        <f t="shared" si="0"/>
        <v>MAHESH/NIZAMABAD , 9177861515</v>
      </c>
      <c r="AF22" s="13">
        <f t="shared" si="1"/>
        <v>19</v>
      </c>
      <c r="AG22" s="13">
        <f t="shared" si="2"/>
        <v>4</v>
      </c>
      <c r="AH22" s="13">
        <f t="shared" si="3"/>
        <v>15</v>
      </c>
      <c r="AI22" s="13">
        <f t="shared" si="4"/>
        <v>5409664.04</v>
      </c>
      <c r="AJ22" s="22">
        <v>0.75</v>
      </c>
      <c r="AK22" s="13">
        <f t="shared" si="9"/>
        <v>4057248.0300000003</v>
      </c>
      <c r="AL22" s="15">
        <f t="shared" si="5"/>
        <v>0.81882781208719946</v>
      </c>
      <c r="AM22" s="13">
        <f t="shared" si="6"/>
        <v>4429583.37</v>
      </c>
      <c r="AN22" s="13">
        <f t="shared" si="7"/>
        <v>1</v>
      </c>
      <c r="AO22" s="13">
        <f t="shared" si="8"/>
        <v>1092087.96</v>
      </c>
      <c r="AR22" s="23" t="s">
        <v>129</v>
      </c>
      <c r="AS22" s="23">
        <v>1</v>
      </c>
      <c r="AT22" s="23">
        <v>1</v>
      </c>
      <c r="AU22" s="23">
        <v>0</v>
      </c>
      <c r="AV22" s="23">
        <v>120391.46</v>
      </c>
      <c r="AW22" s="35">
        <v>0.75</v>
      </c>
      <c r="AX22" s="23">
        <v>90293.595000000001</v>
      </c>
      <c r="AY22" s="26">
        <v>0</v>
      </c>
      <c r="AZ22" s="23">
        <v>0</v>
      </c>
      <c r="BA22" s="23">
        <v>0</v>
      </c>
      <c r="BB22" s="23">
        <v>0</v>
      </c>
      <c r="BD22" s="13" t="s">
        <v>68</v>
      </c>
      <c r="BE22" s="59">
        <v>1</v>
      </c>
      <c r="BF22" s="59">
        <v>1</v>
      </c>
      <c r="BG22" s="59">
        <v>2</v>
      </c>
      <c r="BH22" s="59"/>
      <c r="BI22" s="59">
        <v>2</v>
      </c>
      <c r="BJ22"/>
      <c r="BK22" s="13" t="s">
        <v>68</v>
      </c>
      <c r="BL22" s="59">
        <v>22</v>
      </c>
      <c r="BM22" s="59">
        <v>15</v>
      </c>
      <c r="BN22" s="59">
        <v>37</v>
      </c>
      <c r="BO22" s="59">
        <v>21</v>
      </c>
      <c r="BP22" s="59">
        <v>58</v>
      </c>
      <c r="BQ22"/>
      <c r="BR22" s="17" t="s">
        <v>1501</v>
      </c>
      <c r="BS22" s="59">
        <v>369785.49</v>
      </c>
      <c r="BT22"/>
      <c r="BU22"/>
      <c r="BV22"/>
      <c r="BW22"/>
      <c r="BX22"/>
      <c r="BY22"/>
      <c r="BZ22" s="37" t="s">
        <v>1086</v>
      </c>
      <c r="CA22" s="60">
        <v>7</v>
      </c>
      <c r="CB22" s="60">
        <v>7</v>
      </c>
      <c r="CC22" s="60">
        <v>1</v>
      </c>
      <c r="CD22" s="60">
        <v>8</v>
      </c>
      <c r="CE22" s="60">
        <v>15</v>
      </c>
      <c r="CF22"/>
      <c r="CG22"/>
      <c r="CH22"/>
      <c r="CI22"/>
      <c r="CJ22"/>
      <c r="CK22"/>
      <c r="CL22"/>
      <c r="CM22"/>
      <c r="CN22"/>
      <c r="CO22"/>
      <c r="CP22"/>
      <c r="CQ22"/>
      <c r="CR22"/>
      <c r="CS22"/>
      <c r="CT22"/>
    </row>
    <row r="23" spans="1:98" x14ac:dyDescent="0.25">
      <c r="A23" s="13" t="s">
        <v>72</v>
      </c>
      <c r="B23" s="59">
        <v>551997.35</v>
      </c>
      <c r="C23" s="59">
        <v>153633.97</v>
      </c>
      <c r="D23" s="59">
        <v>705631.32</v>
      </c>
      <c r="E23" s="59">
        <v>0</v>
      </c>
      <c r="F23" s="59">
        <v>705631.32</v>
      </c>
      <c r="G23"/>
      <c r="K23" s="17" t="s">
        <v>1501</v>
      </c>
      <c r="L23" s="59">
        <v>2</v>
      </c>
      <c r="M23" s="15">
        <v>0.53659744734710935</v>
      </c>
      <c r="N23" s="59">
        <v>198425.95</v>
      </c>
      <c r="O23" s="59">
        <v>1</v>
      </c>
      <c r="P23" s="15">
        <v>0.46340255265289076</v>
      </c>
      <c r="Q23" s="59">
        <v>171359.54</v>
      </c>
      <c r="R23" s="59">
        <v>3</v>
      </c>
      <c r="S23" s="15">
        <v>1</v>
      </c>
      <c r="T23" s="59">
        <v>369785.49</v>
      </c>
      <c r="V23" s="17" t="s">
        <v>1501</v>
      </c>
      <c r="W23" s="59">
        <v>2</v>
      </c>
      <c r="X23" s="59">
        <v>1</v>
      </c>
      <c r="Y23" s="59">
        <v>3</v>
      </c>
      <c r="Z23"/>
      <c r="AA23" s="17" t="s">
        <v>1501</v>
      </c>
      <c r="AB23" s="59">
        <v>43764.240000000005</v>
      </c>
      <c r="AE23" s="13" t="str">
        <f t="shared" si="0"/>
        <v>MANAIH/SANGAREDDY , 9440683493</v>
      </c>
      <c r="AF23" s="13">
        <f t="shared" si="1"/>
        <v>3</v>
      </c>
      <c r="AG23" s="13">
        <f t="shared" si="2"/>
        <v>1</v>
      </c>
      <c r="AH23" s="13">
        <f t="shared" si="3"/>
        <v>2</v>
      </c>
      <c r="AI23" s="13">
        <f t="shared" si="4"/>
        <v>369785.49</v>
      </c>
      <c r="AJ23" s="22">
        <v>0.75</v>
      </c>
      <c r="AK23" s="13">
        <f t="shared" si="9"/>
        <v>277339.11749999999</v>
      </c>
      <c r="AL23" s="15">
        <f t="shared" si="5"/>
        <v>0.53659744734710935</v>
      </c>
      <c r="AM23" s="13">
        <f t="shared" si="6"/>
        <v>198425.95</v>
      </c>
      <c r="AN23" s="13">
        <f t="shared" si="7"/>
        <v>1</v>
      </c>
      <c r="AO23" s="13">
        <f t="shared" si="8"/>
        <v>43764.240000000005</v>
      </c>
      <c r="AR23" s="23" t="s">
        <v>50</v>
      </c>
      <c r="AS23" s="23">
        <v>32</v>
      </c>
      <c r="AT23" s="23">
        <v>18</v>
      </c>
      <c r="AU23" s="23">
        <v>14</v>
      </c>
      <c r="AV23" s="23">
        <v>9283552.6899999995</v>
      </c>
      <c r="AW23" s="35">
        <v>0.75</v>
      </c>
      <c r="AX23" s="23">
        <v>6962664.5175000001</v>
      </c>
      <c r="AY23" s="26">
        <v>0.44482135857840432</v>
      </c>
      <c r="AZ23" s="23">
        <v>4129522.52</v>
      </c>
      <c r="BA23" s="23">
        <v>6</v>
      </c>
      <c r="BB23" s="23">
        <v>1356286.67</v>
      </c>
      <c r="BD23" s="18" t="s">
        <v>65</v>
      </c>
      <c r="BE23" s="19">
        <v>0.79214810625249099</v>
      </c>
      <c r="BF23" s="19">
        <v>0.2078518937475089</v>
      </c>
      <c r="BG23" s="19">
        <v>1</v>
      </c>
      <c r="BH23" s="19">
        <v>0</v>
      </c>
      <c r="BI23" s="19">
        <v>1</v>
      </c>
      <c r="BJ23"/>
      <c r="BK23" s="18" t="s">
        <v>65</v>
      </c>
      <c r="BL23" s="19">
        <v>0.43181023211980807</v>
      </c>
      <c r="BM23" s="19">
        <v>0.24307993931949456</v>
      </c>
      <c r="BN23" s="19">
        <v>0.67489017143930263</v>
      </c>
      <c r="BO23" s="19">
        <v>0.32510982856069731</v>
      </c>
      <c r="BP23" s="19">
        <v>1</v>
      </c>
      <c r="BQ23"/>
      <c r="BR23" s="17" t="s">
        <v>118</v>
      </c>
      <c r="BS23" s="59">
        <v>787432.94</v>
      </c>
      <c r="BT23"/>
      <c r="BU23"/>
      <c r="BV23"/>
      <c r="BW23"/>
      <c r="BX23"/>
      <c r="BY23"/>
      <c r="BZ23" s="37" t="s">
        <v>119</v>
      </c>
      <c r="CA23" s="60">
        <v>15</v>
      </c>
      <c r="CB23" s="60">
        <v>1</v>
      </c>
      <c r="CC23" s="60">
        <v>3</v>
      </c>
      <c r="CD23" s="60">
        <v>4</v>
      </c>
      <c r="CE23" s="60">
        <v>19</v>
      </c>
      <c r="CF23"/>
      <c r="CG23"/>
      <c r="CH23"/>
      <c r="CI23"/>
      <c r="CJ23"/>
      <c r="CK23"/>
      <c r="CL23"/>
      <c r="CM23"/>
      <c r="CN23"/>
      <c r="CO23"/>
      <c r="CP23"/>
      <c r="CQ23"/>
      <c r="CR23"/>
      <c r="CS23"/>
      <c r="CT23"/>
    </row>
    <row r="24" spans="1:98" x14ac:dyDescent="0.25">
      <c r="A24" s="17">
        <v>7</v>
      </c>
      <c r="B24" s="59"/>
      <c r="C24" s="59"/>
      <c r="D24" s="59"/>
      <c r="E24" s="59"/>
      <c r="F24" s="59"/>
      <c r="G24"/>
      <c r="K24" s="17" t="s">
        <v>83</v>
      </c>
      <c r="L24" s="59"/>
      <c r="M24" s="15">
        <v>0</v>
      </c>
      <c r="N24" s="59"/>
      <c r="O24" s="59">
        <v>1</v>
      </c>
      <c r="P24" s="15">
        <v>1</v>
      </c>
      <c r="Q24" s="59">
        <v>134252.70000000001</v>
      </c>
      <c r="R24" s="59">
        <v>1</v>
      </c>
      <c r="S24" s="15">
        <v>1</v>
      </c>
      <c r="T24" s="59">
        <v>134252.70000000001</v>
      </c>
      <c r="V24" s="17" t="s">
        <v>83</v>
      </c>
      <c r="W24" s="59"/>
      <c r="X24" s="59">
        <v>1</v>
      </c>
      <c r="Y24" s="59">
        <v>1</v>
      </c>
      <c r="Z24"/>
      <c r="AA24" s="17" t="s">
        <v>83</v>
      </c>
      <c r="AB24" s="59">
        <v>0</v>
      </c>
      <c r="AE24" s="13" t="str">
        <f t="shared" si="0"/>
        <v>NA</v>
      </c>
      <c r="AF24" s="13">
        <f t="shared" si="1"/>
        <v>1</v>
      </c>
      <c r="AG24" s="13">
        <f t="shared" si="2"/>
        <v>1</v>
      </c>
      <c r="AH24" s="13">
        <f t="shared" si="3"/>
        <v>0</v>
      </c>
      <c r="AI24" s="13">
        <f t="shared" si="4"/>
        <v>134252.70000000001</v>
      </c>
      <c r="AJ24" s="22">
        <v>0.75</v>
      </c>
      <c r="AK24" s="13">
        <f t="shared" si="9"/>
        <v>100689.52500000001</v>
      </c>
      <c r="AL24" s="15">
        <f t="shared" si="5"/>
        <v>0</v>
      </c>
      <c r="AM24" s="13">
        <f t="shared" si="6"/>
        <v>0</v>
      </c>
      <c r="AN24" s="13">
        <f t="shared" si="7"/>
        <v>1</v>
      </c>
      <c r="AO24" s="13">
        <f t="shared" si="8"/>
        <v>0</v>
      </c>
      <c r="BD24" s="13" t="s">
        <v>70</v>
      </c>
      <c r="BE24" s="59">
        <v>499329.83</v>
      </c>
      <c r="BF24" s="59">
        <v>131019.25</v>
      </c>
      <c r="BG24" s="59">
        <v>630349.08000000007</v>
      </c>
      <c r="BH24" s="59"/>
      <c r="BI24" s="59">
        <v>630349.08000000007</v>
      </c>
      <c r="BJ24"/>
      <c r="BK24" s="13" t="s">
        <v>70</v>
      </c>
      <c r="BL24" s="59">
        <v>7270809.6600000001</v>
      </c>
      <c r="BM24" s="59">
        <v>4092973.8099999996</v>
      </c>
      <c r="BN24" s="59">
        <v>11363783.470000001</v>
      </c>
      <c r="BO24" s="59">
        <v>5474190.9900000002</v>
      </c>
      <c r="BP24" s="59">
        <v>16837974.460000001</v>
      </c>
      <c r="BQ24"/>
      <c r="BR24" s="17" t="s">
        <v>89</v>
      </c>
      <c r="BS24" s="59">
        <v>5149801.9799999995</v>
      </c>
      <c r="BT24"/>
      <c r="BU24"/>
      <c r="BV24"/>
      <c r="BW24"/>
      <c r="BX24"/>
      <c r="BY24"/>
      <c r="BZ24" s="37" t="s">
        <v>1501</v>
      </c>
      <c r="CA24" s="60">
        <v>2</v>
      </c>
      <c r="CB24" s="60">
        <v>1</v>
      </c>
      <c r="CC24" s="60"/>
      <c r="CD24" s="60">
        <v>1</v>
      </c>
      <c r="CE24" s="60">
        <v>3</v>
      </c>
      <c r="CF24"/>
      <c r="CG24"/>
      <c r="CH24"/>
      <c r="CI24"/>
      <c r="CJ24"/>
      <c r="CK24"/>
      <c r="CL24"/>
      <c r="CM24"/>
      <c r="CN24"/>
      <c r="CO24"/>
      <c r="CP24"/>
      <c r="CQ24"/>
      <c r="CR24"/>
      <c r="CS24"/>
      <c r="CT24"/>
    </row>
    <row r="25" spans="1:98" x14ac:dyDescent="0.25">
      <c r="A25" s="13" t="s">
        <v>68</v>
      </c>
      <c r="B25" s="59"/>
      <c r="C25" s="59"/>
      <c r="D25" s="59"/>
      <c r="E25" s="59">
        <v>1</v>
      </c>
      <c r="F25" s="59">
        <v>1</v>
      </c>
      <c r="G25"/>
      <c r="K25" s="17" t="s">
        <v>118</v>
      </c>
      <c r="L25" s="59">
        <v>1</v>
      </c>
      <c r="M25" s="15">
        <v>1</v>
      </c>
      <c r="N25" s="59">
        <v>787432.94</v>
      </c>
      <c r="O25" s="59"/>
      <c r="P25" s="15">
        <v>0</v>
      </c>
      <c r="Q25" s="59"/>
      <c r="R25" s="59">
        <v>1</v>
      </c>
      <c r="S25" s="15">
        <v>1</v>
      </c>
      <c r="T25" s="59">
        <v>787432.94</v>
      </c>
      <c r="V25" s="17" t="s">
        <v>118</v>
      </c>
      <c r="W25" s="59">
        <v>1</v>
      </c>
      <c r="X25" s="59"/>
      <c r="Y25" s="59">
        <v>1</v>
      </c>
      <c r="Z25"/>
      <c r="AA25" s="17" t="s">
        <v>118</v>
      </c>
      <c r="AB25" s="59">
        <v>577540</v>
      </c>
      <c r="AE25" s="13" t="str">
        <f t="shared" si="0"/>
        <v>NAGARAJU/TS , 6281603130</v>
      </c>
      <c r="AF25" s="13">
        <f t="shared" si="1"/>
        <v>1</v>
      </c>
      <c r="AG25" s="13">
        <f t="shared" si="2"/>
        <v>0</v>
      </c>
      <c r="AH25" s="13">
        <f t="shared" si="3"/>
        <v>1</v>
      </c>
      <c r="AI25" s="13">
        <f t="shared" si="4"/>
        <v>787432.94</v>
      </c>
      <c r="AJ25" s="22">
        <v>0.75</v>
      </c>
      <c r="AK25" s="13">
        <f t="shared" si="9"/>
        <v>590574.70499999996</v>
      </c>
      <c r="AL25" s="15">
        <f t="shared" si="5"/>
        <v>1</v>
      </c>
      <c r="AM25" s="13">
        <f t="shared" si="6"/>
        <v>787432.94</v>
      </c>
      <c r="AN25" s="13">
        <f t="shared" si="7"/>
        <v>0</v>
      </c>
      <c r="AO25" s="13">
        <f t="shared" si="8"/>
        <v>577540</v>
      </c>
      <c r="AR25" s="23"/>
      <c r="AS25" s="23"/>
      <c r="AT25" s="23"/>
      <c r="AU25" s="23"/>
      <c r="AV25" s="23"/>
      <c r="AW25" s="35"/>
      <c r="AX25" s="23"/>
      <c r="AY25" s="26"/>
      <c r="AZ25" s="23"/>
      <c r="BA25" s="23"/>
      <c r="BB25" s="23"/>
      <c r="BD25" s="13" t="s">
        <v>72</v>
      </c>
      <c r="BE25" s="59">
        <v>499329.83</v>
      </c>
      <c r="BF25" s="59">
        <v>14190</v>
      </c>
      <c r="BG25" s="59">
        <v>513519.83</v>
      </c>
      <c r="BH25" s="59"/>
      <c r="BI25" s="59">
        <v>513519.83</v>
      </c>
      <c r="BJ25"/>
      <c r="BK25" s="13" t="s">
        <v>72</v>
      </c>
      <c r="BL25" s="59">
        <v>2393074.52</v>
      </c>
      <c r="BM25" s="59">
        <v>422510.36</v>
      </c>
      <c r="BN25" s="59">
        <v>2815584.8800000004</v>
      </c>
      <c r="BO25" s="59">
        <v>0</v>
      </c>
      <c r="BP25" s="59">
        <v>2815584.8800000004</v>
      </c>
      <c r="BQ25"/>
      <c r="BR25" s="17" t="s">
        <v>441</v>
      </c>
      <c r="BS25" s="59">
        <v>423432.87</v>
      </c>
      <c r="BT25"/>
      <c r="BU25"/>
      <c r="BV25"/>
      <c r="BW25"/>
      <c r="BX25"/>
      <c r="BY25"/>
      <c r="BZ25" s="37" t="s">
        <v>83</v>
      </c>
      <c r="CA25" s="60"/>
      <c r="CB25" s="60">
        <v>1</v>
      </c>
      <c r="CC25" s="60"/>
      <c r="CD25" s="60">
        <v>1</v>
      </c>
      <c r="CE25" s="60">
        <v>1</v>
      </c>
      <c r="CF25"/>
      <c r="CG25"/>
      <c r="CH25"/>
      <c r="CI25"/>
      <c r="CJ25"/>
      <c r="CK25"/>
      <c r="CL25"/>
      <c r="CM25"/>
      <c r="CN25"/>
      <c r="CO25"/>
      <c r="CP25"/>
      <c r="CQ25"/>
      <c r="CR25"/>
      <c r="CS25"/>
      <c r="CT25"/>
    </row>
    <row r="26" spans="1:98" x14ac:dyDescent="0.25">
      <c r="A26" s="38" t="s">
        <v>65</v>
      </c>
      <c r="B26" s="39">
        <v>0</v>
      </c>
      <c r="C26" s="39">
        <v>0</v>
      </c>
      <c r="D26" s="39">
        <v>0</v>
      </c>
      <c r="E26" s="39">
        <v>1</v>
      </c>
      <c r="F26" s="39">
        <v>1</v>
      </c>
      <c r="G26"/>
      <c r="K26" s="17" t="s">
        <v>89</v>
      </c>
      <c r="L26" s="59">
        <v>12</v>
      </c>
      <c r="M26" s="15">
        <v>0.62520180047777296</v>
      </c>
      <c r="N26" s="59">
        <v>3219665.4699999997</v>
      </c>
      <c r="O26" s="59">
        <v>7</v>
      </c>
      <c r="P26" s="15">
        <v>0.37479819952222709</v>
      </c>
      <c r="Q26" s="59">
        <v>1930136.51</v>
      </c>
      <c r="R26" s="59">
        <v>19</v>
      </c>
      <c r="S26" s="15">
        <v>1</v>
      </c>
      <c r="T26" s="59">
        <v>5149801.9799999995</v>
      </c>
      <c r="V26" s="17" t="s">
        <v>89</v>
      </c>
      <c r="W26" s="59">
        <v>13</v>
      </c>
      <c r="X26" s="59">
        <v>6</v>
      </c>
      <c r="Y26" s="59">
        <v>19</v>
      </c>
      <c r="Z26"/>
      <c r="AA26" s="17" t="s">
        <v>89</v>
      </c>
      <c r="AB26" s="59">
        <v>976798.61</v>
      </c>
      <c r="AE26" s="13" t="str">
        <f t="shared" si="0"/>
        <v>NAYAB/PRODDATUR , 6305351203</v>
      </c>
      <c r="AF26" s="13">
        <f t="shared" si="1"/>
        <v>19</v>
      </c>
      <c r="AG26" s="13">
        <f t="shared" si="2"/>
        <v>7</v>
      </c>
      <c r="AH26" s="13">
        <f t="shared" si="3"/>
        <v>12</v>
      </c>
      <c r="AI26" s="13">
        <f t="shared" si="4"/>
        <v>5149801.9799999995</v>
      </c>
      <c r="AJ26" s="22">
        <v>0.75</v>
      </c>
      <c r="AK26" s="13">
        <f t="shared" si="9"/>
        <v>3862351.4849999994</v>
      </c>
      <c r="AL26" s="15">
        <f t="shared" si="5"/>
        <v>0.62520180047777296</v>
      </c>
      <c r="AM26" s="13">
        <f t="shared" si="6"/>
        <v>3219665.4699999997</v>
      </c>
      <c r="AN26" s="13">
        <f t="shared" si="7"/>
        <v>6</v>
      </c>
      <c r="AO26" s="13">
        <f t="shared" si="8"/>
        <v>976798.61</v>
      </c>
      <c r="AR26" s="23"/>
      <c r="AS26" s="23"/>
      <c r="AT26" s="23"/>
      <c r="AU26" s="23"/>
      <c r="AV26" s="23"/>
      <c r="AW26" s="35"/>
      <c r="AX26" s="23"/>
      <c r="AY26" s="26"/>
      <c r="AZ26" s="23"/>
      <c r="BA26" s="23"/>
      <c r="BB26" s="23"/>
      <c r="BD26" s="17" t="s">
        <v>54</v>
      </c>
      <c r="BE26" s="59"/>
      <c r="BF26" s="59"/>
      <c r="BG26" s="59"/>
      <c r="BH26" s="59"/>
      <c r="BI26" s="59"/>
      <c r="BJ26"/>
      <c r="BK26" s="17" t="s">
        <v>612</v>
      </c>
      <c r="BL26" s="59"/>
      <c r="BM26" s="59"/>
      <c r="BN26" s="59"/>
      <c r="BO26" s="59"/>
      <c r="BP26" s="59"/>
      <c r="BQ26"/>
      <c r="BR26" s="17" t="s">
        <v>3161</v>
      </c>
      <c r="BS26" s="59">
        <v>239214.07</v>
      </c>
      <c r="BT26"/>
      <c r="BU26"/>
      <c r="BV26"/>
      <c r="BW26"/>
      <c r="BX26"/>
      <c r="BY26"/>
      <c r="BZ26" s="37" t="s">
        <v>118</v>
      </c>
      <c r="CA26" s="60">
        <v>1</v>
      </c>
      <c r="CB26" s="60"/>
      <c r="CC26" s="60"/>
      <c r="CD26" s="60"/>
      <c r="CE26" s="60">
        <v>1</v>
      </c>
      <c r="CF26"/>
      <c r="CG26"/>
      <c r="CH26"/>
      <c r="CI26"/>
      <c r="CJ26"/>
      <c r="CK26"/>
      <c r="CL26"/>
      <c r="CM26"/>
      <c r="CN26"/>
      <c r="CO26"/>
      <c r="CP26"/>
      <c r="CQ26"/>
      <c r="CR26"/>
      <c r="CS26"/>
      <c r="CT26"/>
    </row>
    <row r="27" spans="1:98" x14ac:dyDescent="0.25">
      <c r="A27" s="13" t="s">
        <v>70</v>
      </c>
      <c r="B27" s="59"/>
      <c r="C27" s="59"/>
      <c r="D27" s="59"/>
      <c r="E27" s="59">
        <v>129984.14</v>
      </c>
      <c r="F27" s="59">
        <v>129984.14</v>
      </c>
      <c r="G27"/>
      <c r="K27" s="17" t="s">
        <v>441</v>
      </c>
      <c r="L27" s="59"/>
      <c r="M27" s="15">
        <v>0</v>
      </c>
      <c r="N27" s="59"/>
      <c r="O27" s="59">
        <v>3</v>
      </c>
      <c r="P27" s="15">
        <v>1</v>
      </c>
      <c r="Q27" s="59">
        <v>423432.87</v>
      </c>
      <c r="R27" s="59">
        <v>3</v>
      </c>
      <c r="S27" s="15">
        <v>1</v>
      </c>
      <c r="T27" s="59">
        <v>423432.87</v>
      </c>
      <c r="V27" s="17" t="s">
        <v>441</v>
      </c>
      <c r="W27" s="59"/>
      <c r="X27" s="59">
        <v>3</v>
      </c>
      <c r="Y27" s="59">
        <v>3</v>
      </c>
      <c r="Z27"/>
      <c r="AA27" s="17" t="s">
        <v>441</v>
      </c>
      <c r="AB27" s="59">
        <v>0</v>
      </c>
      <c r="AE27" s="13" t="str">
        <f t="shared" si="0"/>
        <v>NO FOS</v>
      </c>
      <c r="AF27" s="13">
        <f t="shared" si="1"/>
        <v>3</v>
      </c>
      <c r="AG27" s="13">
        <f t="shared" si="2"/>
        <v>3</v>
      </c>
      <c r="AH27" s="13">
        <f t="shared" si="3"/>
        <v>0</v>
      </c>
      <c r="AI27" s="13">
        <f t="shared" si="4"/>
        <v>423432.87</v>
      </c>
      <c r="AJ27" s="22">
        <v>0.75</v>
      </c>
      <c r="AK27" s="13">
        <f t="shared" si="9"/>
        <v>317574.65249999997</v>
      </c>
      <c r="AL27" s="15">
        <f t="shared" si="5"/>
        <v>0</v>
      </c>
      <c r="AM27" s="13">
        <f t="shared" si="6"/>
        <v>0</v>
      </c>
      <c r="AN27" s="13">
        <f t="shared" si="7"/>
        <v>3</v>
      </c>
      <c r="AO27" s="13">
        <f t="shared" si="8"/>
        <v>0</v>
      </c>
      <c r="AR27" s="23"/>
      <c r="AS27" s="23"/>
      <c r="AT27" s="23"/>
      <c r="AU27" s="23"/>
      <c r="AV27" s="23"/>
      <c r="AW27" s="35"/>
      <c r="AX27" s="23"/>
      <c r="AY27" s="26"/>
      <c r="AZ27" s="23"/>
      <c r="BA27" s="23"/>
      <c r="BB27" s="23"/>
      <c r="BD27" s="13" t="s">
        <v>68</v>
      </c>
      <c r="BE27" s="59">
        <v>85</v>
      </c>
      <c r="BF27" s="59">
        <v>70</v>
      </c>
      <c r="BG27" s="59">
        <v>155</v>
      </c>
      <c r="BH27" s="59">
        <v>90</v>
      </c>
      <c r="BI27" s="59">
        <v>245</v>
      </c>
      <c r="BJ27"/>
      <c r="BK27" s="13" t="s">
        <v>68</v>
      </c>
      <c r="BL27" s="59">
        <v>21</v>
      </c>
      <c r="BM27" s="59">
        <v>14</v>
      </c>
      <c r="BN27" s="59">
        <v>35</v>
      </c>
      <c r="BO27" s="59">
        <v>25</v>
      </c>
      <c r="BP27" s="59">
        <v>60</v>
      </c>
      <c r="BQ27"/>
      <c r="BR27" s="17" t="s">
        <v>61</v>
      </c>
      <c r="BS27" s="59">
        <v>1370823.1</v>
      </c>
      <c r="BT27"/>
      <c r="BU27"/>
      <c r="BV27"/>
      <c r="BW27"/>
      <c r="BX27"/>
      <c r="BY27"/>
      <c r="BZ27" s="37" t="s">
        <v>89</v>
      </c>
      <c r="CA27" s="60">
        <v>12</v>
      </c>
      <c r="CB27" s="60">
        <v>6</v>
      </c>
      <c r="CC27" s="60">
        <v>1</v>
      </c>
      <c r="CD27" s="60">
        <v>7</v>
      </c>
      <c r="CE27" s="60">
        <v>19</v>
      </c>
      <c r="CF27"/>
      <c r="CG27"/>
      <c r="CH27"/>
      <c r="CI27"/>
      <c r="CJ27"/>
      <c r="CK27"/>
      <c r="CL27"/>
      <c r="CM27"/>
      <c r="CN27"/>
      <c r="CO27"/>
      <c r="CP27"/>
      <c r="CQ27"/>
      <c r="CR27"/>
      <c r="CS27"/>
      <c r="CT27"/>
    </row>
    <row r="28" spans="1:98" x14ac:dyDescent="0.25">
      <c r="A28" s="13" t="s">
        <v>72</v>
      </c>
      <c r="B28" s="59"/>
      <c r="C28" s="59"/>
      <c r="D28" s="59"/>
      <c r="E28" s="59">
        <v>0</v>
      </c>
      <c r="F28" s="59">
        <v>0</v>
      </c>
      <c r="G28"/>
      <c r="K28" s="17" t="s">
        <v>3161</v>
      </c>
      <c r="L28" s="59">
        <v>1</v>
      </c>
      <c r="M28" s="15">
        <v>1</v>
      </c>
      <c r="N28" s="59">
        <v>239214.07</v>
      </c>
      <c r="O28" s="59"/>
      <c r="P28" s="15">
        <v>0</v>
      </c>
      <c r="Q28" s="59"/>
      <c r="R28" s="59">
        <v>1</v>
      </c>
      <c r="S28" s="15">
        <v>1</v>
      </c>
      <c r="T28" s="59">
        <v>239214.07</v>
      </c>
      <c r="V28" s="17" t="s">
        <v>3161</v>
      </c>
      <c r="W28" s="59">
        <v>1</v>
      </c>
      <c r="X28" s="59"/>
      <c r="Y28" s="59">
        <v>1</v>
      </c>
      <c r="Z28"/>
      <c r="AA28" s="17" t="s">
        <v>3161</v>
      </c>
      <c r="AB28" s="59">
        <v>239214.07</v>
      </c>
      <c r="AE28" s="13" t="str">
        <f t="shared" si="0"/>
        <v>OS</v>
      </c>
      <c r="AF28" s="13">
        <f t="shared" si="1"/>
        <v>1</v>
      </c>
      <c r="AG28" s="13">
        <f t="shared" si="2"/>
        <v>0</v>
      </c>
      <c r="AH28" s="13">
        <f t="shared" si="3"/>
        <v>1</v>
      </c>
      <c r="AI28" s="13">
        <f t="shared" si="4"/>
        <v>239214.07</v>
      </c>
      <c r="AJ28" s="22">
        <v>0.75</v>
      </c>
      <c r="AK28" s="13">
        <f t="shared" si="9"/>
        <v>179410.55249999999</v>
      </c>
      <c r="AL28" s="15">
        <f t="shared" si="5"/>
        <v>1</v>
      </c>
      <c r="AM28" s="13">
        <f t="shared" si="6"/>
        <v>239214.07</v>
      </c>
      <c r="AN28" s="13">
        <f t="shared" si="7"/>
        <v>0</v>
      </c>
      <c r="AO28" s="13">
        <f t="shared" si="8"/>
        <v>239214.07</v>
      </c>
      <c r="AR28" s="23"/>
      <c r="AS28" s="23"/>
      <c r="AT28" s="23"/>
      <c r="AU28" s="23"/>
      <c r="AV28" s="23"/>
      <c r="AW28" s="35"/>
      <c r="AX28" s="23"/>
      <c r="AY28" s="26"/>
      <c r="AZ28" s="23"/>
      <c r="BA28" s="23"/>
      <c r="BB28" s="23"/>
      <c r="BD28" s="18" t="s">
        <v>65</v>
      </c>
      <c r="BE28" s="19">
        <v>0.35793166895872125</v>
      </c>
      <c r="BF28" s="19">
        <v>0.24812068155722836</v>
      </c>
      <c r="BG28" s="19">
        <v>0.60605235051594974</v>
      </c>
      <c r="BH28" s="19">
        <v>0.39394764948405103</v>
      </c>
      <c r="BI28" s="19">
        <v>1</v>
      </c>
      <c r="BJ28"/>
      <c r="BK28" s="18" t="s">
        <v>65</v>
      </c>
      <c r="BL28" s="19">
        <v>0.41646561042852576</v>
      </c>
      <c r="BM28" s="19">
        <v>0.16686087398374397</v>
      </c>
      <c r="BN28" s="19">
        <v>0.58332648441226986</v>
      </c>
      <c r="BO28" s="19">
        <v>0.41667351558772975</v>
      </c>
      <c r="BP28" s="19">
        <v>1</v>
      </c>
      <c r="BQ28"/>
      <c r="BR28" s="17" t="s">
        <v>146</v>
      </c>
      <c r="BS28" s="59">
        <v>3673652.3200000003</v>
      </c>
      <c r="BT28"/>
      <c r="BU28"/>
      <c r="BV28"/>
      <c r="BW28"/>
      <c r="BX28"/>
      <c r="BY28"/>
      <c r="BZ28" s="37" t="s">
        <v>441</v>
      </c>
      <c r="CA28" s="60"/>
      <c r="CB28" s="60">
        <v>3</v>
      </c>
      <c r="CC28" s="60"/>
      <c r="CD28" s="60">
        <v>3</v>
      </c>
      <c r="CE28" s="60">
        <v>3</v>
      </c>
      <c r="CF28"/>
      <c r="CG28"/>
      <c r="CH28"/>
      <c r="CI28"/>
      <c r="CJ28"/>
      <c r="CK28"/>
      <c r="CL28"/>
      <c r="CM28"/>
      <c r="CN28"/>
      <c r="CO28"/>
      <c r="CP28"/>
      <c r="CQ28"/>
      <c r="CR28"/>
      <c r="CS28"/>
      <c r="CT28"/>
    </row>
    <row r="29" spans="1:98" x14ac:dyDescent="0.25">
      <c r="A29" s="17">
        <v>8</v>
      </c>
      <c r="B29" s="59"/>
      <c r="C29" s="59"/>
      <c r="D29" s="59"/>
      <c r="E29" s="59"/>
      <c r="F29" s="59"/>
      <c r="G29"/>
      <c r="K29" s="17" t="s">
        <v>61</v>
      </c>
      <c r="L29" s="59">
        <v>4</v>
      </c>
      <c r="M29" s="15">
        <v>0.44907369156530841</v>
      </c>
      <c r="N29" s="59">
        <v>615600.59</v>
      </c>
      <c r="O29" s="59">
        <v>3</v>
      </c>
      <c r="P29" s="15">
        <v>0.55092630843469148</v>
      </c>
      <c r="Q29" s="59">
        <v>755222.51</v>
      </c>
      <c r="R29" s="59">
        <v>7</v>
      </c>
      <c r="S29" s="15">
        <v>1</v>
      </c>
      <c r="T29" s="59">
        <v>1370823.1</v>
      </c>
      <c r="V29" s="17" t="s">
        <v>61</v>
      </c>
      <c r="W29" s="59">
        <v>6</v>
      </c>
      <c r="X29" s="59">
        <v>1</v>
      </c>
      <c r="Y29" s="59">
        <v>7</v>
      </c>
      <c r="Z29"/>
      <c r="AA29" s="17" t="s">
        <v>61</v>
      </c>
      <c r="AB29" s="59">
        <v>124840.55</v>
      </c>
      <c r="AE29" s="13" t="str">
        <f t="shared" si="0"/>
        <v>PRASHANTH/TS , 9652386391</v>
      </c>
      <c r="AF29" s="13">
        <f t="shared" si="1"/>
        <v>7</v>
      </c>
      <c r="AG29" s="13">
        <f t="shared" si="2"/>
        <v>3</v>
      </c>
      <c r="AH29" s="13">
        <f t="shared" si="3"/>
        <v>4</v>
      </c>
      <c r="AI29" s="13">
        <f t="shared" si="4"/>
        <v>1370823.1</v>
      </c>
      <c r="AJ29" s="22">
        <v>0.75</v>
      </c>
      <c r="AK29" s="13">
        <f t="shared" si="9"/>
        <v>1028117.3250000001</v>
      </c>
      <c r="AL29" s="15">
        <f t="shared" si="5"/>
        <v>0.44907369156530841</v>
      </c>
      <c r="AM29" s="13">
        <f t="shared" si="6"/>
        <v>615600.59</v>
      </c>
      <c r="AN29" s="13">
        <f t="shared" si="7"/>
        <v>1</v>
      </c>
      <c r="AO29" s="13">
        <f t="shared" si="8"/>
        <v>124840.55</v>
      </c>
      <c r="AR29" s="23"/>
      <c r="AS29" s="23"/>
      <c r="AT29" s="23"/>
      <c r="AU29" s="23"/>
      <c r="AV29" s="23"/>
      <c r="AW29" s="35"/>
      <c r="AX29" s="23"/>
      <c r="AY29" s="26"/>
      <c r="AZ29" s="23"/>
      <c r="BA29" s="23"/>
      <c r="BB29" s="23"/>
      <c r="BD29" s="13" t="s">
        <v>70</v>
      </c>
      <c r="BE29" s="59">
        <v>18045166.650000006</v>
      </c>
      <c r="BF29" s="59">
        <v>12509032.969999997</v>
      </c>
      <c r="BG29" s="59">
        <v>30554199.620000008</v>
      </c>
      <c r="BH29" s="59">
        <v>19860916.490000006</v>
      </c>
      <c r="BI29" s="59">
        <v>50415116.109999977</v>
      </c>
      <c r="BJ29"/>
      <c r="BK29" s="13" t="s">
        <v>70</v>
      </c>
      <c r="BL29" s="59">
        <v>4957380.2399999993</v>
      </c>
      <c r="BM29" s="59">
        <v>1986221.14</v>
      </c>
      <c r="BN29" s="59">
        <v>6943601.3800000008</v>
      </c>
      <c r="BO29" s="59">
        <v>4959855.0299999984</v>
      </c>
      <c r="BP29" s="59">
        <v>11903456.410000004</v>
      </c>
      <c r="BQ29"/>
      <c r="BR29" s="17" t="s">
        <v>749</v>
      </c>
      <c r="BS29" s="59">
        <v>2152646.8899999997</v>
      </c>
      <c r="BT29"/>
      <c r="BU29"/>
      <c r="BV29"/>
      <c r="BW29"/>
      <c r="BX29"/>
      <c r="BY29"/>
      <c r="BZ29" s="37" t="s">
        <v>3161</v>
      </c>
      <c r="CA29" s="60">
        <v>1</v>
      </c>
      <c r="CB29" s="60"/>
      <c r="CC29" s="60"/>
      <c r="CD29" s="60"/>
      <c r="CE29" s="60">
        <v>1</v>
      </c>
      <c r="CF29"/>
      <c r="CG29"/>
      <c r="CH29"/>
      <c r="CI29"/>
      <c r="CJ29"/>
      <c r="CK29"/>
      <c r="CL29"/>
      <c r="CM29"/>
      <c r="CN29"/>
      <c r="CO29"/>
      <c r="CP29"/>
      <c r="CQ29"/>
      <c r="CR29"/>
      <c r="CS29"/>
      <c r="CT29"/>
    </row>
    <row r="30" spans="1:98" x14ac:dyDescent="0.25">
      <c r="A30" s="13" t="s">
        <v>68</v>
      </c>
      <c r="B30" s="59">
        <v>3</v>
      </c>
      <c r="C30" s="59">
        <v>5</v>
      </c>
      <c r="D30" s="59">
        <v>8</v>
      </c>
      <c r="E30" s="59">
        <v>3</v>
      </c>
      <c r="F30" s="59">
        <v>11</v>
      </c>
      <c r="G30"/>
      <c r="K30" s="17" t="s">
        <v>146</v>
      </c>
      <c r="L30" s="59">
        <v>10</v>
      </c>
      <c r="M30" s="15">
        <v>0.57797851158652913</v>
      </c>
      <c r="N30" s="59">
        <v>2123292.0999999996</v>
      </c>
      <c r="O30" s="59">
        <v>4</v>
      </c>
      <c r="P30" s="15">
        <v>0.42202148841347087</v>
      </c>
      <c r="Q30" s="59">
        <v>1550360.2200000002</v>
      </c>
      <c r="R30" s="59">
        <v>14</v>
      </c>
      <c r="S30" s="15">
        <v>1</v>
      </c>
      <c r="T30" s="59">
        <v>3673652.32</v>
      </c>
      <c r="V30" s="17" t="s">
        <v>146</v>
      </c>
      <c r="W30" s="59">
        <v>14</v>
      </c>
      <c r="X30" s="59"/>
      <c r="Y30" s="59">
        <v>14</v>
      </c>
      <c r="Z30"/>
      <c r="AA30" s="17" t="s">
        <v>146</v>
      </c>
      <c r="AB30" s="59">
        <v>934237.66</v>
      </c>
      <c r="AE30" s="13" t="str">
        <f t="shared" si="0"/>
        <v>PRAVEEN/ADILABAD , 8639562425</v>
      </c>
      <c r="AF30" s="13">
        <f t="shared" si="1"/>
        <v>14</v>
      </c>
      <c r="AG30" s="13">
        <f t="shared" si="2"/>
        <v>4</v>
      </c>
      <c r="AH30" s="13">
        <f t="shared" si="3"/>
        <v>10</v>
      </c>
      <c r="AI30" s="13">
        <f t="shared" si="4"/>
        <v>3673652.32</v>
      </c>
      <c r="AJ30" s="22">
        <v>0.75</v>
      </c>
      <c r="AK30" s="13">
        <f t="shared" si="9"/>
        <v>2755239.2399999998</v>
      </c>
      <c r="AL30" s="15">
        <f t="shared" si="5"/>
        <v>0.57797851158652913</v>
      </c>
      <c r="AM30" s="13">
        <f t="shared" si="6"/>
        <v>2123292.0999999996</v>
      </c>
      <c r="AN30" s="13">
        <f t="shared" si="7"/>
        <v>0</v>
      </c>
      <c r="AO30" s="13">
        <f t="shared" si="8"/>
        <v>934237.66</v>
      </c>
      <c r="AR30" s="23"/>
      <c r="AS30" s="23"/>
      <c r="AT30" s="23"/>
      <c r="AU30" s="23"/>
      <c r="AV30" s="23"/>
      <c r="AW30" s="35"/>
      <c r="AX30" s="23"/>
      <c r="AY30" s="26"/>
      <c r="AZ30" s="23"/>
      <c r="BA30" s="23"/>
      <c r="BB30" s="23"/>
      <c r="BD30" s="13" t="s">
        <v>72</v>
      </c>
      <c r="BE30" s="59">
        <v>10421340.440000003</v>
      </c>
      <c r="BF30" s="59">
        <v>1142271.53</v>
      </c>
      <c r="BG30" s="59">
        <v>11563611.970000004</v>
      </c>
      <c r="BH30" s="59">
        <v>0</v>
      </c>
      <c r="BI30" s="59">
        <v>11563611.970000004</v>
      </c>
      <c r="BJ30"/>
      <c r="BK30" s="13" t="s">
        <v>72</v>
      </c>
      <c r="BL30" s="59">
        <v>3403832.8600000003</v>
      </c>
      <c r="BM30" s="59">
        <v>141182</v>
      </c>
      <c r="BN30" s="59">
        <v>3545014.8600000003</v>
      </c>
      <c r="BO30" s="59">
        <v>0</v>
      </c>
      <c r="BP30" s="59">
        <v>3545014.8600000003</v>
      </c>
      <c r="BQ30"/>
      <c r="BR30" s="17" t="s">
        <v>105</v>
      </c>
      <c r="BS30" s="59">
        <v>2851829.1200000006</v>
      </c>
      <c r="BT30"/>
      <c r="BU30"/>
      <c r="BV30"/>
      <c r="BW30"/>
      <c r="BX30"/>
      <c r="BY30"/>
      <c r="BZ30" s="37" t="s">
        <v>61</v>
      </c>
      <c r="CA30" s="60">
        <v>4</v>
      </c>
      <c r="CB30" s="60">
        <v>1</v>
      </c>
      <c r="CC30" s="60">
        <v>2</v>
      </c>
      <c r="CD30" s="60">
        <v>3</v>
      </c>
      <c r="CE30" s="60">
        <v>7</v>
      </c>
      <c r="CF30"/>
      <c r="CG30"/>
      <c r="CH30"/>
      <c r="CI30"/>
      <c r="CJ30"/>
      <c r="CK30"/>
      <c r="CL30"/>
      <c r="CM30"/>
      <c r="CN30"/>
      <c r="CO30"/>
      <c r="CP30"/>
      <c r="CQ30"/>
      <c r="CR30"/>
      <c r="CS30"/>
      <c r="CT30"/>
    </row>
    <row r="31" spans="1:98" x14ac:dyDescent="0.25">
      <c r="A31" s="38" t="s">
        <v>65</v>
      </c>
      <c r="B31" s="39">
        <v>0.2232531113210893</v>
      </c>
      <c r="C31" s="39">
        <v>0.43414295565212618</v>
      </c>
      <c r="D31" s="39">
        <v>0.65739606697321562</v>
      </c>
      <c r="E31" s="39">
        <v>0.34260393302678438</v>
      </c>
      <c r="F31" s="39">
        <v>1</v>
      </c>
      <c r="G31"/>
      <c r="K31" s="17" t="s">
        <v>749</v>
      </c>
      <c r="L31" s="59">
        <v>3</v>
      </c>
      <c r="M31" s="15">
        <v>0.4748432707419098</v>
      </c>
      <c r="N31" s="59">
        <v>1022169.8899999999</v>
      </c>
      <c r="O31" s="59">
        <v>4</v>
      </c>
      <c r="P31" s="15">
        <v>0.52515672925809032</v>
      </c>
      <c r="Q31" s="59">
        <v>1130477</v>
      </c>
      <c r="R31" s="59">
        <v>7</v>
      </c>
      <c r="S31" s="15">
        <v>1</v>
      </c>
      <c r="T31" s="59">
        <v>2152646.8899999997</v>
      </c>
      <c r="V31" s="17" t="s">
        <v>749</v>
      </c>
      <c r="W31" s="59">
        <v>7</v>
      </c>
      <c r="X31" s="59"/>
      <c r="Y31" s="59">
        <v>7</v>
      </c>
      <c r="Z31"/>
      <c r="AA31" s="17" t="s">
        <v>749</v>
      </c>
      <c r="AB31" s="59">
        <v>66500</v>
      </c>
      <c r="AE31" s="13" t="str">
        <f t="shared" si="0"/>
        <v>PRUDHVI/GTR , 8185079989</v>
      </c>
      <c r="AF31" s="13">
        <f t="shared" si="1"/>
        <v>7</v>
      </c>
      <c r="AG31" s="13">
        <f t="shared" si="2"/>
        <v>4</v>
      </c>
      <c r="AH31" s="13">
        <f t="shared" si="3"/>
        <v>3</v>
      </c>
      <c r="AI31" s="13">
        <f t="shared" si="4"/>
        <v>2152646.8899999997</v>
      </c>
      <c r="AJ31" s="22">
        <v>0.75</v>
      </c>
      <c r="AK31" s="13">
        <f t="shared" si="9"/>
        <v>1614485.1674999997</v>
      </c>
      <c r="AL31" s="15">
        <f t="shared" si="5"/>
        <v>0.4748432707419098</v>
      </c>
      <c r="AM31" s="13">
        <f t="shared" si="6"/>
        <v>1022169.8899999999</v>
      </c>
      <c r="AN31" s="13">
        <f t="shared" si="7"/>
        <v>0</v>
      </c>
      <c r="AO31" s="13">
        <f t="shared" si="8"/>
        <v>66500</v>
      </c>
      <c r="AR31" s="23"/>
      <c r="AS31" s="23"/>
      <c r="AT31" s="23"/>
      <c r="AU31" s="23"/>
      <c r="AV31" s="23"/>
      <c r="AW31" s="35"/>
      <c r="AX31" s="23"/>
      <c r="AY31" s="26"/>
      <c r="AZ31" s="23"/>
      <c r="BA31" s="23"/>
      <c r="BB31" s="23"/>
      <c r="BD31" s="17" t="s">
        <v>127</v>
      </c>
      <c r="BE31" s="59"/>
      <c r="BF31" s="59"/>
      <c r="BG31" s="59"/>
      <c r="BH31" s="59"/>
      <c r="BI31" s="59"/>
      <c r="BJ31"/>
      <c r="BK31" s="17" t="s">
        <v>91</v>
      </c>
      <c r="BL31" s="59"/>
      <c r="BM31" s="59"/>
      <c r="BN31" s="59"/>
      <c r="BO31" s="59"/>
      <c r="BP31" s="59"/>
      <c r="BQ31"/>
      <c r="BR31" s="17" t="s">
        <v>62</v>
      </c>
      <c r="BS31" s="59">
        <v>483441.16000000003</v>
      </c>
      <c r="BT31"/>
      <c r="BU31"/>
      <c r="BV31"/>
      <c r="BW31"/>
      <c r="BX31"/>
      <c r="BY31"/>
      <c r="BZ31" s="37" t="s">
        <v>146</v>
      </c>
      <c r="CA31" s="60">
        <v>10</v>
      </c>
      <c r="CB31" s="60"/>
      <c r="CC31" s="60">
        <v>4</v>
      </c>
      <c r="CD31" s="60">
        <v>4</v>
      </c>
      <c r="CE31" s="60">
        <v>14</v>
      </c>
      <c r="CF31"/>
      <c r="CG31"/>
      <c r="CH31"/>
      <c r="CI31"/>
      <c r="CJ31"/>
      <c r="CK31"/>
      <c r="CL31"/>
      <c r="CM31"/>
      <c r="CN31"/>
      <c r="CO31"/>
      <c r="CP31"/>
      <c r="CQ31"/>
      <c r="CR31"/>
      <c r="CS31"/>
      <c r="CT31"/>
    </row>
    <row r="32" spans="1:98" x14ac:dyDescent="0.25">
      <c r="A32" s="13" t="s">
        <v>70</v>
      </c>
      <c r="B32" s="59">
        <v>230827.5</v>
      </c>
      <c r="C32" s="59">
        <v>448872.27999999997</v>
      </c>
      <c r="D32" s="59">
        <v>679699.78</v>
      </c>
      <c r="E32" s="59">
        <v>354227.58</v>
      </c>
      <c r="F32" s="59">
        <v>1033927.3600000001</v>
      </c>
      <c r="G32"/>
      <c r="K32" s="17" t="s">
        <v>105</v>
      </c>
      <c r="L32" s="59">
        <v>7</v>
      </c>
      <c r="M32" s="15">
        <v>0.50946634909177169</v>
      </c>
      <c r="N32" s="59">
        <v>1452910.97</v>
      </c>
      <c r="O32" s="59">
        <v>8</v>
      </c>
      <c r="P32" s="15">
        <v>0.49053365090822837</v>
      </c>
      <c r="Q32" s="59">
        <v>1398918.1500000001</v>
      </c>
      <c r="R32" s="59">
        <v>15</v>
      </c>
      <c r="S32" s="15">
        <v>1</v>
      </c>
      <c r="T32" s="59">
        <v>2851829.12</v>
      </c>
      <c r="V32" s="17" t="s">
        <v>105</v>
      </c>
      <c r="W32" s="59">
        <v>15</v>
      </c>
      <c r="X32" s="59"/>
      <c r="Y32" s="59">
        <v>15</v>
      </c>
      <c r="Z32"/>
      <c r="AA32" s="17" t="s">
        <v>105</v>
      </c>
      <c r="AB32" s="59">
        <v>512950.62999999995</v>
      </c>
      <c r="AE32" s="13" t="str">
        <f t="shared" si="0"/>
        <v>RABBANI/KURNOOL , 9052323785</v>
      </c>
      <c r="AF32" s="13">
        <f t="shared" si="1"/>
        <v>15</v>
      </c>
      <c r="AG32" s="13">
        <f t="shared" si="2"/>
        <v>8</v>
      </c>
      <c r="AH32" s="13">
        <f t="shared" si="3"/>
        <v>7</v>
      </c>
      <c r="AI32" s="13">
        <f t="shared" si="4"/>
        <v>2851829.12</v>
      </c>
      <c r="AJ32" s="22">
        <v>0.75</v>
      </c>
      <c r="AK32" s="13">
        <f t="shared" si="9"/>
        <v>2138871.84</v>
      </c>
      <c r="AL32" s="15">
        <f t="shared" si="5"/>
        <v>0.50946634909177169</v>
      </c>
      <c r="AM32" s="13">
        <f t="shared" si="6"/>
        <v>1452910.97</v>
      </c>
      <c r="AN32" s="13">
        <f t="shared" si="7"/>
        <v>0</v>
      </c>
      <c r="AO32" s="13">
        <f t="shared" si="8"/>
        <v>512950.62999999995</v>
      </c>
      <c r="AR32" s="23"/>
      <c r="AS32" s="23"/>
      <c r="AT32" s="23"/>
      <c r="AU32" s="23"/>
      <c r="AV32" s="23"/>
      <c r="AW32" s="35"/>
      <c r="AX32" s="23"/>
      <c r="AY32" s="26"/>
      <c r="AZ32" s="23"/>
      <c r="BA32" s="23"/>
      <c r="BB32" s="23"/>
      <c r="BD32" s="13" t="s">
        <v>68</v>
      </c>
      <c r="BE32" s="59">
        <v>32</v>
      </c>
      <c r="BF32" s="59">
        <v>42</v>
      </c>
      <c r="BG32" s="59">
        <v>74</v>
      </c>
      <c r="BH32" s="59">
        <v>46</v>
      </c>
      <c r="BI32" s="59">
        <v>120</v>
      </c>
      <c r="BJ32"/>
      <c r="BK32" s="13" t="s">
        <v>68</v>
      </c>
      <c r="BL32" s="59">
        <v>45</v>
      </c>
      <c r="BM32" s="59">
        <v>59</v>
      </c>
      <c r="BN32" s="59">
        <v>104</v>
      </c>
      <c r="BO32" s="59">
        <v>94</v>
      </c>
      <c r="BP32" s="59">
        <v>198</v>
      </c>
      <c r="BQ32"/>
      <c r="BR32" s="17" t="s">
        <v>130</v>
      </c>
      <c r="BS32" s="59">
        <v>2188652.5</v>
      </c>
      <c r="BT32"/>
      <c r="BU32"/>
      <c r="BV32"/>
      <c r="BW32"/>
      <c r="BX32"/>
      <c r="BY32"/>
      <c r="BZ32" s="37" t="s">
        <v>749</v>
      </c>
      <c r="CA32" s="60">
        <v>3</v>
      </c>
      <c r="CB32" s="60"/>
      <c r="CC32" s="60">
        <v>4</v>
      </c>
      <c r="CD32" s="60">
        <v>4</v>
      </c>
      <c r="CE32" s="60">
        <v>7</v>
      </c>
      <c r="CF32"/>
      <c r="CG32"/>
      <c r="CH32"/>
      <c r="CI32"/>
      <c r="CJ32"/>
      <c r="CK32"/>
      <c r="CL32"/>
      <c r="CM32"/>
      <c r="CN32"/>
      <c r="CO32"/>
      <c r="CP32"/>
      <c r="CQ32"/>
      <c r="CR32"/>
      <c r="CS32"/>
      <c r="CT32"/>
    </row>
    <row r="33" spans="1:98" x14ac:dyDescent="0.25">
      <c r="A33" s="13" t="s">
        <v>72</v>
      </c>
      <c r="B33" s="59">
        <v>59340</v>
      </c>
      <c r="C33" s="59">
        <v>54610</v>
      </c>
      <c r="D33" s="59">
        <v>113950</v>
      </c>
      <c r="E33" s="59">
        <v>0</v>
      </c>
      <c r="F33" s="59">
        <v>113950</v>
      </c>
      <c r="G33"/>
      <c r="K33" s="17" t="s">
        <v>62</v>
      </c>
      <c r="L33" s="59">
        <v>2</v>
      </c>
      <c r="M33" s="15">
        <v>1</v>
      </c>
      <c r="N33" s="59">
        <v>483441.16000000003</v>
      </c>
      <c r="O33" s="59"/>
      <c r="P33" s="15">
        <v>0</v>
      </c>
      <c r="Q33" s="59"/>
      <c r="R33" s="59">
        <v>2</v>
      </c>
      <c r="S33" s="15">
        <v>1</v>
      </c>
      <c r="T33" s="59">
        <v>483441.16000000003</v>
      </c>
      <c r="V33" s="17" t="s">
        <v>62</v>
      </c>
      <c r="W33" s="59">
        <v>2</v>
      </c>
      <c r="X33" s="59"/>
      <c r="Y33" s="59">
        <v>2</v>
      </c>
      <c r="Z33"/>
      <c r="AA33" s="17" t="s">
        <v>62</v>
      </c>
      <c r="AB33" s="59">
        <v>418535.02</v>
      </c>
      <c r="AE33" s="13" t="str">
        <f t="shared" si="0"/>
        <v>RAHUL/TS , 9642288392</v>
      </c>
      <c r="AF33" s="13">
        <f t="shared" si="1"/>
        <v>2</v>
      </c>
      <c r="AG33" s="13">
        <f t="shared" si="2"/>
        <v>0</v>
      </c>
      <c r="AH33" s="13">
        <f t="shared" si="3"/>
        <v>2</v>
      </c>
      <c r="AI33" s="13">
        <f t="shared" si="4"/>
        <v>483441.16000000003</v>
      </c>
      <c r="AJ33" s="22">
        <v>0.75</v>
      </c>
      <c r="AK33" s="13">
        <f t="shared" si="9"/>
        <v>362580.87</v>
      </c>
      <c r="AL33" s="15">
        <f t="shared" si="5"/>
        <v>1</v>
      </c>
      <c r="AM33" s="13">
        <f t="shared" si="6"/>
        <v>483441.16000000003</v>
      </c>
      <c r="AN33" s="13">
        <f t="shared" si="7"/>
        <v>0</v>
      </c>
      <c r="AO33" s="13">
        <f t="shared" si="8"/>
        <v>418535.02</v>
      </c>
      <c r="AR33" s="23"/>
      <c r="AS33" s="23"/>
      <c r="AT33" s="23"/>
      <c r="AU33" s="23"/>
      <c r="AV33" s="23"/>
      <c r="AW33" s="35"/>
      <c r="AX33" s="23"/>
      <c r="AY33" s="26"/>
      <c r="AZ33" s="23"/>
      <c r="BA33" s="23"/>
      <c r="BB33" s="23"/>
      <c r="BD33" s="18" t="s">
        <v>65</v>
      </c>
      <c r="BE33" s="19">
        <v>0.23067809822163662</v>
      </c>
      <c r="BF33" s="19">
        <v>0.40299450289850303</v>
      </c>
      <c r="BG33" s="19">
        <v>0.63367260112013968</v>
      </c>
      <c r="BH33" s="19">
        <v>0.36632739887986032</v>
      </c>
      <c r="BI33" s="19">
        <v>1</v>
      </c>
      <c r="BJ33"/>
      <c r="BK33" s="18" t="s">
        <v>65</v>
      </c>
      <c r="BL33" s="19">
        <v>0.1903082857963127</v>
      </c>
      <c r="BM33" s="19">
        <v>0.33233447498435709</v>
      </c>
      <c r="BN33" s="19">
        <v>0.52264276078066996</v>
      </c>
      <c r="BO33" s="19">
        <v>0.47735723921932993</v>
      </c>
      <c r="BP33" s="19">
        <v>1</v>
      </c>
      <c r="BQ33"/>
      <c r="BR33" s="17" t="s">
        <v>128</v>
      </c>
      <c r="BS33" s="59">
        <v>2588118.09</v>
      </c>
      <c r="BT33"/>
      <c r="BU33"/>
      <c r="BV33"/>
      <c r="BW33"/>
      <c r="BX33"/>
      <c r="BY33"/>
      <c r="BZ33" s="37" t="s">
        <v>105</v>
      </c>
      <c r="CA33" s="60">
        <v>7</v>
      </c>
      <c r="CB33" s="60"/>
      <c r="CC33" s="60">
        <v>8</v>
      </c>
      <c r="CD33" s="60">
        <v>8</v>
      </c>
      <c r="CE33" s="60">
        <v>15</v>
      </c>
      <c r="CF33"/>
      <c r="CG33"/>
      <c r="CH33"/>
      <c r="CI33"/>
      <c r="CJ33"/>
      <c r="CK33"/>
      <c r="CL33"/>
      <c r="CM33"/>
      <c r="CN33"/>
      <c r="CO33"/>
      <c r="CP33"/>
      <c r="CQ33"/>
      <c r="CR33"/>
      <c r="CS33"/>
      <c r="CT33"/>
    </row>
    <row r="34" spans="1:98" x14ac:dyDescent="0.25">
      <c r="A34" s="17">
        <v>9</v>
      </c>
      <c r="B34" s="59"/>
      <c r="C34" s="59"/>
      <c r="D34" s="59"/>
      <c r="E34" s="59"/>
      <c r="F34" s="59"/>
      <c r="G34"/>
      <c r="K34" s="17" t="s">
        <v>130</v>
      </c>
      <c r="L34" s="59">
        <v>4</v>
      </c>
      <c r="M34" s="15">
        <v>0.15552942735313166</v>
      </c>
      <c r="N34" s="59">
        <v>340399.87</v>
      </c>
      <c r="O34" s="59">
        <v>8</v>
      </c>
      <c r="P34" s="15">
        <v>0.84447057264686831</v>
      </c>
      <c r="Q34" s="59">
        <v>1848252.63</v>
      </c>
      <c r="R34" s="59">
        <v>12</v>
      </c>
      <c r="S34" s="15">
        <v>1</v>
      </c>
      <c r="T34" s="59">
        <v>2188652.5</v>
      </c>
      <c r="V34" s="17" t="s">
        <v>130</v>
      </c>
      <c r="W34" s="59">
        <v>9</v>
      </c>
      <c r="X34" s="59">
        <v>3</v>
      </c>
      <c r="Y34" s="59">
        <v>12</v>
      </c>
      <c r="Z34"/>
      <c r="AA34" s="17" t="s">
        <v>130</v>
      </c>
      <c r="AB34" s="59">
        <v>255426.46000000002</v>
      </c>
      <c r="AE34" s="13" t="str">
        <f t="shared" si="0"/>
        <v>RAJKUMAR/MEDAK , 7670935091</v>
      </c>
      <c r="AF34" s="13">
        <f t="shared" si="1"/>
        <v>12</v>
      </c>
      <c r="AG34" s="13">
        <f t="shared" si="2"/>
        <v>8</v>
      </c>
      <c r="AH34" s="13">
        <f t="shared" si="3"/>
        <v>4</v>
      </c>
      <c r="AI34" s="13">
        <f t="shared" si="4"/>
        <v>2188652.5</v>
      </c>
      <c r="AJ34" s="22">
        <v>0.75</v>
      </c>
      <c r="AK34" s="13">
        <f t="shared" si="9"/>
        <v>1641489.375</v>
      </c>
      <c r="AL34" s="15">
        <f t="shared" si="5"/>
        <v>0.15552942735313166</v>
      </c>
      <c r="AM34" s="13">
        <f t="shared" si="6"/>
        <v>340399.87</v>
      </c>
      <c r="AN34" s="13">
        <f t="shared" si="7"/>
        <v>3</v>
      </c>
      <c r="AO34" s="13">
        <f t="shared" si="8"/>
        <v>255426.46000000002</v>
      </c>
      <c r="AR34" s="23"/>
      <c r="AS34" s="23"/>
      <c r="AT34" s="23"/>
      <c r="AU34" s="23"/>
      <c r="AV34" s="23"/>
      <c r="AW34" s="35"/>
      <c r="AX34" s="23"/>
      <c r="AY34" s="26"/>
      <c r="AZ34" s="23"/>
      <c r="BA34" s="23"/>
      <c r="BB34" s="23"/>
      <c r="BD34" s="13" t="s">
        <v>70</v>
      </c>
      <c r="BE34" s="59">
        <v>5513235.2600000007</v>
      </c>
      <c r="BF34" s="59">
        <v>9631618.7799999975</v>
      </c>
      <c r="BG34" s="59">
        <v>15144854.039999999</v>
      </c>
      <c r="BH34" s="59">
        <v>8755270.4299999997</v>
      </c>
      <c r="BI34" s="59">
        <v>23900124.469999999</v>
      </c>
      <c r="BJ34"/>
      <c r="BK34" s="13" t="s">
        <v>70</v>
      </c>
      <c r="BL34" s="59">
        <v>7652300.4499999993</v>
      </c>
      <c r="BM34" s="59">
        <v>13363176.709999997</v>
      </c>
      <c r="BN34" s="59">
        <v>21015477.160000004</v>
      </c>
      <c r="BO34" s="59">
        <v>19194545.319999997</v>
      </c>
      <c r="BP34" s="59">
        <v>40210022.480000004</v>
      </c>
      <c r="BQ34"/>
      <c r="BR34" s="17" t="s">
        <v>147</v>
      </c>
      <c r="BS34" s="59">
        <v>617558.91</v>
      </c>
      <c r="BT34"/>
      <c r="BU34"/>
      <c r="BV34"/>
      <c r="BW34"/>
      <c r="BX34"/>
      <c r="BY34"/>
      <c r="BZ34" s="37" t="s">
        <v>62</v>
      </c>
      <c r="CA34" s="60">
        <v>2</v>
      </c>
      <c r="CB34" s="60"/>
      <c r="CC34" s="60"/>
      <c r="CD34" s="60"/>
      <c r="CE34" s="60">
        <v>2</v>
      </c>
      <c r="CF34"/>
      <c r="CG34"/>
      <c r="CH34"/>
      <c r="CI34"/>
      <c r="CJ34"/>
      <c r="CK34"/>
      <c r="CL34"/>
      <c r="CM34"/>
      <c r="CN34"/>
      <c r="CO34"/>
      <c r="CP34"/>
      <c r="CQ34"/>
      <c r="CR34"/>
      <c r="CS34"/>
      <c r="CT34"/>
    </row>
    <row r="35" spans="1:98" x14ac:dyDescent="0.25">
      <c r="A35" s="13" t="s">
        <v>68</v>
      </c>
      <c r="B35" s="59"/>
      <c r="C35" s="59"/>
      <c r="D35" s="59"/>
      <c r="E35" s="59">
        <v>1</v>
      </c>
      <c r="F35" s="59">
        <v>1</v>
      </c>
      <c r="G35"/>
      <c r="K35" s="17" t="s">
        <v>128</v>
      </c>
      <c r="L35" s="59">
        <v>10</v>
      </c>
      <c r="M35" s="15">
        <v>0.54071582568320897</v>
      </c>
      <c r="N35" s="59">
        <v>1399436.41</v>
      </c>
      <c r="O35" s="59">
        <v>6</v>
      </c>
      <c r="P35" s="15">
        <v>0.45928417431679086</v>
      </c>
      <c r="Q35" s="59">
        <v>1188681.68</v>
      </c>
      <c r="R35" s="59">
        <v>16</v>
      </c>
      <c r="S35" s="15">
        <v>1</v>
      </c>
      <c r="T35" s="59">
        <v>2588118.0900000003</v>
      </c>
      <c r="V35" s="17" t="s">
        <v>128</v>
      </c>
      <c r="W35" s="59">
        <v>14</v>
      </c>
      <c r="X35" s="59">
        <v>2</v>
      </c>
      <c r="Y35" s="59">
        <v>16</v>
      </c>
      <c r="Z35"/>
      <c r="AA35" s="17" t="s">
        <v>128</v>
      </c>
      <c r="AB35" s="59">
        <v>313389.36</v>
      </c>
      <c r="AE35" s="13" t="str">
        <f t="shared" si="0"/>
        <v>RAKESH/WEST , 9121493562</v>
      </c>
      <c r="AF35" s="13">
        <f t="shared" si="1"/>
        <v>16</v>
      </c>
      <c r="AG35" s="13">
        <f t="shared" si="2"/>
        <v>6</v>
      </c>
      <c r="AH35" s="13">
        <f t="shared" si="3"/>
        <v>10</v>
      </c>
      <c r="AI35" s="13">
        <f t="shared" si="4"/>
        <v>2588118.0900000003</v>
      </c>
      <c r="AJ35" s="22">
        <v>0.75</v>
      </c>
      <c r="AK35" s="13">
        <f t="shared" si="9"/>
        <v>1941088.5675000004</v>
      </c>
      <c r="AL35" s="15">
        <f t="shared" si="5"/>
        <v>0.54071582568320897</v>
      </c>
      <c r="AM35" s="13">
        <f t="shared" si="6"/>
        <v>1399436.41</v>
      </c>
      <c r="AN35" s="13">
        <f t="shared" si="7"/>
        <v>2</v>
      </c>
      <c r="AO35" s="13">
        <f t="shared" si="8"/>
        <v>313389.36</v>
      </c>
      <c r="AR35" s="23"/>
      <c r="AS35" s="23"/>
      <c r="AT35" s="23"/>
      <c r="AU35" s="23"/>
      <c r="AV35" s="23"/>
      <c r="AW35" s="35"/>
      <c r="AX35" s="23"/>
      <c r="AY35" s="26"/>
      <c r="AZ35" s="23"/>
      <c r="BA35" s="23"/>
      <c r="BB35" s="23"/>
      <c r="BD35" s="13" t="s">
        <v>72</v>
      </c>
      <c r="BE35" s="59">
        <v>3602956.45</v>
      </c>
      <c r="BF35" s="59">
        <v>926131.86</v>
      </c>
      <c r="BG35" s="59">
        <v>4529088.3099999996</v>
      </c>
      <c r="BH35" s="59">
        <v>0</v>
      </c>
      <c r="BI35" s="59">
        <v>4529088.3099999996</v>
      </c>
      <c r="BJ35"/>
      <c r="BK35" s="13" t="s">
        <v>72</v>
      </c>
      <c r="BL35" s="59">
        <v>3962678.91</v>
      </c>
      <c r="BM35" s="59">
        <v>1245763.47</v>
      </c>
      <c r="BN35" s="59">
        <v>5208442.38</v>
      </c>
      <c r="BO35" s="59">
        <v>0</v>
      </c>
      <c r="BP35" s="59">
        <v>5208442.38</v>
      </c>
      <c r="BQ35"/>
      <c r="BR35" s="17" t="s">
        <v>1658</v>
      </c>
      <c r="BS35" s="59">
        <v>4436899.5199999996</v>
      </c>
      <c r="BT35"/>
      <c r="BU35"/>
      <c r="BV35"/>
      <c r="BW35"/>
      <c r="BX35"/>
      <c r="BY35"/>
      <c r="BZ35" s="37" t="s">
        <v>130</v>
      </c>
      <c r="CA35" s="60">
        <v>4</v>
      </c>
      <c r="CB35" s="60">
        <v>3</v>
      </c>
      <c r="CC35" s="60">
        <v>5</v>
      </c>
      <c r="CD35" s="60">
        <v>8</v>
      </c>
      <c r="CE35" s="60">
        <v>12</v>
      </c>
      <c r="CF35"/>
      <c r="CG35"/>
      <c r="CH35"/>
      <c r="CI35"/>
      <c r="CJ35"/>
      <c r="CK35"/>
      <c r="CL35"/>
      <c r="CM35"/>
      <c r="CN35"/>
      <c r="CO35"/>
      <c r="CP35"/>
      <c r="CQ35"/>
      <c r="CR35"/>
      <c r="CS35"/>
      <c r="CT35"/>
    </row>
    <row r="36" spans="1:98" x14ac:dyDescent="0.25">
      <c r="A36" s="38" t="s">
        <v>65</v>
      </c>
      <c r="B36" s="39">
        <v>0</v>
      </c>
      <c r="C36" s="39">
        <v>0</v>
      </c>
      <c r="D36" s="39">
        <v>0</v>
      </c>
      <c r="E36" s="39">
        <v>1</v>
      </c>
      <c r="F36" s="39">
        <v>1</v>
      </c>
      <c r="G36"/>
      <c r="K36" s="17" t="s">
        <v>147</v>
      </c>
      <c r="L36" s="59">
        <v>2</v>
      </c>
      <c r="M36" s="15">
        <v>0.91490462019242824</v>
      </c>
      <c r="N36" s="59">
        <v>565007.5</v>
      </c>
      <c r="O36" s="59">
        <v>1</v>
      </c>
      <c r="P36" s="15">
        <v>8.5095379807571717E-2</v>
      </c>
      <c r="Q36" s="59">
        <v>52551.41</v>
      </c>
      <c r="R36" s="59">
        <v>3</v>
      </c>
      <c r="S36" s="15">
        <v>1</v>
      </c>
      <c r="T36" s="59">
        <v>617558.91</v>
      </c>
      <c r="V36" s="17" t="s">
        <v>147</v>
      </c>
      <c r="W36" s="59">
        <v>3</v>
      </c>
      <c r="X36" s="59"/>
      <c r="Y36" s="59">
        <v>3</v>
      </c>
      <c r="Z36"/>
      <c r="AA36" s="17" t="s">
        <v>147</v>
      </c>
      <c r="AB36" s="59">
        <v>255007</v>
      </c>
      <c r="AE36" s="13" t="str">
        <f t="shared" si="0"/>
        <v>RANJITH/TS , 7794980652</v>
      </c>
      <c r="AF36" s="13">
        <f t="shared" si="1"/>
        <v>3</v>
      </c>
      <c r="AG36" s="13">
        <f t="shared" si="2"/>
        <v>1</v>
      </c>
      <c r="AH36" s="13">
        <f t="shared" si="3"/>
        <v>2</v>
      </c>
      <c r="AI36" s="13">
        <f t="shared" si="4"/>
        <v>617558.91</v>
      </c>
      <c r="AJ36" s="22">
        <v>0.75</v>
      </c>
      <c r="AK36" s="13">
        <f t="shared" si="9"/>
        <v>463169.1825</v>
      </c>
      <c r="AL36" s="15">
        <f t="shared" si="5"/>
        <v>0.91490462019242824</v>
      </c>
      <c r="AM36" s="13">
        <f t="shared" si="6"/>
        <v>565007.5</v>
      </c>
      <c r="AN36" s="13">
        <f t="shared" si="7"/>
        <v>0</v>
      </c>
      <c r="AO36" s="13">
        <f t="shared" si="8"/>
        <v>255007</v>
      </c>
      <c r="AR36" s="23"/>
      <c r="AS36" s="23"/>
      <c r="AT36" s="23"/>
      <c r="AU36" s="23"/>
      <c r="AV36" s="23"/>
      <c r="AW36" s="35"/>
      <c r="AX36" s="23"/>
      <c r="AY36" s="26"/>
      <c r="AZ36" s="23"/>
      <c r="BA36" s="23"/>
      <c r="BB36" s="23"/>
      <c r="BD36" s="13" t="s">
        <v>69</v>
      </c>
      <c r="BE36" s="59">
        <v>181</v>
      </c>
      <c r="BF36" s="59">
        <v>166</v>
      </c>
      <c r="BG36" s="59">
        <v>347</v>
      </c>
      <c r="BH36" s="59">
        <v>246</v>
      </c>
      <c r="BI36" s="59">
        <v>593</v>
      </c>
      <c r="BJ36"/>
      <c r="BK36" s="17" t="s">
        <v>447</v>
      </c>
      <c r="BL36" s="59"/>
      <c r="BM36" s="59"/>
      <c r="BN36" s="59"/>
      <c r="BO36" s="59"/>
      <c r="BP36" s="59"/>
      <c r="BQ36"/>
      <c r="BR36" s="17" t="s">
        <v>610</v>
      </c>
      <c r="BS36" s="59">
        <v>4133277.6000000006</v>
      </c>
      <c r="BT36"/>
      <c r="BU36"/>
      <c r="BV36"/>
      <c r="BW36"/>
      <c r="BX36"/>
      <c r="BY36"/>
      <c r="BZ36" s="37" t="s">
        <v>128</v>
      </c>
      <c r="CA36" s="60">
        <v>10</v>
      </c>
      <c r="CB36" s="60">
        <v>2</v>
      </c>
      <c r="CC36" s="60">
        <v>4</v>
      </c>
      <c r="CD36" s="60">
        <v>6</v>
      </c>
      <c r="CE36" s="60">
        <v>16</v>
      </c>
      <c r="CF36"/>
      <c r="CG36"/>
      <c r="CH36"/>
      <c r="CI36"/>
      <c r="CJ36"/>
      <c r="CK36"/>
      <c r="CL36"/>
      <c r="CM36"/>
      <c r="CN36"/>
      <c r="CO36"/>
      <c r="CP36"/>
      <c r="CQ36"/>
      <c r="CR36"/>
      <c r="CS36"/>
      <c r="CT36"/>
    </row>
    <row r="37" spans="1:98" x14ac:dyDescent="0.25">
      <c r="A37" s="13" t="s">
        <v>70</v>
      </c>
      <c r="B37" s="59"/>
      <c r="C37" s="59"/>
      <c r="D37" s="59"/>
      <c r="E37" s="59">
        <v>222985.21</v>
      </c>
      <c r="F37" s="59">
        <v>222985.21</v>
      </c>
      <c r="G37"/>
      <c r="K37" s="17" t="s">
        <v>1658</v>
      </c>
      <c r="L37" s="59">
        <v>9</v>
      </c>
      <c r="M37" s="15">
        <v>0.47115044651721116</v>
      </c>
      <c r="N37" s="59">
        <v>2090447.1900000002</v>
      </c>
      <c r="O37" s="59">
        <v>12</v>
      </c>
      <c r="P37" s="15">
        <v>0.52884955348278873</v>
      </c>
      <c r="Q37" s="59">
        <v>2346452.33</v>
      </c>
      <c r="R37" s="59">
        <v>21</v>
      </c>
      <c r="S37" s="15">
        <v>1</v>
      </c>
      <c r="T37" s="59">
        <v>4436899.5200000005</v>
      </c>
      <c r="V37" s="17" t="s">
        <v>1658</v>
      </c>
      <c r="W37" s="59">
        <v>14</v>
      </c>
      <c r="X37" s="59">
        <v>7</v>
      </c>
      <c r="Y37" s="59">
        <v>21</v>
      </c>
      <c r="Z37"/>
      <c r="AA37" s="17" t="s">
        <v>1658</v>
      </c>
      <c r="AB37" s="59">
        <v>1256896.56</v>
      </c>
      <c r="AE37" s="13" t="str">
        <f t="shared" si="0"/>
        <v>RAVI/MAHBOOBNAGAR , 7842719686</v>
      </c>
      <c r="AF37" s="13">
        <f t="shared" si="1"/>
        <v>21</v>
      </c>
      <c r="AG37" s="13">
        <f t="shared" si="2"/>
        <v>12</v>
      </c>
      <c r="AH37" s="13">
        <f t="shared" si="3"/>
        <v>9</v>
      </c>
      <c r="AI37" s="13">
        <f t="shared" si="4"/>
        <v>4436899.5200000005</v>
      </c>
      <c r="AJ37" s="22">
        <v>0.75</v>
      </c>
      <c r="AK37" s="13">
        <f t="shared" si="9"/>
        <v>3327674.6400000006</v>
      </c>
      <c r="AL37" s="15">
        <f t="shared" si="5"/>
        <v>0.47115044651721116</v>
      </c>
      <c r="AM37" s="13">
        <f t="shared" si="6"/>
        <v>2090447.1900000002</v>
      </c>
      <c r="AN37" s="13">
        <f t="shared" si="7"/>
        <v>7</v>
      </c>
      <c r="AO37" s="13">
        <f t="shared" si="8"/>
        <v>1256896.56</v>
      </c>
      <c r="AR37" s="23"/>
      <c r="AS37" s="23"/>
      <c r="AT37" s="23"/>
      <c r="AU37" s="23"/>
      <c r="AV37" s="23"/>
      <c r="AW37" s="35"/>
      <c r="AX37" s="23"/>
      <c r="AY37" s="26"/>
      <c r="AZ37" s="23"/>
      <c r="BA37" s="23"/>
      <c r="BB37" s="23"/>
      <c r="BD37" s="13" t="s">
        <v>66</v>
      </c>
      <c r="BE37" s="19">
        <v>0.29975377631163913</v>
      </c>
      <c r="BF37" s="19">
        <v>0.26936223645506946</v>
      </c>
      <c r="BG37" s="19">
        <v>0.56911601276670865</v>
      </c>
      <c r="BH37" s="19">
        <v>0.43088398723329152</v>
      </c>
      <c r="BI37" s="19">
        <v>1</v>
      </c>
      <c r="BJ37"/>
      <c r="BK37" s="13" t="s">
        <v>68</v>
      </c>
      <c r="BL37" s="59">
        <v>22</v>
      </c>
      <c r="BM37" s="59">
        <v>13</v>
      </c>
      <c r="BN37" s="59">
        <v>35</v>
      </c>
      <c r="BO37" s="59">
        <v>22</v>
      </c>
      <c r="BP37" s="59">
        <v>57</v>
      </c>
      <c r="BQ37"/>
      <c r="BR37" s="17" t="s">
        <v>101</v>
      </c>
      <c r="BS37" s="59">
        <v>3355942.0399999991</v>
      </c>
      <c r="BT37"/>
      <c r="BU37"/>
      <c r="BV37"/>
      <c r="BW37"/>
      <c r="BX37"/>
      <c r="BY37"/>
      <c r="BZ37" s="37" t="s">
        <v>147</v>
      </c>
      <c r="CA37" s="60">
        <v>2</v>
      </c>
      <c r="CB37" s="60"/>
      <c r="CC37" s="60">
        <v>1</v>
      </c>
      <c r="CD37" s="60">
        <v>1</v>
      </c>
      <c r="CE37" s="60">
        <v>3</v>
      </c>
      <c r="CF37"/>
      <c r="CG37"/>
      <c r="CH37"/>
      <c r="CI37"/>
      <c r="CJ37"/>
      <c r="CK37"/>
      <c r="CL37"/>
      <c r="CM37"/>
      <c r="CN37"/>
      <c r="CO37"/>
      <c r="CP37"/>
      <c r="CQ37"/>
      <c r="CR37"/>
      <c r="CS37"/>
      <c r="CT37"/>
    </row>
    <row r="38" spans="1:98" x14ac:dyDescent="0.25">
      <c r="A38" s="13" t="s">
        <v>72</v>
      </c>
      <c r="B38" s="59"/>
      <c r="C38" s="59"/>
      <c r="D38" s="59"/>
      <c r="E38" s="59">
        <v>0</v>
      </c>
      <c r="F38" s="59">
        <v>0</v>
      </c>
      <c r="G38"/>
      <c r="K38" s="17" t="s">
        <v>610</v>
      </c>
      <c r="L38" s="59">
        <v>15</v>
      </c>
      <c r="M38" s="15">
        <v>0.61656442093315966</v>
      </c>
      <c r="N38" s="59">
        <v>2548431.91</v>
      </c>
      <c r="O38" s="59">
        <v>5</v>
      </c>
      <c r="P38" s="15">
        <v>0.38343557906684034</v>
      </c>
      <c r="Q38" s="59">
        <v>1584845.6900000002</v>
      </c>
      <c r="R38" s="59">
        <v>20</v>
      </c>
      <c r="S38" s="15">
        <v>1</v>
      </c>
      <c r="T38" s="59">
        <v>4133277.6000000006</v>
      </c>
      <c r="V38" s="17" t="s">
        <v>610</v>
      </c>
      <c r="W38" s="59">
        <v>19</v>
      </c>
      <c r="X38" s="59">
        <v>1</v>
      </c>
      <c r="Y38" s="59">
        <v>20</v>
      </c>
      <c r="Z38"/>
      <c r="AA38" s="17" t="s">
        <v>610</v>
      </c>
      <c r="AB38" s="59">
        <v>642902.59</v>
      </c>
      <c r="AE38" s="13" t="str">
        <f t="shared" si="0"/>
        <v>SAGAR/WARANGAL , 7396297747</v>
      </c>
      <c r="AF38" s="13">
        <f t="shared" si="1"/>
        <v>20</v>
      </c>
      <c r="AG38" s="13">
        <f t="shared" si="2"/>
        <v>5</v>
      </c>
      <c r="AH38" s="13">
        <f t="shared" si="3"/>
        <v>15</v>
      </c>
      <c r="AI38" s="13">
        <f t="shared" si="4"/>
        <v>4133277.6000000006</v>
      </c>
      <c r="AJ38" s="22">
        <v>0.75</v>
      </c>
      <c r="AK38" s="13">
        <f t="shared" si="9"/>
        <v>3099958.2</v>
      </c>
      <c r="AL38" s="15">
        <f t="shared" si="5"/>
        <v>0.61656442093315966</v>
      </c>
      <c r="AM38" s="13">
        <f t="shared" si="6"/>
        <v>2548431.91</v>
      </c>
      <c r="AN38" s="13">
        <f t="shared" si="7"/>
        <v>1</v>
      </c>
      <c r="AO38" s="13">
        <f t="shared" si="8"/>
        <v>642902.59</v>
      </c>
      <c r="AR38" s="23"/>
      <c r="AS38" s="23"/>
      <c r="AT38" s="23"/>
      <c r="AU38" s="23"/>
      <c r="AV38" s="23"/>
      <c r="AW38" s="35"/>
      <c r="AX38" s="23"/>
      <c r="AY38" s="26"/>
      <c r="AZ38" s="23"/>
      <c r="BA38" s="23"/>
      <c r="BB38" s="23"/>
      <c r="BD38" s="13" t="s">
        <v>71</v>
      </c>
      <c r="BE38" s="59">
        <v>37484283.709999993</v>
      </c>
      <c r="BF38" s="59">
        <v>33683814.150000006</v>
      </c>
      <c r="BG38" s="59">
        <v>71168097.860000014</v>
      </c>
      <c r="BH38" s="59">
        <v>53882148.949999981</v>
      </c>
      <c r="BI38" s="59">
        <v>125050246.80999997</v>
      </c>
      <c r="BJ38"/>
      <c r="BK38" s="18" t="s">
        <v>65</v>
      </c>
      <c r="BL38" s="19">
        <v>0.38987713256052398</v>
      </c>
      <c r="BM38" s="19">
        <v>0.21640568863129395</v>
      </c>
      <c r="BN38" s="19">
        <v>0.60628282119181787</v>
      </c>
      <c r="BO38" s="19">
        <v>0.39371717880818224</v>
      </c>
      <c r="BP38" s="19">
        <v>1</v>
      </c>
      <c r="BQ38"/>
      <c r="BR38" s="17" t="s">
        <v>3469</v>
      </c>
      <c r="BS38" s="59">
        <v>2957149.64</v>
      </c>
      <c r="BT38"/>
      <c r="BU38"/>
      <c r="BV38"/>
      <c r="BW38"/>
      <c r="BX38"/>
      <c r="BY38"/>
      <c r="BZ38" s="37" t="s">
        <v>1658</v>
      </c>
      <c r="CA38" s="60">
        <v>9</v>
      </c>
      <c r="CB38" s="60">
        <v>7</v>
      </c>
      <c r="CC38" s="60">
        <v>5</v>
      </c>
      <c r="CD38" s="60">
        <v>12</v>
      </c>
      <c r="CE38" s="60">
        <v>21</v>
      </c>
      <c r="CF38"/>
      <c r="CG38"/>
      <c r="CH38"/>
      <c r="CI38"/>
      <c r="CJ38"/>
      <c r="CK38"/>
      <c r="CL38"/>
      <c r="CM38"/>
      <c r="CN38"/>
      <c r="CO38"/>
      <c r="CP38"/>
      <c r="CQ38"/>
      <c r="CR38"/>
      <c r="CS38"/>
      <c r="CT38"/>
    </row>
    <row r="39" spans="1:98" x14ac:dyDescent="0.25">
      <c r="A39" s="17">
        <v>10</v>
      </c>
      <c r="B39" s="59"/>
      <c r="C39" s="59"/>
      <c r="D39" s="59"/>
      <c r="E39" s="59"/>
      <c r="F39" s="59"/>
      <c r="G39"/>
      <c r="K39" s="17" t="s">
        <v>101</v>
      </c>
      <c r="L39" s="59">
        <v>6</v>
      </c>
      <c r="M39" s="15">
        <v>0.39564927646962583</v>
      </c>
      <c r="N39" s="59">
        <v>1327776.04</v>
      </c>
      <c r="O39" s="59">
        <v>8</v>
      </c>
      <c r="P39" s="15">
        <v>0.60435072353037422</v>
      </c>
      <c r="Q39" s="59">
        <v>2028166</v>
      </c>
      <c r="R39" s="59">
        <v>14</v>
      </c>
      <c r="S39" s="15">
        <v>1</v>
      </c>
      <c r="T39" s="59">
        <v>3355942.04</v>
      </c>
      <c r="V39" s="17" t="s">
        <v>101</v>
      </c>
      <c r="W39" s="59">
        <v>12</v>
      </c>
      <c r="X39" s="59">
        <v>2</v>
      </c>
      <c r="Y39" s="59">
        <v>14</v>
      </c>
      <c r="Z39"/>
      <c r="AA39" s="17" t="s">
        <v>101</v>
      </c>
      <c r="AB39" s="59">
        <v>697091.72</v>
      </c>
      <c r="AE39" s="13" t="str">
        <f t="shared" si="0"/>
        <v>SANTHOSH/KARIMNAGAR , 9963176593</v>
      </c>
      <c r="AF39" s="13">
        <f t="shared" si="1"/>
        <v>14</v>
      </c>
      <c r="AG39" s="13">
        <f t="shared" si="2"/>
        <v>8</v>
      </c>
      <c r="AH39" s="13">
        <f t="shared" si="3"/>
        <v>6</v>
      </c>
      <c r="AI39" s="13">
        <f t="shared" si="4"/>
        <v>3355942.04</v>
      </c>
      <c r="AJ39" s="22">
        <v>0.75</v>
      </c>
      <c r="AK39" s="13">
        <f t="shared" si="9"/>
        <v>2516956.5300000003</v>
      </c>
      <c r="AL39" s="15">
        <f t="shared" si="5"/>
        <v>0.39564927646962583</v>
      </c>
      <c r="AM39" s="13">
        <f t="shared" si="6"/>
        <v>1327776.04</v>
      </c>
      <c r="AN39" s="13">
        <f t="shared" si="7"/>
        <v>2</v>
      </c>
      <c r="AO39" s="13">
        <f t="shared" si="8"/>
        <v>697091.72</v>
      </c>
      <c r="AR39" s="23"/>
      <c r="AS39" s="23"/>
      <c r="AT39" s="23"/>
      <c r="AU39" s="23"/>
      <c r="AV39" s="23"/>
      <c r="AW39" s="35"/>
      <c r="AX39" s="23"/>
      <c r="AY39" s="26"/>
      <c r="AZ39" s="23"/>
      <c r="BA39" s="23"/>
      <c r="BB39" s="23"/>
      <c r="BD39" s="13" t="s">
        <v>73</v>
      </c>
      <c r="BE39" s="59">
        <v>21882918.020000003</v>
      </c>
      <c r="BF39" s="59">
        <v>3227649.39</v>
      </c>
      <c r="BG39" s="59">
        <v>25110567.41</v>
      </c>
      <c r="BH39" s="59">
        <v>46375</v>
      </c>
      <c r="BI39" s="59">
        <v>25156942.41</v>
      </c>
      <c r="BJ39"/>
      <c r="BK39" s="13" t="s">
        <v>70</v>
      </c>
      <c r="BL39" s="59">
        <v>3768691.7600000002</v>
      </c>
      <c r="BM39" s="59">
        <v>2091854.7600000002</v>
      </c>
      <c r="BN39" s="59">
        <v>5860546.5199999996</v>
      </c>
      <c r="BO39" s="59">
        <v>3805811.0200000005</v>
      </c>
      <c r="BP39" s="59">
        <v>9666357.5399999991</v>
      </c>
      <c r="BQ39"/>
      <c r="BR39" s="17" t="s">
        <v>55</v>
      </c>
      <c r="BS39" s="59">
        <v>7616344.2299999986</v>
      </c>
      <c r="BT39"/>
      <c r="BU39"/>
      <c r="BV39"/>
      <c r="BW39"/>
      <c r="BX39"/>
      <c r="BY39"/>
      <c r="BZ39" s="37" t="s">
        <v>610</v>
      </c>
      <c r="CA39" s="60">
        <v>15</v>
      </c>
      <c r="CB39" s="60">
        <v>1</v>
      </c>
      <c r="CC39" s="60">
        <v>4</v>
      </c>
      <c r="CD39" s="60">
        <v>5</v>
      </c>
      <c r="CE39" s="60">
        <v>20</v>
      </c>
      <c r="CF39"/>
      <c r="CG39"/>
      <c r="CH39"/>
      <c r="CI39"/>
      <c r="CJ39"/>
      <c r="CK39"/>
      <c r="CL39"/>
      <c r="CM39"/>
      <c r="CN39"/>
      <c r="CO39"/>
      <c r="CP39"/>
      <c r="CQ39"/>
      <c r="CR39"/>
      <c r="CS39"/>
      <c r="CT39"/>
    </row>
    <row r="40" spans="1:98" x14ac:dyDescent="0.25">
      <c r="A40" s="13" t="s">
        <v>68</v>
      </c>
      <c r="B40" s="59"/>
      <c r="C40" s="59"/>
      <c r="D40" s="59"/>
      <c r="E40" s="59">
        <v>1</v>
      </c>
      <c r="F40" s="59">
        <v>1</v>
      </c>
      <c r="G40"/>
      <c r="K40" s="17" t="s">
        <v>3469</v>
      </c>
      <c r="L40" s="59">
        <v>11</v>
      </c>
      <c r="M40" s="15">
        <v>0.41576767146622995</v>
      </c>
      <c r="N40" s="59">
        <v>1229487.22</v>
      </c>
      <c r="O40" s="59">
        <v>9</v>
      </c>
      <c r="P40" s="15">
        <v>0.58423232853377016</v>
      </c>
      <c r="Q40" s="59">
        <v>1727662.42</v>
      </c>
      <c r="R40" s="59">
        <v>20</v>
      </c>
      <c r="S40" s="15">
        <v>1</v>
      </c>
      <c r="T40" s="59">
        <v>2957149.6399999997</v>
      </c>
      <c r="V40" s="17" t="s">
        <v>3469</v>
      </c>
      <c r="W40" s="59">
        <v>13</v>
      </c>
      <c r="X40" s="59">
        <v>7</v>
      </c>
      <c r="Y40" s="59">
        <v>20</v>
      </c>
      <c r="Z40"/>
      <c r="AA40" s="17" t="s">
        <v>3469</v>
      </c>
      <c r="AB40" s="59">
        <v>373908.85</v>
      </c>
      <c r="AE40" s="13" t="str">
        <f t="shared" si="0"/>
        <v>SEKAR/TIRUPATI , 8500444601</v>
      </c>
      <c r="AF40" s="13">
        <f t="shared" si="1"/>
        <v>20</v>
      </c>
      <c r="AG40" s="13">
        <f t="shared" si="2"/>
        <v>9</v>
      </c>
      <c r="AH40" s="13">
        <f t="shared" si="3"/>
        <v>11</v>
      </c>
      <c r="AI40" s="13">
        <f t="shared" si="4"/>
        <v>2957149.6399999997</v>
      </c>
      <c r="AJ40" s="22">
        <v>0.75</v>
      </c>
      <c r="AK40" s="13">
        <f t="shared" si="9"/>
        <v>2217862.2299999995</v>
      </c>
      <c r="AL40" s="15">
        <f t="shared" si="5"/>
        <v>0.41576767146622995</v>
      </c>
      <c r="AM40" s="13">
        <f t="shared" si="6"/>
        <v>1229487.22</v>
      </c>
      <c r="AN40" s="13">
        <f t="shared" si="7"/>
        <v>7</v>
      </c>
      <c r="AO40" s="13">
        <f t="shared" si="8"/>
        <v>373908.85</v>
      </c>
      <c r="BD40"/>
      <c r="BE40"/>
      <c r="BF40"/>
      <c r="BG40"/>
      <c r="BH40"/>
      <c r="BI40"/>
      <c r="BJ40"/>
      <c r="BK40" s="13" t="s">
        <v>72</v>
      </c>
      <c r="BL40" s="59">
        <v>2577142.1499999994</v>
      </c>
      <c r="BM40" s="59">
        <v>235880</v>
      </c>
      <c r="BN40" s="59">
        <v>2813022.1499999994</v>
      </c>
      <c r="BO40" s="59">
        <v>0</v>
      </c>
      <c r="BP40" s="59">
        <v>2813022.1499999994</v>
      </c>
      <c r="BQ40"/>
      <c r="BR40" s="17" t="s">
        <v>95</v>
      </c>
      <c r="BS40" s="59">
        <v>3986415.5900000008</v>
      </c>
      <c r="BT40"/>
      <c r="BU40"/>
      <c r="BV40"/>
      <c r="BW40"/>
      <c r="BX40"/>
      <c r="BY40"/>
      <c r="BZ40" s="37" t="s">
        <v>101</v>
      </c>
      <c r="CA40" s="60">
        <v>6</v>
      </c>
      <c r="CB40" s="60">
        <v>2</v>
      </c>
      <c r="CC40" s="60">
        <v>6</v>
      </c>
      <c r="CD40" s="60">
        <v>8</v>
      </c>
      <c r="CE40" s="60">
        <v>14</v>
      </c>
      <c r="CF40"/>
      <c r="CG40"/>
      <c r="CH40"/>
      <c r="CI40"/>
      <c r="CJ40"/>
      <c r="CK40"/>
      <c r="CL40"/>
      <c r="CM40"/>
      <c r="CN40"/>
      <c r="CO40"/>
      <c r="CP40"/>
      <c r="CQ40"/>
      <c r="CR40"/>
      <c r="CS40"/>
      <c r="CT40"/>
    </row>
    <row r="41" spans="1:98" x14ac:dyDescent="0.25">
      <c r="A41" s="38" t="s">
        <v>65</v>
      </c>
      <c r="B41" s="39">
        <v>0</v>
      </c>
      <c r="C41" s="39">
        <v>0</v>
      </c>
      <c r="D41" s="39">
        <v>0</v>
      </c>
      <c r="E41" s="39">
        <v>1</v>
      </c>
      <c r="F41" s="39">
        <v>1</v>
      </c>
      <c r="G41"/>
      <c r="K41" s="17" t="s">
        <v>55</v>
      </c>
      <c r="L41" s="59">
        <v>24</v>
      </c>
      <c r="M41" s="15">
        <v>0.59615929150303149</v>
      </c>
      <c r="N41" s="59">
        <v>4540554.3800000008</v>
      </c>
      <c r="O41" s="59">
        <v>9</v>
      </c>
      <c r="P41" s="15">
        <v>0.40384070849696879</v>
      </c>
      <c r="Q41" s="59">
        <v>3075789.8499999996</v>
      </c>
      <c r="R41" s="59">
        <v>33</v>
      </c>
      <c r="S41" s="15">
        <v>1</v>
      </c>
      <c r="T41" s="59">
        <v>7616344.2299999986</v>
      </c>
      <c r="V41" s="17" t="s">
        <v>55</v>
      </c>
      <c r="W41" s="59">
        <v>31</v>
      </c>
      <c r="X41" s="59">
        <v>2</v>
      </c>
      <c r="Y41" s="59">
        <v>33</v>
      </c>
      <c r="Z41"/>
      <c r="AA41" s="17" t="s">
        <v>55</v>
      </c>
      <c r="AB41" s="59">
        <v>1853753.2</v>
      </c>
      <c r="AE41" s="13" t="str">
        <f t="shared" si="0"/>
        <v>SRIKANTH/ANANTHAPUR , 9182336153</v>
      </c>
      <c r="AF41" s="13">
        <f t="shared" si="1"/>
        <v>33</v>
      </c>
      <c r="AG41" s="13">
        <f t="shared" si="2"/>
        <v>9</v>
      </c>
      <c r="AH41" s="13">
        <f t="shared" si="3"/>
        <v>24</v>
      </c>
      <c r="AI41" s="13">
        <f t="shared" si="4"/>
        <v>7616344.2299999986</v>
      </c>
      <c r="AJ41" s="22">
        <v>0.75</v>
      </c>
      <c r="AK41" s="13">
        <f t="shared" si="9"/>
        <v>5712258.1724999994</v>
      </c>
      <c r="AL41" s="15">
        <f t="shared" si="5"/>
        <v>0.59615929150303149</v>
      </c>
      <c r="AM41" s="13">
        <f t="shared" si="6"/>
        <v>4540554.3800000008</v>
      </c>
      <c r="AN41" s="13">
        <f t="shared" si="7"/>
        <v>2</v>
      </c>
      <c r="AO41" s="13">
        <f t="shared" si="8"/>
        <v>1853753.2</v>
      </c>
      <c r="BD41"/>
      <c r="BE41"/>
      <c r="BF41"/>
      <c r="BG41"/>
      <c r="BH41"/>
      <c r="BI41"/>
      <c r="BJ41"/>
      <c r="BK41" s="13" t="s">
        <v>69</v>
      </c>
      <c r="BL41" s="59">
        <v>181</v>
      </c>
      <c r="BM41" s="59">
        <v>166</v>
      </c>
      <c r="BN41" s="59">
        <v>347</v>
      </c>
      <c r="BO41" s="59">
        <v>246</v>
      </c>
      <c r="BP41" s="59">
        <v>593</v>
      </c>
      <c r="BQ41"/>
      <c r="BR41" s="17" t="s">
        <v>57</v>
      </c>
      <c r="BS41" s="59">
        <v>5931520.3400000008</v>
      </c>
      <c r="BT41"/>
      <c r="BU41"/>
      <c r="BV41"/>
      <c r="BW41"/>
      <c r="BX41"/>
      <c r="BY41"/>
      <c r="BZ41" s="37" t="s">
        <v>3469</v>
      </c>
      <c r="CA41" s="60">
        <v>11</v>
      </c>
      <c r="CB41" s="60">
        <v>7</v>
      </c>
      <c r="CC41" s="60">
        <v>2</v>
      </c>
      <c r="CD41" s="60">
        <v>9</v>
      </c>
      <c r="CE41" s="60">
        <v>20</v>
      </c>
      <c r="CF41"/>
      <c r="CG41"/>
      <c r="CH41"/>
      <c r="CI41"/>
      <c r="CJ41"/>
      <c r="CK41"/>
      <c r="CL41"/>
      <c r="CM41"/>
      <c r="CN41"/>
      <c r="CO41"/>
      <c r="CP41"/>
      <c r="CQ41"/>
      <c r="CR41"/>
      <c r="CS41"/>
      <c r="CT41"/>
    </row>
    <row r="42" spans="1:98" x14ac:dyDescent="0.25">
      <c r="A42" s="13" t="s">
        <v>70</v>
      </c>
      <c r="B42" s="59"/>
      <c r="C42" s="59"/>
      <c r="D42" s="59"/>
      <c r="E42" s="59">
        <v>181879.49</v>
      </c>
      <c r="F42" s="59">
        <v>181879.49</v>
      </c>
      <c r="G42"/>
      <c r="K42" s="17" t="s">
        <v>95</v>
      </c>
      <c r="L42" s="59">
        <v>17</v>
      </c>
      <c r="M42" s="15">
        <v>0.62294859979714257</v>
      </c>
      <c r="N42" s="59">
        <v>2483332.0100000002</v>
      </c>
      <c r="O42" s="59">
        <v>8</v>
      </c>
      <c r="P42" s="15">
        <v>0.37705140020285743</v>
      </c>
      <c r="Q42" s="59">
        <v>1503083.58</v>
      </c>
      <c r="R42" s="59">
        <v>25</v>
      </c>
      <c r="S42" s="15">
        <v>1</v>
      </c>
      <c r="T42" s="59">
        <v>3986415.5900000003</v>
      </c>
      <c r="V42" s="17" t="s">
        <v>95</v>
      </c>
      <c r="W42" s="59">
        <v>23</v>
      </c>
      <c r="X42" s="59">
        <v>2</v>
      </c>
      <c r="Y42" s="59">
        <v>25</v>
      </c>
      <c r="Z42"/>
      <c r="AA42" s="17" t="s">
        <v>95</v>
      </c>
      <c r="AB42" s="59">
        <v>991745.76999999979</v>
      </c>
      <c r="AE42" s="13" t="str">
        <f t="shared" si="0"/>
        <v>SRIKANTH/NALGONDA , 9603185469</v>
      </c>
      <c r="AF42" s="13">
        <f t="shared" si="1"/>
        <v>25</v>
      </c>
      <c r="AG42" s="13">
        <f t="shared" si="2"/>
        <v>8</v>
      </c>
      <c r="AH42" s="13">
        <f t="shared" si="3"/>
        <v>17</v>
      </c>
      <c r="AI42" s="13">
        <f t="shared" si="4"/>
        <v>3986415.5900000003</v>
      </c>
      <c r="AJ42" s="22">
        <v>0.75</v>
      </c>
      <c r="AK42" s="13">
        <f t="shared" si="9"/>
        <v>2989811.6925000004</v>
      </c>
      <c r="AL42" s="15">
        <f t="shared" si="5"/>
        <v>0.62294859979714257</v>
      </c>
      <c r="AM42" s="13">
        <f t="shared" si="6"/>
        <v>2483332.0100000002</v>
      </c>
      <c r="AN42" s="13">
        <f t="shared" si="7"/>
        <v>2</v>
      </c>
      <c r="AO42" s="13">
        <f t="shared" si="8"/>
        <v>991745.76999999979</v>
      </c>
      <c r="BD42"/>
      <c r="BE42"/>
      <c r="BF42"/>
      <c r="BG42"/>
      <c r="BH42"/>
      <c r="BI42"/>
      <c r="BJ42"/>
      <c r="BK42" s="13" t="s">
        <v>66</v>
      </c>
      <c r="BL42" s="19">
        <v>0.29975377631163919</v>
      </c>
      <c r="BM42" s="19">
        <v>0.26936223645506929</v>
      </c>
      <c r="BN42" s="19">
        <v>0.56911601276670842</v>
      </c>
      <c r="BO42" s="19">
        <v>0.43088398723329163</v>
      </c>
      <c r="BP42" s="19">
        <v>1</v>
      </c>
      <c r="BQ42"/>
      <c r="BR42" s="17" t="s">
        <v>2223</v>
      </c>
      <c r="BS42" s="59">
        <v>489822.04</v>
      </c>
      <c r="BT42"/>
      <c r="BU42"/>
      <c r="BV42"/>
      <c r="BW42"/>
      <c r="BX42"/>
      <c r="BY42"/>
      <c r="BZ42" s="37" t="s">
        <v>55</v>
      </c>
      <c r="CA42" s="60">
        <v>24</v>
      </c>
      <c r="CB42" s="60">
        <v>2</v>
      </c>
      <c r="CC42" s="60">
        <v>7</v>
      </c>
      <c r="CD42" s="60">
        <v>9</v>
      </c>
      <c r="CE42" s="60">
        <v>33</v>
      </c>
      <c r="CF42"/>
      <c r="CG42"/>
      <c r="CH42"/>
      <c r="CI42"/>
      <c r="CJ42"/>
      <c r="CK42"/>
      <c r="CL42"/>
      <c r="CM42"/>
      <c r="CN42"/>
      <c r="CO42"/>
      <c r="CP42"/>
      <c r="CQ42"/>
      <c r="CR42"/>
      <c r="CS42"/>
      <c r="CT42"/>
    </row>
    <row r="43" spans="1:98" x14ac:dyDescent="0.25">
      <c r="A43" s="13" t="s">
        <v>72</v>
      </c>
      <c r="B43" s="59"/>
      <c r="C43" s="59"/>
      <c r="D43" s="59"/>
      <c r="E43" s="59">
        <v>0</v>
      </c>
      <c r="F43" s="59">
        <v>0</v>
      </c>
      <c r="G43"/>
      <c r="K43" s="17" t="s">
        <v>57</v>
      </c>
      <c r="L43" s="59">
        <v>14</v>
      </c>
      <c r="M43" s="15">
        <v>0.76383179695882153</v>
      </c>
      <c r="N43" s="59">
        <v>4530683.84</v>
      </c>
      <c r="O43" s="59">
        <v>7</v>
      </c>
      <c r="P43" s="15">
        <v>0.23616820304117844</v>
      </c>
      <c r="Q43" s="59">
        <v>1400836.4999999998</v>
      </c>
      <c r="R43" s="59">
        <v>21</v>
      </c>
      <c r="S43" s="15">
        <v>1</v>
      </c>
      <c r="T43" s="59">
        <v>5931520.3399999999</v>
      </c>
      <c r="V43" s="17" t="s">
        <v>57</v>
      </c>
      <c r="W43" s="59">
        <v>20</v>
      </c>
      <c r="X43" s="59">
        <v>1</v>
      </c>
      <c r="Y43" s="59">
        <v>21</v>
      </c>
      <c r="Z43"/>
      <c r="AA43" s="17" t="s">
        <v>57</v>
      </c>
      <c r="AB43" s="59">
        <v>690263.2</v>
      </c>
      <c r="AE43" s="13" t="str">
        <f t="shared" si="0"/>
        <v>SRINIU/WEST , 9154934446</v>
      </c>
      <c r="AF43" s="13">
        <f t="shared" si="1"/>
        <v>21</v>
      </c>
      <c r="AG43" s="13">
        <f t="shared" si="2"/>
        <v>7</v>
      </c>
      <c r="AH43" s="13">
        <f t="shared" si="3"/>
        <v>14</v>
      </c>
      <c r="AI43" s="13">
        <f t="shared" si="4"/>
        <v>5931520.3399999999</v>
      </c>
      <c r="AJ43" s="22">
        <v>0.75</v>
      </c>
      <c r="AK43" s="13">
        <f t="shared" si="9"/>
        <v>4448640.2549999999</v>
      </c>
      <c r="AL43" s="15">
        <f t="shared" si="5"/>
        <v>0.76383179695882153</v>
      </c>
      <c r="AM43" s="13">
        <f t="shared" si="6"/>
        <v>4530683.84</v>
      </c>
      <c r="AN43" s="13">
        <f t="shared" si="7"/>
        <v>1</v>
      </c>
      <c r="AO43" s="13">
        <f t="shared" si="8"/>
        <v>690263.2</v>
      </c>
      <c r="BD43"/>
      <c r="BE43"/>
      <c r="BF43"/>
      <c r="BG43"/>
      <c r="BH43"/>
      <c r="BI43"/>
      <c r="BJ43"/>
      <c r="BK43" s="13" t="s">
        <v>71</v>
      </c>
      <c r="BL43" s="59">
        <v>37484283.710000016</v>
      </c>
      <c r="BM43" s="59">
        <v>33683814.149999999</v>
      </c>
      <c r="BN43" s="59">
        <v>71168097.859999999</v>
      </c>
      <c r="BO43" s="59">
        <v>53882148.95000001</v>
      </c>
      <c r="BP43" s="59">
        <v>125050246.81</v>
      </c>
      <c r="BQ43"/>
      <c r="BR43" s="17" t="s">
        <v>750</v>
      </c>
      <c r="BS43" s="59">
        <v>885083.61</v>
      </c>
      <c r="BT43"/>
      <c r="BU43"/>
      <c r="BV43"/>
      <c r="BW43"/>
      <c r="BX43"/>
      <c r="BY43"/>
      <c r="BZ43" s="37" t="s">
        <v>95</v>
      </c>
      <c r="CA43" s="60">
        <v>17</v>
      </c>
      <c r="CB43" s="60">
        <v>1</v>
      </c>
      <c r="CC43" s="60">
        <v>7</v>
      </c>
      <c r="CD43" s="60">
        <v>8</v>
      </c>
      <c r="CE43" s="60">
        <v>25</v>
      </c>
      <c r="CF43"/>
      <c r="CG43"/>
      <c r="CH43"/>
      <c r="CI43"/>
      <c r="CJ43"/>
      <c r="CK43"/>
      <c r="CL43"/>
      <c r="CM43"/>
      <c r="CN43"/>
      <c r="CO43"/>
      <c r="CP43"/>
      <c r="CQ43"/>
      <c r="CR43"/>
      <c r="CS43"/>
      <c r="CT43"/>
    </row>
    <row r="44" spans="1:98" x14ac:dyDescent="0.25">
      <c r="A44" s="17">
        <v>11</v>
      </c>
      <c r="B44" s="59"/>
      <c r="C44" s="59"/>
      <c r="D44" s="59"/>
      <c r="E44" s="59"/>
      <c r="F44" s="59"/>
      <c r="G44"/>
      <c r="K44" s="17" t="s">
        <v>2223</v>
      </c>
      <c r="L44" s="59">
        <v>1</v>
      </c>
      <c r="M44" s="15">
        <v>1</v>
      </c>
      <c r="N44" s="59">
        <v>489822.04</v>
      </c>
      <c r="O44" s="59"/>
      <c r="P44" s="15">
        <v>0</v>
      </c>
      <c r="Q44" s="59"/>
      <c r="R44" s="59">
        <v>1</v>
      </c>
      <c r="S44" s="15">
        <v>1</v>
      </c>
      <c r="T44" s="59">
        <v>489822.04</v>
      </c>
      <c r="V44" s="17" t="s">
        <v>2223</v>
      </c>
      <c r="W44" s="59">
        <v>1</v>
      </c>
      <c r="X44" s="59"/>
      <c r="Y44" s="59">
        <v>1</v>
      </c>
      <c r="Z44"/>
      <c r="AA44" s="17" t="s">
        <v>2223</v>
      </c>
      <c r="AB44" s="59">
        <v>70830</v>
      </c>
      <c r="AE44" s="13" t="str">
        <f t="shared" si="0"/>
        <v>SRINIVAS/GTR , 9966922101</v>
      </c>
      <c r="AF44" s="13">
        <f t="shared" si="1"/>
        <v>1</v>
      </c>
      <c r="AG44" s="13">
        <f t="shared" si="2"/>
        <v>0</v>
      </c>
      <c r="AH44" s="13">
        <f t="shared" si="3"/>
        <v>1</v>
      </c>
      <c r="AI44" s="13">
        <f t="shared" si="4"/>
        <v>489822.04</v>
      </c>
      <c r="AJ44" s="22">
        <v>0.75</v>
      </c>
      <c r="AK44" s="13">
        <f t="shared" si="9"/>
        <v>367366.52999999997</v>
      </c>
      <c r="AL44" s="15">
        <f t="shared" si="5"/>
        <v>1</v>
      </c>
      <c r="AM44" s="13">
        <f t="shared" si="6"/>
        <v>489822.04</v>
      </c>
      <c r="AN44" s="13">
        <f t="shared" si="7"/>
        <v>0</v>
      </c>
      <c r="AO44" s="13">
        <f t="shared" si="8"/>
        <v>70830</v>
      </c>
      <c r="BD44"/>
      <c r="BE44"/>
      <c r="BF44"/>
      <c r="BG44"/>
      <c r="BH44"/>
      <c r="BI44"/>
      <c r="BJ44"/>
      <c r="BK44" s="13" t="s">
        <v>73</v>
      </c>
      <c r="BL44" s="59">
        <v>21882918.02</v>
      </c>
      <c r="BM44" s="59">
        <v>3227649.39</v>
      </c>
      <c r="BN44" s="59">
        <v>25110567.409999996</v>
      </c>
      <c r="BO44" s="59">
        <v>46375</v>
      </c>
      <c r="BP44" s="59">
        <v>25156942.409999996</v>
      </c>
      <c r="BQ44"/>
      <c r="BR44" s="17" t="s">
        <v>149</v>
      </c>
      <c r="BS44" s="59">
        <v>1328009.82</v>
      </c>
      <c r="BT44"/>
      <c r="BU44"/>
      <c r="BV44"/>
      <c r="BW44"/>
      <c r="BX44"/>
      <c r="BY44"/>
      <c r="BZ44" s="37" t="s">
        <v>57</v>
      </c>
      <c r="CA44" s="60">
        <v>14</v>
      </c>
      <c r="CB44" s="60">
        <v>1</v>
      </c>
      <c r="CC44" s="60">
        <v>6</v>
      </c>
      <c r="CD44" s="60">
        <v>7</v>
      </c>
      <c r="CE44" s="60">
        <v>21</v>
      </c>
      <c r="CF44"/>
      <c r="CG44"/>
      <c r="CH44"/>
      <c r="CI44"/>
      <c r="CJ44"/>
      <c r="CK44"/>
      <c r="CL44"/>
      <c r="CM44"/>
      <c r="CN44"/>
      <c r="CO44"/>
      <c r="CP44"/>
      <c r="CQ44"/>
      <c r="CR44"/>
      <c r="CS44"/>
      <c r="CT44"/>
    </row>
    <row r="45" spans="1:98" x14ac:dyDescent="0.25">
      <c r="A45" s="13" t="s">
        <v>68</v>
      </c>
      <c r="B45" s="59">
        <v>25</v>
      </c>
      <c r="C45" s="59">
        <v>16</v>
      </c>
      <c r="D45" s="59">
        <v>41</v>
      </c>
      <c r="E45" s="59">
        <v>15</v>
      </c>
      <c r="F45" s="59">
        <v>56</v>
      </c>
      <c r="G45"/>
      <c r="K45" s="17" t="s">
        <v>750</v>
      </c>
      <c r="L45" s="59">
        <v>2</v>
      </c>
      <c r="M45" s="15">
        <v>0.32693562137027937</v>
      </c>
      <c r="N45" s="59">
        <v>289365.36</v>
      </c>
      <c r="O45" s="59">
        <v>3</v>
      </c>
      <c r="P45" s="15">
        <v>0.67306437862972068</v>
      </c>
      <c r="Q45" s="59">
        <v>595718.25</v>
      </c>
      <c r="R45" s="59">
        <v>5</v>
      </c>
      <c r="S45" s="15">
        <v>1</v>
      </c>
      <c r="T45" s="59">
        <v>885083.61</v>
      </c>
      <c r="V45" s="17" t="s">
        <v>750</v>
      </c>
      <c r="W45" s="59">
        <v>3</v>
      </c>
      <c r="X45" s="59">
        <v>2</v>
      </c>
      <c r="Y45" s="59">
        <v>5</v>
      </c>
      <c r="Z45"/>
      <c r="AA45" s="17" t="s">
        <v>750</v>
      </c>
      <c r="AB45" s="59">
        <v>65740</v>
      </c>
      <c r="AE45" s="13" t="str">
        <f t="shared" si="0"/>
        <v>SRINU/GTR , 9704963641</v>
      </c>
      <c r="AF45" s="13">
        <f t="shared" si="1"/>
        <v>5</v>
      </c>
      <c r="AG45" s="13">
        <f t="shared" si="2"/>
        <v>3</v>
      </c>
      <c r="AH45" s="13">
        <f t="shared" si="3"/>
        <v>2</v>
      </c>
      <c r="AI45" s="13">
        <f t="shared" si="4"/>
        <v>885083.61</v>
      </c>
      <c r="AJ45" s="22">
        <v>0.75</v>
      </c>
      <c r="AK45" s="13">
        <f t="shared" si="9"/>
        <v>663812.70750000002</v>
      </c>
      <c r="AL45" s="15">
        <f t="shared" si="5"/>
        <v>0.32693562137027937</v>
      </c>
      <c r="AM45" s="13">
        <f t="shared" si="6"/>
        <v>289365.36</v>
      </c>
      <c r="AN45" s="13">
        <f t="shared" si="7"/>
        <v>2</v>
      </c>
      <c r="AO45" s="13">
        <f t="shared" si="8"/>
        <v>65740</v>
      </c>
      <c r="BD45"/>
      <c r="BE45"/>
      <c r="BF45"/>
      <c r="BG45"/>
      <c r="BH45"/>
      <c r="BI45"/>
      <c r="BK45"/>
      <c r="BL45"/>
      <c r="BM45"/>
      <c r="BN45"/>
      <c r="BO45"/>
      <c r="BP45"/>
      <c r="BQ45"/>
      <c r="BR45" s="17" t="s">
        <v>106</v>
      </c>
      <c r="BS45" s="59">
        <v>4010910.2899999996</v>
      </c>
      <c r="BT45"/>
      <c r="BU45"/>
      <c r="BV45"/>
      <c r="BW45"/>
      <c r="BX45"/>
      <c r="BY45"/>
      <c r="BZ45" s="37" t="s">
        <v>2223</v>
      </c>
      <c r="CA45" s="60">
        <v>1</v>
      </c>
      <c r="CB45" s="60"/>
      <c r="CC45" s="60"/>
      <c r="CD45" s="60"/>
      <c r="CE45" s="60">
        <v>1</v>
      </c>
      <c r="CF45"/>
      <c r="CG45"/>
      <c r="CH45"/>
      <c r="CI45"/>
      <c r="CJ45"/>
      <c r="CK45"/>
      <c r="CL45"/>
      <c r="CM45"/>
      <c r="CN45"/>
      <c r="CO45"/>
      <c r="CP45"/>
      <c r="CQ45"/>
      <c r="CR45"/>
      <c r="CS45"/>
      <c r="CT45"/>
    </row>
    <row r="46" spans="1:98" x14ac:dyDescent="0.25">
      <c r="A46" s="38" t="s">
        <v>65</v>
      </c>
      <c r="B46" s="39">
        <v>0.59393139552617791</v>
      </c>
      <c r="C46" s="39">
        <v>0.1921065350545188</v>
      </c>
      <c r="D46" s="39">
        <v>0.7860379305806966</v>
      </c>
      <c r="E46" s="39">
        <v>0.21396206941930351</v>
      </c>
      <c r="F46" s="39">
        <v>1</v>
      </c>
      <c r="G46"/>
      <c r="K46" s="17" t="s">
        <v>149</v>
      </c>
      <c r="L46" s="59">
        <v>4</v>
      </c>
      <c r="M46" s="15">
        <v>0.57927243339209644</v>
      </c>
      <c r="N46" s="59">
        <v>769279.48</v>
      </c>
      <c r="O46" s="59">
        <v>3</v>
      </c>
      <c r="P46" s="15">
        <v>0.4207275666079035</v>
      </c>
      <c r="Q46" s="59">
        <v>558730.34</v>
      </c>
      <c r="R46" s="59">
        <v>7</v>
      </c>
      <c r="S46" s="15">
        <v>1</v>
      </c>
      <c r="T46" s="59">
        <v>1328009.82</v>
      </c>
      <c r="V46" s="17" t="s">
        <v>149</v>
      </c>
      <c r="W46" s="59">
        <v>7</v>
      </c>
      <c r="X46" s="59"/>
      <c r="Y46" s="59">
        <v>7</v>
      </c>
      <c r="Z46"/>
      <c r="AA46" s="17" t="s">
        <v>149</v>
      </c>
      <c r="AB46" s="59">
        <v>176856.61</v>
      </c>
      <c r="BD46"/>
      <c r="BE46"/>
      <c r="BF46"/>
      <c r="BG46"/>
      <c r="BH46"/>
      <c r="BI46"/>
      <c r="BK46"/>
      <c r="BL46"/>
      <c r="BM46"/>
      <c r="BN46"/>
      <c r="BO46"/>
      <c r="BP46"/>
      <c r="BQ46"/>
      <c r="BR46" s="17" t="s">
        <v>129</v>
      </c>
      <c r="BS46" s="59">
        <v>2522797.92</v>
      </c>
      <c r="BT46"/>
      <c r="BU46"/>
      <c r="BV46"/>
      <c r="BW46"/>
      <c r="BX46"/>
      <c r="BY46"/>
      <c r="BZ46" s="37" t="s">
        <v>750</v>
      </c>
      <c r="CA46" s="60">
        <v>2</v>
      </c>
      <c r="CB46" s="60">
        <v>2</v>
      </c>
      <c r="CC46" s="60">
        <v>1</v>
      </c>
      <c r="CD46" s="60">
        <v>3</v>
      </c>
      <c r="CE46" s="60">
        <v>5</v>
      </c>
      <c r="CF46"/>
      <c r="CG46"/>
      <c r="CH46"/>
      <c r="CI46"/>
      <c r="CJ46"/>
      <c r="CK46"/>
      <c r="CL46"/>
      <c r="CM46"/>
      <c r="CN46"/>
      <c r="CO46"/>
      <c r="CP46"/>
      <c r="CQ46"/>
      <c r="CR46"/>
      <c r="CS46"/>
      <c r="CT46"/>
    </row>
    <row r="47" spans="1:98" x14ac:dyDescent="0.25">
      <c r="A47" s="13" t="s">
        <v>70</v>
      </c>
      <c r="B47" s="59">
        <v>6328127.3600000013</v>
      </c>
      <c r="C47" s="59">
        <v>2046826.6700000002</v>
      </c>
      <c r="D47" s="59">
        <v>8374954.0300000003</v>
      </c>
      <c r="E47" s="59">
        <v>2279689.5999999996</v>
      </c>
      <c r="F47" s="59">
        <v>10654643.629999999</v>
      </c>
      <c r="G47"/>
      <c r="K47" s="17" t="s">
        <v>106</v>
      </c>
      <c r="L47" s="59">
        <v>15</v>
      </c>
      <c r="M47" s="15">
        <v>0.5448434100978109</v>
      </c>
      <c r="N47" s="59">
        <v>2185318.04</v>
      </c>
      <c r="O47" s="59">
        <v>9</v>
      </c>
      <c r="P47" s="15">
        <v>0.45515658990218893</v>
      </c>
      <c r="Q47" s="59">
        <v>1825592.25</v>
      </c>
      <c r="R47" s="59">
        <v>24</v>
      </c>
      <c r="S47" s="15">
        <v>1</v>
      </c>
      <c r="T47" s="59">
        <v>4010910.2900000005</v>
      </c>
      <c r="V47" s="17" t="s">
        <v>106</v>
      </c>
      <c r="W47" s="59">
        <v>24</v>
      </c>
      <c r="X47" s="59"/>
      <c r="Y47" s="59">
        <v>24</v>
      </c>
      <c r="Z47"/>
      <c r="AA47" s="17" t="s">
        <v>106</v>
      </c>
      <c r="AB47" s="59">
        <v>793881.38</v>
      </c>
      <c r="BD47"/>
      <c r="BE47"/>
      <c r="BF47"/>
      <c r="BG47"/>
      <c r="BH47"/>
      <c r="BI47"/>
      <c r="BK47"/>
      <c r="BL47"/>
      <c r="BM47"/>
      <c r="BN47"/>
      <c r="BO47"/>
      <c r="BP47"/>
      <c r="BQ47"/>
      <c r="BR47" s="17" t="s">
        <v>63</v>
      </c>
      <c r="BS47" s="59">
        <v>7653337.3800000008</v>
      </c>
      <c r="BT47"/>
      <c r="BU47"/>
      <c r="BV47"/>
      <c r="BW47"/>
      <c r="BX47"/>
      <c r="BY47"/>
      <c r="BZ47" s="37" t="s">
        <v>149</v>
      </c>
      <c r="CA47" s="60">
        <v>4</v>
      </c>
      <c r="CB47" s="60"/>
      <c r="CC47" s="60">
        <v>3</v>
      </c>
      <c r="CD47" s="60">
        <v>3</v>
      </c>
      <c r="CE47" s="60">
        <v>7</v>
      </c>
      <c r="CF47"/>
      <c r="CG47"/>
      <c r="CH47"/>
      <c r="CI47"/>
      <c r="CJ47"/>
      <c r="CK47"/>
      <c r="CL47"/>
    </row>
    <row r="48" spans="1:98" x14ac:dyDescent="0.25">
      <c r="A48" s="13" t="s">
        <v>72</v>
      </c>
      <c r="B48" s="59">
        <v>3825458.28</v>
      </c>
      <c r="C48" s="59">
        <v>226176.39</v>
      </c>
      <c r="D48" s="59">
        <v>4051634.67</v>
      </c>
      <c r="E48" s="59">
        <v>0</v>
      </c>
      <c r="F48" s="59">
        <v>4051634.67</v>
      </c>
      <c r="G48"/>
      <c r="K48" s="17" t="s">
        <v>129</v>
      </c>
      <c r="L48" s="59">
        <v>10</v>
      </c>
      <c r="M48" s="15">
        <v>0.91465018728095349</v>
      </c>
      <c r="N48" s="59">
        <v>2307477.59</v>
      </c>
      <c r="O48" s="59">
        <v>2</v>
      </c>
      <c r="P48" s="15">
        <v>8.5349812719046486E-2</v>
      </c>
      <c r="Q48" s="59">
        <v>215320.33000000002</v>
      </c>
      <c r="R48" s="59">
        <v>12</v>
      </c>
      <c r="S48" s="15">
        <v>1</v>
      </c>
      <c r="T48" s="59">
        <v>2522797.92</v>
      </c>
      <c r="V48" s="17" t="s">
        <v>129</v>
      </c>
      <c r="W48" s="59">
        <v>12</v>
      </c>
      <c r="X48" s="59"/>
      <c r="Y48" s="59">
        <v>12</v>
      </c>
      <c r="Z48"/>
      <c r="AA48" s="17" t="s">
        <v>129</v>
      </c>
      <c r="AB48" s="59">
        <v>1677539.0299999998</v>
      </c>
      <c r="BD48"/>
      <c r="BE48"/>
      <c r="BF48"/>
      <c r="BG48"/>
      <c r="BH48"/>
      <c r="BI48"/>
      <c r="BK48"/>
      <c r="BL48"/>
      <c r="BM48"/>
      <c r="BN48"/>
      <c r="BO48"/>
      <c r="BP48"/>
      <c r="BQ48"/>
      <c r="BR48" s="17" t="s">
        <v>2155</v>
      </c>
      <c r="BS48" s="59">
        <v>158963.70000000001</v>
      </c>
      <c r="BT48"/>
      <c r="BU48"/>
      <c r="BV48"/>
      <c r="BW48"/>
      <c r="BX48"/>
      <c r="BY48"/>
      <c r="BZ48" s="37" t="s">
        <v>106</v>
      </c>
      <c r="CA48" s="60">
        <v>15</v>
      </c>
      <c r="CB48" s="60"/>
      <c r="CC48" s="60">
        <v>9</v>
      </c>
      <c r="CD48" s="60">
        <v>9</v>
      </c>
      <c r="CE48" s="60">
        <v>24</v>
      </c>
      <c r="CF48"/>
      <c r="CG48"/>
      <c r="CH48"/>
      <c r="CI48"/>
      <c r="CJ48"/>
      <c r="CK48"/>
      <c r="CL48"/>
    </row>
    <row r="49" spans="1:90" x14ac:dyDescent="0.25">
      <c r="A49" s="17">
        <v>12</v>
      </c>
      <c r="B49" s="59"/>
      <c r="C49" s="59"/>
      <c r="D49" s="59"/>
      <c r="E49" s="59"/>
      <c r="F49" s="59"/>
      <c r="G49"/>
      <c r="K49" s="17" t="s">
        <v>63</v>
      </c>
      <c r="L49" s="59">
        <v>19</v>
      </c>
      <c r="M49" s="15">
        <v>0.57685644324750784</v>
      </c>
      <c r="N49" s="59">
        <v>4414876.9800000004</v>
      </c>
      <c r="O49" s="59">
        <v>15</v>
      </c>
      <c r="P49" s="15">
        <v>0.4231435567524921</v>
      </c>
      <c r="Q49" s="59">
        <v>3238460.3999999994</v>
      </c>
      <c r="R49" s="59">
        <v>34</v>
      </c>
      <c r="S49" s="15">
        <v>1</v>
      </c>
      <c r="T49" s="59">
        <v>7653337.3800000008</v>
      </c>
      <c r="V49" s="17" t="s">
        <v>63</v>
      </c>
      <c r="W49" s="59">
        <v>33</v>
      </c>
      <c r="X49" s="59">
        <v>1</v>
      </c>
      <c r="Y49" s="59">
        <v>34</v>
      </c>
      <c r="Z49"/>
      <c r="AA49" s="17" t="s">
        <v>63</v>
      </c>
      <c r="AB49" s="59">
        <v>1812377.28</v>
      </c>
      <c r="BD49"/>
      <c r="BE49"/>
      <c r="BF49"/>
      <c r="BG49"/>
      <c r="BH49"/>
      <c r="BI49"/>
      <c r="BK49"/>
      <c r="BL49"/>
      <c r="BM49"/>
      <c r="BN49"/>
      <c r="BO49"/>
      <c r="BP49"/>
      <c r="BQ49"/>
      <c r="BR49" s="17" t="s">
        <v>96</v>
      </c>
      <c r="BS49" s="59">
        <v>6231813.2500000019</v>
      </c>
      <c r="BT49"/>
      <c r="BU49"/>
      <c r="BV49"/>
      <c r="BW49"/>
      <c r="BX49"/>
      <c r="BY49"/>
      <c r="BZ49" s="37" t="s">
        <v>129</v>
      </c>
      <c r="CA49" s="60">
        <v>10</v>
      </c>
      <c r="CB49" s="60"/>
      <c r="CC49" s="60">
        <v>2</v>
      </c>
      <c r="CD49" s="60">
        <v>2</v>
      </c>
      <c r="CE49" s="60">
        <v>12</v>
      </c>
      <c r="CF49"/>
      <c r="CG49"/>
      <c r="CH49"/>
      <c r="CI49"/>
      <c r="CJ49"/>
      <c r="CK49"/>
      <c r="CL49"/>
    </row>
    <row r="50" spans="1:90" x14ac:dyDescent="0.25">
      <c r="A50" s="13" t="s">
        <v>68</v>
      </c>
      <c r="B50" s="59">
        <v>25</v>
      </c>
      <c r="C50" s="59">
        <v>26</v>
      </c>
      <c r="D50" s="59">
        <v>51</v>
      </c>
      <c r="E50" s="59">
        <v>34</v>
      </c>
      <c r="F50" s="59">
        <v>85</v>
      </c>
      <c r="G50"/>
      <c r="K50" s="17" t="s">
        <v>2155</v>
      </c>
      <c r="L50" s="59">
        <v>1</v>
      </c>
      <c r="M50" s="15">
        <v>1</v>
      </c>
      <c r="N50" s="59">
        <v>158963.70000000001</v>
      </c>
      <c r="O50" s="59"/>
      <c r="P50" s="15">
        <v>0</v>
      </c>
      <c r="Q50" s="59"/>
      <c r="R50" s="59">
        <v>1</v>
      </c>
      <c r="S50" s="15">
        <v>1</v>
      </c>
      <c r="T50" s="59">
        <v>158963.70000000001</v>
      </c>
      <c r="V50" s="17" t="s">
        <v>2155</v>
      </c>
      <c r="W50" s="59">
        <v>1</v>
      </c>
      <c r="X50" s="59"/>
      <c r="Y50" s="59">
        <v>1</v>
      </c>
      <c r="Z50"/>
      <c r="AA50" s="17" t="s">
        <v>2155</v>
      </c>
      <c r="AB50" s="59">
        <v>158963.70000000001</v>
      </c>
      <c r="BD50"/>
      <c r="BE50"/>
      <c r="BF50"/>
      <c r="BG50"/>
      <c r="BH50"/>
      <c r="BI50"/>
      <c r="BK50"/>
      <c r="BL50"/>
      <c r="BM50"/>
      <c r="BN50"/>
      <c r="BO50"/>
      <c r="BP50"/>
      <c r="BQ50"/>
      <c r="BR50" s="17" t="s">
        <v>114</v>
      </c>
      <c r="BS50" s="59">
        <v>522509.83999999997</v>
      </c>
      <c r="BT50"/>
      <c r="BU50"/>
      <c r="BV50"/>
      <c r="BW50"/>
      <c r="BX50"/>
      <c r="BZ50" s="37" t="s">
        <v>63</v>
      </c>
      <c r="CA50" s="60">
        <v>19</v>
      </c>
      <c r="CB50" s="60">
        <v>1</v>
      </c>
      <c r="CC50" s="60">
        <v>14</v>
      </c>
      <c r="CD50" s="60">
        <v>15</v>
      </c>
      <c r="CE50" s="60">
        <v>34</v>
      </c>
      <c r="CF50"/>
      <c r="CG50"/>
      <c r="CH50"/>
      <c r="CI50"/>
      <c r="CJ50"/>
      <c r="CK50"/>
      <c r="CL50"/>
    </row>
    <row r="51" spans="1:90" x14ac:dyDescent="0.25">
      <c r="A51" s="38" t="s">
        <v>65</v>
      </c>
      <c r="B51" s="39">
        <v>0.24345364777543069</v>
      </c>
      <c r="C51" s="39">
        <v>0.26244864668866491</v>
      </c>
      <c r="D51" s="39">
        <v>0.50590229446409563</v>
      </c>
      <c r="E51" s="39">
        <v>0.49409770553590437</v>
      </c>
      <c r="F51" s="39">
        <v>1</v>
      </c>
      <c r="G51"/>
      <c r="K51" s="17" t="s">
        <v>96</v>
      </c>
      <c r="L51" s="59">
        <v>19</v>
      </c>
      <c r="M51" s="15">
        <v>0.57850871092775435</v>
      </c>
      <c r="N51" s="59">
        <v>3605158.2500000005</v>
      </c>
      <c r="O51" s="59">
        <v>13</v>
      </c>
      <c r="P51" s="15">
        <v>0.42149128907224542</v>
      </c>
      <c r="Q51" s="59">
        <v>2626655</v>
      </c>
      <c r="R51" s="59">
        <v>32</v>
      </c>
      <c r="S51" s="15">
        <v>1</v>
      </c>
      <c r="T51" s="59">
        <v>6231813.2500000019</v>
      </c>
      <c r="V51" s="17" t="s">
        <v>96</v>
      </c>
      <c r="W51" s="59">
        <v>31</v>
      </c>
      <c r="X51" s="59">
        <v>1</v>
      </c>
      <c r="Y51" s="59">
        <v>32</v>
      </c>
      <c r="Z51"/>
      <c r="AA51" s="17" t="s">
        <v>96</v>
      </c>
      <c r="AB51" s="59">
        <v>1082658.23</v>
      </c>
      <c r="BD51"/>
      <c r="BE51"/>
      <c r="BF51"/>
      <c r="BG51"/>
      <c r="BH51"/>
      <c r="BI51"/>
      <c r="BK51"/>
      <c r="BL51"/>
      <c r="BM51"/>
      <c r="BN51"/>
      <c r="BO51"/>
      <c r="BP51"/>
      <c r="BQ51"/>
      <c r="BR51" s="17" t="s">
        <v>93</v>
      </c>
      <c r="BS51" s="59">
        <v>1700891.8800000001</v>
      </c>
      <c r="BT51"/>
      <c r="BU51"/>
      <c r="BV51"/>
      <c r="BW51"/>
      <c r="BX51"/>
      <c r="BZ51" s="37" t="s">
        <v>2155</v>
      </c>
      <c r="CA51" s="60">
        <v>1</v>
      </c>
      <c r="CB51" s="60"/>
      <c r="CC51" s="60"/>
      <c r="CD51" s="60"/>
      <c r="CE51" s="60">
        <v>1</v>
      </c>
      <c r="CF51"/>
      <c r="CG51"/>
      <c r="CH51"/>
      <c r="CI51"/>
      <c r="CJ51"/>
      <c r="CK51"/>
      <c r="CL51"/>
    </row>
    <row r="52" spans="1:90" x14ac:dyDescent="0.25">
      <c r="A52" s="13" t="s">
        <v>70</v>
      </c>
      <c r="B52" s="59">
        <v>3723582.55</v>
      </c>
      <c r="C52" s="59">
        <v>4014107.8600000003</v>
      </c>
      <c r="D52" s="59">
        <v>7737690.4100000001</v>
      </c>
      <c r="E52" s="59">
        <v>7557141.209999999</v>
      </c>
      <c r="F52" s="59">
        <v>15294831.619999999</v>
      </c>
      <c r="G52"/>
      <c r="K52" s="17" t="s">
        <v>114</v>
      </c>
      <c r="L52" s="59">
        <v>2</v>
      </c>
      <c r="M52" s="15">
        <v>1</v>
      </c>
      <c r="N52" s="59">
        <v>522509.83999999997</v>
      </c>
      <c r="O52" s="59"/>
      <c r="P52" s="15">
        <v>0</v>
      </c>
      <c r="Q52" s="59"/>
      <c r="R52" s="59">
        <v>2</v>
      </c>
      <c r="S52" s="15">
        <v>1</v>
      </c>
      <c r="T52" s="59">
        <v>522509.83999999997</v>
      </c>
      <c r="V52" s="17" t="s">
        <v>114</v>
      </c>
      <c r="W52" s="59">
        <v>2</v>
      </c>
      <c r="X52" s="59"/>
      <c r="Y52" s="59">
        <v>2</v>
      </c>
      <c r="Z52"/>
      <c r="AA52" s="17" t="s">
        <v>114</v>
      </c>
      <c r="AB52" s="59">
        <v>47000</v>
      </c>
      <c r="BD52"/>
      <c r="BE52"/>
      <c r="BF52"/>
      <c r="BG52"/>
      <c r="BH52"/>
      <c r="BI52"/>
      <c r="BK52"/>
      <c r="BL52"/>
      <c r="BM52"/>
      <c r="BN52"/>
      <c r="BO52"/>
      <c r="BP52"/>
      <c r="BQ52"/>
      <c r="BR52" s="17" t="s">
        <v>83</v>
      </c>
      <c r="BS52" s="59">
        <v>134252.70000000001</v>
      </c>
      <c r="BT52"/>
      <c r="BU52"/>
      <c r="BV52"/>
      <c r="BW52"/>
      <c r="BX52"/>
      <c r="BZ52" s="37" t="s">
        <v>96</v>
      </c>
      <c r="CA52" s="60">
        <v>19</v>
      </c>
      <c r="CB52" s="60">
        <v>1</v>
      </c>
      <c r="CC52" s="60">
        <v>12</v>
      </c>
      <c r="CD52" s="60">
        <v>13</v>
      </c>
      <c r="CE52" s="60">
        <v>32</v>
      </c>
      <c r="CF52"/>
      <c r="CG52"/>
      <c r="CH52"/>
      <c r="CI52"/>
      <c r="CJ52"/>
      <c r="CK52"/>
      <c r="CL52"/>
    </row>
    <row r="53" spans="1:90" x14ac:dyDescent="0.25">
      <c r="A53" s="13" t="s">
        <v>72</v>
      </c>
      <c r="B53" s="59">
        <v>2671566.2899999996</v>
      </c>
      <c r="C53" s="59">
        <v>445525</v>
      </c>
      <c r="D53" s="59">
        <v>3117091.2899999996</v>
      </c>
      <c r="E53" s="59">
        <v>0</v>
      </c>
      <c r="F53" s="59">
        <v>3117091.2899999996</v>
      </c>
      <c r="G53"/>
      <c r="K53" s="17" t="s">
        <v>93</v>
      </c>
      <c r="L53" s="59">
        <v>3</v>
      </c>
      <c r="M53" s="15">
        <v>0.52910045052363941</v>
      </c>
      <c r="N53" s="59">
        <v>899942.66</v>
      </c>
      <c r="O53" s="59">
        <v>4</v>
      </c>
      <c r="P53" s="15">
        <v>0.4708995494763607</v>
      </c>
      <c r="Q53" s="59">
        <v>800949.22000000009</v>
      </c>
      <c r="R53" s="59">
        <v>7</v>
      </c>
      <c r="S53" s="15">
        <v>1</v>
      </c>
      <c r="T53" s="59">
        <v>1700891.88</v>
      </c>
      <c r="V53" s="17" t="s">
        <v>93</v>
      </c>
      <c r="W53" s="59">
        <v>7</v>
      </c>
      <c r="X53" s="59"/>
      <c r="Y53" s="59">
        <v>7</v>
      </c>
      <c r="Z53"/>
      <c r="AA53" s="17" t="s">
        <v>93</v>
      </c>
      <c r="AB53" s="59">
        <v>69970</v>
      </c>
      <c r="BD53"/>
      <c r="BE53"/>
      <c r="BF53"/>
      <c r="BG53"/>
      <c r="BH53"/>
      <c r="BI53"/>
      <c r="BK53"/>
      <c r="BL53"/>
      <c r="BM53"/>
      <c r="BN53"/>
      <c r="BO53"/>
      <c r="BP53"/>
      <c r="BQ53"/>
      <c r="BR53" s="17" t="s">
        <v>3640</v>
      </c>
      <c r="BS53" s="59">
        <v>421616.4</v>
      </c>
      <c r="BT53"/>
      <c r="BU53"/>
      <c r="BV53"/>
      <c r="BW53"/>
      <c r="BX53"/>
      <c r="BZ53" s="37" t="s">
        <v>114</v>
      </c>
      <c r="CA53" s="60">
        <v>2</v>
      </c>
      <c r="CB53" s="60"/>
      <c r="CC53" s="60"/>
      <c r="CD53" s="60"/>
      <c r="CE53" s="60">
        <v>2</v>
      </c>
      <c r="CF53"/>
      <c r="CG53"/>
      <c r="CH53"/>
      <c r="CI53"/>
      <c r="CJ53"/>
      <c r="CK53"/>
      <c r="CL53"/>
    </row>
    <row r="54" spans="1:90" x14ac:dyDescent="0.25">
      <c r="A54" s="17">
        <v>13</v>
      </c>
      <c r="B54" s="59"/>
      <c r="C54" s="59"/>
      <c r="D54" s="59"/>
      <c r="E54" s="59"/>
      <c r="F54" s="59"/>
      <c r="G54"/>
      <c r="K54" s="13" t="s">
        <v>50</v>
      </c>
      <c r="L54" s="59">
        <v>347</v>
      </c>
      <c r="M54" s="15">
        <v>0.56911601276670887</v>
      </c>
      <c r="N54" s="59">
        <v>71168097.860000059</v>
      </c>
      <c r="O54" s="59">
        <v>246</v>
      </c>
      <c r="P54" s="15">
        <v>0.43088398723329158</v>
      </c>
      <c r="Q54" s="59">
        <v>53882148.950000003</v>
      </c>
      <c r="R54" s="59">
        <v>593</v>
      </c>
      <c r="S54" s="15">
        <v>1</v>
      </c>
      <c r="T54" s="59">
        <v>125050246.81</v>
      </c>
      <c r="V54" s="13" t="s">
        <v>50</v>
      </c>
      <c r="W54" s="59">
        <v>520</v>
      </c>
      <c r="X54" s="59">
        <v>73</v>
      </c>
      <c r="Y54" s="59">
        <v>593</v>
      </c>
      <c r="Z54"/>
      <c r="AA54" s="13" t="s">
        <v>50</v>
      </c>
      <c r="AB54" s="59">
        <v>25156942.41</v>
      </c>
      <c r="BD54"/>
      <c r="BE54"/>
      <c r="BF54"/>
      <c r="BG54"/>
      <c r="BH54"/>
      <c r="BI54"/>
      <c r="BK54"/>
      <c r="BL54"/>
      <c r="BM54"/>
      <c r="BN54"/>
      <c r="BO54"/>
      <c r="BP54"/>
      <c r="BQ54"/>
      <c r="BR54" s="13" t="s">
        <v>50</v>
      </c>
      <c r="BS54" s="59">
        <v>125050246.81</v>
      </c>
      <c r="BZ54" s="37" t="s">
        <v>93</v>
      </c>
      <c r="CA54" s="60">
        <v>3</v>
      </c>
      <c r="CB54" s="60"/>
      <c r="CC54" s="60">
        <v>4</v>
      </c>
      <c r="CD54" s="60">
        <v>4</v>
      </c>
      <c r="CE54" s="60">
        <v>7</v>
      </c>
      <c r="CF54"/>
      <c r="CG54"/>
      <c r="CH54"/>
      <c r="CI54"/>
      <c r="CJ54"/>
      <c r="CK54"/>
      <c r="CL54"/>
    </row>
    <row r="55" spans="1:90" x14ac:dyDescent="0.25">
      <c r="A55" s="13" t="s">
        <v>68</v>
      </c>
      <c r="B55" s="59">
        <v>1</v>
      </c>
      <c r="C55" s="59"/>
      <c r="D55" s="59">
        <v>1</v>
      </c>
      <c r="E55" s="59"/>
      <c r="F55" s="59">
        <v>1</v>
      </c>
      <c r="G55"/>
      <c r="K55"/>
      <c r="L55"/>
      <c r="M55"/>
      <c r="N55"/>
      <c r="O55"/>
      <c r="P55"/>
      <c r="Q55"/>
      <c r="R55"/>
      <c r="S55"/>
      <c r="T55"/>
      <c r="V55"/>
      <c r="W55"/>
      <c r="X55"/>
      <c r="Y55"/>
      <c r="AA55"/>
      <c r="AB55"/>
      <c r="BK55"/>
      <c r="BL55"/>
      <c r="BM55"/>
      <c r="BN55"/>
      <c r="BO55"/>
      <c r="BP55"/>
      <c r="BR55"/>
      <c r="BS55"/>
      <c r="BZ55" s="23" t="s">
        <v>50</v>
      </c>
      <c r="CA55" s="60">
        <v>347</v>
      </c>
      <c r="CB55" s="60">
        <v>72</v>
      </c>
      <c r="CC55" s="60">
        <v>174</v>
      </c>
      <c r="CD55" s="60">
        <v>246</v>
      </c>
      <c r="CE55" s="60">
        <v>593</v>
      </c>
      <c r="CF55"/>
      <c r="CG55"/>
      <c r="CH55"/>
      <c r="CI55"/>
      <c r="CJ55"/>
      <c r="CK55"/>
      <c r="CL55"/>
    </row>
    <row r="56" spans="1:90" x14ac:dyDescent="0.25">
      <c r="A56" s="38" t="s">
        <v>65</v>
      </c>
      <c r="B56" s="39">
        <v>1</v>
      </c>
      <c r="C56" s="39">
        <v>0</v>
      </c>
      <c r="D56" s="39">
        <v>1</v>
      </c>
      <c r="E56" s="39">
        <v>0</v>
      </c>
      <c r="F56" s="39">
        <v>1</v>
      </c>
      <c r="G56"/>
      <c r="K56"/>
      <c r="L56"/>
      <c r="M56"/>
      <c r="N56"/>
      <c r="O56"/>
      <c r="P56"/>
      <c r="Q56"/>
      <c r="R56"/>
      <c r="S56"/>
      <c r="T56"/>
      <c r="V56"/>
      <c r="W56"/>
      <c r="X56"/>
      <c r="Y56"/>
      <c r="AA56"/>
      <c r="AB56"/>
      <c r="BK56"/>
      <c r="BL56"/>
      <c r="BM56"/>
      <c r="BN56"/>
      <c r="BO56"/>
      <c r="BP56"/>
      <c r="BR56"/>
      <c r="BS56"/>
      <c r="BZ56"/>
      <c r="CA56"/>
      <c r="CB56"/>
      <c r="CC56"/>
      <c r="CD56"/>
      <c r="CE56"/>
      <c r="CF56"/>
      <c r="CG56"/>
      <c r="CH56"/>
      <c r="CI56"/>
      <c r="CJ56"/>
      <c r="CK56"/>
      <c r="CL56"/>
    </row>
    <row r="57" spans="1:90" x14ac:dyDescent="0.25">
      <c r="A57" s="13" t="s">
        <v>70</v>
      </c>
      <c r="B57" s="59">
        <v>102283.52</v>
      </c>
      <c r="C57" s="59"/>
      <c r="D57" s="59">
        <v>102283.52</v>
      </c>
      <c r="E57" s="59"/>
      <c r="F57" s="59">
        <v>102283.52</v>
      </c>
      <c r="G57"/>
      <c r="K57"/>
      <c r="L57"/>
      <c r="M57"/>
      <c r="N57"/>
      <c r="O57"/>
      <c r="P57"/>
      <c r="Q57"/>
      <c r="R57"/>
      <c r="S57"/>
      <c r="T57"/>
      <c r="V57"/>
      <c r="W57"/>
      <c r="X57"/>
      <c r="Y57"/>
      <c r="AA57"/>
      <c r="AB57"/>
      <c r="BK57"/>
      <c r="BL57"/>
      <c r="BM57"/>
      <c r="BN57"/>
      <c r="BO57"/>
      <c r="BP57"/>
      <c r="BR57"/>
      <c r="BS57"/>
      <c r="BZ57"/>
      <c r="CA57"/>
      <c r="CB57"/>
      <c r="CC57"/>
      <c r="CD57"/>
      <c r="CE57"/>
      <c r="CF57"/>
      <c r="CG57"/>
      <c r="CH57"/>
      <c r="CI57"/>
      <c r="CJ57"/>
      <c r="CK57"/>
      <c r="CL57"/>
    </row>
    <row r="58" spans="1:90" x14ac:dyDescent="0.25">
      <c r="A58" s="13" t="s">
        <v>72</v>
      </c>
      <c r="B58" s="59">
        <v>48377.73</v>
      </c>
      <c r="C58" s="59"/>
      <c r="D58" s="59">
        <v>48377.73</v>
      </c>
      <c r="E58" s="59"/>
      <c r="F58" s="59">
        <v>48377.73</v>
      </c>
      <c r="G58"/>
      <c r="K58"/>
      <c r="L58"/>
      <c r="M58"/>
      <c r="N58"/>
      <c r="O58"/>
      <c r="P58"/>
      <c r="Q58"/>
      <c r="R58"/>
      <c r="S58"/>
      <c r="T58"/>
      <c r="V58"/>
      <c r="W58"/>
      <c r="X58"/>
      <c r="Y58"/>
      <c r="AA58"/>
      <c r="AB58"/>
      <c r="BK58"/>
      <c r="BL58"/>
      <c r="BM58"/>
      <c r="BN58"/>
      <c r="BO58"/>
      <c r="BP58"/>
      <c r="BR58"/>
      <c r="BS58"/>
      <c r="BZ58"/>
      <c r="CA58"/>
      <c r="CB58"/>
      <c r="CC58"/>
      <c r="CD58"/>
      <c r="CE58"/>
      <c r="CF58"/>
      <c r="CG58"/>
      <c r="CH58"/>
      <c r="CI58"/>
      <c r="CJ58"/>
      <c r="CK58"/>
      <c r="CL58"/>
    </row>
    <row r="59" spans="1:90" x14ac:dyDescent="0.25">
      <c r="A59" s="17">
        <v>14</v>
      </c>
      <c r="B59" s="59"/>
      <c r="C59" s="59"/>
      <c r="D59" s="59"/>
      <c r="E59" s="59"/>
      <c r="F59" s="59"/>
      <c r="G59"/>
      <c r="K59"/>
      <c r="L59"/>
      <c r="M59"/>
      <c r="N59"/>
      <c r="O59"/>
      <c r="P59"/>
      <c r="Q59"/>
      <c r="R59"/>
      <c r="S59"/>
      <c r="T59"/>
      <c r="V59"/>
      <c r="W59"/>
      <c r="X59"/>
      <c r="Y59"/>
      <c r="AA59"/>
      <c r="AB59"/>
      <c r="BK59"/>
      <c r="BL59"/>
      <c r="BM59"/>
      <c r="BN59"/>
      <c r="BO59"/>
      <c r="BP59"/>
      <c r="BR59"/>
      <c r="BS59"/>
      <c r="BZ59"/>
      <c r="CA59"/>
      <c r="CB59"/>
      <c r="CC59"/>
      <c r="CD59"/>
      <c r="CE59"/>
      <c r="CF59"/>
      <c r="CG59"/>
      <c r="CH59"/>
      <c r="CI59"/>
      <c r="CJ59"/>
      <c r="CK59"/>
      <c r="CL59"/>
    </row>
    <row r="60" spans="1:90" x14ac:dyDescent="0.25">
      <c r="A60" s="13" t="s">
        <v>68</v>
      </c>
      <c r="B60" s="59">
        <v>3</v>
      </c>
      <c r="C60" s="59">
        <v>3</v>
      </c>
      <c r="D60" s="59">
        <v>6</v>
      </c>
      <c r="E60" s="59">
        <v>5</v>
      </c>
      <c r="F60" s="59">
        <v>11</v>
      </c>
      <c r="G60"/>
      <c r="BK60"/>
      <c r="BL60"/>
      <c r="BM60"/>
      <c r="BN60"/>
      <c r="BO60"/>
      <c r="BP60"/>
      <c r="BR60"/>
      <c r="BS60"/>
      <c r="BZ60"/>
      <c r="CA60"/>
      <c r="CB60"/>
      <c r="CC60"/>
      <c r="CD60"/>
      <c r="CE60"/>
      <c r="CF60"/>
      <c r="CG60"/>
      <c r="CH60"/>
      <c r="CI60"/>
      <c r="CJ60"/>
      <c r="CK60"/>
      <c r="CL60"/>
    </row>
    <row r="61" spans="1:90" x14ac:dyDescent="0.25">
      <c r="A61" s="38" t="s">
        <v>65</v>
      </c>
      <c r="B61" s="39">
        <v>0.29574258494959077</v>
      </c>
      <c r="C61" s="39">
        <v>0.20120745471212437</v>
      </c>
      <c r="D61" s="39">
        <v>0.49695003966171514</v>
      </c>
      <c r="E61" s="39">
        <v>0.50304996033828486</v>
      </c>
      <c r="F61" s="39">
        <v>1</v>
      </c>
      <c r="G61"/>
      <c r="BK61"/>
      <c r="BL61"/>
      <c r="BM61"/>
      <c r="BN61"/>
      <c r="BO61"/>
      <c r="BP61"/>
      <c r="BR61"/>
      <c r="BS61"/>
      <c r="BZ61"/>
      <c r="CA61"/>
      <c r="CB61"/>
      <c r="CC61"/>
      <c r="CD61"/>
      <c r="CE61"/>
    </row>
    <row r="62" spans="1:90" x14ac:dyDescent="0.25">
      <c r="A62" s="13" t="s">
        <v>70</v>
      </c>
      <c r="B62" s="59">
        <v>509843.08999999997</v>
      </c>
      <c r="C62" s="59">
        <v>346870</v>
      </c>
      <c r="D62" s="59">
        <v>856713.09</v>
      </c>
      <c r="E62" s="59">
        <v>867228.99999999988</v>
      </c>
      <c r="F62" s="59">
        <v>1723942.0899999999</v>
      </c>
      <c r="G62"/>
      <c r="BK62"/>
      <c r="BL62"/>
      <c r="BM62"/>
      <c r="BN62"/>
      <c r="BO62"/>
      <c r="BP62"/>
      <c r="BR62"/>
      <c r="BS62"/>
      <c r="BZ62"/>
      <c r="CA62"/>
      <c r="CB62"/>
      <c r="CC62"/>
      <c r="CD62"/>
      <c r="CE62"/>
    </row>
    <row r="63" spans="1:90" x14ac:dyDescent="0.25">
      <c r="A63" s="13" t="s">
        <v>72</v>
      </c>
      <c r="B63" s="59">
        <v>363849.44</v>
      </c>
      <c r="C63" s="59">
        <v>24392</v>
      </c>
      <c r="D63" s="59">
        <v>388241.44</v>
      </c>
      <c r="E63" s="59">
        <v>0</v>
      </c>
      <c r="F63" s="59">
        <v>388241.44</v>
      </c>
      <c r="G63"/>
      <c r="BK63"/>
      <c r="BL63"/>
      <c r="BM63"/>
      <c r="BN63"/>
      <c r="BO63"/>
      <c r="BP63"/>
      <c r="BR63"/>
      <c r="BS63"/>
      <c r="BZ63"/>
      <c r="CA63"/>
      <c r="CB63"/>
      <c r="CC63"/>
      <c r="CD63"/>
      <c r="CE63"/>
    </row>
    <row r="64" spans="1:90" x14ac:dyDescent="0.25">
      <c r="A64" s="17">
        <v>17</v>
      </c>
      <c r="B64" s="59"/>
      <c r="C64" s="59"/>
      <c r="D64" s="59"/>
      <c r="E64" s="59"/>
      <c r="F64" s="59"/>
      <c r="G64"/>
      <c r="BK64"/>
      <c r="BL64"/>
      <c r="BM64"/>
      <c r="BN64"/>
      <c r="BO64"/>
      <c r="BP64"/>
      <c r="BR64"/>
      <c r="BS64"/>
      <c r="BZ64"/>
      <c r="CA64"/>
      <c r="CB64"/>
      <c r="CC64"/>
      <c r="CD64"/>
      <c r="CE64"/>
    </row>
    <row r="65" spans="1:83" x14ac:dyDescent="0.25">
      <c r="A65" s="13" t="s">
        <v>68</v>
      </c>
      <c r="B65" s="59"/>
      <c r="C65" s="59"/>
      <c r="D65" s="59"/>
      <c r="E65" s="59">
        <v>1</v>
      </c>
      <c r="F65" s="59">
        <v>1</v>
      </c>
      <c r="G65"/>
      <c r="BK65"/>
      <c r="BL65"/>
      <c r="BM65"/>
      <c r="BN65"/>
      <c r="BO65"/>
      <c r="BP65"/>
      <c r="BR65"/>
      <c r="BS65"/>
      <c r="BZ65"/>
      <c r="CA65"/>
      <c r="CB65"/>
      <c r="CC65"/>
      <c r="CD65"/>
      <c r="CE65"/>
    </row>
    <row r="66" spans="1:83" x14ac:dyDescent="0.25">
      <c r="A66" s="38" t="s">
        <v>65</v>
      </c>
      <c r="B66" s="39">
        <v>0</v>
      </c>
      <c r="C66" s="39">
        <v>0</v>
      </c>
      <c r="D66" s="39">
        <v>0</v>
      </c>
      <c r="E66" s="39">
        <v>1</v>
      </c>
      <c r="F66" s="39">
        <v>1</v>
      </c>
      <c r="G66"/>
      <c r="BK66"/>
      <c r="BL66"/>
      <c r="BM66"/>
      <c r="BN66"/>
      <c r="BO66"/>
      <c r="BP66"/>
      <c r="BR66"/>
      <c r="BS66"/>
      <c r="BZ66"/>
      <c r="CA66"/>
      <c r="CB66"/>
      <c r="CC66"/>
      <c r="CD66"/>
      <c r="CE66"/>
    </row>
    <row r="67" spans="1:83" x14ac:dyDescent="0.25">
      <c r="A67" s="13" t="s">
        <v>70</v>
      </c>
      <c r="B67" s="59"/>
      <c r="C67" s="59"/>
      <c r="D67" s="59"/>
      <c r="E67" s="59">
        <v>134252.70000000001</v>
      </c>
      <c r="F67" s="59">
        <v>134252.70000000001</v>
      </c>
      <c r="G67"/>
      <c r="BK67"/>
      <c r="BL67"/>
      <c r="BM67"/>
      <c r="BN67"/>
      <c r="BO67"/>
      <c r="BP67"/>
      <c r="BR67"/>
      <c r="BS67"/>
      <c r="BZ67"/>
      <c r="CA67"/>
      <c r="CB67"/>
      <c r="CC67"/>
      <c r="CD67"/>
      <c r="CE67"/>
    </row>
    <row r="68" spans="1:83" x14ac:dyDescent="0.25">
      <c r="A68" s="13" t="s">
        <v>72</v>
      </c>
      <c r="B68" s="59"/>
      <c r="C68" s="59"/>
      <c r="D68" s="59"/>
      <c r="E68" s="59">
        <v>0</v>
      </c>
      <c r="F68" s="59">
        <v>0</v>
      </c>
      <c r="G68"/>
      <c r="BK68"/>
      <c r="BL68"/>
      <c r="BM68"/>
      <c r="BN68"/>
      <c r="BO68"/>
      <c r="BP68"/>
      <c r="BR68"/>
      <c r="BS68"/>
      <c r="BZ68"/>
      <c r="CA68"/>
      <c r="CB68"/>
      <c r="CC68"/>
      <c r="CD68"/>
      <c r="CE68"/>
    </row>
    <row r="69" spans="1:83" x14ac:dyDescent="0.25">
      <c r="A69" s="17">
        <v>15</v>
      </c>
      <c r="B69" s="59"/>
      <c r="C69" s="59"/>
      <c r="D69" s="59"/>
      <c r="E69" s="59"/>
      <c r="F69" s="59"/>
      <c r="G69"/>
      <c r="BK69"/>
      <c r="BL69"/>
      <c r="BM69"/>
      <c r="BN69"/>
      <c r="BO69"/>
      <c r="BP69"/>
      <c r="BR69"/>
      <c r="BS69"/>
      <c r="BZ69"/>
      <c r="CA69"/>
      <c r="CB69"/>
      <c r="CC69"/>
      <c r="CD69"/>
      <c r="CE69"/>
    </row>
    <row r="70" spans="1:83" x14ac:dyDescent="0.25">
      <c r="A70" s="13" t="s">
        <v>68</v>
      </c>
      <c r="B70" s="59">
        <v>2</v>
      </c>
      <c r="C70" s="59"/>
      <c r="D70" s="59">
        <v>2</v>
      </c>
      <c r="E70" s="59">
        <v>3</v>
      </c>
      <c r="F70" s="59">
        <v>5</v>
      </c>
      <c r="G70"/>
      <c r="BR70"/>
      <c r="BS70"/>
      <c r="BZ70"/>
      <c r="CA70"/>
      <c r="CB70"/>
      <c r="CC70"/>
      <c r="CD70"/>
      <c r="CE70"/>
    </row>
    <row r="71" spans="1:83" x14ac:dyDescent="0.25">
      <c r="A71" s="38" t="s">
        <v>65</v>
      </c>
      <c r="B71" s="39">
        <v>0.73886737473525044</v>
      </c>
      <c r="C71" s="39">
        <v>0</v>
      </c>
      <c r="D71" s="39">
        <v>0.73886737473525044</v>
      </c>
      <c r="E71" s="39">
        <v>0.26113262526474951</v>
      </c>
      <c r="F71" s="39">
        <v>1</v>
      </c>
      <c r="G71"/>
      <c r="BR71"/>
      <c r="BS71"/>
      <c r="BZ71"/>
      <c r="CA71"/>
      <c r="CB71"/>
      <c r="CC71"/>
      <c r="CD71"/>
      <c r="CE71"/>
    </row>
    <row r="72" spans="1:83" x14ac:dyDescent="0.25">
      <c r="A72" s="13" t="s">
        <v>70</v>
      </c>
      <c r="B72" s="59">
        <v>3184527.85</v>
      </c>
      <c r="C72" s="59"/>
      <c r="D72" s="59">
        <v>3184527.85</v>
      </c>
      <c r="E72" s="59">
        <v>1125484.9600000002</v>
      </c>
      <c r="F72" s="59">
        <v>4310012.8100000005</v>
      </c>
      <c r="G72"/>
      <c r="BR72"/>
      <c r="BS72"/>
      <c r="BZ72"/>
      <c r="CA72"/>
      <c r="CB72"/>
      <c r="CC72"/>
      <c r="CD72"/>
      <c r="CE72"/>
    </row>
    <row r="73" spans="1:83" x14ac:dyDescent="0.25">
      <c r="A73" s="13" t="s">
        <v>72</v>
      </c>
      <c r="B73" s="59">
        <v>1049618.33</v>
      </c>
      <c r="C73" s="59"/>
      <c r="D73" s="59">
        <v>1049618.33</v>
      </c>
      <c r="E73" s="59">
        <v>0</v>
      </c>
      <c r="F73" s="59">
        <v>1049618.33</v>
      </c>
      <c r="G73"/>
      <c r="BR73"/>
      <c r="BS73"/>
      <c r="BZ73"/>
      <c r="CA73"/>
      <c r="CB73"/>
      <c r="CC73"/>
      <c r="CD73"/>
      <c r="CE73"/>
    </row>
    <row r="74" spans="1:83" x14ac:dyDescent="0.25">
      <c r="A74" s="17">
        <v>16</v>
      </c>
      <c r="B74" s="59"/>
      <c r="C74" s="59"/>
      <c r="D74" s="59"/>
      <c r="E74" s="59"/>
      <c r="F74" s="59"/>
      <c r="G74"/>
      <c r="BR74"/>
      <c r="BS74"/>
      <c r="BZ74"/>
      <c r="CA74"/>
      <c r="CB74"/>
      <c r="CC74"/>
      <c r="CD74"/>
      <c r="CE74"/>
    </row>
    <row r="75" spans="1:83" x14ac:dyDescent="0.25">
      <c r="A75" s="13" t="s">
        <v>68</v>
      </c>
      <c r="B75" s="59">
        <v>23</v>
      </c>
      <c r="C75" s="59">
        <v>29</v>
      </c>
      <c r="D75" s="59">
        <v>52</v>
      </c>
      <c r="E75" s="59">
        <v>35</v>
      </c>
      <c r="F75" s="59">
        <v>87</v>
      </c>
      <c r="G75"/>
      <c r="BR75"/>
      <c r="BS75"/>
      <c r="BZ75"/>
      <c r="CA75"/>
      <c r="CB75"/>
      <c r="CC75"/>
      <c r="CD75"/>
      <c r="CE75"/>
    </row>
    <row r="76" spans="1:83" x14ac:dyDescent="0.25">
      <c r="A76" s="38" t="s">
        <v>65</v>
      </c>
      <c r="B76" s="39">
        <v>0.21008422293517451</v>
      </c>
      <c r="C76" s="39">
        <v>0.38579765847777397</v>
      </c>
      <c r="D76" s="39">
        <v>0.59588188141294862</v>
      </c>
      <c r="E76" s="39">
        <v>0.40411811858705121</v>
      </c>
      <c r="F76" s="39">
        <v>1</v>
      </c>
      <c r="G76"/>
      <c r="BR76"/>
      <c r="BS76"/>
      <c r="BZ76"/>
      <c r="CA76"/>
      <c r="CB76"/>
      <c r="CC76"/>
      <c r="CD76"/>
      <c r="CE76"/>
    </row>
    <row r="77" spans="1:83" x14ac:dyDescent="0.25">
      <c r="A77" s="13" t="s">
        <v>70</v>
      </c>
      <c r="B77" s="59">
        <v>3445751.58</v>
      </c>
      <c r="C77" s="59">
        <v>6327761.6600000001</v>
      </c>
      <c r="D77" s="59">
        <v>9773513.2400000021</v>
      </c>
      <c r="E77" s="59">
        <v>6628249.5</v>
      </c>
      <c r="F77" s="59">
        <v>16401762.740000006</v>
      </c>
      <c r="G77"/>
      <c r="BR77"/>
      <c r="BS77"/>
      <c r="BZ77"/>
      <c r="CA77"/>
      <c r="CB77"/>
      <c r="CC77"/>
      <c r="CD77"/>
      <c r="CE77"/>
    </row>
    <row r="78" spans="1:83" x14ac:dyDescent="0.25">
      <c r="A78" s="13" t="s">
        <v>72</v>
      </c>
      <c r="B78" s="59">
        <v>1780058.5499999996</v>
      </c>
      <c r="C78" s="59">
        <v>527936</v>
      </c>
      <c r="D78" s="59">
        <v>2307994.5499999998</v>
      </c>
      <c r="E78" s="59">
        <v>0</v>
      </c>
      <c r="F78" s="59">
        <v>2307994.5499999998</v>
      </c>
      <c r="G78"/>
      <c r="BR78"/>
      <c r="BS78"/>
      <c r="BZ78"/>
      <c r="CA78"/>
      <c r="CB78"/>
      <c r="CC78"/>
      <c r="CD78"/>
      <c r="CE78"/>
    </row>
    <row r="79" spans="1:83" x14ac:dyDescent="0.25">
      <c r="A79" s="17">
        <v>18</v>
      </c>
      <c r="B79" s="59"/>
      <c r="C79" s="59"/>
      <c r="D79" s="59"/>
      <c r="E79" s="59"/>
      <c r="F79" s="59"/>
      <c r="G79"/>
      <c r="BR79"/>
      <c r="BS79"/>
      <c r="BZ79"/>
      <c r="CA79"/>
      <c r="CB79"/>
      <c r="CC79"/>
      <c r="CD79"/>
      <c r="CE79"/>
    </row>
    <row r="80" spans="1:83" x14ac:dyDescent="0.25">
      <c r="A80" s="13" t="s">
        <v>68</v>
      </c>
      <c r="B80" s="59">
        <v>13</v>
      </c>
      <c r="C80" s="59">
        <v>6</v>
      </c>
      <c r="D80" s="59">
        <v>19</v>
      </c>
      <c r="E80" s="59">
        <v>13</v>
      </c>
      <c r="F80" s="59">
        <v>32</v>
      </c>
      <c r="G80"/>
      <c r="BR80"/>
      <c r="BS80"/>
      <c r="BZ80"/>
      <c r="CA80"/>
      <c r="CB80"/>
      <c r="CC80"/>
      <c r="CD80"/>
      <c r="CE80"/>
    </row>
    <row r="81" spans="1:83" x14ac:dyDescent="0.25">
      <c r="A81" s="38" t="s">
        <v>65</v>
      </c>
      <c r="B81" s="39">
        <v>0.41836068364039192</v>
      </c>
      <c r="C81" s="39">
        <v>9.2984495141590004E-2</v>
      </c>
      <c r="D81" s="39">
        <v>0.51134517878198182</v>
      </c>
      <c r="E81" s="39">
        <v>0.48865482121801784</v>
      </c>
      <c r="F81" s="39">
        <v>1</v>
      </c>
      <c r="G81"/>
      <c r="BR81"/>
      <c r="BS81"/>
      <c r="BZ81"/>
      <c r="CA81"/>
      <c r="CB81"/>
      <c r="CC81"/>
      <c r="CD81"/>
      <c r="CE81"/>
    </row>
    <row r="82" spans="1:83" x14ac:dyDescent="0.25">
      <c r="A82" s="13" t="s">
        <v>70</v>
      </c>
      <c r="B82" s="59">
        <v>3883873.4499999997</v>
      </c>
      <c r="C82" s="59">
        <v>863226.46</v>
      </c>
      <c r="D82" s="59">
        <v>4747099.9099999992</v>
      </c>
      <c r="E82" s="59">
        <v>4536452.7799999993</v>
      </c>
      <c r="F82" s="59">
        <v>9283552.6900000013</v>
      </c>
      <c r="G82"/>
      <c r="BR82"/>
      <c r="BS82"/>
      <c r="BZ82"/>
      <c r="CA82"/>
      <c r="CB82"/>
      <c r="CC82"/>
      <c r="CD82"/>
      <c r="CE82"/>
    </row>
    <row r="83" spans="1:83" x14ac:dyDescent="0.25">
      <c r="A83" s="13" t="s">
        <v>72</v>
      </c>
      <c r="B83" s="59">
        <v>2676104.2199999997</v>
      </c>
      <c r="C83" s="59">
        <v>85771</v>
      </c>
      <c r="D83" s="59">
        <v>2761875.2199999997</v>
      </c>
      <c r="E83" s="59">
        <v>0</v>
      </c>
      <c r="F83" s="59">
        <v>2761875.2199999997</v>
      </c>
      <c r="G83"/>
      <c r="BR83"/>
      <c r="BS83"/>
      <c r="BZ83"/>
      <c r="CA83"/>
      <c r="CB83"/>
      <c r="CC83"/>
      <c r="CD83"/>
      <c r="CE83"/>
    </row>
    <row r="84" spans="1:83" x14ac:dyDescent="0.25">
      <c r="A84" s="17">
        <v>20</v>
      </c>
      <c r="B84" s="59"/>
      <c r="C84" s="59"/>
      <c r="D84" s="59"/>
      <c r="E84" s="59"/>
      <c r="F84" s="59"/>
      <c r="G84"/>
      <c r="BR84"/>
      <c r="BS84"/>
      <c r="BZ84"/>
      <c r="CA84"/>
      <c r="CB84"/>
      <c r="CC84"/>
      <c r="CD84"/>
      <c r="CE84"/>
    </row>
    <row r="85" spans="1:83" x14ac:dyDescent="0.25">
      <c r="A85" s="13" t="s">
        <v>68</v>
      </c>
      <c r="B85" s="59">
        <v>17</v>
      </c>
      <c r="C85" s="59">
        <v>32</v>
      </c>
      <c r="D85" s="59">
        <v>49</v>
      </c>
      <c r="E85" s="59">
        <v>36</v>
      </c>
      <c r="F85" s="59">
        <v>85</v>
      </c>
      <c r="G85"/>
      <c r="BR85"/>
      <c r="BS85"/>
      <c r="BZ85"/>
      <c r="CA85"/>
      <c r="CB85"/>
      <c r="CC85"/>
      <c r="CD85"/>
      <c r="CE85"/>
    </row>
    <row r="86" spans="1:83" x14ac:dyDescent="0.25">
      <c r="A86" s="38" t="s">
        <v>65</v>
      </c>
      <c r="B86" s="39">
        <v>0.1367954796609705</v>
      </c>
      <c r="C86" s="39">
        <v>0.38773319198336814</v>
      </c>
      <c r="D86" s="39">
        <v>0.52452867164433858</v>
      </c>
      <c r="E86" s="39">
        <v>0.47547132835566142</v>
      </c>
      <c r="F86" s="39">
        <v>1</v>
      </c>
      <c r="G86"/>
      <c r="BR86"/>
      <c r="BS86"/>
      <c r="BZ86"/>
      <c r="CA86"/>
      <c r="CB86"/>
      <c r="CC86"/>
      <c r="CD86"/>
      <c r="CE86"/>
    </row>
    <row r="87" spans="1:83" x14ac:dyDescent="0.25">
      <c r="A87" s="13" t="s">
        <v>70</v>
      </c>
      <c r="B87" s="59">
        <v>2259631.5500000007</v>
      </c>
      <c r="C87" s="59">
        <v>6404701.0599999996</v>
      </c>
      <c r="D87" s="59">
        <v>8664332.6099999994</v>
      </c>
      <c r="E87" s="59">
        <v>7853987.7000000011</v>
      </c>
      <c r="F87" s="59">
        <v>16518320.310000001</v>
      </c>
      <c r="G87"/>
      <c r="BR87"/>
      <c r="BS87"/>
      <c r="BZ87"/>
      <c r="CA87"/>
      <c r="CB87"/>
      <c r="CC87"/>
      <c r="CD87"/>
      <c r="CE87"/>
    </row>
    <row r="88" spans="1:83" x14ac:dyDescent="0.25">
      <c r="A88" s="13" t="s">
        <v>72</v>
      </c>
      <c r="B88" s="59">
        <v>1199222.0599999998</v>
      </c>
      <c r="C88" s="59">
        <v>636290.02</v>
      </c>
      <c r="D88" s="59">
        <v>1835512.0799999998</v>
      </c>
      <c r="E88" s="59">
        <v>0</v>
      </c>
      <c r="F88" s="59">
        <v>1835512.0799999998</v>
      </c>
      <c r="G88"/>
      <c r="BR88"/>
      <c r="BS88"/>
      <c r="BZ88"/>
      <c r="CA88"/>
      <c r="CB88"/>
      <c r="CC88"/>
      <c r="CD88"/>
      <c r="CE88"/>
    </row>
    <row r="89" spans="1:83" x14ac:dyDescent="0.25">
      <c r="A89" s="17">
        <v>21</v>
      </c>
      <c r="B89" s="59"/>
      <c r="C89" s="59"/>
      <c r="D89" s="59"/>
      <c r="E89" s="59"/>
      <c r="F89" s="59"/>
      <c r="G89"/>
      <c r="BR89"/>
      <c r="BS89"/>
      <c r="BZ89"/>
      <c r="CA89"/>
      <c r="CB89"/>
      <c r="CC89"/>
      <c r="CD89"/>
      <c r="CE89"/>
    </row>
    <row r="90" spans="1:83" x14ac:dyDescent="0.25">
      <c r="A90" s="13" t="s">
        <v>68</v>
      </c>
      <c r="B90" s="59">
        <v>36</v>
      </c>
      <c r="C90" s="59">
        <v>17</v>
      </c>
      <c r="D90" s="59">
        <v>53</v>
      </c>
      <c r="E90" s="59">
        <v>35</v>
      </c>
      <c r="F90" s="59">
        <v>88</v>
      </c>
      <c r="G90"/>
      <c r="BR90"/>
      <c r="BS90"/>
      <c r="BZ90"/>
      <c r="CA90"/>
      <c r="CB90"/>
      <c r="CC90"/>
      <c r="CD90"/>
      <c r="CE90"/>
    </row>
    <row r="91" spans="1:83" x14ac:dyDescent="0.25">
      <c r="A91" s="38" t="s">
        <v>65</v>
      </c>
      <c r="B91" s="39">
        <v>0.42301838519585877</v>
      </c>
      <c r="C91" s="39">
        <v>0.22315666816379115</v>
      </c>
      <c r="D91" s="39">
        <v>0.64617505335964975</v>
      </c>
      <c r="E91" s="39">
        <v>0.35382494664034997</v>
      </c>
      <c r="F91" s="39">
        <v>1</v>
      </c>
      <c r="G91"/>
      <c r="BR91"/>
      <c r="BS91"/>
      <c r="BZ91"/>
      <c r="CA91"/>
      <c r="CB91"/>
      <c r="CC91"/>
      <c r="CD91"/>
      <c r="CE91"/>
    </row>
    <row r="92" spans="1:83" x14ac:dyDescent="0.25">
      <c r="A92" s="13" t="s">
        <v>70</v>
      </c>
      <c r="B92" s="59">
        <v>7493725.4899999965</v>
      </c>
      <c r="C92" s="59">
        <v>3953196.5300000003</v>
      </c>
      <c r="D92" s="59">
        <v>11446922.019999994</v>
      </c>
      <c r="E92" s="59">
        <v>6267971.120000002</v>
      </c>
      <c r="F92" s="59">
        <v>17714893.140000001</v>
      </c>
      <c r="G92"/>
      <c r="BR92"/>
      <c r="BS92"/>
      <c r="BZ92"/>
      <c r="CA92"/>
      <c r="CB92"/>
      <c r="CC92"/>
      <c r="CD92"/>
      <c r="CE92"/>
    </row>
    <row r="93" spans="1:83" x14ac:dyDescent="0.25">
      <c r="A93" s="13" t="s">
        <v>72</v>
      </c>
      <c r="B93" s="59">
        <v>4681199.0100000007</v>
      </c>
      <c r="C93" s="59">
        <v>297925</v>
      </c>
      <c r="D93" s="59">
        <v>4979124.0100000007</v>
      </c>
      <c r="E93" s="59">
        <v>0</v>
      </c>
      <c r="F93" s="59">
        <v>4979124.0100000007</v>
      </c>
      <c r="G93"/>
      <c r="BR93"/>
      <c r="BS93"/>
      <c r="BZ93"/>
      <c r="CA93"/>
      <c r="CB93"/>
      <c r="CC93"/>
      <c r="CD93"/>
      <c r="CE93"/>
    </row>
    <row r="94" spans="1:83" x14ac:dyDescent="0.25">
      <c r="A94" s="17">
        <v>22</v>
      </c>
      <c r="B94" s="59"/>
      <c r="C94" s="59"/>
      <c r="D94" s="59"/>
      <c r="E94" s="59"/>
      <c r="F94" s="59"/>
      <c r="G94"/>
      <c r="BR94"/>
      <c r="BS94"/>
      <c r="BZ94"/>
      <c r="CA94"/>
      <c r="CB94"/>
      <c r="CC94"/>
      <c r="CD94"/>
      <c r="CE94"/>
    </row>
    <row r="95" spans="1:83" x14ac:dyDescent="0.25">
      <c r="A95" s="13" t="s">
        <v>68</v>
      </c>
      <c r="B95" s="59"/>
      <c r="C95" s="59"/>
      <c r="D95" s="59"/>
      <c r="E95" s="59">
        <v>1</v>
      </c>
      <c r="F95" s="59">
        <v>1</v>
      </c>
      <c r="G95"/>
      <c r="BR95"/>
      <c r="BS95"/>
      <c r="BZ95"/>
      <c r="CA95"/>
      <c r="CB95"/>
      <c r="CC95"/>
      <c r="CD95"/>
      <c r="CE95"/>
    </row>
    <row r="96" spans="1:83" x14ac:dyDescent="0.25">
      <c r="A96" s="38" t="s">
        <v>65</v>
      </c>
      <c r="B96" s="39">
        <v>0</v>
      </c>
      <c r="C96" s="39">
        <v>0</v>
      </c>
      <c r="D96" s="39">
        <v>0</v>
      </c>
      <c r="E96" s="39">
        <v>1</v>
      </c>
      <c r="F96" s="39">
        <v>1</v>
      </c>
      <c r="G96"/>
      <c r="BR96"/>
      <c r="BS96"/>
      <c r="BZ96"/>
      <c r="CA96"/>
      <c r="CB96"/>
      <c r="CC96"/>
      <c r="CD96"/>
      <c r="CE96"/>
    </row>
    <row r="97" spans="1:83" x14ac:dyDescent="0.25">
      <c r="A97" s="13" t="s">
        <v>70</v>
      </c>
      <c r="B97" s="59"/>
      <c r="C97" s="59"/>
      <c r="D97" s="59"/>
      <c r="E97" s="59">
        <v>241869.98</v>
      </c>
      <c r="F97" s="59">
        <v>241869.98</v>
      </c>
      <c r="G97"/>
      <c r="BR97"/>
      <c r="BS97"/>
      <c r="BZ97"/>
      <c r="CA97"/>
      <c r="CB97"/>
      <c r="CC97"/>
      <c r="CD97"/>
      <c r="CE97"/>
    </row>
    <row r="98" spans="1:83" x14ac:dyDescent="0.25">
      <c r="A98" s="13" t="s">
        <v>72</v>
      </c>
      <c r="B98" s="59"/>
      <c r="C98" s="59"/>
      <c r="D98" s="59"/>
      <c r="E98" s="59">
        <v>0</v>
      </c>
      <c r="F98" s="59">
        <v>0</v>
      </c>
      <c r="G98"/>
      <c r="BR98"/>
      <c r="BS98"/>
      <c r="BZ98"/>
      <c r="CA98"/>
      <c r="CB98"/>
      <c r="CC98"/>
      <c r="CD98"/>
      <c r="CE98"/>
    </row>
    <row r="99" spans="1:83" x14ac:dyDescent="0.25">
      <c r="A99" s="17">
        <v>23</v>
      </c>
      <c r="B99" s="59"/>
      <c r="C99" s="59"/>
      <c r="D99" s="59"/>
      <c r="E99" s="59"/>
      <c r="F99" s="59"/>
      <c r="G99"/>
      <c r="BR99"/>
      <c r="BS99"/>
      <c r="BZ99"/>
      <c r="CA99"/>
      <c r="CB99"/>
      <c r="CC99"/>
      <c r="CD99"/>
      <c r="CE99"/>
    </row>
    <row r="100" spans="1:83" x14ac:dyDescent="0.25">
      <c r="A100" s="13" t="s">
        <v>68</v>
      </c>
      <c r="B100" s="59">
        <v>1</v>
      </c>
      <c r="C100" s="59">
        <v>1</v>
      </c>
      <c r="D100" s="59">
        <v>2</v>
      </c>
      <c r="E100" s="59">
        <v>3</v>
      </c>
      <c r="F100" s="59">
        <v>5</v>
      </c>
      <c r="G100"/>
      <c r="BR100"/>
      <c r="BS100"/>
      <c r="BZ100"/>
      <c r="CA100"/>
      <c r="CB100"/>
      <c r="CC100"/>
      <c r="CD100"/>
      <c r="CE100"/>
    </row>
    <row r="101" spans="1:83" x14ac:dyDescent="0.25">
      <c r="A101" s="38" t="s">
        <v>65</v>
      </c>
      <c r="B101" s="39">
        <v>0.14132311711084153</v>
      </c>
      <c r="C101" s="39">
        <v>0.47048808067695097</v>
      </c>
      <c r="D101" s="39">
        <v>0.61181119778779258</v>
      </c>
      <c r="E101" s="39">
        <v>0.38818880221220758</v>
      </c>
      <c r="F101" s="39">
        <v>1</v>
      </c>
      <c r="G101"/>
      <c r="BR101"/>
      <c r="BS101"/>
      <c r="BZ101"/>
      <c r="CA101"/>
      <c r="CB101"/>
      <c r="CC101"/>
      <c r="CD101"/>
      <c r="CE101"/>
    </row>
    <row r="102" spans="1:83" x14ac:dyDescent="0.25">
      <c r="A102" s="13" t="s">
        <v>70</v>
      </c>
      <c r="B102" s="59">
        <v>160662.92000000001</v>
      </c>
      <c r="C102" s="59">
        <v>534873.49</v>
      </c>
      <c r="D102" s="59">
        <v>695536.41</v>
      </c>
      <c r="E102" s="59">
        <v>441311.70999999996</v>
      </c>
      <c r="F102" s="59">
        <v>1136848.1199999999</v>
      </c>
      <c r="G102"/>
      <c r="BR102"/>
      <c r="BS102"/>
      <c r="BZ102"/>
      <c r="CA102"/>
      <c r="CB102"/>
      <c r="CC102"/>
      <c r="CD102"/>
      <c r="CE102"/>
    </row>
    <row r="103" spans="1:83" x14ac:dyDescent="0.25">
      <c r="A103" s="13" t="s">
        <v>72</v>
      </c>
      <c r="B103" s="59">
        <v>37250</v>
      </c>
      <c r="C103" s="59">
        <v>56580.01</v>
      </c>
      <c r="D103" s="59">
        <v>93830.010000000009</v>
      </c>
      <c r="E103" s="59">
        <v>0</v>
      </c>
      <c r="F103" s="59">
        <v>93830.010000000009</v>
      </c>
      <c r="G103"/>
      <c r="BR103"/>
      <c r="BS103"/>
      <c r="BZ103"/>
      <c r="CA103"/>
      <c r="CB103"/>
      <c r="CC103"/>
      <c r="CD103"/>
      <c r="CE103"/>
    </row>
    <row r="104" spans="1:83" x14ac:dyDescent="0.25">
      <c r="A104" s="17">
        <v>25</v>
      </c>
      <c r="B104" s="59"/>
      <c r="C104" s="59"/>
      <c r="D104" s="59"/>
      <c r="E104" s="59"/>
      <c r="F104" s="59"/>
      <c r="G104"/>
      <c r="BR104"/>
      <c r="BS104"/>
      <c r="BZ104"/>
      <c r="CA104"/>
      <c r="CB104"/>
      <c r="CC104"/>
      <c r="CD104"/>
      <c r="CE104"/>
    </row>
    <row r="105" spans="1:83" x14ac:dyDescent="0.25">
      <c r="A105" s="13" t="s">
        <v>68</v>
      </c>
      <c r="B105" s="59">
        <v>3</v>
      </c>
      <c r="C105" s="59">
        <v>6</v>
      </c>
      <c r="D105" s="59">
        <v>9</v>
      </c>
      <c r="E105" s="59">
        <v>8</v>
      </c>
      <c r="F105" s="59">
        <v>17</v>
      </c>
      <c r="G105"/>
      <c r="BR105"/>
      <c r="BS105"/>
      <c r="BZ105"/>
      <c r="CA105"/>
      <c r="CB105"/>
      <c r="CC105"/>
      <c r="CD105"/>
      <c r="CE105"/>
    </row>
    <row r="106" spans="1:83" x14ac:dyDescent="0.25">
      <c r="A106" s="38" t="s">
        <v>65</v>
      </c>
      <c r="B106" s="39">
        <v>5.3809001450386515E-2</v>
      </c>
      <c r="C106" s="39">
        <v>0.61163995239498936</v>
      </c>
      <c r="D106" s="39">
        <v>0.66544895384537583</v>
      </c>
      <c r="E106" s="39">
        <v>0.33455104615462405</v>
      </c>
      <c r="F106" s="39">
        <v>1</v>
      </c>
      <c r="G106"/>
      <c r="BR106"/>
      <c r="BS106"/>
      <c r="BZ106"/>
      <c r="CA106"/>
      <c r="CB106"/>
      <c r="CC106"/>
      <c r="CD106"/>
      <c r="CE106"/>
    </row>
    <row r="107" spans="1:83" x14ac:dyDescent="0.25">
      <c r="A107" s="13" t="s">
        <v>70</v>
      </c>
      <c r="B107" s="59">
        <v>263399.44</v>
      </c>
      <c r="C107" s="59">
        <v>2994027.33</v>
      </c>
      <c r="D107" s="59">
        <v>3257426.77</v>
      </c>
      <c r="E107" s="59">
        <v>1637654.59</v>
      </c>
      <c r="F107" s="59">
        <v>4895081.3600000003</v>
      </c>
      <c r="G107"/>
      <c r="BR107"/>
      <c r="BS107"/>
      <c r="BZ107"/>
      <c r="CA107"/>
      <c r="CB107"/>
      <c r="CC107"/>
      <c r="CD107"/>
      <c r="CE107"/>
    </row>
    <row r="108" spans="1:83" x14ac:dyDescent="0.25">
      <c r="A108" s="13" t="s">
        <v>72</v>
      </c>
      <c r="B108" s="59">
        <v>114514.24000000001</v>
      </c>
      <c r="C108" s="59">
        <v>277730</v>
      </c>
      <c r="D108" s="59">
        <v>392244.24</v>
      </c>
      <c r="E108" s="59">
        <v>0</v>
      </c>
      <c r="F108" s="59">
        <v>392244.24</v>
      </c>
      <c r="G108"/>
      <c r="BR108"/>
      <c r="BS108"/>
      <c r="BZ108"/>
      <c r="CA108"/>
      <c r="CB108"/>
      <c r="CC108"/>
      <c r="CD108"/>
      <c r="CE108"/>
    </row>
    <row r="109" spans="1:83" x14ac:dyDescent="0.25">
      <c r="A109" s="17">
        <v>28</v>
      </c>
      <c r="B109" s="59"/>
      <c r="C109" s="59"/>
      <c r="D109" s="59"/>
      <c r="E109" s="59"/>
      <c r="F109" s="59"/>
      <c r="G109"/>
      <c r="BR109"/>
      <c r="BS109"/>
      <c r="BZ109"/>
      <c r="CA109"/>
      <c r="CB109"/>
      <c r="CC109"/>
      <c r="CD109"/>
      <c r="CE109"/>
    </row>
    <row r="110" spans="1:83" x14ac:dyDescent="0.25">
      <c r="A110" s="13" t="s">
        <v>68</v>
      </c>
      <c r="B110" s="59">
        <v>9</v>
      </c>
      <c r="C110" s="59">
        <v>6</v>
      </c>
      <c r="D110" s="59">
        <v>15</v>
      </c>
      <c r="E110" s="59">
        <v>16</v>
      </c>
      <c r="F110" s="59">
        <v>31</v>
      </c>
      <c r="G110"/>
      <c r="BR110"/>
      <c r="BS110"/>
      <c r="BZ110"/>
      <c r="CA110"/>
      <c r="CB110"/>
      <c r="CC110"/>
      <c r="CD110"/>
      <c r="CE110"/>
    </row>
    <row r="111" spans="1:83" x14ac:dyDescent="0.25">
      <c r="A111" s="38" t="s">
        <v>65</v>
      </c>
      <c r="B111" s="39">
        <v>0.2734449762057875</v>
      </c>
      <c r="C111" s="39">
        <v>0.20539227843717597</v>
      </c>
      <c r="D111" s="39">
        <v>0.47883725464296339</v>
      </c>
      <c r="E111" s="39">
        <v>0.52116274535703655</v>
      </c>
      <c r="F111" s="39">
        <v>1</v>
      </c>
      <c r="G111"/>
      <c r="BR111"/>
      <c r="BS111"/>
      <c r="BZ111"/>
      <c r="CA111"/>
      <c r="CB111"/>
      <c r="CC111"/>
      <c r="CD111"/>
      <c r="CE111"/>
    </row>
    <row r="112" spans="1:83" x14ac:dyDescent="0.25">
      <c r="A112" s="13" t="s">
        <v>70</v>
      </c>
      <c r="B112" s="59">
        <v>1969117.7899999998</v>
      </c>
      <c r="C112" s="59">
        <v>1479060.23</v>
      </c>
      <c r="D112" s="59">
        <v>3448178.0199999996</v>
      </c>
      <c r="E112" s="59">
        <v>3752970.1499999994</v>
      </c>
      <c r="F112" s="59">
        <v>7201148.169999999</v>
      </c>
      <c r="G112"/>
      <c r="BR112"/>
      <c r="BS112"/>
      <c r="BZ112"/>
      <c r="CA112"/>
      <c r="CB112"/>
      <c r="CC112"/>
      <c r="CD112"/>
      <c r="CE112"/>
    </row>
    <row r="113" spans="1:83" x14ac:dyDescent="0.25">
      <c r="A113" s="13" t="s">
        <v>72</v>
      </c>
      <c r="B113" s="59">
        <v>1160840.95</v>
      </c>
      <c r="C113" s="59">
        <v>165360</v>
      </c>
      <c r="D113" s="59">
        <v>1326200.95</v>
      </c>
      <c r="E113" s="59">
        <v>46375</v>
      </c>
      <c r="F113" s="59">
        <v>1372575.95</v>
      </c>
      <c r="BR113"/>
      <c r="BS113"/>
      <c r="BZ113"/>
      <c r="CA113"/>
      <c r="CB113"/>
      <c r="CC113"/>
      <c r="CD113"/>
      <c r="CE113"/>
    </row>
    <row r="114" spans="1:83" x14ac:dyDescent="0.25">
      <c r="A114" s="13" t="s">
        <v>69</v>
      </c>
      <c r="B114" s="59">
        <v>181</v>
      </c>
      <c r="C114" s="59">
        <v>166</v>
      </c>
      <c r="D114" s="59">
        <v>347</v>
      </c>
      <c r="E114" s="59">
        <v>246</v>
      </c>
      <c r="F114" s="59">
        <v>593</v>
      </c>
      <c r="BR114"/>
      <c r="BS114"/>
      <c r="BZ114"/>
      <c r="CA114"/>
      <c r="CB114"/>
      <c r="CC114"/>
      <c r="CD114"/>
      <c r="CE114"/>
    </row>
    <row r="115" spans="1:83" x14ac:dyDescent="0.25">
      <c r="A115" s="13" t="s">
        <v>66</v>
      </c>
      <c r="B115" s="39">
        <v>0.29975377631163902</v>
      </c>
      <c r="C115" s="39">
        <v>0.26936223645506924</v>
      </c>
      <c r="D115" s="39">
        <v>0.5691160127667082</v>
      </c>
      <c r="E115" s="39">
        <v>0.43088398723329097</v>
      </c>
      <c r="F115" s="39">
        <v>1</v>
      </c>
      <c r="BR115"/>
      <c r="BS115"/>
      <c r="BZ115"/>
      <c r="CA115"/>
      <c r="CB115"/>
      <c r="CC115"/>
      <c r="CD115"/>
      <c r="CE115"/>
    </row>
    <row r="116" spans="1:83" x14ac:dyDescent="0.25">
      <c r="A116" s="13" t="s">
        <v>71</v>
      </c>
      <c r="B116" s="59">
        <v>37484283.710000001</v>
      </c>
      <c r="C116" s="59">
        <v>33683814.149999999</v>
      </c>
      <c r="D116" s="59">
        <v>71168097.859999985</v>
      </c>
      <c r="E116" s="59">
        <v>53882148.949999936</v>
      </c>
      <c r="F116" s="59">
        <v>125050246.81000003</v>
      </c>
      <c r="BR116"/>
      <c r="BS116"/>
      <c r="BZ116"/>
      <c r="CA116"/>
      <c r="CB116"/>
      <c r="CC116"/>
      <c r="CD116"/>
      <c r="CE116"/>
    </row>
    <row r="117" spans="1:83" x14ac:dyDescent="0.25">
      <c r="A117" s="13" t="s">
        <v>73</v>
      </c>
      <c r="B117" s="59">
        <v>21882918.02</v>
      </c>
      <c r="C117" s="59">
        <v>3227649.3899999997</v>
      </c>
      <c r="D117" s="59">
        <v>25110567.409999996</v>
      </c>
      <c r="E117" s="59">
        <v>46375</v>
      </c>
      <c r="F117" s="59">
        <v>25156942.409999996</v>
      </c>
      <c r="BR117"/>
      <c r="BS117"/>
      <c r="BZ117"/>
      <c r="CA117"/>
      <c r="CB117"/>
      <c r="CC117"/>
      <c r="CD117"/>
      <c r="CE117"/>
    </row>
    <row r="118" spans="1:83" x14ac:dyDescent="0.25">
      <c r="BR118"/>
      <c r="BS118"/>
      <c r="BZ118"/>
      <c r="CA118"/>
      <c r="CB118"/>
      <c r="CC118"/>
      <c r="CD118"/>
      <c r="CE118"/>
    </row>
    <row r="119" spans="1:83" x14ac:dyDescent="0.25">
      <c r="BR119"/>
      <c r="BS119"/>
      <c r="BZ119"/>
      <c r="CA119"/>
      <c r="CB119"/>
      <c r="CC119"/>
      <c r="CD119"/>
      <c r="CE119"/>
    </row>
    <row r="120" spans="1:83" x14ac:dyDescent="0.25">
      <c r="BR120"/>
      <c r="BS120"/>
      <c r="BZ120"/>
      <c r="CA120"/>
      <c r="CB120"/>
      <c r="CC120"/>
      <c r="CD120"/>
      <c r="CE120"/>
    </row>
    <row r="121" spans="1:83" x14ac:dyDescent="0.25">
      <c r="BR121"/>
      <c r="BS121"/>
      <c r="BZ121"/>
      <c r="CA121"/>
      <c r="CB121"/>
      <c r="CC121"/>
      <c r="CD121"/>
      <c r="CE121"/>
    </row>
    <row r="122" spans="1:83" x14ac:dyDescent="0.25">
      <c r="BR122"/>
      <c r="BS122"/>
      <c r="BZ122"/>
      <c r="CA122"/>
      <c r="CB122"/>
      <c r="CC122"/>
      <c r="CD122"/>
      <c r="CE122"/>
    </row>
    <row r="123" spans="1:83" x14ac:dyDescent="0.25">
      <c r="BR123"/>
      <c r="BS123"/>
      <c r="BZ123"/>
      <c r="CA123"/>
      <c r="CB123"/>
      <c r="CC123"/>
      <c r="CD123"/>
      <c r="CE123"/>
    </row>
    <row r="124" spans="1:83" x14ac:dyDescent="0.25">
      <c r="BR124"/>
      <c r="BS124"/>
      <c r="BZ124"/>
      <c r="CA124"/>
      <c r="CB124"/>
      <c r="CC124"/>
      <c r="CD124"/>
      <c r="CE124"/>
    </row>
    <row r="125" spans="1:83" x14ac:dyDescent="0.25">
      <c r="BR125"/>
      <c r="BS125"/>
      <c r="BZ125"/>
      <c r="CA125"/>
      <c r="CB125"/>
      <c r="CC125"/>
      <c r="CD125"/>
      <c r="CE125"/>
    </row>
    <row r="126" spans="1:83" x14ac:dyDescent="0.25">
      <c r="BR126"/>
      <c r="BS126"/>
      <c r="BZ126"/>
      <c r="CA126"/>
      <c r="CB126"/>
      <c r="CC126"/>
      <c r="CD126"/>
      <c r="CE126"/>
    </row>
    <row r="127" spans="1:83" x14ac:dyDescent="0.25">
      <c r="BR127"/>
      <c r="BS127"/>
      <c r="BZ127"/>
      <c r="CA127"/>
      <c r="CB127"/>
      <c r="CC127"/>
      <c r="CD127"/>
      <c r="CE127"/>
    </row>
    <row r="128" spans="1:83" x14ac:dyDescent="0.25">
      <c r="BR128"/>
      <c r="BS128"/>
      <c r="BZ128"/>
      <c r="CA128"/>
      <c r="CB128"/>
      <c r="CC128"/>
      <c r="CD128"/>
      <c r="CE128"/>
    </row>
    <row r="129" spans="1:83" x14ac:dyDescent="0.25">
      <c r="BR129"/>
      <c r="BS129"/>
      <c r="BZ129"/>
      <c r="CA129"/>
      <c r="CB129"/>
      <c r="CC129"/>
      <c r="CD129"/>
      <c r="CE129"/>
    </row>
    <row r="130" spans="1:83" x14ac:dyDescent="0.25">
      <c r="BR130"/>
      <c r="BS130"/>
      <c r="BZ130"/>
      <c r="CA130"/>
      <c r="CB130"/>
      <c r="CC130"/>
      <c r="CD130"/>
      <c r="CE130"/>
    </row>
    <row r="131" spans="1:83" x14ac:dyDescent="0.25">
      <c r="BR131"/>
      <c r="BS131"/>
      <c r="BZ131"/>
      <c r="CA131"/>
      <c r="CB131"/>
      <c r="CC131"/>
      <c r="CD131"/>
      <c r="CE131"/>
    </row>
    <row r="132" spans="1:83" x14ac:dyDescent="0.25">
      <c r="BR132"/>
      <c r="BS132"/>
      <c r="BZ132"/>
      <c r="CA132"/>
      <c r="CB132"/>
      <c r="CC132"/>
      <c r="CD132"/>
      <c r="CE132"/>
    </row>
    <row r="133" spans="1:83" x14ac:dyDescent="0.25">
      <c r="BR133"/>
      <c r="BS133"/>
      <c r="BZ133"/>
      <c r="CA133"/>
      <c r="CB133"/>
      <c r="CC133"/>
      <c r="CD133"/>
      <c r="CE133"/>
    </row>
    <row r="134" spans="1:83" x14ac:dyDescent="0.25">
      <c r="BR134"/>
      <c r="BS134"/>
      <c r="BZ134"/>
      <c r="CA134"/>
      <c r="CB134"/>
      <c r="CC134"/>
      <c r="CD134"/>
      <c r="CE134"/>
    </row>
    <row r="135" spans="1:83" x14ac:dyDescent="0.25">
      <c r="BR135"/>
      <c r="BS135"/>
      <c r="BZ135"/>
      <c r="CA135"/>
      <c r="CB135"/>
      <c r="CC135"/>
      <c r="CD135"/>
      <c r="CE135"/>
    </row>
    <row r="136" spans="1:83" x14ac:dyDescent="0.25">
      <c r="B136" s="14" t="s">
        <v>67</v>
      </c>
      <c r="G136"/>
      <c r="BR136"/>
      <c r="BS136"/>
      <c r="BZ136"/>
      <c r="CA136"/>
      <c r="CB136"/>
      <c r="CC136"/>
      <c r="CD136"/>
      <c r="CE136"/>
    </row>
    <row r="137" spans="1:83" x14ac:dyDescent="0.25">
      <c r="B137" s="13" t="s">
        <v>58</v>
      </c>
      <c r="D137" s="13" t="s">
        <v>473</v>
      </c>
      <c r="E137" s="13" t="s">
        <v>44</v>
      </c>
      <c r="F137" s="13" t="s">
        <v>50</v>
      </c>
      <c r="G137"/>
      <c r="BR137"/>
      <c r="BS137"/>
      <c r="BZ137"/>
      <c r="CA137"/>
      <c r="CB137"/>
      <c r="CC137"/>
      <c r="CD137"/>
      <c r="CE137"/>
    </row>
    <row r="138" spans="1:83" x14ac:dyDescent="0.25">
      <c r="A138" s="14" t="s">
        <v>49</v>
      </c>
      <c r="B138" s="13" t="s">
        <v>13</v>
      </c>
      <c r="C138" s="13" t="s">
        <v>14</v>
      </c>
      <c r="G138"/>
      <c r="BR138"/>
      <c r="BS138"/>
      <c r="BZ138"/>
      <c r="CA138"/>
      <c r="CB138"/>
      <c r="CC138"/>
      <c r="CD138"/>
      <c r="CE138"/>
    </row>
    <row r="139" spans="1:83" x14ac:dyDescent="0.25">
      <c r="A139" s="13" t="s">
        <v>3139</v>
      </c>
      <c r="B139" s="59"/>
      <c r="C139" s="59"/>
      <c r="D139" s="59"/>
      <c r="E139" s="59"/>
      <c r="F139" s="59"/>
      <c r="G139"/>
      <c r="BR139"/>
      <c r="BS139"/>
      <c r="BZ139"/>
      <c r="CA139"/>
      <c r="CB139"/>
      <c r="CC139"/>
      <c r="CD139"/>
      <c r="CE139"/>
    </row>
    <row r="140" spans="1:83" x14ac:dyDescent="0.25">
      <c r="A140" s="13" t="s">
        <v>68</v>
      </c>
      <c r="B140" s="59">
        <v>146</v>
      </c>
      <c r="C140" s="59">
        <v>131</v>
      </c>
      <c r="D140" s="59">
        <v>277</v>
      </c>
      <c r="E140" s="59">
        <v>176</v>
      </c>
      <c r="F140" s="59">
        <v>453</v>
      </c>
      <c r="G140"/>
      <c r="BR140"/>
      <c r="BS140"/>
      <c r="BZ140"/>
      <c r="CA140"/>
      <c r="CB140"/>
      <c r="CC140"/>
      <c r="CD140"/>
      <c r="CE140"/>
    </row>
    <row r="141" spans="1:83" x14ac:dyDescent="0.25">
      <c r="A141" s="18" t="s">
        <v>65</v>
      </c>
      <c r="B141" s="19">
        <v>0.30205572162067551</v>
      </c>
      <c r="C141" s="19">
        <v>0.28375776488461552</v>
      </c>
      <c r="D141" s="19">
        <v>0.5858134865052913</v>
      </c>
      <c r="E141" s="19">
        <v>0.41418651349470786</v>
      </c>
      <c r="F141" s="19">
        <v>1</v>
      </c>
      <c r="G141"/>
      <c r="BR141"/>
      <c r="BS141"/>
      <c r="BZ141"/>
      <c r="CA141"/>
      <c r="CB141"/>
      <c r="CC141"/>
      <c r="CD141"/>
      <c r="CE141"/>
    </row>
    <row r="142" spans="1:83" x14ac:dyDescent="0.25">
      <c r="A142" s="13" t="s">
        <v>70</v>
      </c>
      <c r="B142" s="59">
        <v>28201544.68999999</v>
      </c>
      <c r="C142" s="59">
        <v>26493149.160000004</v>
      </c>
      <c r="D142" s="59">
        <v>54694693.850000024</v>
      </c>
      <c r="E142" s="59">
        <v>38670677.73999998</v>
      </c>
      <c r="F142" s="59">
        <v>93365371.590000078</v>
      </c>
      <c r="G142"/>
      <c r="BR142"/>
      <c r="BS142"/>
      <c r="BZ142"/>
      <c r="CA142"/>
      <c r="CB142"/>
      <c r="CC142"/>
      <c r="CD142"/>
      <c r="CE142"/>
    </row>
    <row r="143" spans="1:83" x14ac:dyDescent="0.25">
      <c r="A143" s="13" t="s">
        <v>72</v>
      </c>
      <c r="B143" s="59">
        <v>17524394.829999998</v>
      </c>
      <c r="C143" s="59">
        <v>2555770.83</v>
      </c>
      <c r="D143" s="59">
        <v>20080165.659999996</v>
      </c>
      <c r="E143" s="59">
        <v>0</v>
      </c>
      <c r="F143" s="59">
        <v>20080165.659999996</v>
      </c>
      <c r="G143"/>
      <c r="BR143"/>
      <c r="BS143"/>
      <c r="BZ143"/>
      <c r="CA143"/>
      <c r="CB143"/>
      <c r="CC143"/>
      <c r="CD143"/>
      <c r="CE143"/>
    </row>
    <row r="144" spans="1:83" x14ac:dyDescent="0.25">
      <c r="A144" s="13" t="s">
        <v>3140</v>
      </c>
      <c r="B144" s="59"/>
      <c r="C144" s="59"/>
      <c r="D144" s="59"/>
      <c r="E144" s="59"/>
      <c r="F144" s="59"/>
      <c r="G144"/>
      <c r="BR144"/>
      <c r="BS144"/>
      <c r="BZ144"/>
      <c r="CA144"/>
      <c r="CB144"/>
      <c r="CC144"/>
      <c r="CD144"/>
      <c r="CE144"/>
    </row>
    <row r="145" spans="1:83" x14ac:dyDescent="0.25">
      <c r="A145" s="13" t="s">
        <v>68</v>
      </c>
      <c r="B145" s="59">
        <v>13</v>
      </c>
      <c r="C145" s="59">
        <v>8</v>
      </c>
      <c r="D145" s="59">
        <v>21</v>
      </c>
      <c r="E145" s="59">
        <v>18</v>
      </c>
      <c r="F145" s="59">
        <v>39</v>
      </c>
      <c r="G145"/>
      <c r="BR145"/>
      <c r="BS145"/>
      <c r="BZ145"/>
      <c r="CA145"/>
      <c r="CB145"/>
      <c r="CC145"/>
      <c r="CD145"/>
      <c r="CE145"/>
    </row>
    <row r="146" spans="1:83" x14ac:dyDescent="0.25">
      <c r="A146" s="18" t="s">
        <v>65</v>
      </c>
      <c r="B146" s="19">
        <v>0.51276760397630861</v>
      </c>
      <c r="C146" s="19">
        <v>0.13128610550351733</v>
      </c>
      <c r="D146" s="19">
        <v>0.64405370947982588</v>
      </c>
      <c r="E146" s="19">
        <v>0.35594629052017412</v>
      </c>
      <c r="F146" s="19">
        <v>1</v>
      </c>
      <c r="G146"/>
      <c r="BR146"/>
      <c r="BS146"/>
      <c r="BZ146"/>
      <c r="CA146"/>
      <c r="CB146"/>
      <c r="CC146"/>
      <c r="CD146"/>
      <c r="CE146"/>
    </row>
    <row r="147" spans="1:83" x14ac:dyDescent="0.25">
      <c r="A147" s="13" t="s">
        <v>70</v>
      </c>
      <c r="B147" s="59">
        <v>4444023.34</v>
      </c>
      <c r="C147" s="59">
        <v>1137822.5</v>
      </c>
      <c r="D147" s="59">
        <v>5581845.8399999989</v>
      </c>
      <c r="E147" s="59">
        <v>3084893.8400000008</v>
      </c>
      <c r="F147" s="59">
        <v>8666739.6799999997</v>
      </c>
      <c r="G147"/>
      <c r="BR147"/>
      <c r="BS147"/>
      <c r="BZ147"/>
      <c r="CA147"/>
      <c r="CB147"/>
      <c r="CC147"/>
      <c r="CD147"/>
      <c r="CE147"/>
    </row>
    <row r="148" spans="1:83" x14ac:dyDescent="0.25">
      <c r="A148" s="13" t="s">
        <v>72</v>
      </c>
      <c r="B148" s="59">
        <v>1556684.1099999999</v>
      </c>
      <c r="C148" s="59">
        <v>126490.55</v>
      </c>
      <c r="D148" s="59">
        <v>1683174.66</v>
      </c>
      <c r="E148" s="59">
        <v>0</v>
      </c>
      <c r="F148" s="59">
        <v>1683174.66</v>
      </c>
      <c r="G148"/>
      <c r="BR148"/>
      <c r="BS148"/>
      <c r="BZ148"/>
      <c r="CA148"/>
      <c r="CB148"/>
      <c r="CC148"/>
      <c r="CD148"/>
      <c r="CE148"/>
    </row>
    <row r="149" spans="1:83" x14ac:dyDescent="0.25">
      <c r="A149" s="13" t="s">
        <v>3141</v>
      </c>
      <c r="B149" s="59"/>
      <c r="C149" s="59"/>
      <c r="D149" s="59"/>
      <c r="E149" s="59"/>
      <c r="F149" s="59"/>
      <c r="G149"/>
      <c r="BR149"/>
      <c r="BS149"/>
      <c r="BZ149"/>
      <c r="CA149"/>
      <c r="CB149"/>
      <c r="CC149"/>
      <c r="CD149"/>
      <c r="CE149"/>
    </row>
    <row r="150" spans="1:83" x14ac:dyDescent="0.25">
      <c r="A150" s="13" t="s">
        <v>68</v>
      </c>
      <c r="B150" s="59">
        <v>6</v>
      </c>
      <c r="C150" s="59">
        <v>12</v>
      </c>
      <c r="D150" s="59">
        <v>18</v>
      </c>
      <c r="E150" s="59">
        <v>10</v>
      </c>
      <c r="F150" s="59">
        <v>28</v>
      </c>
      <c r="G150"/>
      <c r="BR150"/>
      <c r="BS150"/>
      <c r="BZ150"/>
      <c r="CA150"/>
      <c r="CB150"/>
      <c r="CC150"/>
      <c r="CD150"/>
      <c r="CE150"/>
    </row>
    <row r="151" spans="1:83" x14ac:dyDescent="0.25">
      <c r="A151" s="18" t="s">
        <v>65</v>
      </c>
      <c r="B151" s="19">
        <v>0.29024328684737039</v>
      </c>
      <c r="C151" s="19">
        <v>0.33117349234240506</v>
      </c>
      <c r="D151" s="19">
        <v>0.62141677918977523</v>
      </c>
      <c r="E151" s="19">
        <v>0.37858322081022483</v>
      </c>
      <c r="F151" s="19">
        <v>1</v>
      </c>
      <c r="G151"/>
      <c r="BR151"/>
      <c r="BS151"/>
      <c r="BZ151"/>
      <c r="CA151"/>
      <c r="CB151"/>
      <c r="CC151"/>
      <c r="CD151"/>
      <c r="CE151"/>
    </row>
    <row r="152" spans="1:83" x14ac:dyDescent="0.25">
      <c r="A152" s="13" t="s">
        <v>70</v>
      </c>
      <c r="B152" s="59">
        <v>1622270.79</v>
      </c>
      <c r="C152" s="59">
        <v>1851043.96</v>
      </c>
      <c r="D152" s="59">
        <v>3473314.7499999991</v>
      </c>
      <c r="E152" s="59">
        <v>2116033.44</v>
      </c>
      <c r="F152" s="59">
        <v>5589348.1899999985</v>
      </c>
      <c r="G152"/>
      <c r="BR152"/>
      <c r="BS152"/>
      <c r="BZ152"/>
      <c r="CA152"/>
      <c r="CB152"/>
      <c r="CC152"/>
      <c r="CD152"/>
      <c r="CE152"/>
    </row>
    <row r="153" spans="1:83" x14ac:dyDescent="0.25">
      <c r="A153" s="13" t="s">
        <v>72</v>
      </c>
      <c r="B153" s="59">
        <v>895957.38</v>
      </c>
      <c r="C153" s="59">
        <v>188821</v>
      </c>
      <c r="D153" s="59">
        <v>1084778.3799999999</v>
      </c>
      <c r="E153" s="59">
        <v>0</v>
      </c>
      <c r="F153" s="59">
        <v>1084778.3799999999</v>
      </c>
      <c r="G153"/>
      <c r="BR153"/>
      <c r="BS153"/>
      <c r="BZ153"/>
      <c r="CA153"/>
      <c r="CB153"/>
      <c r="CC153"/>
      <c r="CD153"/>
      <c r="CE153"/>
    </row>
    <row r="154" spans="1:83" x14ac:dyDescent="0.25">
      <c r="A154" s="13" t="s">
        <v>3641</v>
      </c>
      <c r="B154" s="59"/>
      <c r="C154" s="59"/>
      <c r="D154" s="59"/>
      <c r="E154" s="59"/>
      <c r="F154" s="59"/>
      <c r="G154"/>
      <c r="BR154"/>
      <c r="BS154"/>
      <c r="BZ154"/>
      <c r="CA154"/>
      <c r="CB154"/>
      <c r="CC154"/>
      <c r="CD154"/>
      <c r="CE154"/>
    </row>
    <row r="155" spans="1:83" x14ac:dyDescent="0.25">
      <c r="A155" s="13" t="s">
        <v>68</v>
      </c>
      <c r="B155" s="59">
        <v>16</v>
      </c>
      <c r="C155" s="59">
        <v>15</v>
      </c>
      <c r="D155" s="59">
        <v>31</v>
      </c>
      <c r="E155" s="59">
        <v>42</v>
      </c>
      <c r="F155" s="59">
        <v>73</v>
      </c>
      <c r="G155"/>
      <c r="BR155"/>
      <c r="BS155"/>
      <c r="BZ155"/>
      <c r="CA155"/>
      <c r="CB155"/>
      <c r="CC155"/>
      <c r="CD155"/>
      <c r="CE155"/>
    </row>
    <row r="156" spans="1:83" x14ac:dyDescent="0.25">
      <c r="A156" s="18" t="s">
        <v>65</v>
      </c>
      <c r="B156" s="19">
        <v>0.18454783028837626</v>
      </c>
      <c r="C156" s="19">
        <v>0.24108381413007479</v>
      </c>
      <c r="D156" s="19">
        <v>0.42563164441845108</v>
      </c>
      <c r="E156" s="19">
        <v>0.57436835558154875</v>
      </c>
      <c r="F156" s="19">
        <v>1</v>
      </c>
      <c r="G156"/>
      <c r="BR156"/>
      <c r="BS156"/>
      <c r="BZ156"/>
      <c r="CA156"/>
      <c r="CB156"/>
      <c r="CC156"/>
      <c r="CD156"/>
      <c r="CE156"/>
    </row>
    <row r="157" spans="1:83" x14ac:dyDescent="0.25">
      <c r="A157" s="13" t="s">
        <v>70</v>
      </c>
      <c r="B157" s="59">
        <v>3216444.89</v>
      </c>
      <c r="C157" s="59">
        <v>4201798.53</v>
      </c>
      <c r="D157" s="59">
        <v>7418243.4200000009</v>
      </c>
      <c r="E157" s="59">
        <v>10010543.930000002</v>
      </c>
      <c r="F157" s="59">
        <v>17428787.350000005</v>
      </c>
      <c r="G157"/>
      <c r="BR157"/>
      <c r="BS157"/>
      <c r="BZ157"/>
      <c r="CA157"/>
      <c r="CB157"/>
      <c r="CC157"/>
      <c r="CD157"/>
      <c r="CE157"/>
    </row>
    <row r="158" spans="1:83" x14ac:dyDescent="0.25">
      <c r="A158" s="13" t="s">
        <v>72</v>
      </c>
      <c r="B158" s="59">
        <v>1905881.7</v>
      </c>
      <c r="C158" s="59">
        <v>356567.01</v>
      </c>
      <c r="D158" s="59">
        <v>2262448.71</v>
      </c>
      <c r="E158" s="59">
        <v>46375</v>
      </c>
      <c r="F158" s="59">
        <v>2308823.71</v>
      </c>
      <c r="G158"/>
      <c r="BR158"/>
      <c r="BS158"/>
      <c r="BZ158"/>
      <c r="CA158"/>
      <c r="CB158"/>
      <c r="CC158"/>
      <c r="CD158"/>
      <c r="CE158"/>
    </row>
    <row r="159" spans="1:83" x14ac:dyDescent="0.25">
      <c r="A159" s="13" t="s">
        <v>69</v>
      </c>
      <c r="B159" s="59">
        <v>181</v>
      </c>
      <c r="C159" s="59">
        <v>166</v>
      </c>
      <c r="D159" s="59">
        <v>347</v>
      </c>
      <c r="E159" s="59">
        <v>246</v>
      </c>
      <c r="F159" s="59">
        <v>593</v>
      </c>
      <c r="G159"/>
      <c r="BR159"/>
      <c r="BS159"/>
      <c r="BZ159"/>
      <c r="CA159"/>
      <c r="CB159"/>
      <c r="CC159"/>
      <c r="CD159"/>
      <c r="CE159"/>
    </row>
    <row r="160" spans="1:83" x14ac:dyDescent="0.25">
      <c r="A160" s="13" t="s">
        <v>66</v>
      </c>
      <c r="B160" s="19">
        <v>0.29975377631163891</v>
      </c>
      <c r="C160" s="19">
        <v>0.26936223645506924</v>
      </c>
      <c r="D160" s="19">
        <v>0.5691160127667082</v>
      </c>
      <c r="E160" s="19">
        <v>0.43088398723329102</v>
      </c>
      <c r="F160" s="19">
        <v>1</v>
      </c>
      <c r="G160"/>
      <c r="BR160"/>
      <c r="BS160"/>
      <c r="BZ160"/>
      <c r="CA160"/>
      <c r="CB160"/>
      <c r="CC160"/>
      <c r="CD160"/>
      <c r="CE160"/>
    </row>
    <row r="161" spans="1:83" x14ac:dyDescent="0.25">
      <c r="A161" s="13" t="s">
        <v>71</v>
      </c>
      <c r="B161" s="59">
        <v>37484283.710000001</v>
      </c>
      <c r="C161" s="59">
        <v>33683814.150000006</v>
      </c>
      <c r="D161" s="59">
        <v>71168097.860000014</v>
      </c>
      <c r="E161" s="59">
        <v>53882148.949999966</v>
      </c>
      <c r="F161" s="59">
        <v>125050246.81000008</v>
      </c>
      <c r="G161"/>
      <c r="BR161"/>
      <c r="BS161"/>
      <c r="BZ161"/>
      <c r="CA161"/>
      <c r="CB161"/>
      <c r="CC161"/>
      <c r="CD161"/>
      <c r="CE161"/>
    </row>
    <row r="162" spans="1:83" x14ac:dyDescent="0.25">
      <c r="A162" s="13" t="s">
        <v>73</v>
      </c>
      <c r="B162" s="59">
        <v>21882918.02</v>
      </c>
      <c r="C162" s="59">
        <v>3227649.3899999997</v>
      </c>
      <c r="D162" s="59">
        <v>25110567.409999996</v>
      </c>
      <c r="E162" s="59">
        <v>46375</v>
      </c>
      <c r="F162" s="59">
        <v>25156942.409999996</v>
      </c>
      <c r="G162"/>
      <c r="BR162"/>
      <c r="BS162"/>
      <c r="BZ162"/>
      <c r="CA162"/>
      <c r="CB162"/>
      <c r="CC162"/>
      <c r="CD162"/>
      <c r="CE162"/>
    </row>
    <row r="163" spans="1:83" x14ac:dyDescent="0.25">
      <c r="A163"/>
      <c r="B163"/>
      <c r="C163"/>
      <c r="D163"/>
      <c r="E163"/>
      <c r="F163"/>
      <c r="G163"/>
      <c r="BR163"/>
      <c r="BS163"/>
      <c r="BZ163"/>
      <c r="CA163"/>
      <c r="CB163"/>
      <c r="CC163"/>
      <c r="CD163"/>
      <c r="CE163"/>
    </row>
    <row r="164" spans="1:83" x14ac:dyDescent="0.25">
      <c r="A164"/>
      <c r="B164"/>
      <c r="C164"/>
      <c r="D164"/>
      <c r="E164"/>
      <c r="F164"/>
      <c r="G164"/>
      <c r="BR164"/>
      <c r="BS164"/>
      <c r="BZ164"/>
      <c r="CA164"/>
      <c r="CB164"/>
      <c r="CC164"/>
      <c r="CD164"/>
      <c r="CE164"/>
    </row>
    <row r="165" spans="1:83" x14ac:dyDescent="0.25">
      <c r="A165"/>
      <c r="B165"/>
      <c r="C165"/>
      <c r="D165"/>
      <c r="E165"/>
      <c r="F165"/>
      <c r="G165"/>
      <c r="BR165"/>
      <c r="BS165"/>
      <c r="BZ165"/>
      <c r="CA165"/>
      <c r="CB165"/>
      <c r="CC165"/>
      <c r="CD165"/>
      <c r="CE165"/>
    </row>
    <row r="166" spans="1:83" x14ac:dyDescent="0.25">
      <c r="A166"/>
      <c r="B166"/>
      <c r="C166"/>
      <c r="D166"/>
      <c r="E166"/>
      <c r="F166"/>
      <c r="G166"/>
      <c r="BR166"/>
      <c r="BS166"/>
      <c r="BZ166"/>
      <c r="CA166"/>
      <c r="CB166"/>
      <c r="CC166"/>
      <c r="CD166"/>
      <c r="CE166"/>
    </row>
    <row r="167" spans="1:83" x14ac:dyDescent="0.25">
      <c r="A167"/>
      <c r="B167"/>
      <c r="C167"/>
      <c r="D167"/>
      <c r="E167"/>
      <c r="F167"/>
      <c r="G167"/>
      <c r="BR167"/>
      <c r="BS167"/>
      <c r="BZ167"/>
      <c r="CA167"/>
      <c r="CB167"/>
      <c r="CC167"/>
      <c r="CD167"/>
      <c r="CE167"/>
    </row>
    <row r="168" spans="1:83" x14ac:dyDescent="0.25">
      <c r="A168"/>
      <c r="B168"/>
      <c r="C168"/>
      <c r="D168"/>
      <c r="E168"/>
      <c r="F168"/>
      <c r="G168"/>
      <c r="BR168"/>
      <c r="BS168"/>
      <c r="BZ168"/>
      <c r="CA168"/>
      <c r="CB168"/>
      <c r="CC168"/>
      <c r="CD168"/>
      <c r="CE168"/>
    </row>
    <row r="169" spans="1:83" x14ac:dyDescent="0.25">
      <c r="A169"/>
      <c r="B169"/>
      <c r="C169"/>
      <c r="D169"/>
      <c r="E169"/>
      <c r="F169"/>
      <c r="G169"/>
      <c r="BR169"/>
      <c r="BS169"/>
      <c r="BZ169"/>
      <c r="CA169"/>
      <c r="CB169"/>
      <c r="CC169"/>
      <c r="CD169"/>
      <c r="CE169"/>
    </row>
    <row r="170" spans="1:83" x14ac:dyDescent="0.25">
      <c r="A170"/>
      <c r="B170"/>
      <c r="C170"/>
      <c r="D170"/>
      <c r="E170"/>
      <c r="F170"/>
      <c r="G170"/>
      <c r="BR170"/>
      <c r="BS170"/>
      <c r="BZ170"/>
      <c r="CA170"/>
      <c r="CB170"/>
      <c r="CC170"/>
      <c r="CD170"/>
      <c r="CE170"/>
    </row>
    <row r="171" spans="1:83" x14ac:dyDescent="0.25">
      <c r="A171"/>
      <c r="B171"/>
      <c r="C171"/>
      <c r="D171"/>
      <c r="E171"/>
      <c r="F171"/>
      <c r="G171"/>
      <c r="BR171"/>
      <c r="BS171"/>
      <c r="BZ171"/>
      <c r="CA171"/>
      <c r="CB171"/>
      <c r="CC171"/>
      <c r="CD171"/>
      <c r="CE171"/>
    </row>
    <row r="172" spans="1:83" x14ac:dyDescent="0.25">
      <c r="A172"/>
      <c r="B172"/>
      <c r="C172"/>
      <c r="D172"/>
      <c r="E172"/>
      <c r="F172"/>
      <c r="G172"/>
      <c r="BR172"/>
      <c r="BS172"/>
      <c r="BZ172"/>
      <c r="CA172"/>
      <c r="CB172"/>
      <c r="CC172"/>
      <c r="CD172"/>
      <c r="CE172"/>
    </row>
    <row r="173" spans="1:83" x14ac:dyDescent="0.25">
      <c r="A173"/>
      <c r="B173"/>
      <c r="C173"/>
      <c r="D173"/>
      <c r="E173"/>
      <c r="F173"/>
      <c r="BR173"/>
      <c r="BS173"/>
      <c r="BZ173"/>
      <c r="CA173"/>
      <c r="CB173"/>
      <c r="CC173"/>
      <c r="CD173"/>
      <c r="CE173"/>
    </row>
    <row r="174" spans="1:83" x14ac:dyDescent="0.25">
      <c r="A174"/>
      <c r="B174"/>
      <c r="C174"/>
      <c r="D174"/>
      <c r="E174"/>
      <c r="F174"/>
      <c r="BR174"/>
      <c r="BS174"/>
      <c r="BZ174"/>
      <c r="CA174"/>
      <c r="CB174"/>
      <c r="CC174"/>
      <c r="CD174"/>
      <c r="CE174"/>
    </row>
    <row r="175" spans="1:83" x14ac:dyDescent="0.25">
      <c r="A175"/>
      <c r="B175"/>
      <c r="C175"/>
      <c r="D175"/>
      <c r="E175"/>
      <c r="F175"/>
      <c r="BR175"/>
      <c r="BS175"/>
      <c r="BZ175"/>
      <c r="CA175"/>
      <c r="CB175"/>
      <c r="CC175"/>
      <c r="CD175"/>
      <c r="CE175"/>
    </row>
    <row r="176" spans="1:83" x14ac:dyDescent="0.25">
      <c r="BR176"/>
      <c r="BS176"/>
      <c r="BZ176"/>
      <c r="CA176"/>
      <c r="CB176"/>
      <c r="CC176"/>
      <c r="CD176"/>
      <c r="CE176"/>
    </row>
    <row r="177" spans="1:83" x14ac:dyDescent="0.25">
      <c r="BR177"/>
      <c r="BS177"/>
      <c r="BZ177"/>
      <c r="CA177"/>
      <c r="CB177"/>
      <c r="CC177"/>
      <c r="CD177"/>
      <c r="CE177"/>
    </row>
    <row r="178" spans="1:83" x14ac:dyDescent="0.25">
      <c r="A178" s="14" t="s">
        <v>49</v>
      </c>
      <c r="B178" s="13" t="s">
        <v>68</v>
      </c>
      <c r="C178"/>
      <c r="D178"/>
      <c r="E178"/>
      <c r="F178"/>
      <c r="BR178"/>
      <c r="BS178"/>
      <c r="BZ178"/>
      <c r="CA178"/>
      <c r="CB178"/>
      <c r="CC178"/>
      <c r="CD178"/>
      <c r="CE178"/>
    </row>
    <row r="179" spans="1:83" x14ac:dyDescent="0.25">
      <c r="A179" s="17">
        <v>1</v>
      </c>
      <c r="B179" s="59">
        <v>1</v>
      </c>
      <c r="C179"/>
      <c r="D179"/>
      <c r="E179"/>
      <c r="F179"/>
      <c r="BR179"/>
      <c r="BS179"/>
      <c r="BZ179"/>
      <c r="CA179"/>
      <c r="CB179"/>
      <c r="CC179"/>
      <c r="CD179"/>
      <c r="CE179"/>
    </row>
    <row r="180" spans="1:83" x14ac:dyDescent="0.25">
      <c r="A180" s="17">
        <v>2</v>
      </c>
      <c r="B180" s="59">
        <v>44</v>
      </c>
      <c r="C180"/>
      <c r="D180"/>
      <c r="E180"/>
      <c r="F180"/>
      <c r="BR180"/>
      <c r="BS180"/>
      <c r="BZ180"/>
      <c r="CA180"/>
      <c r="CB180"/>
      <c r="CC180"/>
      <c r="CD180"/>
      <c r="CE180"/>
    </row>
    <row r="181" spans="1:83" x14ac:dyDescent="0.25">
      <c r="A181" s="17">
        <v>3</v>
      </c>
      <c r="B181" s="59">
        <v>1</v>
      </c>
      <c r="C181"/>
      <c r="D181"/>
      <c r="E181"/>
      <c r="F181"/>
      <c r="BR181"/>
      <c r="BS181"/>
      <c r="BZ181"/>
      <c r="CA181"/>
      <c r="CB181"/>
      <c r="CC181"/>
      <c r="CD181"/>
      <c r="CE181"/>
    </row>
    <row r="182" spans="1:83" x14ac:dyDescent="0.25">
      <c r="A182" s="17">
        <v>5</v>
      </c>
      <c r="B182" s="59">
        <v>28</v>
      </c>
      <c r="C182"/>
      <c r="D182"/>
      <c r="E182"/>
      <c r="F182"/>
      <c r="BR182"/>
      <c r="BS182"/>
      <c r="BZ182"/>
      <c r="CA182"/>
      <c r="CB182"/>
      <c r="CC182"/>
      <c r="CD182"/>
      <c r="CE182"/>
    </row>
    <row r="183" spans="1:83" x14ac:dyDescent="0.25">
      <c r="A183" s="17">
        <v>7</v>
      </c>
      <c r="B183" s="59">
        <v>1</v>
      </c>
      <c r="C183"/>
      <c r="D183"/>
      <c r="E183"/>
      <c r="F183"/>
      <c r="BR183"/>
      <c r="BS183"/>
      <c r="BZ183"/>
      <c r="CA183"/>
      <c r="CB183"/>
      <c r="CC183"/>
      <c r="CD183"/>
      <c r="CE183"/>
    </row>
    <row r="184" spans="1:83" x14ac:dyDescent="0.25">
      <c r="A184" s="17">
        <v>8</v>
      </c>
      <c r="B184" s="59">
        <v>11</v>
      </c>
      <c r="C184"/>
      <c r="D184"/>
      <c r="E184"/>
      <c r="F184"/>
      <c r="BR184"/>
      <c r="BS184"/>
      <c r="BZ184"/>
      <c r="CA184"/>
      <c r="CB184"/>
      <c r="CC184"/>
      <c r="CD184"/>
      <c r="CE184"/>
    </row>
    <row r="185" spans="1:83" x14ac:dyDescent="0.25">
      <c r="A185" s="17">
        <v>9</v>
      </c>
      <c r="B185" s="59">
        <v>1</v>
      </c>
      <c r="C185"/>
      <c r="D185"/>
      <c r="E185"/>
      <c r="F185"/>
      <c r="BR185"/>
      <c r="BS185"/>
      <c r="BZ185"/>
      <c r="CA185"/>
      <c r="CB185"/>
      <c r="CC185"/>
      <c r="CD185"/>
      <c r="CE185"/>
    </row>
    <row r="186" spans="1:83" x14ac:dyDescent="0.25">
      <c r="A186" s="17">
        <v>10</v>
      </c>
      <c r="B186" s="59">
        <v>1</v>
      </c>
      <c r="C186"/>
      <c r="D186"/>
      <c r="E186"/>
      <c r="F186"/>
      <c r="BR186"/>
      <c r="BS186"/>
      <c r="BZ186"/>
      <c r="CA186"/>
      <c r="CB186"/>
      <c r="CC186"/>
      <c r="CD186"/>
      <c r="CE186"/>
    </row>
    <row r="187" spans="1:83" x14ac:dyDescent="0.25">
      <c r="A187" s="17">
        <v>11</v>
      </c>
      <c r="B187" s="59">
        <v>56</v>
      </c>
      <c r="C187"/>
      <c r="D187"/>
      <c r="E187"/>
      <c r="F187"/>
      <c r="BR187"/>
      <c r="BS187"/>
      <c r="BZ187"/>
      <c r="CA187"/>
      <c r="CB187"/>
      <c r="CC187"/>
      <c r="CD187"/>
      <c r="CE187"/>
    </row>
    <row r="188" spans="1:83" x14ac:dyDescent="0.25">
      <c r="A188" s="17">
        <v>12</v>
      </c>
      <c r="B188" s="59">
        <v>85</v>
      </c>
      <c r="C188"/>
      <c r="D188"/>
      <c r="E188"/>
      <c r="F188"/>
      <c r="BR188"/>
      <c r="BS188"/>
      <c r="BZ188"/>
      <c r="CA188"/>
      <c r="CB188"/>
      <c r="CC188"/>
      <c r="CD188"/>
      <c r="CE188"/>
    </row>
    <row r="189" spans="1:83" x14ac:dyDescent="0.25">
      <c r="A189" s="17">
        <v>13</v>
      </c>
      <c r="B189" s="59">
        <v>1</v>
      </c>
      <c r="C189"/>
      <c r="D189"/>
      <c r="E189"/>
      <c r="F189"/>
      <c r="BR189"/>
      <c r="BS189"/>
      <c r="BZ189"/>
      <c r="CA189"/>
      <c r="CB189"/>
      <c r="CC189"/>
      <c r="CD189"/>
      <c r="CE189"/>
    </row>
    <row r="190" spans="1:83" x14ac:dyDescent="0.25">
      <c r="A190" s="17">
        <v>14</v>
      </c>
      <c r="B190" s="59">
        <v>11</v>
      </c>
      <c r="C190"/>
      <c r="D190"/>
      <c r="E190"/>
      <c r="F190"/>
      <c r="BR190"/>
      <c r="BS190"/>
      <c r="BZ190"/>
      <c r="CA190"/>
      <c r="CB190"/>
      <c r="CC190"/>
      <c r="CD190"/>
      <c r="CE190"/>
    </row>
    <row r="191" spans="1:83" x14ac:dyDescent="0.25">
      <c r="A191" s="17">
        <v>17</v>
      </c>
      <c r="B191" s="59">
        <v>1</v>
      </c>
      <c r="C191"/>
      <c r="D191"/>
      <c r="E191"/>
      <c r="F191"/>
      <c r="BR191"/>
      <c r="BS191"/>
      <c r="BZ191"/>
      <c r="CA191"/>
      <c r="CB191"/>
      <c r="CC191"/>
      <c r="CD191"/>
      <c r="CE191"/>
    </row>
    <row r="192" spans="1:83" x14ac:dyDescent="0.25">
      <c r="A192" s="17">
        <v>15</v>
      </c>
      <c r="B192" s="59">
        <v>5</v>
      </c>
      <c r="C192"/>
      <c r="D192"/>
      <c r="E192"/>
      <c r="F192"/>
      <c r="BR192"/>
      <c r="BS192"/>
      <c r="BZ192"/>
      <c r="CA192"/>
      <c r="CB192"/>
      <c r="CC192"/>
      <c r="CD192"/>
      <c r="CE192"/>
    </row>
    <row r="193" spans="1:83" x14ac:dyDescent="0.25">
      <c r="A193" s="17">
        <v>16</v>
      </c>
      <c r="B193" s="59">
        <v>87</v>
      </c>
      <c r="C193"/>
      <c r="D193"/>
      <c r="E193"/>
      <c r="F193"/>
      <c r="BR193"/>
      <c r="BS193"/>
      <c r="BZ193"/>
      <c r="CA193"/>
      <c r="CB193"/>
      <c r="CC193"/>
      <c r="CD193"/>
      <c r="CE193"/>
    </row>
    <row r="194" spans="1:83" x14ac:dyDescent="0.25">
      <c r="A194" s="17">
        <v>18</v>
      </c>
      <c r="B194" s="59">
        <v>32</v>
      </c>
      <c r="C194"/>
      <c r="D194"/>
      <c r="E194"/>
      <c r="F194"/>
      <c r="BR194"/>
      <c r="BS194"/>
      <c r="BZ194"/>
      <c r="CA194"/>
      <c r="CB194"/>
      <c r="CC194"/>
      <c r="CD194"/>
      <c r="CE194"/>
    </row>
    <row r="195" spans="1:83" x14ac:dyDescent="0.25">
      <c r="A195" s="17">
        <v>20</v>
      </c>
      <c r="B195" s="59">
        <v>85</v>
      </c>
      <c r="C195"/>
      <c r="D195"/>
      <c r="E195"/>
      <c r="F195"/>
      <c r="BR195"/>
      <c r="BS195"/>
      <c r="BZ195"/>
      <c r="CA195"/>
      <c r="CB195"/>
      <c r="CC195"/>
      <c r="CD195"/>
      <c r="CE195"/>
    </row>
    <row r="196" spans="1:83" x14ac:dyDescent="0.25">
      <c r="A196" s="17">
        <v>21</v>
      </c>
      <c r="B196" s="59">
        <v>88</v>
      </c>
      <c r="C196"/>
      <c r="D196"/>
      <c r="E196"/>
      <c r="F196"/>
      <c r="BR196"/>
      <c r="BS196"/>
      <c r="BZ196"/>
      <c r="CA196"/>
      <c r="CB196"/>
      <c r="CC196"/>
      <c r="CD196"/>
      <c r="CE196"/>
    </row>
    <row r="197" spans="1:83" x14ac:dyDescent="0.25">
      <c r="A197" s="17">
        <v>22</v>
      </c>
      <c r="B197" s="59">
        <v>1</v>
      </c>
      <c r="C197"/>
      <c r="D197"/>
      <c r="E197"/>
      <c r="F197"/>
      <c r="BR197"/>
      <c r="BS197"/>
      <c r="BZ197"/>
      <c r="CA197"/>
      <c r="CB197"/>
      <c r="CC197"/>
      <c r="CD197"/>
      <c r="CE197"/>
    </row>
    <row r="198" spans="1:83" x14ac:dyDescent="0.25">
      <c r="A198" s="17">
        <v>23</v>
      </c>
      <c r="B198" s="59">
        <v>5</v>
      </c>
      <c r="C198"/>
      <c r="D198"/>
      <c r="E198"/>
      <c r="F198"/>
      <c r="BR198"/>
      <c r="BS198"/>
      <c r="BZ198"/>
      <c r="CA198"/>
      <c r="CB198"/>
      <c r="CC198"/>
      <c r="CD198"/>
      <c r="CE198"/>
    </row>
    <row r="199" spans="1:83" x14ac:dyDescent="0.25">
      <c r="A199" s="17">
        <v>25</v>
      </c>
      <c r="B199" s="59">
        <v>17</v>
      </c>
      <c r="C199"/>
      <c r="D199"/>
      <c r="E199"/>
      <c r="F199"/>
      <c r="BR199"/>
      <c r="BS199"/>
      <c r="BZ199"/>
      <c r="CA199"/>
      <c r="CB199"/>
      <c r="CC199"/>
      <c r="CD199"/>
      <c r="CE199"/>
    </row>
    <row r="200" spans="1:83" x14ac:dyDescent="0.25">
      <c r="A200" s="17">
        <v>28</v>
      </c>
      <c r="B200" s="59">
        <v>31</v>
      </c>
      <c r="C200"/>
      <c r="D200"/>
      <c r="E200"/>
      <c r="F200"/>
      <c r="BR200"/>
      <c r="BS200"/>
      <c r="BZ200"/>
      <c r="CA200"/>
      <c r="CB200"/>
      <c r="CC200"/>
      <c r="CD200"/>
      <c r="CE200"/>
    </row>
    <row r="201" spans="1:83" x14ac:dyDescent="0.25">
      <c r="A201" s="13" t="s">
        <v>50</v>
      </c>
      <c r="B201" s="59">
        <v>593</v>
      </c>
      <c r="C201"/>
      <c r="D201"/>
      <c r="E201"/>
      <c r="F201"/>
      <c r="BR201"/>
      <c r="BS201"/>
      <c r="BZ201"/>
      <c r="CA201"/>
      <c r="CB201"/>
      <c r="CC201"/>
      <c r="CD201"/>
      <c r="CE201"/>
    </row>
    <row r="202" spans="1:83" x14ac:dyDescent="0.25">
      <c r="A202"/>
      <c r="B202"/>
      <c r="C202"/>
      <c r="D202"/>
      <c r="E202"/>
      <c r="F202"/>
      <c r="BR202"/>
      <c r="BS202"/>
      <c r="BZ202"/>
      <c r="CA202"/>
      <c r="CB202"/>
      <c r="CC202"/>
      <c r="CD202"/>
      <c r="CE202"/>
    </row>
    <row r="203" spans="1:83" x14ac:dyDescent="0.25">
      <c r="A203"/>
      <c r="B203"/>
      <c r="C203"/>
      <c r="D203"/>
      <c r="E203"/>
      <c r="F203"/>
      <c r="BR203"/>
      <c r="BS203"/>
      <c r="BZ203"/>
      <c r="CA203"/>
      <c r="CB203"/>
      <c r="CC203"/>
      <c r="CD203"/>
      <c r="CE203"/>
    </row>
    <row r="204" spans="1:83" x14ac:dyDescent="0.25">
      <c r="A204"/>
      <c r="B204"/>
      <c r="C204"/>
      <c r="D204"/>
      <c r="E204"/>
      <c r="F204"/>
      <c r="BR204"/>
      <c r="BS204"/>
      <c r="BZ204"/>
      <c r="CA204"/>
      <c r="CB204"/>
      <c r="CC204"/>
      <c r="CD204"/>
      <c r="CE204"/>
    </row>
    <row r="205" spans="1:83" x14ac:dyDescent="0.25">
      <c r="A205"/>
      <c r="B205"/>
      <c r="C205"/>
      <c r="D205"/>
      <c r="E205"/>
      <c r="F205"/>
      <c r="BR205"/>
      <c r="BS205"/>
      <c r="BZ205"/>
      <c r="CA205"/>
      <c r="CB205"/>
      <c r="CC205"/>
      <c r="CD205"/>
      <c r="CE205"/>
    </row>
    <row r="206" spans="1:83" x14ac:dyDescent="0.25">
      <c r="A206"/>
      <c r="B206"/>
      <c r="C206"/>
      <c r="D206"/>
      <c r="E206"/>
      <c r="F206"/>
      <c r="BR206"/>
      <c r="BS206"/>
      <c r="BZ206"/>
      <c r="CA206"/>
      <c r="CB206"/>
      <c r="CC206"/>
      <c r="CD206"/>
      <c r="CE206"/>
    </row>
    <row r="207" spans="1:83" x14ac:dyDescent="0.25">
      <c r="A207"/>
      <c r="B207"/>
      <c r="C207"/>
      <c r="D207"/>
      <c r="E207"/>
      <c r="F207"/>
      <c r="BR207"/>
      <c r="BS207"/>
      <c r="BZ207"/>
      <c r="CA207"/>
      <c r="CB207"/>
      <c r="CC207"/>
      <c r="CD207"/>
      <c r="CE207"/>
    </row>
    <row r="208" spans="1:83" x14ac:dyDescent="0.25">
      <c r="A208"/>
      <c r="B208"/>
      <c r="C208"/>
      <c r="D208"/>
      <c r="E208"/>
      <c r="F208"/>
      <c r="BR208"/>
      <c r="BS208"/>
      <c r="BZ208"/>
      <c r="CA208"/>
      <c r="CB208"/>
      <c r="CC208"/>
      <c r="CD208"/>
      <c r="CE208"/>
    </row>
    <row r="209" spans="1:83" x14ac:dyDescent="0.25">
      <c r="A209"/>
      <c r="B209"/>
      <c r="C209"/>
      <c r="D209"/>
      <c r="E209"/>
      <c r="F209"/>
      <c r="BR209"/>
      <c r="BS209"/>
      <c r="BZ209"/>
      <c r="CA209"/>
      <c r="CB209"/>
      <c r="CC209"/>
      <c r="CD209"/>
      <c r="CE209"/>
    </row>
    <row r="210" spans="1:83" x14ac:dyDescent="0.25">
      <c r="A210"/>
      <c r="B210"/>
      <c r="C210"/>
      <c r="D210"/>
      <c r="E210"/>
      <c r="F210"/>
      <c r="BR210"/>
      <c r="BS210"/>
      <c r="BZ210"/>
      <c r="CA210"/>
      <c r="CB210"/>
      <c r="CC210"/>
      <c r="CD210"/>
      <c r="CE210"/>
    </row>
    <row r="211" spans="1:83" x14ac:dyDescent="0.25">
      <c r="A211"/>
      <c r="B211"/>
      <c r="C211"/>
      <c r="D211"/>
      <c r="E211"/>
      <c r="F211"/>
      <c r="BR211"/>
      <c r="BS211"/>
      <c r="BZ211"/>
      <c r="CA211"/>
      <c r="CB211"/>
      <c r="CC211"/>
      <c r="CD211"/>
      <c r="CE211"/>
    </row>
    <row r="212" spans="1:83" x14ac:dyDescent="0.25">
      <c r="A212"/>
      <c r="B212"/>
      <c r="C212"/>
      <c r="D212"/>
      <c r="E212"/>
      <c r="F212"/>
      <c r="BR212"/>
      <c r="BS212"/>
      <c r="BZ212"/>
      <c r="CA212"/>
      <c r="CB212"/>
      <c r="CC212"/>
      <c r="CD212"/>
      <c r="CE212"/>
    </row>
    <row r="213" spans="1:83" x14ac:dyDescent="0.25">
      <c r="A213"/>
      <c r="B213"/>
      <c r="C213"/>
      <c r="D213"/>
      <c r="E213"/>
      <c r="F213"/>
      <c r="BR213"/>
      <c r="BS213"/>
      <c r="BZ213"/>
      <c r="CA213"/>
      <c r="CB213"/>
      <c r="CC213"/>
      <c r="CD213"/>
      <c r="CE213"/>
    </row>
    <row r="214" spans="1:83" x14ac:dyDescent="0.25">
      <c r="A214"/>
      <c r="B214"/>
      <c r="C214"/>
      <c r="D214"/>
      <c r="E214"/>
      <c r="F214"/>
      <c r="BR214"/>
      <c r="BS214"/>
      <c r="BZ214"/>
      <c r="CA214"/>
      <c r="CB214"/>
      <c r="CC214"/>
      <c r="CD214"/>
      <c r="CE214"/>
    </row>
    <row r="215" spans="1:83" x14ac:dyDescent="0.25">
      <c r="A215"/>
      <c r="B215"/>
      <c r="C215"/>
      <c r="D215"/>
      <c r="E215"/>
      <c r="F215"/>
      <c r="BR215"/>
      <c r="BS215"/>
      <c r="BZ215"/>
      <c r="CA215"/>
      <c r="CB215"/>
      <c r="CC215"/>
      <c r="CD215"/>
      <c r="CE215"/>
    </row>
    <row r="216" spans="1:83" x14ac:dyDescent="0.25">
      <c r="A216"/>
      <c r="B216"/>
      <c r="C216"/>
      <c r="D216"/>
      <c r="E216"/>
      <c r="F216"/>
      <c r="BR216"/>
      <c r="BS216"/>
      <c r="BZ216"/>
      <c r="CA216"/>
      <c r="CB216"/>
      <c r="CC216"/>
      <c r="CD216"/>
      <c r="CE216"/>
    </row>
    <row r="217" spans="1:83" x14ac:dyDescent="0.25">
      <c r="A217"/>
      <c r="B217"/>
      <c r="C217"/>
      <c r="D217"/>
      <c r="E217"/>
      <c r="F217"/>
      <c r="BR217"/>
      <c r="BS217"/>
      <c r="BZ217"/>
      <c r="CA217"/>
      <c r="CB217"/>
      <c r="CC217"/>
      <c r="CD217"/>
      <c r="CE217"/>
    </row>
    <row r="218" spans="1:83" x14ac:dyDescent="0.25">
      <c r="A218"/>
      <c r="B218"/>
      <c r="C218"/>
      <c r="D218"/>
      <c r="E218"/>
      <c r="F218"/>
      <c r="BR218"/>
      <c r="BS218"/>
      <c r="BZ218"/>
      <c r="CA218"/>
      <c r="CB218"/>
      <c r="CC218"/>
      <c r="CD218"/>
      <c r="CE218"/>
    </row>
    <row r="219" spans="1:83" x14ac:dyDescent="0.25">
      <c r="A219"/>
      <c r="B219"/>
      <c r="C219"/>
      <c r="D219"/>
      <c r="E219"/>
      <c r="F219"/>
      <c r="BR219"/>
      <c r="BS219"/>
      <c r="BZ219"/>
      <c r="CA219"/>
      <c r="CB219"/>
      <c r="CC219"/>
      <c r="CD219"/>
      <c r="CE219"/>
    </row>
    <row r="220" spans="1:83" x14ac:dyDescent="0.25">
      <c r="A220"/>
      <c r="B220"/>
      <c r="C220"/>
      <c r="D220"/>
      <c r="E220"/>
      <c r="F220"/>
      <c r="BR220"/>
      <c r="BS220"/>
      <c r="BZ220"/>
      <c r="CA220"/>
      <c r="CB220"/>
      <c r="CC220"/>
      <c r="CD220"/>
      <c r="CE220"/>
    </row>
    <row r="221" spans="1:83" x14ac:dyDescent="0.25">
      <c r="A221"/>
      <c r="B221"/>
      <c r="C221"/>
      <c r="D221"/>
      <c r="E221"/>
      <c r="F221"/>
      <c r="BR221"/>
      <c r="BS221"/>
      <c r="BZ221"/>
      <c r="CA221"/>
      <c r="CB221"/>
      <c r="CC221"/>
      <c r="CD221"/>
      <c r="CE221"/>
    </row>
    <row r="222" spans="1:83" x14ac:dyDescent="0.25">
      <c r="A222"/>
      <c r="B222"/>
      <c r="C222"/>
      <c r="D222"/>
      <c r="E222"/>
      <c r="F222"/>
      <c r="BR222"/>
      <c r="BS222"/>
      <c r="BZ222"/>
      <c r="CA222"/>
      <c r="CB222"/>
      <c r="CC222"/>
      <c r="CD222"/>
      <c r="CE222"/>
    </row>
    <row r="223" spans="1:83" x14ac:dyDescent="0.25">
      <c r="A223"/>
      <c r="B223"/>
      <c r="C223"/>
      <c r="D223"/>
      <c r="E223"/>
      <c r="F223"/>
      <c r="BZ223"/>
      <c r="CA223"/>
      <c r="CB223"/>
      <c r="CC223"/>
      <c r="CD223"/>
      <c r="CE223"/>
    </row>
    <row r="224" spans="1:83" x14ac:dyDescent="0.25">
      <c r="A224"/>
      <c r="B224"/>
      <c r="C224"/>
      <c r="D224"/>
      <c r="E224"/>
      <c r="F224"/>
      <c r="BZ224"/>
      <c r="CA224"/>
      <c r="CB224"/>
      <c r="CC224"/>
      <c r="CD224"/>
      <c r="CE224"/>
    </row>
    <row r="225" spans="1:83" x14ac:dyDescent="0.25">
      <c r="A225"/>
      <c r="B225"/>
      <c r="C225"/>
      <c r="D225"/>
      <c r="E225"/>
      <c r="F225"/>
      <c r="BZ225"/>
      <c r="CA225"/>
      <c r="CB225"/>
      <c r="CC225"/>
      <c r="CD225"/>
      <c r="CE225"/>
    </row>
    <row r="226" spans="1:83" x14ac:dyDescent="0.25">
      <c r="A226"/>
      <c r="B226"/>
      <c r="C226"/>
      <c r="D226"/>
      <c r="E226"/>
      <c r="F226"/>
      <c r="BZ226"/>
      <c r="CA226"/>
      <c r="CB226"/>
      <c r="CC226"/>
      <c r="CD226"/>
      <c r="CE226"/>
    </row>
    <row r="227" spans="1:83" x14ac:dyDescent="0.25">
      <c r="A227"/>
      <c r="B227"/>
      <c r="C227"/>
      <c r="D227"/>
      <c r="E227"/>
      <c r="F227"/>
      <c r="BZ227"/>
      <c r="CA227"/>
      <c r="CB227"/>
      <c r="CC227"/>
      <c r="CD227"/>
      <c r="CE227"/>
    </row>
    <row r="228" spans="1:83" x14ac:dyDescent="0.25">
      <c r="A228"/>
      <c r="B228"/>
      <c r="C228"/>
      <c r="D228"/>
      <c r="E228"/>
      <c r="F228"/>
      <c r="BZ228"/>
      <c r="CA228"/>
      <c r="CB228"/>
      <c r="CC228"/>
      <c r="CD228"/>
      <c r="CE228"/>
    </row>
    <row r="229" spans="1:83" x14ac:dyDescent="0.25">
      <c r="A229"/>
      <c r="B229"/>
      <c r="C229"/>
      <c r="D229"/>
      <c r="E229"/>
      <c r="F229"/>
      <c r="BZ229"/>
      <c r="CA229"/>
      <c r="CB229"/>
      <c r="CC229"/>
      <c r="CD229"/>
      <c r="CE229"/>
    </row>
    <row r="230" spans="1:83" x14ac:dyDescent="0.25">
      <c r="A230"/>
      <c r="B230"/>
      <c r="C230"/>
      <c r="D230"/>
      <c r="E230"/>
      <c r="F230"/>
      <c r="BZ230"/>
      <c r="CA230"/>
      <c r="CB230"/>
      <c r="CC230"/>
      <c r="CD230"/>
      <c r="CE230"/>
    </row>
    <row r="231" spans="1:83" x14ac:dyDescent="0.25">
      <c r="A231"/>
      <c r="B231"/>
      <c r="C231"/>
      <c r="D231"/>
      <c r="E231"/>
      <c r="F231"/>
      <c r="BZ231"/>
      <c r="CA231"/>
      <c r="CB231"/>
      <c r="CC231"/>
      <c r="CD231"/>
      <c r="CE231"/>
    </row>
    <row r="232" spans="1:83" x14ac:dyDescent="0.25">
      <c r="A232"/>
      <c r="B232"/>
      <c r="C232"/>
      <c r="D232"/>
      <c r="E232"/>
      <c r="F232"/>
      <c r="BZ232"/>
      <c r="CA232"/>
      <c r="CB232"/>
      <c r="CC232"/>
      <c r="CD232"/>
      <c r="CE232"/>
    </row>
    <row r="233" spans="1:83" x14ac:dyDescent="0.25">
      <c r="A233"/>
      <c r="B233"/>
      <c r="C233"/>
      <c r="D233"/>
      <c r="E233"/>
      <c r="F233"/>
      <c r="BZ233"/>
      <c r="CA233"/>
      <c r="CB233"/>
      <c r="CC233"/>
      <c r="CD233"/>
      <c r="CE233"/>
    </row>
    <row r="234" spans="1:83" x14ac:dyDescent="0.25">
      <c r="A234"/>
      <c r="B234"/>
      <c r="C234"/>
      <c r="D234"/>
      <c r="E234"/>
      <c r="F234"/>
      <c r="BZ234"/>
      <c r="CA234"/>
      <c r="CB234"/>
      <c r="CC234"/>
      <c r="CD234"/>
      <c r="CE234"/>
    </row>
    <row r="235" spans="1:83" x14ac:dyDescent="0.25">
      <c r="A235"/>
      <c r="B235"/>
      <c r="C235"/>
      <c r="D235"/>
      <c r="E235"/>
      <c r="F235"/>
      <c r="BZ235"/>
      <c r="CA235"/>
      <c r="CB235"/>
      <c r="CC235"/>
      <c r="CD235"/>
      <c r="CE235"/>
    </row>
    <row r="236" spans="1:83" x14ac:dyDescent="0.25">
      <c r="A236"/>
      <c r="B236"/>
      <c r="C236"/>
      <c r="D236"/>
      <c r="E236"/>
      <c r="F236"/>
      <c r="BZ236"/>
      <c r="CA236"/>
      <c r="CB236"/>
      <c r="CC236"/>
      <c r="CD236"/>
      <c r="CE236"/>
    </row>
    <row r="237" spans="1:83" x14ac:dyDescent="0.25">
      <c r="A237"/>
      <c r="B237"/>
      <c r="C237"/>
      <c r="D237"/>
      <c r="E237"/>
      <c r="F237"/>
      <c r="BZ237"/>
      <c r="CA237"/>
      <c r="CB237"/>
      <c r="CC237"/>
      <c r="CD237"/>
      <c r="CE237"/>
    </row>
    <row r="238" spans="1:83" x14ac:dyDescent="0.25">
      <c r="A238"/>
      <c r="B238"/>
      <c r="C238"/>
      <c r="D238"/>
      <c r="E238"/>
      <c r="F238"/>
      <c r="BZ238"/>
      <c r="CA238"/>
      <c r="CB238"/>
      <c r="CC238"/>
      <c r="CD238"/>
      <c r="CE238"/>
    </row>
    <row r="239" spans="1:83" x14ac:dyDescent="0.25">
      <c r="A239"/>
      <c r="B239"/>
      <c r="C239"/>
      <c r="D239"/>
      <c r="E239"/>
      <c r="F239"/>
      <c r="BZ239"/>
      <c r="CA239"/>
      <c r="CB239"/>
      <c r="CC239"/>
      <c r="CD239"/>
      <c r="CE239"/>
    </row>
    <row r="240" spans="1:83" x14ac:dyDescent="0.25">
      <c r="A240"/>
      <c r="B240"/>
      <c r="C240"/>
      <c r="D240"/>
      <c r="E240"/>
      <c r="F240"/>
      <c r="BZ240"/>
      <c r="CA240"/>
      <c r="CB240"/>
      <c r="CC240"/>
      <c r="CD240"/>
      <c r="CE240"/>
    </row>
    <row r="241" spans="1:83" x14ac:dyDescent="0.25">
      <c r="A241"/>
      <c r="B241"/>
      <c r="C241"/>
      <c r="D241"/>
      <c r="E241"/>
      <c r="F241"/>
      <c r="BZ241"/>
      <c r="CA241"/>
      <c r="CB241"/>
      <c r="CC241"/>
      <c r="CD241"/>
      <c r="CE241"/>
    </row>
    <row r="242" spans="1:83" x14ac:dyDescent="0.25">
      <c r="A242"/>
      <c r="B242"/>
      <c r="C242"/>
      <c r="D242"/>
      <c r="E242"/>
      <c r="F242"/>
      <c r="BZ242"/>
      <c r="CA242"/>
      <c r="CB242"/>
      <c r="CC242"/>
      <c r="CD242"/>
      <c r="CE242"/>
    </row>
    <row r="243" spans="1:83" x14ac:dyDescent="0.25">
      <c r="A243"/>
      <c r="B243"/>
      <c r="C243"/>
      <c r="D243"/>
      <c r="E243"/>
      <c r="F243"/>
      <c r="BZ243"/>
      <c r="CA243"/>
      <c r="CB243"/>
      <c r="CC243"/>
      <c r="CD243"/>
      <c r="CE243"/>
    </row>
    <row r="244" spans="1:83" x14ac:dyDescent="0.25">
      <c r="A244"/>
      <c r="B244"/>
      <c r="C244"/>
      <c r="D244"/>
      <c r="E244"/>
      <c r="F244"/>
      <c r="BZ244"/>
      <c r="CA244"/>
      <c r="CB244"/>
      <c r="CC244"/>
      <c r="CD244"/>
      <c r="CE244"/>
    </row>
    <row r="245" spans="1:83" x14ac:dyDescent="0.25">
      <c r="A245"/>
      <c r="B245"/>
      <c r="C245"/>
      <c r="D245"/>
      <c r="E245"/>
      <c r="F245"/>
      <c r="BZ245"/>
      <c r="CA245"/>
      <c r="CB245"/>
      <c r="CC245"/>
      <c r="CD245"/>
      <c r="CE245"/>
    </row>
    <row r="246" spans="1:83" x14ac:dyDescent="0.25">
      <c r="A246"/>
      <c r="B246"/>
      <c r="C246"/>
      <c r="D246"/>
      <c r="E246"/>
      <c r="F246"/>
      <c r="BZ246"/>
      <c r="CA246"/>
      <c r="CB246"/>
      <c r="CC246"/>
      <c r="CD246"/>
      <c r="CE246"/>
    </row>
    <row r="247" spans="1:83" x14ac:dyDescent="0.25">
      <c r="A247"/>
      <c r="B247"/>
      <c r="C247"/>
      <c r="D247"/>
      <c r="E247"/>
      <c r="F247"/>
      <c r="BZ247"/>
      <c r="CA247"/>
      <c r="CB247"/>
      <c r="CC247"/>
      <c r="CD247"/>
      <c r="CE247"/>
    </row>
    <row r="248" spans="1:83" x14ac:dyDescent="0.25">
      <c r="A248"/>
      <c r="B248"/>
      <c r="C248"/>
      <c r="D248"/>
      <c r="E248"/>
      <c r="F248"/>
      <c r="BZ248"/>
      <c r="CA248"/>
      <c r="CB248"/>
      <c r="CC248"/>
      <c r="CD248"/>
      <c r="CE248"/>
    </row>
    <row r="249" spans="1:83" x14ac:dyDescent="0.25">
      <c r="A249"/>
      <c r="B249"/>
      <c r="C249"/>
      <c r="D249"/>
      <c r="E249"/>
      <c r="F249"/>
      <c r="BZ249"/>
      <c r="CA249"/>
      <c r="CB249"/>
      <c r="CC249"/>
      <c r="CD249"/>
      <c r="CE249"/>
    </row>
    <row r="250" spans="1:83" x14ac:dyDescent="0.25">
      <c r="A250"/>
      <c r="B250"/>
      <c r="C250"/>
      <c r="D250"/>
      <c r="E250"/>
      <c r="F250"/>
      <c r="BZ250"/>
      <c r="CA250"/>
      <c r="CB250"/>
      <c r="CC250"/>
      <c r="CD250"/>
      <c r="CE250"/>
    </row>
    <row r="251" spans="1:83" x14ac:dyDescent="0.25">
      <c r="A251"/>
      <c r="B251"/>
      <c r="C251"/>
      <c r="D251"/>
      <c r="E251"/>
      <c r="F251"/>
      <c r="BZ251"/>
      <c r="CA251"/>
      <c r="CB251"/>
      <c r="CC251"/>
      <c r="CD251"/>
      <c r="CE251"/>
    </row>
    <row r="252" spans="1:83" x14ac:dyDescent="0.25">
      <c r="A252"/>
      <c r="B252"/>
      <c r="C252"/>
      <c r="D252"/>
      <c r="E252"/>
      <c r="F252"/>
      <c r="BZ252"/>
      <c r="CA252"/>
      <c r="CB252"/>
      <c r="CC252"/>
      <c r="CD252"/>
      <c r="CE252"/>
    </row>
    <row r="253" spans="1:83" x14ac:dyDescent="0.25">
      <c r="A253"/>
      <c r="B253"/>
      <c r="C253"/>
      <c r="D253"/>
      <c r="E253"/>
      <c r="F253"/>
      <c r="BZ253"/>
      <c r="CA253"/>
      <c r="CB253"/>
      <c r="CC253"/>
      <c r="CD253"/>
      <c r="CE253"/>
    </row>
    <row r="254" spans="1:83" x14ac:dyDescent="0.25">
      <c r="A254"/>
      <c r="B254"/>
      <c r="C254"/>
      <c r="D254"/>
      <c r="E254"/>
      <c r="F254"/>
      <c r="BZ254"/>
      <c r="CA254"/>
      <c r="CB254"/>
      <c r="CC254"/>
      <c r="CD254"/>
      <c r="CE254"/>
    </row>
    <row r="255" spans="1:83" x14ac:dyDescent="0.25">
      <c r="A255"/>
      <c r="B255"/>
      <c r="C255"/>
      <c r="D255"/>
      <c r="E255"/>
      <c r="F255"/>
      <c r="BZ255"/>
      <c r="CA255"/>
      <c r="CB255"/>
      <c r="CC255"/>
      <c r="CD255"/>
      <c r="CE255"/>
    </row>
    <row r="256" spans="1:83" x14ac:dyDescent="0.25">
      <c r="A256"/>
      <c r="B256"/>
      <c r="C256"/>
      <c r="D256"/>
      <c r="E256"/>
      <c r="F256"/>
      <c r="BZ256"/>
      <c r="CA256"/>
      <c r="CB256"/>
      <c r="CC256"/>
      <c r="CD256"/>
      <c r="CE256"/>
    </row>
    <row r="257" spans="1:83" x14ac:dyDescent="0.25">
      <c r="A257"/>
      <c r="B257"/>
      <c r="C257"/>
      <c r="D257"/>
      <c r="E257"/>
      <c r="F257"/>
      <c r="BZ257"/>
      <c r="CA257"/>
      <c r="CB257"/>
      <c r="CC257"/>
      <c r="CD257"/>
      <c r="CE257"/>
    </row>
    <row r="258" spans="1:83" x14ac:dyDescent="0.25">
      <c r="A258"/>
      <c r="B258"/>
      <c r="C258"/>
      <c r="D258"/>
      <c r="E258"/>
      <c r="F258"/>
      <c r="BZ258"/>
      <c r="CA258"/>
      <c r="CB258"/>
      <c r="CC258"/>
      <c r="CD258"/>
      <c r="CE258"/>
    </row>
    <row r="259" spans="1:83" x14ac:dyDescent="0.25">
      <c r="A259"/>
      <c r="B259"/>
      <c r="C259"/>
      <c r="D259"/>
      <c r="E259"/>
      <c r="F259"/>
      <c r="BZ259"/>
      <c r="CA259"/>
      <c r="CB259"/>
      <c r="CC259"/>
      <c r="CD259"/>
      <c r="CE259"/>
    </row>
    <row r="260" spans="1:83" x14ac:dyDescent="0.25">
      <c r="A260"/>
      <c r="B260"/>
      <c r="C260"/>
      <c r="D260"/>
      <c r="E260"/>
      <c r="F260"/>
      <c r="BZ260"/>
      <c r="CA260"/>
      <c r="CB260"/>
      <c r="CC260"/>
      <c r="CD260"/>
      <c r="CE260"/>
    </row>
    <row r="261" spans="1:83" x14ac:dyDescent="0.25">
      <c r="A261"/>
      <c r="B261"/>
      <c r="C261"/>
      <c r="D261"/>
      <c r="E261"/>
      <c r="F261"/>
      <c r="BZ261"/>
      <c r="CA261"/>
      <c r="CB261"/>
      <c r="CC261"/>
      <c r="CD261"/>
      <c r="CE261"/>
    </row>
    <row r="262" spans="1:83" x14ac:dyDescent="0.25">
      <c r="A262"/>
      <c r="B262"/>
      <c r="C262"/>
      <c r="D262"/>
      <c r="E262"/>
      <c r="F262"/>
      <c r="BZ262"/>
      <c r="CA262"/>
      <c r="CB262"/>
      <c r="CC262"/>
      <c r="CD262"/>
      <c r="CE262"/>
    </row>
    <row r="263" spans="1:83" x14ac:dyDescent="0.25">
      <c r="A263"/>
      <c r="B263"/>
      <c r="C263"/>
      <c r="D263"/>
      <c r="E263"/>
      <c r="F263"/>
      <c r="BZ263"/>
      <c r="CA263"/>
      <c r="CB263"/>
      <c r="CC263"/>
      <c r="CD263"/>
      <c r="CE263"/>
    </row>
    <row r="264" spans="1:83" x14ac:dyDescent="0.25">
      <c r="A264"/>
      <c r="B264"/>
      <c r="C264"/>
      <c r="D264"/>
      <c r="E264"/>
      <c r="F264"/>
      <c r="BZ264"/>
      <c r="CA264"/>
      <c r="CB264"/>
      <c r="CC264"/>
      <c r="CD264"/>
      <c r="CE264"/>
    </row>
    <row r="265" spans="1:83" x14ac:dyDescent="0.25">
      <c r="A265"/>
      <c r="B265"/>
      <c r="C265"/>
      <c r="D265"/>
      <c r="E265"/>
      <c r="F265"/>
      <c r="BZ265"/>
      <c r="CA265"/>
      <c r="CB265"/>
      <c r="CC265"/>
      <c r="CD265"/>
      <c r="CE265"/>
    </row>
    <row r="266" spans="1:83" x14ac:dyDescent="0.25">
      <c r="A266"/>
      <c r="B266"/>
      <c r="C266"/>
      <c r="D266"/>
      <c r="E266"/>
      <c r="F266"/>
      <c r="BZ266"/>
      <c r="CA266"/>
      <c r="CB266"/>
      <c r="CC266"/>
      <c r="CD266"/>
      <c r="CE266"/>
    </row>
    <row r="267" spans="1:83" x14ac:dyDescent="0.25">
      <c r="A267"/>
      <c r="B267"/>
      <c r="C267"/>
      <c r="D267"/>
      <c r="E267"/>
      <c r="F267"/>
      <c r="BZ267"/>
      <c r="CA267"/>
      <c r="CB267"/>
      <c r="CC267"/>
      <c r="CD267"/>
      <c r="CE267"/>
    </row>
    <row r="268" spans="1:83" x14ac:dyDescent="0.25">
      <c r="A268"/>
      <c r="B268"/>
      <c r="C268"/>
      <c r="D268"/>
      <c r="E268"/>
      <c r="F268"/>
      <c r="BZ268"/>
      <c r="CA268"/>
      <c r="CB268"/>
      <c r="CC268"/>
      <c r="CD268"/>
      <c r="CE268"/>
    </row>
    <row r="269" spans="1:83" x14ac:dyDescent="0.25">
      <c r="A269"/>
      <c r="B269"/>
      <c r="C269"/>
      <c r="D269"/>
      <c r="E269"/>
      <c r="F269"/>
      <c r="BZ269"/>
      <c r="CA269"/>
      <c r="CB269"/>
      <c r="CC269"/>
      <c r="CD269"/>
      <c r="CE269"/>
    </row>
    <row r="270" spans="1:83" x14ac:dyDescent="0.25">
      <c r="A270"/>
      <c r="B270"/>
      <c r="C270"/>
      <c r="D270"/>
      <c r="E270"/>
      <c r="F270"/>
      <c r="BZ270"/>
      <c r="CA270"/>
      <c r="CB270"/>
      <c r="CC270"/>
      <c r="CD270"/>
      <c r="CE270"/>
    </row>
    <row r="271" spans="1:83" x14ac:dyDescent="0.25">
      <c r="A271"/>
      <c r="B271"/>
      <c r="C271"/>
      <c r="D271"/>
      <c r="E271"/>
      <c r="F271"/>
      <c r="BZ271"/>
      <c r="CA271"/>
      <c r="CB271"/>
      <c r="CC271"/>
      <c r="CD271"/>
      <c r="CE271"/>
    </row>
    <row r="272" spans="1:83" x14ac:dyDescent="0.25">
      <c r="A272"/>
      <c r="B272"/>
      <c r="C272"/>
      <c r="D272"/>
      <c r="E272"/>
      <c r="F272"/>
      <c r="BZ272"/>
      <c r="CA272"/>
      <c r="CB272"/>
      <c r="CC272"/>
      <c r="CD272"/>
      <c r="CE272"/>
    </row>
    <row r="273" spans="1:83" x14ac:dyDescent="0.25">
      <c r="A273"/>
      <c r="B273"/>
      <c r="C273"/>
      <c r="D273"/>
      <c r="E273"/>
      <c r="F273"/>
      <c r="BZ273"/>
      <c r="CA273"/>
      <c r="CB273"/>
      <c r="CC273"/>
      <c r="CD273"/>
      <c r="CE273"/>
    </row>
    <row r="274" spans="1:83" x14ac:dyDescent="0.25">
      <c r="A274"/>
      <c r="B274"/>
      <c r="C274"/>
      <c r="D274"/>
      <c r="E274"/>
      <c r="F274"/>
      <c r="BZ274"/>
      <c r="CA274"/>
      <c r="CB274"/>
      <c r="CC274"/>
      <c r="CD274"/>
      <c r="CE274"/>
    </row>
    <row r="275" spans="1:83" x14ac:dyDescent="0.25">
      <c r="A275"/>
      <c r="B275"/>
      <c r="C275"/>
      <c r="D275"/>
      <c r="E275"/>
      <c r="F275"/>
      <c r="BZ275"/>
      <c r="CA275"/>
      <c r="CB275"/>
      <c r="CC275"/>
      <c r="CD275"/>
      <c r="CE275"/>
    </row>
    <row r="276" spans="1:83" x14ac:dyDescent="0.25">
      <c r="A276"/>
      <c r="B276"/>
      <c r="C276"/>
      <c r="D276"/>
      <c r="E276"/>
      <c r="F276"/>
      <c r="BZ276"/>
      <c r="CA276"/>
      <c r="CB276"/>
      <c r="CC276"/>
      <c r="CD276"/>
      <c r="CE276"/>
    </row>
    <row r="277" spans="1:83" x14ac:dyDescent="0.25">
      <c r="A277"/>
      <c r="B277"/>
      <c r="C277"/>
      <c r="D277"/>
      <c r="E277"/>
      <c r="F277"/>
      <c r="BZ277"/>
      <c r="CA277"/>
      <c r="CB277"/>
      <c r="CC277"/>
      <c r="CD277"/>
      <c r="CE277"/>
    </row>
    <row r="278" spans="1:83" x14ac:dyDescent="0.25">
      <c r="A278"/>
      <c r="B278"/>
      <c r="C278"/>
      <c r="D278"/>
      <c r="E278"/>
      <c r="F278"/>
      <c r="BZ278"/>
      <c r="CA278"/>
      <c r="CB278"/>
      <c r="CC278"/>
      <c r="CD278"/>
      <c r="CE278"/>
    </row>
    <row r="279" spans="1:83" x14ac:dyDescent="0.25">
      <c r="A279"/>
      <c r="B279"/>
      <c r="C279"/>
      <c r="D279"/>
      <c r="E279"/>
      <c r="F279"/>
      <c r="BZ279"/>
      <c r="CA279"/>
      <c r="CB279"/>
      <c r="CC279"/>
      <c r="CD279"/>
      <c r="CE279"/>
    </row>
    <row r="280" spans="1:83" x14ac:dyDescent="0.25">
      <c r="A280"/>
      <c r="B280"/>
      <c r="C280"/>
      <c r="D280"/>
      <c r="E280"/>
      <c r="F280"/>
      <c r="BZ280"/>
      <c r="CA280"/>
      <c r="CB280"/>
      <c r="CC280"/>
      <c r="CD280"/>
      <c r="CE280"/>
    </row>
    <row r="281" spans="1:83" x14ac:dyDescent="0.25">
      <c r="A281"/>
      <c r="B281"/>
      <c r="C281"/>
      <c r="D281"/>
      <c r="E281"/>
      <c r="F281"/>
      <c r="BZ281"/>
      <c r="CA281"/>
      <c r="CB281"/>
      <c r="CC281"/>
      <c r="CD281"/>
      <c r="CE281"/>
    </row>
    <row r="282" spans="1:83" x14ac:dyDescent="0.25">
      <c r="A282"/>
      <c r="B282"/>
      <c r="C282"/>
      <c r="D282"/>
      <c r="E282"/>
      <c r="F282"/>
      <c r="BZ282"/>
      <c r="CA282"/>
      <c r="CB282"/>
      <c r="CC282"/>
      <c r="CD282"/>
      <c r="CE282"/>
    </row>
    <row r="283" spans="1:83" x14ac:dyDescent="0.25">
      <c r="A283"/>
      <c r="B283"/>
      <c r="C283"/>
      <c r="D283"/>
      <c r="E283"/>
      <c r="F283"/>
      <c r="BZ283"/>
      <c r="CA283"/>
      <c r="CB283"/>
      <c r="CC283"/>
      <c r="CD283"/>
      <c r="CE283"/>
    </row>
    <row r="284" spans="1:83" x14ac:dyDescent="0.25">
      <c r="A284"/>
      <c r="B284"/>
      <c r="C284"/>
      <c r="D284"/>
      <c r="E284"/>
      <c r="F284"/>
    </row>
  </sheetData>
  <conditionalFormatting pivot="1" sqref="D11 D6 D16 D21 D26 D31 D36 D41 D46 D51 D56 D61 D66 D71 D76 D81 D86 D91 D96 D101 D106 D111 D115">
    <cfRule type="colorScale" priority="47">
      <colorScale>
        <cfvo type="min"/>
        <cfvo type="percentile" val="50"/>
        <cfvo type="max"/>
        <color rgb="FFF8696B"/>
        <color rgb="FFFFEB84"/>
        <color rgb="FF63BE7B"/>
      </colorScale>
    </cfRule>
  </conditionalFormatting>
  <conditionalFormatting pivot="1" sqref="M4:M54">
    <cfRule type="colorScale" priority="45">
      <colorScale>
        <cfvo type="min"/>
        <cfvo type="percentile" val="50"/>
        <cfvo type="max"/>
        <color rgb="FFF8696B"/>
        <color rgb="FFFFEB84"/>
        <color rgb="FF63BE7B"/>
      </colorScale>
    </cfRule>
  </conditionalFormatting>
  <conditionalFormatting pivot="1" sqref="D146 D141 D151 D156 D160">
    <cfRule type="colorScale" priority="43">
      <colorScale>
        <cfvo type="min"/>
        <cfvo type="percentile" val="50"/>
        <cfvo type="max"/>
        <color rgb="FFF8696B"/>
        <color rgb="FFFFEB84"/>
        <color rgb="FF63BE7B"/>
      </colorScale>
    </cfRule>
  </conditionalFormatting>
  <conditionalFormatting pivot="1" sqref="BG13 BG8 BG18 BG23 BG28 BG33 BG37">
    <cfRule type="colorScale" priority="41">
      <colorScale>
        <cfvo type="min"/>
        <cfvo type="percentile" val="50"/>
        <cfvo type="max"/>
        <color rgb="FFF8696B"/>
        <color rgb="FFFFEB84"/>
        <color rgb="FF63BE7B"/>
      </colorScale>
    </cfRule>
  </conditionalFormatting>
  <conditionalFormatting pivot="1" sqref="BN13 BN8 BN18 BN23 BN28 BN33 BN38 BN42">
    <cfRule type="colorScale" priority="40">
      <colorScale>
        <cfvo type="min"/>
        <cfvo type="percentile" val="50"/>
        <cfvo type="max"/>
        <color rgb="FFF8696B"/>
        <color rgb="FFFFEB84"/>
        <color rgb="FF63BE7B"/>
      </colorScale>
    </cfRule>
  </conditionalFormatting>
  <conditionalFormatting sqref="AY43:AY1048576 AY19:AY20 AY1:AY17 AY38">
    <cfRule type="colorScale" priority="4044">
      <colorScale>
        <cfvo type="min"/>
        <cfvo type="percentile" val="50"/>
        <cfvo type="max"/>
        <color rgb="FFF8696B"/>
        <color rgb="FFFFEB84"/>
        <color rgb="FF63BE7B"/>
      </colorScale>
    </cfRule>
  </conditionalFormatting>
  <conditionalFormatting sqref="AY43:AY1048576 AY38 AY19:AY20 AY1:AY17">
    <cfRule type="colorScale" priority="4048">
      <colorScale>
        <cfvo type="min"/>
        <cfvo type="percentile" val="50"/>
        <cfvo type="max"/>
        <color rgb="FFF8696B"/>
        <color rgb="FFFFEB84"/>
        <color rgb="FF63BE7B"/>
      </colorScale>
    </cfRule>
  </conditionalFormatting>
  <conditionalFormatting sqref="AY42:AY1048576 AY38:AY40 AY19:AY20 AY1:AY17">
    <cfRule type="colorScale" priority="4056">
      <colorScale>
        <cfvo type="min"/>
        <cfvo type="percentile" val="50"/>
        <cfvo type="max"/>
        <color rgb="FFF8696B"/>
        <color rgb="FFFFEB84"/>
        <color rgb="FF63BE7B"/>
      </colorScale>
    </cfRule>
  </conditionalFormatting>
  <conditionalFormatting sqref="AY42:AY1048576 AY38:AY40 AY19:AY21 AY1:AY17">
    <cfRule type="colorScale" priority="4059">
      <colorScale>
        <cfvo type="min"/>
        <cfvo type="percentile" val="50"/>
        <cfvo type="max"/>
        <color rgb="FFF8696B"/>
        <color rgb="FFFFEB84"/>
        <color rgb="FF63BE7B"/>
      </colorScale>
    </cfRule>
  </conditionalFormatting>
  <conditionalFormatting sqref="AY42:AY1048576 AY23 AY36:AY40 AY19:AY21 AY1:AY17">
    <cfRule type="colorScale" priority="4081">
      <colorScale>
        <cfvo type="min"/>
        <cfvo type="percentile" val="50"/>
        <cfvo type="max"/>
        <color rgb="FFF8696B"/>
        <color rgb="FFFFEB84"/>
        <color rgb="FF63BE7B"/>
      </colorScale>
    </cfRule>
  </conditionalFormatting>
  <conditionalFormatting sqref="AY42:AY1048576 AY36:AY40 AY19:AY21 AY1:AY17">
    <cfRule type="colorScale" priority="4085">
      <colorScale>
        <cfvo type="min"/>
        <cfvo type="percentile" val="50"/>
        <cfvo type="max"/>
        <color rgb="FFF8696B"/>
        <color rgb="FFFFEB84"/>
        <color rgb="FF63BE7B"/>
      </colorScale>
    </cfRule>
  </conditionalFormatting>
  <conditionalFormatting sqref="AY43:AY1048576 AY38:AY39 AY19:AY20 AY1:AY17">
    <cfRule type="colorScale" priority="4473">
      <colorScale>
        <cfvo type="min"/>
        <cfvo type="percentile" val="50"/>
        <cfvo type="max"/>
        <color rgb="FFF8696B"/>
        <color rgb="FFFFEB84"/>
        <color rgb="FF63BE7B"/>
      </colorScale>
    </cfRule>
  </conditionalFormatting>
  <conditionalFormatting sqref="AY19:AY21 AY1:AY17 AY42:AY1048576 AY36:AY40 AY30 AY25:AY27 AY23">
    <cfRule type="colorScale" priority="4500">
      <colorScale>
        <cfvo type="min"/>
        <cfvo type="percentile" val="50"/>
        <cfvo type="max"/>
        <color rgb="FFF8696B"/>
        <color rgb="FFFFEB84"/>
        <color rgb="FF63BE7B"/>
      </colorScale>
    </cfRule>
  </conditionalFormatting>
  <conditionalFormatting sqref="AY42:AY1048576 AY36:AY40 AY30 AY25:AY27 AY23 AY19:AY21 AY1:AY17">
    <cfRule type="colorScale" priority="4507">
      <colorScale>
        <cfvo type="min"/>
        <cfvo type="percentile" val="50"/>
        <cfvo type="max"/>
        <color rgb="FFF8696B"/>
        <color rgb="FFFFEB84"/>
        <color rgb="FF63BE7B"/>
      </colorScale>
    </cfRule>
  </conditionalFormatting>
  <conditionalFormatting sqref="AY30:AY31 AY25:AY27 AY19:AY23 AY1:AY17 AY42:AY1048576 AY36:AY40">
    <cfRule type="colorScale" priority="4529">
      <colorScale>
        <cfvo type="min"/>
        <cfvo type="percentile" val="50"/>
        <cfvo type="max"/>
        <color rgb="FFF8696B"/>
        <color rgb="FFFFEB84"/>
        <color rgb="FF63BE7B"/>
      </colorScale>
    </cfRule>
  </conditionalFormatting>
  <conditionalFormatting sqref="AY42:AY1048576 AY35:AY40 AY25:AY33 AY1:AY23">
    <cfRule type="colorScale" priority="4536">
      <colorScale>
        <cfvo type="min"/>
        <cfvo type="percentile" val="50"/>
        <cfvo type="max"/>
        <color rgb="FFF8696B"/>
        <color rgb="FFFFEB84"/>
        <color rgb="FF63BE7B"/>
      </colorScale>
    </cfRule>
  </conditionalFormatting>
  <conditionalFormatting sqref="AY42:AY1048576 AY36:AY40 AY29:AY32 AY25:AY27 AY19:AY23 AY1:AY17">
    <cfRule type="colorScale" priority="4541">
      <colorScale>
        <cfvo type="min"/>
        <cfvo type="percentile" val="50"/>
        <cfvo type="max"/>
        <color rgb="FFF8696B"/>
        <color rgb="FFFFEB84"/>
        <color rgb="FF63BE7B"/>
      </colorScale>
    </cfRule>
  </conditionalFormatting>
  <conditionalFormatting sqref="AY42:AY1048576 AY35:AY40 AY25:AY32 AY1:AY23">
    <cfRule type="colorScale" priority="4548">
      <colorScale>
        <cfvo type="min"/>
        <cfvo type="percentile" val="50"/>
        <cfvo type="max"/>
        <color rgb="FFF8696B"/>
        <color rgb="FFFFEB84"/>
        <color rgb="FF63BE7B"/>
      </colorScale>
    </cfRule>
  </conditionalFormatting>
  <conditionalFormatting sqref="AY42:AY1048576 AY25:AY40 AY1:AY23">
    <cfRule type="colorScale" priority="4553">
      <colorScale>
        <cfvo type="min"/>
        <cfvo type="percentile" val="50"/>
        <cfvo type="max"/>
        <color rgb="FFF8696B"/>
        <color rgb="FFFFEB84"/>
        <color rgb="FF63BE7B"/>
      </colorScale>
    </cfRule>
  </conditionalFormatting>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U603"/>
  <sheetViews>
    <sheetView topLeftCell="B574" zoomScale="95" zoomScaleNormal="95" workbookViewId="0">
      <selection activeCell="X585" sqref="X585"/>
    </sheetView>
  </sheetViews>
  <sheetFormatPr defaultRowHeight="15" x14ac:dyDescent="0.25"/>
  <cols>
    <col min="1" max="1" width="18.140625" style="40" bestFit="1" customWidth="1"/>
    <col min="2" max="2" width="36.140625" style="40" bestFit="1" customWidth="1"/>
    <col min="3" max="4" width="4.28515625" style="40" customWidth="1"/>
    <col min="5" max="5" width="3.28515625" style="40" customWidth="1"/>
    <col min="6" max="6" width="3.42578125" style="40" customWidth="1"/>
    <col min="7" max="7" width="4.7109375" style="40" customWidth="1"/>
    <col min="8" max="8" width="4.28515625" style="40" bestFit="1" customWidth="1"/>
    <col min="9" max="9" width="11.5703125" style="40" customWidth="1"/>
    <col min="10" max="10" width="6.7109375" style="40" customWidth="1"/>
    <col min="11" max="11" width="10.7109375" style="40" customWidth="1"/>
    <col min="12" max="12" width="8.42578125" style="40" customWidth="1"/>
    <col min="13" max="13" width="8.42578125" style="40" bestFit="1" customWidth="1"/>
    <col min="14" max="14" width="7.7109375" style="40" customWidth="1"/>
    <col min="15" max="15" width="10.28515625" style="40" customWidth="1"/>
    <col min="16" max="16" width="8.42578125" style="40" customWidth="1"/>
    <col min="17" max="17" width="9" style="40" bestFit="1" customWidth="1"/>
    <col min="18" max="18" width="7.42578125" style="40" bestFit="1" customWidth="1"/>
    <col min="19" max="19" width="7.5703125" style="40" bestFit="1" customWidth="1"/>
    <col min="20" max="20" width="10" style="40" bestFit="1" customWidth="1"/>
    <col min="21" max="21" width="9.140625" style="40" bestFit="1" customWidth="1"/>
    <col min="22" max="22" width="8" style="40" bestFit="1" customWidth="1"/>
    <col min="23" max="23" width="6.5703125" style="40" bestFit="1" customWidth="1"/>
    <col min="24" max="24" width="6.140625" style="40" customWidth="1"/>
    <col min="25" max="25" width="6.28515625" style="40" bestFit="1" customWidth="1"/>
    <col min="26" max="26" width="7.5703125" style="40" customWidth="1"/>
    <col min="27" max="27" width="6" style="40" bestFit="1" customWidth="1"/>
    <col min="28" max="28" width="9.28515625" style="40" bestFit="1" customWidth="1"/>
    <col min="29" max="29" width="9.28515625" style="40" customWidth="1"/>
    <col min="30" max="30" width="19.85546875" style="40" bestFit="1" customWidth="1"/>
    <col min="31" max="32" width="8.140625" style="40" bestFit="1" customWidth="1"/>
    <col min="33" max="33" width="37.42578125" style="40" bestFit="1" customWidth="1"/>
    <col min="34" max="34" width="10.5703125" style="40" bestFit="1" customWidth="1"/>
    <col min="35" max="35" width="10.140625" style="40" bestFit="1" customWidth="1"/>
    <col min="36" max="36" width="9" style="40" bestFit="1" customWidth="1"/>
    <col min="37" max="37" width="8.5703125" style="40" bestFit="1" customWidth="1"/>
    <col min="38" max="38" width="12" style="40" bestFit="1" customWidth="1"/>
    <col min="39" max="39" width="10.140625" style="40" customWidth="1"/>
    <col min="40" max="40" width="9.5703125" style="40" customWidth="1"/>
    <col min="41" max="41" width="8.140625" style="40" bestFit="1" customWidth="1"/>
    <col min="42" max="42" width="10.7109375" style="40" bestFit="1" customWidth="1"/>
    <col min="43" max="45" width="10" style="40" bestFit="1" customWidth="1"/>
    <col min="46" max="48" width="10.7109375" style="40" bestFit="1" customWidth="1"/>
    <col min="49" max="49" width="10.5703125" style="40" bestFit="1" customWidth="1"/>
    <col min="50" max="50" width="11.5703125" style="40" bestFit="1" customWidth="1"/>
    <col min="51" max="51" width="8.7109375" style="40" bestFit="1" customWidth="1"/>
    <col min="52" max="16384" width="9.140625" style="40"/>
  </cols>
  <sheetData>
    <row r="1" spans="1:47" x14ac:dyDescent="0.25">
      <c r="A1" s="4" t="s">
        <v>0</v>
      </c>
      <c r="B1" s="5" t="s">
        <v>1</v>
      </c>
      <c r="C1" s="5" t="s">
        <v>145</v>
      </c>
      <c r="D1" s="5" t="s">
        <v>2</v>
      </c>
      <c r="E1" s="5" t="s">
        <v>132</v>
      </c>
      <c r="F1" s="5" t="s">
        <v>440</v>
      </c>
      <c r="G1" s="5" t="s">
        <v>3</v>
      </c>
      <c r="H1" s="5" t="s">
        <v>4</v>
      </c>
      <c r="I1" s="5" t="s">
        <v>5</v>
      </c>
      <c r="J1" s="5" t="s">
        <v>6</v>
      </c>
      <c r="K1" s="5" t="s">
        <v>7</v>
      </c>
      <c r="L1" s="5" t="s">
        <v>8</v>
      </c>
      <c r="M1" s="6" t="s">
        <v>9</v>
      </c>
      <c r="N1" s="5" t="s">
        <v>10</v>
      </c>
      <c r="O1" s="5" t="s">
        <v>11</v>
      </c>
      <c r="P1" s="5" t="s">
        <v>12</v>
      </c>
      <c r="Q1" s="5" t="s">
        <v>13</v>
      </c>
      <c r="R1" s="5" t="s">
        <v>14</v>
      </c>
      <c r="S1" s="5" t="s">
        <v>15</v>
      </c>
      <c r="T1" s="5" t="s">
        <v>16</v>
      </c>
      <c r="U1" s="5" t="s">
        <v>17</v>
      </c>
      <c r="V1" s="7" t="s">
        <v>18</v>
      </c>
      <c r="W1" s="5" t="s">
        <v>19</v>
      </c>
      <c r="X1" s="5" t="s">
        <v>20</v>
      </c>
      <c r="Y1" s="5" t="s">
        <v>21</v>
      </c>
      <c r="Z1" s="5" t="s">
        <v>87</v>
      </c>
      <c r="AA1" s="5" t="s">
        <v>22</v>
      </c>
      <c r="AB1" s="7" t="s">
        <v>23</v>
      </c>
      <c r="AC1" s="5" t="s">
        <v>24</v>
      </c>
      <c r="AD1" s="5" t="s">
        <v>25</v>
      </c>
      <c r="AE1" s="5" t="s">
        <v>26</v>
      </c>
      <c r="AF1" s="5" t="s">
        <v>27</v>
      </c>
      <c r="AG1" s="6" t="s">
        <v>28</v>
      </c>
      <c r="AH1" s="5" t="s">
        <v>29</v>
      </c>
      <c r="AI1" s="5" t="s">
        <v>30</v>
      </c>
      <c r="AJ1" s="5" t="s">
        <v>31</v>
      </c>
      <c r="AK1" s="5" t="s">
        <v>32</v>
      </c>
      <c r="AL1" s="5" t="s">
        <v>33</v>
      </c>
      <c r="AM1" s="5" t="s">
        <v>34</v>
      </c>
      <c r="AN1" s="8" t="s">
        <v>35</v>
      </c>
      <c r="AO1" s="8" t="s">
        <v>36</v>
      </c>
      <c r="AP1" s="8" t="s">
        <v>37</v>
      </c>
      <c r="AQ1" s="5" t="s">
        <v>38</v>
      </c>
      <c r="AR1" s="5" t="s">
        <v>39</v>
      </c>
      <c r="AS1" s="5" t="s">
        <v>40</v>
      </c>
      <c r="AT1" s="5" t="s">
        <v>41</v>
      </c>
      <c r="AU1" s="9" t="s">
        <v>82</v>
      </c>
    </row>
    <row r="2" spans="1:47" x14ac:dyDescent="0.25">
      <c r="A2" s="10" t="s">
        <v>228</v>
      </c>
      <c r="B2" s="11" t="s">
        <v>266</v>
      </c>
      <c r="C2" s="11">
        <v>0</v>
      </c>
      <c r="D2" s="11" t="s">
        <v>108</v>
      </c>
      <c r="E2" s="11"/>
      <c r="F2" s="11"/>
      <c r="G2" s="11" t="s">
        <v>52</v>
      </c>
      <c r="H2" s="11">
        <v>1</v>
      </c>
      <c r="I2" s="11" t="s">
        <v>304</v>
      </c>
      <c r="J2" s="11" t="s">
        <v>42</v>
      </c>
      <c r="K2" s="11">
        <f>Table1[[#This Row],[ENR]]-Table1[[#This Row],[CREDIT]]</f>
        <v>3626.8499999999985</v>
      </c>
      <c r="L2" s="11">
        <v>60000</v>
      </c>
      <c r="M2" s="30">
        <v>63626.85</v>
      </c>
      <c r="N2" s="29" t="s">
        <v>43</v>
      </c>
      <c r="O2" s="29">
        <v>63626.85</v>
      </c>
      <c r="P2" s="29">
        <v>59326.879999999997</v>
      </c>
      <c r="Q2" s="29">
        <v>13030</v>
      </c>
      <c r="R2" s="29">
        <v>2740</v>
      </c>
      <c r="S2" s="11" t="s">
        <v>58</v>
      </c>
      <c r="T2" s="11" t="s">
        <v>13</v>
      </c>
      <c r="U2" s="11">
        <v>63626.85</v>
      </c>
      <c r="V2" s="29">
        <f>Table1[[#This Row],[STAB]]-Table1[[#This Row],[AMOUNT]]</f>
        <v>-60886.85</v>
      </c>
      <c r="W2" s="11" t="s">
        <v>472</v>
      </c>
      <c r="X2" s="11" t="s">
        <v>444</v>
      </c>
      <c r="Y2" s="11" t="s">
        <v>760</v>
      </c>
      <c r="Z2" s="11" t="s">
        <v>88</v>
      </c>
      <c r="AA2" s="11" t="s">
        <v>91</v>
      </c>
      <c r="AB2" s="11" t="s">
        <v>3139</v>
      </c>
      <c r="AC2" s="11" t="s">
        <v>343</v>
      </c>
      <c r="AD2" s="11" t="s">
        <v>381</v>
      </c>
      <c r="AE2" s="11" t="s">
        <v>417</v>
      </c>
      <c r="AF2" s="11" t="s">
        <v>127</v>
      </c>
      <c r="AG2" s="11" t="s">
        <v>128</v>
      </c>
      <c r="AH2" s="11" t="s">
        <v>462</v>
      </c>
      <c r="AI2" s="11">
        <v>801448854</v>
      </c>
      <c r="AJ2" s="11" t="s">
        <v>191</v>
      </c>
      <c r="AK2" s="11"/>
      <c r="AL2" s="11"/>
      <c r="AM2" s="12" t="s">
        <v>64</v>
      </c>
      <c r="AN2" s="11" t="s">
        <v>446</v>
      </c>
      <c r="AO2" s="11" t="s">
        <v>623</v>
      </c>
      <c r="AP2" s="11" t="s">
        <v>618</v>
      </c>
      <c r="AQ2" s="3">
        <v>45646</v>
      </c>
      <c r="AR2" s="11">
        <v>69460</v>
      </c>
      <c r="AS2" s="11" t="s">
        <v>430</v>
      </c>
      <c r="AT2" s="11" t="s">
        <v>438</v>
      </c>
      <c r="AU2" s="2">
        <v>46161</v>
      </c>
    </row>
    <row r="3" spans="1:47" x14ac:dyDescent="0.25">
      <c r="A3" s="10" t="s">
        <v>110</v>
      </c>
      <c r="B3" s="11" t="s">
        <v>111</v>
      </c>
      <c r="C3" s="11">
        <v>0</v>
      </c>
      <c r="D3" s="11" t="s">
        <v>108</v>
      </c>
      <c r="E3" s="11"/>
      <c r="F3" s="11"/>
      <c r="G3" s="11" t="s">
        <v>90</v>
      </c>
      <c r="H3" s="11">
        <v>2</v>
      </c>
      <c r="I3" s="11" t="s">
        <v>112</v>
      </c>
      <c r="J3" s="11" t="s">
        <v>42</v>
      </c>
      <c r="K3" s="11">
        <f>Table1[[#This Row],[ENR]]-Table1[[#This Row],[CREDIT]]</f>
        <v>-12567.060000000056</v>
      </c>
      <c r="L3" s="11">
        <v>800000</v>
      </c>
      <c r="M3" s="30">
        <v>787432.94</v>
      </c>
      <c r="N3" s="29">
        <v>4493.17</v>
      </c>
      <c r="O3" s="29">
        <v>765943.72</v>
      </c>
      <c r="P3" s="29">
        <v>735144.22</v>
      </c>
      <c r="Q3" s="29">
        <v>150130</v>
      </c>
      <c r="R3" s="29">
        <v>106140</v>
      </c>
      <c r="S3" s="11" t="s">
        <v>58</v>
      </c>
      <c r="T3" s="11" t="s">
        <v>13</v>
      </c>
      <c r="U3" s="11">
        <v>577540</v>
      </c>
      <c r="V3" s="29">
        <f>Table1[[#This Row],[STAB]]-Table1[[#This Row],[AMOUNT]]</f>
        <v>-471400</v>
      </c>
      <c r="W3" s="11" t="s">
        <v>472</v>
      </c>
      <c r="X3" s="11" t="s">
        <v>451</v>
      </c>
      <c r="Y3" s="11" t="s">
        <v>760</v>
      </c>
      <c r="Z3" s="11" t="s">
        <v>88</v>
      </c>
      <c r="AA3" s="11" t="s">
        <v>91</v>
      </c>
      <c r="AB3" s="11" t="s">
        <v>3139</v>
      </c>
      <c r="AC3" s="11" t="s">
        <v>113</v>
      </c>
      <c r="AD3" s="11" t="s">
        <v>186</v>
      </c>
      <c r="AE3" s="11" t="s">
        <v>104</v>
      </c>
      <c r="AF3" s="11" t="s">
        <v>54</v>
      </c>
      <c r="AG3" s="11" t="s">
        <v>118</v>
      </c>
      <c r="AH3" s="11" t="s">
        <v>624</v>
      </c>
      <c r="AI3" s="11">
        <v>801174030</v>
      </c>
      <c r="AJ3" s="11" t="s">
        <v>458</v>
      </c>
      <c r="AK3" s="11"/>
      <c r="AL3" s="11"/>
      <c r="AM3" s="12" t="s">
        <v>64</v>
      </c>
      <c r="AN3" s="11" t="s">
        <v>115</v>
      </c>
      <c r="AO3" s="11" t="s">
        <v>615</v>
      </c>
      <c r="AP3" s="11" t="s">
        <v>472</v>
      </c>
      <c r="AQ3" s="3">
        <v>45814</v>
      </c>
      <c r="AR3" s="11">
        <v>22000</v>
      </c>
      <c r="AS3" s="11" t="s">
        <v>48</v>
      </c>
      <c r="AT3" s="11" t="s">
        <v>187</v>
      </c>
      <c r="AU3" s="2">
        <v>46162</v>
      </c>
    </row>
    <row r="4" spans="1:47" x14ac:dyDescent="0.25">
      <c r="A4" s="10" t="s">
        <v>161</v>
      </c>
      <c r="B4" s="11" t="s">
        <v>167</v>
      </c>
      <c r="C4" s="11">
        <v>0</v>
      </c>
      <c r="D4" s="11" t="s">
        <v>108</v>
      </c>
      <c r="E4" s="11"/>
      <c r="F4" s="11"/>
      <c r="G4" s="11" t="s">
        <v>52</v>
      </c>
      <c r="H4" s="11">
        <v>2</v>
      </c>
      <c r="I4" s="11" t="s">
        <v>173</v>
      </c>
      <c r="J4" s="11" t="s">
        <v>42</v>
      </c>
      <c r="K4" s="11">
        <f>Table1[[#This Row],[ENR]]-Table1[[#This Row],[CREDIT]]</f>
        <v>57870.310000000056</v>
      </c>
      <c r="L4" s="11">
        <v>500000</v>
      </c>
      <c r="M4" s="30">
        <v>557870.31000000006</v>
      </c>
      <c r="N4" s="29" t="s">
        <v>43</v>
      </c>
      <c r="O4" s="29">
        <v>557870.31000000006</v>
      </c>
      <c r="P4" s="29">
        <v>510121.75</v>
      </c>
      <c r="Q4" s="29">
        <v>160040</v>
      </c>
      <c r="R4" s="29">
        <v>89840</v>
      </c>
      <c r="S4" s="11" t="s">
        <v>44</v>
      </c>
      <c r="T4" s="11" t="s">
        <v>45</v>
      </c>
      <c r="U4" s="11">
        <v>0</v>
      </c>
      <c r="V4" s="29">
        <f>Table1[[#This Row],[STAB]]-Table1[[#This Row],[AMOUNT]]</f>
        <v>89840</v>
      </c>
      <c r="W4" s="11">
        <v>0</v>
      </c>
      <c r="X4" s="11" t="s">
        <v>83</v>
      </c>
      <c r="Y4" s="11">
        <v>0</v>
      </c>
      <c r="Z4" s="11" t="s">
        <v>88</v>
      </c>
      <c r="AA4" s="11" t="s">
        <v>91</v>
      </c>
      <c r="AB4" s="11" t="s">
        <v>3139</v>
      </c>
      <c r="AC4" s="11" t="s">
        <v>179</v>
      </c>
      <c r="AD4" s="11" t="s">
        <v>185</v>
      </c>
      <c r="AE4" s="11" t="s">
        <v>104</v>
      </c>
      <c r="AF4" s="11" t="s">
        <v>54</v>
      </c>
      <c r="AG4" s="11" t="s">
        <v>109</v>
      </c>
      <c r="AH4" s="11" t="s">
        <v>196</v>
      </c>
      <c r="AI4" s="11">
        <v>802555024</v>
      </c>
      <c r="AJ4" s="11" t="s">
        <v>99</v>
      </c>
      <c r="AK4" s="11"/>
      <c r="AL4" s="11"/>
      <c r="AM4" s="12" t="s">
        <v>64</v>
      </c>
      <c r="AN4" s="11" t="s">
        <v>115</v>
      </c>
      <c r="AO4" s="11" t="s">
        <v>804</v>
      </c>
      <c r="AP4" s="11" t="s">
        <v>800</v>
      </c>
      <c r="AQ4" s="3">
        <v>45920</v>
      </c>
      <c r="AR4" s="11">
        <v>49999</v>
      </c>
      <c r="AS4" s="11" t="s">
        <v>47</v>
      </c>
      <c r="AT4" s="11" t="s">
        <v>187</v>
      </c>
      <c r="AU4" s="2">
        <v>46162</v>
      </c>
    </row>
    <row r="5" spans="1:47" x14ac:dyDescent="0.25">
      <c r="A5" s="10" t="s">
        <v>252</v>
      </c>
      <c r="B5" s="11" t="s">
        <v>290</v>
      </c>
      <c r="C5" s="11">
        <v>0</v>
      </c>
      <c r="D5" s="11" t="s">
        <v>108</v>
      </c>
      <c r="E5" s="11"/>
      <c r="F5" s="11"/>
      <c r="G5" s="11" t="s">
        <v>52</v>
      </c>
      <c r="H5" s="11">
        <v>2</v>
      </c>
      <c r="I5" s="11" t="s">
        <v>328</v>
      </c>
      <c r="J5" s="11" t="s">
        <v>42</v>
      </c>
      <c r="K5" s="11">
        <f>Table1[[#This Row],[ENR]]-Table1[[#This Row],[CREDIT]]</f>
        <v>13960.659999999974</v>
      </c>
      <c r="L5" s="11">
        <v>430000</v>
      </c>
      <c r="M5" s="30">
        <v>443960.66</v>
      </c>
      <c r="N5" s="29">
        <v>78892.240000000005</v>
      </c>
      <c r="O5" s="29">
        <v>365068.42</v>
      </c>
      <c r="P5" s="29">
        <v>338745.97</v>
      </c>
      <c r="Q5" s="29">
        <v>82570</v>
      </c>
      <c r="R5" s="29">
        <v>34582</v>
      </c>
      <c r="S5" s="11" t="s">
        <v>58</v>
      </c>
      <c r="T5" s="11" t="s">
        <v>14</v>
      </c>
      <c r="U5" s="29">
        <v>35000</v>
      </c>
      <c r="V5" s="29">
        <f>Table1[[#This Row],[STAB]]-Table1[[#This Row],[AMOUNT]]</f>
        <v>-418</v>
      </c>
      <c r="W5" s="11" t="s">
        <v>800</v>
      </c>
      <c r="X5" s="11" t="s">
        <v>444</v>
      </c>
      <c r="Y5" s="11" t="s">
        <v>760</v>
      </c>
      <c r="Z5" s="11" t="s">
        <v>88</v>
      </c>
      <c r="AA5" s="11" t="s">
        <v>91</v>
      </c>
      <c r="AB5" s="11" t="s">
        <v>3139</v>
      </c>
      <c r="AC5" s="11" t="s">
        <v>367</v>
      </c>
      <c r="AD5" s="11" t="s">
        <v>405</v>
      </c>
      <c r="AE5" s="11" t="s">
        <v>427</v>
      </c>
      <c r="AF5" s="11" t="s">
        <v>53</v>
      </c>
      <c r="AG5" s="11" t="s">
        <v>114</v>
      </c>
      <c r="AH5" s="11" t="s">
        <v>468</v>
      </c>
      <c r="AI5" s="11">
        <v>802030802</v>
      </c>
      <c r="AJ5" s="11" t="s">
        <v>458</v>
      </c>
      <c r="AK5" s="11"/>
      <c r="AL5" s="11"/>
      <c r="AM5" s="12" t="s">
        <v>64</v>
      </c>
      <c r="AN5" s="11" t="s">
        <v>115</v>
      </c>
      <c r="AO5" s="11" t="s">
        <v>631</v>
      </c>
      <c r="AP5" s="11" t="s">
        <v>629</v>
      </c>
      <c r="AQ5" s="3">
        <v>46111</v>
      </c>
      <c r="AR5" s="11">
        <v>36000</v>
      </c>
      <c r="AS5" s="11" t="s">
        <v>430</v>
      </c>
      <c r="AT5" s="11" t="s">
        <v>438</v>
      </c>
      <c r="AU5" s="2">
        <v>46162</v>
      </c>
    </row>
    <row r="6" spans="1:47" x14ac:dyDescent="0.25">
      <c r="A6" s="10" t="s">
        <v>160</v>
      </c>
      <c r="B6" s="11" t="s">
        <v>166</v>
      </c>
      <c r="C6" s="11">
        <v>0</v>
      </c>
      <c r="D6" s="11" t="s">
        <v>108</v>
      </c>
      <c r="E6" s="11"/>
      <c r="F6" s="11"/>
      <c r="G6" s="11" t="s">
        <v>52</v>
      </c>
      <c r="H6" s="11">
        <v>2</v>
      </c>
      <c r="I6" s="11" t="s">
        <v>172</v>
      </c>
      <c r="J6" s="11" t="s">
        <v>42</v>
      </c>
      <c r="K6" s="11">
        <f>Table1[[#This Row],[ENR]]-Table1[[#This Row],[CREDIT]]</f>
        <v>19541.330000000016</v>
      </c>
      <c r="L6" s="11">
        <v>400000</v>
      </c>
      <c r="M6" s="30">
        <v>419541.33</v>
      </c>
      <c r="N6" s="29">
        <v>24477.11</v>
      </c>
      <c r="O6" s="29">
        <v>365315.02</v>
      </c>
      <c r="P6" s="29">
        <v>338863.93</v>
      </c>
      <c r="Q6" s="29">
        <v>96650</v>
      </c>
      <c r="R6" s="29">
        <v>41690</v>
      </c>
      <c r="S6" s="11" t="s">
        <v>58</v>
      </c>
      <c r="T6" s="11" t="s">
        <v>13</v>
      </c>
      <c r="U6" s="11">
        <v>365315.02</v>
      </c>
      <c r="V6" s="29">
        <f>Table1[[#This Row],[STAB]]-Table1[[#This Row],[AMOUNT]]</f>
        <v>-323625.02</v>
      </c>
      <c r="W6" s="11" t="s">
        <v>1497</v>
      </c>
      <c r="X6" s="11" t="s">
        <v>451</v>
      </c>
      <c r="Y6" s="11" t="s">
        <v>760</v>
      </c>
      <c r="Z6" s="11" t="s">
        <v>88</v>
      </c>
      <c r="AA6" s="11" t="s">
        <v>91</v>
      </c>
      <c r="AB6" s="11" t="s">
        <v>3139</v>
      </c>
      <c r="AC6" s="11" t="s">
        <v>178</v>
      </c>
      <c r="AD6" s="11" t="s">
        <v>184</v>
      </c>
      <c r="AE6" s="11" t="s">
        <v>133</v>
      </c>
      <c r="AF6" s="11" t="s">
        <v>54</v>
      </c>
      <c r="AG6" s="11" t="s">
        <v>62</v>
      </c>
      <c r="AH6" s="11" t="s">
        <v>85</v>
      </c>
      <c r="AI6" s="11">
        <v>801772794</v>
      </c>
      <c r="AJ6" s="11" t="s">
        <v>192</v>
      </c>
      <c r="AK6" s="11"/>
      <c r="AL6" s="11"/>
      <c r="AM6" s="12" t="s">
        <v>64</v>
      </c>
      <c r="AN6" s="11" t="s">
        <v>115</v>
      </c>
      <c r="AO6" s="11" t="s">
        <v>1082</v>
      </c>
      <c r="AP6" s="11" t="s">
        <v>800</v>
      </c>
      <c r="AQ6" s="3">
        <v>45892</v>
      </c>
      <c r="AR6" s="11">
        <v>20449</v>
      </c>
      <c r="AS6" s="11" t="s">
        <v>47</v>
      </c>
      <c r="AT6" s="11" t="s">
        <v>187</v>
      </c>
      <c r="AU6" s="2">
        <v>46162</v>
      </c>
    </row>
    <row r="7" spans="1:47" x14ac:dyDescent="0.25">
      <c r="A7" s="10" t="s">
        <v>158</v>
      </c>
      <c r="B7" s="11" t="s">
        <v>164</v>
      </c>
      <c r="C7" s="11">
        <v>0</v>
      </c>
      <c r="D7" s="11" t="s">
        <v>108</v>
      </c>
      <c r="E7" s="11"/>
      <c r="F7" s="11"/>
      <c r="G7" s="11" t="s">
        <v>52</v>
      </c>
      <c r="H7" s="11">
        <v>2</v>
      </c>
      <c r="I7" s="11" t="s">
        <v>170</v>
      </c>
      <c r="J7" s="11" t="s">
        <v>42</v>
      </c>
      <c r="K7" s="11">
        <f>Table1[[#This Row],[ENR]]-Table1[[#This Row],[CREDIT]]</f>
        <v>-81918.700000000012</v>
      </c>
      <c r="L7" s="11">
        <v>500000</v>
      </c>
      <c r="M7" s="30">
        <v>418081.3</v>
      </c>
      <c r="N7" s="29">
        <v>13095.49</v>
      </c>
      <c r="O7" s="29">
        <v>95976.82</v>
      </c>
      <c r="P7" s="29">
        <v>84768.9</v>
      </c>
      <c r="Q7" s="29">
        <v>40750</v>
      </c>
      <c r="R7" s="29">
        <v>16730</v>
      </c>
      <c r="S7" s="11" t="s">
        <v>44</v>
      </c>
      <c r="T7" s="11" t="s">
        <v>45</v>
      </c>
      <c r="U7" s="11">
        <v>0</v>
      </c>
      <c r="V7" s="29">
        <f>Table1[[#This Row],[STAB]]-Table1[[#This Row],[AMOUNT]]</f>
        <v>16730</v>
      </c>
      <c r="W7" s="11">
        <v>0</v>
      </c>
      <c r="X7" s="11" t="s">
        <v>83</v>
      </c>
      <c r="Y7" s="11">
        <v>0</v>
      </c>
      <c r="Z7" s="11" t="s">
        <v>88</v>
      </c>
      <c r="AA7" s="11" t="s">
        <v>91</v>
      </c>
      <c r="AB7" s="11" t="s">
        <v>3139</v>
      </c>
      <c r="AC7" s="11" t="s">
        <v>176</v>
      </c>
      <c r="AD7" s="11" t="s">
        <v>182</v>
      </c>
      <c r="AE7" s="11" t="s">
        <v>103</v>
      </c>
      <c r="AF7" s="11" t="s">
        <v>53</v>
      </c>
      <c r="AG7" s="11" t="s">
        <v>188</v>
      </c>
      <c r="AH7" s="11" t="s">
        <v>194</v>
      </c>
      <c r="AI7" s="11">
        <v>802823180</v>
      </c>
      <c r="AJ7" s="11" t="s">
        <v>191</v>
      </c>
      <c r="AK7" s="11"/>
      <c r="AL7" s="11"/>
      <c r="AM7" s="12" t="s">
        <v>64</v>
      </c>
      <c r="AN7" s="11" t="s">
        <v>219</v>
      </c>
      <c r="AO7" s="11" t="s">
        <v>1512</v>
      </c>
      <c r="AP7" s="11" t="s">
        <v>1497</v>
      </c>
      <c r="AQ7" s="3" t="s">
        <v>43</v>
      </c>
      <c r="AR7" s="11">
        <v>0</v>
      </c>
      <c r="AS7" s="11" t="s">
        <v>126</v>
      </c>
      <c r="AT7" s="11" t="s">
        <v>187</v>
      </c>
      <c r="AU7" s="2">
        <v>46162</v>
      </c>
    </row>
    <row r="8" spans="1:47" x14ac:dyDescent="0.25">
      <c r="A8" s="10" t="s">
        <v>234</v>
      </c>
      <c r="B8" s="11" t="s">
        <v>272</v>
      </c>
      <c r="C8" s="11">
        <v>0</v>
      </c>
      <c r="D8" s="11" t="s">
        <v>108</v>
      </c>
      <c r="E8" s="11"/>
      <c r="F8" s="11"/>
      <c r="G8" s="11" t="s">
        <v>52</v>
      </c>
      <c r="H8" s="11">
        <v>2</v>
      </c>
      <c r="I8" s="11" t="s">
        <v>310</v>
      </c>
      <c r="J8" s="11" t="s">
        <v>42</v>
      </c>
      <c r="K8" s="11">
        <f>Table1[[#This Row],[ENR]]-Table1[[#This Row],[CREDIT]]</f>
        <v>19987.520000000019</v>
      </c>
      <c r="L8" s="11">
        <v>380000</v>
      </c>
      <c r="M8" s="30">
        <v>399987.52</v>
      </c>
      <c r="N8" s="29">
        <v>276512.86</v>
      </c>
      <c r="O8" s="29">
        <v>123474.66</v>
      </c>
      <c r="P8" s="29">
        <v>108698.56</v>
      </c>
      <c r="Q8" s="29">
        <v>86930</v>
      </c>
      <c r="R8" s="29">
        <v>38880</v>
      </c>
      <c r="S8" s="11" t="s">
        <v>44</v>
      </c>
      <c r="T8" s="11" t="s">
        <v>45</v>
      </c>
      <c r="U8" s="11">
        <v>0</v>
      </c>
      <c r="V8" s="29">
        <f>Table1[[#This Row],[STAB]]-Table1[[#This Row],[AMOUNT]]</f>
        <v>38880</v>
      </c>
      <c r="W8" s="11">
        <v>0</v>
      </c>
      <c r="X8" s="11" t="s">
        <v>83</v>
      </c>
      <c r="Y8" s="11">
        <v>0</v>
      </c>
      <c r="Z8" s="11" t="s">
        <v>88</v>
      </c>
      <c r="AA8" s="11" t="s">
        <v>91</v>
      </c>
      <c r="AB8" s="11" t="s">
        <v>3139</v>
      </c>
      <c r="AC8" s="11" t="s">
        <v>349</v>
      </c>
      <c r="AD8" s="11" t="s">
        <v>387</v>
      </c>
      <c r="AE8" s="11" t="s">
        <v>420</v>
      </c>
      <c r="AF8" s="11" t="s">
        <v>54</v>
      </c>
      <c r="AG8" s="11" t="s">
        <v>120</v>
      </c>
      <c r="AH8" s="11" t="s">
        <v>463</v>
      </c>
      <c r="AI8" s="11">
        <v>802898520</v>
      </c>
      <c r="AJ8" s="11" t="s">
        <v>190</v>
      </c>
      <c r="AK8" s="11"/>
      <c r="AL8" s="11"/>
      <c r="AM8" s="12" t="s">
        <v>64</v>
      </c>
      <c r="AN8" s="11" t="s">
        <v>221</v>
      </c>
      <c r="AO8" s="11" t="s">
        <v>638</v>
      </c>
      <c r="AP8" s="11" t="s">
        <v>629</v>
      </c>
      <c r="AQ8" s="3">
        <v>46044</v>
      </c>
      <c r="AR8" s="11">
        <v>6985</v>
      </c>
      <c r="AS8" s="11" t="s">
        <v>48</v>
      </c>
      <c r="AT8" s="11" t="s">
        <v>438</v>
      </c>
      <c r="AU8" s="2">
        <v>46162</v>
      </c>
    </row>
    <row r="9" spans="1:47" x14ac:dyDescent="0.25">
      <c r="A9" s="10" t="s">
        <v>156</v>
      </c>
      <c r="B9" s="11" t="s">
        <v>162</v>
      </c>
      <c r="C9" s="11">
        <v>0</v>
      </c>
      <c r="D9" s="11" t="s">
        <v>108</v>
      </c>
      <c r="E9" s="11"/>
      <c r="F9" s="11"/>
      <c r="G9" s="11" t="s">
        <v>52</v>
      </c>
      <c r="H9" s="11">
        <v>2</v>
      </c>
      <c r="I9" s="11" t="s">
        <v>168</v>
      </c>
      <c r="J9" s="11" t="s">
        <v>42</v>
      </c>
      <c r="K9" s="11">
        <f>Table1[[#This Row],[ENR]]-Table1[[#This Row],[CREDIT]]</f>
        <v>-108274.59999999998</v>
      </c>
      <c r="L9" s="43">
        <v>490000</v>
      </c>
      <c r="M9" s="30">
        <v>381725.4</v>
      </c>
      <c r="N9" s="44">
        <v>19943.52</v>
      </c>
      <c r="O9" s="29">
        <v>61278.32</v>
      </c>
      <c r="P9" s="29">
        <v>48548.05</v>
      </c>
      <c r="Q9" s="29">
        <v>60870</v>
      </c>
      <c r="R9" s="29">
        <v>35070</v>
      </c>
      <c r="S9" s="11" t="s">
        <v>58</v>
      </c>
      <c r="T9" s="11" t="s">
        <v>13</v>
      </c>
      <c r="U9" s="11">
        <v>61278.32</v>
      </c>
      <c r="V9" s="29">
        <f>Table1[[#This Row],[STAB]]-Table1[[#This Row],[AMOUNT]]</f>
        <v>-26208.32</v>
      </c>
      <c r="W9" s="11" t="s">
        <v>639</v>
      </c>
      <c r="X9" s="11" t="s">
        <v>451</v>
      </c>
      <c r="Y9" s="11" t="s">
        <v>760</v>
      </c>
      <c r="Z9" s="11" t="s">
        <v>88</v>
      </c>
      <c r="AA9" s="11" t="s">
        <v>91</v>
      </c>
      <c r="AB9" s="11" t="s">
        <v>3139</v>
      </c>
      <c r="AC9" s="11" t="s">
        <v>174</v>
      </c>
      <c r="AD9" s="11" t="s">
        <v>180</v>
      </c>
      <c r="AE9" s="11" t="s">
        <v>100</v>
      </c>
      <c r="AF9" s="11" t="s">
        <v>54</v>
      </c>
      <c r="AG9" s="11" t="s">
        <v>59</v>
      </c>
      <c r="AH9" s="11" t="s">
        <v>193</v>
      </c>
      <c r="AI9" s="11">
        <v>802824019</v>
      </c>
      <c r="AJ9" s="11" t="s">
        <v>189</v>
      </c>
      <c r="AK9" s="11"/>
      <c r="AL9" s="11"/>
      <c r="AM9" s="12" t="s">
        <v>64</v>
      </c>
      <c r="AN9" s="11" t="s">
        <v>221</v>
      </c>
      <c r="AO9" s="11" t="s">
        <v>449</v>
      </c>
      <c r="AP9" s="11" t="s">
        <v>443</v>
      </c>
      <c r="AQ9" s="3">
        <v>46097</v>
      </c>
      <c r="AR9" s="11">
        <v>10038.27</v>
      </c>
      <c r="AS9" s="11" t="s">
        <v>126</v>
      </c>
      <c r="AT9" s="11" t="s">
        <v>187</v>
      </c>
      <c r="AU9" s="2">
        <v>46162</v>
      </c>
    </row>
    <row r="10" spans="1:47" x14ac:dyDescent="0.25">
      <c r="A10" s="10" t="s">
        <v>250</v>
      </c>
      <c r="B10" s="11" t="s">
        <v>288</v>
      </c>
      <c r="C10" s="11">
        <v>0</v>
      </c>
      <c r="D10" s="11" t="s">
        <v>108</v>
      </c>
      <c r="E10" s="11"/>
      <c r="F10" s="11"/>
      <c r="G10" s="11" t="s">
        <v>52</v>
      </c>
      <c r="H10" s="11">
        <v>2</v>
      </c>
      <c r="I10" s="11" t="s">
        <v>326</v>
      </c>
      <c r="J10" s="11" t="s">
        <v>42</v>
      </c>
      <c r="K10" s="11">
        <f>Table1[[#This Row],[ENR]]-Table1[[#This Row],[CREDIT]]</f>
        <v>-97475.94</v>
      </c>
      <c r="L10" s="43">
        <v>450000</v>
      </c>
      <c r="M10" s="30">
        <v>352524.06</v>
      </c>
      <c r="N10" s="44">
        <v>67864.38</v>
      </c>
      <c r="O10" s="29">
        <v>284659.68</v>
      </c>
      <c r="P10" s="29">
        <v>268204.67</v>
      </c>
      <c r="Q10" s="29">
        <v>57970</v>
      </c>
      <c r="R10" s="29">
        <v>20260</v>
      </c>
      <c r="S10" s="11" t="s">
        <v>58</v>
      </c>
      <c r="T10" s="11" t="s">
        <v>14</v>
      </c>
      <c r="U10" s="29">
        <v>20270</v>
      </c>
      <c r="V10" s="29">
        <f>Table1[[#This Row],[STAB]]-Table1[[#This Row],[AMOUNT]]</f>
        <v>-10</v>
      </c>
      <c r="W10" s="11" t="s">
        <v>800</v>
      </c>
      <c r="X10" s="11" t="s">
        <v>451</v>
      </c>
      <c r="Y10" s="11" t="s">
        <v>760</v>
      </c>
      <c r="Z10" s="11" t="s">
        <v>88</v>
      </c>
      <c r="AA10" s="11" t="s">
        <v>91</v>
      </c>
      <c r="AB10" s="11" t="s">
        <v>3139</v>
      </c>
      <c r="AC10" s="11" t="s">
        <v>365</v>
      </c>
      <c r="AD10" s="11" t="s">
        <v>403</v>
      </c>
      <c r="AE10" s="11" t="s">
        <v>92</v>
      </c>
      <c r="AF10" s="11" t="s">
        <v>54</v>
      </c>
      <c r="AG10" s="11" t="s">
        <v>149</v>
      </c>
      <c r="AH10" s="11" t="s">
        <v>197</v>
      </c>
      <c r="AI10" s="11">
        <v>802370852</v>
      </c>
      <c r="AJ10" s="11" t="s">
        <v>191</v>
      </c>
      <c r="AK10" s="11"/>
      <c r="AL10" s="11"/>
      <c r="AM10" s="12" t="s">
        <v>64</v>
      </c>
      <c r="AN10" s="11" t="s">
        <v>219</v>
      </c>
      <c r="AO10" s="11" t="s">
        <v>640</v>
      </c>
      <c r="AP10" s="11" t="s">
        <v>639</v>
      </c>
      <c r="AQ10" s="3" t="s">
        <v>43</v>
      </c>
      <c r="AR10" s="11">
        <v>0</v>
      </c>
      <c r="AS10" s="11" t="s">
        <v>48</v>
      </c>
      <c r="AT10" s="11" t="s">
        <v>438</v>
      </c>
      <c r="AU10" s="2">
        <v>46162</v>
      </c>
    </row>
    <row r="11" spans="1:47" x14ac:dyDescent="0.25">
      <c r="A11" s="10" t="s">
        <v>157</v>
      </c>
      <c r="B11" s="11" t="s">
        <v>163</v>
      </c>
      <c r="C11" s="11">
        <v>0</v>
      </c>
      <c r="D11" s="11" t="s">
        <v>108</v>
      </c>
      <c r="E11" s="11"/>
      <c r="F11" s="11" t="s">
        <v>440</v>
      </c>
      <c r="G11" s="11" t="s">
        <v>52</v>
      </c>
      <c r="H11" s="11">
        <v>2</v>
      </c>
      <c r="I11" s="11" t="s">
        <v>169</v>
      </c>
      <c r="J11" s="11" t="s">
        <v>42</v>
      </c>
      <c r="K11" s="11">
        <f>Table1[[#This Row],[ENR]]-Table1[[#This Row],[CREDIT]]</f>
        <v>-113721.46000000002</v>
      </c>
      <c r="L11" s="43">
        <v>460000</v>
      </c>
      <c r="M11" s="30">
        <v>346278.54</v>
      </c>
      <c r="N11" s="44">
        <v>19515.439999999999</v>
      </c>
      <c r="O11" s="29">
        <v>97324.58</v>
      </c>
      <c r="P11" s="29">
        <v>89831.16</v>
      </c>
      <c r="Q11" s="29">
        <v>51790</v>
      </c>
      <c r="R11" s="29">
        <v>23460</v>
      </c>
      <c r="S11" s="11" t="s">
        <v>58</v>
      </c>
      <c r="T11" s="11" t="s">
        <v>14</v>
      </c>
      <c r="U11" s="29">
        <v>23500</v>
      </c>
      <c r="V11" s="29">
        <f>Table1[[#This Row],[STAB]]-Table1[[#This Row],[AMOUNT]]</f>
        <v>-40</v>
      </c>
      <c r="W11" s="11" t="s">
        <v>796</v>
      </c>
      <c r="X11" s="11" t="s">
        <v>444</v>
      </c>
      <c r="Y11" s="11" t="s">
        <v>760</v>
      </c>
      <c r="Z11" s="11" t="s">
        <v>88</v>
      </c>
      <c r="AA11" s="11" t="s">
        <v>91</v>
      </c>
      <c r="AB11" s="11" t="s">
        <v>3139</v>
      </c>
      <c r="AC11" s="11" t="s">
        <v>175</v>
      </c>
      <c r="AD11" s="11" t="s">
        <v>181</v>
      </c>
      <c r="AE11" s="11" t="s">
        <v>148</v>
      </c>
      <c r="AF11" s="11" t="s">
        <v>84</v>
      </c>
      <c r="AG11" s="11" t="s">
        <v>749</v>
      </c>
      <c r="AH11" s="11" t="s">
        <v>193</v>
      </c>
      <c r="AI11" s="11">
        <v>802824019</v>
      </c>
      <c r="AJ11" s="11" t="s">
        <v>189</v>
      </c>
      <c r="AK11" s="11"/>
      <c r="AL11" s="11"/>
      <c r="AM11" s="12" t="s">
        <v>64</v>
      </c>
      <c r="AN11" s="11" t="s">
        <v>219</v>
      </c>
      <c r="AO11" s="11" t="s">
        <v>641</v>
      </c>
      <c r="AP11" s="11" t="s">
        <v>639</v>
      </c>
      <c r="AQ11" s="3" t="s">
        <v>43</v>
      </c>
      <c r="AR11" s="11">
        <v>0</v>
      </c>
      <c r="AS11" s="11" t="s">
        <v>144</v>
      </c>
      <c r="AT11" s="11" t="s">
        <v>187</v>
      </c>
      <c r="AU11" s="2">
        <v>46162</v>
      </c>
    </row>
    <row r="12" spans="1:47" x14ac:dyDescent="0.25">
      <c r="A12" s="45" t="s">
        <v>159</v>
      </c>
      <c r="B12" s="12" t="s">
        <v>165</v>
      </c>
      <c r="C12" s="11">
        <v>0</v>
      </c>
      <c r="D12" s="11" t="s">
        <v>108</v>
      </c>
      <c r="E12" s="11">
        <v>1</v>
      </c>
      <c r="F12" s="11"/>
      <c r="G12" s="11" t="s">
        <v>52</v>
      </c>
      <c r="H12" s="12">
        <v>2</v>
      </c>
      <c r="I12" s="12" t="s">
        <v>171</v>
      </c>
      <c r="J12" s="12" t="s">
        <v>42</v>
      </c>
      <c r="K12" s="12">
        <f>Table1[[#This Row],[ENR]]-Table1[[#This Row],[CREDIT]]</f>
        <v>18974.349999999977</v>
      </c>
      <c r="L12" s="46">
        <v>291000</v>
      </c>
      <c r="M12" s="47">
        <v>309974.34999999998</v>
      </c>
      <c r="N12" s="48" t="s">
        <v>43</v>
      </c>
      <c r="O12" s="49">
        <v>309974.34999999998</v>
      </c>
      <c r="P12" s="49">
        <v>295222.05</v>
      </c>
      <c r="Q12" s="29">
        <v>49090</v>
      </c>
      <c r="R12" s="29">
        <v>12070</v>
      </c>
      <c r="S12" s="11" t="s">
        <v>44</v>
      </c>
      <c r="T12" s="11" t="s">
        <v>45</v>
      </c>
      <c r="U12" s="11">
        <v>0</v>
      </c>
      <c r="V12" s="49">
        <f>Table1[[#This Row],[STAB]]-Table1[[#This Row],[AMOUNT]]</f>
        <v>12070</v>
      </c>
      <c r="W12" s="11">
        <v>0</v>
      </c>
      <c r="X12" s="11" t="s">
        <v>83</v>
      </c>
      <c r="Y12" s="11">
        <v>0</v>
      </c>
      <c r="Z12" s="11" t="s">
        <v>88</v>
      </c>
      <c r="AA12" s="12" t="s">
        <v>91</v>
      </c>
      <c r="AB12" s="12" t="s">
        <v>3139</v>
      </c>
      <c r="AC12" s="12" t="s">
        <v>177</v>
      </c>
      <c r="AD12" s="12" t="s">
        <v>183</v>
      </c>
      <c r="AE12" s="12" t="s">
        <v>92</v>
      </c>
      <c r="AF12" s="12" t="s">
        <v>54</v>
      </c>
      <c r="AG12" s="12" t="s">
        <v>61</v>
      </c>
      <c r="AH12" s="11" t="s">
        <v>195</v>
      </c>
      <c r="AI12" s="12">
        <v>802551967</v>
      </c>
      <c r="AJ12" s="12" t="s">
        <v>99</v>
      </c>
      <c r="AK12" s="12"/>
      <c r="AL12" s="12"/>
      <c r="AM12" s="12" t="s">
        <v>64</v>
      </c>
      <c r="AN12" s="12" t="s">
        <v>219</v>
      </c>
      <c r="AO12" s="12" t="s">
        <v>442</v>
      </c>
      <c r="AP12" s="12" t="s">
        <v>220</v>
      </c>
      <c r="AQ12" s="50">
        <v>46104</v>
      </c>
      <c r="AR12" s="12">
        <v>51998</v>
      </c>
      <c r="AS12" s="12" t="s">
        <v>48</v>
      </c>
      <c r="AT12" s="11" t="s">
        <v>187</v>
      </c>
      <c r="AU12" s="51">
        <v>46162</v>
      </c>
    </row>
    <row r="13" spans="1:47" x14ac:dyDescent="0.25">
      <c r="A13" s="45" t="s">
        <v>255</v>
      </c>
      <c r="B13" s="12" t="s">
        <v>293</v>
      </c>
      <c r="C13" s="11">
        <v>0</v>
      </c>
      <c r="D13" s="11" t="s">
        <v>108</v>
      </c>
      <c r="E13" s="11"/>
      <c r="F13" s="11"/>
      <c r="G13" s="11" t="s">
        <v>52</v>
      </c>
      <c r="H13" s="12">
        <v>2</v>
      </c>
      <c r="I13" s="12" t="s">
        <v>331</v>
      </c>
      <c r="J13" s="12" t="s">
        <v>42</v>
      </c>
      <c r="K13" s="12">
        <f>Table1[[#This Row],[ENR]]-Table1[[#This Row],[CREDIT]]</f>
        <v>20903.200000000012</v>
      </c>
      <c r="L13" s="46">
        <v>280000</v>
      </c>
      <c r="M13" s="47">
        <v>300903.2</v>
      </c>
      <c r="N13" s="48">
        <v>69394.070000000007</v>
      </c>
      <c r="O13" s="49">
        <v>231509.13</v>
      </c>
      <c r="P13" s="49">
        <v>200448.25</v>
      </c>
      <c r="Q13" s="29">
        <v>99200</v>
      </c>
      <c r="R13" s="29">
        <v>69100</v>
      </c>
      <c r="S13" s="11" t="s">
        <v>58</v>
      </c>
      <c r="T13" s="11" t="s">
        <v>13</v>
      </c>
      <c r="U13" s="11">
        <v>231509.13</v>
      </c>
      <c r="V13" s="49">
        <f>Table1[[#This Row],[STAB]]-Table1[[#This Row],[AMOUNT]]</f>
        <v>-162409.13</v>
      </c>
      <c r="W13" s="11" t="s">
        <v>800</v>
      </c>
      <c r="X13" s="11" t="s">
        <v>444</v>
      </c>
      <c r="Y13" s="11" t="s">
        <v>760</v>
      </c>
      <c r="Z13" s="12" t="s">
        <v>88</v>
      </c>
      <c r="AA13" s="12" t="s">
        <v>91</v>
      </c>
      <c r="AB13" s="12" t="s">
        <v>3139</v>
      </c>
      <c r="AC13" s="12" t="s">
        <v>370</v>
      </c>
      <c r="AD13" s="12" t="s">
        <v>408</v>
      </c>
      <c r="AE13" s="12" t="s">
        <v>413</v>
      </c>
      <c r="AF13" s="12" t="s">
        <v>54</v>
      </c>
      <c r="AG13" s="12" t="s">
        <v>146</v>
      </c>
      <c r="AH13" s="11" t="s">
        <v>459</v>
      </c>
      <c r="AI13" s="12">
        <v>802789320</v>
      </c>
      <c r="AJ13" s="12" t="s">
        <v>190</v>
      </c>
      <c r="AK13" s="12"/>
      <c r="AL13" s="12"/>
      <c r="AM13" s="12" t="s">
        <v>64</v>
      </c>
      <c r="AN13" s="12" t="s">
        <v>221</v>
      </c>
      <c r="AO13" s="12" t="s">
        <v>1494</v>
      </c>
      <c r="AP13" s="12" t="s">
        <v>800</v>
      </c>
      <c r="AQ13" s="50">
        <v>45897</v>
      </c>
      <c r="AR13" s="12">
        <v>18280</v>
      </c>
      <c r="AS13" s="12" t="s">
        <v>48</v>
      </c>
      <c r="AT13" s="12" t="s">
        <v>438</v>
      </c>
      <c r="AU13" s="51">
        <v>46162</v>
      </c>
    </row>
    <row r="14" spans="1:47" x14ac:dyDescent="0.25">
      <c r="A14" s="10" t="s">
        <v>251</v>
      </c>
      <c r="B14" s="11" t="s">
        <v>289</v>
      </c>
      <c r="C14" s="11">
        <v>0</v>
      </c>
      <c r="D14" s="11" t="s">
        <v>108</v>
      </c>
      <c r="E14" s="11">
        <v>1</v>
      </c>
      <c r="F14" s="11"/>
      <c r="G14" s="11" t="s">
        <v>52</v>
      </c>
      <c r="H14" s="11">
        <v>2</v>
      </c>
      <c r="I14" s="11" t="s">
        <v>327</v>
      </c>
      <c r="J14" s="11" t="s">
        <v>42</v>
      </c>
      <c r="K14" s="11">
        <f>Table1[[#This Row],[ENR]]-Table1[[#This Row],[CREDIT]]</f>
        <v>22513.049999999988</v>
      </c>
      <c r="L14" s="43">
        <v>270000</v>
      </c>
      <c r="M14" s="30">
        <v>292513.05</v>
      </c>
      <c r="N14" s="44" t="s">
        <v>43</v>
      </c>
      <c r="O14" s="29">
        <v>292513.05</v>
      </c>
      <c r="P14" s="29">
        <v>274524.14</v>
      </c>
      <c r="Q14" s="29">
        <v>63180</v>
      </c>
      <c r="R14" s="29">
        <v>23800</v>
      </c>
      <c r="S14" s="11" t="s">
        <v>44</v>
      </c>
      <c r="T14" s="11" t="s">
        <v>45</v>
      </c>
      <c r="U14" s="11">
        <v>0</v>
      </c>
      <c r="V14" s="29">
        <f>Table1[[#This Row],[STAB]]-Table1[[#This Row],[AMOUNT]]</f>
        <v>23800</v>
      </c>
      <c r="W14" s="11">
        <v>0</v>
      </c>
      <c r="X14" s="11" t="s">
        <v>83</v>
      </c>
      <c r="Y14" s="11">
        <v>0</v>
      </c>
      <c r="Z14" s="12" t="s">
        <v>88</v>
      </c>
      <c r="AA14" s="12" t="s">
        <v>91</v>
      </c>
      <c r="AB14" s="11" t="s">
        <v>3139</v>
      </c>
      <c r="AC14" s="11" t="s">
        <v>366</v>
      </c>
      <c r="AD14" s="11" t="s">
        <v>404</v>
      </c>
      <c r="AE14" s="11" t="s">
        <v>426</v>
      </c>
      <c r="AF14" s="11" t="s">
        <v>439</v>
      </c>
      <c r="AG14" s="11" t="s">
        <v>63</v>
      </c>
      <c r="AH14" s="11" t="s">
        <v>467</v>
      </c>
      <c r="AI14" s="11">
        <v>801570488</v>
      </c>
      <c r="AJ14" s="11" t="s">
        <v>190</v>
      </c>
      <c r="AK14" s="11"/>
      <c r="AL14" s="11"/>
      <c r="AM14" s="12" t="s">
        <v>64</v>
      </c>
      <c r="AN14" s="11" t="s">
        <v>446</v>
      </c>
      <c r="AO14" s="11" t="s">
        <v>635</v>
      </c>
      <c r="AP14" s="11" t="s">
        <v>629</v>
      </c>
      <c r="AQ14" s="3">
        <v>46078</v>
      </c>
      <c r="AR14" s="11">
        <v>85000</v>
      </c>
      <c r="AS14" s="11" t="s">
        <v>430</v>
      </c>
      <c r="AT14" s="12" t="s">
        <v>438</v>
      </c>
      <c r="AU14" s="2">
        <v>46162</v>
      </c>
    </row>
    <row r="15" spans="1:47" x14ac:dyDescent="0.25">
      <c r="A15" s="10" t="s">
        <v>249</v>
      </c>
      <c r="B15" s="11" t="s">
        <v>287</v>
      </c>
      <c r="C15" s="11">
        <v>0</v>
      </c>
      <c r="D15" s="11" t="s">
        <v>108</v>
      </c>
      <c r="E15" s="11"/>
      <c r="F15" s="11"/>
      <c r="G15" s="11" t="s">
        <v>52</v>
      </c>
      <c r="H15" s="11">
        <v>2</v>
      </c>
      <c r="I15" s="11" t="s">
        <v>325</v>
      </c>
      <c r="J15" s="11" t="s">
        <v>42</v>
      </c>
      <c r="K15" s="11">
        <f>Table1[[#This Row],[ENR]]-Table1[[#This Row],[CREDIT]]</f>
        <v>15340.380000000005</v>
      </c>
      <c r="L15" s="43">
        <v>250000</v>
      </c>
      <c r="M15" s="30">
        <v>265340.38</v>
      </c>
      <c r="N15" s="44" t="s">
        <v>43</v>
      </c>
      <c r="O15" s="29">
        <v>265340.38</v>
      </c>
      <c r="P15" s="29">
        <v>244674.45</v>
      </c>
      <c r="Q15" s="29">
        <v>61550</v>
      </c>
      <c r="R15" s="29">
        <v>34380</v>
      </c>
      <c r="S15" s="11" t="s">
        <v>58</v>
      </c>
      <c r="T15" s="11" t="s">
        <v>14</v>
      </c>
      <c r="U15" s="29">
        <v>34400</v>
      </c>
      <c r="V15" s="29">
        <f>Table1[[#This Row],[STAB]]-Table1[[#This Row],[AMOUNT]]</f>
        <v>-20</v>
      </c>
      <c r="W15" s="11" t="s">
        <v>756</v>
      </c>
      <c r="X15" s="11" t="s">
        <v>444</v>
      </c>
      <c r="Y15" s="11" t="s">
        <v>760</v>
      </c>
      <c r="Z15" s="12" t="s">
        <v>88</v>
      </c>
      <c r="AA15" s="12" t="s">
        <v>91</v>
      </c>
      <c r="AB15" s="11" t="s">
        <v>3139</v>
      </c>
      <c r="AC15" s="11" t="s">
        <v>364</v>
      </c>
      <c r="AD15" s="11" t="s">
        <v>402</v>
      </c>
      <c r="AE15" s="11" t="s">
        <v>103</v>
      </c>
      <c r="AF15" s="11" t="s">
        <v>53</v>
      </c>
      <c r="AG15" s="11" t="s">
        <v>188</v>
      </c>
      <c r="AH15" s="11" t="s">
        <v>194</v>
      </c>
      <c r="AI15" s="11">
        <v>802823180</v>
      </c>
      <c r="AJ15" s="11" t="s">
        <v>191</v>
      </c>
      <c r="AK15" s="11"/>
      <c r="AL15" s="11"/>
      <c r="AM15" s="12" t="s">
        <v>64</v>
      </c>
      <c r="AN15" s="11" t="s">
        <v>115</v>
      </c>
      <c r="AO15" s="11" t="s">
        <v>636</v>
      </c>
      <c r="AP15" s="11" t="s">
        <v>629</v>
      </c>
      <c r="AQ15" s="3">
        <v>46079</v>
      </c>
      <c r="AR15" s="11">
        <v>235513.24</v>
      </c>
      <c r="AS15" s="11" t="s">
        <v>48</v>
      </c>
      <c r="AT15" s="12" t="s">
        <v>438</v>
      </c>
      <c r="AU15" s="2">
        <v>46162</v>
      </c>
    </row>
    <row r="16" spans="1:47" x14ac:dyDescent="0.25">
      <c r="A16" s="10" t="s">
        <v>248</v>
      </c>
      <c r="B16" s="11" t="s">
        <v>286</v>
      </c>
      <c r="C16" s="11">
        <v>0</v>
      </c>
      <c r="D16" s="11" t="s">
        <v>108</v>
      </c>
      <c r="E16" s="11"/>
      <c r="F16" s="11"/>
      <c r="G16" s="11" t="s">
        <v>52</v>
      </c>
      <c r="H16" s="11">
        <v>2</v>
      </c>
      <c r="I16" s="11" t="s">
        <v>324</v>
      </c>
      <c r="J16" s="11" t="s">
        <v>42</v>
      </c>
      <c r="K16" s="11">
        <f>Table1[[#This Row],[ENR]]-Table1[[#This Row],[CREDIT]]</f>
        <v>-349671.92000000004</v>
      </c>
      <c r="L16" s="43">
        <v>610000</v>
      </c>
      <c r="M16" s="30">
        <v>260328.08</v>
      </c>
      <c r="N16" s="44" t="s">
        <v>43</v>
      </c>
      <c r="O16" s="29">
        <v>260328.08</v>
      </c>
      <c r="P16" s="29">
        <v>248505.09</v>
      </c>
      <c r="Q16" s="29">
        <v>28020</v>
      </c>
      <c r="R16" s="29">
        <v>11630</v>
      </c>
      <c r="S16" s="11" t="s">
        <v>58</v>
      </c>
      <c r="T16" s="11" t="s">
        <v>13</v>
      </c>
      <c r="U16" s="11">
        <v>50000</v>
      </c>
      <c r="V16" s="29">
        <f>Table1[[#This Row],[STAB]]-Table1[[#This Row],[AMOUNT]]</f>
        <v>-38370</v>
      </c>
      <c r="W16" s="11" t="s">
        <v>1497</v>
      </c>
      <c r="X16" s="11" t="s">
        <v>451</v>
      </c>
      <c r="Y16" s="11" t="s">
        <v>760</v>
      </c>
      <c r="Z16" s="12" t="s">
        <v>88</v>
      </c>
      <c r="AA16" s="12" t="s">
        <v>91</v>
      </c>
      <c r="AB16" s="11" t="s">
        <v>3139</v>
      </c>
      <c r="AC16" s="11" t="s">
        <v>363</v>
      </c>
      <c r="AD16" s="11" t="s">
        <v>401</v>
      </c>
      <c r="AE16" s="11" t="s">
        <v>104</v>
      </c>
      <c r="AF16" s="11" t="s">
        <v>54</v>
      </c>
      <c r="AG16" s="11" t="s">
        <v>109</v>
      </c>
      <c r="AH16" s="11" t="s">
        <v>196</v>
      </c>
      <c r="AI16" s="11">
        <v>802555024</v>
      </c>
      <c r="AJ16" s="11" t="s">
        <v>99</v>
      </c>
      <c r="AK16" s="11"/>
      <c r="AL16" s="11"/>
      <c r="AM16" s="12" t="s">
        <v>64</v>
      </c>
      <c r="AN16" s="11" t="s">
        <v>115</v>
      </c>
      <c r="AO16" s="11" t="s">
        <v>799</v>
      </c>
      <c r="AP16" s="11" t="s">
        <v>800</v>
      </c>
      <c r="AQ16" s="3">
        <v>46107</v>
      </c>
      <c r="AR16" s="11">
        <v>100000</v>
      </c>
      <c r="AS16" s="11" t="s">
        <v>436</v>
      </c>
      <c r="AT16" s="12" t="s">
        <v>438</v>
      </c>
      <c r="AU16" s="2">
        <v>46162</v>
      </c>
    </row>
    <row r="17" spans="1:47" x14ac:dyDescent="0.25">
      <c r="A17" s="10" t="s">
        <v>240</v>
      </c>
      <c r="B17" s="11" t="s">
        <v>278</v>
      </c>
      <c r="C17" s="11">
        <v>0</v>
      </c>
      <c r="D17" s="11" t="s">
        <v>108</v>
      </c>
      <c r="E17" s="11"/>
      <c r="F17" s="11"/>
      <c r="G17" s="11" t="s">
        <v>90</v>
      </c>
      <c r="H17" s="11">
        <v>2</v>
      </c>
      <c r="I17" s="11" t="s">
        <v>316</v>
      </c>
      <c r="J17" s="11" t="s">
        <v>42</v>
      </c>
      <c r="K17" s="11">
        <f>Table1[[#This Row],[ENR]]-Table1[[#This Row],[CREDIT]]</f>
        <v>148407.31</v>
      </c>
      <c r="L17" s="43">
        <v>100000</v>
      </c>
      <c r="M17" s="52">
        <v>248407.31</v>
      </c>
      <c r="N17" s="44">
        <v>128016.12</v>
      </c>
      <c r="O17" s="29">
        <v>120391.19</v>
      </c>
      <c r="P17" s="29">
        <v>115488.63</v>
      </c>
      <c r="Q17" s="29">
        <v>58210</v>
      </c>
      <c r="R17" s="29">
        <v>40670</v>
      </c>
      <c r="S17" s="11" t="s">
        <v>58</v>
      </c>
      <c r="T17" s="11" t="s">
        <v>14</v>
      </c>
      <c r="U17" s="29">
        <v>40680</v>
      </c>
      <c r="V17" s="29">
        <f>Table1[[#This Row],[STAB]]-Table1[[#This Row],[AMOUNT]]</f>
        <v>-10</v>
      </c>
      <c r="W17" s="11">
        <v>0</v>
      </c>
      <c r="X17" s="11" t="s">
        <v>1526</v>
      </c>
      <c r="Y17" s="11" t="s">
        <v>760</v>
      </c>
      <c r="Z17" s="12" t="s">
        <v>88</v>
      </c>
      <c r="AA17" s="12" t="s">
        <v>91</v>
      </c>
      <c r="AB17" s="11" t="s">
        <v>3139</v>
      </c>
      <c r="AC17" s="11" t="s">
        <v>355</v>
      </c>
      <c r="AD17" s="11" t="s">
        <v>393</v>
      </c>
      <c r="AE17" s="11" t="s">
        <v>422</v>
      </c>
      <c r="AF17" s="11" t="s">
        <v>127</v>
      </c>
      <c r="AG17" s="11" t="s">
        <v>57</v>
      </c>
      <c r="AH17" s="11" t="s">
        <v>464</v>
      </c>
      <c r="AI17" s="11">
        <v>802852449</v>
      </c>
      <c r="AJ17" s="11" t="s">
        <v>190</v>
      </c>
      <c r="AK17" s="11"/>
      <c r="AL17" s="11"/>
      <c r="AM17" s="12" t="s">
        <v>64</v>
      </c>
      <c r="AN17" s="11" t="s">
        <v>115</v>
      </c>
      <c r="AO17" s="11" t="s">
        <v>448</v>
      </c>
      <c r="AP17" s="11" t="s">
        <v>443</v>
      </c>
      <c r="AQ17" s="3">
        <v>46143</v>
      </c>
      <c r="AR17" s="11">
        <v>20000</v>
      </c>
      <c r="AS17" s="11" t="s">
        <v>47</v>
      </c>
      <c r="AT17" s="12" t="s">
        <v>438</v>
      </c>
      <c r="AU17" s="2">
        <v>46162</v>
      </c>
    </row>
    <row r="18" spans="1:47" x14ac:dyDescent="0.25">
      <c r="A18" s="10" t="s">
        <v>247</v>
      </c>
      <c r="B18" s="11" t="s">
        <v>285</v>
      </c>
      <c r="C18" s="11">
        <v>0</v>
      </c>
      <c r="D18" s="11" t="s">
        <v>108</v>
      </c>
      <c r="E18" s="11"/>
      <c r="F18" s="11"/>
      <c r="G18" s="11" t="s">
        <v>52</v>
      </c>
      <c r="H18" s="11">
        <v>2</v>
      </c>
      <c r="I18" s="11" t="s">
        <v>323</v>
      </c>
      <c r="J18" s="11" t="s">
        <v>42</v>
      </c>
      <c r="K18" s="11">
        <f>Table1[[#This Row],[ENR]]-Table1[[#This Row],[CREDIT]]</f>
        <v>15843.390000000014</v>
      </c>
      <c r="L18" s="43">
        <v>230000</v>
      </c>
      <c r="M18" s="30">
        <v>245843.39</v>
      </c>
      <c r="N18" s="44">
        <v>7451.17</v>
      </c>
      <c r="O18" s="29">
        <v>238392.22</v>
      </c>
      <c r="P18" s="29">
        <v>226241.32</v>
      </c>
      <c r="Q18" s="29">
        <v>47730</v>
      </c>
      <c r="R18" s="29">
        <v>11010</v>
      </c>
      <c r="S18" s="11" t="s">
        <v>44</v>
      </c>
      <c r="T18" s="11" t="s">
        <v>45</v>
      </c>
      <c r="U18" s="11">
        <v>0</v>
      </c>
      <c r="V18" s="29">
        <f>Table1[[#This Row],[STAB]]-Table1[[#This Row],[AMOUNT]]</f>
        <v>11010</v>
      </c>
      <c r="W18" s="11">
        <v>0</v>
      </c>
      <c r="X18" s="11" t="s">
        <v>83</v>
      </c>
      <c r="Y18" s="11">
        <v>0</v>
      </c>
      <c r="Z18" s="12" t="s">
        <v>88</v>
      </c>
      <c r="AA18" s="12" t="s">
        <v>91</v>
      </c>
      <c r="AB18" s="11" t="s">
        <v>3139</v>
      </c>
      <c r="AC18" s="11" t="s">
        <v>362</v>
      </c>
      <c r="AD18" s="11" t="s">
        <v>400</v>
      </c>
      <c r="AE18" s="11" t="s">
        <v>426</v>
      </c>
      <c r="AF18" s="11" t="s">
        <v>439</v>
      </c>
      <c r="AG18" s="11" t="s">
        <v>63</v>
      </c>
      <c r="AH18" s="11" t="s">
        <v>467</v>
      </c>
      <c r="AI18" s="11">
        <v>801570488</v>
      </c>
      <c r="AJ18" s="11" t="s">
        <v>190</v>
      </c>
      <c r="AK18" s="11"/>
      <c r="AL18" s="11"/>
      <c r="AM18" s="12" t="s">
        <v>64</v>
      </c>
      <c r="AN18" s="11" t="s">
        <v>219</v>
      </c>
      <c r="AO18" s="11" t="s">
        <v>634</v>
      </c>
      <c r="AP18" s="11" t="s">
        <v>629</v>
      </c>
      <c r="AQ18" s="3">
        <v>46022</v>
      </c>
      <c r="AR18" s="11">
        <v>42270</v>
      </c>
      <c r="AS18" s="11" t="s">
        <v>435</v>
      </c>
      <c r="AT18" s="12" t="s">
        <v>438</v>
      </c>
      <c r="AU18" s="2">
        <v>46162</v>
      </c>
    </row>
    <row r="19" spans="1:47" x14ac:dyDescent="0.25">
      <c r="A19" s="10" t="s">
        <v>246</v>
      </c>
      <c r="B19" s="11" t="s">
        <v>284</v>
      </c>
      <c r="C19" s="11">
        <v>0</v>
      </c>
      <c r="D19" s="11" t="s">
        <v>108</v>
      </c>
      <c r="E19" s="11"/>
      <c r="F19" s="11"/>
      <c r="G19" s="11" t="s">
        <v>52</v>
      </c>
      <c r="H19" s="11">
        <v>2</v>
      </c>
      <c r="I19" s="11" t="s">
        <v>322</v>
      </c>
      <c r="J19" s="11" t="s">
        <v>42</v>
      </c>
      <c r="K19" s="11">
        <f>Table1[[#This Row],[ENR]]-Table1[[#This Row],[CREDIT]]</f>
        <v>4765.2000000000116</v>
      </c>
      <c r="L19" s="43">
        <v>200000</v>
      </c>
      <c r="M19" s="30">
        <v>204765.2</v>
      </c>
      <c r="N19" s="44" t="s">
        <v>43</v>
      </c>
      <c r="O19" s="29">
        <v>204765.2</v>
      </c>
      <c r="P19" s="29">
        <v>195404.4</v>
      </c>
      <c r="Q19" s="29">
        <v>26510</v>
      </c>
      <c r="R19" s="29">
        <v>9140</v>
      </c>
      <c r="S19" s="11" t="s">
        <v>44</v>
      </c>
      <c r="T19" s="11" t="s">
        <v>45</v>
      </c>
      <c r="U19" s="11">
        <v>0</v>
      </c>
      <c r="V19" s="29">
        <f>Table1[[#This Row],[STAB]]-Table1[[#This Row],[AMOUNT]]</f>
        <v>9140</v>
      </c>
      <c r="W19" s="11">
        <v>0</v>
      </c>
      <c r="X19" s="11" t="s">
        <v>83</v>
      </c>
      <c r="Y19" s="11">
        <v>0</v>
      </c>
      <c r="Z19" s="12" t="s">
        <v>88</v>
      </c>
      <c r="AA19" s="12" t="s">
        <v>91</v>
      </c>
      <c r="AB19" s="11" t="s">
        <v>3139</v>
      </c>
      <c r="AC19" s="11" t="s">
        <v>361</v>
      </c>
      <c r="AD19" s="11" t="s">
        <v>399</v>
      </c>
      <c r="AE19" s="11" t="s">
        <v>425</v>
      </c>
      <c r="AF19" s="11" t="s">
        <v>53</v>
      </c>
      <c r="AG19" s="11" t="s">
        <v>117</v>
      </c>
      <c r="AH19" s="11" t="s">
        <v>466</v>
      </c>
      <c r="AI19" s="11">
        <v>802388289</v>
      </c>
      <c r="AJ19" s="11" t="s">
        <v>190</v>
      </c>
      <c r="AK19" s="11"/>
      <c r="AL19" s="11"/>
      <c r="AM19" s="12" t="s">
        <v>64</v>
      </c>
      <c r="AN19" s="11" t="s">
        <v>219</v>
      </c>
      <c r="AO19" s="11" t="s">
        <v>758</v>
      </c>
      <c r="AP19" s="11" t="s">
        <v>756</v>
      </c>
      <c r="AQ19" s="3">
        <v>45482</v>
      </c>
      <c r="AR19" s="11">
        <v>5223.83</v>
      </c>
      <c r="AS19" s="11" t="s">
        <v>48</v>
      </c>
      <c r="AT19" s="12" t="s">
        <v>438</v>
      </c>
      <c r="AU19" s="2">
        <v>46162</v>
      </c>
    </row>
    <row r="20" spans="1:47" x14ac:dyDescent="0.25">
      <c r="A20" s="10" t="s">
        <v>245</v>
      </c>
      <c r="B20" s="11" t="s">
        <v>283</v>
      </c>
      <c r="C20" s="11">
        <v>0</v>
      </c>
      <c r="D20" s="11" t="s">
        <v>108</v>
      </c>
      <c r="E20" s="11"/>
      <c r="F20" s="11"/>
      <c r="G20" s="11" t="s">
        <v>52</v>
      </c>
      <c r="H20" s="11">
        <v>2</v>
      </c>
      <c r="I20" s="11" t="s">
        <v>321</v>
      </c>
      <c r="J20" s="11" t="s">
        <v>42</v>
      </c>
      <c r="K20" s="11">
        <f>Table1[[#This Row],[ENR]]-Table1[[#This Row],[CREDIT]]</f>
        <v>-192949.62</v>
      </c>
      <c r="L20" s="43">
        <v>390000</v>
      </c>
      <c r="M20" s="30">
        <v>197050.38</v>
      </c>
      <c r="N20" s="44" t="s">
        <v>43</v>
      </c>
      <c r="O20" s="29">
        <v>197050.38</v>
      </c>
      <c r="P20" s="29">
        <v>184915.11</v>
      </c>
      <c r="Q20" s="29">
        <v>29270</v>
      </c>
      <c r="R20" s="29">
        <v>10970</v>
      </c>
      <c r="S20" s="11" t="s">
        <v>58</v>
      </c>
      <c r="T20" s="11" t="s">
        <v>14</v>
      </c>
      <c r="U20" s="29">
        <v>11000</v>
      </c>
      <c r="V20" s="29">
        <f>Table1[[#This Row],[STAB]]-Table1[[#This Row],[AMOUNT]]</f>
        <v>-30</v>
      </c>
      <c r="W20" s="11" t="s">
        <v>1497</v>
      </c>
      <c r="X20" s="11" t="s">
        <v>444</v>
      </c>
      <c r="Y20" s="11" t="s">
        <v>760</v>
      </c>
      <c r="Z20" s="12" t="s">
        <v>88</v>
      </c>
      <c r="AA20" s="12" t="s">
        <v>91</v>
      </c>
      <c r="AB20" s="11" t="s">
        <v>3139</v>
      </c>
      <c r="AC20" s="11" t="s">
        <v>360</v>
      </c>
      <c r="AD20" s="11" t="s">
        <v>398</v>
      </c>
      <c r="AE20" s="11" t="s">
        <v>424</v>
      </c>
      <c r="AF20" s="11" t="s">
        <v>54</v>
      </c>
      <c r="AG20" s="11" t="s">
        <v>1086</v>
      </c>
      <c r="AH20" s="11" t="s">
        <v>85</v>
      </c>
      <c r="AI20" s="11">
        <v>801772794</v>
      </c>
      <c r="AJ20" s="11" t="s">
        <v>192</v>
      </c>
      <c r="AK20" s="11"/>
      <c r="AL20" s="11"/>
      <c r="AM20" s="12" t="s">
        <v>64</v>
      </c>
      <c r="AN20" s="11" t="s">
        <v>221</v>
      </c>
      <c r="AO20" s="11" t="s">
        <v>1523</v>
      </c>
      <c r="AP20" s="11" t="s">
        <v>1497</v>
      </c>
      <c r="AQ20" s="3">
        <v>45484</v>
      </c>
      <c r="AR20" s="11">
        <v>10000</v>
      </c>
      <c r="AS20" s="11" t="s">
        <v>48</v>
      </c>
      <c r="AT20" s="12" t="s">
        <v>438</v>
      </c>
      <c r="AU20" s="2">
        <v>46162</v>
      </c>
    </row>
    <row r="21" spans="1:47" x14ac:dyDescent="0.25">
      <c r="A21" s="10" t="s">
        <v>225</v>
      </c>
      <c r="B21" s="11" t="s">
        <v>263</v>
      </c>
      <c r="C21" s="11">
        <v>0</v>
      </c>
      <c r="D21" s="11" t="s">
        <v>108</v>
      </c>
      <c r="E21" s="11"/>
      <c r="F21" s="11"/>
      <c r="G21" s="11" t="s">
        <v>52</v>
      </c>
      <c r="H21" s="11">
        <v>2</v>
      </c>
      <c r="I21" s="11" t="s">
        <v>301</v>
      </c>
      <c r="J21" s="11" t="s">
        <v>42</v>
      </c>
      <c r="K21" s="11">
        <f>Table1[[#This Row],[ENR]]-Table1[[#This Row],[CREDIT]]</f>
        <v>-3475.2900000000081</v>
      </c>
      <c r="L21" s="43">
        <v>190000</v>
      </c>
      <c r="M21" s="30">
        <v>186524.71</v>
      </c>
      <c r="N21" s="44">
        <v>125492.32</v>
      </c>
      <c r="O21" s="29">
        <v>61032.39</v>
      </c>
      <c r="P21" s="29">
        <v>52601.96</v>
      </c>
      <c r="Q21" s="29">
        <v>30180</v>
      </c>
      <c r="R21" s="29">
        <v>17590</v>
      </c>
      <c r="S21" s="11" t="s">
        <v>44</v>
      </c>
      <c r="T21" s="11" t="s">
        <v>45</v>
      </c>
      <c r="U21" s="11">
        <v>0</v>
      </c>
      <c r="V21" s="29">
        <f>Table1[[#This Row],[STAB]]-Table1[[#This Row],[AMOUNT]]</f>
        <v>17590</v>
      </c>
      <c r="W21" s="11">
        <v>0</v>
      </c>
      <c r="X21" s="11" t="s">
        <v>83</v>
      </c>
      <c r="Y21" s="11">
        <v>0</v>
      </c>
      <c r="Z21" s="12" t="s">
        <v>88</v>
      </c>
      <c r="AA21" s="12" t="s">
        <v>91</v>
      </c>
      <c r="AB21" s="11" t="s">
        <v>3139</v>
      </c>
      <c r="AC21" s="11" t="s">
        <v>340</v>
      </c>
      <c r="AD21" s="11" t="s">
        <v>378</v>
      </c>
      <c r="AE21" s="11" t="s">
        <v>104</v>
      </c>
      <c r="AF21" s="11" t="s">
        <v>54</v>
      </c>
      <c r="AG21" s="11" t="s">
        <v>109</v>
      </c>
      <c r="AH21" s="11" t="s">
        <v>196</v>
      </c>
      <c r="AI21" s="11">
        <v>802555024</v>
      </c>
      <c r="AJ21" s="11" t="s">
        <v>99</v>
      </c>
      <c r="AK21" s="11"/>
      <c r="AL21" s="11"/>
      <c r="AM21" s="12" t="s">
        <v>64</v>
      </c>
      <c r="AN21" s="11" t="s">
        <v>219</v>
      </c>
      <c r="AO21" s="11" t="s">
        <v>619</v>
      </c>
      <c r="AP21" s="11" t="s">
        <v>618</v>
      </c>
      <c r="AQ21" s="3">
        <v>46112</v>
      </c>
      <c r="AR21" s="11">
        <v>2970</v>
      </c>
      <c r="AS21" s="11" t="s">
        <v>48</v>
      </c>
      <c r="AT21" s="12" t="s">
        <v>438</v>
      </c>
      <c r="AU21" s="2">
        <v>46162</v>
      </c>
    </row>
    <row r="22" spans="1:47" x14ac:dyDescent="0.25">
      <c r="A22" s="10" t="s">
        <v>233</v>
      </c>
      <c r="B22" s="11" t="s">
        <v>271</v>
      </c>
      <c r="C22" s="11">
        <v>0</v>
      </c>
      <c r="D22" s="11" t="s">
        <v>108</v>
      </c>
      <c r="E22" s="11"/>
      <c r="F22" s="11"/>
      <c r="G22" s="11" t="s">
        <v>90</v>
      </c>
      <c r="H22" s="11">
        <v>2</v>
      </c>
      <c r="I22" s="11" t="s">
        <v>309</v>
      </c>
      <c r="J22" s="11" t="s">
        <v>42</v>
      </c>
      <c r="K22" s="11">
        <f>Table1[[#This Row],[ENR]]-Table1[[#This Row],[CREDIT]]</f>
        <v>-95650.640000000014</v>
      </c>
      <c r="L22" s="43">
        <v>260000</v>
      </c>
      <c r="M22" s="30">
        <v>164349.35999999999</v>
      </c>
      <c r="N22" s="44">
        <v>83945.52</v>
      </c>
      <c r="O22" s="29">
        <v>80403.839999999997</v>
      </c>
      <c r="P22" s="29">
        <v>76191.37</v>
      </c>
      <c r="Q22" s="29">
        <v>29960</v>
      </c>
      <c r="R22" s="29">
        <v>16960</v>
      </c>
      <c r="S22" s="11" t="s">
        <v>58</v>
      </c>
      <c r="T22" s="11" t="s">
        <v>14</v>
      </c>
      <c r="U22" s="29">
        <v>17000</v>
      </c>
      <c r="V22" s="29">
        <f>Table1[[#This Row],[STAB]]-Table1[[#This Row],[AMOUNT]]</f>
        <v>-40</v>
      </c>
      <c r="W22" s="11" t="s">
        <v>800</v>
      </c>
      <c r="X22" s="11" t="s">
        <v>451</v>
      </c>
      <c r="Y22" s="11" t="s">
        <v>760</v>
      </c>
      <c r="Z22" s="12" t="s">
        <v>88</v>
      </c>
      <c r="AA22" s="12" t="s">
        <v>91</v>
      </c>
      <c r="AB22" s="11" t="s">
        <v>3139</v>
      </c>
      <c r="AC22" s="11" t="s">
        <v>348</v>
      </c>
      <c r="AD22" s="11" t="s">
        <v>386</v>
      </c>
      <c r="AE22" s="11" t="s">
        <v>419</v>
      </c>
      <c r="AF22" s="11" t="s">
        <v>127</v>
      </c>
      <c r="AG22" s="11" t="s">
        <v>96</v>
      </c>
      <c r="AH22" s="11" t="s">
        <v>461</v>
      </c>
      <c r="AI22" s="11">
        <v>801436997</v>
      </c>
      <c r="AJ22" s="11" t="s">
        <v>190</v>
      </c>
      <c r="AK22" s="11"/>
      <c r="AL22" s="11"/>
      <c r="AM22" s="12" t="s">
        <v>64</v>
      </c>
      <c r="AN22" s="11" t="s">
        <v>219</v>
      </c>
      <c r="AO22" s="11" t="s">
        <v>632</v>
      </c>
      <c r="AP22" s="11" t="s">
        <v>629</v>
      </c>
      <c r="AQ22" s="3">
        <v>45488</v>
      </c>
      <c r="AR22" s="11">
        <v>60000</v>
      </c>
      <c r="AS22" s="11" t="s">
        <v>48</v>
      </c>
      <c r="AT22" s="12" t="s">
        <v>438</v>
      </c>
      <c r="AU22" s="2">
        <v>46162</v>
      </c>
    </row>
    <row r="23" spans="1:47" x14ac:dyDescent="0.25">
      <c r="A23" s="10" t="s">
        <v>222</v>
      </c>
      <c r="B23" s="11" t="s">
        <v>260</v>
      </c>
      <c r="C23" s="11">
        <v>0</v>
      </c>
      <c r="D23" s="11" t="s">
        <v>108</v>
      </c>
      <c r="E23" s="11"/>
      <c r="F23" s="11"/>
      <c r="G23" s="11" t="s">
        <v>52</v>
      </c>
      <c r="H23" s="11">
        <v>2</v>
      </c>
      <c r="I23" s="11" t="s">
        <v>298</v>
      </c>
      <c r="J23" s="11" t="s">
        <v>42</v>
      </c>
      <c r="K23" s="11">
        <f>Table1[[#This Row],[ENR]]-Table1[[#This Row],[CREDIT]]</f>
        <v>-63002.209999999992</v>
      </c>
      <c r="L23" s="43">
        <v>220000</v>
      </c>
      <c r="M23" s="30">
        <v>156997.79</v>
      </c>
      <c r="N23" s="44">
        <v>114973.82</v>
      </c>
      <c r="O23" s="29">
        <v>42023.97</v>
      </c>
      <c r="P23" s="29">
        <v>38573.050000000003</v>
      </c>
      <c r="Q23" s="29">
        <v>34930</v>
      </c>
      <c r="R23" s="29">
        <v>17330</v>
      </c>
      <c r="S23" s="11" t="s">
        <v>58</v>
      </c>
      <c r="T23" s="11" t="s">
        <v>14</v>
      </c>
      <c r="U23" s="29">
        <v>20000</v>
      </c>
      <c r="V23" s="29">
        <f>Table1[[#This Row],[STAB]]-Table1[[#This Row],[AMOUNT]]</f>
        <v>-2670</v>
      </c>
      <c r="W23" s="11" t="s">
        <v>1497</v>
      </c>
      <c r="X23" s="11" t="s">
        <v>451</v>
      </c>
      <c r="Y23" s="11" t="s">
        <v>760</v>
      </c>
      <c r="Z23" s="11" t="s">
        <v>88</v>
      </c>
      <c r="AA23" s="11" t="s">
        <v>91</v>
      </c>
      <c r="AB23" s="11" t="s">
        <v>3139</v>
      </c>
      <c r="AC23" s="11" t="s">
        <v>337</v>
      </c>
      <c r="AD23" s="11" t="s">
        <v>375</v>
      </c>
      <c r="AE23" s="11" t="s">
        <v>413</v>
      </c>
      <c r="AF23" s="11" t="s">
        <v>54</v>
      </c>
      <c r="AG23" s="11" t="s">
        <v>146</v>
      </c>
      <c r="AH23" s="11" t="s">
        <v>625</v>
      </c>
      <c r="AI23" s="11">
        <v>801217009</v>
      </c>
      <c r="AJ23" s="11" t="s">
        <v>190</v>
      </c>
      <c r="AK23" s="11"/>
      <c r="AL23" s="11"/>
      <c r="AM23" s="12" t="s">
        <v>64</v>
      </c>
      <c r="AN23" s="11" t="s">
        <v>221</v>
      </c>
      <c r="AO23" s="11" t="s">
        <v>1514</v>
      </c>
      <c r="AP23" s="11" t="s">
        <v>1497</v>
      </c>
      <c r="AQ23" s="3" t="s">
        <v>43</v>
      </c>
      <c r="AR23" s="11">
        <v>0</v>
      </c>
      <c r="AS23" s="11" t="s">
        <v>48</v>
      </c>
      <c r="AT23" s="12" t="s">
        <v>438</v>
      </c>
      <c r="AU23" s="2">
        <v>46162</v>
      </c>
    </row>
    <row r="24" spans="1:47" x14ac:dyDescent="0.25">
      <c r="A24" s="45" t="s">
        <v>244</v>
      </c>
      <c r="B24" s="12" t="s">
        <v>282</v>
      </c>
      <c r="C24" s="11">
        <v>0</v>
      </c>
      <c r="D24" s="11" t="s">
        <v>108</v>
      </c>
      <c r="E24" s="11">
        <v>1</v>
      </c>
      <c r="F24" s="11"/>
      <c r="G24" s="11" t="s">
        <v>52</v>
      </c>
      <c r="H24" s="12">
        <v>2</v>
      </c>
      <c r="I24" s="12" t="s">
        <v>320</v>
      </c>
      <c r="J24" s="12" t="s">
        <v>42</v>
      </c>
      <c r="K24" s="12">
        <f>Table1[[#This Row],[ENR]]-Table1[[#This Row],[CREDIT]]</f>
        <v>10425.309999999998</v>
      </c>
      <c r="L24" s="46">
        <v>140000</v>
      </c>
      <c r="M24" s="47">
        <v>150425.31</v>
      </c>
      <c r="N24" s="48" t="s">
        <v>43</v>
      </c>
      <c r="O24" s="49">
        <v>150425.31</v>
      </c>
      <c r="P24" s="49">
        <v>142834.37</v>
      </c>
      <c r="Q24" s="29">
        <v>34050</v>
      </c>
      <c r="R24" s="29">
        <v>7000</v>
      </c>
      <c r="S24" s="11" t="s">
        <v>44</v>
      </c>
      <c r="T24" s="11" t="s">
        <v>45</v>
      </c>
      <c r="U24" s="11">
        <v>0</v>
      </c>
      <c r="V24" s="49">
        <f>Table1[[#This Row],[STAB]]-Table1[[#This Row],[AMOUNT]]</f>
        <v>7000</v>
      </c>
      <c r="W24" s="11">
        <v>0</v>
      </c>
      <c r="X24" s="11" t="s">
        <v>83</v>
      </c>
      <c r="Y24" s="11">
        <v>0</v>
      </c>
      <c r="Z24" s="11" t="s">
        <v>88</v>
      </c>
      <c r="AA24" s="11" t="s">
        <v>91</v>
      </c>
      <c r="AB24" s="12" t="s">
        <v>3139</v>
      </c>
      <c r="AC24" s="12" t="s">
        <v>359</v>
      </c>
      <c r="AD24" s="12" t="s">
        <v>397</v>
      </c>
      <c r="AE24" s="12" t="s">
        <v>92</v>
      </c>
      <c r="AF24" s="12" t="s">
        <v>54</v>
      </c>
      <c r="AG24" s="12" t="s">
        <v>149</v>
      </c>
      <c r="AH24" s="11" t="s">
        <v>624</v>
      </c>
      <c r="AI24" s="12">
        <v>801174030</v>
      </c>
      <c r="AJ24" s="12" t="s">
        <v>458</v>
      </c>
      <c r="AK24" s="12"/>
      <c r="AL24" s="12"/>
      <c r="AM24" s="12" t="s">
        <v>64</v>
      </c>
      <c r="AN24" s="12" t="s">
        <v>219</v>
      </c>
      <c r="AO24" s="12" t="s">
        <v>456</v>
      </c>
      <c r="AP24" s="12" t="s">
        <v>454</v>
      </c>
      <c r="AQ24" s="50">
        <v>45452</v>
      </c>
      <c r="AR24" s="12">
        <v>588.08000000000004</v>
      </c>
      <c r="AS24" s="12" t="s">
        <v>47</v>
      </c>
      <c r="AT24" s="12" t="s">
        <v>438</v>
      </c>
      <c r="AU24" s="51">
        <v>46162</v>
      </c>
    </row>
    <row r="25" spans="1:47" x14ac:dyDescent="0.25">
      <c r="A25" s="10" t="s">
        <v>243</v>
      </c>
      <c r="B25" s="11" t="s">
        <v>281</v>
      </c>
      <c r="C25" s="11">
        <v>0</v>
      </c>
      <c r="D25" s="11" t="s">
        <v>108</v>
      </c>
      <c r="E25" s="11">
        <v>1</v>
      </c>
      <c r="F25" s="11" t="s">
        <v>440</v>
      </c>
      <c r="G25" s="11" t="s">
        <v>52</v>
      </c>
      <c r="H25" s="11">
        <v>2</v>
      </c>
      <c r="I25" s="11" t="s">
        <v>319</v>
      </c>
      <c r="J25" s="11" t="s">
        <v>42</v>
      </c>
      <c r="K25" s="11">
        <f>Table1[[#This Row],[ENR]]-Table1[[#This Row],[CREDIT]]</f>
        <v>14908.309999999998</v>
      </c>
      <c r="L25" s="43">
        <v>130000</v>
      </c>
      <c r="M25" s="30">
        <v>144908.31</v>
      </c>
      <c r="N25" s="44" t="s">
        <v>43</v>
      </c>
      <c r="O25" s="29">
        <v>144908.31</v>
      </c>
      <c r="P25" s="29">
        <v>83213.45</v>
      </c>
      <c r="Q25" s="29">
        <v>118410</v>
      </c>
      <c r="R25" s="29">
        <v>97090</v>
      </c>
      <c r="S25" s="11" t="s">
        <v>44</v>
      </c>
      <c r="T25" s="11" t="s">
        <v>45</v>
      </c>
      <c r="U25" s="11">
        <v>0</v>
      </c>
      <c r="V25" s="29">
        <f>Table1[[#This Row],[STAB]]-Table1[[#This Row],[AMOUNT]]</f>
        <v>97090</v>
      </c>
      <c r="W25" s="11">
        <v>0</v>
      </c>
      <c r="X25" s="11" t="s">
        <v>83</v>
      </c>
      <c r="Y25" s="11" t="s">
        <v>759</v>
      </c>
      <c r="Z25" s="12" t="s">
        <v>88</v>
      </c>
      <c r="AA25" s="12" t="s">
        <v>91</v>
      </c>
      <c r="AB25" s="11" t="s">
        <v>3139</v>
      </c>
      <c r="AC25" s="11" t="s">
        <v>358</v>
      </c>
      <c r="AD25" s="11" t="s">
        <v>396</v>
      </c>
      <c r="AE25" s="11" t="s">
        <v>218</v>
      </c>
      <c r="AF25" s="11" t="s">
        <v>84</v>
      </c>
      <c r="AG25" s="11" t="s">
        <v>97</v>
      </c>
      <c r="AH25" s="11" t="s">
        <v>88</v>
      </c>
      <c r="AI25" s="11">
        <v>801723195</v>
      </c>
      <c r="AJ25" s="11" t="s">
        <v>191</v>
      </c>
      <c r="AK25" s="11"/>
      <c r="AL25" s="11"/>
      <c r="AM25" s="12" t="s">
        <v>64</v>
      </c>
      <c r="AN25" s="11" t="s">
        <v>219</v>
      </c>
      <c r="AO25" s="11" t="s">
        <v>792</v>
      </c>
      <c r="AP25" s="11" t="s">
        <v>756</v>
      </c>
      <c r="AQ25" s="3">
        <v>46085</v>
      </c>
      <c r="AR25" s="11">
        <v>33250</v>
      </c>
      <c r="AS25" s="11" t="s">
        <v>434</v>
      </c>
      <c r="AT25" s="12" t="s">
        <v>438</v>
      </c>
      <c r="AU25" s="2">
        <v>46162</v>
      </c>
    </row>
    <row r="26" spans="1:47" x14ac:dyDescent="0.25">
      <c r="A26" s="10" t="s">
        <v>231</v>
      </c>
      <c r="B26" s="11" t="s">
        <v>269</v>
      </c>
      <c r="C26" s="11">
        <v>0</v>
      </c>
      <c r="D26" s="11" t="s">
        <v>108</v>
      </c>
      <c r="E26" s="11"/>
      <c r="F26" s="11"/>
      <c r="G26" s="11" t="s">
        <v>52</v>
      </c>
      <c r="H26" s="11">
        <v>2</v>
      </c>
      <c r="I26" s="11" t="s">
        <v>307</v>
      </c>
      <c r="J26" s="11" t="s">
        <v>42</v>
      </c>
      <c r="K26" s="11">
        <f>Table1[[#This Row],[ENR]]-Table1[[#This Row],[CREDIT]]</f>
        <v>-8199.7699999999895</v>
      </c>
      <c r="L26" s="43">
        <v>140000</v>
      </c>
      <c r="M26" s="30">
        <v>131800.23000000001</v>
      </c>
      <c r="N26" s="44">
        <v>57231.49</v>
      </c>
      <c r="O26" s="29">
        <v>74568.740000000005</v>
      </c>
      <c r="P26" s="29">
        <v>67115.5</v>
      </c>
      <c r="Q26" s="29">
        <v>27500</v>
      </c>
      <c r="R26" s="29">
        <v>14310</v>
      </c>
      <c r="S26" s="11" t="s">
        <v>44</v>
      </c>
      <c r="T26" s="11" t="s">
        <v>45</v>
      </c>
      <c r="U26" s="11">
        <v>0</v>
      </c>
      <c r="V26" s="29">
        <f>Table1[[#This Row],[STAB]]-Table1[[#This Row],[AMOUNT]]</f>
        <v>14310</v>
      </c>
      <c r="W26" s="11">
        <v>0</v>
      </c>
      <c r="X26" s="11" t="s">
        <v>83</v>
      </c>
      <c r="Y26" s="11">
        <v>0</v>
      </c>
      <c r="Z26" s="11" t="s">
        <v>88</v>
      </c>
      <c r="AA26" s="11" t="s">
        <v>91</v>
      </c>
      <c r="AB26" s="11" t="s">
        <v>3139</v>
      </c>
      <c r="AC26" s="11" t="s">
        <v>346</v>
      </c>
      <c r="AD26" s="11" t="s">
        <v>384</v>
      </c>
      <c r="AE26" s="11" t="s">
        <v>123</v>
      </c>
      <c r="AF26" s="11" t="s">
        <v>127</v>
      </c>
      <c r="AG26" s="11" t="s">
        <v>96</v>
      </c>
      <c r="AH26" s="11" t="s">
        <v>461</v>
      </c>
      <c r="AI26" s="11">
        <v>801436997</v>
      </c>
      <c r="AJ26" s="11" t="s">
        <v>190</v>
      </c>
      <c r="AK26" s="11"/>
      <c r="AL26" s="11"/>
      <c r="AM26" s="12" t="s">
        <v>64</v>
      </c>
      <c r="AN26" s="11" t="s">
        <v>221</v>
      </c>
      <c r="AO26" s="11" t="s">
        <v>1522</v>
      </c>
      <c r="AP26" s="11" t="s">
        <v>1497</v>
      </c>
      <c r="AQ26" s="3" t="s">
        <v>43</v>
      </c>
      <c r="AR26" s="11">
        <v>0</v>
      </c>
      <c r="AS26" s="11" t="s">
        <v>48</v>
      </c>
      <c r="AT26" s="12" t="s">
        <v>438</v>
      </c>
      <c r="AU26" s="2">
        <v>46162</v>
      </c>
    </row>
    <row r="27" spans="1:47" x14ac:dyDescent="0.25">
      <c r="A27" s="10" t="s">
        <v>253</v>
      </c>
      <c r="B27" s="11" t="s">
        <v>291</v>
      </c>
      <c r="C27" s="11">
        <v>0</v>
      </c>
      <c r="D27" s="11" t="s">
        <v>108</v>
      </c>
      <c r="E27" s="11"/>
      <c r="F27" s="11"/>
      <c r="G27" s="11" t="s">
        <v>90</v>
      </c>
      <c r="H27" s="11">
        <v>2</v>
      </c>
      <c r="I27" s="11" t="s">
        <v>329</v>
      </c>
      <c r="J27" s="11" t="s">
        <v>42</v>
      </c>
      <c r="K27" s="11">
        <f>Table1[[#This Row],[ENR]]-Table1[[#This Row],[CREDIT]]</f>
        <v>-88890.63</v>
      </c>
      <c r="L27" s="43">
        <v>220000</v>
      </c>
      <c r="M27" s="30">
        <v>131109.37</v>
      </c>
      <c r="N27" s="44">
        <v>76412.759999999995</v>
      </c>
      <c r="O27" s="29">
        <v>54696.61</v>
      </c>
      <c r="P27" s="29">
        <v>51053.61</v>
      </c>
      <c r="Q27" s="29">
        <v>27790</v>
      </c>
      <c r="R27" s="29">
        <v>13970</v>
      </c>
      <c r="S27" s="11" t="s">
        <v>58</v>
      </c>
      <c r="T27" s="11" t="s">
        <v>13</v>
      </c>
      <c r="U27" s="11">
        <v>28000</v>
      </c>
      <c r="V27" s="29">
        <f>Table1[[#This Row],[STAB]]-Table1[[#This Row],[AMOUNT]]</f>
        <v>-14030</v>
      </c>
      <c r="W27" s="11" t="s">
        <v>800</v>
      </c>
      <c r="X27" s="11" t="s">
        <v>451</v>
      </c>
      <c r="Y27" s="11" t="s">
        <v>760</v>
      </c>
      <c r="Z27" s="12" t="s">
        <v>88</v>
      </c>
      <c r="AA27" s="12" t="s">
        <v>91</v>
      </c>
      <c r="AB27" s="11" t="s">
        <v>3139</v>
      </c>
      <c r="AC27" s="11" t="s">
        <v>368</v>
      </c>
      <c r="AD27" s="11" t="s">
        <v>406</v>
      </c>
      <c r="AE27" s="11" t="s">
        <v>123</v>
      </c>
      <c r="AF27" s="11" t="s">
        <v>127</v>
      </c>
      <c r="AG27" s="11" t="s">
        <v>57</v>
      </c>
      <c r="AH27" s="11" t="s">
        <v>464</v>
      </c>
      <c r="AI27" s="11">
        <v>802852449</v>
      </c>
      <c r="AJ27" s="11" t="s">
        <v>190</v>
      </c>
      <c r="AK27" s="11"/>
      <c r="AL27" s="11"/>
      <c r="AM27" s="12" t="s">
        <v>64</v>
      </c>
      <c r="AN27" s="11"/>
      <c r="AO27" s="11"/>
      <c r="AP27" s="11"/>
      <c r="AQ27" s="3">
        <v>45963</v>
      </c>
      <c r="AR27" s="11">
        <v>10000</v>
      </c>
      <c r="AS27" s="11" t="s">
        <v>436</v>
      </c>
      <c r="AT27" s="12" t="s">
        <v>438</v>
      </c>
      <c r="AU27" s="2">
        <v>46162</v>
      </c>
    </row>
    <row r="28" spans="1:47" x14ac:dyDescent="0.25">
      <c r="A28" s="10" t="s">
        <v>257</v>
      </c>
      <c r="B28" s="11" t="s">
        <v>295</v>
      </c>
      <c r="C28" s="11">
        <v>0</v>
      </c>
      <c r="D28" s="11" t="s">
        <v>108</v>
      </c>
      <c r="E28" s="11"/>
      <c r="F28" s="11"/>
      <c r="G28" s="11" t="s">
        <v>52</v>
      </c>
      <c r="H28" s="11">
        <v>2</v>
      </c>
      <c r="I28" s="11" t="s">
        <v>333</v>
      </c>
      <c r="J28" s="11" t="s">
        <v>42</v>
      </c>
      <c r="K28" s="11">
        <f>Table1[[#This Row],[ENR]]-Table1[[#This Row],[CREDIT]]</f>
        <v>-13690.369999999995</v>
      </c>
      <c r="L28" s="43">
        <v>141000</v>
      </c>
      <c r="M28" s="30">
        <v>127309.63</v>
      </c>
      <c r="N28" s="44" t="s">
        <v>43</v>
      </c>
      <c r="O28" s="29">
        <v>127309.63</v>
      </c>
      <c r="P28" s="29">
        <v>113751.84</v>
      </c>
      <c r="Q28" s="29">
        <v>28350</v>
      </c>
      <c r="R28" s="29">
        <v>16400</v>
      </c>
      <c r="S28" s="11" t="s">
        <v>58</v>
      </c>
      <c r="T28" s="11" t="s">
        <v>14</v>
      </c>
      <c r="U28" s="29">
        <v>16500</v>
      </c>
      <c r="V28" s="29">
        <f>Table1[[#This Row],[STAB]]-Table1[[#This Row],[AMOUNT]]</f>
        <v>-100</v>
      </c>
      <c r="W28" s="11" t="s">
        <v>1497</v>
      </c>
      <c r="X28" s="11" t="s">
        <v>444</v>
      </c>
      <c r="Y28" s="11" t="s">
        <v>760</v>
      </c>
      <c r="Z28" s="12" t="s">
        <v>88</v>
      </c>
      <c r="AA28" s="12" t="s">
        <v>91</v>
      </c>
      <c r="AB28" s="11" t="s">
        <v>3139</v>
      </c>
      <c r="AC28" s="11" t="s">
        <v>372</v>
      </c>
      <c r="AD28" s="11" t="s">
        <v>410</v>
      </c>
      <c r="AE28" s="11" t="s">
        <v>429</v>
      </c>
      <c r="AF28" s="11" t="s">
        <v>54</v>
      </c>
      <c r="AG28" s="11" t="s">
        <v>95</v>
      </c>
      <c r="AH28" s="11" t="s">
        <v>465</v>
      </c>
      <c r="AI28" s="11">
        <v>802823175</v>
      </c>
      <c r="AJ28" s="11" t="s">
        <v>191</v>
      </c>
      <c r="AK28" s="11"/>
      <c r="AL28" s="11"/>
      <c r="AM28" s="12" t="s">
        <v>64</v>
      </c>
      <c r="AN28" s="11" t="s">
        <v>115</v>
      </c>
      <c r="AO28" s="11" t="s">
        <v>457</v>
      </c>
      <c r="AP28" s="11" t="s">
        <v>454</v>
      </c>
      <c r="AQ28" s="3">
        <v>45790</v>
      </c>
      <c r="AR28" s="11">
        <v>81000</v>
      </c>
      <c r="AS28" s="11" t="s">
        <v>436</v>
      </c>
      <c r="AT28" s="12" t="s">
        <v>438</v>
      </c>
      <c r="AU28" s="2">
        <v>46162</v>
      </c>
    </row>
    <row r="29" spans="1:47" x14ac:dyDescent="0.25">
      <c r="A29" s="10" t="s">
        <v>242</v>
      </c>
      <c r="B29" s="11" t="s">
        <v>280</v>
      </c>
      <c r="C29" s="11">
        <v>0</v>
      </c>
      <c r="D29" s="11" t="s">
        <v>108</v>
      </c>
      <c r="E29" s="11"/>
      <c r="F29" s="11"/>
      <c r="G29" s="11" t="s">
        <v>52</v>
      </c>
      <c r="H29" s="11">
        <v>2</v>
      </c>
      <c r="I29" s="11" t="s">
        <v>318</v>
      </c>
      <c r="J29" s="11" t="s">
        <v>42</v>
      </c>
      <c r="K29" s="11">
        <f>Table1[[#This Row],[ENR]]-Table1[[#This Row],[CREDIT]]</f>
        <v>1972.0800000000017</v>
      </c>
      <c r="L29" s="43">
        <v>125000</v>
      </c>
      <c r="M29" s="30">
        <v>126972.08</v>
      </c>
      <c r="N29" s="44" t="s">
        <v>43</v>
      </c>
      <c r="O29" s="29">
        <v>126972.08</v>
      </c>
      <c r="P29" s="29">
        <v>118037.65</v>
      </c>
      <c r="Q29" s="29">
        <v>21810</v>
      </c>
      <c r="R29" s="29">
        <v>7675.5</v>
      </c>
      <c r="S29" s="11" t="s">
        <v>58</v>
      </c>
      <c r="T29" s="11" t="s">
        <v>14</v>
      </c>
      <c r="U29" s="29">
        <v>7700</v>
      </c>
      <c r="V29" s="29">
        <f>Table1[[#This Row],[STAB]]-Table1[[#This Row],[AMOUNT]]</f>
        <v>-24.5</v>
      </c>
      <c r="W29" s="11" t="s">
        <v>800</v>
      </c>
      <c r="X29" s="11" t="s">
        <v>451</v>
      </c>
      <c r="Y29" s="11" t="s">
        <v>760</v>
      </c>
      <c r="Z29" s="12" t="s">
        <v>88</v>
      </c>
      <c r="AA29" s="12" t="s">
        <v>91</v>
      </c>
      <c r="AB29" s="11" t="s">
        <v>3139</v>
      </c>
      <c r="AC29" s="11" t="s">
        <v>357</v>
      </c>
      <c r="AD29" s="11" t="s">
        <v>395</v>
      </c>
      <c r="AE29" s="11" t="s">
        <v>423</v>
      </c>
      <c r="AF29" s="11" t="s">
        <v>54</v>
      </c>
      <c r="AG29" s="11" t="s">
        <v>95</v>
      </c>
      <c r="AH29" s="11" t="s">
        <v>465</v>
      </c>
      <c r="AI29" s="11">
        <v>802823175</v>
      </c>
      <c r="AJ29" s="11" t="s">
        <v>191</v>
      </c>
      <c r="AK29" s="11"/>
      <c r="AL29" s="11"/>
      <c r="AM29" s="12" t="s">
        <v>64</v>
      </c>
      <c r="AN29" s="11"/>
      <c r="AO29" s="11"/>
      <c r="AP29" s="11"/>
      <c r="AQ29" s="3">
        <v>45936</v>
      </c>
      <c r="AR29" s="11">
        <v>41920</v>
      </c>
      <c r="AS29" s="11" t="s">
        <v>433</v>
      </c>
      <c r="AT29" s="12" t="s">
        <v>438</v>
      </c>
      <c r="AU29" s="2">
        <v>46162</v>
      </c>
    </row>
    <row r="30" spans="1:47" x14ac:dyDescent="0.25">
      <c r="A30" s="10" t="s">
        <v>224</v>
      </c>
      <c r="B30" s="11" t="s">
        <v>262</v>
      </c>
      <c r="C30" s="11">
        <v>0</v>
      </c>
      <c r="D30" s="11" t="s">
        <v>108</v>
      </c>
      <c r="E30" s="11">
        <v>1</v>
      </c>
      <c r="F30" s="11"/>
      <c r="G30" s="11" t="s">
        <v>52</v>
      </c>
      <c r="H30" s="11">
        <v>2</v>
      </c>
      <c r="I30" s="11" t="s">
        <v>300</v>
      </c>
      <c r="J30" s="11" t="s">
        <v>42</v>
      </c>
      <c r="K30" s="11">
        <f>Table1[[#This Row],[ENR]]-Table1[[#This Row],[CREDIT]]</f>
        <v>4380.3399999999965</v>
      </c>
      <c r="L30" s="43">
        <v>120000</v>
      </c>
      <c r="M30" s="30">
        <v>124380.34</v>
      </c>
      <c r="N30" s="44">
        <v>77716.820000000007</v>
      </c>
      <c r="O30" s="29">
        <v>46663.519999999997</v>
      </c>
      <c r="P30" s="29">
        <v>42633.55</v>
      </c>
      <c r="Q30" s="29">
        <v>19250</v>
      </c>
      <c r="R30" s="29">
        <v>8000</v>
      </c>
      <c r="S30" s="11" t="s">
        <v>44</v>
      </c>
      <c r="T30" s="11" t="s">
        <v>45</v>
      </c>
      <c r="U30" s="11">
        <v>0</v>
      </c>
      <c r="V30" s="29">
        <f>Table1[[#This Row],[STAB]]-Table1[[#This Row],[AMOUNT]]</f>
        <v>8000</v>
      </c>
      <c r="W30" s="11">
        <v>0</v>
      </c>
      <c r="X30" s="11" t="s">
        <v>83</v>
      </c>
      <c r="Y30" s="11">
        <v>0</v>
      </c>
      <c r="Z30" s="12" t="s">
        <v>88</v>
      </c>
      <c r="AA30" s="12" t="s">
        <v>91</v>
      </c>
      <c r="AB30" s="11" t="s">
        <v>3139</v>
      </c>
      <c r="AC30" s="11" t="s">
        <v>339</v>
      </c>
      <c r="AD30" s="11" t="s">
        <v>377</v>
      </c>
      <c r="AE30" s="11" t="s">
        <v>415</v>
      </c>
      <c r="AF30" s="11" t="s">
        <v>53</v>
      </c>
      <c r="AG30" s="11" t="s">
        <v>105</v>
      </c>
      <c r="AH30" s="11" t="s">
        <v>85</v>
      </c>
      <c r="AI30" s="11">
        <v>801772794</v>
      </c>
      <c r="AJ30" s="11" t="s">
        <v>192</v>
      </c>
      <c r="AK30" s="11"/>
      <c r="AL30" s="11"/>
      <c r="AM30" s="12" t="s">
        <v>64</v>
      </c>
      <c r="AN30" s="11" t="s">
        <v>115</v>
      </c>
      <c r="AO30" s="11" t="s">
        <v>452</v>
      </c>
      <c r="AP30" s="11" t="s">
        <v>443</v>
      </c>
      <c r="AQ30" s="3">
        <v>46038</v>
      </c>
      <c r="AR30" s="11">
        <v>13300.3</v>
      </c>
      <c r="AS30" s="11" t="s">
        <v>48</v>
      </c>
      <c r="AT30" s="12" t="s">
        <v>438</v>
      </c>
      <c r="AU30" s="2">
        <v>46162</v>
      </c>
    </row>
    <row r="31" spans="1:47" x14ac:dyDescent="0.25">
      <c r="A31" s="10" t="s">
        <v>237</v>
      </c>
      <c r="B31" s="11" t="s">
        <v>275</v>
      </c>
      <c r="C31" s="11">
        <v>0</v>
      </c>
      <c r="D31" s="11" t="s">
        <v>108</v>
      </c>
      <c r="E31" s="11"/>
      <c r="F31" s="11"/>
      <c r="G31" s="11" t="s">
        <v>52</v>
      </c>
      <c r="H31" s="11">
        <v>2</v>
      </c>
      <c r="I31" s="11" t="s">
        <v>313</v>
      </c>
      <c r="J31" s="11" t="s">
        <v>42</v>
      </c>
      <c r="K31" s="11">
        <f>Table1[[#This Row],[ENR]]-Table1[[#This Row],[CREDIT]]</f>
        <v>3183.3500000000058</v>
      </c>
      <c r="L31" s="43">
        <v>120000</v>
      </c>
      <c r="M31" s="30">
        <v>123183.35</v>
      </c>
      <c r="N31" s="44">
        <v>28560.25</v>
      </c>
      <c r="O31" s="29">
        <v>94623.1</v>
      </c>
      <c r="P31" s="29">
        <v>85358.86</v>
      </c>
      <c r="Q31" s="29">
        <v>31610</v>
      </c>
      <c r="R31" s="29">
        <v>17080</v>
      </c>
      <c r="S31" s="11" t="s">
        <v>58</v>
      </c>
      <c r="T31" s="11" t="s">
        <v>13</v>
      </c>
      <c r="U31" s="11">
        <v>31610</v>
      </c>
      <c r="V31" s="29">
        <f>Table1[[#This Row],[STAB]]-Table1[[#This Row],[AMOUNT]]</f>
        <v>-14530</v>
      </c>
      <c r="W31" s="11" t="s">
        <v>443</v>
      </c>
      <c r="X31" s="11" t="s">
        <v>444</v>
      </c>
      <c r="Y31" s="11" t="s">
        <v>760</v>
      </c>
      <c r="Z31" s="11" t="s">
        <v>88</v>
      </c>
      <c r="AA31" s="11" t="s">
        <v>91</v>
      </c>
      <c r="AB31" s="11" t="s">
        <v>3140</v>
      </c>
      <c r="AC31" s="11" t="s">
        <v>352</v>
      </c>
      <c r="AD31" s="11" t="s">
        <v>390</v>
      </c>
      <c r="AE31" s="11" t="s">
        <v>416</v>
      </c>
      <c r="AF31" s="11" t="s">
        <v>54</v>
      </c>
      <c r="AG31" s="11" t="s">
        <v>61</v>
      </c>
      <c r="AH31" s="11" t="s">
        <v>195</v>
      </c>
      <c r="AI31" s="11">
        <v>802551967</v>
      </c>
      <c r="AJ31" s="11" t="s">
        <v>99</v>
      </c>
      <c r="AK31" s="11"/>
      <c r="AL31" s="11"/>
      <c r="AM31" s="12" t="s">
        <v>64</v>
      </c>
      <c r="AN31" s="11"/>
      <c r="AO31" s="11"/>
      <c r="AP31" s="11"/>
      <c r="AQ31" s="3" t="s">
        <v>43</v>
      </c>
      <c r="AR31" s="11">
        <v>0</v>
      </c>
      <c r="AS31" s="11" t="s">
        <v>48</v>
      </c>
      <c r="AT31" s="12" t="s">
        <v>438</v>
      </c>
      <c r="AU31" s="2">
        <v>46162</v>
      </c>
    </row>
    <row r="32" spans="1:47" x14ac:dyDescent="0.25">
      <c r="A32" s="10" t="s">
        <v>241</v>
      </c>
      <c r="B32" s="11" t="s">
        <v>279</v>
      </c>
      <c r="C32" s="11">
        <v>0</v>
      </c>
      <c r="D32" s="11" t="s">
        <v>108</v>
      </c>
      <c r="E32" s="11"/>
      <c r="F32" s="11"/>
      <c r="G32" s="11" t="s">
        <v>52</v>
      </c>
      <c r="H32" s="11">
        <v>2</v>
      </c>
      <c r="I32" s="11" t="s">
        <v>317</v>
      </c>
      <c r="J32" s="11" t="s">
        <v>42</v>
      </c>
      <c r="K32" s="11">
        <f>Table1[[#This Row],[ENR]]-Table1[[#This Row],[CREDIT]]</f>
        <v>-280229.89</v>
      </c>
      <c r="L32" s="43">
        <v>402500</v>
      </c>
      <c r="M32" s="30">
        <v>122270.11</v>
      </c>
      <c r="N32" s="44" t="s">
        <v>43</v>
      </c>
      <c r="O32" s="29">
        <v>122270.11</v>
      </c>
      <c r="P32" s="29">
        <v>116216.59</v>
      </c>
      <c r="Q32" s="29">
        <v>19760</v>
      </c>
      <c r="R32" s="29">
        <v>5680</v>
      </c>
      <c r="S32" s="11" t="s">
        <v>58</v>
      </c>
      <c r="T32" s="11" t="s">
        <v>14</v>
      </c>
      <c r="U32" s="29">
        <v>5680</v>
      </c>
      <c r="V32" s="29">
        <f>Table1[[#This Row],[STAB]]-Table1[[#This Row],[AMOUNT]]</f>
        <v>0</v>
      </c>
      <c r="W32" s="11" t="s">
        <v>1497</v>
      </c>
      <c r="X32" s="11" t="s">
        <v>451</v>
      </c>
      <c r="Y32" s="11" t="s">
        <v>760</v>
      </c>
      <c r="Z32" s="12" t="s">
        <v>88</v>
      </c>
      <c r="AA32" s="12" t="s">
        <v>91</v>
      </c>
      <c r="AB32" s="11" t="s">
        <v>3139</v>
      </c>
      <c r="AC32" s="11" t="s">
        <v>356</v>
      </c>
      <c r="AD32" s="11" t="s">
        <v>394</v>
      </c>
      <c r="AE32" s="11" t="s">
        <v>104</v>
      </c>
      <c r="AF32" s="11" t="s">
        <v>54</v>
      </c>
      <c r="AG32" s="11" t="s">
        <v>109</v>
      </c>
      <c r="AH32" s="11" t="s">
        <v>196</v>
      </c>
      <c r="AI32" s="11">
        <v>802555024</v>
      </c>
      <c r="AJ32" s="11" t="s">
        <v>99</v>
      </c>
      <c r="AK32" s="11"/>
      <c r="AL32" s="11"/>
      <c r="AM32" s="12" t="s">
        <v>64</v>
      </c>
      <c r="AN32" s="11" t="s">
        <v>221</v>
      </c>
      <c r="AO32" s="11" t="s">
        <v>1495</v>
      </c>
      <c r="AP32" s="11" t="s">
        <v>800</v>
      </c>
      <c r="AQ32" s="3">
        <v>46098</v>
      </c>
      <c r="AR32" s="11">
        <v>70741.02</v>
      </c>
      <c r="AS32" s="11" t="s">
        <v>432</v>
      </c>
      <c r="AT32" s="12" t="s">
        <v>438</v>
      </c>
      <c r="AU32" s="2">
        <v>46162</v>
      </c>
    </row>
    <row r="33" spans="1:47" x14ac:dyDescent="0.25">
      <c r="A33" s="10" t="s">
        <v>256</v>
      </c>
      <c r="B33" s="11" t="s">
        <v>294</v>
      </c>
      <c r="C33" s="11">
        <v>0</v>
      </c>
      <c r="D33" s="11" t="s">
        <v>108</v>
      </c>
      <c r="E33" s="11"/>
      <c r="F33" s="11"/>
      <c r="G33" s="11" t="s">
        <v>52</v>
      </c>
      <c r="H33" s="11">
        <v>2</v>
      </c>
      <c r="I33" s="11" t="s">
        <v>332</v>
      </c>
      <c r="J33" s="11" t="s">
        <v>42</v>
      </c>
      <c r="K33" s="11">
        <f>Table1[[#This Row],[ENR]]-Table1[[#This Row],[CREDIT]]</f>
        <v>18632.169999999998</v>
      </c>
      <c r="L33" s="43">
        <v>100000</v>
      </c>
      <c r="M33" s="30">
        <v>118632.17</v>
      </c>
      <c r="N33" s="44">
        <v>101757.62</v>
      </c>
      <c r="O33" s="29">
        <v>16874.55</v>
      </c>
      <c r="P33" s="29">
        <v>16183.85</v>
      </c>
      <c r="Q33" s="29">
        <v>16874.55</v>
      </c>
      <c r="R33" s="29">
        <v>7594.07</v>
      </c>
      <c r="S33" s="11" t="s">
        <v>44</v>
      </c>
      <c r="T33" s="11" t="s">
        <v>45</v>
      </c>
      <c r="U33" s="11">
        <v>0</v>
      </c>
      <c r="V33" s="29">
        <f>Table1[[#This Row],[STAB]]-Table1[[#This Row],[AMOUNT]]</f>
        <v>7594.07</v>
      </c>
      <c r="W33" s="11">
        <v>0</v>
      </c>
      <c r="X33" s="11" t="s">
        <v>83</v>
      </c>
      <c r="Y33" s="11">
        <v>0</v>
      </c>
      <c r="Z33" s="12" t="s">
        <v>88</v>
      </c>
      <c r="AA33" s="12" t="s">
        <v>91</v>
      </c>
      <c r="AB33" s="11" t="s">
        <v>3139</v>
      </c>
      <c r="AC33" s="11" t="s">
        <v>371</v>
      </c>
      <c r="AD33" s="11" t="s">
        <v>409</v>
      </c>
      <c r="AE33" s="11" t="s">
        <v>123</v>
      </c>
      <c r="AF33" s="11" t="s">
        <v>127</v>
      </c>
      <c r="AG33" s="11" t="s">
        <v>96</v>
      </c>
      <c r="AH33" s="11" t="s">
        <v>461</v>
      </c>
      <c r="AI33" s="11">
        <v>801436997</v>
      </c>
      <c r="AJ33" s="11" t="s">
        <v>190</v>
      </c>
      <c r="AK33" s="11"/>
      <c r="AL33" s="11"/>
      <c r="AM33" s="12" t="s">
        <v>64</v>
      </c>
      <c r="AN33" s="11" t="s">
        <v>115</v>
      </c>
      <c r="AO33" s="11" t="s">
        <v>805</v>
      </c>
      <c r="AP33" s="11" t="s">
        <v>800</v>
      </c>
      <c r="AQ33" s="3">
        <v>45736</v>
      </c>
      <c r="AR33" s="11">
        <v>7756.19</v>
      </c>
      <c r="AS33" s="11" t="s">
        <v>48</v>
      </c>
      <c r="AT33" s="12" t="s">
        <v>438</v>
      </c>
      <c r="AU33" s="2">
        <v>46162</v>
      </c>
    </row>
    <row r="34" spans="1:47" x14ac:dyDescent="0.25">
      <c r="A34" s="10" t="s">
        <v>239</v>
      </c>
      <c r="B34" s="11" t="s">
        <v>277</v>
      </c>
      <c r="C34" s="11">
        <v>0</v>
      </c>
      <c r="D34" s="11" t="s">
        <v>108</v>
      </c>
      <c r="E34" s="11"/>
      <c r="F34" s="11"/>
      <c r="G34" s="11" t="s">
        <v>52</v>
      </c>
      <c r="H34" s="11">
        <v>2</v>
      </c>
      <c r="I34" s="11" t="s">
        <v>315</v>
      </c>
      <c r="J34" s="11" t="s">
        <v>42</v>
      </c>
      <c r="K34" s="11">
        <f>Table1[[#This Row],[ENR]]-Table1[[#This Row],[CREDIT]]</f>
        <v>8395.7100000000064</v>
      </c>
      <c r="L34" s="43">
        <v>100000</v>
      </c>
      <c r="M34" s="30">
        <v>108395.71</v>
      </c>
      <c r="N34" s="44" t="s">
        <v>43</v>
      </c>
      <c r="O34" s="29">
        <v>108395.71</v>
      </c>
      <c r="P34" s="29">
        <v>102530.7</v>
      </c>
      <c r="Q34" s="29">
        <v>26180</v>
      </c>
      <c r="R34" s="29">
        <v>5000</v>
      </c>
      <c r="S34" s="11" t="s">
        <v>44</v>
      </c>
      <c r="T34" s="11" t="s">
        <v>45</v>
      </c>
      <c r="U34" s="11">
        <v>0</v>
      </c>
      <c r="V34" s="29">
        <f>Table1[[#This Row],[STAB]]-Table1[[#This Row],[AMOUNT]]</f>
        <v>5000</v>
      </c>
      <c r="W34" s="11">
        <v>0</v>
      </c>
      <c r="X34" s="11" t="s">
        <v>83</v>
      </c>
      <c r="Y34" s="11">
        <v>0</v>
      </c>
      <c r="Z34" s="12" t="s">
        <v>88</v>
      </c>
      <c r="AA34" s="12" t="s">
        <v>91</v>
      </c>
      <c r="AB34" s="11" t="s">
        <v>3140</v>
      </c>
      <c r="AC34" s="11" t="s">
        <v>354</v>
      </c>
      <c r="AD34" s="11" t="s">
        <v>392</v>
      </c>
      <c r="AE34" s="11" t="s">
        <v>421</v>
      </c>
      <c r="AF34" s="11" t="s">
        <v>54</v>
      </c>
      <c r="AG34" s="11" t="s">
        <v>119</v>
      </c>
      <c r="AH34" s="11" t="s">
        <v>626</v>
      </c>
      <c r="AI34" s="11">
        <v>802663344</v>
      </c>
      <c r="AJ34" s="11" t="s">
        <v>191</v>
      </c>
      <c r="AK34" s="11"/>
      <c r="AL34" s="11"/>
      <c r="AM34" s="12" t="s">
        <v>64</v>
      </c>
      <c r="AN34" s="11" t="s">
        <v>219</v>
      </c>
      <c r="AO34" s="11" t="s">
        <v>445</v>
      </c>
      <c r="AP34" s="11" t="s">
        <v>443</v>
      </c>
      <c r="AQ34" s="3">
        <v>45490</v>
      </c>
      <c r="AR34" s="11">
        <v>39000</v>
      </c>
      <c r="AS34" s="11" t="s">
        <v>431</v>
      </c>
      <c r="AT34" s="12" t="s">
        <v>438</v>
      </c>
      <c r="AU34" s="2">
        <v>46162</v>
      </c>
    </row>
    <row r="35" spans="1:47" x14ac:dyDescent="0.25">
      <c r="A35" s="10" t="s">
        <v>258</v>
      </c>
      <c r="B35" s="11" t="s">
        <v>296</v>
      </c>
      <c r="C35" s="11">
        <v>0</v>
      </c>
      <c r="D35" s="11" t="s">
        <v>108</v>
      </c>
      <c r="E35" s="11"/>
      <c r="F35" s="11"/>
      <c r="G35" s="11" t="s">
        <v>52</v>
      </c>
      <c r="H35" s="11">
        <v>2</v>
      </c>
      <c r="I35" s="11" t="s">
        <v>334</v>
      </c>
      <c r="J35" s="11" t="s">
        <v>42</v>
      </c>
      <c r="K35" s="11">
        <f>Table1[[#This Row],[ENR]]-Table1[[#This Row],[CREDIT]]</f>
        <v>6737.3500000000058</v>
      </c>
      <c r="L35" s="43">
        <v>100000</v>
      </c>
      <c r="M35" s="30">
        <v>106737.35</v>
      </c>
      <c r="N35" s="44">
        <v>43996.31</v>
      </c>
      <c r="O35" s="29">
        <v>62741.04</v>
      </c>
      <c r="P35" s="29">
        <v>58128.15</v>
      </c>
      <c r="Q35" s="29">
        <v>15980</v>
      </c>
      <c r="R35" s="29">
        <v>5400</v>
      </c>
      <c r="S35" s="11" t="s">
        <v>44</v>
      </c>
      <c r="T35" s="11" t="s">
        <v>45</v>
      </c>
      <c r="U35" s="11">
        <v>0</v>
      </c>
      <c r="V35" s="29">
        <f>Table1[[#This Row],[STAB]]-Table1[[#This Row],[AMOUNT]]</f>
        <v>5400</v>
      </c>
      <c r="W35" s="11">
        <v>0</v>
      </c>
      <c r="X35" s="11" t="s">
        <v>83</v>
      </c>
      <c r="Y35" s="11">
        <v>0</v>
      </c>
      <c r="Z35" s="12" t="s">
        <v>88</v>
      </c>
      <c r="AA35" s="12" t="s">
        <v>91</v>
      </c>
      <c r="AB35" s="11" t="s">
        <v>3140</v>
      </c>
      <c r="AC35" s="11" t="s">
        <v>373</v>
      </c>
      <c r="AD35" s="11" t="s">
        <v>411</v>
      </c>
      <c r="AE35" s="11" t="s">
        <v>416</v>
      </c>
      <c r="AF35" s="11" t="s">
        <v>54</v>
      </c>
      <c r="AG35" s="11" t="s">
        <v>130</v>
      </c>
      <c r="AH35" s="11" t="s">
        <v>469</v>
      </c>
      <c r="AI35" s="11">
        <v>802835406</v>
      </c>
      <c r="AJ35" s="11" t="s">
        <v>99</v>
      </c>
      <c r="AK35" s="11"/>
      <c r="AL35" s="11"/>
      <c r="AM35" s="12" t="s">
        <v>64</v>
      </c>
      <c r="AN35" s="11" t="s">
        <v>446</v>
      </c>
      <c r="AO35" s="11" t="s">
        <v>616</v>
      </c>
      <c r="AP35" s="11" t="s">
        <v>472</v>
      </c>
      <c r="AQ35" s="3" t="s">
        <v>43</v>
      </c>
      <c r="AR35" s="11">
        <v>0</v>
      </c>
      <c r="AS35" s="11" t="s">
        <v>48</v>
      </c>
      <c r="AT35" s="12" t="s">
        <v>438</v>
      </c>
      <c r="AU35" s="2">
        <v>46162</v>
      </c>
    </row>
    <row r="36" spans="1:47" x14ac:dyDescent="0.25">
      <c r="A36" s="10" t="s">
        <v>238</v>
      </c>
      <c r="B36" s="11" t="s">
        <v>276</v>
      </c>
      <c r="C36" s="11">
        <v>0</v>
      </c>
      <c r="D36" s="11" t="s">
        <v>108</v>
      </c>
      <c r="E36" s="11"/>
      <c r="F36" s="11"/>
      <c r="G36" s="11" t="s">
        <v>52</v>
      </c>
      <c r="H36" s="11">
        <v>2</v>
      </c>
      <c r="I36" s="11" t="s">
        <v>314</v>
      </c>
      <c r="J36" s="11" t="s">
        <v>42</v>
      </c>
      <c r="K36" s="11">
        <f>Table1[[#This Row],[ENR]]-Table1[[#This Row],[CREDIT]]</f>
        <v>-14336.039999999994</v>
      </c>
      <c r="L36" s="43">
        <v>120000</v>
      </c>
      <c r="M36" s="30">
        <v>105663.96</v>
      </c>
      <c r="N36" s="44" t="s">
        <v>43</v>
      </c>
      <c r="O36" s="29">
        <v>105663.96</v>
      </c>
      <c r="P36" s="29">
        <v>98151.16</v>
      </c>
      <c r="Q36" s="29">
        <v>17520</v>
      </c>
      <c r="R36" s="29">
        <v>7080</v>
      </c>
      <c r="S36" s="11" t="s">
        <v>58</v>
      </c>
      <c r="T36" s="11" t="s">
        <v>13</v>
      </c>
      <c r="U36" s="11">
        <v>98152</v>
      </c>
      <c r="V36" s="29">
        <f>Table1[[#This Row],[STAB]]-Table1[[#This Row],[AMOUNT]]</f>
        <v>-91072</v>
      </c>
      <c r="W36" s="11" t="s">
        <v>1497</v>
      </c>
      <c r="X36" s="11" t="s">
        <v>444</v>
      </c>
      <c r="Y36" s="11" t="s">
        <v>1085</v>
      </c>
      <c r="Z36" s="12" t="s">
        <v>88</v>
      </c>
      <c r="AA36" s="12" t="s">
        <v>91</v>
      </c>
      <c r="AB36" s="11" t="s">
        <v>3139</v>
      </c>
      <c r="AC36" s="11" t="s">
        <v>353</v>
      </c>
      <c r="AD36" s="11" t="s">
        <v>391</v>
      </c>
      <c r="AE36" s="11" t="s">
        <v>413</v>
      </c>
      <c r="AF36" s="11" t="s">
        <v>54</v>
      </c>
      <c r="AG36" s="11" t="s">
        <v>146</v>
      </c>
      <c r="AH36" s="11" t="s">
        <v>459</v>
      </c>
      <c r="AI36" s="11">
        <v>802789320</v>
      </c>
      <c r="AJ36" s="11" t="s">
        <v>190</v>
      </c>
      <c r="AK36" s="11"/>
      <c r="AL36" s="11"/>
      <c r="AM36" s="12" t="s">
        <v>64</v>
      </c>
      <c r="AN36" s="11" t="s">
        <v>446</v>
      </c>
      <c r="AO36" s="11" t="s">
        <v>1083</v>
      </c>
      <c r="AP36" s="11" t="s">
        <v>800</v>
      </c>
      <c r="AQ36" s="3">
        <v>46017</v>
      </c>
      <c r="AR36" s="11">
        <v>2</v>
      </c>
      <c r="AS36" s="11" t="s">
        <v>48</v>
      </c>
      <c r="AT36" s="12" t="s">
        <v>438</v>
      </c>
      <c r="AU36" s="2">
        <v>46162</v>
      </c>
    </row>
    <row r="37" spans="1:47" x14ac:dyDescent="0.25">
      <c r="A37" s="10" t="s">
        <v>223</v>
      </c>
      <c r="B37" s="11" t="s">
        <v>261</v>
      </c>
      <c r="C37" s="11">
        <v>0</v>
      </c>
      <c r="D37" s="11" t="s">
        <v>108</v>
      </c>
      <c r="E37" s="11"/>
      <c r="F37" s="11"/>
      <c r="G37" s="11" t="s">
        <v>52</v>
      </c>
      <c r="H37" s="11">
        <v>2</v>
      </c>
      <c r="I37" s="11" t="s">
        <v>299</v>
      </c>
      <c r="J37" s="11" t="s">
        <v>42</v>
      </c>
      <c r="K37" s="11">
        <f>Table1[[#This Row],[ENR]]-Table1[[#This Row],[CREDIT]]</f>
        <v>5463.3800000000047</v>
      </c>
      <c r="L37" s="43">
        <v>100000</v>
      </c>
      <c r="M37" s="30">
        <v>105463.38</v>
      </c>
      <c r="N37" s="44">
        <v>31800.65</v>
      </c>
      <c r="O37" s="29">
        <v>73662.73</v>
      </c>
      <c r="P37" s="29">
        <v>70049.789999999994</v>
      </c>
      <c r="Q37" s="29">
        <v>67940</v>
      </c>
      <c r="R37" s="29">
        <v>30740</v>
      </c>
      <c r="S37" s="11" t="s">
        <v>58</v>
      </c>
      <c r="T37" s="11" t="s">
        <v>14</v>
      </c>
      <c r="U37" s="29">
        <v>30790</v>
      </c>
      <c r="V37" s="29">
        <f>Table1[[#This Row],[STAB]]-Table1[[#This Row],[AMOUNT]]</f>
        <v>-50</v>
      </c>
      <c r="W37" s="11">
        <v>0</v>
      </c>
      <c r="X37" s="11" t="s">
        <v>83</v>
      </c>
      <c r="Y37" s="11" t="s">
        <v>760</v>
      </c>
      <c r="Z37" s="12" t="s">
        <v>88</v>
      </c>
      <c r="AA37" s="12" t="s">
        <v>91</v>
      </c>
      <c r="AB37" s="11" t="s">
        <v>3141</v>
      </c>
      <c r="AC37" s="11" t="s">
        <v>338</v>
      </c>
      <c r="AD37" s="11" t="s">
        <v>376</v>
      </c>
      <c r="AE37" s="11" t="s">
        <v>414</v>
      </c>
      <c r="AF37" s="11" t="s">
        <v>127</v>
      </c>
      <c r="AG37" s="11" t="s">
        <v>106</v>
      </c>
      <c r="AH37" s="11" t="s">
        <v>460</v>
      </c>
      <c r="AI37" s="11">
        <v>802913252</v>
      </c>
      <c r="AJ37" s="11" t="s">
        <v>190</v>
      </c>
      <c r="AK37" s="11"/>
      <c r="AL37" s="11"/>
      <c r="AM37" s="12" t="s">
        <v>64</v>
      </c>
      <c r="AN37" s="11" t="s">
        <v>115</v>
      </c>
      <c r="AO37" s="11" t="s">
        <v>1496</v>
      </c>
      <c r="AP37" s="11" t="s">
        <v>800</v>
      </c>
      <c r="AQ37" s="3">
        <v>46050</v>
      </c>
      <c r="AR37" s="11">
        <v>33000</v>
      </c>
      <c r="AS37" s="11" t="s">
        <v>48</v>
      </c>
      <c r="AT37" s="12" t="s">
        <v>438</v>
      </c>
      <c r="AU37" s="2">
        <v>46162</v>
      </c>
    </row>
    <row r="38" spans="1:47" x14ac:dyDescent="0.25">
      <c r="A38" s="10" t="s">
        <v>259</v>
      </c>
      <c r="B38" s="11" t="s">
        <v>297</v>
      </c>
      <c r="C38" s="11">
        <v>0</v>
      </c>
      <c r="D38" s="11" t="s">
        <v>108</v>
      </c>
      <c r="E38" s="11"/>
      <c r="F38" s="11"/>
      <c r="G38" s="11" t="s">
        <v>52</v>
      </c>
      <c r="H38" s="11">
        <v>2</v>
      </c>
      <c r="I38" s="11" t="s">
        <v>335</v>
      </c>
      <c r="J38" s="11" t="s">
        <v>42</v>
      </c>
      <c r="K38" s="11">
        <f>Table1[[#This Row],[ENR]]-Table1[[#This Row],[CREDIT]]</f>
        <v>-20042.580000000002</v>
      </c>
      <c r="L38" s="43">
        <v>120000</v>
      </c>
      <c r="M38" s="30">
        <v>99957.42</v>
      </c>
      <c r="N38" s="44" t="s">
        <v>43</v>
      </c>
      <c r="O38" s="29">
        <v>99957.42</v>
      </c>
      <c r="P38" s="29">
        <v>95648.21</v>
      </c>
      <c r="Q38" s="29">
        <v>12620</v>
      </c>
      <c r="R38" s="29">
        <v>5710</v>
      </c>
      <c r="S38" s="11" t="s">
        <v>58</v>
      </c>
      <c r="T38" s="11" t="s">
        <v>13</v>
      </c>
      <c r="U38" s="11">
        <v>12620</v>
      </c>
      <c r="V38" s="29">
        <f>Table1[[#This Row],[STAB]]-Table1[[#This Row],[AMOUNT]]</f>
        <v>-6910</v>
      </c>
      <c r="W38" s="11" t="s">
        <v>443</v>
      </c>
      <c r="X38" s="11" t="s">
        <v>451</v>
      </c>
      <c r="Y38" s="11" t="s">
        <v>760</v>
      </c>
      <c r="Z38" s="12" t="s">
        <v>88</v>
      </c>
      <c r="AA38" s="12" t="s">
        <v>91</v>
      </c>
      <c r="AB38" s="11" t="s">
        <v>3139</v>
      </c>
      <c r="AC38" s="11" t="s">
        <v>374</v>
      </c>
      <c r="AD38" s="11" t="s">
        <v>412</v>
      </c>
      <c r="AE38" s="11" t="s">
        <v>218</v>
      </c>
      <c r="AF38" s="11" t="s">
        <v>84</v>
      </c>
      <c r="AG38" s="11" t="s">
        <v>97</v>
      </c>
      <c r="AH38" s="11" t="s">
        <v>88</v>
      </c>
      <c r="AI38" s="11">
        <v>801723195</v>
      </c>
      <c r="AJ38" s="11" t="s">
        <v>191</v>
      </c>
      <c r="AK38" s="11"/>
      <c r="AL38" s="11"/>
      <c r="AM38" s="12" t="s">
        <v>64</v>
      </c>
      <c r="AN38" s="11" t="s">
        <v>221</v>
      </c>
      <c r="AO38" s="11" t="s">
        <v>450</v>
      </c>
      <c r="AP38" s="11" t="s">
        <v>443</v>
      </c>
      <c r="AQ38" s="3" t="s">
        <v>43</v>
      </c>
      <c r="AR38" s="11">
        <v>0</v>
      </c>
      <c r="AS38" s="11" t="s">
        <v>48</v>
      </c>
      <c r="AT38" s="12" t="s">
        <v>438</v>
      </c>
      <c r="AU38" s="2">
        <v>46162</v>
      </c>
    </row>
    <row r="39" spans="1:47" x14ac:dyDescent="0.25">
      <c r="A39" s="45" t="s">
        <v>236</v>
      </c>
      <c r="B39" s="12" t="s">
        <v>274</v>
      </c>
      <c r="C39" s="11">
        <v>0</v>
      </c>
      <c r="D39" s="11" t="s">
        <v>108</v>
      </c>
      <c r="E39" s="11"/>
      <c r="F39" s="11"/>
      <c r="G39" s="11" t="s">
        <v>52</v>
      </c>
      <c r="H39" s="12">
        <v>2</v>
      </c>
      <c r="I39" s="12" t="s">
        <v>312</v>
      </c>
      <c r="J39" s="12" t="s">
        <v>42</v>
      </c>
      <c r="K39" s="12">
        <f>Table1[[#This Row],[ENR]]-Table1[[#This Row],[CREDIT]]</f>
        <v>-413310.03</v>
      </c>
      <c r="L39" s="46">
        <v>500000</v>
      </c>
      <c r="M39" s="47">
        <v>86689.97</v>
      </c>
      <c r="N39" s="48" t="s">
        <v>43</v>
      </c>
      <c r="O39" s="49">
        <v>86689.97</v>
      </c>
      <c r="P39" s="49">
        <v>75578.45</v>
      </c>
      <c r="Q39" s="29">
        <v>17370</v>
      </c>
      <c r="R39" s="29">
        <v>8770</v>
      </c>
      <c r="S39" s="11" t="s">
        <v>58</v>
      </c>
      <c r="T39" s="11" t="s">
        <v>13</v>
      </c>
      <c r="U39" s="11">
        <v>17370</v>
      </c>
      <c r="V39" s="49">
        <f>Table1[[#This Row],[STAB]]-Table1[[#This Row],[AMOUNT]]</f>
        <v>-8600</v>
      </c>
      <c r="W39" s="11" t="s">
        <v>472</v>
      </c>
      <c r="X39" s="11" t="s">
        <v>451</v>
      </c>
      <c r="Y39" s="11" t="s">
        <v>760</v>
      </c>
      <c r="Z39" s="12" t="s">
        <v>88</v>
      </c>
      <c r="AA39" s="12" t="s">
        <v>91</v>
      </c>
      <c r="AB39" s="12" t="s">
        <v>3139</v>
      </c>
      <c r="AC39" s="12" t="s">
        <v>351</v>
      </c>
      <c r="AD39" s="12" t="s">
        <v>389</v>
      </c>
      <c r="AE39" s="12" t="s">
        <v>218</v>
      </c>
      <c r="AF39" s="12" t="s">
        <v>84</v>
      </c>
      <c r="AG39" s="12" t="s">
        <v>97</v>
      </c>
      <c r="AH39" s="11" t="s">
        <v>88</v>
      </c>
      <c r="AI39" s="12">
        <v>801723195</v>
      </c>
      <c r="AJ39" s="12" t="s">
        <v>191</v>
      </c>
      <c r="AK39" s="12"/>
      <c r="AL39" s="12"/>
      <c r="AM39" s="12" t="s">
        <v>64</v>
      </c>
      <c r="AN39" s="12" t="s">
        <v>115</v>
      </c>
      <c r="AO39" s="12" t="s">
        <v>471</v>
      </c>
      <c r="AP39" s="12" t="s">
        <v>472</v>
      </c>
      <c r="AQ39" s="50">
        <v>46097</v>
      </c>
      <c r="AR39" s="12">
        <v>5507.88</v>
      </c>
      <c r="AS39" s="12" t="s">
        <v>48</v>
      </c>
      <c r="AT39" s="12" t="s">
        <v>438</v>
      </c>
      <c r="AU39" s="51">
        <v>46162</v>
      </c>
    </row>
    <row r="40" spans="1:47" x14ac:dyDescent="0.25">
      <c r="A40" s="10" t="s">
        <v>235</v>
      </c>
      <c r="B40" s="11" t="s">
        <v>273</v>
      </c>
      <c r="C40" s="11">
        <v>0</v>
      </c>
      <c r="D40" s="11" t="s">
        <v>108</v>
      </c>
      <c r="E40" s="11"/>
      <c r="F40" s="11"/>
      <c r="G40" s="11" t="s">
        <v>90</v>
      </c>
      <c r="H40" s="11">
        <v>2</v>
      </c>
      <c r="I40" s="11" t="s">
        <v>311</v>
      </c>
      <c r="J40" s="11" t="s">
        <v>42</v>
      </c>
      <c r="K40" s="11">
        <f>Table1[[#This Row],[ENR]]-Table1[[#This Row],[CREDIT]]</f>
        <v>3136.1499999999942</v>
      </c>
      <c r="L40" s="43">
        <v>80000</v>
      </c>
      <c r="M40" s="30">
        <v>83136.149999999994</v>
      </c>
      <c r="N40" s="44" t="s">
        <v>43</v>
      </c>
      <c r="O40" s="29">
        <v>83136.149999999994</v>
      </c>
      <c r="P40" s="29">
        <v>79579.429999999993</v>
      </c>
      <c r="Q40" s="29">
        <v>21540</v>
      </c>
      <c r="R40" s="29">
        <v>13094.8</v>
      </c>
      <c r="S40" s="11" t="s">
        <v>58</v>
      </c>
      <c r="T40" s="11" t="s">
        <v>14</v>
      </c>
      <c r="U40" s="29">
        <v>13200</v>
      </c>
      <c r="V40" s="29">
        <f>Table1[[#This Row],[STAB]]-Table1[[#This Row],[AMOUNT]]</f>
        <v>-105.20000000000073</v>
      </c>
      <c r="W40" s="11" t="s">
        <v>639</v>
      </c>
      <c r="X40" s="11" t="s">
        <v>451</v>
      </c>
      <c r="Y40" s="11" t="s">
        <v>760</v>
      </c>
      <c r="Z40" s="12" t="s">
        <v>88</v>
      </c>
      <c r="AA40" s="12" t="s">
        <v>91</v>
      </c>
      <c r="AB40" s="11" t="s">
        <v>3139</v>
      </c>
      <c r="AC40" s="11" t="s">
        <v>350</v>
      </c>
      <c r="AD40" s="11" t="s">
        <v>388</v>
      </c>
      <c r="AE40" s="11" t="s">
        <v>123</v>
      </c>
      <c r="AF40" s="11" t="s">
        <v>127</v>
      </c>
      <c r="AG40" s="11" t="s">
        <v>96</v>
      </c>
      <c r="AH40" s="11" t="s">
        <v>461</v>
      </c>
      <c r="AI40" s="11">
        <v>801436997</v>
      </c>
      <c r="AJ40" s="11" t="s">
        <v>190</v>
      </c>
      <c r="AK40" s="11"/>
      <c r="AL40" s="11"/>
      <c r="AM40" s="12" t="s">
        <v>64</v>
      </c>
      <c r="AN40" s="11" t="s">
        <v>446</v>
      </c>
      <c r="AO40" s="11" t="s">
        <v>455</v>
      </c>
      <c r="AP40" s="11" t="s">
        <v>454</v>
      </c>
      <c r="AQ40" s="3">
        <v>45772</v>
      </c>
      <c r="AR40" s="11">
        <v>101</v>
      </c>
      <c r="AS40" s="11" t="s">
        <v>48</v>
      </c>
      <c r="AT40" s="12" t="s">
        <v>438</v>
      </c>
      <c r="AU40" s="2">
        <v>46162</v>
      </c>
    </row>
    <row r="41" spans="1:47" x14ac:dyDescent="0.25">
      <c r="A41" s="10" t="s">
        <v>254</v>
      </c>
      <c r="B41" s="11" t="s">
        <v>292</v>
      </c>
      <c r="C41" s="11">
        <v>0</v>
      </c>
      <c r="D41" s="11" t="s">
        <v>108</v>
      </c>
      <c r="E41" s="11"/>
      <c r="F41" s="11"/>
      <c r="G41" s="11" t="s">
        <v>52</v>
      </c>
      <c r="H41" s="11">
        <v>2</v>
      </c>
      <c r="I41" s="11" t="s">
        <v>330</v>
      </c>
      <c r="J41" s="11" t="s">
        <v>336</v>
      </c>
      <c r="K41" s="11">
        <f>Table1[[#This Row],[ENR]]-Table1[[#This Row],[CREDIT]]</f>
        <v>-21450.820000000007</v>
      </c>
      <c r="L41" s="43">
        <v>100000</v>
      </c>
      <c r="M41" s="30">
        <v>78549.179999999993</v>
      </c>
      <c r="N41" s="44" t="s">
        <v>43</v>
      </c>
      <c r="O41" s="29">
        <v>78549.179999999993</v>
      </c>
      <c r="P41" s="29">
        <v>72434.25</v>
      </c>
      <c r="Q41" s="29">
        <v>11160</v>
      </c>
      <c r="R41" s="29">
        <v>4340</v>
      </c>
      <c r="S41" s="11" t="s">
        <v>58</v>
      </c>
      <c r="T41" s="11" t="s">
        <v>13</v>
      </c>
      <c r="U41" s="11">
        <v>12000</v>
      </c>
      <c r="V41" s="29">
        <f>Table1[[#This Row],[STAB]]-Table1[[#This Row],[AMOUNT]]</f>
        <v>-7660</v>
      </c>
      <c r="W41" s="11" t="s">
        <v>796</v>
      </c>
      <c r="X41" s="11" t="s">
        <v>451</v>
      </c>
      <c r="Y41" s="11" t="s">
        <v>1085</v>
      </c>
      <c r="Z41" s="12" t="s">
        <v>88</v>
      </c>
      <c r="AA41" s="12" t="s">
        <v>91</v>
      </c>
      <c r="AB41" s="11" t="s">
        <v>3139</v>
      </c>
      <c r="AC41" s="11" t="s">
        <v>369</v>
      </c>
      <c r="AD41" s="11" t="s">
        <v>407</v>
      </c>
      <c r="AE41" s="11" t="s">
        <v>428</v>
      </c>
      <c r="AF41" s="11" t="s">
        <v>53</v>
      </c>
      <c r="AG41" s="11" t="s">
        <v>114</v>
      </c>
      <c r="AH41" s="11" t="s">
        <v>468</v>
      </c>
      <c r="AI41" s="11">
        <v>802030802</v>
      </c>
      <c r="AJ41" s="11" t="s">
        <v>458</v>
      </c>
      <c r="AK41" s="11"/>
      <c r="AL41" s="11"/>
      <c r="AM41" s="12" t="s">
        <v>64</v>
      </c>
      <c r="AN41" s="11" t="s">
        <v>446</v>
      </c>
      <c r="AO41" s="11" t="s">
        <v>453</v>
      </c>
      <c r="AP41" s="11" t="s">
        <v>443</v>
      </c>
      <c r="AQ41" s="3">
        <v>46083</v>
      </c>
      <c r="AR41" s="11">
        <v>14500</v>
      </c>
      <c r="AS41" s="11" t="s">
        <v>437</v>
      </c>
      <c r="AT41" s="12" t="s">
        <v>438</v>
      </c>
      <c r="AU41" s="2">
        <v>46162</v>
      </c>
    </row>
    <row r="42" spans="1:47" x14ac:dyDescent="0.25">
      <c r="A42" s="45" t="s">
        <v>232</v>
      </c>
      <c r="B42" s="12" t="s">
        <v>270</v>
      </c>
      <c r="C42" s="11">
        <v>0</v>
      </c>
      <c r="D42" s="11" t="s">
        <v>108</v>
      </c>
      <c r="E42" s="11"/>
      <c r="F42" s="11"/>
      <c r="G42" s="11" t="s">
        <v>90</v>
      </c>
      <c r="H42" s="12">
        <v>2</v>
      </c>
      <c r="I42" s="12" t="s">
        <v>308</v>
      </c>
      <c r="J42" s="12" t="s">
        <v>42</v>
      </c>
      <c r="K42" s="12">
        <f>Table1[[#This Row],[ENR]]-Table1[[#This Row],[CREDIT]]</f>
        <v>-159786.5</v>
      </c>
      <c r="L42" s="46">
        <v>230000</v>
      </c>
      <c r="M42" s="47">
        <v>70213.5</v>
      </c>
      <c r="N42" s="48" t="s">
        <v>43</v>
      </c>
      <c r="O42" s="49">
        <v>70213.5</v>
      </c>
      <c r="P42" s="49">
        <v>64287.07</v>
      </c>
      <c r="Q42" s="29">
        <v>14880</v>
      </c>
      <c r="R42" s="29">
        <v>7510</v>
      </c>
      <c r="S42" s="11" t="s">
        <v>44</v>
      </c>
      <c r="T42" s="11" t="s">
        <v>45</v>
      </c>
      <c r="U42" s="11">
        <v>0</v>
      </c>
      <c r="V42" s="49">
        <f>Table1[[#This Row],[STAB]]-Table1[[#This Row],[AMOUNT]]</f>
        <v>7510</v>
      </c>
      <c r="W42" s="11">
        <v>0</v>
      </c>
      <c r="X42" s="11" t="s">
        <v>83</v>
      </c>
      <c r="Y42" s="11">
        <v>0</v>
      </c>
      <c r="Z42" s="12" t="s">
        <v>88</v>
      </c>
      <c r="AA42" s="12" t="s">
        <v>91</v>
      </c>
      <c r="AB42" s="12" t="s">
        <v>3139</v>
      </c>
      <c r="AC42" s="12" t="s">
        <v>347</v>
      </c>
      <c r="AD42" s="12" t="s">
        <v>385</v>
      </c>
      <c r="AE42" s="12" t="s">
        <v>415</v>
      </c>
      <c r="AF42" s="12" t="s">
        <v>53</v>
      </c>
      <c r="AG42" s="12" t="s">
        <v>105</v>
      </c>
      <c r="AH42" s="11" t="s">
        <v>85</v>
      </c>
      <c r="AI42" s="12">
        <v>801772794</v>
      </c>
      <c r="AJ42" s="12" t="s">
        <v>192</v>
      </c>
      <c r="AK42" s="12"/>
      <c r="AL42" s="12"/>
      <c r="AM42" s="12" t="s">
        <v>64</v>
      </c>
      <c r="AN42" s="12" t="s">
        <v>115</v>
      </c>
      <c r="AO42" s="12" t="s">
        <v>1509</v>
      </c>
      <c r="AP42" s="12" t="s">
        <v>1497</v>
      </c>
      <c r="AQ42" s="50">
        <v>45874</v>
      </c>
      <c r="AR42" s="12">
        <v>4960</v>
      </c>
      <c r="AS42" s="12" t="s">
        <v>48</v>
      </c>
      <c r="AT42" s="12" t="s">
        <v>438</v>
      </c>
      <c r="AU42" s="51">
        <v>46162</v>
      </c>
    </row>
    <row r="43" spans="1:47" x14ac:dyDescent="0.25">
      <c r="A43" s="45" t="s">
        <v>230</v>
      </c>
      <c r="B43" s="12" t="s">
        <v>268</v>
      </c>
      <c r="C43" s="11">
        <v>0</v>
      </c>
      <c r="D43" s="11" t="s">
        <v>108</v>
      </c>
      <c r="E43" s="11"/>
      <c r="F43" s="11"/>
      <c r="G43" s="11" t="s">
        <v>52</v>
      </c>
      <c r="H43" s="12">
        <v>2</v>
      </c>
      <c r="I43" s="12" t="s">
        <v>306</v>
      </c>
      <c r="J43" s="12" t="s">
        <v>42</v>
      </c>
      <c r="K43" s="12">
        <f>Table1[[#This Row],[ENR]]-Table1[[#This Row],[CREDIT]]</f>
        <v>-12604.039999999994</v>
      </c>
      <c r="L43" s="46">
        <v>80000</v>
      </c>
      <c r="M43" s="47">
        <v>67395.960000000006</v>
      </c>
      <c r="N43" s="48" t="s">
        <v>43</v>
      </c>
      <c r="O43" s="49">
        <v>67395.960000000006</v>
      </c>
      <c r="P43" s="49">
        <v>60646.54</v>
      </c>
      <c r="Q43" s="29">
        <v>17180</v>
      </c>
      <c r="R43" s="29">
        <v>10370</v>
      </c>
      <c r="S43" s="11" t="s">
        <v>44</v>
      </c>
      <c r="T43" s="11" t="s">
        <v>45</v>
      </c>
      <c r="U43" s="11">
        <v>0</v>
      </c>
      <c r="V43" s="49">
        <f>Table1[[#This Row],[STAB]]-Table1[[#This Row],[AMOUNT]]</f>
        <v>10370</v>
      </c>
      <c r="W43" s="11">
        <v>0</v>
      </c>
      <c r="X43" s="11" t="s">
        <v>83</v>
      </c>
      <c r="Y43" s="11">
        <v>0</v>
      </c>
      <c r="Z43" s="12" t="s">
        <v>88</v>
      </c>
      <c r="AA43" s="12" t="s">
        <v>91</v>
      </c>
      <c r="AB43" s="12" t="s">
        <v>3140</v>
      </c>
      <c r="AC43" s="12" t="s">
        <v>345</v>
      </c>
      <c r="AD43" s="12" t="s">
        <v>383</v>
      </c>
      <c r="AE43" s="12" t="s">
        <v>418</v>
      </c>
      <c r="AF43" s="12" t="s">
        <v>54</v>
      </c>
      <c r="AG43" s="11" t="s">
        <v>1658</v>
      </c>
      <c r="AH43" s="11" t="s">
        <v>85</v>
      </c>
      <c r="AI43" s="12">
        <v>801772794</v>
      </c>
      <c r="AJ43" s="12" t="s">
        <v>192</v>
      </c>
      <c r="AK43" s="12"/>
      <c r="AL43" s="12"/>
      <c r="AM43" s="12" t="s">
        <v>46</v>
      </c>
      <c r="AN43" s="12"/>
      <c r="AO43" s="12"/>
      <c r="AP43" s="12"/>
      <c r="AQ43" s="50">
        <v>45647</v>
      </c>
      <c r="AR43" s="12">
        <v>1020</v>
      </c>
      <c r="AS43" s="12" t="s">
        <v>48</v>
      </c>
      <c r="AT43" s="12" t="s">
        <v>438</v>
      </c>
      <c r="AU43" s="51">
        <v>46162</v>
      </c>
    </row>
    <row r="44" spans="1:47" x14ac:dyDescent="0.25">
      <c r="A44" s="10" t="s">
        <v>229</v>
      </c>
      <c r="B44" s="11" t="s">
        <v>267</v>
      </c>
      <c r="C44" s="11">
        <v>0</v>
      </c>
      <c r="D44" s="11" t="s">
        <v>108</v>
      </c>
      <c r="E44" s="11"/>
      <c r="F44" s="11"/>
      <c r="G44" s="11" t="s">
        <v>52</v>
      </c>
      <c r="H44" s="11">
        <v>2</v>
      </c>
      <c r="I44" s="11" t="s">
        <v>305</v>
      </c>
      <c r="J44" s="11" t="s">
        <v>42</v>
      </c>
      <c r="K44" s="11">
        <f>Table1[[#This Row],[ENR]]-Table1[[#This Row],[CREDIT]]</f>
        <v>-56100.17</v>
      </c>
      <c r="L44" s="43">
        <v>120000</v>
      </c>
      <c r="M44" s="30">
        <v>63899.83</v>
      </c>
      <c r="N44" s="44" t="s">
        <v>43</v>
      </c>
      <c r="O44" s="29">
        <v>63899.83</v>
      </c>
      <c r="P44" s="29">
        <v>58490.85</v>
      </c>
      <c r="Q44" s="29">
        <v>13220</v>
      </c>
      <c r="R44" s="29">
        <v>6420</v>
      </c>
      <c r="S44" s="11" t="s">
        <v>58</v>
      </c>
      <c r="T44" s="11" t="s">
        <v>13</v>
      </c>
      <c r="U44" s="11">
        <v>53220</v>
      </c>
      <c r="V44" s="29">
        <f>Table1[[#This Row],[STAB]]-Table1[[#This Row],[AMOUNT]]</f>
        <v>-46800</v>
      </c>
      <c r="W44" s="11" t="s">
        <v>629</v>
      </c>
      <c r="X44" s="11" t="s">
        <v>444</v>
      </c>
      <c r="Y44" s="11" t="s">
        <v>760</v>
      </c>
      <c r="Z44" s="11" t="s">
        <v>88</v>
      </c>
      <c r="AA44" s="11" t="s">
        <v>91</v>
      </c>
      <c r="AB44" s="11" t="s">
        <v>3139</v>
      </c>
      <c r="AC44" s="11" t="s">
        <v>344</v>
      </c>
      <c r="AD44" s="11" t="s">
        <v>382</v>
      </c>
      <c r="AE44" s="11" t="s">
        <v>133</v>
      </c>
      <c r="AF44" s="11" t="s">
        <v>54</v>
      </c>
      <c r="AG44" s="11" t="s">
        <v>62</v>
      </c>
      <c r="AH44" s="11" t="s">
        <v>85</v>
      </c>
      <c r="AI44" s="11">
        <v>801772794</v>
      </c>
      <c r="AJ44" s="11" t="s">
        <v>192</v>
      </c>
      <c r="AK44" s="11"/>
      <c r="AL44" s="11"/>
      <c r="AM44" s="12" t="s">
        <v>64</v>
      </c>
      <c r="AN44" s="11"/>
      <c r="AO44" s="11"/>
      <c r="AP44" s="11"/>
      <c r="AQ44" s="3">
        <v>46098</v>
      </c>
      <c r="AR44" s="11">
        <v>10260</v>
      </c>
      <c r="AS44" s="11" t="s">
        <v>48</v>
      </c>
      <c r="AT44" s="12" t="s">
        <v>438</v>
      </c>
      <c r="AU44" s="2">
        <v>46162</v>
      </c>
    </row>
    <row r="45" spans="1:47" x14ac:dyDescent="0.25">
      <c r="A45" s="10" t="s">
        <v>227</v>
      </c>
      <c r="B45" s="11" t="s">
        <v>265</v>
      </c>
      <c r="C45" s="11">
        <v>0</v>
      </c>
      <c r="D45" s="11" t="s">
        <v>108</v>
      </c>
      <c r="E45" s="11"/>
      <c r="F45" s="11"/>
      <c r="G45" s="11" t="s">
        <v>52</v>
      </c>
      <c r="H45" s="11">
        <v>2</v>
      </c>
      <c r="I45" s="11" t="s">
        <v>303</v>
      </c>
      <c r="J45" s="11" t="s">
        <v>42</v>
      </c>
      <c r="K45" s="11">
        <f>Table1[[#This Row],[ENR]]-Table1[[#This Row],[CREDIT]]</f>
        <v>1280.25</v>
      </c>
      <c r="L45" s="43">
        <v>60000</v>
      </c>
      <c r="M45" s="30">
        <v>61280.25</v>
      </c>
      <c r="N45" s="44" t="s">
        <v>43</v>
      </c>
      <c r="O45" s="29">
        <v>61280.25</v>
      </c>
      <c r="P45" s="29">
        <v>58874.27</v>
      </c>
      <c r="Q45" s="29">
        <v>16620</v>
      </c>
      <c r="R45" s="29">
        <v>11020</v>
      </c>
      <c r="S45" s="11" t="s">
        <v>58</v>
      </c>
      <c r="T45" s="11" t="s">
        <v>13</v>
      </c>
      <c r="U45" s="11">
        <v>61280.25</v>
      </c>
      <c r="V45" s="29">
        <f>Table1[[#This Row],[STAB]]-Table1[[#This Row],[AMOUNT]]</f>
        <v>-50260.25</v>
      </c>
      <c r="W45" s="11" t="s">
        <v>472</v>
      </c>
      <c r="X45" s="11" t="s">
        <v>451</v>
      </c>
      <c r="Y45" s="11" t="s">
        <v>760</v>
      </c>
      <c r="Z45" s="12" t="s">
        <v>88</v>
      </c>
      <c r="AA45" s="12" t="s">
        <v>91</v>
      </c>
      <c r="AB45" s="11" t="s">
        <v>3139</v>
      </c>
      <c r="AC45" s="11" t="s">
        <v>342</v>
      </c>
      <c r="AD45" s="11" t="s">
        <v>380</v>
      </c>
      <c r="AE45" s="11" t="s">
        <v>123</v>
      </c>
      <c r="AF45" s="11" t="s">
        <v>127</v>
      </c>
      <c r="AG45" s="11" t="s">
        <v>96</v>
      </c>
      <c r="AH45" s="11" t="s">
        <v>461</v>
      </c>
      <c r="AI45" s="11">
        <v>801436997</v>
      </c>
      <c r="AJ45" s="11" t="s">
        <v>190</v>
      </c>
      <c r="AK45" s="11"/>
      <c r="AL45" s="11"/>
      <c r="AM45" s="12" t="s">
        <v>64</v>
      </c>
      <c r="AN45" s="11" t="s">
        <v>221</v>
      </c>
      <c r="AO45" s="11" t="s">
        <v>470</v>
      </c>
      <c r="AP45" s="11" t="s">
        <v>454</v>
      </c>
      <c r="AQ45" s="3">
        <v>45853</v>
      </c>
      <c r="AR45" s="11">
        <v>62684</v>
      </c>
      <c r="AS45" s="11" t="s">
        <v>47</v>
      </c>
      <c r="AT45" s="12" t="s">
        <v>438</v>
      </c>
      <c r="AU45" s="2">
        <v>46162</v>
      </c>
    </row>
    <row r="46" spans="1:47" x14ac:dyDescent="0.25">
      <c r="A46" s="10" t="s">
        <v>226</v>
      </c>
      <c r="B46" s="11" t="s">
        <v>264</v>
      </c>
      <c r="C46" s="11">
        <v>0</v>
      </c>
      <c r="D46" s="11" t="s">
        <v>108</v>
      </c>
      <c r="E46" s="11"/>
      <c r="F46" s="11"/>
      <c r="G46" s="11" t="s">
        <v>52</v>
      </c>
      <c r="H46" s="11">
        <v>2</v>
      </c>
      <c r="I46" s="11" t="s">
        <v>302</v>
      </c>
      <c r="J46" s="11" t="s">
        <v>42</v>
      </c>
      <c r="K46" s="11">
        <f>Table1[[#This Row],[ENR]]-Table1[[#This Row],[CREDIT]]</f>
        <v>5383.2900000000009</v>
      </c>
      <c r="L46" s="43">
        <v>50000</v>
      </c>
      <c r="M46" s="30">
        <v>55383.29</v>
      </c>
      <c r="N46" s="44" t="s">
        <v>43</v>
      </c>
      <c r="O46" s="29">
        <v>55383.29</v>
      </c>
      <c r="P46" s="29">
        <v>51936.46</v>
      </c>
      <c r="Q46" s="29">
        <v>14110</v>
      </c>
      <c r="R46" s="29">
        <v>4380</v>
      </c>
      <c r="S46" s="11" t="s">
        <v>44</v>
      </c>
      <c r="T46" s="11" t="s">
        <v>45</v>
      </c>
      <c r="U46" s="11">
        <v>0</v>
      </c>
      <c r="V46" s="29">
        <f>Table1[[#This Row],[STAB]]-Table1[[#This Row],[AMOUNT]]</f>
        <v>4380</v>
      </c>
      <c r="W46" s="11">
        <v>0</v>
      </c>
      <c r="X46" s="11" t="s">
        <v>83</v>
      </c>
      <c r="Y46" s="11">
        <v>0</v>
      </c>
      <c r="Z46" s="12" t="s">
        <v>88</v>
      </c>
      <c r="AA46" s="12" t="s">
        <v>91</v>
      </c>
      <c r="AB46" s="11" t="s">
        <v>3140</v>
      </c>
      <c r="AC46" s="11" t="s">
        <v>341</v>
      </c>
      <c r="AD46" s="11" t="s">
        <v>379</v>
      </c>
      <c r="AE46" s="11" t="s">
        <v>416</v>
      </c>
      <c r="AF46" s="11" t="s">
        <v>54</v>
      </c>
      <c r="AG46" s="11" t="s">
        <v>130</v>
      </c>
      <c r="AH46" s="11" t="s">
        <v>193</v>
      </c>
      <c r="AI46" s="11">
        <v>802824019</v>
      </c>
      <c r="AJ46" s="11" t="s">
        <v>189</v>
      </c>
      <c r="AK46" s="11"/>
      <c r="AL46" s="11"/>
      <c r="AM46" s="12" t="s">
        <v>46</v>
      </c>
      <c r="AN46" s="11"/>
      <c r="AO46" s="11"/>
      <c r="AP46" s="11"/>
      <c r="AQ46" s="3">
        <v>45461</v>
      </c>
      <c r="AR46" s="11">
        <v>21282</v>
      </c>
      <c r="AS46" s="11" t="s">
        <v>48</v>
      </c>
      <c r="AT46" s="12" t="s">
        <v>438</v>
      </c>
      <c r="AU46" s="2">
        <v>46162</v>
      </c>
    </row>
    <row r="47" spans="1:47" x14ac:dyDescent="0.25">
      <c r="A47" s="10" t="s">
        <v>484</v>
      </c>
      <c r="B47" s="11" t="s">
        <v>509</v>
      </c>
      <c r="C47" s="11">
        <v>0</v>
      </c>
      <c r="D47" s="11" t="s">
        <v>108</v>
      </c>
      <c r="E47" s="11"/>
      <c r="F47" s="11"/>
      <c r="G47" s="11" t="s">
        <v>52</v>
      </c>
      <c r="H47" s="11">
        <v>3</v>
      </c>
      <c r="I47" s="11" t="s">
        <v>534</v>
      </c>
      <c r="J47" s="11" t="s">
        <v>42</v>
      </c>
      <c r="K47" s="11">
        <f>Table1[[#This Row],[ENR]]-Table1[[#This Row],[CREDIT]]</f>
        <v>20612.329999999987</v>
      </c>
      <c r="L47" s="43">
        <v>220000</v>
      </c>
      <c r="M47" s="30">
        <v>240612.33</v>
      </c>
      <c r="N47" s="44" t="s">
        <v>43</v>
      </c>
      <c r="O47" s="29">
        <v>240612.33</v>
      </c>
      <c r="P47" s="29">
        <v>223694.85</v>
      </c>
      <c r="Q47" s="29">
        <v>63460</v>
      </c>
      <c r="R47" s="29">
        <v>16669.560000000001</v>
      </c>
      <c r="S47" s="11" t="s">
        <v>44</v>
      </c>
      <c r="T47" s="11" t="s">
        <v>45</v>
      </c>
      <c r="U47" s="11">
        <v>0</v>
      </c>
      <c r="V47" s="29">
        <f>Table1[[#This Row],[STAB]]-Table1[[#This Row],[AMOUNT]]</f>
        <v>16669.560000000001</v>
      </c>
      <c r="W47" s="11">
        <v>0</v>
      </c>
      <c r="X47" s="11" t="s">
        <v>83</v>
      </c>
      <c r="Y47" s="11">
        <v>0</v>
      </c>
      <c r="Z47" s="12" t="s">
        <v>85</v>
      </c>
      <c r="AA47" s="12" t="s">
        <v>612</v>
      </c>
      <c r="AB47" s="11" t="s">
        <v>3139</v>
      </c>
      <c r="AC47" s="11" t="s">
        <v>560</v>
      </c>
      <c r="AD47" s="11" t="s">
        <v>586</v>
      </c>
      <c r="AE47" s="11" t="s">
        <v>100</v>
      </c>
      <c r="AF47" s="11" t="s">
        <v>54</v>
      </c>
      <c r="AG47" s="11" t="s">
        <v>60</v>
      </c>
      <c r="AH47" s="11" t="s">
        <v>193</v>
      </c>
      <c r="AI47" s="11">
        <v>802824019</v>
      </c>
      <c r="AJ47" s="11" t="s">
        <v>189</v>
      </c>
      <c r="AK47" s="11"/>
      <c r="AL47" s="11"/>
      <c r="AM47" s="12" t="s">
        <v>64</v>
      </c>
      <c r="AN47" s="11" t="s">
        <v>115</v>
      </c>
      <c r="AO47" s="11" t="s">
        <v>1078</v>
      </c>
      <c r="AP47" s="11" t="s">
        <v>800</v>
      </c>
      <c r="AQ47" s="3">
        <v>46114</v>
      </c>
      <c r="AR47" s="11">
        <v>6000</v>
      </c>
      <c r="AS47" s="11" t="s">
        <v>606</v>
      </c>
      <c r="AT47" s="12" t="s">
        <v>609</v>
      </c>
      <c r="AU47" s="2">
        <v>46163</v>
      </c>
    </row>
    <row r="48" spans="1:47" x14ac:dyDescent="0.25">
      <c r="A48" s="10" t="s">
        <v>490</v>
      </c>
      <c r="B48" s="11" t="s">
        <v>515</v>
      </c>
      <c r="C48" s="11">
        <v>0</v>
      </c>
      <c r="D48" s="11" t="s">
        <v>132</v>
      </c>
      <c r="E48" s="11">
        <v>1</v>
      </c>
      <c r="F48" s="11" t="s">
        <v>440</v>
      </c>
      <c r="G48" s="11" t="s">
        <v>52</v>
      </c>
      <c r="H48" s="11">
        <v>5</v>
      </c>
      <c r="I48" s="11" t="s">
        <v>540</v>
      </c>
      <c r="J48" s="11" t="s">
        <v>42</v>
      </c>
      <c r="K48" s="11">
        <f>Table1[[#This Row],[ENR]]-Table1[[#This Row],[CREDIT]]</f>
        <v>-392249.16000000003</v>
      </c>
      <c r="L48" s="43">
        <v>1050000</v>
      </c>
      <c r="M48" s="30">
        <v>657750.84</v>
      </c>
      <c r="N48" s="44" t="s">
        <v>43</v>
      </c>
      <c r="O48" s="29">
        <v>657750.84</v>
      </c>
      <c r="P48" s="29">
        <v>633145.93000000005</v>
      </c>
      <c r="Q48" s="11">
        <v>97220</v>
      </c>
      <c r="R48" s="29">
        <v>61750</v>
      </c>
      <c r="S48" s="11" t="s">
        <v>44</v>
      </c>
      <c r="T48" s="11" t="s">
        <v>45</v>
      </c>
      <c r="U48" s="11">
        <v>0</v>
      </c>
      <c r="V48" s="29">
        <f>Table1[[#This Row],[STAB]]-Table1[[#This Row],[AMOUNT]]</f>
        <v>61750</v>
      </c>
      <c r="W48" s="11">
        <v>0</v>
      </c>
      <c r="X48" s="11" t="s">
        <v>83</v>
      </c>
      <c r="Y48" s="11">
        <v>0</v>
      </c>
      <c r="Z48" s="12" t="s">
        <v>85</v>
      </c>
      <c r="AA48" s="12" t="s">
        <v>613</v>
      </c>
      <c r="AB48" s="11" t="e">
        <v>#N/A</v>
      </c>
      <c r="AC48" s="11" t="s">
        <v>566</v>
      </c>
      <c r="AD48" s="11" t="s">
        <v>592</v>
      </c>
      <c r="AE48" s="11" t="s">
        <v>125</v>
      </c>
      <c r="AF48" s="11" t="s">
        <v>127</v>
      </c>
      <c r="AG48" s="11" t="s">
        <v>56</v>
      </c>
      <c r="AH48" s="11" t="s">
        <v>462</v>
      </c>
      <c r="AI48" s="11">
        <v>801448854</v>
      </c>
      <c r="AJ48" s="11" t="s">
        <v>191</v>
      </c>
      <c r="AK48" s="11"/>
      <c r="AL48" s="11"/>
      <c r="AM48" s="12" t="s">
        <v>46</v>
      </c>
      <c r="AN48" s="11"/>
      <c r="AO48" s="11"/>
      <c r="AP48" s="11"/>
      <c r="AQ48" s="3">
        <v>46111</v>
      </c>
      <c r="AR48" s="11">
        <v>46153.65</v>
      </c>
      <c r="AS48" s="11" t="s">
        <v>47</v>
      </c>
      <c r="AT48" s="12" t="s">
        <v>609</v>
      </c>
      <c r="AU48" s="2">
        <v>46165</v>
      </c>
    </row>
    <row r="49" spans="1:47" x14ac:dyDescent="0.25">
      <c r="A49" s="10" t="s">
        <v>489</v>
      </c>
      <c r="B49" s="11" t="s">
        <v>514</v>
      </c>
      <c r="C49" s="11">
        <v>0</v>
      </c>
      <c r="D49" s="11" t="s">
        <v>108</v>
      </c>
      <c r="E49" s="11"/>
      <c r="F49" s="11"/>
      <c r="G49" s="11" t="s">
        <v>52</v>
      </c>
      <c r="H49" s="11">
        <v>5</v>
      </c>
      <c r="I49" s="11" t="s">
        <v>539</v>
      </c>
      <c r="J49" s="11" t="s">
        <v>42</v>
      </c>
      <c r="K49" s="11">
        <f>Table1[[#This Row],[ENR]]-Table1[[#This Row],[CREDIT]]</f>
        <v>-50390.709999999963</v>
      </c>
      <c r="L49" s="43">
        <v>680000</v>
      </c>
      <c r="M49" s="30">
        <v>629609.29</v>
      </c>
      <c r="N49" s="44" t="s">
        <v>43</v>
      </c>
      <c r="O49" s="29">
        <v>629609.29</v>
      </c>
      <c r="P49" s="29">
        <v>582777.98</v>
      </c>
      <c r="Q49" s="29">
        <v>90360</v>
      </c>
      <c r="R49" s="29">
        <v>34330</v>
      </c>
      <c r="S49" s="11" t="s">
        <v>44</v>
      </c>
      <c r="T49" s="11" t="s">
        <v>45</v>
      </c>
      <c r="U49" s="11">
        <v>0</v>
      </c>
      <c r="V49" s="29">
        <f>Table1[[#This Row],[STAB]]-Table1[[#This Row],[AMOUNT]]</f>
        <v>34330</v>
      </c>
      <c r="W49" s="11">
        <v>0</v>
      </c>
      <c r="X49" s="11" t="s">
        <v>83</v>
      </c>
      <c r="Y49" s="11">
        <v>0</v>
      </c>
      <c r="Z49" s="12" t="s">
        <v>85</v>
      </c>
      <c r="AA49" s="12" t="s">
        <v>611</v>
      </c>
      <c r="AB49" s="11" t="s">
        <v>3139</v>
      </c>
      <c r="AC49" s="11" t="s">
        <v>565</v>
      </c>
      <c r="AD49" s="11" t="s">
        <v>591</v>
      </c>
      <c r="AE49" s="11" t="s">
        <v>413</v>
      </c>
      <c r="AF49" s="11" t="s">
        <v>54</v>
      </c>
      <c r="AG49" s="11" t="s">
        <v>146</v>
      </c>
      <c r="AH49" s="11" t="s">
        <v>625</v>
      </c>
      <c r="AI49" s="11">
        <v>801217009</v>
      </c>
      <c r="AJ49" s="11" t="s">
        <v>190</v>
      </c>
      <c r="AK49" s="11"/>
      <c r="AL49" s="11"/>
      <c r="AM49" s="12" t="s">
        <v>64</v>
      </c>
      <c r="AN49" s="11" t="s">
        <v>219</v>
      </c>
      <c r="AO49" s="11" t="s">
        <v>2167</v>
      </c>
      <c r="AP49" s="11" t="s">
        <v>1667</v>
      </c>
      <c r="AQ49" s="3">
        <v>46104</v>
      </c>
      <c r="AR49" s="11">
        <v>139850</v>
      </c>
      <c r="AS49" s="11" t="s">
        <v>47</v>
      </c>
      <c r="AT49" s="12" t="s">
        <v>609</v>
      </c>
      <c r="AU49" s="2">
        <v>46165</v>
      </c>
    </row>
    <row r="50" spans="1:47" x14ac:dyDescent="0.25">
      <c r="A50" s="45" t="s">
        <v>491</v>
      </c>
      <c r="B50" s="12" t="s">
        <v>516</v>
      </c>
      <c r="C50" s="11">
        <v>0</v>
      </c>
      <c r="D50" s="11" t="s">
        <v>108</v>
      </c>
      <c r="E50" s="11"/>
      <c r="F50" s="11"/>
      <c r="G50" s="11" t="s">
        <v>52</v>
      </c>
      <c r="H50" s="12">
        <v>5</v>
      </c>
      <c r="I50" s="12" t="s">
        <v>541</v>
      </c>
      <c r="J50" s="12" t="s">
        <v>42</v>
      </c>
      <c r="K50" s="12">
        <f>Table1[[#This Row],[ENR]]-Table1[[#This Row],[CREDIT]]</f>
        <v>46783.180000000051</v>
      </c>
      <c r="L50" s="46">
        <v>500000</v>
      </c>
      <c r="M50" s="47">
        <v>546783.18000000005</v>
      </c>
      <c r="N50" s="48" t="s">
        <v>43</v>
      </c>
      <c r="O50" s="49">
        <v>546783.18000000005</v>
      </c>
      <c r="P50" s="49">
        <v>508109.91</v>
      </c>
      <c r="Q50" s="29">
        <v>121710</v>
      </c>
      <c r="R50" s="29">
        <v>50900</v>
      </c>
      <c r="S50" s="11" t="s">
        <v>44</v>
      </c>
      <c r="T50" s="11" t="s">
        <v>45</v>
      </c>
      <c r="U50" s="11">
        <v>0</v>
      </c>
      <c r="V50" s="49">
        <f>Table1[[#This Row],[STAB]]-Table1[[#This Row],[AMOUNT]]</f>
        <v>50900</v>
      </c>
      <c r="W50" s="11">
        <v>0</v>
      </c>
      <c r="X50" s="11" t="s">
        <v>83</v>
      </c>
      <c r="Y50" s="11">
        <v>0</v>
      </c>
      <c r="Z50" s="12" t="s">
        <v>85</v>
      </c>
      <c r="AA50" s="12" t="s">
        <v>612</v>
      </c>
      <c r="AB50" s="12" t="s">
        <v>3139</v>
      </c>
      <c r="AC50" s="12" t="s">
        <v>567</v>
      </c>
      <c r="AD50" s="12" t="s">
        <v>593</v>
      </c>
      <c r="AE50" s="12" t="s">
        <v>427</v>
      </c>
      <c r="AF50" s="12" t="s">
        <v>53</v>
      </c>
      <c r="AG50" s="12" t="s">
        <v>55</v>
      </c>
      <c r="AH50" s="11" t="s">
        <v>468</v>
      </c>
      <c r="AI50" s="12">
        <v>802030802</v>
      </c>
      <c r="AJ50" s="12" t="s">
        <v>458</v>
      </c>
      <c r="AK50" s="12"/>
      <c r="AL50" s="12"/>
      <c r="AM50" s="12" t="s">
        <v>64</v>
      </c>
      <c r="AN50" s="12" t="s">
        <v>446</v>
      </c>
      <c r="AO50" s="12" t="s">
        <v>1080</v>
      </c>
      <c r="AP50" s="12" t="s">
        <v>800</v>
      </c>
      <c r="AQ50" s="50">
        <v>45620</v>
      </c>
      <c r="AR50" s="12">
        <v>48690</v>
      </c>
      <c r="AS50" s="12" t="s">
        <v>47</v>
      </c>
      <c r="AT50" s="12" t="s">
        <v>609</v>
      </c>
      <c r="AU50" s="51">
        <v>46165</v>
      </c>
    </row>
    <row r="51" spans="1:47" x14ac:dyDescent="0.25">
      <c r="A51" s="10" t="s">
        <v>488</v>
      </c>
      <c r="B51" s="11" t="s">
        <v>513</v>
      </c>
      <c r="C51" s="11">
        <v>0</v>
      </c>
      <c r="D51" s="11" t="s">
        <v>108</v>
      </c>
      <c r="E51" s="11"/>
      <c r="F51" s="11"/>
      <c r="G51" s="11" t="s">
        <v>52</v>
      </c>
      <c r="H51" s="11">
        <v>5</v>
      </c>
      <c r="I51" s="11" t="s">
        <v>538</v>
      </c>
      <c r="J51" s="11" t="s">
        <v>42</v>
      </c>
      <c r="K51" s="11">
        <f>Table1[[#This Row],[ENR]]-Table1[[#This Row],[CREDIT]]</f>
        <v>37673.140000000014</v>
      </c>
      <c r="L51" s="43">
        <v>500000</v>
      </c>
      <c r="M51" s="30">
        <v>537673.14</v>
      </c>
      <c r="N51" s="44">
        <v>81897.210000000006</v>
      </c>
      <c r="O51" s="29">
        <v>455775.93</v>
      </c>
      <c r="P51" s="29">
        <v>428426.4</v>
      </c>
      <c r="Q51" s="29">
        <v>100810</v>
      </c>
      <c r="R51" s="29">
        <v>37480</v>
      </c>
      <c r="S51" s="11" t="s">
        <v>44</v>
      </c>
      <c r="T51" s="11" t="s">
        <v>45</v>
      </c>
      <c r="U51" s="11">
        <v>0</v>
      </c>
      <c r="V51" s="29">
        <f>Table1[[#This Row],[STAB]]-Table1[[#This Row],[AMOUNT]]</f>
        <v>37480</v>
      </c>
      <c r="W51" s="11">
        <v>0</v>
      </c>
      <c r="X51" s="11" t="s">
        <v>83</v>
      </c>
      <c r="Y51" s="11">
        <v>0</v>
      </c>
      <c r="Z51" s="11" t="s">
        <v>85</v>
      </c>
      <c r="AA51" s="11" t="s">
        <v>447</v>
      </c>
      <c r="AB51" s="11" t="s">
        <v>3139</v>
      </c>
      <c r="AC51" s="11" t="s">
        <v>564</v>
      </c>
      <c r="AD51" s="11" t="s">
        <v>590</v>
      </c>
      <c r="AE51" s="11" t="s">
        <v>425</v>
      </c>
      <c r="AF51" s="11" t="s">
        <v>53</v>
      </c>
      <c r="AG51" s="11" t="s">
        <v>117</v>
      </c>
      <c r="AH51" s="11" t="s">
        <v>466</v>
      </c>
      <c r="AI51" s="11">
        <v>802388289</v>
      </c>
      <c r="AJ51" s="11" t="s">
        <v>190</v>
      </c>
      <c r="AK51" s="11"/>
      <c r="AL51" s="11"/>
      <c r="AM51" s="12" t="s">
        <v>64</v>
      </c>
      <c r="AN51" s="11" t="s">
        <v>221</v>
      </c>
      <c r="AO51" s="11" t="s">
        <v>2156</v>
      </c>
      <c r="AP51" s="11" t="s">
        <v>1667</v>
      </c>
      <c r="AQ51" s="3">
        <v>45489</v>
      </c>
      <c r="AR51" s="11">
        <v>30000</v>
      </c>
      <c r="AS51" s="11" t="s">
        <v>47</v>
      </c>
      <c r="AT51" s="11" t="s">
        <v>609</v>
      </c>
      <c r="AU51" s="2">
        <v>46165</v>
      </c>
    </row>
    <row r="52" spans="1:47" x14ac:dyDescent="0.25">
      <c r="A52" s="10" t="s">
        <v>198</v>
      </c>
      <c r="B52" s="11" t="s">
        <v>202</v>
      </c>
      <c r="C52" s="11">
        <v>0</v>
      </c>
      <c r="D52" s="11" t="s">
        <v>108</v>
      </c>
      <c r="E52" s="11"/>
      <c r="F52" s="11" t="s">
        <v>795</v>
      </c>
      <c r="G52" s="11" t="s">
        <v>52</v>
      </c>
      <c r="H52" s="11">
        <v>5</v>
      </c>
      <c r="I52" s="11" t="s">
        <v>206</v>
      </c>
      <c r="J52" s="11" t="s">
        <v>42</v>
      </c>
      <c r="K52" s="11">
        <f>Table1[[#This Row],[ENR]]-Table1[[#This Row],[CREDIT]]</f>
        <v>22408.650000000023</v>
      </c>
      <c r="L52" s="43">
        <v>500000</v>
      </c>
      <c r="M52" s="30">
        <v>522408.65</v>
      </c>
      <c r="N52" s="44">
        <v>216504.4</v>
      </c>
      <c r="O52" s="29">
        <v>305904.25</v>
      </c>
      <c r="P52" s="29">
        <v>285194.48</v>
      </c>
      <c r="Q52" s="29">
        <v>103270</v>
      </c>
      <c r="R52" s="29">
        <v>38910</v>
      </c>
      <c r="S52" s="11" t="s">
        <v>44</v>
      </c>
      <c r="T52" s="11" t="s">
        <v>45</v>
      </c>
      <c r="U52" s="11">
        <v>0</v>
      </c>
      <c r="V52" s="29">
        <f>Table1[[#This Row],[STAB]]-Table1[[#This Row],[AMOUNT]]</f>
        <v>38910</v>
      </c>
      <c r="W52" s="11">
        <v>0</v>
      </c>
      <c r="X52" s="11" t="s">
        <v>83</v>
      </c>
      <c r="Y52" s="11">
        <v>0</v>
      </c>
      <c r="Z52" s="11" t="s">
        <v>88</v>
      </c>
      <c r="AA52" s="11" t="s">
        <v>91</v>
      </c>
      <c r="AB52" s="11" t="s">
        <v>3139</v>
      </c>
      <c r="AC52" s="11" t="s">
        <v>210</v>
      </c>
      <c r="AD52" s="11" t="s">
        <v>214</v>
      </c>
      <c r="AE52" s="11" t="s">
        <v>218</v>
      </c>
      <c r="AF52" s="11" t="s">
        <v>84</v>
      </c>
      <c r="AG52" s="11" t="s">
        <v>97</v>
      </c>
      <c r="AH52" s="11" t="s">
        <v>88</v>
      </c>
      <c r="AI52" s="11">
        <v>801723195</v>
      </c>
      <c r="AJ52" s="11" t="s">
        <v>191</v>
      </c>
      <c r="AK52" s="11"/>
      <c r="AL52" s="11"/>
      <c r="AM52" s="12" t="s">
        <v>64</v>
      </c>
      <c r="AN52" s="11" t="s">
        <v>219</v>
      </c>
      <c r="AO52" s="11" t="s">
        <v>802</v>
      </c>
      <c r="AP52" s="11" t="s">
        <v>800</v>
      </c>
      <c r="AQ52" s="3">
        <v>46102</v>
      </c>
      <c r="AR52" s="11">
        <v>104238.52</v>
      </c>
      <c r="AS52" s="11" t="s">
        <v>47</v>
      </c>
      <c r="AT52" s="11" t="s">
        <v>187</v>
      </c>
      <c r="AU52" s="2">
        <v>46165</v>
      </c>
    </row>
    <row r="53" spans="1:47" x14ac:dyDescent="0.25">
      <c r="A53" s="10" t="s">
        <v>481</v>
      </c>
      <c r="B53" s="11" t="s">
        <v>506</v>
      </c>
      <c r="C53" s="11">
        <v>0</v>
      </c>
      <c r="D53" s="11" t="s">
        <v>132</v>
      </c>
      <c r="E53" s="11">
        <v>1</v>
      </c>
      <c r="F53" s="11" t="s">
        <v>440</v>
      </c>
      <c r="G53" s="11" t="s">
        <v>52</v>
      </c>
      <c r="H53" s="11">
        <v>5</v>
      </c>
      <c r="I53" s="11" t="s">
        <v>531</v>
      </c>
      <c r="J53" s="11" t="s">
        <v>42</v>
      </c>
      <c r="K53" s="11">
        <f>Table1[[#This Row],[ENR]]-Table1[[#This Row],[CREDIT]]</f>
        <v>22733.450000000012</v>
      </c>
      <c r="L53" s="43">
        <v>470000</v>
      </c>
      <c r="M53" s="30">
        <v>492733.45</v>
      </c>
      <c r="N53" s="44">
        <v>313478.12</v>
      </c>
      <c r="O53" s="29">
        <v>179255.33</v>
      </c>
      <c r="P53" s="29">
        <v>158597.26999999999</v>
      </c>
      <c r="Q53" s="11">
        <v>73590</v>
      </c>
      <c r="R53" s="29">
        <v>34180</v>
      </c>
      <c r="S53" s="11" t="s">
        <v>44</v>
      </c>
      <c r="T53" s="11" t="s">
        <v>45</v>
      </c>
      <c r="U53" s="11">
        <v>0</v>
      </c>
      <c r="V53" s="29">
        <f>Table1[[#This Row],[STAB]]-Table1[[#This Row],[AMOUNT]]</f>
        <v>34180</v>
      </c>
      <c r="W53" s="11">
        <v>0</v>
      </c>
      <c r="X53" s="11" t="s">
        <v>83</v>
      </c>
      <c r="Y53" s="11">
        <v>0</v>
      </c>
      <c r="Z53" s="11" t="s">
        <v>85</v>
      </c>
      <c r="AA53" s="11" t="s">
        <v>613</v>
      </c>
      <c r="AB53" s="11" t="e">
        <v>#N/A</v>
      </c>
      <c r="AC53" s="11" t="s">
        <v>557</v>
      </c>
      <c r="AD53" s="11" t="s">
        <v>583</v>
      </c>
      <c r="AE53" s="11" t="s">
        <v>419</v>
      </c>
      <c r="AF53" s="11" t="s">
        <v>127</v>
      </c>
      <c r="AG53" s="11" t="s">
        <v>96</v>
      </c>
      <c r="AH53" s="11" t="s">
        <v>461</v>
      </c>
      <c r="AI53" s="11">
        <v>801436997</v>
      </c>
      <c r="AJ53" s="11" t="s">
        <v>190</v>
      </c>
      <c r="AK53" s="11"/>
      <c r="AL53" s="11"/>
      <c r="AM53" s="12" t="s">
        <v>64</v>
      </c>
      <c r="AN53" s="11" t="s">
        <v>219</v>
      </c>
      <c r="AO53" s="11" t="s">
        <v>1527</v>
      </c>
      <c r="AP53" s="11" t="s">
        <v>1528</v>
      </c>
      <c r="AQ53" s="3">
        <v>45777</v>
      </c>
      <c r="AR53" s="11">
        <v>360618</v>
      </c>
      <c r="AS53" s="11" t="s">
        <v>47</v>
      </c>
      <c r="AT53" s="11" t="s">
        <v>609</v>
      </c>
      <c r="AU53" s="2">
        <v>46165</v>
      </c>
    </row>
    <row r="54" spans="1:47" x14ac:dyDescent="0.25">
      <c r="A54" s="10" t="s">
        <v>831</v>
      </c>
      <c r="B54" s="11" t="s">
        <v>884</v>
      </c>
      <c r="C54" s="11">
        <v>0</v>
      </c>
      <c r="D54" s="11" t="s">
        <v>108</v>
      </c>
      <c r="E54" s="11"/>
      <c r="F54" s="11"/>
      <c r="G54" s="11" t="s">
        <v>52</v>
      </c>
      <c r="H54" s="11">
        <v>5</v>
      </c>
      <c r="I54" s="11" t="s">
        <v>937</v>
      </c>
      <c r="J54" s="11" t="s">
        <v>42</v>
      </c>
      <c r="K54" s="11">
        <f>Table1[[#This Row],[ENR]]-Table1[[#This Row],[CREDIT]]</f>
        <v>3057.0300000000279</v>
      </c>
      <c r="L54" s="43">
        <v>470000</v>
      </c>
      <c r="M54" s="30">
        <v>473057.03</v>
      </c>
      <c r="N54" s="44">
        <v>254473.89</v>
      </c>
      <c r="O54" s="29">
        <v>218583.14</v>
      </c>
      <c r="P54" s="29">
        <v>200846.71</v>
      </c>
      <c r="Q54" s="29">
        <v>75010</v>
      </c>
      <c r="R54" s="29">
        <v>28383.05</v>
      </c>
      <c r="S54" s="11" t="s">
        <v>44</v>
      </c>
      <c r="T54" s="11" t="s">
        <v>45</v>
      </c>
      <c r="U54" s="11">
        <v>0</v>
      </c>
      <c r="V54" s="29">
        <f>Table1[[#This Row],[STAB]]-Table1[[#This Row],[AMOUNT]]</f>
        <v>28383.05</v>
      </c>
      <c r="W54" s="11">
        <v>0</v>
      </c>
      <c r="X54" s="11" t="s">
        <v>83</v>
      </c>
      <c r="Y54" s="11" t="s">
        <v>759</v>
      </c>
      <c r="Z54" s="11" t="s">
        <v>85</v>
      </c>
      <c r="AA54" s="11" t="s">
        <v>613</v>
      </c>
      <c r="AB54" s="11" t="s">
        <v>3139</v>
      </c>
      <c r="AC54" s="11" t="s">
        <v>990</v>
      </c>
      <c r="AD54" s="11" t="s">
        <v>1043</v>
      </c>
      <c r="AE54" s="11" t="s">
        <v>124</v>
      </c>
      <c r="AF54" s="11" t="s">
        <v>127</v>
      </c>
      <c r="AG54" s="11" t="s">
        <v>57</v>
      </c>
      <c r="AH54" s="11" t="s">
        <v>464</v>
      </c>
      <c r="AI54" s="11">
        <v>802852449</v>
      </c>
      <c r="AJ54" s="11" t="s">
        <v>190</v>
      </c>
      <c r="AK54" s="11"/>
      <c r="AL54" s="11"/>
      <c r="AM54" s="12" t="s">
        <v>64</v>
      </c>
      <c r="AN54" s="11" t="s">
        <v>219</v>
      </c>
      <c r="AO54" s="11" t="s">
        <v>1516</v>
      </c>
      <c r="AP54" s="11" t="s">
        <v>1497</v>
      </c>
      <c r="AQ54" s="3">
        <v>46043</v>
      </c>
      <c r="AR54" s="11">
        <v>20000</v>
      </c>
      <c r="AS54" s="11" t="s">
        <v>47</v>
      </c>
      <c r="AT54" s="11" t="s">
        <v>1077</v>
      </c>
      <c r="AU54" s="2">
        <v>46165</v>
      </c>
    </row>
    <row r="55" spans="1:47" x14ac:dyDescent="0.25">
      <c r="A55" s="10" t="s">
        <v>201</v>
      </c>
      <c r="B55" s="11" t="s">
        <v>205</v>
      </c>
      <c r="C55" s="11">
        <v>0</v>
      </c>
      <c r="D55" s="11" t="s">
        <v>108</v>
      </c>
      <c r="E55" s="11"/>
      <c r="F55" s="11" t="s">
        <v>795</v>
      </c>
      <c r="G55" s="11" t="s">
        <v>52</v>
      </c>
      <c r="H55" s="11">
        <v>5</v>
      </c>
      <c r="I55" s="11" t="s">
        <v>209</v>
      </c>
      <c r="J55" s="11" t="s">
        <v>42</v>
      </c>
      <c r="K55" s="11">
        <f>Table1[[#This Row],[ENR]]-Table1[[#This Row],[CREDIT]]</f>
        <v>30934.320000000007</v>
      </c>
      <c r="L55" s="43">
        <v>380000</v>
      </c>
      <c r="M55" s="30">
        <v>410934.32</v>
      </c>
      <c r="N55" s="44">
        <v>90400.92</v>
      </c>
      <c r="O55" s="29">
        <v>320533.40000000002</v>
      </c>
      <c r="P55" s="29">
        <v>295408.78000000003</v>
      </c>
      <c r="Q55" s="29">
        <v>73310</v>
      </c>
      <c r="R55" s="29">
        <v>31760</v>
      </c>
      <c r="S55" s="11" t="s">
        <v>44</v>
      </c>
      <c r="T55" s="11" t="s">
        <v>45</v>
      </c>
      <c r="U55" s="11">
        <v>0</v>
      </c>
      <c r="V55" s="29">
        <f>Table1[[#This Row],[STAB]]-Table1[[#This Row],[AMOUNT]]</f>
        <v>31760</v>
      </c>
      <c r="W55" s="11">
        <v>0</v>
      </c>
      <c r="X55" s="11" t="s">
        <v>83</v>
      </c>
      <c r="Y55" s="11" t="s">
        <v>759</v>
      </c>
      <c r="Z55" s="11" t="s">
        <v>88</v>
      </c>
      <c r="AA55" s="11" t="s">
        <v>91</v>
      </c>
      <c r="AB55" s="11" t="s">
        <v>3139</v>
      </c>
      <c r="AC55" s="11" t="s">
        <v>213</v>
      </c>
      <c r="AD55" s="11" t="s">
        <v>217</v>
      </c>
      <c r="AE55" s="11" t="s">
        <v>218</v>
      </c>
      <c r="AF55" s="11" t="s">
        <v>84</v>
      </c>
      <c r="AG55" s="11" t="s">
        <v>97</v>
      </c>
      <c r="AH55" s="11" t="s">
        <v>88</v>
      </c>
      <c r="AI55" s="11">
        <v>801723195</v>
      </c>
      <c r="AJ55" s="11" t="s">
        <v>191</v>
      </c>
      <c r="AK55" s="11"/>
      <c r="AL55" s="11"/>
      <c r="AM55" s="12" t="s">
        <v>64</v>
      </c>
      <c r="AN55" s="11" t="s">
        <v>219</v>
      </c>
      <c r="AO55" s="11" t="s">
        <v>614</v>
      </c>
      <c r="AP55" s="11" t="s">
        <v>472</v>
      </c>
      <c r="AQ55" s="3">
        <v>45687</v>
      </c>
      <c r="AR55" s="11">
        <v>38850</v>
      </c>
      <c r="AS55" s="11" t="s">
        <v>47</v>
      </c>
      <c r="AT55" s="11" t="s">
        <v>187</v>
      </c>
      <c r="AU55" s="2">
        <v>46165</v>
      </c>
    </row>
    <row r="56" spans="1:47" x14ac:dyDescent="0.25">
      <c r="A56" s="10" t="s">
        <v>492</v>
      </c>
      <c r="B56" s="11" t="s">
        <v>517</v>
      </c>
      <c r="C56" s="11">
        <v>0</v>
      </c>
      <c r="D56" s="11" t="s">
        <v>108</v>
      </c>
      <c r="E56" s="11"/>
      <c r="F56" s="11"/>
      <c r="G56" s="11" t="s">
        <v>52</v>
      </c>
      <c r="H56" s="11">
        <v>5</v>
      </c>
      <c r="I56" s="11" t="s">
        <v>542</v>
      </c>
      <c r="J56" s="11" t="s">
        <v>42</v>
      </c>
      <c r="K56" s="11">
        <f>Table1[[#This Row],[ENR]]-Table1[[#This Row],[CREDIT]]</f>
        <v>61837.270000000019</v>
      </c>
      <c r="L56" s="43">
        <v>347000</v>
      </c>
      <c r="M56" s="30">
        <v>408837.27</v>
      </c>
      <c r="N56" s="44">
        <v>108537.24</v>
      </c>
      <c r="O56" s="29">
        <v>300300.03000000003</v>
      </c>
      <c r="P56" s="29">
        <v>264446.82</v>
      </c>
      <c r="Q56" s="29">
        <v>76180</v>
      </c>
      <c r="R56" s="29">
        <v>42110</v>
      </c>
      <c r="S56" s="11" t="s">
        <v>44</v>
      </c>
      <c r="T56" s="11" t="s">
        <v>45</v>
      </c>
      <c r="U56" s="11">
        <v>0</v>
      </c>
      <c r="V56" s="29">
        <f>Table1[[#This Row],[STAB]]-Table1[[#This Row],[AMOUNT]]</f>
        <v>42110</v>
      </c>
      <c r="W56" s="11">
        <v>0</v>
      </c>
      <c r="X56" s="11" t="s">
        <v>83</v>
      </c>
      <c r="Y56" s="11">
        <v>0</v>
      </c>
      <c r="Z56" s="12" t="s">
        <v>85</v>
      </c>
      <c r="AA56" s="12" t="s">
        <v>612</v>
      </c>
      <c r="AB56" s="11" t="s">
        <v>3140</v>
      </c>
      <c r="AC56" s="11" t="s">
        <v>568</v>
      </c>
      <c r="AD56" s="11" t="s">
        <v>594</v>
      </c>
      <c r="AE56" s="11" t="s">
        <v>416</v>
      </c>
      <c r="AF56" s="11" t="s">
        <v>54</v>
      </c>
      <c r="AG56" s="11" t="s">
        <v>130</v>
      </c>
      <c r="AH56" s="11" t="s">
        <v>469</v>
      </c>
      <c r="AI56" s="11">
        <v>802835406</v>
      </c>
      <c r="AJ56" s="11" t="s">
        <v>99</v>
      </c>
      <c r="AK56" s="11"/>
      <c r="AL56" s="11"/>
      <c r="AM56" s="12" t="s">
        <v>64</v>
      </c>
      <c r="AN56" s="11" t="s">
        <v>219</v>
      </c>
      <c r="AO56" s="11" t="s">
        <v>797</v>
      </c>
      <c r="AP56" s="11" t="s">
        <v>796</v>
      </c>
      <c r="AQ56" s="3">
        <v>45489</v>
      </c>
      <c r="AR56" s="11">
        <v>12000</v>
      </c>
      <c r="AS56" s="11" t="s">
        <v>47</v>
      </c>
      <c r="AT56" s="11" t="s">
        <v>609</v>
      </c>
      <c r="AU56" s="2">
        <v>46165</v>
      </c>
    </row>
    <row r="57" spans="1:47" x14ac:dyDescent="0.25">
      <c r="A57" s="10" t="s">
        <v>199</v>
      </c>
      <c r="B57" s="11" t="s">
        <v>203</v>
      </c>
      <c r="C57" s="11">
        <v>0</v>
      </c>
      <c r="D57" s="11" t="s">
        <v>108</v>
      </c>
      <c r="E57" s="11"/>
      <c r="F57" s="11" t="s">
        <v>795</v>
      </c>
      <c r="G57" s="11" t="s">
        <v>52</v>
      </c>
      <c r="H57" s="11">
        <v>5</v>
      </c>
      <c r="I57" s="11" t="s">
        <v>207</v>
      </c>
      <c r="J57" s="11" t="s">
        <v>42</v>
      </c>
      <c r="K57" s="11">
        <f>Table1[[#This Row],[ENR]]-Table1[[#This Row],[CREDIT]]</f>
        <v>101423.57</v>
      </c>
      <c r="L57" s="43">
        <v>300000</v>
      </c>
      <c r="M57" s="52">
        <v>401423.57</v>
      </c>
      <c r="N57" s="44">
        <v>78933.460000000006</v>
      </c>
      <c r="O57" s="29">
        <v>322490.11</v>
      </c>
      <c r="P57" s="29">
        <v>306799.99</v>
      </c>
      <c r="Q57" s="29">
        <v>80290</v>
      </c>
      <c r="R57" s="29">
        <v>17060</v>
      </c>
      <c r="S57" s="11" t="s">
        <v>58</v>
      </c>
      <c r="T57" s="11" t="s">
        <v>14</v>
      </c>
      <c r="U57" s="29">
        <v>17083.97</v>
      </c>
      <c r="V57" s="29">
        <f>Table1[[#This Row],[STAB]]-Table1[[#This Row],[AMOUNT]]</f>
        <v>-23.970000000001164</v>
      </c>
      <c r="W57" s="11">
        <v>0</v>
      </c>
      <c r="X57" s="11" t="s">
        <v>1526</v>
      </c>
      <c r="Y57" s="11" t="s">
        <v>760</v>
      </c>
      <c r="Z57" s="12" t="s">
        <v>85</v>
      </c>
      <c r="AA57" s="12" t="s">
        <v>611</v>
      </c>
      <c r="AB57" s="11" t="s">
        <v>3139</v>
      </c>
      <c r="AC57" s="11" t="s">
        <v>211</v>
      </c>
      <c r="AD57" s="11" t="s">
        <v>215</v>
      </c>
      <c r="AE57" s="11" t="s">
        <v>92</v>
      </c>
      <c r="AF57" s="11" t="s">
        <v>54</v>
      </c>
      <c r="AG57" s="11" t="s">
        <v>101</v>
      </c>
      <c r="AH57" s="11" t="s">
        <v>197</v>
      </c>
      <c r="AI57" s="11">
        <v>802370852</v>
      </c>
      <c r="AJ57" s="11" t="s">
        <v>191</v>
      </c>
      <c r="AK57" s="11"/>
      <c r="AL57" s="11"/>
      <c r="AM57" s="12" t="s">
        <v>64</v>
      </c>
      <c r="AN57" s="11" t="s">
        <v>219</v>
      </c>
      <c r="AO57" s="11" t="s">
        <v>1502</v>
      </c>
      <c r="AP57" s="11" t="s">
        <v>1497</v>
      </c>
      <c r="AQ57" s="3">
        <v>45491</v>
      </c>
      <c r="AR57" s="11">
        <v>25000</v>
      </c>
      <c r="AS57" s="11" t="s">
        <v>47</v>
      </c>
      <c r="AT57" s="11" t="s">
        <v>187</v>
      </c>
      <c r="AU57" s="2">
        <v>46165</v>
      </c>
    </row>
    <row r="58" spans="1:47" x14ac:dyDescent="0.25">
      <c r="A58" s="10" t="s">
        <v>200</v>
      </c>
      <c r="B58" s="11" t="s">
        <v>204</v>
      </c>
      <c r="C58" s="11">
        <v>0</v>
      </c>
      <c r="D58" s="11" t="s">
        <v>108</v>
      </c>
      <c r="E58" s="11"/>
      <c r="F58" s="11" t="s">
        <v>795</v>
      </c>
      <c r="G58" s="11" t="s">
        <v>52</v>
      </c>
      <c r="H58" s="11">
        <v>5</v>
      </c>
      <c r="I58" s="11" t="s">
        <v>208</v>
      </c>
      <c r="J58" s="11" t="s">
        <v>42</v>
      </c>
      <c r="K58" s="11">
        <f>Table1[[#This Row],[ENR]]-Table1[[#This Row],[CREDIT]]</f>
        <v>133906.08000000002</v>
      </c>
      <c r="L58" s="43">
        <v>248000</v>
      </c>
      <c r="M58" s="30">
        <v>381906.08</v>
      </c>
      <c r="N58" s="44" t="s">
        <v>43</v>
      </c>
      <c r="O58" s="29">
        <v>381906.08</v>
      </c>
      <c r="P58" s="29">
        <v>343398.06</v>
      </c>
      <c r="Q58" s="29">
        <v>201310</v>
      </c>
      <c r="R58" s="29">
        <v>157230</v>
      </c>
      <c r="S58" s="11" t="s">
        <v>44</v>
      </c>
      <c r="T58" s="11" t="s">
        <v>45</v>
      </c>
      <c r="U58" s="11">
        <v>0</v>
      </c>
      <c r="V58" s="29">
        <f>Table1[[#This Row],[STAB]]-Table1[[#This Row],[AMOUNT]]</f>
        <v>157230</v>
      </c>
      <c r="W58" s="11">
        <v>0</v>
      </c>
      <c r="X58" s="11" t="s">
        <v>83</v>
      </c>
      <c r="Y58" s="11">
        <v>0</v>
      </c>
      <c r="Z58" s="12" t="s">
        <v>85</v>
      </c>
      <c r="AA58" s="12" t="s">
        <v>611</v>
      </c>
      <c r="AB58" s="11" t="s">
        <v>3139</v>
      </c>
      <c r="AC58" s="11" t="s">
        <v>212</v>
      </c>
      <c r="AD58" s="11" t="s">
        <v>216</v>
      </c>
      <c r="AE58" s="11" t="s">
        <v>92</v>
      </c>
      <c r="AF58" s="11" t="s">
        <v>54</v>
      </c>
      <c r="AG58" s="11" t="s">
        <v>101</v>
      </c>
      <c r="AH58" s="11" t="s">
        <v>197</v>
      </c>
      <c r="AI58" s="11">
        <v>802370852</v>
      </c>
      <c r="AJ58" s="11" t="s">
        <v>191</v>
      </c>
      <c r="AK58" s="11"/>
      <c r="AL58" s="11"/>
      <c r="AM58" s="12" t="s">
        <v>64</v>
      </c>
      <c r="AN58" s="11" t="s">
        <v>219</v>
      </c>
      <c r="AO58" s="11" t="s">
        <v>793</v>
      </c>
      <c r="AP58" s="11" t="s">
        <v>756</v>
      </c>
      <c r="AQ58" s="3">
        <v>45664</v>
      </c>
      <c r="AR58" s="11">
        <v>40000</v>
      </c>
      <c r="AS58" s="11" t="s">
        <v>47</v>
      </c>
      <c r="AT58" s="11" t="s">
        <v>187</v>
      </c>
      <c r="AU58" s="2">
        <v>46165</v>
      </c>
    </row>
    <row r="59" spans="1:47" x14ac:dyDescent="0.25">
      <c r="A59" s="10" t="s">
        <v>479</v>
      </c>
      <c r="B59" s="11" t="s">
        <v>164</v>
      </c>
      <c r="C59" s="11">
        <v>0</v>
      </c>
      <c r="D59" s="11" t="s">
        <v>108</v>
      </c>
      <c r="E59" s="11"/>
      <c r="F59" s="11"/>
      <c r="G59" s="11" t="s">
        <v>52</v>
      </c>
      <c r="H59" s="11">
        <v>5</v>
      </c>
      <c r="I59" s="11" t="s">
        <v>170</v>
      </c>
      <c r="J59" s="11" t="s">
        <v>42</v>
      </c>
      <c r="K59" s="11">
        <f>Table1[[#This Row],[ENR]]-Table1[[#This Row],[CREDIT]]</f>
        <v>-138916.57</v>
      </c>
      <c r="L59" s="43">
        <v>500000</v>
      </c>
      <c r="M59" s="30">
        <v>361083.43</v>
      </c>
      <c r="N59" s="44">
        <v>250106.73</v>
      </c>
      <c r="O59" s="29">
        <v>110976.7</v>
      </c>
      <c r="P59" s="29">
        <v>104982.02</v>
      </c>
      <c r="Q59" s="29">
        <v>38970</v>
      </c>
      <c r="R59" s="29">
        <v>15290</v>
      </c>
      <c r="S59" s="11" t="s">
        <v>44</v>
      </c>
      <c r="T59" s="11" t="s">
        <v>45</v>
      </c>
      <c r="U59" s="11">
        <v>0</v>
      </c>
      <c r="V59" s="29">
        <f>Table1[[#This Row],[STAB]]-Table1[[#This Row],[AMOUNT]]</f>
        <v>15290</v>
      </c>
      <c r="W59" s="11">
        <v>0</v>
      </c>
      <c r="X59" s="11" t="s">
        <v>83</v>
      </c>
      <c r="Y59" s="11">
        <v>0</v>
      </c>
      <c r="Z59" s="12" t="s">
        <v>85</v>
      </c>
      <c r="AA59" s="12" t="s">
        <v>611</v>
      </c>
      <c r="AB59" s="11" t="s">
        <v>3139</v>
      </c>
      <c r="AC59" s="11" t="s">
        <v>176</v>
      </c>
      <c r="AD59" s="11" t="s">
        <v>581</v>
      </c>
      <c r="AE59" s="11" t="s">
        <v>103</v>
      </c>
      <c r="AF59" s="11" t="s">
        <v>53</v>
      </c>
      <c r="AG59" s="11" t="s">
        <v>188</v>
      </c>
      <c r="AH59" s="11" t="s">
        <v>194</v>
      </c>
      <c r="AI59" s="11">
        <v>802823180</v>
      </c>
      <c r="AJ59" s="11" t="s">
        <v>191</v>
      </c>
      <c r="AK59" s="11"/>
      <c r="AL59" s="11"/>
      <c r="AM59" s="12" t="s">
        <v>46</v>
      </c>
      <c r="AN59" s="11"/>
      <c r="AO59" s="11"/>
      <c r="AP59" s="11"/>
      <c r="AQ59" s="3">
        <v>45602</v>
      </c>
      <c r="AR59" s="11">
        <v>44400</v>
      </c>
      <c r="AS59" s="11" t="s">
        <v>47</v>
      </c>
      <c r="AT59" s="11" t="s">
        <v>609</v>
      </c>
      <c r="AU59" s="2">
        <v>46165</v>
      </c>
    </row>
    <row r="60" spans="1:47" x14ac:dyDescent="0.25">
      <c r="A60" s="10" t="s">
        <v>494</v>
      </c>
      <c r="B60" s="11" t="s">
        <v>519</v>
      </c>
      <c r="C60" s="11">
        <v>0</v>
      </c>
      <c r="D60" s="11" t="s">
        <v>108</v>
      </c>
      <c r="E60" s="11"/>
      <c r="F60" s="11"/>
      <c r="G60" s="11" t="s">
        <v>52</v>
      </c>
      <c r="H60" s="11">
        <v>5</v>
      </c>
      <c r="I60" s="11" t="s">
        <v>544</v>
      </c>
      <c r="J60" s="11" t="s">
        <v>42</v>
      </c>
      <c r="K60" s="11">
        <f>Table1[[#This Row],[ENR]]-Table1[[#This Row],[CREDIT]]</f>
        <v>13719.140000000014</v>
      </c>
      <c r="L60" s="43">
        <v>330000</v>
      </c>
      <c r="M60" s="30">
        <v>343719.14</v>
      </c>
      <c r="N60" s="44" t="s">
        <v>43</v>
      </c>
      <c r="O60" s="29">
        <v>343719.14</v>
      </c>
      <c r="P60" s="29">
        <v>330960.89</v>
      </c>
      <c r="Q60" s="29">
        <v>102130</v>
      </c>
      <c r="R60" s="29">
        <v>58710</v>
      </c>
      <c r="S60" s="11" t="s">
        <v>58</v>
      </c>
      <c r="T60" s="11" t="s">
        <v>14</v>
      </c>
      <c r="U60" s="29">
        <v>58710</v>
      </c>
      <c r="V60" s="29">
        <f>Table1[[#This Row],[STAB]]-Table1[[#This Row],[AMOUNT]]</f>
        <v>0</v>
      </c>
      <c r="W60" s="11" t="s">
        <v>1667</v>
      </c>
      <c r="X60" s="11" t="s">
        <v>451</v>
      </c>
      <c r="Y60" s="11" t="s">
        <v>760</v>
      </c>
      <c r="Z60" s="11" t="s">
        <v>85</v>
      </c>
      <c r="AA60" s="11" t="s">
        <v>447</v>
      </c>
      <c r="AB60" s="11" t="s">
        <v>3139</v>
      </c>
      <c r="AC60" s="11" t="s">
        <v>570</v>
      </c>
      <c r="AD60" s="11" t="s">
        <v>596</v>
      </c>
      <c r="AE60" s="11" t="s">
        <v>125</v>
      </c>
      <c r="AF60" s="11" t="s">
        <v>127</v>
      </c>
      <c r="AG60" s="11" t="s">
        <v>56</v>
      </c>
      <c r="AH60" s="11" t="s">
        <v>462</v>
      </c>
      <c r="AI60" s="11">
        <v>801448854</v>
      </c>
      <c r="AJ60" s="11" t="s">
        <v>191</v>
      </c>
      <c r="AK60" s="11"/>
      <c r="AL60" s="11"/>
      <c r="AM60" s="12" t="s">
        <v>64</v>
      </c>
      <c r="AN60" s="11" t="s">
        <v>115</v>
      </c>
      <c r="AO60" s="11" t="s">
        <v>2170</v>
      </c>
      <c r="AP60" s="11" t="s">
        <v>1667</v>
      </c>
      <c r="AQ60" s="3">
        <v>45817</v>
      </c>
      <c r="AR60" s="11">
        <v>22773</v>
      </c>
      <c r="AS60" s="11" t="s">
        <v>47</v>
      </c>
      <c r="AT60" s="11" t="s">
        <v>609</v>
      </c>
      <c r="AU60" s="2">
        <v>46165</v>
      </c>
    </row>
    <row r="61" spans="1:47" x14ac:dyDescent="0.25">
      <c r="A61" s="10" t="s">
        <v>487</v>
      </c>
      <c r="B61" s="11" t="s">
        <v>512</v>
      </c>
      <c r="C61" s="11">
        <v>0</v>
      </c>
      <c r="D61" s="11" t="s">
        <v>108</v>
      </c>
      <c r="E61" s="11"/>
      <c r="F61" s="11"/>
      <c r="G61" s="11" t="s">
        <v>52</v>
      </c>
      <c r="H61" s="11">
        <v>5</v>
      </c>
      <c r="I61" s="11" t="s">
        <v>537</v>
      </c>
      <c r="J61" s="11" t="s">
        <v>42</v>
      </c>
      <c r="K61" s="11">
        <f>Table1[[#This Row],[ENR]]-Table1[[#This Row],[CREDIT]]</f>
        <v>-90808.210000000021</v>
      </c>
      <c r="L61" s="43">
        <v>420000</v>
      </c>
      <c r="M61" s="30">
        <v>329191.78999999998</v>
      </c>
      <c r="N61" s="44" t="s">
        <v>43</v>
      </c>
      <c r="O61" s="29">
        <v>329191.78999999998</v>
      </c>
      <c r="P61" s="29">
        <v>311691.96999999997</v>
      </c>
      <c r="Q61" s="29">
        <v>52130</v>
      </c>
      <c r="R61" s="29">
        <v>15360</v>
      </c>
      <c r="S61" s="11" t="s">
        <v>44</v>
      </c>
      <c r="T61" s="11" t="s">
        <v>45</v>
      </c>
      <c r="U61" s="11">
        <v>0</v>
      </c>
      <c r="V61" s="29">
        <f>Table1[[#This Row],[STAB]]-Table1[[#This Row],[AMOUNT]]</f>
        <v>15360</v>
      </c>
      <c r="W61" s="11">
        <v>0</v>
      </c>
      <c r="X61" s="11" t="s">
        <v>83</v>
      </c>
      <c r="Y61" s="11">
        <v>0</v>
      </c>
      <c r="Z61" s="11" t="s">
        <v>88</v>
      </c>
      <c r="AA61" s="11" t="s">
        <v>91</v>
      </c>
      <c r="AB61" s="11" t="s">
        <v>3139</v>
      </c>
      <c r="AC61" s="11" t="s">
        <v>563</v>
      </c>
      <c r="AD61" s="11" t="s">
        <v>589</v>
      </c>
      <c r="AE61" s="11" t="s">
        <v>218</v>
      </c>
      <c r="AF61" s="11" t="s">
        <v>84</v>
      </c>
      <c r="AG61" s="11" t="s">
        <v>93</v>
      </c>
      <c r="AH61" s="11" t="s">
        <v>88</v>
      </c>
      <c r="AI61" s="11">
        <v>801723195</v>
      </c>
      <c r="AJ61" s="11" t="s">
        <v>191</v>
      </c>
      <c r="AK61" s="11"/>
      <c r="AL61" s="11"/>
      <c r="AM61" s="12" t="s">
        <v>64</v>
      </c>
      <c r="AN61" s="11" t="s">
        <v>446</v>
      </c>
      <c r="AO61" s="11" t="s">
        <v>751</v>
      </c>
      <c r="AP61" s="11" t="s">
        <v>639</v>
      </c>
      <c r="AQ61" s="3">
        <v>45832</v>
      </c>
      <c r="AR61" s="11">
        <v>20000</v>
      </c>
      <c r="AS61" s="11" t="s">
        <v>47</v>
      </c>
      <c r="AT61" s="11" t="s">
        <v>609</v>
      </c>
      <c r="AU61" s="2">
        <v>46165</v>
      </c>
    </row>
    <row r="62" spans="1:47" x14ac:dyDescent="0.25">
      <c r="A62" s="10" t="s">
        <v>486</v>
      </c>
      <c r="B62" s="11" t="s">
        <v>511</v>
      </c>
      <c r="C62" s="11">
        <v>0</v>
      </c>
      <c r="D62" s="11" t="s">
        <v>108</v>
      </c>
      <c r="E62" s="11"/>
      <c r="F62" s="11"/>
      <c r="G62" s="11" t="s">
        <v>52</v>
      </c>
      <c r="H62" s="11">
        <v>5</v>
      </c>
      <c r="I62" s="11" t="s">
        <v>536</v>
      </c>
      <c r="J62" s="11" t="s">
        <v>42</v>
      </c>
      <c r="K62" s="11">
        <f>Table1[[#This Row],[ENR]]-Table1[[#This Row],[CREDIT]]</f>
        <v>21393.710000000021</v>
      </c>
      <c r="L62" s="43">
        <v>300000</v>
      </c>
      <c r="M62" s="30">
        <v>321393.71000000002</v>
      </c>
      <c r="N62" s="44" t="s">
        <v>43</v>
      </c>
      <c r="O62" s="29">
        <v>321393.71000000002</v>
      </c>
      <c r="P62" s="29">
        <v>303514.05</v>
      </c>
      <c r="Q62" s="29">
        <v>60190</v>
      </c>
      <c r="R62" s="29">
        <v>23230</v>
      </c>
      <c r="S62" s="11" t="s">
        <v>58</v>
      </c>
      <c r="T62" s="11" t="s">
        <v>14</v>
      </c>
      <c r="U62" s="29">
        <v>24000</v>
      </c>
      <c r="V62" s="29">
        <f>Table1[[#This Row],[STAB]]-Table1[[#This Row],[AMOUNT]]</f>
        <v>-770</v>
      </c>
      <c r="W62" s="11" t="s">
        <v>1528</v>
      </c>
      <c r="X62" s="11" t="s">
        <v>451</v>
      </c>
      <c r="Y62" s="11" t="s">
        <v>760</v>
      </c>
      <c r="Z62" s="11" t="s">
        <v>88</v>
      </c>
      <c r="AA62" s="11" t="s">
        <v>91</v>
      </c>
      <c r="AB62" s="11" t="s">
        <v>3139</v>
      </c>
      <c r="AC62" s="11" t="s">
        <v>562</v>
      </c>
      <c r="AD62" s="11" t="s">
        <v>588</v>
      </c>
      <c r="AE62" s="11" t="s">
        <v>218</v>
      </c>
      <c r="AF62" s="11" t="s">
        <v>84</v>
      </c>
      <c r="AG62" s="11" t="s">
        <v>107</v>
      </c>
      <c r="AH62" s="11" t="s">
        <v>88</v>
      </c>
      <c r="AI62" s="11">
        <v>801723195</v>
      </c>
      <c r="AJ62" s="11" t="s">
        <v>191</v>
      </c>
      <c r="AK62" s="11"/>
      <c r="AL62" s="11"/>
      <c r="AM62" s="12" t="s">
        <v>64</v>
      </c>
      <c r="AN62" s="11" t="s">
        <v>219</v>
      </c>
      <c r="AO62" s="11" t="s">
        <v>633</v>
      </c>
      <c r="AP62" s="11" t="s">
        <v>629</v>
      </c>
      <c r="AQ62" s="3" t="s">
        <v>43</v>
      </c>
      <c r="AR62" s="11">
        <v>0</v>
      </c>
      <c r="AS62" s="11" t="s">
        <v>607</v>
      </c>
      <c r="AT62" s="11" t="s">
        <v>609</v>
      </c>
      <c r="AU62" s="2">
        <v>46165</v>
      </c>
    </row>
    <row r="63" spans="1:47" x14ac:dyDescent="0.25">
      <c r="A63" s="10" t="s">
        <v>497</v>
      </c>
      <c r="B63" s="11" t="s">
        <v>522</v>
      </c>
      <c r="C63" s="11">
        <v>0</v>
      </c>
      <c r="D63" s="11" t="s">
        <v>108</v>
      </c>
      <c r="E63" s="11"/>
      <c r="F63" s="11"/>
      <c r="G63" s="11" t="s">
        <v>52</v>
      </c>
      <c r="H63" s="11">
        <v>5</v>
      </c>
      <c r="I63" s="11" t="s">
        <v>547</v>
      </c>
      <c r="J63" s="11" t="s">
        <v>42</v>
      </c>
      <c r="K63" s="11">
        <f>Table1[[#This Row],[ENR]]-Table1[[#This Row],[CREDIT]]</f>
        <v>5760.7199999999721</v>
      </c>
      <c r="L63" s="43">
        <v>270000</v>
      </c>
      <c r="M63" s="30">
        <v>275760.71999999997</v>
      </c>
      <c r="N63" s="44">
        <v>42013.52</v>
      </c>
      <c r="O63" s="29">
        <v>233747.20000000001</v>
      </c>
      <c r="P63" s="29">
        <v>216758.88</v>
      </c>
      <c r="Q63" s="29">
        <v>69590</v>
      </c>
      <c r="R63" s="29">
        <v>34590</v>
      </c>
      <c r="S63" s="11" t="s">
        <v>58</v>
      </c>
      <c r="T63" s="11" t="s">
        <v>14</v>
      </c>
      <c r="U63" s="29">
        <v>34590</v>
      </c>
      <c r="V63" s="29">
        <f>Table1[[#This Row],[STAB]]-Table1[[#This Row],[AMOUNT]]</f>
        <v>0</v>
      </c>
      <c r="W63" s="11" t="s">
        <v>796</v>
      </c>
      <c r="X63" s="11" t="s">
        <v>451</v>
      </c>
      <c r="Y63" s="11" t="s">
        <v>760</v>
      </c>
      <c r="Z63" s="11" t="s">
        <v>85</v>
      </c>
      <c r="AA63" s="11" t="s">
        <v>613</v>
      </c>
      <c r="AB63" s="11" t="s">
        <v>3140</v>
      </c>
      <c r="AC63" s="11" t="s">
        <v>573</v>
      </c>
      <c r="AD63" s="11" t="s">
        <v>599</v>
      </c>
      <c r="AE63" s="11" t="s">
        <v>421</v>
      </c>
      <c r="AF63" s="11" t="s">
        <v>54</v>
      </c>
      <c r="AG63" s="11" t="s">
        <v>119</v>
      </c>
      <c r="AH63" s="11" t="s">
        <v>626</v>
      </c>
      <c r="AI63" s="11">
        <v>802663344</v>
      </c>
      <c r="AJ63" s="11" t="s">
        <v>191</v>
      </c>
      <c r="AK63" s="11"/>
      <c r="AL63" s="11"/>
      <c r="AM63" s="12" t="s">
        <v>64</v>
      </c>
      <c r="AN63" s="11" t="s">
        <v>115</v>
      </c>
      <c r="AO63" s="11" t="s">
        <v>754</v>
      </c>
      <c r="AP63" s="11" t="s">
        <v>639</v>
      </c>
      <c r="AQ63" s="3">
        <v>45462</v>
      </c>
      <c r="AR63" s="11">
        <v>7800</v>
      </c>
      <c r="AS63" s="11" t="s">
        <v>47</v>
      </c>
      <c r="AT63" s="11" t="s">
        <v>609</v>
      </c>
      <c r="AU63" s="2">
        <v>46165</v>
      </c>
    </row>
    <row r="64" spans="1:47" x14ac:dyDescent="0.25">
      <c r="A64" s="10" t="s">
        <v>485</v>
      </c>
      <c r="B64" s="11" t="s">
        <v>510</v>
      </c>
      <c r="C64" s="11">
        <v>0</v>
      </c>
      <c r="D64" s="11" t="s">
        <v>108</v>
      </c>
      <c r="E64" s="11"/>
      <c r="F64" s="11"/>
      <c r="G64" s="11" t="s">
        <v>52</v>
      </c>
      <c r="H64" s="11">
        <v>5</v>
      </c>
      <c r="I64" s="11" t="s">
        <v>535</v>
      </c>
      <c r="J64" s="11" t="s">
        <v>42</v>
      </c>
      <c r="K64" s="11">
        <f>Table1[[#This Row],[ENR]]-Table1[[#This Row],[CREDIT]]</f>
        <v>22506.780000000028</v>
      </c>
      <c r="L64" s="43">
        <v>240000</v>
      </c>
      <c r="M64" s="30">
        <v>262506.78000000003</v>
      </c>
      <c r="N64" s="44" t="s">
        <v>43</v>
      </c>
      <c r="O64" s="29">
        <v>262506.78000000003</v>
      </c>
      <c r="P64" s="29">
        <v>244009.18</v>
      </c>
      <c r="Q64" s="29">
        <v>60550</v>
      </c>
      <c r="R64" s="29">
        <v>25270</v>
      </c>
      <c r="S64" s="11" t="s">
        <v>58</v>
      </c>
      <c r="T64" s="11" t="s">
        <v>13</v>
      </c>
      <c r="U64" s="11">
        <v>63510</v>
      </c>
      <c r="V64" s="29">
        <f>Table1[[#This Row],[STAB]]-Table1[[#This Row],[AMOUNT]]</f>
        <v>-38240</v>
      </c>
      <c r="W64" s="11" t="s">
        <v>756</v>
      </c>
      <c r="X64" s="11" t="s">
        <v>451</v>
      </c>
      <c r="Y64" s="11" t="s">
        <v>760</v>
      </c>
      <c r="Z64" s="11" t="s">
        <v>85</v>
      </c>
      <c r="AA64" s="11" t="s">
        <v>613</v>
      </c>
      <c r="AB64" s="11" t="s">
        <v>3139</v>
      </c>
      <c r="AC64" s="11" t="s">
        <v>561</v>
      </c>
      <c r="AD64" s="11" t="s">
        <v>587</v>
      </c>
      <c r="AE64" s="11" t="s">
        <v>104</v>
      </c>
      <c r="AF64" s="11" t="s">
        <v>54</v>
      </c>
      <c r="AG64" s="11" t="s">
        <v>610</v>
      </c>
      <c r="AH64" s="11" t="s">
        <v>627</v>
      </c>
      <c r="AI64" s="11">
        <v>801772792</v>
      </c>
      <c r="AJ64" s="11" t="s">
        <v>191</v>
      </c>
      <c r="AK64" s="11"/>
      <c r="AL64" s="11"/>
      <c r="AM64" s="12" t="s">
        <v>64</v>
      </c>
      <c r="AN64" s="11" t="s">
        <v>115</v>
      </c>
      <c r="AO64" s="11" t="s">
        <v>620</v>
      </c>
      <c r="AP64" s="11" t="s">
        <v>618</v>
      </c>
      <c r="AQ64" s="3">
        <v>45811</v>
      </c>
      <c r="AR64" s="11">
        <v>12042</v>
      </c>
      <c r="AS64" s="11" t="s">
        <v>47</v>
      </c>
      <c r="AT64" s="11" t="s">
        <v>609</v>
      </c>
      <c r="AU64" s="2">
        <v>46165</v>
      </c>
    </row>
    <row r="65" spans="1:47" x14ac:dyDescent="0.25">
      <c r="A65" s="10" t="s">
        <v>499</v>
      </c>
      <c r="B65" s="11" t="s">
        <v>524</v>
      </c>
      <c r="C65" s="11">
        <v>0</v>
      </c>
      <c r="D65" s="11" t="s">
        <v>108</v>
      </c>
      <c r="E65" s="11"/>
      <c r="F65" s="11"/>
      <c r="G65" s="11" t="s">
        <v>52</v>
      </c>
      <c r="H65" s="11">
        <v>5</v>
      </c>
      <c r="I65" s="11" t="s">
        <v>549</v>
      </c>
      <c r="J65" s="11" t="s">
        <v>42</v>
      </c>
      <c r="K65" s="11">
        <f>Table1[[#This Row],[ENR]]-Table1[[#This Row],[CREDIT]]</f>
        <v>1626.5799999999872</v>
      </c>
      <c r="L65" s="43">
        <v>240000</v>
      </c>
      <c r="M65" s="30">
        <v>241626.58</v>
      </c>
      <c r="N65" s="44" t="s">
        <v>43</v>
      </c>
      <c r="O65" s="29">
        <v>241626.58</v>
      </c>
      <c r="P65" s="29">
        <v>225488.46</v>
      </c>
      <c r="Q65" s="29">
        <v>36330</v>
      </c>
      <c r="R65" s="29">
        <v>12370</v>
      </c>
      <c r="S65" s="11" t="s">
        <v>58</v>
      </c>
      <c r="T65" s="11" t="s">
        <v>13</v>
      </c>
      <c r="U65" s="11">
        <v>241626.58</v>
      </c>
      <c r="V65" s="29">
        <f>Table1[[#This Row],[STAB]]-Table1[[#This Row],[AMOUNT]]</f>
        <v>-229256.58</v>
      </c>
      <c r="W65" s="11" t="s">
        <v>1528</v>
      </c>
      <c r="X65" s="11" t="s">
        <v>451</v>
      </c>
      <c r="Y65" s="11" t="s">
        <v>760</v>
      </c>
      <c r="Z65" s="11" t="s">
        <v>85</v>
      </c>
      <c r="AA65" s="11" t="s">
        <v>447</v>
      </c>
      <c r="AB65" s="11" t="s">
        <v>3139</v>
      </c>
      <c r="AC65" s="11" t="s">
        <v>575</v>
      </c>
      <c r="AD65" s="11" t="s">
        <v>601</v>
      </c>
      <c r="AE65" s="11" t="s">
        <v>415</v>
      </c>
      <c r="AF65" s="11" t="s">
        <v>53</v>
      </c>
      <c r="AG65" s="11" t="s">
        <v>105</v>
      </c>
      <c r="AH65" s="11" t="s">
        <v>85</v>
      </c>
      <c r="AI65" s="11">
        <v>801772794</v>
      </c>
      <c r="AJ65" s="11" t="s">
        <v>192</v>
      </c>
      <c r="AK65" s="11"/>
      <c r="AL65" s="11"/>
      <c r="AM65" s="12" t="s">
        <v>64</v>
      </c>
      <c r="AN65" s="11" t="s">
        <v>115</v>
      </c>
      <c r="AO65" s="11" t="s">
        <v>1603</v>
      </c>
      <c r="AP65" s="11" t="s">
        <v>1528</v>
      </c>
      <c r="AQ65" s="3">
        <v>45898</v>
      </c>
      <c r="AR65" s="11">
        <v>13973.31</v>
      </c>
      <c r="AS65" s="11" t="s">
        <v>608</v>
      </c>
      <c r="AT65" s="11" t="s">
        <v>609</v>
      </c>
      <c r="AU65" s="2">
        <v>46165</v>
      </c>
    </row>
    <row r="66" spans="1:47" x14ac:dyDescent="0.25">
      <c r="A66" s="10" t="s">
        <v>482</v>
      </c>
      <c r="B66" s="11" t="s">
        <v>507</v>
      </c>
      <c r="C66" s="11">
        <v>0</v>
      </c>
      <c r="D66" s="11" t="s">
        <v>108</v>
      </c>
      <c r="E66" s="11"/>
      <c r="F66" s="11"/>
      <c r="G66" s="11" t="s">
        <v>52</v>
      </c>
      <c r="H66" s="11">
        <v>5</v>
      </c>
      <c r="I66" s="11" t="s">
        <v>532</v>
      </c>
      <c r="J66" s="11" t="s">
        <v>42</v>
      </c>
      <c r="K66" s="11">
        <f>Table1[[#This Row],[ENR]]-Table1[[#This Row],[CREDIT]]</f>
        <v>8734.4899999999907</v>
      </c>
      <c r="L66" s="43">
        <v>230000</v>
      </c>
      <c r="M66" s="30">
        <v>238734.49</v>
      </c>
      <c r="N66" s="44">
        <v>61767.85</v>
      </c>
      <c r="O66" s="29">
        <v>176966.64</v>
      </c>
      <c r="P66" s="29">
        <v>162992.06</v>
      </c>
      <c r="Q66" s="29">
        <v>41140</v>
      </c>
      <c r="R66" s="29">
        <v>17050</v>
      </c>
      <c r="S66" s="11" t="s">
        <v>44</v>
      </c>
      <c r="T66" s="11" t="s">
        <v>45</v>
      </c>
      <c r="U66" s="11">
        <v>0</v>
      </c>
      <c r="V66" s="29">
        <f>Table1[[#This Row],[STAB]]-Table1[[#This Row],[AMOUNT]]</f>
        <v>17050</v>
      </c>
      <c r="W66" s="11">
        <v>0</v>
      </c>
      <c r="X66" s="11" t="s">
        <v>83</v>
      </c>
      <c r="Y66" s="11">
        <v>0</v>
      </c>
      <c r="Z66" s="12" t="s">
        <v>85</v>
      </c>
      <c r="AA66" s="12" t="s">
        <v>612</v>
      </c>
      <c r="AB66" s="11" t="s">
        <v>3139</v>
      </c>
      <c r="AC66" s="11" t="s">
        <v>558</v>
      </c>
      <c r="AD66" s="11" t="s">
        <v>584</v>
      </c>
      <c r="AE66" s="11" t="s">
        <v>123</v>
      </c>
      <c r="AF66" s="11" t="s">
        <v>127</v>
      </c>
      <c r="AG66" s="11" t="s">
        <v>56</v>
      </c>
      <c r="AH66" s="11" t="s">
        <v>462</v>
      </c>
      <c r="AI66" s="11">
        <v>801448854</v>
      </c>
      <c r="AJ66" s="11" t="s">
        <v>191</v>
      </c>
      <c r="AK66" s="11"/>
      <c r="AL66" s="11"/>
      <c r="AM66" s="12" t="s">
        <v>64</v>
      </c>
      <c r="AN66" s="11" t="s">
        <v>219</v>
      </c>
      <c r="AO66" s="11" t="s">
        <v>1646</v>
      </c>
      <c r="AP66" s="11" t="s">
        <v>1645</v>
      </c>
      <c r="AQ66" s="3">
        <v>45620</v>
      </c>
      <c r="AR66" s="11">
        <v>10000</v>
      </c>
      <c r="AS66" s="11" t="s">
        <v>47</v>
      </c>
      <c r="AT66" s="11" t="s">
        <v>609</v>
      </c>
      <c r="AU66" s="2">
        <v>46165</v>
      </c>
    </row>
    <row r="67" spans="1:47" x14ac:dyDescent="0.25">
      <c r="A67" s="10" t="s">
        <v>483</v>
      </c>
      <c r="B67" s="11" t="s">
        <v>508</v>
      </c>
      <c r="C67" s="11">
        <v>0</v>
      </c>
      <c r="D67" s="11" t="s">
        <v>108</v>
      </c>
      <c r="E67" s="11"/>
      <c r="F67" s="11"/>
      <c r="G67" s="11" t="s">
        <v>52</v>
      </c>
      <c r="H67" s="11">
        <v>5</v>
      </c>
      <c r="I67" s="11" t="s">
        <v>533</v>
      </c>
      <c r="J67" s="11" t="s">
        <v>42</v>
      </c>
      <c r="K67" s="11">
        <f>Table1[[#This Row],[ENR]]-Table1[[#This Row],[CREDIT]]</f>
        <v>-70883.140000000014</v>
      </c>
      <c r="L67" s="43">
        <v>305000</v>
      </c>
      <c r="M67" s="30">
        <v>234116.86</v>
      </c>
      <c r="N67" s="44" t="s">
        <v>43</v>
      </c>
      <c r="O67" s="29">
        <v>234116.86</v>
      </c>
      <c r="P67" s="29">
        <v>217701.36</v>
      </c>
      <c r="Q67" s="29">
        <v>35510</v>
      </c>
      <c r="R67" s="29">
        <v>13930</v>
      </c>
      <c r="S67" s="11" t="s">
        <v>44</v>
      </c>
      <c r="T67" s="11" t="s">
        <v>45</v>
      </c>
      <c r="U67" s="11">
        <v>0</v>
      </c>
      <c r="V67" s="29">
        <f>Table1[[#This Row],[STAB]]-Table1[[#This Row],[AMOUNT]]</f>
        <v>13930</v>
      </c>
      <c r="W67" s="11">
        <v>0</v>
      </c>
      <c r="X67" s="11" t="s">
        <v>83</v>
      </c>
      <c r="Y67" s="11">
        <v>0</v>
      </c>
      <c r="Z67" s="12" t="s">
        <v>85</v>
      </c>
      <c r="AA67" s="12" t="s">
        <v>611</v>
      </c>
      <c r="AB67" s="11" t="s">
        <v>3141</v>
      </c>
      <c r="AC67" s="11" t="s">
        <v>559</v>
      </c>
      <c r="AD67" s="11" t="s">
        <v>585</v>
      </c>
      <c r="AE67" s="11" t="s">
        <v>414</v>
      </c>
      <c r="AF67" s="11" t="s">
        <v>127</v>
      </c>
      <c r="AG67" s="11" t="s">
        <v>106</v>
      </c>
      <c r="AH67" s="11" t="s">
        <v>460</v>
      </c>
      <c r="AI67" s="11">
        <v>802913252</v>
      </c>
      <c r="AJ67" s="11" t="s">
        <v>190</v>
      </c>
      <c r="AK67" s="11"/>
      <c r="AL67" s="11"/>
      <c r="AM67" s="12" t="s">
        <v>64</v>
      </c>
      <c r="AN67" s="11" t="s">
        <v>446</v>
      </c>
      <c r="AO67" s="11" t="s">
        <v>1521</v>
      </c>
      <c r="AP67" s="11" t="s">
        <v>1497</v>
      </c>
      <c r="AQ67" s="3">
        <v>46047</v>
      </c>
      <c r="AR67" s="11">
        <v>10300</v>
      </c>
      <c r="AS67" s="11" t="s">
        <v>47</v>
      </c>
      <c r="AT67" s="11" t="s">
        <v>609</v>
      </c>
      <c r="AU67" s="2">
        <v>46165</v>
      </c>
    </row>
    <row r="68" spans="1:47" x14ac:dyDescent="0.25">
      <c r="A68" s="10" t="s">
        <v>495</v>
      </c>
      <c r="B68" s="11" t="s">
        <v>520</v>
      </c>
      <c r="C68" s="11">
        <v>0</v>
      </c>
      <c r="D68" s="11" t="s">
        <v>108</v>
      </c>
      <c r="E68" s="11"/>
      <c r="F68" s="11"/>
      <c r="G68" s="11" t="s">
        <v>52</v>
      </c>
      <c r="H68" s="11">
        <v>5</v>
      </c>
      <c r="I68" s="11" t="s">
        <v>545</v>
      </c>
      <c r="J68" s="11" t="s">
        <v>42</v>
      </c>
      <c r="K68" s="11">
        <f>Table1[[#This Row],[ENR]]-Table1[[#This Row],[CREDIT]]</f>
        <v>-271787.82</v>
      </c>
      <c r="L68" s="43">
        <v>500000</v>
      </c>
      <c r="M68" s="30">
        <v>228212.18</v>
      </c>
      <c r="N68" s="44" t="s">
        <v>43</v>
      </c>
      <c r="O68" s="29">
        <v>228212.18</v>
      </c>
      <c r="P68" s="29">
        <v>204598.33</v>
      </c>
      <c r="Q68" s="29">
        <v>48800</v>
      </c>
      <c r="R68" s="29">
        <v>28430</v>
      </c>
      <c r="S68" s="11" t="s">
        <v>44</v>
      </c>
      <c r="T68" s="11" t="s">
        <v>45</v>
      </c>
      <c r="U68" s="11">
        <v>0</v>
      </c>
      <c r="V68" s="29">
        <f>Table1[[#This Row],[STAB]]-Table1[[#This Row],[AMOUNT]]</f>
        <v>28430</v>
      </c>
      <c r="W68" s="11">
        <v>0</v>
      </c>
      <c r="X68" s="11" t="s">
        <v>83</v>
      </c>
      <c r="Y68" s="11">
        <v>0</v>
      </c>
      <c r="Z68" s="11" t="s">
        <v>85</v>
      </c>
      <c r="AA68" s="11" t="s">
        <v>613</v>
      </c>
      <c r="AB68" s="11" t="s">
        <v>3139</v>
      </c>
      <c r="AC68" s="11" t="s">
        <v>571</v>
      </c>
      <c r="AD68" s="11" t="s">
        <v>597</v>
      </c>
      <c r="AE68" s="11" t="s">
        <v>425</v>
      </c>
      <c r="AF68" s="11" t="s">
        <v>53</v>
      </c>
      <c r="AG68" s="11" t="s">
        <v>117</v>
      </c>
      <c r="AH68" s="11" t="s">
        <v>466</v>
      </c>
      <c r="AI68" s="11">
        <v>802388289</v>
      </c>
      <c r="AJ68" s="11" t="s">
        <v>190</v>
      </c>
      <c r="AK68" s="11"/>
      <c r="AL68" s="11"/>
      <c r="AM68" s="12" t="s">
        <v>64</v>
      </c>
      <c r="AN68" s="11" t="s">
        <v>115</v>
      </c>
      <c r="AO68" s="11" t="s">
        <v>637</v>
      </c>
      <c r="AP68" s="11" t="s">
        <v>629</v>
      </c>
      <c r="AQ68" s="3">
        <v>45922</v>
      </c>
      <c r="AR68" s="11">
        <v>99471</v>
      </c>
      <c r="AS68" s="11" t="s">
        <v>47</v>
      </c>
      <c r="AT68" s="11" t="s">
        <v>609</v>
      </c>
      <c r="AU68" s="2">
        <v>46165</v>
      </c>
    </row>
    <row r="69" spans="1:47" x14ac:dyDescent="0.25">
      <c r="A69" s="10" t="s">
        <v>496</v>
      </c>
      <c r="B69" s="11" t="s">
        <v>521</v>
      </c>
      <c r="C69" s="11">
        <v>0</v>
      </c>
      <c r="D69" s="11" t="s">
        <v>108</v>
      </c>
      <c r="E69" s="11"/>
      <c r="F69" s="11"/>
      <c r="G69" s="11" t="s">
        <v>52</v>
      </c>
      <c r="H69" s="11">
        <v>5</v>
      </c>
      <c r="I69" s="11" t="s">
        <v>546</v>
      </c>
      <c r="J69" s="11" t="s">
        <v>42</v>
      </c>
      <c r="K69" s="11">
        <f>Table1[[#This Row],[ENR]]-Table1[[#This Row],[CREDIT]]</f>
        <v>18440.670000000013</v>
      </c>
      <c r="L69" s="43">
        <v>180000</v>
      </c>
      <c r="M69" s="30">
        <v>198440.67</v>
      </c>
      <c r="N69" s="44" t="s">
        <v>43</v>
      </c>
      <c r="O69" s="29">
        <v>198440.67</v>
      </c>
      <c r="P69" s="29">
        <v>184042.39</v>
      </c>
      <c r="Q69" s="29">
        <v>47780</v>
      </c>
      <c r="R69" s="29">
        <v>20530</v>
      </c>
      <c r="S69" s="11" t="s">
        <v>58</v>
      </c>
      <c r="T69" s="11" t="s">
        <v>13</v>
      </c>
      <c r="U69" s="11">
        <v>47780</v>
      </c>
      <c r="V69" s="29">
        <f>Table1[[#This Row],[STAB]]-Table1[[#This Row],[AMOUNT]]</f>
        <v>-27250</v>
      </c>
      <c r="W69" s="11" t="s">
        <v>1497</v>
      </c>
      <c r="X69" s="11" t="s">
        <v>444</v>
      </c>
      <c r="Y69" s="11" t="s">
        <v>760</v>
      </c>
      <c r="Z69" s="11" t="s">
        <v>85</v>
      </c>
      <c r="AA69" s="11" t="s">
        <v>447</v>
      </c>
      <c r="AB69" s="11" t="s">
        <v>3139</v>
      </c>
      <c r="AC69" s="11" t="s">
        <v>572</v>
      </c>
      <c r="AD69" s="11" t="s">
        <v>598</v>
      </c>
      <c r="AE69" s="11" t="s">
        <v>104</v>
      </c>
      <c r="AF69" s="11" t="s">
        <v>54</v>
      </c>
      <c r="AG69" s="11" t="s">
        <v>610</v>
      </c>
      <c r="AH69" s="11" t="s">
        <v>627</v>
      </c>
      <c r="AI69" s="11">
        <v>801772792</v>
      </c>
      <c r="AJ69" s="11" t="s">
        <v>191</v>
      </c>
      <c r="AK69" s="11"/>
      <c r="AL69" s="11"/>
      <c r="AM69" s="12" t="s">
        <v>64</v>
      </c>
      <c r="AN69" s="11" t="s">
        <v>115</v>
      </c>
      <c r="AO69" s="11" t="s">
        <v>622</v>
      </c>
      <c r="AP69" s="11" t="s">
        <v>618</v>
      </c>
      <c r="AQ69" s="3">
        <v>45485</v>
      </c>
      <c r="AR69" s="11">
        <v>9630</v>
      </c>
      <c r="AS69" s="11" t="s">
        <v>47</v>
      </c>
      <c r="AT69" s="11" t="s">
        <v>609</v>
      </c>
      <c r="AU69" s="2">
        <v>46165</v>
      </c>
    </row>
    <row r="70" spans="1:47" x14ac:dyDescent="0.25">
      <c r="A70" s="10" t="s">
        <v>498</v>
      </c>
      <c r="B70" s="11" t="s">
        <v>523</v>
      </c>
      <c r="C70" s="11">
        <v>0</v>
      </c>
      <c r="D70" s="11" t="s">
        <v>108</v>
      </c>
      <c r="E70" s="11"/>
      <c r="F70" s="11"/>
      <c r="G70" s="11" t="s">
        <v>52</v>
      </c>
      <c r="H70" s="11">
        <v>5</v>
      </c>
      <c r="I70" s="11" t="s">
        <v>548</v>
      </c>
      <c r="J70" s="11" t="s">
        <v>42</v>
      </c>
      <c r="K70" s="11">
        <f>Table1[[#This Row],[ENR]]-Table1[[#This Row],[CREDIT]]</f>
        <v>-15684.170000000013</v>
      </c>
      <c r="L70" s="43">
        <v>210000</v>
      </c>
      <c r="M70" s="30">
        <v>194315.83</v>
      </c>
      <c r="N70" s="44">
        <v>170539.99</v>
      </c>
      <c r="O70" s="29">
        <v>23775.84</v>
      </c>
      <c r="P70" s="29">
        <v>19543.509999999998</v>
      </c>
      <c r="Q70" s="29">
        <v>23775.84</v>
      </c>
      <c r="R70" s="29">
        <v>10000</v>
      </c>
      <c r="S70" s="11" t="s">
        <v>44</v>
      </c>
      <c r="T70" s="11" t="s">
        <v>45</v>
      </c>
      <c r="U70" s="11">
        <v>0</v>
      </c>
      <c r="V70" s="29">
        <f>Table1[[#This Row],[STAB]]-Table1[[#This Row],[AMOUNT]]</f>
        <v>10000</v>
      </c>
      <c r="W70" s="11">
        <v>0</v>
      </c>
      <c r="X70" s="11" t="s">
        <v>83</v>
      </c>
      <c r="Y70" s="11">
        <v>0</v>
      </c>
      <c r="Z70" s="12" t="s">
        <v>85</v>
      </c>
      <c r="AA70" s="12" t="s">
        <v>612</v>
      </c>
      <c r="AB70" s="11" t="s">
        <v>3139</v>
      </c>
      <c r="AC70" s="11" t="s">
        <v>574</v>
      </c>
      <c r="AD70" s="11" t="s">
        <v>600</v>
      </c>
      <c r="AE70" s="11" t="s">
        <v>413</v>
      </c>
      <c r="AF70" s="11" t="s">
        <v>54</v>
      </c>
      <c r="AG70" s="11" t="s">
        <v>146</v>
      </c>
      <c r="AH70" s="11" t="s">
        <v>625</v>
      </c>
      <c r="AI70" s="11">
        <v>801217009</v>
      </c>
      <c r="AJ70" s="11" t="s">
        <v>190</v>
      </c>
      <c r="AK70" s="11"/>
      <c r="AL70" s="11"/>
      <c r="AM70" s="12" t="s">
        <v>64</v>
      </c>
      <c r="AN70" s="11" t="s">
        <v>221</v>
      </c>
      <c r="AO70" s="11" t="s">
        <v>1643</v>
      </c>
      <c r="AP70" s="11" t="s">
        <v>1528</v>
      </c>
      <c r="AQ70" s="3" t="s">
        <v>43</v>
      </c>
      <c r="AR70" s="11">
        <v>0</v>
      </c>
      <c r="AS70" s="11" t="s">
        <v>47</v>
      </c>
      <c r="AT70" s="11" t="s">
        <v>609</v>
      </c>
      <c r="AU70" s="2">
        <v>46165</v>
      </c>
    </row>
    <row r="71" spans="1:47" x14ac:dyDescent="0.25">
      <c r="A71" s="10" t="s">
        <v>474</v>
      </c>
      <c r="B71" s="11" t="s">
        <v>500</v>
      </c>
      <c r="C71" s="11">
        <v>0</v>
      </c>
      <c r="D71" s="11" t="s">
        <v>108</v>
      </c>
      <c r="E71" s="11"/>
      <c r="F71" s="11"/>
      <c r="G71" s="11" t="s">
        <v>52</v>
      </c>
      <c r="H71" s="11">
        <v>5</v>
      </c>
      <c r="I71" s="11" t="s">
        <v>525</v>
      </c>
      <c r="J71" s="11" t="s">
        <v>42</v>
      </c>
      <c r="K71" s="11">
        <f>Table1[[#This Row],[ENR]]-Table1[[#This Row],[CREDIT]]</f>
        <v>-157648.57999999999</v>
      </c>
      <c r="L71" s="43">
        <v>320000</v>
      </c>
      <c r="M71" s="30">
        <v>162351.42000000001</v>
      </c>
      <c r="N71" s="44">
        <v>117220.6</v>
      </c>
      <c r="O71" s="29">
        <v>45130.82</v>
      </c>
      <c r="P71" s="29">
        <v>39270.730000000003</v>
      </c>
      <c r="Q71" s="29">
        <v>27480</v>
      </c>
      <c r="R71" s="29">
        <v>11970</v>
      </c>
      <c r="S71" s="11" t="s">
        <v>44</v>
      </c>
      <c r="T71" s="11" t="s">
        <v>45</v>
      </c>
      <c r="U71" s="11">
        <v>0</v>
      </c>
      <c r="V71" s="29">
        <f>Table1[[#This Row],[STAB]]-Table1[[#This Row],[AMOUNT]]</f>
        <v>11970</v>
      </c>
      <c r="W71" s="11">
        <v>0</v>
      </c>
      <c r="X71" s="11" t="s">
        <v>83</v>
      </c>
      <c r="Y71" s="11">
        <v>0</v>
      </c>
      <c r="Z71" s="12" t="s">
        <v>85</v>
      </c>
      <c r="AA71" s="12" t="s">
        <v>611</v>
      </c>
      <c r="AB71" s="11" t="s">
        <v>3139</v>
      </c>
      <c r="AC71" s="11" t="s">
        <v>551</v>
      </c>
      <c r="AD71" s="11" t="s">
        <v>576</v>
      </c>
      <c r="AE71" s="11" t="s">
        <v>415</v>
      </c>
      <c r="AF71" s="11" t="s">
        <v>53</v>
      </c>
      <c r="AG71" s="11" t="s">
        <v>105</v>
      </c>
      <c r="AH71" s="11" t="s">
        <v>85</v>
      </c>
      <c r="AI71" s="11">
        <v>801772794</v>
      </c>
      <c r="AJ71" s="11" t="s">
        <v>192</v>
      </c>
      <c r="AK71" s="11"/>
      <c r="AL71" s="11"/>
      <c r="AM71" s="12" t="s">
        <v>64</v>
      </c>
      <c r="AN71" s="11" t="s">
        <v>115</v>
      </c>
      <c r="AO71" s="11" t="s">
        <v>1662</v>
      </c>
      <c r="AP71" s="11" t="s">
        <v>1645</v>
      </c>
      <c r="AQ71" s="3">
        <v>45462</v>
      </c>
      <c r="AR71" s="11">
        <v>16038.55</v>
      </c>
      <c r="AS71" s="11" t="s">
        <v>47</v>
      </c>
      <c r="AT71" s="11" t="s">
        <v>609</v>
      </c>
      <c r="AU71" s="2">
        <v>46165</v>
      </c>
    </row>
    <row r="72" spans="1:47" x14ac:dyDescent="0.25">
      <c r="A72" s="10" t="s">
        <v>480</v>
      </c>
      <c r="B72" s="11" t="s">
        <v>505</v>
      </c>
      <c r="C72" s="11">
        <v>0</v>
      </c>
      <c r="D72" s="11" t="s">
        <v>108</v>
      </c>
      <c r="E72" s="11"/>
      <c r="F72" s="11"/>
      <c r="G72" s="11" t="s">
        <v>52</v>
      </c>
      <c r="H72" s="11">
        <v>5</v>
      </c>
      <c r="I72" s="11" t="s">
        <v>530</v>
      </c>
      <c r="J72" s="11" t="s">
        <v>42</v>
      </c>
      <c r="K72" s="11">
        <f>Table1[[#This Row],[ENR]]-Table1[[#This Row],[CREDIT]]</f>
        <v>-2875.5500000000029</v>
      </c>
      <c r="L72" s="43">
        <v>116000</v>
      </c>
      <c r="M72" s="30">
        <v>113124.45</v>
      </c>
      <c r="N72" s="44" t="s">
        <v>43</v>
      </c>
      <c r="O72" s="29">
        <v>113124.45</v>
      </c>
      <c r="P72" s="29">
        <v>103302.04</v>
      </c>
      <c r="Q72" s="29">
        <v>22890</v>
      </c>
      <c r="R72" s="29">
        <v>11970</v>
      </c>
      <c r="S72" s="11" t="s">
        <v>58</v>
      </c>
      <c r="T72" s="11" t="s">
        <v>14</v>
      </c>
      <c r="U72" s="29">
        <v>12000</v>
      </c>
      <c r="V72" s="29">
        <f>Table1[[#This Row],[STAB]]-Table1[[#This Row],[AMOUNT]]</f>
        <v>-30</v>
      </c>
      <c r="W72" s="11" t="s">
        <v>1528</v>
      </c>
      <c r="X72" s="11" t="s">
        <v>444</v>
      </c>
      <c r="Y72" s="11">
        <v>0</v>
      </c>
      <c r="Z72" s="11" t="s">
        <v>85</v>
      </c>
      <c r="AA72" s="11" t="s">
        <v>447</v>
      </c>
      <c r="AB72" s="11" t="s">
        <v>3139</v>
      </c>
      <c r="AC72" s="11" t="s">
        <v>556</v>
      </c>
      <c r="AD72" s="11" t="s">
        <v>582</v>
      </c>
      <c r="AE72" s="11" t="s">
        <v>604</v>
      </c>
      <c r="AF72" s="11" t="s">
        <v>439</v>
      </c>
      <c r="AG72" s="11" t="s">
        <v>63</v>
      </c>
      <c r="AH72" s="11" t="s">
        <v>467</v>
      </c>
      <c r="AI72" s="11">
        <v>801570488</v>
      </c>
      <c r="AJ72" s="11" t="s">
        <v>190</v>
      </c>
      <c r="AK72" s="11"/>
      <c r="AL72" s="11"/>
      <c r="AM72" s="12" t="s">
        <v>64</v>
      </c>
      <c r="AN72" s="11" t="s">
        <v>219</v>
      </c>
      <c r="AO72" s="11" t="s">
        <v>801</v>
      </c>
      <c r="AP72" s="11" t="s">
        <v>800</v>
      </c>
      <c r="AQ72" s="3">
        <v>46101</v>
      </c>
      <c r="AR72" s="11">
        <v>123173</v>
      </c>
      <c r="AS72" s="11" t="s">
        <v>47</v>
      </c>
      <c r="AT72" s="11" t="s">
        <v>609</v>
      </c>
      <c r="AU72" s="2">
        <v>46165</v>
      </c>
    </row>
    <row r="73" spans="1:47" x14ac:dyDescent="0.25">
      <c r="A73" s="10" t="s">
        <v>478</v>
      </c>
      <c r="B73" s="11" t="s">
        <v>504</v>
      </c>
      <c r="C73" s="11">
        <v>0</v>
      </c>
      <c r="D73" s="11" t="s">
        <v>108</v>
      </c>
      <c r="E73" s="11"/>
      <c r="F73" s="11"/>
      <c r="G73" s="11" t="s">
        <v>52</v>
      </c>
      <c r="H73" s="11">
        <v>5</v>
      </c>
      <c r="I73" s="11" t="s">
        <v>529</v>
      </c>
      <c r="J73" s="11" t="s">
        <v>42</v>
      </c>
      <c r="K73" s="11">
        <f>Table1[[#This Row],[ENR]]-Table1[[#This Row],[CREDIT]]</f>
        <v>4278.8600000000006</v>
      </c>
      <c r="L73" s="43">
        <v>90000</v>
      </c>
      <c r="M73" s="30">
        <v>94278.86</v>
      </c>
      <c r="N73" s="44" t="s">
        <v>43</v>
      </c>
      <c r="O73" s="29">
        <v>94278.86</v>
      </c>
      <c r="P73" s="29">
        <v>87936.67</v>
      </c>
      <c r="Q73" s="29">
        <v>22960</v>
      </c>
      <c r="R73" s="29">
        <v>8120</v>
      </c>
      <c r="S73" s="11" t="s">
        <v>58</v>
      </c>
      <c r="T73" s="11" t="s">
        <v>13</v>
      </c>
      <c r="U73" s="11">
        <v>94278.86</v>
      </c>
      <c r="V73" s="29">
        <f>Table1[[#This Row],[STAB]]-Table1[[#This Row],[AMOUNT]]</f>
        <v>-86158.86</v>
      </c>
      <c r="W73" s="11" t="s">
        <v>618</v>
      </c>
      <c r="X73" s="11" t="s">
        <v>451</v>
      </c>
      <c r="Y73" s="11" t="s">
        <v>760</v>
      </c>
      <c r="Z73" s="11" t="s">
        <v>85</v>
      </c>
      <c r="AA73" s="11" t="s">
        <v>613</v>
      </c>
      <c r="AB73" s="11" t="s">
        <v>3139</v>
      </c>
      <c r="AC73" s="11" t="s">
        <v>555</v>
      </c>
      <c r="AD73" s="11" t="s">
        <v>580</v>
      </c>
      <c r="AE73" s="11" t="s">
        <v>603</v>
      </c>
      <c r="AF73" s="11" t="s">
        <v>53</v>
      </c>
      <c r="AG73" s="11" t="s">
        <v>89</v>
      </c>
      <c r="AH73" s="11" t="s">
        <v>193</v>
      </c>
      <c r="AI73" s="11">
        <v>802824019</v>
      </c>
      <c r="AJ73" s="11" t="s">
        <v>189</v>
      </c>
      <c r="AK73" s="11"/>
      <c r="AL73" s="11"/>
      <c r="AM73" s="12" t="s">
        <v>64</v>
      </c>
      <c r="AN73" s="11" t="s">
        <v>115</v>
      </c>
      <c r="AO73" s="11" t="s">
        <v>617</v>
      </c>
      <c r="AP73" s="11" t="s">
        <v>472</v>
      </c>
      <c r="AQ73" s="3">
        <v>45882</v>
      </c>
      <c r="AR73" s="11">
        <v>5170</v>
      </c>
      <c r="AS73" s="11" t="s">
        <v>47</v>
      </c>
      <c r="AT73" s="11" t="s">
        <v>609</v>
      </c>
      <c r="AU73" s="2">
        <v>46165</v>
      </c>
    </row>
    <row r="74" spans="1:47" x14ac:dyDescent="0.25">
      <c r="A74" s="10" t="s">
        <v>475</v>
      </c>
      <c r="B74" s="11" t="s">
        <v>501</v>
      </c>
      <c r="C74" s="11">
        <v>0</v>
      </c>
      <c r="D74" s="11" t="s">
        <v>108</v>
      </c>
      <c r="E74" s="11"/>
      <c r="F74" s="11"/>
      <c r="G74" s="11" t="s">
        <v>52</v>
      </c>
      <c r="H74" s="11">
        <v>5</v>
      </c>
      <c r="I74" s="11" t="s">
        <v>526</v>
      </c>
      <c r="J74" s="11" t="s">
        <v>42</v>
      </c>
      <c r="K74" s="11">
        <f>Table1[[#This Row],[ENR]]-Table1[[#This Row],[CREDIT]]</f>
        <v>5991.2899999999936</v>
      </c>
      <c r="L74" s="43">
        <v>86000</v>
      </c>
      <c r="M74" s="30">
        <v>91991.29</v>
      </c>
      <c r="N74" s="44">
        <v>41859.379999999997</v>
      </c>
      <c r="O74" s="29">
        <v>50131.91</v>
      </c>
      <c r="P74" s="29">
        <v>45193.66</v>
      </c>
      <c r="Q74" s="29">
        <v>21270</v>
      </c>
      <c r="R74" s="29">
        <v>10830</v>
      </c>
      <c r="S74" s="11" t="s">
        <v>58</v>
      </c>
      <c r="T74" s="11" t="s">
        <v>13</v>
      </c>
      <c r="U74" s="11">
        <v>50131.91</v>
      </c>
      <c r="V74" s="29">
        <f>Table1[[#This Row],[STAB]]-Table1[[#This Row],[AMOUNT]]</f>
        <v>-39301.910000000003</v>
      </c>
      <c r="W74" s="11">
        <v>0</v>
      </c>
      <c r="X74" s="11" t="s">
        <v>761</v>
      </c>
      <c r="Y74" s="11" t="s">
        <v>2163</v>
      </c>
      <c r="Z74" s="12" t="s">
        <v>85</v>
      </c>
      <c r="AA74" s="12" t="s">
        <v>611</v>
      </c>
      <c r="AB74" s="11" t="s">
        <v>3139</v>
      </c>
      <c r="AC74" s="11" t="s">
        <v>552</v>
      </c>
      <c r="AD74" s="11" t="s">
        <v>577</v>
      </c>
      <c r="AE74" s="11" t="s">
        <v>100</v>
      </c>
      <c r="AF74" s="11" t="s">
        <v>54</v>
      </c>
      <c r="AG74" s="11" t="s">
        <v>60</v>
      </c>
      <c r="AH74" s="11" t="s">
        <v>193</v>
      </c>
      <c r="AI74" s="11">
        <v>802824019</v>
      </c>
      <c r="AJ74" s="11" t="s">
        <v>189</v>
      </c>
      <c r="AK74" s="11"/>
      <c r="AL74" s="11"/>
      <c r="AM74" s="12" t="s">
        <v>64</v>
      </c>
      <c r="AN74" s="11" t="s">
        <v>219</v>
      </c>
      <c r="AO74" s="11" t="s">
        <v>621</v>
      </c>
      <c r="AP74" s="11" t="s">
        <v>618</v>
      </c>
      <c r="AQ74" s="3">
        <v>45495</v>
      </c>
      <c r="AR74" s="11">
        <v>32154</v>
      </c>
      <c r="AS74" s="11" t="s">
        <v>47</v>
      </c>
      <c r="AT74" s="11" t="s">
        <v>609</v>
      </c>
      <c r="AU74" s="2">
        <v>46165</v>
      </c>
    </row>
    <row r="75" spans="1:47" x14ac:dyDescent="0.25">
      <c r="A75" s="10" t="s">
        <v>476</v>
      </c>
      <c r="B75" s="11" t="s">
        <v>502</v>
      </c>
      <c r="C75" s="11">
        <v>0</v>
      </c>
      <c r="D75" s="11" t="s">
        <v>108</v>
      </c>
      <c r="E75" s="11"/>
      <c r="F75" s="11"/>
      <c r="G75" s="11" t="s">
        <v>52</v>
      </c>
      <c r="H75" s="11">
        <v>5</v>
      </c>
      <c r="I75" s="11" t="s">
        <v>527</v>
      </c>
      <c r="J75" s="11" t="s">
        <v>42</v>
      </c>
      <c r="K75" s="11">
        <f>Table1[[#This Row],[ENR]]-Table1[[#This Row],[CREDIT]]</f>
        <v>3194.3099999999977</v>
      </c>
      <c r="L75" s="43">
        <v>73000</v>
      </c>
      <c r="M75" s="30">
        <v>76194.31</v>
      </c>
      <c r="N75" s="44">
        <v>4605.1499999999996</v>
      </c>
      <c r="O75" s="29">
        <v>71589.16</v>
      </c>
      <c r="P75" s="29">
        <v>67675.09</v>
      </c>
      <c r="Q75" s="29">
        <v>23270</v>
      </c>
      <c r="R75" s="29">
        <v>9184.64</v>
      </c>
      <c r="S75" s="11" t="s">
        <v>58</v>
      </c>
      <c r="T75" s="11" t="s">
        <v>13</v>
      </c>
      <c r="U75" s="11">
        <v>54670</v>
      </c>
      <c r="V75" s="29">
        <f>Table1[[#This Row],[STAB]]-Table1[[#This Row],[AMOUNT]]</f>
        <v>-45485.36</v>
      </c>
      <c r="W75" s="11" t="s">
        <v>1528</v>
      </c>
      <c r="X75" s="11" t="s">
        <v>444</v>
      </c>
      <c r="Y75" s="11" t="s">
        <v>760</v>
      </c>
      <c r="Z75" s="11" t="s">
        <v>85</v>
      </c>
      <c r="AA75" s="11" t="s">
        <v>613</v>
      </c>
      <c r="AB75" s="11" t="s">
        <v>3139</v>
      </c>
      <c r="AC75" s="11" t="s">
        <v>553</v>
      </c>
      <c r="AD75" s="11" t="s">
        <v>578</v>
      </c>
      <c r="AE75" s="11" t="s">
        <v>602</v>
      </c>
      <c r="AF75" s="11" t="s">
        <v>127</v>
      </c>
      <c r="AG75" s="11" t="s">
        <v>128</v>
      </c>
      <c r="AH75" s="11" t="s">
        <v>462</v>
      </c>
      <c r="AI75" s="11">
        <v>801448854</v>
      </c>
      <c r="AJ75" s="11" t="s">
        <v>191</v>
      </c>
      <c r="AK75" s="11"/>
      <c r="AL75" s="11"/>
      <c r="AM75" s="12" t="s">
        <v>64</v>
      </c>
      <c r="AN75" s="11" t="s">
        <v>446</v>
      </c>
      <c r="AO75" s="11" t="s">
        <v>757</v>
      </c>
      <c r="AP75" s="11" t="s">
        <v>756</v>
      </c>
      <c r="AQ75" s="3">
        <v>45924</v>
      </c>
      <c r="AR75" s="11">
        <v>38000</v>
      </c>
      <c r="AS75" s="11" t="s">
        <v>430</v>
      </c>
      <c r="AT75" s="11" t="s">
        <v>609</v>
      </c>
      <c r="AU75" s="2">
        <v>46165</v>
      </c>
    </row>
    <row r="76" spans="1:47" x14ac:dyDescent="0.25">
      <c r="A76" s="45" t="s">
        <v>493</v>
      </c>
      <c r="B76" s="12" t="s">
        <v>518</v>
      </c>
      <c r="C76" s="11">
        <v>0</v>
      </c>
      <c r="D76" s="11" t="s">
        <v>108</v>
      </c>
      <c r="E76" s="12"/>
      <c r="F76" s="12"/>
      <c r="G76" s="11" t="s">
        <v>52</v>
      </c>
      <c r="H76" s="12">
        <v>5</v>
      </c>
      <c r="I76" s="12" t="s">
        <v>543</v>
      </c>
      <c r="J76" s="12" t="s">
        <v>550</v>
      </c>
      <c r="K76" s="12">
        <f>Table1[[#This Row],[ENR]]-Table1[[#This Row],[CREDIT]]</f>
        <v>-114851.76</v>
      </c>
      <c r="L76" s="46">
        <v>190000</v>
      </c>
      <c r="M76" s="47">
        <v>75148.240000000005</v>
      </c>
      <c r="N76" s="48">
        <v>14162.55</v>
      </c>
      <c r="O76" s="49">
        <v>60985.69</v>
      </c>
      <c r="P76" s="49">
        <v>56302.19</v>
      </c>
      <c r="Q76" s="29">
        <v>10660</v>
      </c>
      <c r="R76" s="29">
        <v>4340</v>
      </c>
      <c r="S76" s="11" t="s">
        <v>44</v>
      </c>
      <c r="T76" s="11" t="s">
        <v>45</v>
      </c>
      <c r="U76" s="11">
        <v>0</v>
      </c>
      <c r="V76" s="49">
        <f>Table1[[#This Row],[STAB]]-Table1[[#This Row],[AMOUNT]]</f>
        <v>4340</v>
      </c>
      <c r="W76" s="11">
        <v>0</v>
      </c>
      <c r="X76" s="11" t="s">
        <v>83</v>
      </c>
      <c r="Y76" s="11">
        <v>0</v>
      </c>
      <c r="Z76" s="12" t="s">
        <v>85</v>
      </c>
      <c r="AA76" s="12" t="s">
        <v>612</v>
      </c>
      <c r="AB76" s="12" t="s">
        <v>3139</v>
      </c>
      <c r="AC76" s="12" t="s">
        <v>569</v>
      </c>
      <c r="AD76" s="12" t="s">
        <v>595</v>
      </c>
      <c r="AE76" s="12" t="s">
        <v>605</v>
      </c>
      <c r="AF76" s="12" t="s">
        <v>127</v>
      </c>
      <c r="AG76" s="12" t="s">
        <v>94</v>
      </c>
      <c r="AH76" s="11" t="s">
        <v>628</v>
      </c>
      <c r="AI76" s="12">
        <v>802631601</v>
      </c>
      <c r="AJ76" s="12" t="s">
        <v>99</v>
      </c>
      <c r="AK76" s="12"/>
      <c r="AL76" s="12"/>
      <c r="AM76" s="12" t="s">
        <v>46</v>
      </c>
      <c r="AN76" s="12"/>
      <c r="AO76" s="12"/>
      <c r="AP76" s="12"/>
      <c r="AQ76" s="50">
        <v>45934</v>
      </c>
      <c r="AR76" s="12">
        <v>10000</v>
      </c>
      <c r="AS76" s="12" t="s">
        <v>47</v>
      </c>
      <c r="AT76" s="11" t="s">
        <v>609</v>
      </c>
      <c r="AU76" s="51">
        <v>46165</v>
      </c>
    </row>
    <row r="77" spans="1:47" x14ac:dyDescent="0.25">
      <c r="A77" s="10" t="s">
        <v>477</v>
      </c>
      <c r="B77" s="11" t="s">
        <v>503</v>
      </c>
      <c r="C77" s="11">
        <v>0</v>
      </c>
      <c r="D77" s="11" t="s">
        <v>108</v>
      </c>
      <c r="E77" s="11"/>
      <c r="F77" s="11"/>
      <c r="G77" s="11" t="s">
        <v>90</v>
      </c>
      <c r="H77" s="11">
        <v>5</v>
      </c>
      <c r="I77" s="11" t="s">
        <v>528</v>
      </c>
      <c r="J77" s="11" t="s">
        <v>42</v>
      </c>
      <c r="K77" s="11">
        <f>Table1[[#This Row],[ENR]]-Table1[[#This Row],[CREDIT]]</f>
        <v>-25190.839999999997</v>
      </c>
      <c r="L77" s="43">
        <v>100000</v>
      </c>
      <c r="M77" s="30">
        <v>74809.16</v>
      </c>
      <c r="N77" s="44" t="s">
        <v>43</v>
      </c>
      <c r="O77" s="29">
        <v>74809.16</v>
      </c>
      <c r="P77" s="29">
        <v>66927.62</v>
      </c>
      <c r="Q77" s="29">
        <v>14300</v>
      </c>
      <c r="R77" s="29">
        <v>7230</v>
      </c>
      <c r="S77" s="11" t="s">
        <v>58</v>
      </c>
      <c r="T77" s="11" t="s">
        <v>14</v>
      </c>
      <c r="U77" s="29">
        <v>7250</v>
      </c>
      <c r="V77" s="29">
        <f>Table1[[#This Row],[STAB]]-Table1[[#This Row],[AMOUNT]]</f>
        <v>-20</v>
      </c>
      <c r="W77" s="11" t="s">
        <v>800</v>
      </c>
      <c r="X77" s="11" t="s">
        <v>444</v>
      </c>
      <c r="Y77" s="11" t="s">
        <v>1084</v>
      </c>
      <c r="Z77" s="12" t="s">
        <v>85</v>
      </c>
      <c r="AA77" s="12" t="s">
        <v>612</v>
      </c>
      <c r="AB77" s="11" t="s">
        <v>3139</v>
      </c>
      <c r="AC77" s="11" t="s">
        <v>554</v>
      </c>
      <c r="AD77" s="11" t="s">
        <v>579</v>
      </c>
      <c r="AE77" s="11" t="s">
        <v>428</v>
      </c>
      <c r="AF77" s="11" t="s">
        <v>53</v>
      </c>
      <c r="AG77" s="11" t="s">
        <v>55</v>
      </c>
      <c r="AH77" s="11" t="s">
        <v>468</v>
      </c>
      <c r="AI77" s="11">
        <v>802030802</v>
      </c>
      <c r="AJ77" s="11" t="s">
        <v>458</v>
      </c>
      <c r="AK77" s="11"/>
      <c r="AL77" s="11"/>
      <c r="AM77" s="12" t="s">
        <v>64</v>
      </c>
      <c r="AN77" s="11" t="s">
        <v>115</v>
      </c>
      <c r="AO77" s="11" t="s">
        <v>803</v>
      </c>
      <c r="AP77" s="11" t="s">
        <v>800</v>
      </c>
      <c r="AQ77" s="3">
        <v>46144</v>
      </c>
      <c r="AR77" s="11">
        <v>7100</v>
      </c>
      <c r="AS77" s="11" t="s">
        <v>48</v>
      </c>
      <c r="AT77" s="11" t="s">
        <v>609</v>
      </c>
      <c r="AU77" s="2">
        <v>46165</v>
      </c>
    </row>
    <row r="78" spans="1:47" x14ac:dyDescent="0.25">
      <c r="A78" s="10" t="s">
        <v>1539</v>
      </c>
      <c r="B78" s="11" t="s">
        <v>1554</v>
      </c>
      <c r="C78" s="11">
        <v>0</v>
      </c>
      <c r="D78" s="11" t="s">
        <v>108</v>
      </c>
      <c r="E78" s="11"/>
      <c r="F78" s="11"/>
      <c r="G78" s="11" t="s">
        <v>52</v>
      </c>
      <c r="H78" s="11">
        <v>7</v>
      </c>
      <c r="I78" s="11" t="s">
        <v>1569</v>
      </c>
      <c r="J78" s="11" t="s">
        <v>42</v>
      </c>
      <c r="K78" s="11">
        <f>Table1[[#This Row],[ENR]]-Table1[[#This Row],[CREDIT]]</f>
        <v>9984.14</v>
      </c>
      <c r="L78" s="43">
        <v>120000</v>
      </c>
      <c r="M78" s="30">
        <v>129984.14</v>
      </c>
      <c r="N78" s="44" t="s">
        <v>43</v>
      </c>
      <c r="O78" s="29">
        <v>129984.14</v>
      </c>
      <c r="P78" s="29">
        <v>119382.5</v>
      </c>
      <c r="Q78" s="29">
        <v>31600</v>
      </c>
      <c r="R78" s="29">
        <v>6960</v>
      </c>
      <c r="S78" s="11" t="s">
        <v>44</v>
      </c>
      <c r="T78" s="11" t="s">
        <v>45</v>
      </c>
      <c r="U78" s="11">
        <v>0</v>
      </c>
      <c r="V78" s="29">
        <f>Table1[[#This Row],[STAB]]-Table1[[#This Row],[AMOUNT]]</f>
        <v>6960</v>
      </c>
      <c r="W78" s="11">
        <v>0</v>
      </c>
      <c r="X78" s="11" t="s">
        <v>83</v>
      </c>
      <c r="Y78" s="11">
        <v>0</v>
      </c>
      <c r="Z78" s="12" t="s">
        <v>85</v>
      </c>
      <c r="AA78" s="12" t="s">
        <v>612</v>
      </c>
      <c r="AB78" s="11" t="s">
        <v>3139</v>
      </c>
      <c r="AC78" s="11" t="s">
        <v>1584</v>
      </c>
      <c r="AD78" s="11" t="s">
        <v>1596</v>
      </c>
      <c r="AE78" s="11" t="s">
        <v>1072</v>
      </c>
      <c r="AF78" s="11" t="s">
        <v>53</v>
      </c>
      <c r="AG78" s="11" t="s">
        <v>3469</v>
      </c>
      <c r="AH78" s="11" t="s">
        <v>752</v>
      </c>
      <c r="AI78" s="11">
        <v>802241455</v>
      </c>
      <c r="AJ78" s="11" t="s">
        <v>191</v>
      </c>
      <c r="AK78" s="11"/>
      <c r="AL78" s="11"/>
      <c r="AM78" s="12" t="s">
        <v>64</v>
      </c>
      <c r="AN78" s="11" t="s">
        <v>115</v>
      </c>
      <c r="AO78" s="11" t="s">
        <v>1664</v>
      </c>
      <c r="AP78" s="11" t="s">
        <v>1645</v>
      </c>
      <c r="AQ78" s="3">
        <v>45288</v>
      </c>
      <c r="AR78" s="11">
        <v>5207.0200000000004</v>
      </c>
      <c r="AS78" s="11" t="s">
        <v>436</v>
      </c>
      <c r="AT78" s="11" t="s">
        <v>1602</v>
      </c>
      <c r="AU78" s="2">
        <v>46167</v>
      </c>
    </row>
    <row r="79" spans="1:47" x14ac:dyDescent="0.25">
      <c r="A79" s="40" t="s">
        <v>642</v>
      </c>
      <c r="B79" s="11" t="s">
        <v>643</v>
      </c>
      <c r="C79" s="11">
        <v>0</v>
      </c>
      <c r="D79" s="11" t="s">
        <v>108</v>
      </c>
      <c r="E79" s="11"/>
      <c r="F79" s="11"/>
      <c r="G79" s="11" t="s">
        <v>52</v>
      </c>
      <c r="H79" s="11">
        <v>8</v>
      </c>
      <c r="I79" s="11" t="s">
        <v>694</v>
      </c>
      <c r="J79" s="11" t="s">
        <v>42</v>
      </c>
      <c r="K79" s="11">
        <f>Table1[[#This Row],[ENR]]-Table1[[#This Row],[CREDIT]]</f>
        <v>10009.76999999999</v>
      </c>
      <c r="L79" s="43">
        <v>170000</v>
      </c>
      <c r="M79" s="30">
        <v>180009.77</v>
      </c>
      <c r="N79" s="44" t="s">
        <v>43</v>
      </c>
      <c r="O79" s="29">
        <v>180009.77</v>
      </c>
      <c r="P79" s="29">
        <v>167894.6</v>
      </c>
      <c r="Q79" s="29">
        <v>51940</v>
      </c>
      <c r="R79" s="29">
        <v>30012.19</v>
      </c>
      <c r="S79" s="11" t="s">
        <v>44</v>
      </c>
      <c r="T79" s="11" t="s">
        <v>45</v>
      </c>
      <c r="U79" s="11">
        <v>0</v>
      </c>
      <c r="V79" s="29">
        <f>Table1[[#This Row],[STAB]]-Table1[[#This Row],[AMOUNT]]</f>
        <v>30012.19</v>
      </c>
      <c r="W79" s="11">
        <v>0</v>
      </c>
      <c r="X79" s="11" t="s">
        <v>83</v>
      </c>
      <c r="Y79" s="11">
        <v>0</v>
      </c>
      <c r="Z79" s="11" t="s">
        <v>88</v>
      </c>
      <c r="AA79" s="11" t="s">
        <v>86</v>
      </c>
      <c r="AB79" s="11" t="s">
        <v>3141</v>
      </c>
      <c r="AC79" s="11" t="s">
        <v>720</v>
      </c>
      <c r="AD79" s="11" t="s">
        <v>770</v>
      </c>
      <c r="AE79" s="11" t="s">
        <v>414</v>
      </c>
      <c r="AF79" s="11" t="s">
        <v>84</v>
      </c>
      <c r="AG79" s="11" t="s">
        <v>749</v>
      </c>
      <c r="AH79" s="11" t="s">
        <v>88</v>
      </c>
      <c r="AI79" s="11">
        <v>801723195</v>
      </c>
      <c r="AJ79" s="11" t="s">
        <v>191</v>
      </c>
      <c r="AK79" s="11"/>
      <c r="AL79" s="11"/>
      <c r="AM79" s="12" t="s">
        <v>64</v>
      </c>
      <c r="AN79" s="11" t="s">
        <v>219</v>
      </c>
      <c r="AO79" s="11" t="s">
        <v>1079</v>
      </c>
      <c r="AP79" s="11" t="s">
        <v>800</v>
      </c>
      <c r="AQ79" s="3">
        <v>46132</v>
      </c>
      <c r="AR79" s="11">
        <v>15047.81</v>
      </c>
      <c r="AS79" s="11" t="s">
        <v>762</v>
      </c>
      <c r="AT79" s="11" t="s">
        <v>748</v>
      </c>
      <c r="AU79" s="2">
        <v>46168</v>
      </c>
    </row>
    <row r="80" spans="1:47" x14ac:dyDescent="0.25">
      <c r="A80" s="10" t="s">
        <v>644</v>
      </c>
      <c r="B80" s="11" t="s">
        <v>645</v>
      </c>
      <c r="C80" s="11">
        <v>0</v>
      </c>
      <c r="D80" s="11" t="s">
        <v>108</v>
      </c>
      <c r="E80" s="11"/>
      <c r="F80" s="11"/>
      <c r="G80" s="11" t="s">
        <v>52</v>
      </c>
      <c r="H80" s="11">
        <v>8</v>
      </c>
      <c r="I80" s="11" t="s">
        <v>695</v>
      </c>
      <c r="J80" s="11" t="s">
        <v>42</v>
      </c>
      <c r="K80" s="11">
        <f>Table1[[#This Row],[ENR]]-Table1[[#This Row],[CREDIT]]</f>
        <v>3562.4199999999983</v>
      </c>
      <c r="L80" s="43">
        <v>120000</v>
      </c>
      <c r="M80" s="30">
        <v>123562.42</v>
      </c>
      <c r="N80" s="44" t="s">
        <v>43</v>
      </c>
      <c r="O80" s="29">
        <v>123562.42</v>
      </c>
      <c r="P80" s="29">
        <v>94328.92</v>
      </c>
      <c r="Q80" s="29">
        <v>37650</v>
      </c>
      <c r="R80" s="29">
        <v>24250</v>
      </c>
      <c r="S80" s="11" t="s">
        <v>58</v>
      </c>
      <c r="T80" s="11" t="s">
        <v>13</v>
      </c>
      <c r="U80" s="11">
        <v>37650</v>
      </c>
      <c r="V80" s="29">
        <f>Table1[[#This Row],[STAB]]-Table1[[#This Row],[AMOUNT]]</f>
        <v>-13400</v>
      </c>
      <c r="W80" s="11" t="s">
        <v>1667</v>
      </c>
      <c r="X80" s="11" t="s">
        <v>444</v>
      </c>
      <c r="Y80" s="11" t="s">
        <v>759</v>
      </c>
      <c r="Z80" s="11" t="s">
        <v>88</v>
      </c>
      <c r="AA80" s="11" t="s">
        <v>86</v>
      </c>
      <c r="AB80" s="11" t="s">
        <v>3139</v>
      </c>
      <c r="AC80" s="11" t="s">
        <v>721</v>
      </c>
      <c r="AD80" s="11" t="s">
        <v>787</v>
      </c>
      <c r="AE80" s="11" t="s">
        <v>604</v>
      </c>
      <c r="AF80" s="11" t="s">
        <v>439</v>
      </c>
      <c r="AG80" s="11" t="s">
        <v>63</v>
      </c>
      <c r="AH80" s="11" t="s">
        <v>467</v>
      </c>
      <c r="AI80" s="11">
        <v>801570488</v>
      </c>
      <c r="AJ80" s="11" t="s">
        <v>190</v>
      </c>
      <c r="AK80" s="11"/>
      <c r="AL80" s="11"/>
      <c r="AM80" s="12" t="s">
        <v>64</v>
      </c>
      <c r="AN80" s="11" t="s">
        <v>219</v>
      </c>
      <c r="AO80" s="11" t="s">
        <v>1607</v>
      </c>
      <c r="AP80" s="11" t="s">
        <v>1528</v>
      </c>
      <c r="AQ80" s="3">
        <v>45823</v>
      </c>
      <c r="AR80" s="11">
        <v>30700</v>
      </c>
      <c r="AS80" s="11" t="s">
        <v>430</v>
      </c>
      <c r="AT80" s="11" t="s">
        <v>748</v>
      </c>
      <c r="AU80" s="2">
        <v>46168</v>
      </c>
    </row>
    <row r="81" spans="1:47" x14ac:dyDescent="0.25">
      <c r="A81" s="53" t="s">
        <v>646</v>
      </c>
      <c r="B81" s="11" t="s">
        <v>647</v>
      </c>
      <c r="C81" s="11" t="s">
        <v>145</v>
      </c>
      <c r="D81" s="11" t="s">
        <v>108</v>
      </c>
      <c r="E81" s="11">
        <v>1</v>
      </c>
      <c r="F81" s="11"/>
      <c r="G81" s="11" t="s">
        <v>90</v>
      </c>
      <c r="H81" s="11">
        <v>8</v>
      </c>
      <c r="I81" s="11" t="s">
        <v>696</v>
      </c>
      <c r="J81" s="11" t="s">
        <v>336</v>
      </c>
      <c r="K81" s="11">
        <f>Table1[[#This Row],[ENR]]-Table1[[#This Row],[CREDIT]]</f>
        <v>-56539.75</v>
      </c>
      <c r="L81" s="43">
        <v>180000</v>
      </c>
      <c r="M81" s="30">
        <v>123460.25</v>
      </c>
      <c r="N81" s="44" t="s">
        <v>43</v>
      </c>
      <c r="O81" s="29">
        <v>123460.25</v>
      </c>
      <c r="P81" s="29">
        <v>116624.27</v>
      </c>
      <c r="Q81" s="29">
        <v>17530</v>
      </c>
      <c r="R81" s="29">
        <v>11130</v>
      </c>
      <c r="S81" s="11" t="s">
        <v>44</v>
      </c>
      <c r="T81" s="11" t="s">
        <v>45</v>
      </c>
      <c r="U81" s="11">
        <v>0</v>
      </c>
      <c r="V81" s="29">
        <f>Table1[[#This Row],[STAB]]-Table1[[#This Row],[AMOUNT]]</f>
        <v>11130</v>
      </c>
      <c r="W81" s="11">
        <v>0</v>
      </c>
      <c r="X81" s="11" t="s">
        <v>83</v>
      </c>
      <c r="Y81" s="11">
        <v>0</v>
      </c>
      <c r="Z81" s="11" t="s">
        <v>88</v>
      </c>
      <c r="AA81" s="11" t="s">
        <v>86</v>
      </c>
      <c r="AB81" s="11" t="s">
        <v>3139</v>
      </c>
      <c r="AC81" s="11" t="s">
        <v>722</v>
      </c>
      <c r="AD81" s="11" t="s">
        <v>788</v>
      </c>
      <c r="AE81" s="11" t="s">
        <v>426</v>
      </c>
      <c r="AF81" s="11" t="s">
        <v>439</v>
      </c>
      <c r="AG81" s="11" t="s">
        <v>63</v>
      </c>
      <c r="AH81" s="11" t="s">
        <v>467</v>
      </c>
      <c r="AI81" s="11">
        <v>801570488</v>
      </c>
      <c r="AJ81" s="11" t="s">
        <v>190</v>
      </c>
      <c r="AK81" s="11"/>
      <c r="AL81" s="11"/>
      <c r="AM81" s="12" t="s">
        <v>64</v>
      </c>
      <c r="AN81" s="11" t="s">
        <v>446</v>
      </c>
      <c r="AO81" s="11" t="s">
        <v>1081</v>
      </c>
      <c r="AP81" s="11" t="s">
        <v>800</v>
      </c>
      <c r="AQ81" s="3">
        <v>46116</v>
      </c>
      <c r="AR81" s="11">
        <v>4000</v>
      </c>
      <c r="AS81" s="11" t="s">
        <v>433</v>
      </c>
      <c r="AT81" s="11" t="s">
        <v>748</v>
      </c>
      <c r="AU81" s="2">
        <v>46168</v>
      </c>
    </row>
    <row r="82" spans="1:47" x14ac:dyDescent="0.25">
      <c r="A82" s="10" t="s">
        <v>648</v>
      </c>
      <c r="B82" s="11" t="s">
        <v>649</v>
      </c>
      <c r="C82" s="11" t="s">
        <v>145</v>
      </c>
      <c r="D82" s="11" t="s">
        <v>108</v>
      </c>
      <c r="E82" s="11">
        <v>1</v>
      </c>
      <c r="F82" s="11"/>
      <c r="G82" s="11" t="s">
        <v>90</v>
      </c>
      <c r="H82" s="11">
        <v>8</v>
      </c>
      <c r="I82" s="11" t="s">
        <v>697</v>
      </c>
      <c r="J82" s="11" t="s">
        <v>42</v>
      </c>
      <c r="K82" s="11">
        <f>Table1[[#This Row],[ENR]]-Table1[[#This Row],[CREDIT]]</f>
        <v>-41047.630000000005</v>
      </c>
      <c r="L82" s="43">
        <v>153000</v>
      </c>
      <c r="M82" s="30">
        <v>111952.37</v>
      </c>
      <c r="N82" s="44">
        <v>11149.4</v>
      </c>
      <c r="O82" s="29">
        <v>100802.97</v>
      </c>
      <c r="P82" s="29">
        <v>92724.72</v>
      </c>
      <c r="Q82" s="29">
        <v>25110</v>
      </c>
      <c r="R82" s="29">
        <v>12010</v>
      </c>
      <c r="S82" s="11" t="s">
        <v>58</v>
      </c>
      <c r="T82" s="11" t="s">
        <v>14</v>
      </c>
      <c r="U82" s="29">
        <v>25000</v>
      </c>
      <c r="V82" s="29">
        <f>Table1[[#This Row],[STAB]]-Table1[[#This Row],[AMOUNT]]</f>
        <v>-12990</v>
      </c>
      <c r="W82" s="11" t="s">
        <v>800</v>
      </c>
      <c r="X82" s="11" t="s">
        <v>444</v>
      </c>
      <c r="Y82" s="11" t="s">
        <v>760</v>
      </c>
      <c r="Z82" s="11" t="s">
        <v>88</v>
      </c>
      <c r="AA82" s="11" t="s">
        <v>86</v>
      </c>
      <c r="AB82" s="11" t="s">
        <v>3139</v>
      </c>
      <c r="AC82" s="11" t="s">
        <v>723</v>
      </c>
      <c r="AD82" s="11" t="s">
        <v>769</v>
      </c>
      <c r="AE82" s="11" t="s">
        <v>426</v>
      </c>
      <c r="AF82" s="11" t="s">
        <v>439</v>
      </c>
      <c r="AG82" s="11" t="s">
        <v>63</v>
      </c>
      <c r="AH82" s="11" t="s">
        <v>467</v>
      </c>
      <c r="AI82" s="11">
        <v>801570488</v>
      </c>
      <c r="AJ82" s="11" t="s">
        <v>190</v>
      </c>
      <c r="AK82" s="11"/>
      <c r="AL82" s="11"/>
      <c r="AM82" s="12" t="s">
        <v>64</v>
      </c>
      <c r="AN82" s="11" t="s">
        <v>219</v>
      </c>
      <c r="AO82" s="11" t="s">
        <v>806</v>
      </c>
      <c r="AP82" s="11" t="s">
        <v>800</v>
      </c>
      <c r="AQ82" s="3">
        <v>46116</v>
      </c>
      <c r="AR82" s="11">
        <v>13500</v>
      </c>
      <c r="AS82" s="11" t="s">
        <v>763</v>
      </c>
      <c r="AT82" s="11" t="s">
        <v>748</v>
      </c>
      <c r="AU82" s="2">
        <v>46168</v>
      </c>
    </row>
    <row r="83" spans="1:47" x14ac:dyDescent="0.25">
      <c r="A83" s="10" t="s">
        <v>650</v>
      </c>
      <c r="B83" s="11" t="s">
        <v>651</v>
      </c>
      <c r="C83" s="11">
        <v>0</v>
      </c>
      <c r="D83" s="11" t="s">
        <v>108</v>
      </c>
      <c r="E83" s="11"/>
      <c r="F83" s="11"/>
      <c r="G83" s="11" t="s">
        <v>52</v>
      </c>
      <c r="H83" s="11">
        <v>8</v>
      </c>
      <c r="I83" s="11" t="s">
        <v>698</v>
      </c>
      <c r="J83" s="11" t="s">
        <v>42</v>
      </c>
      <c r="K83" s="11">
        <f>Table1[[#This Row],[ENR]]-Table1[[#This Row],[CREDIT]]</f>
        <v>-233970.53</v>
      </c>
      <c r="L83" s="43">
        <v>330000</v>
      </c>
      <c r="M83" s="30">
        <v>96029.47</v>
      </c>
      <c r="N83" s="44">
        <v>16423.75</v>
      </c>
      <c r="O83" s="29">
        <v>79605.72</v>
      </c>
      <c r="P83" s="29">
        <v>71025.27</v>
      </c>
      <c r="Q83" s="29">
        <v>17030</v>
      </c>
      <c r="R83" s="29">
        <v>6500</v>
      </c>
      <c r="S83" s="11" t="s">
        <v>58</v>
      </c>
      <c r="T83" s="11" t="s">
        <v>14</v>
      </c>
      <c r="U83" s="29">
        <v>6500</v>
      </c>
      <c r="V83" s="29">
        <f>Table1[[#This Row],[STAB]]-Table1[[#This Row],[AMOUNT]]</f>
        <v>0</v>
      </c>
      <c r="W83" s="11" t="s">
        <v>2294</v>
      </c>
      <c r="X83" s="11" t="s">
        <v>451</v>
      </c>
      <c r="Y83" s="11" t="s">
        <v>760</v>
      </c>
      <c r="Z83" s="11" t="s">
        <v>88</v>
      </c>
      <c r="AA83" s="11" t="s">
        <v>86</v>
      </c>
      <c r="AB83" s="11" t="s">
        <v>3139</v>
      </c>
      <c r="AC83" s="11" t="s">
        <v>724</v>
      </c>
      <c r="AD83" s="11" t="s">
        <v>766</v>
      </c>
      <c r="AE83" s="11" t="s">
        <v>746</v>
      </c>
      <c r="AF83" s="11" t="s">
        <v>53</v>
      </c>
      <c r="AG83" s="11" t="s">
        <v>3469</v>
      </c>
      <c r="AH83" s="11" t="s">
        <v>752</v>
      </c>
      <c r="AI83" s="11">
        <v>802241455</v>
      </c>
      <c r="AJ83" s="11" t="s">
        <v>191</v>
      </c>
      <c r="AK83" s="11"/>
      <c r="AL83" s="11"/>
      <c r="AM83" s="12" t="s">
        <v>64</v>
      </c>
      <c r="AN83" s="11" t="s">
        <v>115</v>
      </c>
      <c r="AO83" s="11" t="s">
        <v>798</v>
      </c>
      <c r="AP83" s="11" t="s">
        <v>796</v>
      </c>
      <c r="AQ83" s="3">
        <v>45463</v>
      </c>
      <c r="AR83" s="11">
        <v>3910</v>
      </c>
      <c r="AS83" s="11" t="s">
        <v>430</v>
      </c>
      <c r="AT83" s="11" t="s">
        <v>748</v>
      </c>
      <c r="AU83" s="2">
        <v>46168</v>
      </c>
    </row>
    <row r="84" spans="1:47" x14ac:dyDescent="0.25">
      <c r="A84" s="10" t="s">
        <v>652</v>
      </c>
      <c r="B84" s="11" t="s">
        <v>653</v>
      </c>
      <c r="C84" s="11">
        <v>0</v>
      </c>
      <c r="D84" s="11" t="s">
        <v>108</v>
      </c>
      <c r="E84" s="11"/>
      <c r="F84" s="11"/>
      <c r="G84" s="11" t="s">
        <v>52</v>
      </c>
      <c r="H84" s="11">
        <v>8</v>
      </c>
      <c r="I84" s="11" t="s">
        <v>699</v>
      </c>
      <c r="J84" s="11" t="s">
        <v>42</v>
      </c>
      <c r="K84" s="11">
        <f>Table1[[#This Row],[ENR]]-Table1[[#This Row],[CREDIT]]</f>
        <v>7658.1499999999942</v>
      </c>
      <c r="L84" s="43">
        <v>80000</v>
      </c>
      <c r="M84" s="30">
        <v>87658.15</v>
      </c>
      <c r="N84" s="44" t="s">
        <v>43</v>
      </c>
      <c r="O84" s="29">
        <v>87658.15</v>
      </c>
      <c r="P84" s="29">
        <v>73781.84</v>
      </c>
      <c r="Q84" s="29">
        <v>25570</v>
      </c>
      <c r="R84" s="29">
        <v>8700</v>
      </c>
      <c r="S84" s="11" t="s">
        <v>58</v>
      </c>
      <c r="T84" s="11" t="s">
        <v>14</v>
      </c>
      <c r="U84" s="29">
        <v>15000</v>
      </c>
      <c r="V84" s="29">
        <f>Table1[[#This Row],[STAB]]-Table1[[#This Row],[AMOUNT]]</f>
        <v>-6300</v>
      </c>
      <c r="W84" s="11" t="s">
        <v>1667</v>
      </c>
      <c r="X84" s="11" t="s">
        <v>451</v>
      </c>
      <c r="Y84" s="11" t="s">
        <v>760</v>
      </c>
      <c r="Z84" s="11" t="s">
        <v>88</v>
      </c>
      <c r="AA84" s="11" t="s">
        <v>86</v>
      </c>
      <c r="AB84" s="11" t="s">
        <v>3139</v>
      </c>
      <c r="AC84" s="11" t="s">
        <v>725</v>
      </c>
      <c r="AD84" s="11" t="s">
        <v>768</v>
      </c>
      <c r="AE84" s="11" t="s">
        <v>100</v>
      </c>
      <c r="AF84" s="11" t="s">
        <v>54</v>
      </c>
      <c r="AG84" s="11" t="s">
        <v>60</v>
      </c>
      <c r="AH84" s="11" t="s">
        <v>193</v>
      </c>
      <c r="AI84" s="11">
        <v>802824019</v>
      </c>
      <c r="AJ84" s="11" t="s">
        <v>189</v>
      </c>
      <c r="AK84" s="11"/>
      <c r="AL84" s="11"/>
      <c r="AM84" s="12" t="s">
        <v>64</v>
      </c>
      <c r="AN84" s="11" t="s">
        <v>221</v>
      </c>
      <c r="AO84" s="11" t="s">
        <v>2160</v>
      </c>
      <c r="AP84" s="11" t="s">
        <v>1667</v>
      </c>
      <c r="AQ84" s="3">
        <v>45954</v>
      </c>
      <c r="AR84" s="11">
        <v>14290</v>
      </c>
      <c r="AS84" s="11" t="s">
        <v>430</v>
      </c>
      <c r="AT84" s="11" t="s">
        <v>748</v>
      </c>
      <c r="AU84" s="2">
        <v>46168</v>
      </c>
    </row>
    <row r="85" spans="1:47" x14ac:dyDescent="0.25">
      <c r="A85" s="10" t="s">
        <v>654</v>
      </c>
      <c r="B85" s="11" t="s">
        <v>655</v>
      </c>
      <c r="C85" s="11">
        <v>0</v>
      </c>
      <c r="D85" s="11" t="s">
        <v>108</v>
      </c>
      <c r="E85" s="11">
        <v>1</v>
      </c>
      <c r="F85" s="11"/>
      <c r="G85" s="11" t="s">
        <v>52</v>
      </c>
      <c r="H85" s="11">
        <v>8</v>
      </c>
      <c r="I85" s="11" t="s">
        <v>700</v>
      </c>
      <c r="J85" s="11" t="s">
        <v>42</v>
      </c>
      <c r="K85" s="11">
        <f>Table1[[#This Row],[ENR]]-Table1[[#This Row],[CREDIT]]</f>
        <v>6845.3500000000058</v>
      </c>
      <c r="L85" s="43">
        <v>80000</v>
      </c>
      <c r="M85" s="52">
        <v>86845.35</v>
      </c>
      <c r="N85" s="44" t="s">
        <v>43</v>
      </c>
      <c r="O85" s="29">
        <v>86845.35</v>
      </c>
      <c r="P85" s="29">
        <v>79681.67</v>
      </c>
      <c r="Q85" s="29">
        <v>21430</v>
      </c>
      <c r="R85" s="29">
        <v>4290</v>
      </c>
      <c r="S85" s="11" t="s">
        <v>58</v>
      </c>
      <c r="T85" s="11" t="s">
        <v>14</v>
      </c>
      <c r="U85" s="29">
        <v>4300</v>
      </c>
      <c r="V85" s="29">
        <f>Table1[[#This Row],[STAB]]-Table1[[#This Row],[AMOUNT]]</f>
        <v>-10</v>
      </c>
      <c r="W85" s="11">
        <v>0</v>
      </c>
      <c r="X85" s="11" t="s">
        <v>1526</v>
      </c>
      <c r="Y85" s="11" t="s">
        <v>1084</v>
      </c>
      <c r="Z85" s="11" t="s">
        <v>88</v>
      </c>
      <c r="AA85" s="11" t="s">
        <v>86</v>
      </c>
      <c r="AB85" s="11" t="s">
        <v>3139</v>
      </c>
      <c r="AC85" s="11" t="s">
        <v>726</v>
      </c>
      <c r="AD85" s="11" t="s">
        <v>767</v>
      </c>
      <c r="AE85" s="11" t="s">
        <v>218</v>
      </c>
      <c r="AF85" s="11" t="s">
        <v>84</v>
      </c>
      <c r="AG85" s="11" t="s">
        <v>107</v>
      </c>
      <c r="AH85" s="11" t="s">
        <v>88</v>
      </c>
      <c r="AI85" s="11">
        <v>801723195</v>
      </c>
      <c r="AJ85" s="11" t="s">
        <v>191</v>
      </c>
      <c r="AK85" s="11"/>
      <c r="AL85" s="11"/>
      <c r="AM85" s="12" t="s">
        <v>64</v>
      </c>
      <c r="AN85" s="11" t="s">
        <v>115</v>
      </c>
      <c r="AO85" s="11" t="s">
        <v>2158</v>
      </c>
      <c r="AP85" s="11" t="s">
        <v>1667</v>
      </c>
      <c r="AQ85" s="3">
        <v>45884</v>
      </c>
      <c r="AR85" s="11">
        <v>34475</v>
      </c>
      <c r="AS85" s="11" t="s">
        <v>47</v>
      </c>
      <c r="AT85" s="11" t="s">
        <v>748</v>
      </c>
      <c r="AU85" s="2">
        <v>46168</v>
      </c>
    </row>
    <row r="86" spans="1:47" x14ac:dyDescent="0.25">
      <c r="A86" s="10" t="s">
        <v>656</v>
      </c>
      <c r="B86" s="11" t="s">
        <v>657</v>
      </c>
      <c r="C86" s="11">
        <v>0</v>
      </c>
      <c r="D86" s="11" t="s">
        <v>108</v>
      </c>
      <c r="E86" s="11"/>
      <c r="F86" s="11"/>
      <c r="G86" s="11" t="s">
        <v>52</v>
      </c>
      <c r="H86" s="11">
        <v>8</v>
      </c>
      <c r="I86" s="11" t="s">
        <v>701</v>
      </c>
      <c r="J86" s="11" t="s">
        <v>42</v>
      </c>
      <c r="K86" s="11">
        <f>Table1[[#This Row],[ENR]]-Table1[[#This Row],[CREDIT]]</f>
        <v>3386.9400000000023</v>
      </c>
      <c r="L86" s="43">
        <v>63000</v>
      </c>
      <c r="M86" s="52">
        <v>66386.94</v>
      </c>
      <c r="N86" s="44" t="s">
        <v>43</v>
      </c>
      <c r="O86" s="29">
        <v>66386.94</v>
      </c>
      <c r="P86" s="29">
        <v>60363.58</v>
      </c>
      <c r="Q86" s="29">
        <v>13250</v>
      </c>
      <c r="R86" s="29">
        <v>3810</v>
      </c>
      <c r="S86" s="11" t="s">
        <v>58</v>
      </c>
      <c r="T86" s="11" t="s">
        <v>14</v>
      </c>
      <c r="U86" s="29">
        <v>3810</v>
      </c>
      <c r="V86" s="29">
        <f>Table1[[#This Row],[STAB]]-Table1[[#This Row],[AMOUNT]]</f>
        <v>0</v>
      </c>
      <c r="W86" s="11" t="s">
        <v>2294</v>
      </c>
      <c r="X86" s="11" t="s">
        <v>1526</v>
      </c>
      <c r="Y86" s="11" t="s">
        <v>1084</v>
      </c>
      <c r="Z86" s="11" t="s">
        <v>88</v>
      </c>
      <c r="AA86" s="11" t="s">
        <v>86</v>
      </c>
      <c r="AB86" s="11" t="s">
        <v>3141</v>
      </c>
      <c r="AC86" s="11" t="s">
        <v>727</v>
      </c>
      <c r="AD86" s="11" t="s">
        <v>765</v>
      </c>
      <c r="AE86" s="11" t="s">
        <v>414</v>
      </c>
      <c r="AF86" s="11" t="s">
        <v>127</v>
      </c>
      <c r="AG86" s="11" t="s">
        <v>106</v>
      </c>
      <c r="AH86" s="11" t="s">
        <v>460</v>
      </c>
      <c r="AI86" s="11">
        <v>802913252</v>
      </c>
      <c r="AJ86" s="11" t="s">
        <v>190</v>
      </c>
      <c r="AK86" s="11"/>
      <c r="AL86" s="11"/>
      <c r="AM86" s="12" t="s">
        <v>64</v>
      </c>
      <c r="AN86" s="11" t="s">
        <v>221</v>
      </c>
      <c r="AO86" s="11" t="s">
        <v>2444</v>
      </c>
      <c r="AP86" s="11" t="s">
        <v>2294</v>
      </c>
      <c r="AQ86" s="3">
        <v>45524</v>
      </c>
      <c r="AR86" s="11">
        <v>5340</v>
      </c>
      <c r="AS86" s="11" t="s">
        <v>437</v>
      </c>
      <c r="AT86" s="11" t="s">
        <v>748</v>
      </c>
      <c r="AU86" s="2">
        <v>46168</v>
      </c>
    </row>
    <row r="87" spans="1:47" x14ac:dyDescent="0.25">
      <c r="A87" s="10" t="s">
        <v>658</v>
      </c>
      <c r="B87" s="11" t="s">
        <v>659</v>
      </c>
      <c r="C87" s="11">
        <v>0</v>
      </c>
      <c r="D87" s="11" t="s">
        <v>108</v>
      </c>
      <c r="E87" s="11"/>
      <c r="F87" s="11"/>
      <c r="G87" s="11" t="s">
        <v>52</v>
      </c>
      <c r="H87" s="11">
        <v>8</v>
      </c>
      <c r="I87" s="11" t="s">
        <v>702</v>
      </c>
      <c r="J87" s="11" t="s">
        <v>42</v>
      </c>
      <c r="K87" s="11">
        <f>Table1[[#This Row],[ENR]]-Table1[[#This Row],[CREDIT]]</f>
        <v>920.76000000000204</v>
      </c>
      <c r="L87" s="43">
        <v>55000</v>
      </c>
      <c r="M87" s="30">
        <v>55920.76</v>
      </c>
      <c r="N87" s="44" t="s">
        <v>43</v>
      </c>
      <c r="O87" s="29">
        <v>55920.76</v>
      </c>
      <c r="P87" s="29">
        <v>49784.11</v>
      </c>
      <c r="Q87" s="29">
        <v>10180</v>
      </c>
      <c r="R87" s="29">
        <v>3050</v>
      </c>
      <c r="S87" s="11" t="s">
        <v>58</v>
      </c>
      <c r="T87" s="11" t="s">
        <v>13</v>
      </c>
      <c r="U87" s="11">
        <v>12000</v>
      </c>
      <c r="V87" s="29">
        <f>Table1[[#This Row],[STAB]]-Table1[[#This Row],[AMOUNT]]</f>
        <v>-8950</v>
      </c>
      <c r="W87" s="11" t="s">
        <v>756</v>
      </c>
      <c r="X87" s="11" t="s">
        <v>444</v>
      </c>
      <c r="Y87" s="11" t="s">
        <v>760</v>
      </c>
      <c r="Z87" s="11" t="s">
        <v>88</v>
      </c>
      <c r="AA87" s="11" t="s">
        <v>86</v>
      </c>
      <c r="AB87" s="11" t="s">
        <v>3139</v>
      </c>
      <c r="AC87" s="11" t="s">
        <v>728</v>
      </c>
      <c r="AD87" s="11" t="s">
        <v>786</v>
      </c>
      <c r="AE87" s="11" t="s">
        <v>103</v>
      </c>
      <c r="AF87" s="11" t="s">
        <v>53</v>
      </c>
      <c r="AG87" s="11" t="s">
        <v>188</v>
      </c>
      <c r="AH87" s="11" t="s">
        <v>194</v>
      </c>
      <c r="AI87" s="11">
        <v>802823180</v>
      </c>
      <c r="AJ87" s="11" t="s">
        <v>191</v>
      </c>
      <c r="AK87" s="11"/>
      <c r="AL87" s="11"/>
      <c r="AM87" s="12" t="s">
        <v>64</v>
      </c>
      <c r="AN87" s="11"/>
      <c r="AO87" s="11"/>
      <c r="AP87" s="11"/>
      <c r="AQ87" s="3">
        <v>46105</v>
      </c>
      <c r="AR87" s="11">
        <v>16400</v>
      </c>
      <c r="AS87" s="11" t="s">
        <v>430</v>
      </c>
      <c r="AT87" s="11" t="s">
        <v>748</v>
      </c>
      <c r="AU87" s="2">
        <v>46168</v>
      </c>
    </row>
    <row r="88" spans="1:47" x14ac:dyDescent="0.25">
      <c r="A88" s="10" t="s">
        <v>660</v>
      </c>
      <c r="B88" s="11" t="s">
        <v>661</v>
      </c>
      <c r="C88" s="11">
        <v>0</v>
      </c>
      <c r="D88" s="11" t="s">
        <v>108</v>
      </c>
      <c r="E88" s="11"/>
      <c r="F88" s="11"/>
      <c r="G88" s="11" t="s">
        <v>52</v>
      </c>
      <c r="H88" s="11">
        <v>8</v>
      </c>
      <c r="I88" s="11" t="s">
        <v>703</v>
      </c>
      <c r="J88" s="11" t="s">
        <v>42</v>
      </c>
      <c r="K88" s="11">
        <f>Table1[[#This Row],[ENR]]-Table1[[#This Row],[CREDIT]]</f>
        <v>-18655.68</v>
      </c>
      <c r="L88" s="43">
        <v>70000</v>
      </c>
      <c r="M88" s="30">
        <v>51344.32</v>
      </c>
      <c r="N88" s="44" t="s">
        <v>43</v>
      </c>
      <c r="O88" s="29">
        <v>51344.32</v>
      </c>
      <c r="P88" s="29">
        <v>44278.5</v>
      </c>
      <c r="Q88" s="29">
        <v>9690</v>
      </c>
      <c r="R88" s="29">
        <v>4180</v>
      </c>
      <c r="S88" s="11" t="s">
        <v>58</v>
      </c>
      <c r="T88" s="11" t="s">
        <v>13</v>
      </c>
      <c r="U88" s="11">
        <v>9690</v>
      </c>
      <c r="V88" s="29">
        <f>Table1[[#This Row],[STAB]]-Table1[[#This Row],[AMOUNT]]</f>
        <v>-5510</v>
      </c>
      <c r="W88" s="11" t="s">
        <v>1528</v>
      </c>
      <c r="X88" s="11" t="s">
        <v>451</v>
      </c>
      <c r="Y88" s="11">
        <v>0</v>
      </c>
      <c r="Z88" s="11" t="s">
        <v>88</v>
      </c>
      <c r="AA88" s="11" t="s">
        <v>86</v>
      </c>
      <c r="AB88" s="11" t="s">
        <v>3139</v>
      </c>
      <c r="AC88" s="11" t="s">
        <v>729</v>
      </c>
      <c r="AD88" s="11" t="s">
        <v>784</v>
      </c>
      <c r="AE88" s="11" t="s">
        <v>423</v>
      </c>
      <c r="AF88" s="11" t="s">
        <v>54</v>
      </c>
      <c r="AG88" s="11" t="s">
        <v>1500</v>
      </c>
      <c r="AH88" s="11" t="s">
        <v>465</v>
      </c>
      <c r="AI88" s="11">
        <v>802823175</v>
      </c>
      <c r="AJ88" s="11" t="s">
        <v>191</v>
      </c>
      <c r="AK88" s="11"/>
      <c r="AL88" s="11"/>
      <c r="AM88" s="12" t="s">
        <v>64</v>
      </c>
      <c r="AN88" s="11"/>
      <c r="AO88" s="11"/>
      <c r="AP88" s="11"/>
      <c r="AQ88" s="3">
        <v>46113</v>
      </c>
      <c r="AR88" s="11">
        <v>10240</v>
      </c>
      <c r="AS88" s="11" t="s">
        <v>764</v>
      </c>
      <c r="AT88" s="11" t="s">
        <v>748</v>
      </c>
      <c r="AU88" s="2">
        <v>46168</v>
      </c>
    </row>
    <row r="89" spans="1:47" x14ac:dyDescent="0.25">
      <c r="A89" s="10" t="s">
        <v>662</v>
      </c>
      <c r="B89" s="11" t="s">
        <v>663</v>
      </c>
      <c r="C89" s="11">
        <v>0</v>
      </c>
      <c r="D89" s="11" t="s">
        <v>108</v>
      </c>
      <c r="E89" s="11"/>
      <c r="F89" s="11"/>
      <c r="G89" s="11" t="s">
        <v>52</v>
      </c>
      <c r="H89" s="11">
        <v>8</v>
      </c>
      <c r="I89" s="11" t="s">
        <v>704</v>
      </c>
      <c r="J89" s="11" t="s">
        <v>42</v>
      </c>
      <c r="K89" s="11">
        <f>Table1[[#This Row],[ENR]]-Table1[[#This Row],[CREDIT]]</f>
        <v>757.55999999999767</v>
      </c>
      <c r="L89" s="43">
        <v>50000</v>
      </c>
      <c r="M89" s="30">
        <v>50757.56</v>
      </c>
      <c r="N89" s="44">
        <v>41422.370000000003</v>
      </c>
      <c r="O89" s="29">
        <v>9335.19</v>
      </c>
      <c r="P89" s="29">
        <v>6634.42</v>
      </c>
      <c r="Q89" s="29">
        <v>9335.19</v>
      </c>
      <c r="R89" s="29">
        <v>4782.47</v>
      </c>
      <c r="S89" s="11" t="s">
        <v>44</v>
      </c>
      <c r="T89" s="11" t="s">
        <v>45</v>
      </c>
      <c r="U89" s="11">
        <v>0</v>
      </c>
      <c r="V89" s="29">
        <f>Table1[[#This Row],[STAB]]-Table1[[#This Row],[AMOUNT]]</f>
        <v>4782.47</v>
      </c>
      <c r="W89" s="11">
        <v>0</v>
      </c>
      <c r="X89" s="11" t="s">
        <v>83</v>
      </c>
      <c r="Y89" s="11">
        <v>0</v>
      </c>
      <c r="Z89" s="11" t="s">
        <v>88</v>
      </c>
      <c r="AA89" s="11" t="s">
        <v>86</v>
      </c>
      <c r="AB89" s="11" t="s">
        <v>3139</v>
      </c>
      <c r="AC89" s="11" t="s">
        <v>730</v>
      </c>
      <c r="AD89" s="11" t="s">
        <v>785</v>
      </c>
      <c r="AE89" s="11" t="s">
        <v>218</v>
      </c>
      <c r="AF89" s="11" t="s">
        <v>84</v>
      </c>
      <c r="AG89" s="11" t="s">
        <v>93</v>
      </c>
      <c r="AH89" s="11" t="s">
        <v>88</v>
      </c>
      <c r="AI89" s="11">
        <v>801723195</v>
      </c>
      <c r="AJ89" s="11" t="s">
        <v>191</v>
      </c>
      <c r="AK89" s="11"/>
      <c r="AL89" s="11"/>
      <c r="AM89" s="12" t="s">
        <v>64</v>
      </c>
      <c r="AN89" s="11" t="s">
        <v>219</v>
      </c>
      <c r="AO89" s="11" t="s">
        <v>2289</v>
      </c>
      <c r="AP89" s="11" t="s">
        <v>2172</v>
      </c>
      <c r="AQ89" s="3">
        <v>45499</v>
      </c>
      <c r="AR89" s="11">
        <v>13249.62</v>
      </c>
      <c r="AS89" s="11" t="s">
        <v>430</v>
      </c>
      <c r="AT89" s="11" t="s">
        <v>748</v>
      </c>
      <c r="AU89" s="2">
        <v>46168</v>
      </c>
    </row>
    <row r="90" spans="1:47" x14ac:dyDescent="0.25">
      <c r="A90" s="10" t="s">
        <v>1541</v>
      </c>
      <c r="B90" s="11" t="s">
        <v>1556</v>
      </c>
      <c r="C90" s="11">
        <v>0</v>
      </c>
      <c r="D90" s="11" t="s">
        <v>108</v>
      </c>
      <c r="E90" s="11"/>
      <c r="F90" s="11"/>
      <c r="G90" s="11" t="s">
        <v>52</v>
      </c>
      <c r="H90" s="11">
        <v>9</v>
      </c>
      <c r="I90" s="11" t="s">
        <v>1571</v>
      </c>
      <c r="J90" s="11" t="s">
        <v>42</v>
      </c>
      <c r="K90" s="11">
        <f>Table1[[#This Row],[ENR]]-Table1[[#This Row],[CREDIT]]</f>
        <v>-77014.790000000008</v>
      </c>
      <c r="L90" s="43">
        <v>300000</v>
      </c>
      <c r="M90" s="30">
        <v>222985.21</v>
      </c>
      <c r="N90" s="44" t="s">
        <v>43</v>
      </c>
      <c r="O90" s="29">
        <v>222985.21</v>
      </c>
      <c r="P90" s="29">
        <v>195385.51</v>
      </c>
      <c r="Q90" s="29">
        <v>46660</v>
      </c>
      <c r="R90" s="29">
        <v>26690</v>
      </c>
      <c r="S90" s="11" t="s">
        <v>44</v>
      </c>
      <c r="T90" s="11" t="s">
        <v>45</v>
      </c>
      <c r="U90" s="11">
        <v>0</v>
      </c>
      <c r="V90" s="29">
        <f>Table1[[#This Row],[STAB]]-Table1[[#This Row],[AMOUNT]]</f>
        <v>26690</v>
      </c>
      <c r="W90" s="11">
        <v>0</v>
      </c>
      <c r="X90" s="11" t="s">
        <v>83</v>
      </c>
      <c r="Y90" s="11">
        <v>0</v>
      </c>
      <c r="Z90" s="11" t="s">
        <v>85</v>
      </c>
      <c r="AA90" s="11" t="s">
        <v>447</v>
      </c>
      <c r="AB90" s="11" t="s">
        <v>3139</v>
      </c>
      <c r="AC90" s="11" t="s">
        <v>1586</v>
      </c>
      <c r="AD90" s="11" t="s">
        <v>1597</v>
      </c>
      <c r="AE90" s="11" t="s">
        <v>424</v>
      </c>
      <c r="AF90" s="11" t="s">
        <v>54</v>
      </c>
      <c r="AG90" s="11" t="s">
        <v>1658</v>
      </c>
      <c r="AH90" s="11" t="s">
        <v>85</v>
      </c>
      <c r="AI90" s="11">
        <v>801772794</v>
      </c>
      <c r="AJ90" s="11" t="s">
        <v>192</v>
      </c>
      <c r="AK90" s="11"/>
      <c r="AL90" s="11"/>
      <c r="AM90" s="12" t="s">
        <v>64</v>
      </c>
      <c r="AN90" s="11" t="s">
        <v>219</v>
      </c>
      <c r="AO90" s="11" t="s">
        <v>2427</v>
      </c>
      <c r="AP90" s="11" t="s">
        <v>2294</v>
      </c>
      <c r="AQ90" s="3">
        <v>46095</v>
      </c>
      <c r="AR90" s="11">
        <v>6159</v>
      </c>
      <c r="AS90" s="11" t="s">
        <v>47</v>
      </c>
      <c r="AT90" s="11" t="s">
        <v>1602</v>
      </c>
      <c r="AU90" s="2">
        <v>46169</v>
      </c>
    </row>
    <row r="91" spans="1:47" x14ac:dyDescent="0.25">
      <c r="A91" s="10" t="s">
        <v>1695</v>
      </c>
      <c r="B91" s="11" t="s">
        <v>1792</v>
      </c>
      <c r="C91" s="11">
        <v>0</v>
      </c>
      <c r="D91" s="11" t="s">
        <v>108</v>
      </c>
      <c r="E91" s="11"/>
      <c r="F91" s="11"/>
      <c r="G91" s="11" t="s">
        <v>52</v>
      </c>
      <c r="H91" s="11">
        <v>10</v>
      </c>
      <c r="I91" s="11" t="s">
        <v>1889</v>
      </c>
      <c r="J91" s="11" t="s">
        <v>42</v>
      </c>
      <c r="K91" s="11">
        <f>Table1[[#This Row],[ENR]]-Table1[[#This Row],[CREDIT]]</f>
        <v>103879.48999999999</v>
      </c>
      <c r="L91" s="43">
        <v>78000</v>
      </c>
      <c r="M91" s="30">
        <v>181879.49</v>
      </c>
      <c r="N91" s="44" t="s">
        <v>43</v>
      </c>
      <c r="O91" s="29">
        <v>181879.49</v>
      </c>
      <c r="P91" s="29">
        <v>169991.77</v>
      </c>
      <c r="Q91" s="29">
        <v>114550</v>
      </c>
      <c r="R91" s="29">
        <v>95900</v>
      </c>
      <c r="S91" s="11" t="s">
        <v>44</v>
      </c>
      <c r="T91" s="11" t="s">
        <v>45</v>
      </c>
      <c r="U91" s="11">
        <v>0</v>
      </c>
      <c r="V91" s="29">
        <f>Table1[[#This Row],[STAB]]-Table1[[#This Row],[AMOUNT]]</f>
        <v>95900</v>
      </c>
      <c r="W91" s="11">
        <v>0</v>
      </c>
      <c r="X91" s="11" t="s">
        <v>83</v>
      </c>
      <c r="Y91" s="11">
        <v>0</v>
      </c>
      <c r="Z91" s="12" t="s">
        <v>85</v>
      </c>
      <c r="AA91" s="12" t="s">
        <v>612</v>
      </c>
      <c r="AB91" s="11" t="s">
        <v>3139</v>
      </c>
      <c r="AC91" s="11" t="s">
        <v>1986</v>
      </c>
      <c r="AD91" s="11" t="s">
        <v>2083</v>
      </c>
      <c r="AE91" s="11" t="s">
        <v>123</v>
      </c>
      <c r="AF91" s="11" t="s">
        <v>127</v>
      </c>
      <c r="AG91" s="11" t="s">
        <v>96</v>
      </c>
      <c r="AH91" s="11" t="s">
        <v>461</v>
      </c>
      <c r="AI91" s="11">
        <v>801436997</v>
      </c>
      <c r="AJ91" s="11" t="s">
        <v>190</v>
      </c>
      <c r="AK91" s="11"/>
      <c r="AL91" s="11"/>
      <c r="AM91" s="12" t="s">
        <v>64</v>
      </c>
      <c r="AN91" s="11" t="s">
        <v>219</v>
      </c>
      <c r="AO91" s="11" t="s">
        <v>3132</v>
      </c>
      <c r="AP91" s="11" t="s">
        <v>3119</v>
      </c>
      <c r="AQ91" s="3" t="s">
        <v>43</v>
      </c>
      <c r="AR91" s="11">
        <v>0</v>
      </c>
      <c r="AS91" s="11" t="s">
        <v>48</v>
      </c>
      <c r="AT91" s="11" t="s">
        <v>2152</v>
      </c>
      <c r="AU91" s="2">
        <v>46170</v>
      </c>
    </row>
    <row r="92" spans="1:47" x14ac:dyDescent="0.25">
      <c r="A92" s="10" t="s">
        <v>664</v>
      </c>
      <c r="B92" s="11" t="s">
        <v>665</v>
      </c>
      <c r="C92" s="11">
        <v>0</v>
      </c>
      <c r="D92" s="11" t="s">
        <v>108</v>
      </c>
      <c r="E92" s="11"/>
      <c r="F92" s="11"/>
      <c r="G92" s="11" t="s">
        <v>90</v>
      </c>
      <c r="H92" s="11">
        <v>11</v>
      </c>
      <c r="I92" s="11" t="s">
        <v>705</v>
      </c>
      <c r="J92" s="11" t="s">
        <v>42</v>
      </c>
      <c r="K92" s="11">
        <f>Table1[[#This Row],[ENR]]-Table1[[#This Row],[CREDIT]]</f>
        <v>39556.479999999981</v>
      </c>
      <c r="L92" s="43">
        <v>1000000</v>
      </c>
      <c r="M92" s="30">
        <v>1039556.48</v>
      </c>
      <c r="N92" s="44">
        <v>380696.87</v>
      </c>
      <c r="O92" s="29">
        <v>658859.61</v>
      </c>
      <c r="P92" s="29">
        <v>613831.81000000006</v>
      </c>
      <c r="Q92" s="29">
        <v>138980</v>
      </c>
      <c r="R92" s="29">
        <v>58900</v>
      </c>
      <c r="S92" s="11" t="s">
        <v>58</v>
      </c>
      <c r="T92" s="11" t="s">
        <v>13</v>
      </c>
      <c r="U92" s="11">
        <v>200000</v>
      </c>
      <c r="V92" s="29">
        <f>Table1[[#This Row],[STAB]]-Table1[[#This Row],[AMOUNT]]</f>
        <v>-141100</v>
      </c>
      <c r="W92" s="11" t="s">
        <v>1497</v>
      </c>
      <c r="X92" s="11" t="s">
        <v>451</v>
      </c>
      <c r="Y92" s="11" t="s">
        <v>760</v>
      </c>
      <c r="Z92" s="12" t="s">
        <v>85</v>
      </c>
      <c r="AA92" s="12" t="s">
        <v>611</v>
      </c>
      <c r="AB92" s="11" t="s">
        <v>3139</v>
      </c>
      <c r="AC92" s="11" t="s">
        <v>731</v>
      </c>
      <c r="AD92" s="11" t="s">
        <v>779</v>
      </c>
      <c r="AE92" s="11" t="s">
        <v>603</v>
      </c>
      <c r="AF92" s="11" t="s">
        <v>53</v>
      </c>
      <c r="AG92" s="11" t="s">
        <v>89</v>
      </c>
      <c r="AH92" s="11" t="s">
        <v>193</v>
      </c>
      <c r="AI92" s="11">
        <v>802824019</v>
      </c>
      <c r="AJ92" s="11" t="s">
        <v>189</v>
      </c>
      <c r="AK92" s="11"/>
      <c r="AL92" s="11"/>
      <c r="AM92" s="12" t="s">
        <v>64</v>
      </c>
      <c r="AN92" s="11" t="s">
        <v>115</v>
      </c>
      <c r="AO92" s="11" t="s">
        <v>1506</v>
      </c>
      <c r="AP92" s="11" t="s">
        <v>1497</v>
      </c>
      <c r="AQ92" s="3">
        <v>46050</v>
      </c>
      <c r="AR92" s="11">
        <v>345000</v>
      </c>
      <c r="AS92" s="11" t="s">
        <v>436</v>
      </c>
      <c r="AT92" s="11" t="s">
        <v>748</v>
      </c>
      <c r="AU92" s="2">
        <v>46171</v>
      </c>
    </row>
    <row r="93" spans="1:47" x14ac:dyDescent="0.25">
      <c r="A93" s="10" t="s">
        <v>666</v>
      </c>
      <c r="B93" s="11" t="s">
        <v>667</v>
      </c>
      <c r="C93" s="11">
        <v>0</v>
      </c>
      <c r="D93" s="11" t="s">
        <v>108</v>
      </c>
      <c r="E93" s="11"/>
      <c r="F93" s="11"/>
      <c r="G93" s="11" t="s">
        <v>52</v>
      </c>
      <c r="H93" s="11">
        <v>11</v>
      </c>
      <c r="I93" s="11" t="s">
        <v>706</v>
      </c>
      <c r="J93" s="11" t="s">
        <v>42</v>
      </c>
      <c r="K93" s="11">
        <f>Table1[[#This Row],[ENR]]-Table1[[#This Row],[CREDIT]]</f>
        <v>-4387.8000000000466</v>
      </c>
      <c r="L93" s="43">
        <v>750000</v>
      </c>
      <c r="M93" s="30">
        <v>745612.2</v>
      </c>
      <c r="N93" s="44" t="s">
        <v>43</v>
      </c>
      <c r="O93" s="29">
        <v>745612.2</v>
      </c>
      <c r="P93" s="29">
        <v>653520.49</v>
      </c>
      <c r="Q93" s="29">
        <v>311760</v>
      </c>
      <c r="R93" s="29">
        <v>161850</v>
      </c>
      <c r="S93" s="11" t="s">
        <v>58</v>
      </c>
      <c r="T93" s="11" t="s">
        <v>13</v>
      </c>
      <c r="U93" s="11">
        <v>745612.2</v>
      </c>
      <c r="V93" s="29">
        <f>Table1[[#This Row],[STAB]]-Table1[[#This Row],[AMOUNT]]</f>
        <v>-583762.19999999995</v>
      </c>
      <c r="W93" s="11" t="s">
        <v>3119</v>
      </c>
      <c r="X93" s="11" t="s">
        <v>451</v>
      </c>
      <c r="Y93" s="11" t="s">
        <v>759</v>
      </c>
      <c r="Z93" s="11" t="s">
        <v>85</v>
      </c>
      <c r="AA93" s="11" t="s">
        <v>613</v>
      </c>
      <c r="AB93" s="11" t="s">
        <v>3139</v>
      </c>
      <c r="AC93" s="11" t="s">
        <v>732</v>
      </c>
      <c r="AD93" s="11" t="s">
        <v>789</v>
      </c>
      <c r="AE93" s="11" t="s">
        <v>413</v>
      </c>
      <c r="AF93" s="11" t="s">
        <v>54</v>
      </c>
      <c r="AG93" s="11" t="s">
        <v>129</v>
      </c>
      <c r="AH93" s="11" t="s">
        <v>753</v>
      </c>
      <c r="AI93" s="11">
        <v>802794852</v>
      </c>
      <c r="AJ93" s="11" t="s">
        <v>190</v>
      </c>
      <c r="AK93" s="11"/>
      <c r="AL93" s="11"/>
      <c r="AM93" s="12" t="s">
        <v>64</v>
      </c>
      <c r="AN93" s="11" t="s">
        <v>219</v>
      </c>
      <c r="AO93" s="11" t="s">
        <v>755</v>
      </c>
      <c r="AP93" s="11" t="s">
        <v>639</v>
      </c>
      <c r="AQ93" s="3">
        <v>46080</v>
      </c>
      <c r="AR93" s="11">
        <v>601</v>
      </c>
      <c r="AS93" s="11" t="s">
        <v>47</v>
      </c>
      <c r="AT93" s="11" t="s">
        <v>748</v>
      </c>
      <c r="AU93" s="2">
        <v>46171</v>
      </c>
    </row>
    <row r="94" spans="1:47" x14ac:dyDescent="0.25">
      <c r="A94" s="10" t="s">
        <v>668</v>
      </c>
      <c r="B94" s="11" t="s">
        <v>669</v>
      </c>
      <c r="C94" s="11">
        <v>0</v>
      </c>
      <c r="D94" s="11" t="s">
        <v>108</v>
      </c>
      <c r="E94" s="11"/>
      <c r="F94" s="11"/>
      <c r="G94" s="11" t="s">
        <v>90</v>
      </c>
      <c r="H94" s="11">
        <v>11</v>
      </c>
      <c r="I94" s="11" t="s">
        <v>707</v>
      </c>
      <c r="J94" s="11" t="s">
        <v>42</v>
      </c>
      <c r="K94" s="11">
        <f>Table1[[#This Row],[ENR]]-Table1[[#This Row],[CREDIT]]</f>
        <v>-125968.10999999999</v>
      </c>
      <c r="L94" s="43">
        <v>690000</v>
      </c>
      <c r="M94" s="30">
        <v>564031.89</v>
      </c>
      <c r="N94" s="44" t="s">
        <v>43</v>
      </c>
      <c r="O94" s="29">
        <v>564031.89</v>
      </c>
      <c r="P94" s="29">
        <v>537483.52000000002</v>
      </c>
      <c r="Q94" s="29">
        <v>82670</v>
      </c>
      <c r="R94" s="29">
        <v>51980</v>
      </c>
      <c r="S94" s="11" t="s">
        <v>58</v>
      </c>
      <c r="T94" s="11" t="s">
        <v>13</v>
      </c>
      <c r="U94" s="11">
        <v>82670</v>
      </c>
      <c r="V94" s="29">
        <f>Table1[[#This Row],[STAB]]-Table1[[#This Row],[AMOUNT]]</f>
        <v>-30690</v>
      </c>
      <c r="W94" s="11">
        <v>0</v>
      </c>
      <c r="X94" s="11" t="s">
        <v>761</v>
      </c>
      <c r="Y94" s="11" t="s">
        <v>760</v>
      </c>
      <c r="Z94" s="12" t="s">
        <v>85</v>
      </c>
      <c r="AA94" s="12" t="s">
        <v>612</v>
      </c>
      <c r="AB94" s="11" t="s">
        <v>3139</v>
      </c>
      <c r="AC94" s="11" t="s">
        <v>733</v>
      </c>
      <c r="AD94" s="11" t="s">
        <v>790</v>
      </c>
      <c r="AE94" s="11" t="s">
        <v>603</v>
      </c>
      <c r="AF94" s="11" t="s">
        <v>53</v>
      </c>
      <c r="AG94" s="11" t="s">
        <v>89</v>
      </c>
      <c r="AH94" s="11" t="s">
        <v>193</v>
      </c>
      <c r="AI94" s="11">
        <v>802824019</v>
      </c>
      <c r="AJ94" s="11" t="s">
        <v>189</v>
      </c>
      <c r="AK94" s="11"/>
      <c r="AL94" s="11"/>
      <c r="AM94" s="12" t="s">
        <v>64</v>
      </c>
      <c r="AN94" s="11"/>
      <c r="AO94" s="11"/>
      <c r="AP94" s="11"/>
      <c r="AQ94" s="3">
        <v>45758</v>
      </c>
      <c r="AR94" s="11">
        <v>4830.53</v>
      </c>
      <c r="AS94" s="11" t="s">
        <v>430</v>
      </c>
      <c r="AT94" s="11" t="s">
        <v>748</v>
      </c>
      <c r="AU94" s="2">
        <v>46171</v>
      </c>
    </row>
    <row r="95" spans="1:47" x14ac:dyDescent="0.25">
      <c r="A95" s="10" t="s">
        <v>670</v>
      </c>
      <c r="B95" s="11" t="s">
        <v>671</v>
      </c>
      <c r="C95" s="11">
        <v>0</v>
      </c>
      <c r="D95" s="11" t="s">
        <v>108</v>
      </c>
      <c r="E95" s="11">
        <v>1</v>
      </c>
      <c r="F95" s="11"/>
      <c r="G95" s="11" t="s">
        <v>52</v>
      </c>
      <c r="H95" s="11">
        <v>11</v>
      </c>
      <c r="I95" s="11" t="s">
        <v>708</v>
      </c>
      <c r="J95" s="11" t="s">
        <v>42</v>
      </c>
      <c r="K95" s="11">
        <f>Table1[[#This Row],[ENR]]-Table1[[#This Row],[CREDIT]]</f>
        <v>46643.699999999953</v>
      </c>
      <c r="L95" s="43">
        <v>500000</v>
      </c>
      <c r="M95" s="30">
        <v>546643.69999999995</v>
      </c>
      <c r="N95" s="44" t="s">
        <v>43</v>
      </c>
      <c r="O95" s="29">
        <v>546643.69999999995</v>
      </c>
      <c r="P95" s="29">
        <v>497978.78</v>
      </c>
      <c r="Q95" s="29">
        <v>122890</v>
      </c>
      <c r="R95" s="29">
        <v>52290</v>
      </c>
      <c r="S95" s="11" t="s">
        <v>58</v>
      </c>
      <c r="T95" s="11" t="s">
        <v>13</v>
      </c>
      <c r="U95" s="11">
        <v>546643.69999999995</v>
      </c>
      <c r="V95" s="29">
        <f>Table1[[#This Row],[STAB]]-Table1[[#This Row],[AMOUNT]]</f>
        <v>-494353.69999999995</v>
      </c>
      <c r="W95" s="11" t="s">
        <v>3119</v>
      </c>
      <c r="X95" s="11" t="s">
        <v>451</v>
      </c>
      <c r="Y95" s="11" t="s">
        <v>759</v>
      </c>
      <c r="Z95" s="11" t="s">
        <v>85</v>
      </c>
      <c r="AA95" s="11" t="s">
        <v>613</v>
      </c>
      <c r="AB95" s="11" t="s">
        <v>3139</v>
      </c>
      <c r="AC95" s="11" t="s">
        <v>734</v>
      </c>
      <c r="AD95" s="11" t="s">
        <v>777</v>
      </c>
      <c r="AE95" s="11" t="s">
        <v>123</v>
      </c>
      <c r="AF95" s="11" t="s">
        <v>127</v>
      </c>
      <c r="AG95" s="11" t="s">
        <v>96</v>
      </c>
      <c r="AH95" s="11" t="s">
        <v>461</v>
      </c>
      <c r="AI95" s="11">
        <v>801436997</v>
      </c>
      <c r="AJ95" s="11" t="s">
        <v>190</v>
      </c>
      <c r="AK95" s="11"/>
      <c r="AL95" s="11"/>
      <c r="AM95" s="12" t="s">
        <v>64</v>
      </c>
      <c r="AN95" s="11" t="s">
        <v>115</v>
      </c>
      <c r="AO95" s="11" t="s">
        <v>2459</v>
      </c>
      <c r="AP95" s="11" t="s">
        <v>2296</v>
      </c>
      <c r="AQ95" s="3">
        <v>45958</v>
      </c>
      <c r="AR95" s="11">
        <v>29160</v>
      </c>
      <c r="AS95" s="11" t="s">
        <v>144</v>
      </c>
      <c r="AT95" s="11" t="s">
        <v>748</v>
      </c>
      <c r="AU95" s="2">
        <v>46171</v>
      </c>
    </row>
    <row r="96" spans="1:47" x14ac:dyDescent="0.25">
      <c r="A96" s="10" t="s">
        <v>846</v>
      </c>
      <c r="B96" s="11" t="s">
        <v>899</v>
      </c>
      <c r="C96" s="11">
        <v>0</v>
      </c>
      <c r="D96" s="11" t="s">
        <v>108</v>
      </c>
      <c r="E96" s="11"/>
      <c r="F96" s="11"/>
      <c r="G96" s="11" t="s">
        <v>52</v>
      </c>
      <c r="H96" s="11">
        <v>11</v>
      </c>
      <c r="I96" s="11" t="s">
        <v>952</v>
      </c>
      <c r="J96" s="11" t="s">
        <v>42</v>
      </c>
      <c r="K96" s="11">
        <f>Table1[[#This Row],[ENR]]-Table1[[#This Row],[CREDIT]]</f>
        <v>45500.819999999949</v>
      </c>
      <c r="L96" s="43">
        <v>500000</v>
      </c>
      <c r="M96" s="30">
        <v>545500.81999999995</v>
      </c>
      <c r="N96" s="44">
        <v>194020.48000000001</v>
      </c>
      <c r="O96" s="29">
        <v>351480.34</v>
      </c>
      <c r="P96" s="29">
        <v>306425.55</v>
      </c>
      <c r="Q96" s="29">
        <v>92110</v>
      </c>
      <c r="R96" s="29">
        <v>25410</v>
      </c>
      <c r="S96" s="11" t="s">
        <v>58</v>
      </c>
      <c r="T96" s="11" t="s">
        <v>13</v>
      </c>
      <c r="U96" s="11">
        <v>351480.34</v>
      </c>
      <c r="V96" s="29">
        <f>Table1[[#This Row],[STAB]]-Table1[[#This Row],[AMOUNT]]</f>
        <v>-326070.34000000003</v>
      </c>
      <c r="W96" s="11" t="s">
        <v>1645</v>
      </c>
      <c r="X96" s="11" t="s">
        <v>444</v>
      </c>
      <c r="Y96" s="11" t="s">
        <v>760</v>
      </c>
      <c r="Z96" s="12" t="s">
        <v>85</v>
      </c>
      <c r="AA96" s="12" t="s">
        <v>611</v>
      </c>
      <c r="AB96" s="11" t="s">
        <v>3139</v>
      </c>
      <c r="AC96" s="11" t="s">
        <v>1005</v>
      </c>
      <c r="AD96" s="11" t="s">
        <v>1057</v>
      </c>
      <c r="AE96" s="11" t="s">
        <v>604</v>
      </c>
      <c r="AF96" s="11" t="s">
        <v>439</v>
      </c>
      <c r="AG96" s="11" t="s">
        <v>63</v>
      </c>
      <c r="AH96" s="11" t="s">
        <v>467</v>
      </c>
      <c r="AI96" s="11">
        <v>801570488</v>
      </c>
      <c r="AJ96" s="11" t="s">
        <v>190</v>
      </c>
      <c r="AK96" s="11"/>
      <c r="AL96" s="11"/>
      <c r="AM96" s="12" t="s">
        <v>64</v>
      </c>
      <c r="AN96" s="11"/>
      <c r="AO96" s="11"/>
      <c r="AP96" s="11"/>
      <c r="AQ96" s="3">
        <v>45905</v>
      </c>
      <c r="AR96" s="11">
        <v>100000</v>
      </c>
      <c r="AS96" s="11" t="s">
        <v>436</v>
      </c>
      <c r="AT96" s="11" t="s">
        <v>1077</v>
      </c>
      <c r="AU96" s="2">
        <v>46171</v>
      </c>
    </row>
    <row r="97" spans="1:47" x14ac:dyDescent="0.25">
      <c r="A97" s="10" t="s">
        <v>858</v>
      </c>
      <c r="B97" s="11" t="s">
        <v>911</v>
      </c>
      <c r="C97" s="11">
        <v>0</v>
      </c>
      <c r="D97" s="11" t="s">
        <v>108</v>
      </c>
      <c r="E97" s="11"/>
      <c r="F97" s="11"/>
      <c r="G97" s="11" t="s">
        <v>52</v>
      </c>
      <c r="H97" s="11">
        <v>11</v>
      </c>
      <c r="I97" s="11" t="s">
        <v>964</v>
      </c>
      <c r="J97" s="11" t="s">
        <v>42</v>
      </c>
      <c r="K97" s="11">
        <f>Table1[[#This Row],[ENR]]-Table1[[#This Row],[CREDIT]]</f>
        <v>40780.520000000019</v>
      </c>
      <c r="L97" s="43">
        <v>365000</v>
      </c>
      <c r="M97" s="30">
        <v>405780.52</v>
      </c>
      <c r="N97" s="44" t="s">
        <v>43</v>
      </c>
      <c r="O97" s="29">
        <v>405780.52</v>
      </c>
      <c r="P97" s="29">
        <v>363510.45</v>
      </c>
      <c r="Q97" s="29">
        <v>115390</v>
      </c>
      <c r="R97" s="29">
        <v>63610</v>
      </c>
      <c r="S97" s="11" t="s">
        <v>58</v>
      </c>
      <c r="T97" s="11" t="s">
        <v>13</v>
      </c>
      <c r="U97" s="11">
        <v>405780.52</v>
      </c>
      <c r="V97" s="29">
        <f>Table1[[#This Row],[STAB]]-Table1[[#This Row],[AMOUNT]]</f>
        <v>-342170.52</v>
      </c>
      <c r="W97" s="11" t="s">
        <v>2294</v>
      </c>
      <c r="X97" s="11" t="s">
        <v>444</v>
      </c>
      <c r="Y97" s="11" t="s">
        <v>760</v>
      </c>
      <c r="Z97" s="11" t="s">
        <v>85</v>
      </c>
      <c r="AA97" s="11" t="s">
        <v>613</v>
      </c>
      <c r="AB97" s="11" t="s">
        <v>3141</v>
      </c>
      <c r="AC97" s="11" t="s">
        <v>1017</v>
      </c>
      <c r="AD97" s="11" t="s">
        <v>1069</v>
      </c>
      <c r="AE97" s="11" t="s">
        <v>414</v>
      </c>
      <c r="AF97" s="11" t="s">
        <v>127</v>
      </c>
      <c r="AG97" s="11" t="s">
        <v>106</v>
      </c>
      <c r="AH97" s="11" t="s">
        <v>460</v>
      </c>
      <c r="AI97" s="11">
        <v>802913252</v>
      </c>
      <c r="AJ97" s="11" t="s">
        <v>190</v>
      </c>
      <c r="AK97" s="11"/>
      <c r="AL97" s="11"/>
      <c r="AM97" s="12" t="s">
        <v>64</v>
      </c>
      <c r="AN97" s="11" t="s">
        <v>221</v>
      </c>
      <c r="AO97" s="11" t="s">
        <v>2176</v>
      </c>
      <c r="AP97" s="11" t="s">
        <v>2172</v>
      </c>
      <c r="AQ97" s="3">
        <v>46141</v>
      </c>
      <c r="AR97" s="11">
        <v>100</v>
      </c>
      <c r="AS97" s="11" t="s">
        <v>126</v>
      </c>
      <c r="AT97" s="11" t="s">
        <v>1077</v>
      </c>
      <c r="AU97" s="2">
        <v>46171</v>
      </c>
    </row>
    <row r="98" spans="1:47" x14ac:dyDescent="0.25">
      <c r="A98" s="10" t="s">
        <v>672</v>
      </c>
      <c r="B98" s="11" t="s">
        <v>673</v>
      </c>
      <c r="C98" s="11" t="s">
        <v>145</v>
      </c>
      <c r="D98" s="11" t="s">
        <v>108</v>
      </c>
      <c r="E98" s="11">
        <v>1</v>
      </c>
      <c r="F98" s="11"/>
      <c r="G98" s="11" t="s">
        <v>90</v>
      </c>
      <c r="H98" s="11">
        <v>11</v>
      </c>
      <c r="I98" s="11" t="s">
        <v>709</v>
      </c>
      <c r="J98" s="11" t="s">
        <v>42</v>
      </c>
      <c r="K98" s="11">
        <f>Table1[[#This Row],[ENR]]-Table1[[#This Row],[CREDIT]]</f>
        <v>9014.710000000021</v>
      </c>
      <c r="L98" s="43">
        <v>350000</v>
      </c>
      <c r="M98" s="30">
        <v>359014.71</v>
      </c>
      <c r="N98" s="44">
        <v>98080.24</v>
      </c>
      <c r="O98" s="29">
        <v>260934.47</v>
      </c>
      <c r="P98" s="29">
        <v>245570.56</v>
      </c>
      <c r="Q98" s="29">
        <v>56950</v>
      </c>
      <c r="R98" s="29">
        <v>33310</v>
      </c>
      <c r="S98" s="11" t="s">
        <v>44</v>
      </c>
      <c r="T98" s="11" t="s">
        <v>45</v>
      </c>
      <c r="U98" s="11">
        <v>0</v>
      </c>
      <c r="V98" s="29">
        <f>Table1[[#This Row],[STAB]]-Table1[[#This Row],[AMOUNT]]</f>
        <v>33310</v>
      </c>
      <c r="W98" s="11">
        <v>0</v>
      </c>
      <c r="X98" s="11" t="s">
        <v>83</v>
      </c>
      <c r="Y98" s="11">
        <v>0</v>
      </c>
      <c r="Z98" s="11" t="s">
        <v>85</v>
      </c>
      <c r="AA98" s="11" t="s">
        <v>447</v>
      </c>
      <c r="AB98" s="11" t="s">
        <v>3139</v>
      </c>
      <c r="AC98" s="11" t="s">
        <v>735</v>
      </c>
      <c r="AD98" s="11" t="s">
        <v>771</v>
      </c>
      <c r="AE98" s="11" t="s">
        <v>604</v>
      </c>
      <c r="AF98" s="11" t="s">
        <v>439</v>
      </c>
      <c r="AG98" s="11" t="s">
        <v>63</v>
      </c>
      <c r="AH98" s="11" t="s">
        <v>467</v>
      </c>
      <c r="AI98" s="11">
        <v>801570488</v>
      </c>
      <c r="AJ98" s="11" t="s">
        <v>190</v>
      </c>
      <c r="AK98" s="11"/>
      <c r="AL98" s="11"/>
      <c r="AM98" s="12" t="s">
        <v>64</v>
      </c>
      <c r="AN98" s="11" t="s">
        <v>446</v>
      </c>
      <c r="AO98" s="11" t="s">
        <v>1513</v>
      </c>
      <c r="AP98" s="11" t="s">
        <v>1497</v>
      </c>
      <c r="AQ98" s="3">
        <v>46078</v>
      </c>
      <c r="AR98" s="11">
        <v>4900</v>
      </c>
      <c r="AS98" s="11" t="s">
        <v>48</v>
      </c>
      <c r="AT98" s="11" t="s">
        <v>748</v>
      </c>
      <c r="AU98" s="2">
        <v>46171</v>
      </c>
    </row>
    <row r="99" spans="1:47" x14ac:dyDescent="0.25">
      <c r="A99" s="10" t="s">
        <v>837</v>
      </c>
      <c r="B99" s="11" t="s">
        <v>890</v>
      </c>
      <c r="C99" s="11">
        <v>0</v>
      </c>
      <c r="D99" s="11" t="s">
        <v>132</v>
      </c>
      <c r="E99" s="11">
        <v>1</v>
      </c>
      <c r="F99" s="11" t="s">
        <v>440</v>
      </c>
      <c r="G99" s="11" t="s">
        <v>52</v>
      </c>
      <c r="H99" s="11">
        <v>11</v>
      </c>
      <c r="I99" s="11" t="s">
        <v>943</v>
      </c>
      <c r="J99" s="11" t="s">
        <v>42</v>
      </c>
      <c r="K99" s="11">
        <f>Table1[[#This Row],[ENR]]-Table1[[#This Row],[CREDIT]]</f>
        <v>-6423.8499999999767</v>
      </c>
      <c r="L99" s="43">
        <v>290000</v>
      </c>
      <c r="M99" s="30">
        <v>283576.15000000002</v>
      </c>
      <c r="N99" s="44" t="s">
        <v>43</v>
      </c>
      <c r="O99" s="29">
        <v>283576.15000000002</v>
      </c>
      <c r="P99" s="29">
        <v>261142.65</v>
      </c>
      <c r="Q99" s="11">
        <v>47900</v>
      </c>
      <c r="R99" s="29">
        <v>13060</v>
      </c>
      <c r="S99" s="11" t="s">
        <v>44</v>
      </c>
      <c r="T99" s="11" t="s">
        <v>45</v>
      </c>
      <c r="U99" s="11">
        <v>0</v>
      </c>
      <c r="V99" s="29">
        <f>Table1[[#This Row],[STAB]]-Table1[[#This Row],[AMOUNT]]</f>
        <v>13060</v>
      </c>
      <c r="W99" s="11">
        <v>0</v>
      </c>
      <c r="X99" s="11" t="s">
        <v>83</v>
      </c>
      <c r="Y99" s="11">
        <v>0</v>
      </c>
      <c r="Z99" s="11" t="s">
        <v>85</v>
      </c>
      <c r="AA99" s="11" t="s">
        <v>612</v>
      </c>
      <c r="AB99" s="11" t="e">
        <v>#N/A</v>
      </c>
      <c r="AC99" s="11" t="s">
        <v>996</v>
      </c>
      <c r="AD99" s="11" t="s">
        <v>1049</v>
      </c>
      <c r="AE99" s="11" t="s">
        <v>414</v>
      </c>
      <c r="AF99" s="11" t="s">
        <v>127</v>
      </c>
      <c r="AG99" s="11" t="s">
        <v>106</v>
      </c>
      <c r="AH99" s="11" t="s">
        <v>460</v>
      </c>
      <c r="AI99" s="11">
        <v>802913252</v>
      </c>
      <c r="AJ99" s="11" t="s">
        <v>190</v>
      </c>
      <c r="AK99" s="11"/>
      <c r="AL99" s="11"/>
      <c r="AM99" s="12" t="s">
        <v>46</v>
      </c>
      <c r="AN99" s="11"/>
      <c r="AO99" s="11"/>
      <c r="AP99" s="11"/>
      <c r="AQ99" s="3">
        <v>46083</v>
      </c>
      <c r="AR99" s="11">
        <v>3682.68</v>
      </c>
      <c r="AS99" s="11" t="s">
        <v>48</v>
      </c>
      <c r="AT99" s="11" t="s">
        <v>1077</v>
      </c>
      <c r="AU99" s="2">
        <v>46171</v>
      </c>
    </row>
    <row r="100" spans="1:47" x14ac:dyDescent="0.25">
      <c r="A100" s="10" t="s">
        <v>836</v>
      </c>
      <c r="B100" s="11" t="s">
        <v>889</v>
      </c>
      <c r="C100" s="11">
        <v>0</v>
      </c>
      <c r="D100" s="11" t="s">
        <v>108</v>
      </c>
      <c r="E100" s="11"/>
      <c r="F100" s="11"/>
      <c r="G100" s="11" t="s">
        <v>52</v>
      </c>
      <c r="H100" s="11">
        <v>11</v>
      </c>
      <c r="I100" s="11" t="s">
        <v>942</v>
      </c>
      <c r="J100" s="11" t="s">
        <v>42</v>
      </c>
      <c r="K100" s="11">
        <f>Table1[[#This Row],[ENR]]-Table1[[#This Row],[CREDIT]]</f>
        <v>80549.289999999979</v>
      </c>
      <c r="L100" s="43">
        <v>200000</v>
      </c>
      <c r="M100" s="30">
        <v>280549.28999999998</v>
      </c>
      <c r="N100" s="44">
        <v>54696.06</v>
      </c>
      <c r="O100" s="29">
        <v>225853.23</v>
      </c>
      <c r="P100" s="29">
        <v>203537.5</v>
      </c>
      <c r="Q100" s="29">
        <v>68220</v>
      </c>
      <c r="R100" s="29">
        <v>27790</v>
      </c>
      <c r="S100" s="11" t="s">
        <v>58</v>
      </c>
      <c r="T100" s="11" t="s">
        <v>13</v>
      </c>
      <c r="U100" s="29">
        <v>225853.23</v>
      </c>
      <c r="V100" s="29">
        <f>Table1[[#This Row],[STAB]]-Table1[[#This Row],[AMOUNT]]</f>
        <v>-198063.23</v>
      </c>
      <c r="W100" s="11" t="s">
        <v>3129</v>
      </c>
      <c r="X100" s="11" t="s">
        <v>444</v>
      </c>
      <c r="Y100" s="11" t="s">
        <v>760</v>
      </c>
      <c r="Z100" s="11" t="s">
        <v>85</v>
      </c>
      <c r="AA100" s="11" t="s">
        <v>447</v>
      </c>
      <c r="AB100" s="11" t="s">
        <v>3139</v>
      </c>
      <c r="AC100" s="11" t="s">
        <v>995</v>
      </c>
      <c r="AD100" s="11" t="s">
        <v>1048</v>
      </c>
      <c r="AE100" s="11" t="s">
        <v>125</v>
      </c>
      <c r="AF100" s="11" t="s">
        <v>127</v>
      </c>
      <c r="AG100" s="11" t="s">
        <v>56</v>
      </c>
      <c r="AH100" s="11" t="s">
        <v>462</v>
      </c>
      <c r="AI100" s="11">
        <v>801448854</v>
      </c>
      <c r="AJ100" s="11" t="s">
        <v>191</v>
      </c>
      <c r="AK100" s="11"/>
      <c r="AL100" s="11"/>
      <c r="AM100" s="12" t="s">
        <v>64</v>
      </c>
      <c r="AN100" s="11" t="s">
        <v>115</v>
      </c>
      <c r="AO100" s="11" t="s">
        <v>3122</v>
      </c>
      <c r="AP100" s="11" t="s">
        <v>3119</v>
      </c>
      <c r="AQ100" s="3">
        <v>45472</v>
      </c>
      <c r="AR100" s="11">
        <v>42200</v>
      </c>
      <c r="AS100" s="11" t="s">
        <v>436</v>
      </c>
      <c r="AT100" s="11" t="s">
        <v>1077</v>
      </c>
      <c r="AU100" s="2">
        <v>46171</v>
      </c>
    </row>
    <row r="101" spans="1:47" x14ac:dyDescent="0.25">
      <c r="A101" s="10" t="s">
        <v>842</v>
      </c>
      <c r="B101" s="11" t="s">
        <v>895</v>
      </c>
      <c r="C101" s="11">
        <v>0</v>
      </c>
      <c r="D101" s="11" t="s">
        <v>108</v>
      </c>
      <c r="E101" s="11"/>
      <c r="F101" s="11"/>
      <c r="G101" s="11" t="s">
        <v>52</v>
      </c>
      <c r="H101" s="11">
        <v>11</v>
      </c>
      <c r="I101" s="11" t="s">
        <v>948</v>
      </c>
      <c r="J101" s="11" t="s">
        <v>42</v>
      </c>
      <c r="K101" s="11">
        <f>Table1[[#This Row],[ENR]]-Table1[[#This Row],[CREDIT]]</f>
        <v>16012.340000000026</v>
      </c>
      <c r="L101" s="43">
        <v>260000</v>
      </c>
      <c r="M101" s="30">
        <v>276012.34000000003</v>
      </c>
      <c r="N101" s="44">
        <v>66964.91</v>
      </c>
      <c r="O101" s="29">
        <v>209047.43</v>
      </c>
      <c r="P101" s="29">
        <v>190859.13</v>
      </c>
      <c r="Q101" s="29">
        <v>188570</v>
      </c>
      <c r="R101" s="29">
        <v>118760</v>
      </c>
      <c r="S101" s="11" t="s">
        <v>44</v>
      </c>
      <c r="T101" s="11" t="s">
        <v>45</v>
      </c>
      <c r="U101" s="11">
        <v>0</v>
      </c>
      <c r="V101" s="29">
        <f>Table1[[#This Row],[STAB]]-Table1[[#This Row],[AMOUNT]]</f>
        <v>118760</v>
      </c>
      <c r="W101" s="11">
        <v>0</v>
      </c>
      <c r="X101" s="11" t="s">
        <v>83</v>
      </c>
      <c r="Y101" s="11">
        <v>0</v>
      </c>
      <c r="Z101" s="11" t="s">
        <v>88</v>
      </c>
      <c r="AA101" s="11" t="s">
        <v>91</v>
      </c>
      <c r="AB101" s="11" t="s">
        <v>3139</v>
      </c>
      <c r="AC101" s="11" t="s">
        <v>1001</v>
      </c>
      <c r="AD101" s="11" t="s">
        <v>1053</v>
      </c>
      <c r="AE101" s="11" t="s">
        <v>218</v>
      </c>
      <c r="AF101" s="11" t="s">
        <v>84</v>
      </c>
      <c r="AG101" s="11" t="s">
        <v>107</v>
      </c>
      <c r="AH101" s="11" t="s">
        <v>88</v>
      </c>
      <c r="AI101" s="11">
        <v>801723195</v>
      </c>
      <c r="AJ101" s="11" t="s">
        <v>191</v>
      </c>
      <c r="AK101" s="11"/>
      <c r="AL101" s="11"/>
      <c r="AM101" s="12" t="s">
        <v>64</v>
      </c>
      <c r="AN101" s="11" t="s">
        <v>219</v>
      </c>
      <c r="AO101" s="11" t="s">
        <v>1531</v>
      </c>
      <c r="AP101" s="11" t="s">
        <v>1528</v>
      </c>
      <c r="AQ101" s="3">
        <v>46070</v>
      </c>
      <c r="AR101" s="11">
        <v>4000</v>
      </c>
      <c r="AS101" s="11" t="s">
        <v>1075</v>
      </c>
      <c r="AT101" s="11" t="s">
        <v>1077</v>
      </c>
      <c r="AU101" s="2">
        <v>46171</v>
      </c>
    </row>
    <row r="102" spans="1:47" x14ac:dyDescent="0.25">
      <c r="A102" s="45" t="s">
        <v>829</v>
      </c>
      <c r="B102" s="12" t="s">
        <v>882</v>
      </c>
      <c r="C102" s="11">
        <v>0</v>
      </c>
      <c r="D102" s="11" t="s">
        <v>108</v>
      </c>
      <c r="E102" s="12"/>
      <c r="F102" s="12"/>
      <c r="G102" s="11" t="s">
        <v>52</v>
      </c>
      <c r="H102" s="12">
        <v>11</v>
      </c>
      <c r="I102" s="12" t="s">
        <v>935</v>
      </c>
      <c r="J102" s="11" t="s">
        <v>42</v>
      </c>
      <c r="K102" s="12">
        <f>Table1[[#This Row],[ENR]]-Table1[[#This Row],[CREDIT]]</f>
        <v>-25960.859999999986</v>
      </c>
      <c r="L102" s="46">
        <v>290000</v>
      </c>
      <c r="M102" s="47">
        <v>264039.14</v>
      </c>
      <c r="N102" s="48">
        <v>66929.429999999993</v>
      </c>
      <c r="O102" s="49">
        <v>197109.71</v>
      </c>
      <c r="P102" s="49">
        <v>176039.16</v>
      </c>
      <c r="Q102" s="29">
        <v>54020</v>
      </c>
      <c r="R102" s="29">
        <v>22410</v>
      </c>
      <c r="S102" s="11" t="s">
        <v>58</v>
      </c>
      <c r="T102" s="11" t="s">
        <v>13</v>
      </c>
      <c r="U102" s="11">
        <v>197109.71</v>
      </c>
      <c r="V102" s="49">
        <f>Table1[[#This Row],[STAB]]-Table1[[#This Row],[AMOUNT]]</f>
        <v>-174699.71</v>
      </c>
      <c r="W102" s="11" t="s">
        <v>2172</v>
      </c>
      <c r="X102" s="11" t="s">
        <v>444</v>
      </c>
      <c r="Y102" s="11" t="s">
        <v>760</v>
      </c>
      <c r="Z102" s="12" t="s">
        <v>85</v>
      </c>
      <c r="AA102" s="11" t="s">
        <v>447</v>
      </c>
      <c r="AB102" s="12" t="s">
        <v>3139</v>
      </c>
      <c r="AC102" s="12" t="s">
        <v>988</v>
      </c>
      <c r="AD102" s="12" t="s">
        <v>1041</v>
      </c>
      <c r="AE102" s="12" t="s">
        <v>603</v>
      </c>
      <c r="AF102" s="12" t="s">
        <v>53</v>
      </c>
      <c r="AG102" s="12" t="s">
        <v>89</v>
      </c>
      <c r="AH102" s="11" t="s">
        <v>193</v>
      </c>
      <c r="AI102" s="11">
        <v>802824019</v>
      </c>
      <c r="AJ102" s="11" t="s">
        <v>189</v>
      </c>
      <c r="AK102" s="12"/>
      <c r="AL102" s="12"/>
      <c r="AM102" s="12" t="s">
        <v>64</v>
      </c>
      <c r="AN102" s="12"/>
      <c r="AO102" s="12"/>
      <c r="AP102" s="12"/>
      <c r="AQ102" s="50">
        <v>45496</v>
      </c>
      <c r="AR102" s="12">
        <v>21014.27</v>
      </c>
      <c r="AS102" s="12" t="s">
        <v>1073</v>
      </c>
      <c r="AT102" s="11" t="s">
        <v>1077</v>
      </c>
      <c r="AU102" s="51">
        <v>46171</v>
      </c>
    </row>
    <row r="103" spans="1:47" x14ac:dyDescent="0.25">
      <c r="A103" s="45" t="s">
        <v>848</v>
      </c>
      <c r="B103" s="12" t="s">
        <v>901</v>
      </c>
      <c r="C103" s="11">
        <v>0</v>
      </c>
      <c r="D103" s="11" t="s">
        <v>108</v>
      </c>
      <c r="E103" s="12"/>
      <c r="F103" s="12"/>
      <c r="G103" s="11" t="s">
        <v>90</v>
      </c>
      <c r="H103" s="12">
        <v>11</v>
      </c>
      <c r="I103" s="12" t="s">
        <v>954</v>
      </c>
      <c r="J103" s="12" t="s">
        <v>791</v>
      </c>
      <c r="K103" s="12">
        <f>Table1[[#This Row],[ENR]]-Table1[[#This Row],[CREDIT]]</f>
        <v>-238664.3</v>
      </c>
      <c r="L103" s="46">
        <v>500000</v>
      </c>
      <c r="M103" s="47">
        <v>261335.7</v>
      </c>
      <c r="N103" s="48" t="s">
        <v>43</v>
      </c>
      <c r="O103" s="49">
        <v>261335.7</v>
      </c>
      <c r="P103" s="49">
        <v>249896.41</v>
      </c>
      <c r="Q103" s="29">
        <v>28250</v>
      </c>
      <c r="R103" s="29">
        <v>14230</v>
      </c>
      <c r="S103" s="11" t="s">
        <v>58</v>
      </c>
      <c r="T103" s="11" t="s">
        <v>14</v>
      </c>
      <c r="U103" s="29">
        <v>14431</v>
      </c>
      <c r="V103" s="49">
        <f>Table1[[#This Row],[STAB]]-Table1[[#This Row],[AMOUNT]]</f>
        <v>-201</v>
      </c>
      <c r="W103" s="11" t="s">
        <v>3129</v>
      </c>
      <c r="X103" s="11" t="s">
        <v>451</v>
      </c>
      <c r="Y103" s="11" t="s">
        <v>760</v>
      </c>
      <c r="Z103" s="11" t="s">
        <v>85</v>
      </c>
      <c r="AA103" s="11" t="s">
        <v>613</v>
      </c>
      <c r="AB103" s="12" t="s">
        <v>3139</v>
      </c>
      <c r="AC103" s="12" t="s">
        <v>1007</v>
      </c>
      <c r="AD103" s="12" t="s">
        <v>1059</v>
      </c>
      <c r="AE103" s="12" t="s">
        <v>123</v>
      </c>
      <c r="AF103" s="12" t="s">
        <v>127</v>
      </c>
      <c r="AG103" s="12" t="s">
        <v>96</v>
      </c>
      <c r="AH103" s="12" t="s">
        <v>461</v>
      </c>
      <c r="AI103" s="12">
        <v>801436997</v>
      </c>
      <c r="AJ103" s="12" t="s">
        <v>190</v>
      </c>
      <c r="AK103" s="12"/>
      <c r="AL103" s="12"/>
      <c r="AM103" s="12" t="s">
        <v>64</v>
      </c>
      <c r="AN103" s="12" t="s">
        <v>115</v>
      </c>
      <c r="AO103" s="12" t="s">
        <v>3146</v>
      </c>
      <c r="AP103" s="12" t="s">
        <v>3129</v>
      </c>
      <c r="AQ103" s="50">
        <v>46091</v>
      </c>
      <c r="AR103" s="12">
        <v>15000</v>
      </c>
      <c r="AS103" s="12" t="s">
        <v>436</v>
      </c>
      <c r="AT103" s="12" t="s">
        <v>1077</v>
      </c>
      <c r="AU103" s="51">
        <v>46171</v>
      </c>
    </row>
    <row r="104" spans="1:47" x14ac:dyDescent="0.25">
      <c r="A104" s="10" t="s">
        <v>851</v>
      </c>
      <c r="B104" s="11" t="s">
        <v>904</v>
      </c>
      <c r="C104" s="11">
        <v>0</v>
      </c>
      <c r="D104" s="11" t="s">
        <v>108</v>
      </c>
      <c r="E104" s="11"/>
      <c r="F104" s="11"/>
      <c r="G104" s="11" t="s">
        <v>52</v>
      </c>
      <c r="H104" s="11">
        <v>11</v>
      </c>
      <c r="I104" s="11" t="s">
        <v>957</v>
      </c>
      <c r="J104" s="11" t="s">
        <v>42</v>
      </c>
      <c r="K104" s="11">
        <f>Table1[[#This Row],[ENR]]-Table1[[#This Row],[CREDIT]]</f>
        <v>18718.579999999987</v>
      </c>
      <c r="L104" s="43">
        <v>240000</v>
      </c>
      <c r="M104" s="30">
        <v>258718.58</v>
      </c>
      <c r="N104" s="44">
        <v>123786.11</v>
      </c>
      <c r="O104" s="29">
        <v>134932.47</v>
      </c>
      <c r="P104" s="29">
        <v>112922.74</v>
      </c>
      <c r="Q104" s="29">
        <v>74030</v>
      </c>
      <c r="R104" s="29">
        <v>38610</v>
      </c>
      <c r="S104" s="11" t="s">
        <v>44</v>
      </c>
      <c r="T104" s="11" t="s">
        <v>45</v>
      </c>
      <c r="U104" s="11">
        <v>0</v>
      </c>
      <c r="V104" s="29">
        <f>Table1[[#This Row],[STAB]]-Table1[[#This Row],[AMOUNT]]</f>
        <v>38610</v>
      </c>
      <c r="W104" s="11">
        <v>0</v>
      </c>
      <c r="X104" s="11" t="s">
        <v>83</v>
      </c>
      <c r="Y104" s="11">
        <v>0</v>
      </c>
      <c r="Z104" s="12" t="s">
        <v>85</v>
      </c>
      <c r="AA104" s="12" t="s">
        <v>612</v>
      </c>
      <c r="AB104" s="11" t="s">
        <v>3139</v>
      </c>
      <c r="AC104" s="11" t="s">
        <v>1010</v>
      </c>
      <c r="AD104" s="11" t="s">
        <v>1062</v>
      </c>
      <c r="AE104" s="11" t="s">
        <v>103</v>
      </c>
      <c r="AF104" s="11" t="s">
        <v>53</v>
      </c>
      <c r="AG104" s="12" t="s">
        <v>188</v>
      </c>
      <c r="AH104" s="12" t="s">
        <v>194</v>
      </c>
      <c r="AI104" s="11">
        <v>802823180</v>
      </c>
      <c r="AJ104" s="11" t="s">
        <v>191</v>
      </c>
      <c r="AK104" s="11"/>
      <c r="AL104" s="11"/>
      <c r="AM104" s="12" t="s">
        <v>46</v>
      </c>
      <c r="AN104" s="11"/>
      <c r="AO104" s="11"/>
      <c r="AP104" s="11"/>
      <c r="AQ104" s="3">
        <v>46024</v>
      </c>
      <c r="AR104" s="11">
        <v>50000</v>
      </c>
      <c r="AS104" s="11" t="s">
        <v>436</v>
      </c>
      <c r="AT104" s="12" t="s">
        <v>1077</v>
      </c>
      <c r="AU104" s="2">
        <v>46171</v>
      </c>
    </row>
    <row r="105" spans="1:47" x14ac:dyDescent="0.25">
      <c r="A105" s="10" t="s">
        <v>830</v>
      </c>
      <c r="B105" s="11" t="s">
        <v>883</v>
      </c>
      <c r="C105" s="11">
        <v>0</v>
      </c>
      <c r="D105" s="11" t="s">
        <v>108</v>
      </c>
      <c r="E105" s="11"/>
      <c r="F105" s="11"/>
      <c r="G105" s="11" t="s">
        <v>52</v>
      </c>
      <c r="H105" s="11">
        <v>11</v>
      </c>
      <c r="I105" s="11" t="s">
        <v>936</v>
      </c>
      <c r="J105" s="11" t="s">
        <v>42</v>
      </c>
      <c r="K105" s="11">
        <f>Table1[[#This Row],[ENR]]-Table1[[#This Row],[CREDIT]]</f>
        <v>3759.6499999999942</v>
      </c>
      <c r="L105" s="43">
        <v>230000</v>
      </c>
      <c r="M105" s="30">
        <v>233759.65</v>
      </c>
      <c r="N105" s="44">
        <v>39940.410000000003</v>
      </c>
      <c r="O105" s="29">
        <v>193819.24</v>
      </c>
      <c r="P105" s="29">
        <v>174433.9</v>
      </c>
      <c r="Q105" s="29">
        <v>48580</v>
      </c>
      <c r="R105" s="29">
        <v>20750</v>
      </c>
      <c r="S105" s="11" t="s">
        <v>58</v>
      </c>
      <c r="T105" s="11" t="s">
        <v>13</v>
      </c>
      <c r="U105" s="11">
        <v>50000</v>
      </c>
      <c r="V105" s="29">
        <f>Table1[[#This Row],[STAB]]-Table1[[#This Row],[AMOUNT]]</f>
        <v>-29250</v>
      </c>
      <c r="W105" s="11" t="s">
        <v>2296</v>
      </c>
      <c r="X105" s="11" t="s">
        <v>444</v>
      </c>
      <c r="Y105" s="11" t="s">
        <v>760</v>
      </c>
      <c r="Z105" s="12" t="s">
        <v>85</v>
      </c>
      <c r="AA105" s="12" t="s">
        <v>611</v>
      </c>
      <c r="AB105" s="11" t="s">
        <v>3139</v>
      </c>
      <c r="AC105" s="11" t="s">
        <v>989</v>
      </c>
      <c r="AD105" s="11" t="s">
        <v>1042</v>
      </c>
      <c r="AE105" s="11" t="s">
        <v>420</v>
      </c>
      <c r="AF105" s="11" t="s">
        <v>54</v>
      </c>
      <c r="AG105" s="12" t="s">
        <v>120</v>
      </c>
      <c r="AH105" s="12" t="s">
        <v>463</v>
      </c>
      <c r="AI105" s="11">
        <v>802898520</v>
      </c>
      <c r="AJ105" s="11" t="s">
        <v>190</v>
      </c>
      <c r="AK105" s="11"/>
      <c r="AL105" s="11"/>
      <c r="AM105" s="12" t="s">
        <v>64</v>
      </c>
      <c r="AN105" s="11" t="s">
        <v>219</v>
      </c>
      <c r="AO105" s="11" t="s">
        <v>1656</v>
      </c>
      <c r="AP105" s="11" t="s">
        <v>1645</v>
      </c>
      <c r="AQ105" s="3">
        <v>45477</v>
      </c>
      <c r="AR105" s="11">
        <v>9890</v>
      </c>
      <c r="AS105" s="11" t="s">
        <v>436</v>
      </c>
      <c r="AT105" s="12" t="s">
        <v>1077</v>
      </c>
      <c r="AU105" s="2">
        <v>46171</v>
      </c>
    </row>
    <row r="106" spans="1:47" x14ac:dyDescent="0.25">
      <c r="A106" s="10" t="s">
        <v>807</v>
      </c>
      <c r="B106" s="11" t="s">
        <v>860</v>
      </c>
      <c r="C106" s="11">
        <v>0</v>
      </c>
      <c r="D106" s="11" t="s">
        <v>108</v>
      </c>
      <c r="E106" s="11"/>
      <c r="F106" s="11"/>
      <c r="G106" s="11" t="s">
        <v>52</v>
      </c>
      <c r="H106" s="11">
        <v>11</v>
      </c>
      <c r="I106" s="11" t="s">
        <v>913</v>
      </c>
      <c r="J106" s="11" t="s">
        <v>42</v>
      </c>
      <c r="K106" s="11">
        <f>Table1[[#This Row],[ENR]]-Table1[[#This Row],[CREDIT]]</f>
        <v>8842.8399999999965</v>
      </c>
      <c r="L106" s="43">
        <v>210000</v>
      </c>
      <c r="M106" s="30">
        <v>218842.84</v>
      </c>
      <c r="N106" s="44">
        <v>175354.81</v>
      </c>
      <c r="O106" s="29">
        <v>43488.03</v>
      </c>
      <c r="P106" s="29">
        <v>32069.360000000001</v>
      </c>
      <c r="Q106" s="29">
        <v>43488.03</v>
      </c>
      <c r="R106" s="29">
        <v>22090.240000000002</v>
      </c>
      <c r="S106" s="11" t="s">
        <v>44</v>
      </c>
      <c r="T106" s="11" t="s">
        <v>45</v>
      </c>
      <c r="U106" s="11">
        <v>0</v>
      </c>
      <c r="V106" s="29">
        <f>Table1[[#This Row],[STAB]]-Table1[[#This Row],[AMOUNT]]</f>
        <v>22090.240000000002</v>
      </c>
      <c r="W106" s="11">
        <v>0</v>
      </c>
      <c r="X106" s="11" t="s">
        <v>83</v>
      </c>
      <c r="Y106" s="11">
        <v>0</v>
      </c>
      <c r="Z106" s="11" t="s">
        <v>85</v>
      </c>
      <c r="AA106" s="11" t="s">
        <v>447</v>
      </c>
      <c r="AB106" s="11" t="s">
        <v>3139</v>
      </c>
      <c r="AC106" s="11" t="s">
        <v>966</v>
      </c>
      <c r="AD106" s="11" t="s">
        <v>1019</v>
      </c>
      <c r="AE106" s="11" t="s">
        <v>103</v>
      </c>
      <c r="AF106" s="11" t="s">
        <v>53</v>
      </c>
      <c r="AG106" s="12" t="s">
        <v>188</v>
      </c>
      <c r="AH106" s="12" t="s">
        <v>194</v>
      </c>
      <c r="AI106" s="11">
        <v>802823180</v>
      </c>
      <c r="AJ106" s="11" t="s">
        <v>191</v>
      </c>
      <c r="AK106" s="11"/>
      <c r="AL106" s="11"/>
      <c r="AM106" s="12" t="s">
        <v>64</v>
      </c>
      <c r="AN106" s="11" t="s">
        <v>219</v>
      </c>
      <c r="AO106" s="11" t="s">
        <v>2288</v>
      </c>
      <c r="AP106" s="11" t="s">
        <v>2172</v>
      </c>
      <c r="AQ106" s="3">
        <v>45461</v>
      </c>
      <c r="AR106" s="11">
        <v>50</v>
      </c>
      <c r="AS106" s="11" t="s">
        <v>48</v>
      </c>
      <c r="AT106" s="12" t="s">
        <v>1077</v>
      </c>
      <c r="AU106" s="2">
        <v>46171</v>
      </c>
    </row>
    <row r="107" spans="1:47" x14ac:dyDescent="0.25">
      <c r="A107" s="10" t="s">
        <v>839</v>
      </c>
      <c r="B107" s="11" t="s">
        <v>892</v>
      </c>
      <c r="C107" s="11">
        <v>0</v>
      </c>
      <c r="D107" s="11" t="s">
        <v>108</v>
      </c>
      <c r="E107" s="11"/>
      <c r="F107" s="11"/>
      <c r="G107" s="11" t="s">
        <v>52</v>
      </c>
      <c r="H107" s="11">
        <v>11</v>
      </c>
      <c r="I107" s="11" t="s">
        <v>945</v>
      </c>
      <c r="J107" s="11" t="s">
        <v>42</v>
      </c>
      <c r="K107" s="11">
        <f>Table1[[#This Row],[ENR]]-Table1[[#This Row],[CREDIT]]</f>
        <v>9013.7300000000105</v>
      </c>
      <c r="L107" s="43">
        <v>200000</v>
      </c>
      <c r="M107" s="30">
        <v>209013.73</v>
      </c>
      <c r="N107" s="44">
        <v>133598.6</v>
      </c>
      <c r="O107" s="29">
        <v>75415.13</v>
      </c>
      <c r="P107" s="29">
        <v>66254.990000000005</v>
      </c>
      <c r="Q107" s="29">
        <v>24790</v>
      </c>
      <c r="R107" s="29">
        <v>7580</v>
      </c>
      <c r="S107" s="11" t="s">
        <v>44</v>
      </c>
      <c r="T107" s="11" t="s">
        <v>45</v>
      </c>
      <c r="U107" s="11">
        <v>0</v>
      </c>
      <c r="V107" s="29">
        <f>Table1[[#This Row],[STAB]]-Table1[[#This Row],[AMOUNT]]</f>
        <v>7580</v>
      </c>
      <c r="W107" s="11">
        <v>0</v>
      </c>
      <c r="X107" s="11" t="s">
        <v>83</v>
      </c>
      <c r="Y107" s="11">
        <v>0</v>
      </c>
      <c r="Z107" s="11" t="s">
        <v>88</v>
      </c>
      <c r="AA107" s="11" t="s">
        <v>91</v>
      </c>
      <c r="AB107" s="11" t="s">
        <v>3141</v>
      </c>
      <c r="AC107" s="11" t="s">
        <v>998</v>
      </c>
      <c r="AD107" s="11" t="s">
        <v>1026</v>
      </c>
      <c r="AE107" s="11" t="s">
        <v>414</v>
      </c>
      <c r="AF107" s="11" t="s">
        <v>84</v>
      </c>
      <c r="AG107" s="12" t="s">
        <v>107</v>
      </c>
      <c r="AH107" s="12" t="s">
        <v>88</v>
      </c>
      <c r="AI107" s="11">
        <v>801723195</v>
      </c>
      <c r="AJ107" s="11" t="s">
        <v>191</v>
      </c>
      <c r="AK107" s="11"/>
      <c r="AL107" s="11"/>
      <c r="AM107" s="12" t="s">
        <v>64</v>
      </c>
      <c r="AN107" s="11" t="s">
        <v>115</v>
      </c>
      <c r="AO107" s="11" t="s">
        <v>2165</v>
      </c>
      <c r="AP107" s="11" t="s">
        <v>1667</v>
      </c>
      <c r="AQ107" s="3" t="s">
        <v>43</v>
      </c>
      <c r="AR107" s="11">
        <v>0</v>
      </c>
      <c r="AS107" s="11" t="s">
        <v>1073</v>
      </c>
      <c r="AT107" s="12" t="s">
        <v>1077</v>
      </c>
      <c r="AU107" s="2">
        <v>46171</v>
      </c>
    </row>
    <row r="108" spans="1:47" x14ac:dyDescent="0.25">
      <c r="A108" s="10" t="s">
        <v>835</v>
      </c>
      <c r="B108" s="11" t="s">
        <v>888</v>
      </c>
      <c r="C108" s="11">
        <v>0</v>
      </c>
      <c r="D108" s="11" t="s">
        <v>108</v>
      </c>
      <c r="E108" s="11"/>
      <c r="F108" s="11"/>
      <c r="G108" s="11" t="s">
        <v>52</v>
      </c>
      <c r="H108" s="11">
        <v>11</v>
      </c>
      <c r="I108" s="11" t="s">
        <v>941</v>
      </c>
      <c r="J108" s="11" t="s">
        <v>42</v>
      </c>
      <c r="K108" s="11">
        <f>Table1[[#This Row],[ENR]]-Table1[[#This Row],[CREDIT]]</f>
        <v>8480.2099999999919</v>
      </c>
      <c r="L108" s="43">
        <v>200000</v>
      </c>
      <c r="M108" s="30">
        <v>208480.21</v>
      </c>
      <c r="N108" s="44" t="s">
        <v>43</v>
      </c>
      <c r="O108" s="29">
        <v>208480.21</v>
      </c>
      <c r="P108" s="29">
        <v>197867.6</v>
      </c>
      <c r="Q108" s="29">
        <v>30290</v>
      </c>
      <c r="R108" s="29">
        <v>9410</v>
      </c>
      <c r="S108" s="11" t="s">
        <v>58</v>
      </c>
      <c r="T108" s="11" t="s">
        <v>14</v>
      </c>
      <c r="U108" s="29">
        <v>9460</v>
      </c>
      <c r="V108" s="29">
        <f>Table1[[#This Row],[STAB]]-Table1[[#This Row],[AMOUNT]]</f>
        <v>-50</v>
      </c>
      <c r="W108" s="11" t="s">
        <v>756</v>
      </c>
      <c r="X108" s="11" t="s">
        <v>451</v>
      </c>
      <c r="Y108" s="11" t="s">
        <v>1084</v>
      </c>
      <c r="Z108" s="12" t="s">
        <v>85</v>
      </c>
      <c r="AA108" s="12" t="s">
        <v>611</v>
      </c>
      <c r="AB108" s="11" t="s">
        <v>3139</v>
      </c>
      <c r="AC108" s="11" t="s">
        <v>994</v>
      </c>
      <c r="AD108" s="11" t="s">
        <v>1047</v>
      </c>
      <c r="AE108" s="11" t="s">
        <v>100</v>
      </c>
      <c r="AF108" s="11" t="s">
        <v>54</v>
      </c>
      <c r="AG108" s="12" t="s">
        <v>60</v>
      </c>
      <c r="AH108" s="11" t="s">
        <v>193</v>
      </c>
      <c r="AI108" s="11">
        <v>802824019</v>
      </c>
      <c r="AJ108" s="11" t="s">
        <v>189</v>
      </c>
      <c r="AK108" s="11"/>
      <c r="AL108" s="11"/>
      <c r="AM108" s="12" t="s">
        <v>64</v>
      </c>
      <c r="AN108" s="11"/>
      <c r="AO108" s="11"/>
      <c r="AP108" s="11"/>
      <c r="AQ108" s="3">
        <v>46114</v>
      </c>
      <c r="AR108" s="11">
        <v>500</v>
      </c>
      <c r="AS108" s="11" t="s">
        <v>48</v>
      </c>
      <c r="AT108" s="12" t="s">
        <v>1077</v>
      </c>
      <c r="AU108" s="2">
        <v>46171</v>
      </c>
    </row>
    <row r="109" spans="1:47" x14ac:dyDescent="0.25">
      <c r="A109" s="10" t="s">
        <v>844</v>
      </c>
      <c r="B109" s="11" t="s">
        <v>897</v>
      </c>
      <c r="C109" s="11">
        <v>0</v>
      </c>
      <c r="D109" s="11" t="s">
        <v>108</v>
      </c>
      <c r="E109" s="11"/>
      <c r="F109" s="11"/>
      <c r="G109" s="11" t="s">
        <v>52</v>
      </c>
      <c r="H109" s="11">
        <v>11</v>
      </c>
      <c r="I109" s="11" t="s">
        <v>950</v>
      </c>
      <c r="J109" s="11" t="s">
        <v>42</v>
      </c>
      <c r="K109" s="11">
        <f>Table1[[#This Row],[ENR]]-Table1[[#This Row],[CREDIT]]</f>
        <v>3320.3800000000047</v>
      </c>
      <c r="L109" s="43">
        <v>200000</v>
      </c>
      <c r="M109" s="30">
        <v>203320.38</v>
      </c>
      <c r="N109" s="44">
        <v>32739.05</v>
      </c>
      <c r="O109" s="29">
        <v>170581.33</v>
      </c>
      <c r="P109" s="29">
        <v>162489.37</v>
      </c>
      <c r="Q109" s="29">
        <v>33280</v>
      </c>
      <c r="R109" s="29">
        <v>15838</v>
      </c>
      <c r="S109" s="11" t="s">
        <v>58</v>
      </c>
      <c r="T109" s="11" t="s">
        <v>13</v>
      </c>
      <c r="U109" s="11">
        <v>170581.33</v>
      </c>
      <c r="V109" s="29">
        <f>Table1[[#This Row],[STAB]]-Table1[[#This Row],[AMOUNT]]</f>
        <v>-154743.32999999999</v>
      </c>
      <c r="W109" s="11" t="s">
        <v>2172</v>
      </c>
      <c r="X109" s="11" t="s">
        <v>444</v>
      </c>
      <c r="Y109" s="11" t="s">
        <v>1085</v>
      </c>
      <c r="Z109" s="11" t="s">
        <v>85</v>
      </c>
      <c r="AA109" s="11" t="s">
        <v>447</v>
      </c>
      <c r="AB109" s="11" t="s">
        <v>3139</v>
      </c>
      <c r="AC109" s="11" t="s">
        <v>1003</v>
      </c>
      <c r="AD109" s="11" t="s">
        <v>1055</v>
      </c>
      <c r="AE109" s="11" t="s">
        <v>426</v>
      </c>
      <c r="AF109" s="11" t="s">
        <v>439</v>
      </c>
      <c r="AG109" s="12" t="s">
        <v>63</v>
      </c>
      <c r="AH109" s="12" t="s">
        <v>467</v>
      </c>
      <c r="AI109" s="11">
        <v>801570488</v>
      </c>
      <c r="AJ109" s="11" t="s">
        <v>190</v>
      </c>
      <c r="AK109" s="11"/>
      <c r="AL109" s="11"/>
      <c r="AM109" s="12" t="s">
        <v>64</v>
      </c>
      <c r="AN109" s="11" t="s">
        <v>219</v>
      </c>
      <c r="AO109" s="11" t="s">
        <v>1660</v>
      </c>
      <c r="AP109" s="11" t="s">
        <v>1645</v>
      </c>
      <c r="AQ109" s="3">
        <v>46091</v>
      </c>
      <c r="AR109" s="11">
        <v>20000</v>
      </c>
      <c r="AS109" s="11" t="s">
        <v>437</v>
      </c>
      <c r="AT109" s="12" t="s">
        <v>1077</v>
      </c>
      <c r="AU109" s="2">
        <v>46171</v>
      </c>
    </row>
    <row r="110" spans="1:47" x14ac:dyDescent="0.25">
      <c r="A110" s="10" t="s">
        <v>834</v>
      </c>
      <c r="B110" s="11" t="s">
        <v>887</v>
      </c>
      <c r="C110" s="11">
        <v>0</v>
      </c>
      <c r="D110" s="11" t="s">
        <v>108</v>
      </c>
      <c r="E110" s="11"/>
      <c r="F110" s="11"/>
      <c r="G110" s="11" t="s">
        <v>52</v>
      </c>
      <c r="H110" s="11">
        <v>11</v>
      </c>
      <c r="I110" s="11" t="s">
        <v>940</v>
      </c>
      <c r="J110" s="11" t="s">
        <v>42</v>
      </c>
      <c r="K110" s="11">
        <f>Table1[[#This Row],[ENR]]-Table1[[#This Row],[CREDIT]]</f>
        <v>9657.929999999993</v>
      </c>
      <c r="L110" s="43">
        <v>190000</v>
      </c>
      <c r="M110" s="30">
        <v>199657.93</v>
      </c>
      <c r="N110" s="44" t="s">
        <v>43</v>
      </c>
      <c r="O110" s="29">
        <v>199657.93</v>
      </c>
      <c r="P110" s="29">
        <v>180688.74</v>
      </c>
      <c r="Q110" s="29">
        <v>39720</v>
      </c>
      <c r="R110" s="29">
        <v>11960</v>
      </c>
      <c r="S110" s="11" t="s">
        <v>58</v>
      </c>
      <c r="T110" s="11" t="s">
        <v>14</v>
      </c>
      <c r="U110" s="29">
        <v>12000</v>
      </c>
      <c r="V110" s="29">
        <f>Table1[[#This Row],[STAB]]-Table1[[#This Row],[AMOUNT]]</f>
        <v>-40</v>
      </c>
      <c r="W110" s="11" t="s">
        <v>2296</v>
      </c>
      <c r="X110" s="11" t="s">
        <v>451</v>
      </c>
      <c r="Y110" s="11" t="s">
        <v>1085</v>
      </c>
      <c r="Z110" s="11" t="s">
        <v>85</v>
      </c>
      <c r="AA110" s="11" t="s">
        <v>613</v>
      </c>
      <c r="AB110" s="11" t="s">
        <v>3139</v>
      </c>
      <c r="AC110" s="11" t="s">
        <v>993</v>
      </c>
      <c r="AD110" s="11" t="s">
        <v>1046</v>
      </c>
      <c r="AE110" s="11" t="s">
        <v>104</v>
      </c>
      <c r="AF110" s="11" t="s">
        <v>54</v>
      </c>
      <c r="AG110" s="12" t="s">
        <v>610</v>
      </c>
      <c r="AH110" s="12" t="s">
        <v>627</v>
      </c>
      <c r="AI110" s="11">
        <v>801772792</v>
      </c>
      <c r="AJ110" s="11" t="s">
        <v>191</v>
      </c>
      <c r="AK110" s="11"/>
      <c r="AL110" s="11"/>
      <c r="AM110" s="12" t="s">
        <v>64</v>
      </c>
      <c r="AN110" s="11" t="s">
        <v>115</v>
      </c>
      <c r="AO110" s="11" t="s">
        <v>2429</v>
      </c>
      <c r="AP110" s="11" t="s">
        <v>2294</v>
      </c>
      <c r="AQ110" s="3">
        <v>46092</v>
      </c>
      <c r="AR110" s="11">
        <v>17500</v>
      </c>
      <c r="AS110" s="11" t="s">
        <v>436</v>
      </c>
      <c r="AT110" s="12" t="s">
        <v>1077</v>
      </c>
      <c r="AU110" s="2">
        <v>46171</v>
      </c>
    </row>
    <row r="111" spans="1:47" x14ac:dyDescent="0.25">
      <c r="A111" s="10" t="s">
        <v>816</v>
      </c>
      <c r="B111" s="11" t="s">
        <v>869</v>
      </c>
      <c r="C111" s="11">
        <v>0</v>
      </c>
      <c r="D111" s="11" t="s">
        <v>108</v>
      </c>
      <c r="E111" s="11"/>
      <c r="F111" s="11"/>
      <c r="G111" s="11" t="s">
        <v>90</v>
      </c>
      <c r="H111" s="11">
        <v>11</v>
      </c>
      <c r="I111" s="11" t="s">
        <v>922</v>
      </c>
      <c r="J111" s="11" t="s">
        <v>42</v>
      </c>
      <c r="K111" s="11">
        <f>Table1[[#This Row],[ENR]]-Table1[[#This Row],[CREDIT]]</f>
        <v>-1724.2300000000105</v>
      </c>
      <c r="L111" s="43">
        <v>200000</v>
      </c>
      <c r="M111" s="30">
        <v>198275.77</v>
      </c>
      <c r="N111" s="44">
        <v>127280.32000000001</v>
      </c>
      <c r="O111" s="29">
        <v>70995.45</v>
      </c>
      <c r="P111" s="29">
        <v>64028.59</v>
      </c>
      <c r="Q111" s="29">
        <v>30650</v>
      </c>
      <c r="R111" s="29">
        <v>15027.98</v>
      </c>
      <c r="S111" s="11" t="s">
        <v>58</v>
      </c>
      <c r="T111" s="11" t="s">
        <v>14</v>
      </c>
      <c r="U111" s="29">
        <v>20000</v>
      </c>
      <c r="V111" s="29">
        <f>Table1[[#This Row],[STAB]]-Table1[[#This Row],[AMOUNT]]</f>
        <v>-4972.0200000000004</v>
      </c>
      <c r="W111" s="11" t="s">
        <v>2296</v>
      </c>
      <c r="X111" s="11" t="s">
        <v>451</v>
      </c>
      <c r="Y111" s="11" t="s">
        <v>760</v>
      </c>
      <c r="Z111" s="11" t="s">
        <v>85</v>
      </c>
      <c r="AA111" s="11" t="s">
        <v>613</v>
      </c>
      <c r="AB111" s="11" t="s">
        <v>3139</v>
      </c>
      <c r="AC111" s="11" t="s">
        <v>975</v>
      </c>
      <c r="AD111" s="11" t="s">
        <v>1028</v>
      </c>
      <c r="AE111" s="11" t="s">
        <v>92</v>
      </c>
      <c r="AF111" s="11" t="s">
        <v>54</v>
      </c>
      <c r="AG111" s="12" t="s">
        <v>120</v>
      </c>
      <c r="AH111" s="12" t="s">
        <v>463</v>
      </c>
      <c r="AI111" s="11">
        <v>802898520</v>
      </c>
      <c r="AJ111" s="11" t="s">
        <v>190</v>
      </c>
      <c r="AK111" s="11"/>
      <c r="AL111" s="11"/>
      <c r="AM111" s="12" t="s">
        <v>64</v>
      </c>
      <c r="AN111" s="11"/>
      <c r="AO111" s="11"/>
      <c r="AP111" s="11"/>
      <c r="AQ111" s="3">
        <v>46078</v>
      </c>
      <c r="AR111" s="11">
        <v>35360</v>
      </c>
      <c r="AS111" s="11" t="s">
        <v>126</v>
      </c>
      <c r="AT111" s="12" t="s">
        <v>1077</v>
      </c>
      <c r="AU111" s="2">
        <v>46171</v>
      </c>
    </row>
    <row r="112" spans="1:47" x14ac:dyDescent="0.25">
      <c r="A112" s="10" t="s">
        <v>833</v>
      </c>
      <c r="B112" s="11" t="s">
        <v>886</v>
      </c>
      <c r="C112" s="11">
        <v>0</v>
      </c>
      <c r="D112" s="11" t="s">
        <v>108</v>
      </c>
      <c r="E112" s="11"/>
      <c r="F112" s="11"/>
      <c r="G112" s="11" t="s">
        <v>52</v>
      </c>
      <c r="H112" s="11">
        <v>11</v>
      </c>
      <c r="I112" s="11" t="s">
        <v>939</v>
      </c>
      <c r="J112" s="11" t="s">
        <v>42</v>
      </c>
      <c r="K112" s="11">
        <f>Table1[[#This Row],[ENR]]-Table1[[#This Row],[CREDIT]]</f>
        <v>14315.359999999986</v>
      </c>
      <c r="L112" s="43">
        <v>180000</v>
      </c>
      <c r="M112" s="30">
        <v>194315.36</v>
      </c>
      <c r="N112" s="44" t="s">
        <v>43</v>
      </c>
      <c r="O112" s="29">
        <v>194315.36</v>
      </c>
      <c r="P112" s="29">
        <v>172993</v>
      </c>
      <c r="Q112" s="29">
        <v>43680</v>
      </c>
      <c r="R112" s="29">
        <v>16790</v>
      </c>
      <c r="S112" s="11" t="s">
        <v>58</v>
      </c>
      <c r="T112" s="11" t="s">
        <v>13</v>
      </c>
      <c r="U112" s="11">
        <v>194315.36</v>
      </c>
      <c r="V112" s="29">
        <f>Table1[[#This Row],[STAB]]-Table1[[#This Row],[AMOUNT]]</f>
        <v>-177525.36</v>
      </c>
      <c r="W112" s="11" t="s">
        <v>2296</v>
      </c>
      <c r="X112" s="11" t="s">
        <v>451</v>
      </c>
      <c r="Y112" s="11" t="s">
        <v>760</v>
      </c>
      <c r="Z112" s="12" t="s">
        <v>85</v>
      </c>
      <c r="AA112" s="12" t="s">
        <v>612</v>
      </c>
      <c r="AB112" s="11" t="s">
        <v>3139</v>
      </c>
      <c r="AC112" s="11" t="s">
        <v>992</v>
      </c>
      <c r="AD112" s="11" t="s">
        <v>1045</v>
      </c>
      <c r="AE112" s="11" t="s">
        <v>100</v>
      </c>
      <c r="AF112" s="11" t="s">
        <v>54</v>
      </c>
      <c r="AG112" s="12" t="s">
        <v>60</v>
      </c>
      <c r="AH112" s="11" t="s">
        <v>193</v>
      </c>
      <c r="AI112" s="11">
        <v>802824019</v>
      </c>
      <c r="AJ112" s="11" t="s">
        <v>189</v>
      </c>
      <c r="AK112" s="11"/>
      <c r="AL112" s="11"/>
      <c r="AM112" s="12" t="s">
        <v>64</v>
      </c>
      <c r="AN112" s="11" t="s">
        <v>115</v>
      </c>
      <c r="AO112" s="11" t="s">
        <v>1518</v>
      </c>
      <c r="AP112" s="11" t="s">
        <v>1497</v>
      </c>
      <c r="AQ112" s="3">
        <v>45845</v>
      </c>
      <c r="AR112" s="11">
        <v>14082</v>
      </c>
      <c r="AS112" s="11" t="s">
        <v>126</v>
      </c>
      <c r="AT112" s="12" t="s">
        <v>1077</v>
      </c>
      <c r="AU112" s="2">
        <v>46171</v>
      </c>
    </row>
    <row r="113" spans="1:47" x14ac:dyDescent="0.25">
      <c r="A113" s="45" t="s">
        <v>832</v>
      </c>
      <c r="B113" s="12" t="s">
        <v>885</v>
      </c>
      <c r="C113" s="11">
        <v>0</v>
      </c>
      <c r="D113" s="11" t="s">
        <v>108</v>
      </c>
      <c r="E113" s="12"/>
      <c r="F113" s="12"/>
      <c r="G113" s="11" t="s">
        <v>52</v>
      </c>
      <c r="H113" s="12">
        <v>11</v>
      </c>
      <c r="I113" s="12" t="s">
        <v>938</v>
      </c>
      <c r="J113" s="12" t="s">
        <v>42</v>
      </c>
      <c r="K113" s="12">
        <f>Table1[[#This Row],[ENR]]-Table1[[#This Row],[CREDIT]]</f>
        <v>8892.4400000000023</v>
      </c>
      <c r="L113" s="46">
        <v>180000</v>
      </c>
      <c r="M113" s="47">
        <v>188892.44</v>
      </c>
      <c r="N113" s="48" t="s">
        <v>43</v>
      </c>
      <c r="O113" s="49">
        <v>188892.44</v>
      </c>
      <c r="P113" s="49">
        <v>169979.5</v>
      </c>
      <c r="Q113" s="29">
        <v>37740</v>
      </c>
      <c r="R113" s="29">
        <v>11620</v>
      </c>
      <c r="S113" s="11" t="s">
        <v>58</v>
      </c>
      <c r="T113" s="11" t="s">
        <v>13</v>
      </c>
      <c r="U113" s="11">
        <v>37740</v>
      </c>
      <c r="V113" s="49">
        <f>Table1[[#This Row],[STAB]]-Table1[[#This Row],[AMOUNT]]</f>
        <v>-26120</v>
      </c>
      <c r="W113" s="11" t="s">
        <v>1645</v>
      </c>
      <c r="X113" s="11" t="s">
        <v>444</v>
      </c>
      <c r="Y113" s="11" t="s">
        <v>759</v>
      </c>
      <c r="Z113" s="12" t="s">
        <v>85</v>
      </c>
      <c r="AA113" s="12" t="s">
        <v>612</v>
      </c>
      <c r="AB113" s="12" t="s">
        <v>3139</v>
      </c>
      <c r="AC113" s="12" t="s">
        <v>991</v>
      </c>
      <c r="AD113" s="12" t="s">
        <v>1044</v>
      </c>
      <c r="AE113" s="12" t="s">
        <v>123</v>
      </c>
      <c r="AF113" s="12" t="s">
        <v>127</v>
      </c>
      <c r="AG113" s="12" t="s">
        <v>96</v>
      </c>
      <c r="AH113" s="12" t="s">
        <v>461</v>
      </c>
      <c r="AI113" s="12">
        <v>801436997</v>
      </c>
      <c r="AJ113" s="12" t="s">
        <v>190</v>
      </c>
      <c r="AK113" s="12"/>
      <c r="AL113" s="12"/>
      <c r="AM113" s="12" t="s">
        <v>64</v>
      </c>
      <c r="AN113" s="12" t="s">
        <v>219</v>
      </c>
      <c r="AO113" s="12" t="s">
        <v>1661</v>
      </c>
      <c r="AP113" s="12" t="s">
        <v>1645</v>
      </c>
      <c r="AQ113" s="50">
        <v>45607</v>
      </c>
      <c r="AR113" s="12">
        <v>20000</v>
      </c>
      <c r="AS113" s="12" t="s">
        <v>126</v>
      </c>
      <c r="AT113" s="12" t="s">
        <v>1077</v>
      </c>
      <c r="AU113" s="51">
        <v>46171</v>
      </c>
    </row>
    <row r="114" spans="1:47" x14ac:dyDescent="0.25">
      <c r="A114" s="45" t="s">
        <v>817</v>
      </c>
      <c r="B114" s="12" t="s">
        <v>870</v>
      </c>
      <c r="C114" s="11">
        <v>0</v>
      </c>
      <c r="D114" s="11" t="s">
        <v>108</v>
      </c>
      <c r="E114" s="12"/>
      <c r="F114" s="12"/>
      <c r="G114" s="11" t="s">
        <v>52</v>
      </c>
      <c r="H114" s="12">
        <v>11</v>
      </c>
      <c r="I114" s="12" t="s">
        <v>923</v>
      </c>
      <c r="J114" s="12" t="s">
        <v>42</v>
      </c>
      <c r="K114" s="12">
        <f>Table1[[#This Row],[ENR]]-Table1[[#This Row],[CREDIT]]</f>
        <v>-212524.21</v>
      </c>
      <c r="L114" s="46">
        <v>400000</v>
      </c>
      <c r="M114" s="47">
        <v>187475.79</v>
      </c>
      <c r="N114" s="48">
        <v>103897.53</v>
      </c>
      <c r="O114" s="49">
        <v>83578.259999999995</v>
      </c>
      <c r="P114" s="49">
        <v>66279.649999999994</v>
      </c>
      <c r="Q114" s="29">
        <v>53960</v>
      </c>
      <c r="R114" s="29">
        <v>27720</v>
      </c>
      <c r="S114" s="11" t="s">
        <v>44</v>
      </c>
      <c r="T114" s="11" t="s">
        <v>45</v>
      </c>
      <c r="U114" s="11">
        <v>0</v>
      </c>
      <c r="V114" s="49">
        <f>Table1[[#This Row],[STAB]]-Table1[[#This Row],[AMOUNT]]</f>
        <v>27720</v>
      </c>
      <c r="W114" s="11">
        <v>0</v>
      </c>
      <c r="X114" s="11" t="s">
        <v>83</v>
      </c>
      <c r="Y114" s="11">
        <v>0</v>
      </c>
      <c r="Z114" s="11" t="s">
        <v>85</v>
      </c>
      <c r="AA114" s="11" t="s">
        <v>613</v>
      </c>
      <c r="AB114" s="12" t="s">
        <v>3139</v>
      </c>
      <c r="AC114" s="12" t="s">
        <v>976</v>
      </c>
      <c r="AD114" s="12" t="s">
        <v>1029</v>
      </c>
      <c r="AE114" s="12" t="s">
        <v>415</v>
      </c>
      <c r="AF114" s="12" t="s">
        <v>53</v>
      </c>
      <c r="AG114" s="12" t="s">
        <v>105</v>
      </c>
      <c r="AH114" s="12" t="s">
        <v>85</v>
      </c>
      <c r="AI114" s="12">
        <v>801772794</v>
      </c>
      <c r="AJ114" s="12" t="s">
        <v>192</v>
      </c>
      <c r="AK114" s="12"/>
      <c r="AL114" s="12"/>
      <c r="AM114" s="12" t="s">
        <v>64</v>
      </c>
      <c r="AN114" s="12" t="s">
        <v>221</v>
      </c>
      <c r="AO114" s="12" t="s">
        <v>3144</v>
      </c>
      <c r="AP114" s="12" t="s">
        <v>3119</v>
      </c>
      <c r="AQ114" s="50">
        <v>45957</v>
      </c>
      <c r="AR114" s="12">
        <v>7160</v>
      </c>
      <c r="AS114" s="12" t="s">
        <v>48</v>
      </c>
      <c r="AT114" s="12" t="s">
        <v>1077</v>
      </c>
      <c r="AU114" s="51">
        <v>46171</v>
      </c>
    </row>
    <row r="115" spans="1:47" x14ac:dyDescent="0.25">
      <c r="A115" s="45" t="s">
        <v>857</v>
      </c>
      <c r="B115" s="12" t="s">
        <v>910</v>
      </c>
      <c r="C115" s="11">
        <v>0</v>
      </c>
      <c r="D115" s="11" t="s">
        <v>108</v>
      </c>
      <c r="E115" s="12"/>
      <c r="F115" s="12"/>
      <c r="G115" s="11" t="s">
        <v>52</v>
      </c>
      <c r="H115" s="12">
        <v>11</v>
      </c>
      <c r="I115" s="12" t="s">
        <v>963</v>
      </c>
      <c r="J115" s="12" t="s">
        <v>42</v>
      </c>
      <c r="K115" s="12">
        <f>Table1[[#This Row],[ENR]]-Table1[[#This Row],[CREDIT]]</f>
        <v>-123985.87</v>
      </c>
      <c r="L115" s="46">
        <v>300000</v>
      </c>
      <c r="M115" s="47">
        <v>176014.13</v>
      </c>
      <c r="N115" s="48">
        <v>76323.75</v>
      </c>
      <c r="O115" s="49">
        <v>99690.38</v>
      </c>
      <c r="P115" s="49">
        <v>91276.62</v>
      </c>
      <c r="Q115" s="29">
        <v>57820</v>
      </c>
      <c r="R115" s="29">
        <v>26423.38</v>
      </c>
      <c r="S115" s="11" t="s">
        <v>58</v>
      </c>
      <c r="T115" s="11" t="s">
        <v>14</v>
      </c>
      <c r="U115" s="29">
        <v>44358.39</v>
      </c>
      <c r="V115" s="49">
        <f>Table1[[#This Row],[STAB]]-Table1[[#This Row],[AMOUNT]]</f>
        <v>-17935.009999999998</v>
      </c>
      <c r="W115" s="11" t="s">
        <v>2294</v>
      </c>
      <c r="X115" s="11" t="s">
        <v>444</v>
      </c>
      <c r="Y115" s="11" t="s">
        <v>760</v>
      </c>
      <c r="Z115" s="12" t="s">
        <v>85</v>
      </c>
      <c r="AA115" s="12" t="s">
        <v>611</v>
      </c>
      <c r="AB115" s="12" t="s">
        <v>3139</v>
      </c>
      <c r="AC115" s="12" t="s">
        <v>1016</v>
      </c>
      <c r="AD115" s="12" t="s">
        <v>1068</v>
      </c>
      <c r="AE115" s="12" t="s">
        <v>123</v>
      </c>
      <c r="AF115" s="12" t="s">
        <v>127</v>
      </c>
      <c r="AG115" s="12" t="s">
        <v>96</v>
      </c>
      <c r="AH115" s="12" t="s">
        <v>461</v>
      </c>
      <c r="AI115" s="12">
        <v>801436997</v>
      </c>
      <c r="AJ115" s="12" t="s">
        <v>190</v>
      </c>
      <c r="AK115" s="12"/>
      <c r="AL115" s="12"/>
      <c r="AM115" s="12" t="s">
        <v>64</v>
      </c>
      <c r="AN115" s="12" t="s">
        <v>219</v>
      </c>
      <c r="AO115" s="12" t="s">
        <v>1650</v>
      </c>
      <c r="AP115" s="12" t="s">
        <v>1645</v>
      </c>
      <c r="AQ115" s="50" t="s">
        <v>43</v>
      </c>
      <c r="AR115" s="12">
        <v>0</v>
      </c>
      <c r="AS115" s="12" t="s">
        <v>48</v>
      </c>
      <c r="AT115" s="12" t="s">
        <v>1077</v>
      </c>
      <c r="AU115" s="51">
        <v>46171</v>
      </c>
    </row>
    <row r="116" spans="1:47" x14ac:dyDescent="0.25">
      <c r="A116" s="10" t="s">
        <v>838</v>
      </c>
      <c r="B116" s="11" t="s">
        <v>891</v>
      </c>
      <c r="C116" s="11">
        <v>0</v>
      </c>
      <c r="D116" s="11" t="s">
        <v>108</v>
      </c>
      <c r="E116" s="11"/>
      <c r="F116" s="11"/>
      <c r="G116" s="11" t="s">
        <v>90</v>
      </c>
      <c r="H116" s="11">
        <v>11</v>
      </c>
      <c r="I116" s="11" t="s">
        <v>944</v>
      </c>
      <c r="J116" s="11" t="s">
        <v>42</v>
      </c>
      <c r="K116" s="11">
        <f>Table1[[#This Row],[ENR]]-Table1[[#This Row],[CREDIT]]</f>
        <v>-195052.92</v>
      </c>
      <c r="L116" s="43">
        <v>362000</v>
      </c>
      <c r="M116" s="30">
        <v>166947.07999999999</v>
      </c>
      <c r="N116" s="44">
        <v>110356.39</v>
      </c>
      <c r="O116" s="29">
        <v>56590.69</v>
      </c>
      <c r="P116" s="29">
        <v>48790.11</v>
      </c>
      <c r="Q116" s="29">
        <v>56590.69</v>
      </c>
      <c r="R116" s="29">
        <v>28000</v>
      </c>
      <c r="S116" s="11" t="s">
        <v>58</v>
      </c>
      <c r="T116" s="11" t="s">
        <v>14</v>
      </c>
      <c r="U116" s="29">
        <v>28000</v>
      </c>
      <c r="V116" s="29">
        <f>Table1[[#This Row],[STAB]]-Table1[[#This Row],[AMOUNT]]</f>
        <v>0</v>
      </c>
      <c r="W116" s="11" t="s">
        <v>3119</v>
      </c>
      <c r="X116" s="11" t="s">
        <v>451</v>
      </c>
      <c r="Y116" s="11" t="s">
        <v>1085</v>
      </c>
      <c r="Z116" s="11" t="s">
        <v>85</v>
      </c>
      <c r="AA116" s="11" t="s">
        <v>447</v>
      </c>
      <c r="AB116" s="11" t="s">
        <v>3139</v>
      </c>
      <c r="AC116" s="11" t="s">
        <v>997</v>
      </c>
      <c r="AD116" s="11" t="s">
        <v>1050</v>
      </c>
      <c r="AE116" s="11" t="s">
        <v>746</v>
      </c>
      <c r="AF116" s="11" t="s">
        <v>53</v>
      </c>
      <c r="AG116" s="11" t="s">
        <v>3469</v>
      </c>
      <c r="AH116" s="12" t="s">
        <v>752</v>
      </c>
      <c r="AI116" s="11">
        <v>802241455</v>
      </c>
      <c r="AJ116" s="11" t="s">
        <v>191</v>
      </c>
      <c r="AK116" s="11"/>
      <c r="AL116" s="11"/>
      <c r="AM116" s="12" t="s">
        <v>64</v>
      </c>
      <c r="AN116" s="11"/>
      <c r="AO116" s="11"/>
      <c r="AP116" s="11"/>
      <c r="AQ116" s="3">
        <v>46084</v>
      </c>
      <c r="AR116" s="11">
        <v>88510.49</v>
      </c>
      <c r="AS116" s="11" t="s">
        <v>1074</v>
      </c>
      <c r="AT116" s="12" t="s">
        <v>1077</v>
      </c>
      <c r="AU116" s="2">
        <v>46171</v>
      </c>
    </row>
    <row r="117" spans="1:47" x14ac:dyDescent="0.25">
      <c r="A117" s="45" t="s">
        <v>856</v>
      </c>
      <c r="B117" s="12" t="s">
        <v>909</v>
      </c>
      <c r="C117" s="11">
        <v>0</v>
      </c>
      <c r="D117" s="11" t="s">
        <v>108</v>
      </c>
      <c r="E117" s="12"/>
      <c r="F117" s="12"/>
      <c r="G117" s="11" t="s">
        <v>52</v>
      </c>
      <c r="H117" s="12">
        <v>11</v>
      </c>
      <c r="I117" s="12" t="s">
        <v>962</v>
      </c>
      <c r="J117" s="12" t="s">
        <v>42</v>
      </c>
      <c r="K117" s="12">
        <f>Table1[[#This Row],[ENR]]-Table1[[#This Row],[CREDIT]]</f>
        <v>-29597.510000000009</v>
      </c>
      <c r="L117" s="46">
        <v>168000</v>
      </c>
      <c r="M117" s="47">
        <v>138402.49</v>
      </c>
      <c r="N117" s="48" t="s">
        <v>43</v>
      </c>
      <c r="O117" s="49">
        <v>138402.49</v>
      </c>
      <c r="P117" s="49">
        <v>116891.98</v>
      </c>
      <c r="Q117" s="29">
        <v>27970</v>
      </c>
      <c r="R117" s="29">
        <v>12240</v>
      </c>
      <c r="S117" s="11" t="s">
        <v>58</v>
      </c>
      <c r="T117" s="11" t="s">
        <v>13</v>
      </c>
      <c r="U117" s="11">
        <v>28402</v>
      </c>
      <c r="V117" s="49">
        <f>Table1[[#This Row],[STAB]]-Table1[[#This Row],[AMOUNT]]</f>
        <v>-16162</v>
      </c>
      <c r="W117" s="11" t="s">
        <v>2294</v>
      </c>
      <c r="X117" s="11" t="s">
        <v>444</v>
      </c>
      <c r="Y117" s="11" t="s">
        <v>760</v>
      </c>
      <c r="Z117" s="12" t="s">
        <v>85</v>
      </c>
      <c r="AA117" s="12" t="s">
        <v>612</v>
      </c>
      <c r="AB117" s="12" t="s">
        <v>3141</v>
      </c>
      <c r="AC117" s="12" t="s">
        <v>1015</v>
      </c>
      <c r="AD117" s="12" t="s">
        <v>1067</v>
      </c>
      <c r="AE117" s="12" t="s">
        <v>414</v>
      </c>
      <c r="AF117" s="12" t="s">
        <v>54</v>
      </c>
      <c r="AG117" s="12" t="s">
        <v>147</v>
      </c>
      <c r="AH117" s="12" t="s">
        <v>460</v>
      </c>
      <c r="AI117" s="12">
        <v>802913252</v>
      </c>
      <c r="AJ117" s="12" t="s">
        <v>190</v>
      </c>
      <c r="AK117" s="12"/>
      <c r="AL117" s="12"/>
      <c r="AM117" s="12" t="s">
        <v>64</v>
      </c>
      <c r="AN117" s="12" t="s">
        <v>446</v>
      </c>
      <c r="AO117" s="12" t="s">
        <v>2293</v>
      </c>
      <c r="AP117" s="12" t="s">
        <v>2294</v>
      </c>
      <c r="AQ117" s="50">
        <v>46088</v>
      </c>
      <c r="AR117" s="12">
        <v>25000</v>
      </c>
      <c r="AS117" s="12" t="s">
        <v>1073</v>
      </c>
      <c r="AT117" s="12" t="s">
        <v>1077</v>
      </c>
      <c r="AU117" s="51">
        <v>46171</v>
      </c>
    </row>
    <row r="118" spans="1:47" x14ac:dyDescent="0.25">
      <c r="A118" s="10" t="s">
        <v>821</v>
      </c>
      <c r="B118" s="11" t="s">
        <v>874</v>
      </c>
      <c r="C118" s="11">
        <v>0</v>
      </c>
      <c r="D118" s="11" t="s">
        <v>108</v>
      </c>
      <c r="E118" s="11"/>
      <c r="F118" s="11"/>
      <c r="G118" s="11" t="s">
        <v>52</v>
      </c>
      <c r="H118" s="11">
        <v>11</v>
      </c>
      <c r="I118" s="11" t="s">
        <v>927</v>
      </c>
      <c r="J118" s="11" t="s">
        <v>42</v>
      </c>
      <c r="K118" s="11">
        <f>Table1[[#This Row],[ENR]]-Table1[[#This Row],[CREDIT]]</f>
        <v>7606.2200000000012</v>
      </c>
      <c r="L118" s="43">
        <v>120000</v>
      </c>
      <c r="M118" s="30">
        <v>127606.22</v>
      </c>
      <c r="N118" s="44">
        <v>43209.78</v>
      </c>
      <c r="O118" s="29">
        <v>84396.44</v>
      </c>
      <c r="P118" s="29">
        <v>76721.89</v>
      </c>
      <c r="Q118" s="29">
        <v>24210</v>
      </c>
      <c r="R118" s="29">
        <v>9260</v>
      </c>
      <c r="S118" s="11" t="s">
        <v>44</v>
      </c>
      <c r="T118" s="11" t="s">
        <v>45</v>
      </c>
      <c r="U118" s="11">
        <v>0</v>
      </c>
      <c r="V118" s="29">
        <f>Table1[[#This Row],[STAB]]-Table1[[#This Row],[AMOUNT]]</f>
        <v>9260</v>
      </c>
      <c r="W118" s="11">
        <v>0</v>
      </c>
      <c r="X118" s="11" t="s">
        <v>83</v>
      </c>
      <c r="Y118" s="11">
        <v>0</v>
      </c>
      <c r="Z118" s="11" t="s">
        <v>88</v>
      </c>
      <c r="AA118" s="11" t="s">
        <v>91</v>
      </c>
      <c r="AB118" s="11" t="s">
        <v>3139</v>
      </c>
      <c r="AC118" s="11" t="s">
        <v>980</v>
      </c>
      <c r="AD118" s="11" t="s">
        <v>1033</v>
      </c>
      <c r="AE118" s="11" t="s">
        <v>218</v>
      </c>
      <c r="AF118" s="11" t="s">
        <v>84</v>
      </c>
      <c r="AG118" s="12" t="s">
        <v>107</v>
      </c>
      <c r="AH118" s="12" t="s">
        <v>88</v>
      </c>
      <c r="AI118" s="11">
        <v>801723195</v>
      </c>
      <c r="AJ118" s="11" t="s">
        <v>191</v>
      </c>
      <c r="AK118" s="11"/>
      <c r="AL118" s="11"/>
      <c r="AM118" s="12" t="s">
        <v>64</v>
      </c>
      <c r="AN118" s="11" t="s">
        <v>221</v>
      </c>
      <c r="AO118" s="11" t="s">
        <v>1530</v>
      </c>
      <c r="AP118" s="11" t="s">
        <v>1528</v>
      </c>
      <c r="AQ118" s="3">
        <v>45468</v>
      </c>
      <c r="AR118" s="11">
        <v>61499.86</v>
      </c>
      <c r="AS118" s="11" t="s">
        <v>436</v>
      </c>
      <c r="AT118" s="12" t="s">
        <v>1077</v>
      </c>
      <c r="AU118" s="2">
        <v>46171</v>
      </c>
    </row>
    <row r="119" spans="1:47" x14ac:dyDescent="0.25">
      <c r="A119" s="45" t="s">
        <v>850</v>
      </c>
      <c r="B119" s="12" t="s">
        <v>903</v>
      </c>
      <c r="C119" s="11">
        <v>0</v>
      </c>
      <c r="D119" s="11" t="s">
        <v>108</v>
      </c>
      <c r="E119" s="12"/>
      <c r="F119" s="12"/>
      <c r="G119" s="11" t="s">
        <v>52</v>
      </c>
      <c r="H119" s="12">
        <v>11</v>
      </c>
      <c r="I119" s="12" t="s">
        <v>956</v>
      </c>
      <c r="J119" s="12" t="s">
        <v>791</v>
      </c>
      <c r="K119" s="12">
        <f>Table1[[#This Row],[ENR]]-Table1[[#This Row],[CREDIT]]</f>
        <v>-155391.21000000002</v>
      </c>
      <c r="L119" s="46">
        <v>270000</v>
      </c>
      <c r="M119" s="47">
        <v>114608.79</v>
      </c>
      <c r="N119" s="48" t="s">
        <v>43</v>
      </c>
      <c r="O119" s="49">
        <v>114608.79</v>
      </c>
      <c r="P119" s="49">
        <v>28206.06</v>
      </c>
      <c r="Q119" s="29">
        <v>103020</v>
      </c>
      <c r="R119" s="29">
        <v>97640</v>
      </c>
      <c r="S119" s="11" t="s">
        <v>44</v>
      </c>
      <c r="T119" s="11" t="s">
        <v>45</v>
      </c>
      <c r="U119" s="11">
        <v>0</v>
      </c>
      <c r="V119" s="49">
        <f>Table1[[#This Row],[STAB]]-Table1[[#This Row],[AMOUNT]]</f>
        <v>97640</v>
      </c>
      <c r="W119" s="11">
        <v>0</v>
      </c>
      <c r="X119" s="11" t="s">
        <v>83</v>
      </c>
      <c r="Y119" s="11">
        <v>0</v>
      </c>
      <c r="Z119" s="11" t="s">
        <v>85</v>
      </c>
      <c r="AA119" s="11" t="s">
        <v>447</v>
      </c>
      <c r="AB119" s="12" t="s">
        <v>3139</v>
      </c>
      <c r="AC119" s="12" t="s">
        <v>1009</v>
      </c>
      <c r="AD119" s="12" t="s">
        <v>1061</v>
      </c>
      <c r="AE119" s="12" t="s">
        <v>133</v>
      </c>
      <c r="AF119" s="12" t="s">
        <v>54</v>
      </c>
      <c r="AG119" s="12" t="s">
        <v>1658</v>
      </c>
      <c r="AH119" s="12" t="s">
        <v>85</v>
      </c>
      <c r="AI119" s="12">
        <v>801772794</v>
      </c>
      <c r="AJ119" s="12" t="s">
        <v>192</v>
      </c>
      <c r="AK119" s="12"/>
      <c r="AL119" s="12"/>
      <c r="AM119" s="12" t="s">
        <v>46</v>
      </c>
      <c r="AN119" s="12"/>
      <c r="AO119" s="12"/>
      <c r="AP119" s="12"/>
      <c r="AQ119" s="50">
        <v>46063</v>
      </c>
      <c r="AR119" s="12">
        <v>6850</v>
      </c>
      <c r="AS119" s="12" t="s">
        <v>436</v>
      </c>
      <c r="AT119" s="12" t="s">
        <v>1077</v>
      </c>
      <c r="AU119" s="51">
        <v>46171</v>
      </c>
    </row>
    <row r="120" spans="1:47" x14ac:dyDescent="0.25">
      <c r="A120" s="10" t="s">
        <v>847</v>
      </c>
      <c r="B120" s="11" t="s">
        <v>900</v>
      </c>
      <c r="C120" s="11">
        <v>0</v>
      </c>
      <c r="D120" s="11" t="s">
        <v>108</v>
      </c>
      <c r="E120" s="11"/>
      <c r="F120" s="11"/>
      <c r="G120" s="11" t="s">
        <v>52</v>
      </c>
      <c r="H120" s="11">
        <v>11</v>
      </c>
      <c r="I120" s="11" t="s">
        <v>953</v>
      </c>
      <c r="J120" s="11" t="s">
        <v>42</v>
      </c>
      <c r="K120" s="11">
        <f>Table1[[#This Row],[ENR]]-Table1[[#This Row],[CREDIT]]</f>
        <v>10107.36</v>
      </c>
      <c r="L120" s="43">
        <v>100000</v>
      </c>
      <c r="M120" s="30">
        <v>110107.36</v>
      </c>
      <c r="N120" s="44" t="s">
        <v>43</v>
      </c>
      <c r="O120" s="29">
        <v>110107.36</v>
      </c>
      <c r="P120" s="29">
        <v>99472.63</v>
      </c>
      <c r="Q120" s="29">
        <v>26250</v>
      </c>
      <c r="R120" s="29">
        <v>9730</v>
      </c>
      <c r="S120" s="11" t="s">
        <v>58</v>
      </c>
      <c r="T120" s="11" t="s">
        <v>14</v>
      </c>
      <c r="U120" s="29">
        <v>11000</v>
      </c>
      <c r="V120" s="29">
        <f>Table1[[#This Row],[STAB]]-Table1[[#This Row],[AMOUNT]]</f>
        <v>-1270</v>
      </c>
      <c r="W120" s="11" t="s">
        <v>2294</v>
      </c>
      <c r="X120" s="11" t="s">
        <v>444</v>
      </c>
      <c r="Y120" s="11" t="s">
        <v>1085</v>
      </c>
      <c r="Z120" s="12" t="s">
        <v>85</v>
      </c>
      <c r="AA120" s="12" t="s">
        <v>612</v>
      </c>
      <c r="AB120" s="11" t="s">
        <v>3139</v>
      </c>
      <c r="AC120" s="11" t="s">
        <v>1006</v>
      </c>
      <c r="AD120" s="11" t="s">
        <v>1058</v>
      </c>
      <c r="AE120" s="11" t="s">
        <v>1072</v>
      </c>
      <c r="AF120" s="11" t="s">
        <v>53</v>
      </c>
      <c r="AG120" s="11" t="s">
        <v>3469</v>
      </c>
      <c r="AH120" s="12" t="s">
        <v>752</v>
      </c>
      <c r="AI120" s="11">
        <v>802241455</v>
      </c>
      <c r="AJ120" s="11" t="s">
        <v>191</v>
      </c>
      <c r="AK120" s="11"/>
      <c r="AL120" s="11"/>
      <c r="AM120" s="12" t="s">
        <v>64</v>
      </c>
      <c r="AN120" s="11" t="s">
        <v>219</v>
      </c>
      <c r="AO120" s="11" t="s">
        <v>1666</v>
      </c>
      <c r="AP120" s="11" t="s">
        <v>1645</v>
      </c>
      <c r="AQ120" s="3">
        <v>46119</v>
      </c>
      <c r="AR120" s="11">
        <v>3000</v>
      </c>
      <c r="AS120" s="11" t="s">
        <v>436</v>
      </c>
      <c r="AT120" s="12" t="s">
        <v>1077</v>
      </c>
      <c r="AU120" s="2">
        <v>46171</v>
      </c>
    </row>
    <row r="121" spans="1:47" x14ac:dyDescent="0.25">
      <c r="A121" s="10" t="s">
        <v>808</v>
      </c>
      <c r="B121" s="11" t="s">
        <v>861</v>
      </c>
      <c r="C121" s="11">
        <v>0</v>
      </c>
      <c r="D121" s="11" t="s">
        <v>108</v>
      </c>
      <c r="E121" s="11"/>
      <c r="F121" s="11"/>
      <c r="G121" s="11" t="s">
        <v>52</v>
      </c>
      <c r="H121" s="11">
        <v>11</v>
      </c>
      <c r="I121" s="11" t="s">
        <v>914</v>
      </c>
      <c r="J121" s="11" t="s">
        <v>42</v>
      </c>
      <c r="K121" s="11">
        <f>Table1[[#This Row],[ENR]]-Table1[[#This Row],[CREDIT]]</f>
        <v>7318.9199999999983</v>
      </c>
      <c r="L121" s="43">
        <v>100000</v>
      </c>
      <c r="M121" s="30">
        <v>107318.92</v>
      </c>
      <c r="N121" s="44">
        <v>48833.62</v>
      </c>
      <c r="O121" s="29">
        <v>58485.3</v>
      </c>
      <c r="P121" s="29">
        <v>50928.93</v>
      </c>
      <c r="Q121" s="29">
        <v>22610</v>
      </c>
      <c r="R121" s="29">
        <v>9560</v>
      </c>
      <c r="S121" s="11" t="s">
        <v>58</v>
      </c>
      <c r="T121" s="11" t="s">
        <v>14</v>
      </c>
      <c r="U121" s="29">
        <v>9900</v>
      </c>
      <c r="V121" s="29">
        <f>Table1[[#This Row],[STAB]]-Table1[[#This Row],[AMOUNT]]</f>
        <v>-340</v>
      </c>
      <c r="W121" s="11" t="s">
        <v>2294</v>
      </c>
      <c r="X121" s="11" t="s">
        <v>444</v>
      </c>
      <c r="Y121" s="11" t="s">
        <v>760</v>
      </c>
      <c r="Z121" s="12" t="s">
        <v>85</v>
      </c>
      <c r="AA121" s="12" t="s">
        <v>612</v>
      </c>
      <c r="AB121" s="11" t="s">
        <v>3139</v>
      </c>
      <c r="AC121" s="11" t="s">
        <v>967</v>
      </c>
      <c r="AD121" s="11" t="s">
        <v>1020</v>
      </c>
      <c r="AE121" s="11" t="s">
        <v>422</v>
      </c>
      <c r="AF121" s="11" t="s">
        <v>127</v>
      </c>
      <c r="AG121" s="12" t="s">
        <v>57</v>
      </c>
      <c r="AH121" s="12" t="s">
        <v>464</v>
      </c>
      <c r="AI121" s="11">
        <v>802852449</v>
      </c>
      <c r="AJ121" s="11" t="s">
        <v>190</v>
      </c>
      <c r="AK121" s="11"/>
      <c r="AL121" s="11"/>
      <c r="AM121" s="12" t="s">
        <v>64</v>
      </c>
      <c r="AN121" s="11" t="s">
        <v>219</v>
      </c>
      <c r="AO121" s="11" t="s">
        <v>2295</v>
      </c>
      <c r="AP121" s="11" t="s">
        <v>2294</v>
      </c>
      <c r="AQ121" s="3">
        <v>45472</v>
      </c>
      <c r="AR121" s="11">
        <v>15010</v>
      </c>
      <c r="AS121" s="11" t="s">
        <v>436</v>
      </c>
      <c r="AT121" s="12" t="s">
        <v>1077</v>
      </c>
      <c r="AU121" s="2">
        <v>46171</v>
      </c>
    </row>
    <row r="122" spans="1:47" x14ac:dyDescent="0.25">
      <c r="A122" s="10" t="s">
        <v>852</v>
      </c>
      <c r="B122" s="11" t="s">
        <v>905</v>
      </c>
      <c r="C122" s="11">
        <v>0</v>
      </c>
      <c r="D122" s="11" t="s">
        <v>108</v>
      </c>
      <c r="E122" s="11"/>
      <c r="F122" s="11"/>
      <c r="G122" s="11" t="s">
        <v>52</v>
      </c>
      <c r="H122" s="11">
        <v>11</v>
      </c>
      <c r="I122" s="11" t="s">
        <v>958</v>
      </c>
      <c r="J122" s="11" t="s">
        <v>42</v>
      </c>
      <c r="K122" s="11">
        <f>Table1[[#This Row],[ENR]]-Table1[[#This Row],[CREDIT]]</f>
        <v>7170.0899999999965</v>
      </c>
      <c r="L122" s="43">
        <v>100000</v>
      </c>
      <c r="M122" s="30">
        <v>107170.09</v>
      </c>
      <c r="N122" s="44">
        <v>84802.61</v>
      </c>
      <c r="O122" s="29">
        <v>22367.48</v>
      </c>
      <c r="P122" s="29">
        <v>15497.39</v>
      </c>
      <c r="Q122" s="29">
        <v>22367.48</v>
      </c>
      <c r="R122" s="29">
        <v>11435.36</v>
      </c>
      <c r="S122" s="11" t="s">
        <v>58</v>
      </c>
      <c r="T122" s="11" t="s">
        <v>14</v>
      </c>
      <c r="U122" s="29">
        <v>11437</v>
      </c>
      <c r="V122" s="29">
        <f>Table1[[#This Row],[STAB]]-Table1[[#This Row],[AMOUNT]]</f>
        <v>-1.6399999999994179</v>
      </c>
      <c r="W122" s="11" t="s">
        <v>2294</v>
      </c>
      <c r="X122" s="11" t="s">
        <v>444</v>
      </c>
      <c r="Y122" s="11" t="s">
        <v>760</v>
      </c>
      <c r="Z122" s="12" t="s">
        <v>85</v>
      </c>
      <c r="AA122" s="12" t="s">
        <v>611</v>
      </c>
      <c r="AB122" s="11" t="s">
        <v>3139</v>
      </c>
      <c r="AC122" s="11" t="s">
        <v>1011</v>
      </c>
      <c r="AD122" s="11" t="s">
        <v>1063</v>
      </c>
      <c r="AE122" s="11" t="s">
        <v>415</v>
      </c>
      <c r="AF122" s="11" t="s">
        <v>53</v>
      </c>
      <c r="AG122" s="12" t="s">
        <v>105</v>
      </c>
      <c r="AH122" s="12" t="s">
        <v>85</v>
      </c>
      <c r="AI122" s="11">
        <v>801772794</v>
      </c>
      <c r="AJ122" s="11" t="s">
        <v>192</v>
      </c>
      <c r="AK122" s="11"/>
      <c r="AL122" s="11"/>
      <c r="AM122" s="12" t="s">
        <v>64</v>
      </c>
      <c r="AN122" s="11" t="s">
        <v>219</v>
      </c>
      <c r="AO122" s="11" t="s">
        <v>2441</v>
      </c>
      <c r="AP122" s="11" t="s">
        <v>2294</v>
      </c>
      <c r="AQ122" s="3">
        <v>46064</v>
      </c>
      <c r="AR122" s="11">
        <v>9750</v>
      </c>
      <c r="AS122" s="11" t="s">
        <v>436</v>
      </c>
      <c r="AT122" s="12" t="s">
        <v>1077</v>
      </c>
      <c r="AU122" s="2">
        <v>46171</v>
      </c>
    </row>
    <row r="123" spans="1:47" x14ac:dyDescent="0.25">
      <c r="A123" s="10" t="s">
        <v>826</v>
      </c>
      <c r="B123" s="11" t="s">
        <v>879</v>
      </c>
      <c r="C123" s="11">
        <v>0</v>
      </c>
      <c r="D123" s="11" t="s">
        <v>108</v>
      </c>
      <c r="E123" s="11"/>
      <c r="F123" s="11"/>
      <c r="G123" s="11" t="s">
        <v>52</v>
      </c>
      <c r="H123" s="11">
        <v>11</v>
      </c>
      <c r="I123" s="11" t="s">
        <v>932</v>
      </c>
      <c r="J123" s="11" t="s">
        <v>42</v>
      </c>
      <c r="K123" s="11">
        <f>Table1[[#This Row],[ENR]]-Table1[[#This Row],[CREDIT]]</f>
        <v>6895.929999999993</v>
      </c>
      <c r="L123" s="43">
        <v>100000</v>
      </c>
      <c r="M123" s="30">
        <v>106895.93</v>
      </c>
      <c r="N123" s="44" t="s">
        <v>43</v>
      </c>
      <c r="O123" s="29">
        <v>106895.93</v>
      </c>
      <c r="P123" s="29">
        <v>91632.89</v>
      </c>
      <c r="Q123" s="29">
        <v>38550</v>
      </c>
      <c r="R123" s="29">
        <v>19890</v>
      </c>
      <c r="S123" s="11" t="s">
        <v>44</v>
      </c>
      <c r="T123" s="11" t="s">
        <v>45</v>
      </c>
      <c r="U123" s="11">
        <v>0</v>
      </c>
      <c r="V123" s="29">
        <f>Table1[[#This Row],[STAB]]-Table1[[#This Row],[AMOUNT]]</f>
        <v>19890</v>
      </c>
      <c r="W123" s="11">
        <v>0</v>
      </c>
      <c r="X123" s="11" t="s">
        <v>83</v>
      </c>
      <c r="Y123" s="11">
        <v>0</v>
      </c>
      <c r="Z123" s="11" t="s">
        <v>85</v>
      </c>
      <c r="AA123" s="11" t="s">
        <v>613</v>
      </c>
      <c r="AB123" s="11" t="s">
        <v>3139</v>
      </c>
      <c r="AC123" s="11" t="s">
        <v>985</v>
      </c>
      <c r="AD123" s="11" t="s">
        <v>1038</v>
      </c>
      <c r="AE123" s="11" t="s">
        <v>124</v>
      </c>
      <c r="AF123" s="11" t="s">
        <v>127</v>
      </c>
      <c r="AG123" s="12" t="s">
        <v>57</v>
      </c>
      <c r="AH123" s="12" t="s">
        <v>464</v>
      </c>
      <c r="AI123" s="11">
        <v>802852449</v>
      </c>
      <c r="AJ123" s="11" t="s">
        <v>190</v>
      </c>
      <c r="AK123" s="11"/>
      <c r="AL123" s="11"/>
      <c r="AM123" s="12" t="s">
        <v>64</v>
      </c>
      <c r="AN123" s="11" t="s">
        <v>115</v>
      </c>
      <c r="AO123" s="11" t="s">
        <v>3165</v>
      </c>
      <c r="AP123" s="11" t="s">
        <v>3129</v>
      </c>
      <c r="AQ123" s="3">
        <v>46091</v>
      </c>
      <c r="AR123" s="11">
        <v>12637.51</v>
      </c>
      <c r="AS123" s="11" t="s">
        <v>144</v>
      </c>
      <c r="AT123" s="12" t="s">
        <v>1077</v>
      </c>
      <c r="AU123" s="2">
        <v>46171</v>
      </c>
    </row>
    <row r="124" spans="1:47" x14ac:dyDescent="0.25">
      <c r="A124" s="45" t="s">
        <v>828</v>
      </c>
      <c r="B124" s="12" t="s">
        <v>881</v>
      </c>
      <c r="C124" s="11">
        <v>0</v>
      </c>
      <c r="D124" s="11" t="s">
        <v>108</v>
      </c>
      <c r="E124" s="12"/>
      <c r="F124" s="12"/>
      <c r="G124" s="11" t="s">
        <v>52</v>
      </c>
      <c r="H124" s="12">
        <v>11</v>
      </c>
      <c r="I124" s="12" t="s">
        <v>934</v>
      </c>
      <c r="J124" s="12" t="s">
        <v>42</v>
      </c>
      <c r="K124" s="12">
        <f>Table1[[#This Row],[ENR]]-Table1[[#This Row],[CREDIT]]</f>
        <v>6160.0899999999965</v>
      </c>
      <c r="L124" s="46">
        <v>100000</v>
      </c>
      <c r="M124" s="47">
        <v>106160.09</v>
      </c>
      <c r="N124" s="48" t="s">
        <v>43</v>
      </c>
      <c r="O124" s="49">
        <v>106160.09</v>
      </c>
      <c r="P124" s="49">
        <v>94437.92</v>
      </c>
      <c r="Q124" s="29">
        <v>22310</v>
      </c>
      <c r="R124" s="29">
        <v>6130</v>
      </c>
      <c r="S124" s="11" t="s">
        <v>44</v>
      </c>
      <c r="T124" s="11" t="s">
        <v>45</v>
      </c>
      <c r="U124" s="11">
        <v>0</v>
      </c>
      <c r="V124" s="49">
        <f>Table1[[#This Row],[STAB]]-Table1[[#This Row],[AMOUNT]]</f>
        <v>6130</v>
      </c>
      <c r="W124" s="11">
        <v>0</v>
      </c>
      <c r="X124" s="11" t="s">
        <v>83</v>
      </c>
      <c r="Y124" s="11">
        <v>0</v>
      </c>
      <c r="Z124" s="11" t="s">
        <v>85</v>
      </c>
      <c r="AA124" s="11" t="s">
        <v>447</v>
      </c>
      <c r="AB124" s="12" t="s">
        <v>3139</v>
      </c>
      <c r="AC124" s="12" t="s">
        <v>987</v>
      </c>
      <c r="AD124" s="12" t="s">
        <v>1040</v>
      </c>
      <c r="AE124" s="12" t="s">
        <v>425</v>
      </c>
      <c r="AF124" s="12" t="s">
        <v>53</v>
      </c>
      <c r="AG124" s="12" t="s">
        <v>117</v>
      </c>
      <c r="AH124" s="12" t="s">
        <v>466</v>
      </c>
      <c r="AI124" s="12">
        <v>802388289</v>
      </c>
      <c r="AJ124" s="12" t="s">
        <v>190</v>
      </c>
      <c r="AK124" s="12"/>
      <c r="AL124" s="12"/>
      <c r="AM124" s="12" t="s">
        <v>64</v>
      </c>
      <c r="AN124" s="12" t="s">
        <v>221</v>
      </c>
      <c r="AO124" s="12" t="s">
        <v>2452</v>
      </c>
      <c r="AP124" s="12" t="s">
        <v>2296</v>
      </c>
      <c r="AQ124" s="50">
        <v>45471</v>
      </c>
      <c r="AR124" s="12">
        <v>38301.01</v>
      </c>
      <c r="AS124" s="12" t="s">
        <v>434</v>
      </c>
      <c r="AT124" s="12" t="s">
        <v>1077</v>
      </c>
      <c r="AU124" s="51">
        <v>46171</v>
      </c>
    </row>
    <row r="125" spans="1:47" x14ac:dyDescent="0.25">
      <c r="A125" s="10" t="s">
        <v>827</v>
      </c>
      <c r="B125" s="11" t="s">
        <v>880</v>
      </c>
      <c r="C125" s="11">
        <v>0</v>
      </c>
      <c r="D125" s="11" t="s">
        <v>108</v>
      </c>
      <c r="E125" s="11"/>
      <c r="F125" s="11"/>
      <c r="G125" s="11" t="s">
        <v>52</v>
      </c>
      <c r="H125" s="11">
        <v>11</v>
      </c>
      <c r="I125" s="11" t="s">
        <v>933</v>
      </c>
      <c r="J125" s="11" t="s">
        <v>42</v>
      </c>
      <c r="K125" s="11">
        <f>Table1[[#This Row],[ENR]]-Table1[[#This Row],[CREDIT]]</f>
        <v>3379.8699999999953</v>
      </c>
      <c r="L125" s="43">
        <v>100000</v>
      </c>
      <c r="M125" s="30">
        <v>103379.87</v>
      </c>
      <c r="N125" s="44" t="s">
        <v>43</v>
      </c>
      <c r="O125" s="29">
        <v>103379.87</v>
      </c>
      <c r="P125" s="29">
        <v>94758.5</v>
      </c>
      <c r="Q125" s="29">
        <v>17740</v>
      </c>
      <c r="R125" s="29">
        <v>5550</v>
      </c>
      <c r="S125" s="11" t="s">
        <v>58</v>
      </c>
      <c r="T125" s="11" t="s">
        <v>14</v>
      </c>
      <c r="U125" s="29">
        <v>5550</v>
      </c>
      <c r="V125" s="29">
        <f>Table1[[#This Row],[STAB]]-Table1[[#This Row],[AMOUNT]]</f>
        <v>0</v>
      </c>
      <c r="W125" s="11" t="s">
        <v>2172</v>
      </c>
      <c r="X125" s="11" t="s">
        <v>444</v>
      </c>
      <c r="Y125" s="11" t="s">
        <v>760</v>
      </c>
      <c r="Z125" s="12" t="s">
        <v>85</v>
      </c>
      <c r="AA125" s="12" t="s">
        <v>611</v>
      </c>
      <c r="AB125" s="11" t="s">
        <v>3139</v>
      </c>
      <c r="AC125" s="11" t="s">
        <v>986</v>
      </c>
      <c r="AD125" s="11" t="s">
        <v>1039</v>
      </c>
      <c r="AE125" s="11" t="s">
        <v>92</v>
      </c>
      <c r="AF125" s="11" t="s">
        <v>54</v>
      </c>
      <c r="AG125" s="12" t="s">
        <v>120</v>
      </c>
      <c r="AH125" s="11" t="s">
        <v>463</v>
      </c>
      <c r="AI125" s="11">
        <v>802898520</v>
      </c>
      <c r="AJ125" s="11" t="s">
        <v>190</v>
      </c>
      <c r="AK125" s="11"/>
      <c r="AL125" s="11"/>
      <c r="AM125" s="12" t="s">
        <v>64</v>
      </c>
      <c r="AN125" s="11"/>
      <c r="AO125" s="11"/>
      <c r="AP125" s="11"/>
      <c r="AQ125" s="3">
        <v>45535</v>
      </c>
      <c r="AR125" s="11">
        <v>11296.84</v>
      </c>
      <c r="AS125" s="11" t="s">
        <v>437</v>
      </c>
      <c r="AT125" s="12" t="s">
        <v>1077</v>
      </c>
      <c r="AU125" s="2">
        <v>46171</v>
      </c>
    </row>
    <row r="126" spans="1:47" x14ac:dyDescent="0.25">
      <c r="A126" s="10" t="s">
        <v>825</v>
      </c>
      <c r="B126" s="11" t="s">
        <v>878</v>
      </c>
      <c r="C126" s="11">
        <v>0</v>
      </c>
      <c r="D126" s="11" t="s">
        <v>108</v>
      </c>
      <c r="E126" s="11"/>
      <c r="F126" s="11"/>
      <c r="G126" s="11" t="s">
        <v>52</v>
      </c>
      <c r="H126" s="11">
        <v>11</v>
      </c>
      <c r="I126" s="11" t="s">
        <v>931</v>
      </c>
      <c r="J126" s="11" t="s">
        <v>42</v>
      </c>
      <c r="K126" s="11">
        <f>Table1[[#This Row],[ENR]]-Table1[[#This Row],[CREDIT]]</f>
        <v>2599.75</v>
      </c>
      <c r="L126" s="43">
        <v>100000</v>
      </c>
      <c r="M126" s="30">
        <v>102599.75</v>
      </c>
      <c r="N126" s="44" t="s">
        <v>43</v>
      </c>
      <c r="O126" s="29">
        <v>102599.75</v>
      </c>
      <c r="P126" s="29">
        <v>64092.72</v>
      </c>
      <c r="Q126" s="29">
        <v>30220</v>
      </c>
      <c r="R126" s="29">
        <v>15950</v>
      </c>
      <c r="S126" s="11" t="s">
        <v>58</v>
      </c>
      <c r="T126" s="11" t="s">
        <v>13</v>
      </c>
      <c r="U126" s="11">
        <v>102599.75</v>
      </c>
      <c r="V126" s="29">
        <f>Table1[[#This Row],[STAB]]-Table1[[#This Row],[AMOUNT]]</f>
        <v>-86649.75</v>
      </c>
      <c r="W126" s="11">
        <v>0</v>
      </c>
      <c r="X126" s="11" t="s">
        <v>761</v>
      </c>
      <c r="Y126" s="11" t="s">
        <v>760</v>
      </c>
      <c r="Z126" s="11" t="s">
        <v>85</v>
      </c>
      <c r="AA126" s="11" t="s">
        <v>613</v>
      </c>
      <c r="AB126" s="11" t="s">
        <v>3139</v>
      </c>
      <c r="AC126" s="11" t="s">
        <v>984</v>
      </c>
      <c r="AD126" s="11" t="s">
        <v>1037</v>
      </c>
      <c r="AE126" s="11" t="s">
        <v>1071</v>
      </c>
      <c r="AF126" s="11" t="s">
        <v>53</v>
      </c>
      <c r="AG126" s="12" t="s">
        <v>55</v>
      </c>
      <c r="AH126" s="12" t="s">
        <v>468</v>
      </c>
      <c r="AI126" s="11">
        <v>802030802</v>
      </c>
      <c r="AJ126" s="11" t="s">
        <v>458</v>
      </c>
      <c r="AK126" s="11"/>
      <c r="AL126" s="11"/>
      <c r="AM126" s="12" t="s">
        <v>64</v>
      </c>
      <c r="AN126" s="11"/>
      <c r="AO126" s="11"/>
      <c r="AP126" s="11"/>
      <c r="AQ126" s="3">
        <v>46112</v>
      </c>
      <c r="AR126" s="11">
        <v>10700</v>
      </c>
      <c r="AS126" s="11" t="s">
        <v>434</v>
      </c>
      <c r="AT126" s="12" t="s">
        <v>1077</v>
      </c>
      <c r="AU126" s="2">
        <v>46171</v>
      </c>
    </row>
    <row r="127" spans="1:47" x14ac:dyDescent="0.25">
      <c r="A127" s="10" t="s">
        <v>853</v>
      </c>
      <c r="B127" s="11" t="s">
        <v>906</v>
      </c>
      <c r="C127" s="11">
        <v>0</v>
      </c>
      <c r="D127" s="11" t="s">
        <v>108</v>
      </c>
      <c r="E127" s="11"/>
      <c r="F127" s="11"/>
      <c r="G127" s="11" t="s">
        <v>90</v>
      </c>
      <c r="H127" s="11">
        <v>11</v>
      </c>
      <c r="I127" s="11" t="s">
        <v>959</v>
      </c>
      <c r="J127" s="11" t="s">
        <v>42</v>
      </c>
      <c r="K127" s="11">
        <f>Table1[[#This Row],[ENR]]-Table1[[#This Row],[CREDIT]]</f>
        <v>1464.3999999999942</v>
      </c>
      <c r="L127" s="43">
        <v>100000</v>
      </c>
      <c r="M127" s="30">
        <v>101464.4</v>
      </c>
      <c r="N127" s="44" t="s">
        <v>43</v>
      </c>
      <c r="O127" s="29">
        <v>101464.4</v>
      </c>
      <c r="P127" s="29">
        <v>91103.48</v>
      </c>
      <c r="Q127" s="29">
        <v>22890</v>
      </c>
      <c r="R127" s="29">
        <v>11500</v>
      </c>
      <c r="S127" s="11" t="s">
        <v>58</v>
      </c>
      <c r="T127" s="11" t="s">
        <v>13</v>
      </c>
      <c r="U127" s="11">
        <v>22890</v>
      </c>
      <c r="V127" s="29">
        <f>Table1[[#This Row],[STAB]]-Table1[[#This Row],[AMOUNT]]</f>
        <v>-11390</v>
      </c>
      <c r="W127" s="11" t="s">
        <v>2294</v>
      </c>
      <c r="X127" s="11" t="s">
        <v>444</v>
      </c>
      <c r="Y127" s="11" t="s">
        <v>760</v>
      </c>
      <c r="Z127" s="12" t="s">
        <v>85</v>
      </c>
      <c r="AA127" s="12" t="s">
        <v>611</v>
      </c>
      <c r="AB127" s="11" t="s">
        <v>3140</v>
      </c>
      <c r="AC127" s="11" t="s">
        <v>1012</v>
      </c>
      <c r="AD127" s="11" t="s">
        <v>1064</v>
      </c>
      <c r="AE127" s="11" t="s">
        <v>416</v>
      </c>
      <c r="AF127" s="11" t="s">
        <v>54</v>
      </c>
      <c r="AG127" s="12" t="s">
        <v>1501</v>
      </c>
      <c r="AH127" s="11" t="s">
        <v>193</v>
      </c>
      <c r="AI127" s="11">
        <v>802824019</v>
      </c>
      <c r="AJ127" s="11" t="s">
        <v>189</v>
      </c>
      <c r="AK127" s="11"/>
      <c r="AL127" s="11"/>
      <c r="AM127" s="12" t="s">
        <v>64</v>
      </c>
      <c r="AN127" s="11"/>
      <c r="AO127" s="11"/>
      <c r="AP127" s="11"/>
      <c r="AQ127" s="3" t="s">
        <v>43</v>
      </c>
      <c r="AR127" s="11">
        <v>0</v>
      </c>
      <c r="AS127" s="11" t="s">
        <v>436</v>
      </c>
      <c r="AT127" s="12" t="s">
        <v>1077</v>
      </c>
      <c r="AU127" s="2">
        <v>46171</v>
      </c>
    </row>
    <row r="128" spans="1:47" x14ac:dyDescent="0.25">
      <c r="A128" s="10" t="s">
        <v>824</v>
      </c>
      <c r="B128" s="11" t="s">
        <v>877</v>
      </c>
      <c r="C128" s="11">
        <v>0</v>
      </c>
      <c r="D128" s="11" t="s">
        <v>108</v>
      </c>
      <c r="E128" s="11"/>
      <c r="F128" s="11"/>
      <c r="G128" s="11" t="s">
        <v>52</v>
      </c>
      <c r="H128" s="11">
        <v>11</v>
      </c>
      <c r="I128" s="11" t="s">
        <v>930</v>
      </c>
      <c r="J128" s="11" t="s">
        <v>42</v>
      </c>
      <c r="K128" s="11">
        <f>Table1[[#This Row],[ENR]]-Table1[[#This Row],[CREDIT]]</f>
        <v>-81214.78</v>
      </c>
      <c r="L128" s="43">
        <v>180000</v>
      </c>
      <c r="M128" s="30">
        <v>98785.22</v>
      </c>
      <c r="N128" s="44" t="s">
        <v>43</v>
      </c>
      <c r="O128" s="29">
        <v>98785.22</v>
      </c>
      <c r="P128" s="29">
        <v>87273.47</v>
      </c>
      <c r="Q128" s="29">
        <v>16610</v>
      </c>
      <c r="R128" s="29">
        <v>6770</v>
      </c>
      <c r="S128" s="11" t="s">
        <v>58</v>
      </c>
      <c r="T128" s="11" t="s">
        <v>13</v>
      </c>
      <c r="U128" s="11">
        <v>98785.22</v>
      </c>
      <c r="V128" s="29">
        <f>Table1[[#This Row],[STAB]]-Table1[[#This Row],[AMOUNT]]</f>
        <v>-92015.22</v>
      </c>
      <c r="W128" s="11" t="s">
        <v>1497</v>
      </c>
      <c r="X128" s="11" t="s">
        <v>444</v>
      </c>
      <c r="Y128" s="11" t="s">
        <v>760</v>
      </c>
      <c r="Z128" s="12" t="s">
        <v>85</v>
      </c>
      <c r="AA128" s="12" t="s">
        <v>612</v>
      </c>
      <c r="AB128" s="11" t="s">
        <v>3139</v>
      </c>
      <c r="AC128" s="11" t="s">
        <v>983</v>
      </c>
      <c r="AD128" s="11" t="s">
        <v>1036</v>
      </c>
      <c r="AE128" s="11" t="s">
        <v>429</v>
      </c>
      <c r="AF128" s="11" t="s">
        <v>54</v>
      </c>
      <c r="AG128" s="12" t="s">
        <v>95</v>
      </c>
      <c r="AH128" s="12" t="s">
        <v>465</v>
      </c>
      <c r="AI128" s="11">
        <v>802823175</v>
      </c>
      <c r="AJ128" s="11" t="s">
        <v>191</v>
      </c>
      <c r="AK128" s="11"/>
      <c r="AL128" s="11"/>
      <c r="AM128" s="12" t="s">
        <v>64</v>
      </c>
      <c r="AN128" s="11"/>
      <c r="AO128" s="11"/>
      <c r="AP128" s="11"/>
      <c r="AQ128" s="3">
        <v>45565</v>
      </c>
      <c r="AR128" s="11">
        <v>40000</v>
      </c>
      <c r="AS128" s="11" t="s">
        <v>436</v>
      </c>
      <c r="AT128" s="12" t="s">
        <v>1077</v>
      </c>
      <c r="AU128" s="2">
        <v>46171</v>
      </c>
    </row>
    <row r="129" spans="1:47" x14ac:dyDescent="0.25">
      <c r="A129" s="10" t="s">
        <v>822</v>
      </c>
      <c r="B129" s="11" t="s">
        <v>875</v>
      </c>
      <c r="C129" s="11">
        <v>0</v>
      </c>
      <c r="D129" s="11" t="s">
        <v>108</v>
      </c>
      <c r="E129" s="11"/>
      <c r="F129" s="11"/>
      <c r="G129" s="11" t="s">
        <v>90</v>
      </c>
      <c r="H129" s="11">
        <v>11</v>
      </c>
      <c r="I129" s="11" t="s">
        <v>928</v>
      </c>
      <c r="J129" s="11" t="s">
        <v>42</v>
      </c>
      <c r="K129" s="11">
        <f>Table1[[#This Row],[ENR]]-Table1[[#This Row],[CREDIT]]</f>
        <v>7106.3699999999953</v>
      </c>
      <c r="L129" s="43">
        <v>90000</v>
      </c>
      <c r="M129" s="30">
        <v>97106.37</v>
      </c>
      <c r="N129" s="44">
        <v>7871.53</v>
      </c>
      <c r="O129" s="29">
        <v>89234.84</v>
      </c>
      <c r="P129" s="29">
        <v>80400.800000000003</v>
      </c>
      <c r="Q129" s="29">
        <v>19910</v>
      </c>
      <c r="R129" s="29">
        <v>10070</v>
      </c>
      <c r="S129" s="11" t="s">
        <v>58</v>
      </c>
      <c r="T129" s="11" t="s">
        <v>13</v>
      </c>
      <c r="U129" s="11">
        <v>89234.84</v>
      </c>
      <c r="V129" s="29">
        <f>Table1[[#This Row],[STAB]]-Table1[[#This Row],[AMOUNT]]</f>
        <v>-79164.84</v>
      </c>
      <c r="W129" s="11" t="s">
        <v>2172</v>
      </c>
      <c r="X129" s="11" t="s">
        <v>451</v>
      </c>
      <c r="Y129" s="11" t="s">
        <v>760</v>
      </c>
      <c r="Z129" s="11" t="s">
        <v>85</v>
      </c>
      <c r="AA129" s="11" t="s">
        <v>447</v>
      </c>
      <c r="AB129" s="11" t="s">
        <v>3139</v>
      </c>
      <c r="AC129" s="11" t="s">
        <v>981</v>
      </c>
      <c r="AD129" s="11" t="s">
        <v>1034</v>
      </c>
      <c r="AE129" s="11" t="s">
        <v>428</v>
      </c>
      <c r="AF129" s="11" t="s">
        <v>53</v>
      </c>
      <c r="AG129" s="12" t="s">
        <v>55</v>
      </c>
      <c r="AH129" s="11" t="s">
        <v>468</v>
      </c>
      <c r="AI129" s="11">
        <v>802030802</v>
      </c>
      <c r="AJ129" s="11" t="s">
        <v>458</v>
      </c>
      <c r="AK129" s="11"/>
      <c r="AL129" s="11"/>
      <c r="AM129" s="12" t="s">
        <v>64</v>
      </c>
      <c r="AN129" s="11" t="s">
        <v>115</v>
      </c>
      <c r="AO129" s="11" t="s">
        <v>1504</v>
      </c>
      <c r="AP129" s="11" t="s">
        <v>1497</v>
      </c>
      <c r="AQ129" s="3">
        <v>45917</v>
      </c>
      <c r="AR129" s="11">
        <v>14380</v>
      </c>
      <c r="AS129" s="11" t="s">
        <v>436</v>
      </c>
      <c r="AT129" s="12" t="s">
        <v>1077</v>
      </c>
      <c r="AU129" s="2">
        <v>46171</v>
      </c>
    </row>
    <row r="130" spans="1:47" x14ac:dyDescent="0.25">
      <c r="A130" s="10" t="s">
        <v>823</v>
      </c>
      <c r="B130" s="11" t="s">
        <v>876</v>
      </c>
      <c r="C130" s="11">
        <v>0</v>
      </c>
      <c r="D130" s="11" t="s">
        <v>108</v>
      </c>
      <c r="E130" s="11"/>
      <c r="F130" s="11"/>
      <c r="G130" s="11" t="s">
        <v>52</v>
      </c>
      <c r="H130" s="11">
        <v>11</v>
      </c>
      <c r="I130" s="11" t="s">
        <v>929</v>
      </c>
      <c r="J130" s="11" t="s">
        <v>42</v>
      </c>
      <c r="K130" s="11">
        <f>Table1[[#This Row],[ENR]]-Table1[[#This Row],[CREDIT]]</f>
        <v>-6417.6999999999971</v>
      </c>
      <c r="L130" s="43">
        <v>97000</v>
      </c>
      <c r="M130" s="30">
        <v>90582.3</v>
      </c>
      <c r="N130" s="44" t="s">
        <v>43</v>
      </c>
      <c r="O130" s="29">
        <v>90582.3</v>
      </c>
      <c r="P130" s="29">
        <v>80384.09</v>
      </c>
      <c r="Q130" s="29">
        <v>15380</v>
      </c>
      <c r="R130" s="29">
        <v>6240</v>
      </c>
      <c r="S130" s="11" t="s">
        <v>58</v>
      </c>
      <c r="T130" s="11" t="s">
        <v>13</v>
      </c>
      <c r="U130" s="11">
        <v>43200</v>
      </c>
      <c r="V130" s="29">
        <f>Table1[[#This Row],[STAB]]-Table1[[#This Row],[AMOUNT]]</f>
        <v>-36960</v>
      </c>
      <c r="W130" s="11" t="s">
        <v>1667</v>
      </c>
      <c r="X130" s="11" t="s">
        <v>444</v>
      </c>
      <c r="Y130" s="11" t="s">
        <v>760</v>
      </c>
      <c r="Z130" s="12" t="s">
        <v>85</v>
      </c>
      <c r="AA130" s="12" t="s">
        <v>611</v>
      </c>
      <c r="AB130" s="11" t="s">
        <v>3139</v>
      </c>
      <c r="AC130" s="11" t="s">
        <v>982</v>
      </c>
      <c r="AD130" s="11" t="s">
        <v>1035</v>
      </c>
      <c r="AE130" s="11" t="s">
        <v>104</v>
      </c>
      <c r="AF130" s="11" t="s">
        <v>54</v>
      </c>
      <c r="AG130" s="12" t="s">
        <v>610</v>
      </c>
      <c r="AH130" s="12" t="s">
        <v>627</v>
      </c>
      <c r="AI130" s="11">
        <v>801772792</v>
      </c>
      <c r="AJ130" s="11" t="s">
        <v>191</v>
      </c>
      <c r="AK130" s="11"/>
      <c r="AL130" s="11"/>
      <c r="AM130" s="12" t="s">
        <v>64</v>
      </c>
      <c r="AN130" s="11"/>
      <c r="AO130" s="11"/>
      <c r="AP130" s="11"/>
      <c r="AQ130" s="3">
        <v>45665</v>
      </c>
      <c r="AR130" s="11">
        <v>4580</v>
      </c>
      <c r="AS130" s="11" t="s">
        <v>144</v>
      </c>
      <c r="AT130" s="12" t="s">
        <v>1077</v>
      </c>
      <c r="AU130" s="2">
        <v>46171</v>
      </c>
    </row>
    <row r="131" spans="1:47" x14ac:dyDescent="0.25">
      <c r="A131" s="10" t="s">
        <v>840</v>
      </c>
      <c r="B131" s="11" t="s">
        <v>893</v>
      </c>
      <c r="C131" s="11">
        <v>0</v>
      </c>
      <c r="D131" s="11" t="s">
        <v>108</v>
      </c>
      <c r="E131" s="11"/>
      <c r="F131" s="11"/>
      <c r="G131" s="11" t="s">
        <v>90</v>
      </c>
      <c r="H131" s="11">
        <v>11</v>
      </c>
      <c r="I131" s="11" t="s">
        <v>946</v>
      </c>
      <c r="J131" s="11" t="s">
        <v>42</v>
      </c>
      <c r="K131" s="11">
        <f>Table1[[#This Row],[ENR]]-Table1[[#This Row],[CREDIT]]</f>
        <v>-9543.5099999999948</v>
      </c>
      <c r="L131" s="43">
        <v>100000</v>
      </c>
      <c r="M131" s="30">
        <v>90456.49</v>
      </c>
      <c r="N131" s="44" t="s">
        <v>43</v>
      </c>
      <c r="O131" s="29">
        <v>90456.49</v>
      </c>
      <c r="P131" s="29">
        <v>86134.33</v>
      </c>
      <c r="Q131" s="29">
        <v>11620</v>
      </c>
      <c r="R131" s="29">
        <v>6807</v>
      </c>
      <c r="S131" s="11" t="s">
        <v>58</v>
      </c>
      <c r="T131" s="11" t="s">
        <v>13</v>
      </c>
      <c r="U131" s="11">
        <v>34928</v>
      </c>
      <c r="V131" s="29">
        <f>Table1[[#This Row],[STAB]]-Table1[[#This Row],[AMOUNT]]</f>
        <v>-28121</v>
      </c>
      <c r="W131" s="11" t="s">
        <v>3129</v>
      </c>
      <c r="X131" s="11" t="s">
        <v>444</v>
      </c>
      <c r="Y131" s="11" t="s">
        <v>760</v>
      </c>
      <c r="Z131" s="11" t="s">
        <v>85</v>
      </c>
      <c r="AA131" s="11" t="s">
        <v>447</v>
      </c>
      <c r="AB131" s="11" t="s">
        <v>3139</v>
      </c>
      <c r="AC131" s="11" t="s">
        <v>999</v>
      </c>
      <c r="AD131" s="11" t="s">
        <v>1051</v>
      </c>
      <c r="AE131" s="11" t="s">
        <v>1071</v>
      </c>
      <c r="AF131" s="11" t="s">
        <v>53</v>
      </c>
      <c r="AG131" s="12" t="s">
        <v>55</v>
      </c>
      <c r="AH131" s="11" t="s">
        <v>468</v>
      </c>
      <c r="AI131" s="11">
        <v>802030802</v>
      </c>
      <c r="AJ131" s="11" t="s">
        <v>458</v>
      </c>
      <c r="AK131" s="11"/>
      <c r="AL131" s="11"/>
      <c r="AM131" s="12" t="s">
        <v>64</v>
      </c>
      <c r="AN131" s="11" t="s">
        <v>115</v>
      </c>
      <c r="AO131" s="11" t="s">
        <v>2462</v>
      </c>
      <c r="AP131" s="11" t="s">
        <v>2296</v>
      </c>
      <c r="AQ131" s="3">
        <v>45953</v>
      </c>
      <c r="AR131" s="11">
        <v>1776.01</v>
      </c>
      <c r="AS131" s="11" t="s">
        <v>437</v>
      </c>
      <c r="AT131" s="12" t="s">
        <v>1077</v>
      </c>
      <c r="AU131" s="2">
        <v>46171</v>
      </c>
    </row>
    <row r="132" spans="1:47" x14ac:dyDescent="0.25">
      <c r="A132" s="45" t="s">
        <v>859</v>
      </c>
      <c r="B132" s="12" t="s">
        <v>912</v>
      </c>
      <c r="C132" s="11">
        <v>0</v>
      </c>
      <c r="D132" s="11" t="s">
        <v>108</v>
      </c>
      <c r="E132" s="12"/>
      <c r="F132" s="12"/>
      <c r="G132" s="11" t="s">
        <v>52</v>
      </c>
      <c r="H132" s="12">
        <v>11</v>
      </c>
      <c r="I132" s="12" t="s">
        <v>965</v>
      </c>
      <c r="J132" s="12" t="s">
        <v>42</v>
      </c>
      <c r="K132" s="12">
        <f>Table1[[#This Row],[ENR]]-Table1[[#This Row],[CREDIT]]</f>
        <v>5856.0800000000017</v>
      </c>
      <c r="L132" s="46">
        <v>80000</v>
      </c>
      <c r="M132" s="47">
        <v>85856.08</v>
      </c>
      <c r="N132" s="48" t="s">
        <v>43</v>
      </c>
      <c r="O132" s="49">
        <v>85856.08</v>
      </c>
      <c r="P132" s="49">
        <v>75997</v>
      </c>
      <c r="Q132" s="29">
        <v>22800</v>
      </c>
      <c r="R132" s="29">
        <v>9410</v>
      </c>
      <c r="S132" s="11" t="s">
        <v>58</v>
      </c>
      <c r="T132" s="11" t="s">
        <v>13</v>
      </c>
      <c r="U132" s="11">
        <v>85856.08</v>
      </c>
      <c r="V132" s="49">
        <f>Table1[[#This Row],[STAB]]-Table1[[#This Row],[AMOUNT]]</f>
        <v>-76446.080000000002</v>
      </c>
      <c r="W132" s="11" t="s">
        <v>800</v>
      </c>
      <c r="X132" s="11" t="s">
        <v>444</v>
      </c>
      <c r="Y132" s="11" t="s">
        <v>760</v>
      </c>
      <c r="Z132" s="11" t="s">
        <v>85</v>
      </c>
      <c r="AA132" s="11" t="s">
        <v>613</v>
      </c>
      <c r="AB132" s="12" t="s">
        <v>3139</v>
      </c>
      <c r="AC132" s="12" t="s">
        <v>1018</v>
      </c>
      <c r="AD132" s="12" t="s">
        <v>1070</v>
      </c>
      <c r="AE132" s="12" t="s">
        <v>746</v>
      </c>
      <c r="AF132" s="12" t="s">
        <v>53</v>
      </c>
      <c r="AG132" s="11" t="s">
        <v>3469</v>
      </c>
      <c r="AH132" s="12" t="s">
        <v>85</v>
      </c>
      <c r="AI132" s="12">
        <v>801772794</v>
      </c>
      <c r="AJ132" s="12" t="s">
        <v>192</v>
      </c>
      <c r="AK132" s="12"/>
      <c r="AL132" s="12"/>
      <c r="AM132" s="12" t="s">
        <v>64</v>
      </c>
      <c r="AN132" s="12"/>
      <c r="AO132" s="12"/>
      <c r="AP132" s="12"/>
      <c r="AQ132" s="50">
        <v>45503</v>
      </c>
      <c r="AR132" s="12">
        <v>35909.980000000003</v>
      </c>
      <c r="AS132" s="12" t="s">
        <v>1076</v>
      </c>
      <c r="AT132" s="12" t="s">
        <v>1077</v>
      </c>
      <c r="AU132" s="51">
        <v>46171</v>
      </c>
    </row>
    <row r="133" spans="1:47" x14ac:dyDescent="0.25">
      <c r="A133" s="45" t="s">
        <v>843</v>
      </c>
      <c r="B133" s="12" t="s">
        <v>896</v>
      </c>
      <c r="C133" s="11">
        <v>0</v>
      </c>
      <c r="D133" s="11" t="s">
        <v>108</v>
      </c>
      <c r="E133" s="12"/>
      <c r="F133" s="12"/>
      <c r="G133" s="11" t="s">
        <v>90</v>
      </c>
      <c r="H133" s="12">
        <v>11</v>
      </c>
      <c r="I133" s="12" t="s">
        <v>949</v>
      </c>
      <c r="J133" s="12" t="s">
        <v>42</v>
      </c>
      <c r="K133" s="12">
        <f>Table1[[#This Row],[ENR]]-Table1[[#This Row],[CREDIT]]</f>
        <v>3907.320000000007</v>
      </c>
      <c r="L133" s="46">
        <v>80000</v>
      </c>
      <c r="M133" s="30">
        <v>83907.32</v>
      </c>
      <c r="N133" s="48" t="s">
        <v>43</v>
      </c>
      <c r="O133" s="49">
        <v>83907.32</v>
      </c>
      <c r="P133" s="49">
        <v>75913.72</v>
      </c>
      <c r="Q133" s="49">
        <v>26360</v>
      </c>
      <c r="R133" s="49">
        <v>14330</v>
      </c>
      <c r="S133" s="11" t="s">
        <v>44</v>
      </c>
      <c r="T133" s="11" t="s">
        <v>45</v>
      </c>
      <c r="U133" s="11">
        <v>0</v>
      </c>
      <c r="V133" s="49">
        <f>Table1[[#This Row],[STAB]]-Table1[[#This Row],[AMOUNT]]</f>
        <v>14330</v>
      </c>
      <c r="W133" s="11">
        <v>0</v>
      </c>
      <c r="X133" s="11" t="s">
        <v>83</v>
      </c>
      <c r="Y133" s="11" t="s">
        <v>760</v>
      </c>
      <c r="Z133" s="11" t="s">
        <v>85</v>
      </c>
      <c r="AA133" s="11" t="s">
        <v>613</v>
      </c>
      <c r="AB133" s="12" t="s">
        <v>3139</v>
      </c>
      <c r="AC133" s="12" t="s">
        <v>1002</v>
      </c>
      <c r="AD133" s="12" t="s">
        <v>1054</v>
      </c>
      <c r="AE133" s="12" t="s">
        <v>133</v>
      </c>
      <c r="AF133" s="12" t="s">
        <v>54</v>
      </c>
      <c r="AG133" s="12" t="s">
        <v>1658</v>
      </c>
      <c r="AH133" s="12" t="s">
        <v>85</v>
      </c>
      <c r="AI133" s="12">
        <v>801772794</v>
      </c>
      <c r="AJ133" s="12" t="s">
        <v>192</v>
      </c>
      <c r="AK133" s="12"/>
      <c r="AL133" s="12"/>
      <c r="AM133" s="12" t="s">
        <v>46</v>
      </c>
      <c r="AN133" s="12"/>
      <c r="AO133" s="12"/>
      <c r="AP133" s="12"/>
      <c r="AQ133" s="50">
        <v>45902</v>
      </c>
      <c r="AR133" s="12">
        <v>4230</v>
      </c>
      <c r="AS133" s="12" t="s">
        <v>436</v>
      </c>
      <c r="AT133" s="12" t="s">
        <v>1077</v>
      </c>
      <c r="AU133" s="51">
        <v>46171</v>
      </c>
    </row>
    <row r="134" spans="1:47" x14ac:dyDescent="0.25">
      <c r="A134" s="10" t="s">
        <v>820</v>
      </c>
      <c r="B134" s="11" t="s">
        <v>873</v>
      </c>
      <c r="C134" s="11">
        <v>0</v>
      </c>
      <c r="D134" s="11" t="s">
        <v>108</v>
      </c>
      <c r="E134" s="11"/>
      <c r="F134" s="11"/>
      <c r="G134" s="11" t="s">
        <v>90</v>
      </c>
      <c r="H134" s="11">
        <v>11</v>
      </c>
      <c r="I134" s="11" t="s">
        <v>926</v>
      </c>
      <c r="J134" s="11" t="s">
        <v>42</v>
      </c>
      <c r="K134" s="11">
        <f>Table1[[#This Row],[ENR]]-Table1[[#This Row],[CREDIT]]</f>
        <v>-7710.320000000007</v>
      </c>
      <c r="L134" s="43">
        <v>85000</v>
      </c>
      <c r="M134" s="30">
        <v>77289.679999999993</v>
      </c>
      <c r="N134" s="44" t="s">
        <v>43</v>
      </c>
      <c r="O134" s="29">
        <v>77289.679999999993</v>
      </c>
      <c r="P134" s="29">
        <v>68774.53</v>
      </c>
      <c r="Q134" s="29">
        <v>16140</v>
      </c>
      <c r="R134" s="29">
        <v>8150</v>
      </c>
      <c r="S134" s="11" t="s">
        <v>58</v>
      </c>
      <c r="T134" s="11" t="s">
        <v>14</v>
      </c>
      <c r="U134" s="29">
        <v>8150</v>
      </c>
      <c r="V134" s="29">
        <f>Table1[[#This Row],[STAB]]-Table1[[#This Row],[AMOUNT]]</f>
        <v>0</v>
      </c>
      <c r="W134" s="11" t="s">
        <v>2296</v>
      </c>
      <c r="X134" s="11" t="s">
        <v>451</v>
      </c>
      <c r="Y134" s="11" t="s">
        <v>760</v>
      </c>
      <c r="Z134" s="11" t="s">
        <v>85</v>
      </c>
      <c r="AA134" s="11" t="s">
        <v>447</v>
      </c>
      <c r="AB134" s="11" t="s">
        <v>3139</v>
      </c>
      <c r="AC134" s="11" t="s">
        <v>979</v>
      </c>
      <c r="AD134" s="11" t="s">
        <v>1032</v>
      </c>
      <c r="AE134" s="11" t="s">
        <v>426</v>
      </c>
      <c r="AF134" s="11" t="s">
        <v>439</v>
      </c>
      <c r="AG134" s="12" t="s">
        <v>63</v>
      </c>
      <c r="AH134" s="12" t="s">
        <v>467</v>
      </c>
      <c r="AI134" s="11">
        <v>801570488</v>
      </c>
      <c r="AJ134" s="11" t="s">
        <v>190</v>
      </c>
      <c r="AK134" s="11"/>
      <c r="AL134" s="11"/>
      <c r="AM134" s="12" t="s">
        <v>64</v>
      </c>
      <c r="AN134" s="11" t="s">
        <v>446</v>
      </c>
      <c r="AO134" s="11" t="s">
        <v>2449</v>
      </c>
      <c r="AP134" s="11" t="s">
        <v>2296</v>
      </c>
      <c r="AQ134" s="3">
        <v>45781</v>
      </c>
      <c r="AR134" s="11">
        <v>86140</v>
      </c>
      <c r="AS134" s="11" t="s">
        <v>1073</v>
      </c>
      <c r="AT134" s="12" t="s">
        <v>1077</v>
      </c>
      <c r="AU134" s="2">
        <v>46171</v>
      </c>
    </row>
    <row r="135" spans="1:47" x14ac:dyDescent="0.25">
      <c r="A135" s="45" t="s">
        <v>819</v>
      </c>
      <c r="B135" s="12" t="s">
        <v>872</v>
      </c>
      <c r="C135" s="11">
        <v>0</v>
      </c>
      <c r="D135" s="11" t="s">
        <v>108</v>
      </c>
      <c r="E135" s="12"/>
      <c r="F135" s="12"/>
      <c r="G135" s="11" t="s">
        <v>52</v>
      </c>
      <c r="H135" s="12">
        <v>11</v>
      </c>
      <c r="I135" s="12" t="s">
        <v>925</v>
      </c>
      <c r="J135" s="12" t="s">
        <v>42</v>
      </c>
      <c r="K135" s="12">
        <f>Table1[[#This Row],[ENR]]-Table1[[#This Row],[CREDIT]]</f>
        <v>5649.4400000000023</v>
      </c>
      <c r="L135" s="46">
        <v>70000</v>
      </c>
      <c r="M135" s="47">
        <v>75649.440000000002</v>
      </c>
      <c r="N135" s="48" t="s">
        <v>43</v>
      </c>
      <c r="O135" s="49">
        <v>75649.440000000002</v>
      </c>
      <c r="P135" s="49">
        <v>67508</v>
      </c>
      <c r="Q135" s="29">
        <v>19940</v>
      </c>
      <c r="R135" s="29">
        <v>5190</v>
      </c>
      <c r="S135" s="11" t="s">
        <v>58</v>
      </c>
      <c r="T135" s="11" t="s">
        <v>14</v>
      </c>
      <c r="U135" s="29">
        <v>5500</v>
      </c>
      <c r="V135" s="49">
        <f>Table1[[#This Row],[STAB]]-Table1[[#This Row],[AMOUNT]]</f>
        <v>-310</v>
      </c>
      <c r="W135" s="11">
        <v>0</v>
      </c>
      <c r="X135" s="11" t="s">
        <v>761</v>
      </c>
      <c r="Y135" s="11" t="s">
        <v>760</v>
      </c>
      <c r="Z135" s="12" t="s">
        <v>85</v>
      </c>
      <c r="AA135" s="12" t="s">
        <v>612</v>
      </c>
      <c r="AB135" s="12" t="s">
        <v>3140</v>
      </c>
      <c r="AC135" s="12" t="s">
        <v>978</v>
      </c>
      <c r="AD135" s="12" t="s">
        <v>1031</v>
      </c>
      <c r="AE135" s="12" t="s">
        <v>421</v>
      </c>
      <c r="AF135" s="12" t="s">
        <v>54</v>
      </c>
      <c r="AG135" s="12" t="s">
        <v>119</v>
      </c>
      <c r="AH135" s="12" t="s">
        <v>626</v>
      </c>
      <c r="AI135" s="12">
        <v>802663344</v>
      </c>
      <c r="AJ135" s="12" t="s">
        <v>191</v>
      </c>
      <c r="AK135" s="12"/>
      <c r="AL135" s="12"/>
      <c r="AM135" s="12" t="s">
        <v>64</v>
      </c>
      <c r="AN135" s="12" t="s">
        <v>115</v>
      </c>
      <c r="AO135" s="12" t="s">
        <v>1505</v>
      </c>
      <c r="AP135" s="12" t="s">
        <v>1497</v>
      </c>
      <c r="AQ135" s="50">
        <v>45635</v>
      </c>
      <c r="AR135" s="12">
        <v>4500</v>
      </c>
      <c r="AS135" s="12" t="s">
        <v>436</v>
      </c>
      <c r="AT135" s="12" t="s">
        <v>1077</v>
      </c>
      <c r="AU135" s="51">
        <v>46171</v>
      </c>
    </row>
    <row r="136" spans="1:47" x14ac:dyDescent="0.25">
      <c r="A136" s="10" t="s">
        <v>813</v>
      </c>
      <c r="B136" s="11" t="s">
        <v>866</v>
      </c>
      <c r="C136" s="11">
        <v>0</v>
      </c>
      <c r="D136" s="11" t="s">
        <v>108</v>
      </c>
      <c r="E136" s="11"/>
      <c r="F136" s="11"/>
      <c r="G136" s="11" t="s">
        <v>52</v>
      </c>
      <c r="H136" s="11">
        <v>11</v>
      </c>
      <c r="I136" s="11" t="s">
        <v>919</v>
      </c>
      <c r="J136" s="11" t="s">
        <v>42</v>
      </c>
      <c r="K136" s="11">
        <f>Table1[[#This Row],[ENR]]-Table1[[#This Row],[CREDIT]]</f>
        <v>5107.4400000000023</v>
      </c>
      <c r="L136" s="43">
        <v>70000</v>
      </c>
      <c r="M136" s="30">
        <v>75107.44</v>
      </c>
      <c r="N136" s="44">
        <v>15982.13</v>
      </c>
      <c r="O136" s="29">
        <v>59125.31</v>
      </c>
      <c r="P136" s="29">
        <v>53666.69</v>
      </c>
      <c r="Q136" s="29">
        <v>10830</v>
      </c>
      <c r="R136" s="29">
        <v>4450</v>
      </c>
      <c r="S136" s="11" t="s">
        <v>58</v>
      </c>
      <c r="T136" s="11" t="s">
        <v>13</v>
      </c>
      <c r="U136" s="11">
        <v>10830</v>
      </c>
      <c r="V136" s="29">
        <f>Table1[[#This Row],[STAB]]-Table1[[#This Row],[AMOUNT]]</f>
        <v>-6380</v>
      </c>
      <c r="W136" s="11">
        <v>0</v>
      </c>
      <c r="X136" s="11" t="s">
        <v>761</v>
      </c>
      <c r="Y136" s="11" t="s">
        <v>759</v>
      </c>
      <c r="Z136" s="11" t="s">
        <v>85</v>
      </c>
      <c r="AA136" s="11" t="s">
        <v>447</v>
      </c>
      <c r="AB136" s="11" t="s">
        <v>3139</v>
      </c>
      <c r="AC136" s="11" t="s">
        <v>972</v>
      </c>
      <c r="AD136" s="11" t="s">
        <v>1025</v>
      </c>
      <c r="AE136" s="11" t="s">
        <v>103</v>
      </c>
      <c r="AF136" s="11" t="s">
        <v>53</v>
      </c>
      <c r="AG136" s="12" t="s">
        <v>188</v>
      </c>
      <c r="AH136" s="12" t="s">
        <v>194</v>
      </c>
      <c r="AI136" s="11">
        <v>802823180</v>
      </c>
      <c r="AJ136" s="11" t="s">
        <v>191</v>
      </c>
      <c r="AK136" s="11"/>
      <c r="AL136" s="11"/>
      <c r="AM136" s="12" t="s">
        <v>64</v>
      </c>
      <c r="AN136" s="11"/>
      <c r="AO136" s="11"/>
      <c r="AP136" s="11"/>
      <c r="AQ136" s="3">
        <v>46120</v>
      </c>
      <c r="AR136" s="11">
        <v>4380</v>
      </c>
      <c r="AS136" s="11" t="s">
        <v>437</v>
      </c>
      <c r="AT136" s="12" t="s">
        <v>1077</v>
      </c>
      <c r="AU136" s="2">
        <v>46171</v>
      </c>
    </row>
    <row r="137" spans="1:47" x14ac:dyDescent="0.25">
      <c r="A137" s="10" t="s">
        <v>814</v>
      </c>
      <c r="B137" s="11" t="s">
        <v>867</v>
      </c>
      <c r="C137" s="11">
        <v>0</v>
      </c>
      <c r="D137" s="11" t="s">
        <v>108</v>
      </c>
      <c r="E137" s="11"/>
      <c r="F137" s="11"/>
      <c r="G137" s="11" t="s">
        <v>52</v>
      </c>
      <c r="H137" s="11">
        <v>11</v>
      </c>
      <c r="I137" s="11" t="s">
        <v>920</v>
      </c>
      <c r="J137" s="11" t="s">
        <v>42</v>
      </c>
      <c r="K137" s="11">
        <f>Table1[[#This Row],[ENR]]-Table1[[#This Row],[CREDIT]]</f>
        <v>6155.3500000000058</v>
      </c>
      <c r="L137" s="43">
        <v>60000</v>
      </c>
      <c r="M137" s="30">
        <v>66155.350000000006</v>
      </c>
      <c r="N137" s="44">
        <v>1851.66</v>
      </c>
      <c r="O137" s="29">
        <v>64303.69</v>
      </c>
      <c r="P137" s="29">
        <v>56106.36</v>
      </c>
      <c r="Q137" s="29">
        <v>37010</v>
      </c>
      <c r="R137" s="29">
        <v>23980</v>
      </c>
      <c r="S137" s="11" t="s">
        <v>58</v>
      </c>
      <c r="T137" s="11" t="s">
        <v>14</v>
      </c>
      <c r="U137" s="29">
        <v>24000</v>
      </c>
      <c r="V137" s="29">
        <f>Table1[[#This Row],[STAB]]-Table1[[#This Row],[AMOUNT]]</f>
        <v>-20</v>
      </c>
      <c r="W137" s="11">
        <v>0</v>
      </c>
      <c r="X137" s="11" t="s">
        <v>761</v>
      </c>
      <c r="Y137" s="11" t="s">
        <v>760</v>
      </c>
      <c r="Z137" s="12" t="s">
        <v>85</v>
      </c>
      <c r="AA137" s="12" t="s">
        <v>611</v>
      </c>
      <c r="AB137" s="11" t="s">
        <v>3139</v>
      </c>
      <c r="AC137" s="11" t="s">
        <v>973</v>
      </c>
      <c r="AD137" s="11" t="s">
        <v>1026</v>
      </c>
      <c r="AE137" s="11" t="s">
        <v>428</v>
      </c>
      <c r="AF137" s="11" t="s">
        <v>53</v>
      </c>
      <c r="AG137" s="12" t="s">
        <v>55</v>
      </c>
      <c r="AH137" s="12" t="s">
        <v>468</v>
      </c>
      <c r="AI137" s="11">
        <v>802030802</v>
      </c>
      <c r="AJ137" s="11" t="s">
        <v>458</v>
      </c>
      <c r="AK137" s="11"/>
      <c r="AL137" s="11"/>
      <c r="AM137" s="12" t="s">
        <v>64</v>
      </c>
      <c r="AN137" s="11" t="s">
        <v>115</v>
      </c>
      <c r="AO137" s="11" t="s">
        <v>1519</v>
      </c>
      <c r="AP137" s="11" t="s">
        <v>1497</v>
      </c>
      <c r="AQ137" s="3">
        <v>46098</v>
      </c>
      <c r="AR137" s="11">
        <v>10756.97</v>
      </c>
      <c r="AS137" s="11" t="s">
        <v>48</v>
      </c>
      <c r="AT137" s="12" t="s">
        <v>1077</v>
      </c>
      <c r="AU137" s="2">
        <v>46171</v>
      </c>
    </row>
    <row r="138" spans="1:47" x14ac:dyDescent="0.25">
      <c r="A138" s="45" t="s">
        <v>818</v>
      </c>
      <c r="B138" s="12" t="s">
        <v>871</v>
      </c>
      <c r="C138" s="11">
        <v>0</v>
      </c>
      <c r="D138" s="11" t="s">
        <v>108</v>
      </c>
      <c r="E138" s="12"/>
      <c r="F138" s="12"/>
      <c r="G138" s="11" t="s">
        <v>52</v>
      </c>
      <c r="H138" s="12">
        <v>11</v>
      </c>
      <c r="I138" s="12" t="s">
        <v>924</v>
      </c>
      <c r="J138" s="12" t="s">
        <v>42</v>
      </c>
      <c r="K138" s="12">
        <f>Table1[[#This Row],[ENR]]-Table1[[#This Row],[CREDIT]]</f>
        <v>5638.9600000000064</v>
      </c>
      <c r="L138" s="46">
        <v>60000</v>
      </c>
      <c r="M138" s="47">
        <v>65638.960000000006</v>
      </c>
      <c r="N138" s="48" t="s">
        <v>43</v>
      </c>
      <c r="O138" s="49">
        <v>65638.960000000006</v>
      </c>
      <c r="P138" s="49">
        <v>56647.41</v>
      </c>
      <c r="Q138" s="29">
        <v>17730</v>
      </c>
      <c r="R138" s="29">
        <v>5800</v>
      </c>
      <c r="S138" s="11" t="s">
        <v>58</v>
      </c>
      <c r="T138" s="11" t="s">
        <v>14</v>
      </c>
      <c r="U138" s="29">
        <v>8000</v>
      </c>
      <c r="V138" s="49">
        <f>Table1[[#This Row],[STAB]]-Table1[[#This Row],[AMOUNT]]</f>
        <v>-2200</v>
      </c>
      <c r="W138" s="11" t="s">
        <v>2294</v>
      </c>
      <c r="X138" s="11" t="s">
        <v>444</v>
      </c>
      <c r="Y138" s="11" t="s">
        <v>760</v>
      </c>
      <c r="Z138" s="12" t="s">
        <v>85</v>
      </c>
      <c r="AA138" s="12" t="s">
        <v>612</v>
      </c>
      <c r="AB138" s="12" t="s">
        <v>3141</v>
      </c>
      <c r="AC138" s="12" t="s">
        <v>977</v>
      </c>
      <c r="AD138" s="12" t="s">
        <v>1030</v>
      </c>
      <c r="AE138" s="12" t="s">
        <v>414</v>
      </c>
      <c r="AF138" s="12" t="s">
        <v>127</v>
      </c>
      <c r="AG138" s="12" t="s">
        <v>106</v>
      </c>
      <c r="AH138" s="12" t="s">
        <v>460</v>
      </c>
      <c r="AI138" s="12">
        <v>802913252</v>
      </c>
      <c r="AJ138" s="12" t="s">
        <v>190</v>
      </c>
      <c r="AK138" s="12"/>
      <c r="AL138" s="12"/>
      <c r="AM138" s="12" t="s">
        <v>64</v>
      </c>
      <c r="AN138" s="12"/>
      <c r="AO138" s="12"/>
      <c r="AP138" s="12"/>
      <c r="AQ138" s="50">
        <v>45477</v>
      </c>
      <c r="AR138" s="12">
        <v>827.62</v>
      </c>
      <c r="AS138" s="12" t="s">
        <v>436</v>
      </c>
      <c r="AT138" s="12" t="s">
        <v>1077</v>
      </c>
      <c r="AU138" s="51">
        <v>46171</v>
      </c>
    </row>
    <row r="139" spans="1:47" x14ac:dyDescent="0.25">
      <c r="A139" s="10" t="s">
        <v>812</v>
      </c>
      <c r="B139" s="11" t="s">
        <v>865</v>
      </c>
      <c r="C139" s="11">
        <v>0</v>
      </c>
      <c r="D139" s="11" t="s">
        <v>108</v>
      </c>
      <c r="E139" s="11"/>
      <c r="F139" s="11"/>
      <c r="G139" s="11" t="s">
        <v>52</v>
      </c>
      <c r="H139" s="11">
        <v>11</v>
      </c>
      <c r="I139" s="11" t="s">
        <v>918</v>
      </c>
      <c r="J139" s="11" t="s">
        <v>42</v>
      </c>
      <c r="K139" s="11">
        <f>Table1[[#This Row],[ENR]]-Table1[[#This Row],[CREDIT]]</f>
        <v>-55023.99</v>
      </c>
      <c r="L139" s="43">
        <v>120000</v>
      </c>
      <c r="M139" s="30">
        <v>64976.01</v>
      </c>
      <c r="N139" s="44" t="s">
        <v>43</v>
      </c>
      <c r="O139" s="29">
        <v>64976.01</v>
      </c>
      <c r="P139" s="29">
        <v>59459.43</v>
      </c>
      <c r="Q139" s="29">
        <v>19880</v>
      </c>
      <c r="R139" s="29">
        <v>7380</v>
      </c>
      <c r="S139" s="11" t="s">
        <v>58</v>
      </c>
      <c r="T139" s="11" t="s">
        <v>13</v>
      </c>
      <c r="U139" s="11">
        <v>64976</v>
      </c>
      <c r="V139" s="29">
        <f>Table1[[#This Row],[STAB]]-Table1[[#This Row],[AMOUNT]]</f>
        <v>-57596</v>
      </c>
      <c r="W139" s="11">
        <v>0</v>
      </c>
      <c r="X139" s="11" t="s">
        <v>761</v>
      </c>
      <c r="Y139" s="11" t="s">
        <v>760</v>
      </c>
      <c r="Z139" s="11" t="s">
        <v>85</v>
      </c>
      <c r="AA139" s="11" t="s">
        <v>613</v>
      </c>
      <c r="AB139" s="11" t="s">
        <v>3139</v>
      </c>
      <c r="AC139" s="11" t="s">
        <v>971</v>
      </c>
      <c r="AD139" s="11" t="s">
        <v>1024</v>
      </c>
      <c r="AE139" s="11" t="s">
        <v>413</v>
      </c>
      <c r="AF139" s="11" t="s">
        <v>54</v>
      </c>
      <c r="AG139" s="11" t="s">
        <v>129</v>
      </c>
      <c r="AH139" s="12" t="s">
        <v>753</v>
      </c>
      <c r="AI139" s="11">
        <v>802794852</v>
      </c>
      <c r="AJ139" s="11" t="s">
        <v>190</v>
      </c>
      <c r="AK139" s="11"/>
      <c r="AL139" s="11"/>
      <c r="AM139" s="12" t="s">
        <v>64</v>
      </c>
      <c r="AN139" s="11"/>
      <c r="AO139" s="11"/>
      <c r="AP139" s="11"/>
      <c r="AQ139" s="3">
        <v>45903</v>
      </c>
      <c r="AR139" s="11">
        <v>7110</v>
      </c>
      <c r="AS139" s="11" t="s">
        <v>436</v>
      </c>
      <c r="AT139" s="12" t="s">
        <v>1077</v>
      </c>
      <c r="AU139" s="2">
        <v>46171</v>
      </c>
    </row>
    <row r="140" spans="1:47" x14ac:dyDescent="0.25">
      <c r="A140" s="10" t="s">
        <v>854</v>
      </c>
      <c r="B140" s="11" t="s">
        <v>907</v>
      </c>
      <c r="C140" s="11">
        <v>0</v>
      </c>
      <c r="D140" s="11" t="s">
        <v>108</v>
      </c>
      <c r="E140" s="11"/>
      <c r="F140" s="11"/>
      <c r="G140" s="11" t="s">
        <v>52</v>
      </c>
      <c r="H140" s="11">
        <v>11</v>
      </c>
      <c r="I140" s="11" t="s">
        <v>960</v>
      </c>
      <c r="J140" s="11" t="s">
        <v>42</v>
      </c>
      <c r="K140" s="11">
        <f>Table1[[#This Row],[ENR]]-Table1[[#This Row],[CREDIT]]</f>
        <v>3901.8399999999965</v>
      </c>
      <c r="L140" s="43">
        <v>60000</v>
      </c>
      <c r="M140" s="30">
        <v>63901.84</v>
      </c>
      <c r="N140" s="44" t="s">
        <v>43</v>
      </c>
      <c r="O140" s="29">
        <v>63901.84</v>
      </c>
      <c r="P140" s="29">
        <v>56892.3</v>
      </c>
      <c r="Q140" s="29">
        <v>14590</v>
      </c>
      <c r="R140" s="29">
        <v>4080</v>
      </c>
      <c r="S140" s="11" t="s">
        <v>58</v>
      </c>
      <c r="T140" s="11" t="s">
        <v>13</v>
      </c>
      <c r="U140" s="11">
        <v>14590</v>
      </c>
      <c r="V140" s="29">
        <f>Table1[[#This Row],[STAB]]-Table1[[#This Row],[AMOUNT]]</f>
        <v>-10510</v>
      </c>
      <c r="W140" s="11" t="s">
        <v>1528</v>
      </c>
      <c r="X140" s="11" t="s">
        <v>451</v>
      </c>
      <c r="Y140" s="11">
        <v>0</v>
      </c>
      <c r="Z140" s="11" t="s">
        <v>85</v>
      </c>
      <c r="AA140" s="11" t="s">
        <v>447</v>
      </c>
      <c r="AB140" s="11" t="s">
        <v>3139</v>
      </c>
      <c r="AC140" s="11" t="s">
        <v>1013</v>
      </c>
      <c r="AD140" s="11" t="s">
        <v>1065</v>
      </c>
      <c r="AE140" s="11" t="s">
        <v>123</v>
      </c>
      <c r="AF140" s="11" t="s">
        <v>127</v>
      </c>
      <c r="AG140" s="12" t="s">
        <v>96</v>
      </c>
      <c r="AH140" s="12" t="s">
        <v>461</v>
      </c>
      <c r="AI140" s="11">
        <v>801436997</v>
      </c>
      <c r="AJ140" s="11" t="s">
        <v>190</v>
      </c>
      <c r="AK140" s="11"/>
      <c r="AL140" s="11"/>
      <c r="AM140" s="12" t="s">
        <v>64</v>
      </c>
      <c r="AN140" s="11"/>
      <c r="AO140" s="11"/>
      <c r="AP140" s="11"/>
      <c r="AQ140" s="3">
        <v>45571</v>
      </c>
      <c r="AR140" s="11">
        <v>6330</v>
      </c>
      <c r="AS140" s="11" t="s">
        <v>430</v>
      </c>
      <c r="AT140" s="12" t="s">
        <v>1077</v>
      </c>
      <c r="AU140" s="2">
        <v>46171</v>
      </c>
    </row>
    <row r="141" spans="1:47" x14ac:dyDescent="0.25">
      <c r="A141" s="10" t="s">
        <v>849</v>
      </c>
      <c r="B141" s="11" t="s">
        <v>902</v>
      </c>
      <c r="C141" s="11">
        <v>0</v>
      </c>
      <c r="D141" s="11" t="s">
        <v>108</v>
      </c>
      <c r="E141" s="11"/>
      <c r="F141" s="11"/>
      <c r="G141" s="11" t="s">
        <v>52</v>
      </c>
      <c r="H141" s="11">
        <v>11</v>
      </c>
      <c r="I141" s="11" t="s">
        <v>955</v>
      </c>
      <c r="J141" s="11" t="s">
        <v>42</v>
      </c>
      <c r="K141" s="11">
        <f>Table1[[#This Row],[ENR]]-Table1[[#This Row],[CREDIT]]</f>
        <v>3735.7200000000012</v>
      </c>
      <c r="L141" s="43">
        <v>60000</v>
      </c>
      <c r="M141" s="30">
        <v>63735.72</v>
      </c>
      <c r="N141" s="44">
        <v>638.39</v>
      </c>
      <c r="O141" s="29">
        <v>63097.33</v>
      </c>
      <c r="P141" s="29">
        <v>55072.27</v>
      </c>
      <c r="Q141" s="29">
        <v>15940</v>
      </c>
      <c r="R141" s="29">
        <v>6340</v>
      </c>
      <c r="S141" s="11" t="s">
        <v>44</v>
      </c>
      <c r="T141" s="11" t="s">
        <v>45</v>
      </c>
      <c r="U141" s="11">
        <v>0</v>
      </c>
      <c r="V141" s="29">
        <f>Table1[[#This Row],[STAB]]-Table1[[#This Row],[AMOUNT]]</f>
        <v>6340</v>
      </c>
      <c r="W141" s="11">
        <v>0</v>
      </c>
      <c r="X141" s="11" t="s">
        <v>83</v>
      </c>
      <c r="Y141" s="11">
        <v>0</v>
      </c>
      <c r="Z141" s="11" t="s">
        <v>85</v>
      </c>
      <c r="AA141" s="11" t="s">
        <v>613</v>
      </c>
      <c r="AB141" s="11" t="s">
        <v>3139</v>
      </c>
      <c r="AC141" s="11" t="s">
        <v>1008</v>
      </c>
      <c r="AD141" s="11" t="s">
        <v>1060</v>
      </c>
      <c r="AE141" s="11" t="s">
        <v>123</v>
      </c>
      <c r="AF141" s="11" t="s">
        <v>127</v>
      </c>
      <c r="AG141" s="12" t="s">
        <v>96</v>
      </c>
      <c r="AH141" s="12" t="s">
        <v>461</v>
      </c>
      <c r="AI141" s="11">
        <v>801436997</v>
      </c>
      <c r="AJ141" s="11" t="s">
        <v>190</v>
      </c>
      <c r="AK141" s="11"/>
      <c r="AL141" s="11"/>
      <c r="AM141" s="12" t="s">
        <v>64</v>
      </c>
      <c r="AN141" s="11" t="s">
        <v>219</v>
      </c>
      <c r="AO141" s="11" t="s">
        <v>1657</v>
      </c>
      <c r="AP141" s="11" t="s">
        <v>1645</v>
      </c>
      <c r="AQ141" s="3">
        <v>46123</v>
      </c>
      <c r="AR141" s="11">
        <v>25000</v>
      </c>
      <c r="AS141" s="11" t="s">
        <v>436</v>
      </c>
      <c r="AT141" s="12" t="s">
        <v>1077</v>
      </c>
      <c r="AU141" s="2">
        <v>46171</v>
      </c>
    </row>
    <row r="142" spans="1:47" x14ac:dyDescent="0.25">
      <c r="A142" s="10" t="s">
        <v>815</v>
      </c>
      <c r="B142" s="11" t="s">
        <v>868</v>
      </c>
      <c r="C142" s="11">
        <v>0</v>
      </c>
      <c r="D142" s="11" t="s">
        <v>108</v>
      </c>
      <c r="E142" s="11"/>
      <c r="F142" s="11"/>
      <c r="G142" s="11" t="s">
        <v>52</v>
      </c>
      <c r="H142" s="11">
        <v>11</v>
      </c>
      <c r="I142" s="11" t="s">
        <v>921</v>
      </c>
      <c r="J142" s="11" t="s">
        <v>42</v>
      </c>
      <c r="K142" s="11">
        <f>Table1[[#This Row],[ENR]]-Table1[[#This Row],[CREDIT]]</f>
        <v>-17955.660000000003</v>
      </c>
      <c r="L142" s="43">
        <v>80000</v>
      </c>
      <c r="M142" s="30">
        <v>62044.34</v>
      </c>
      <c r="N142" s="44" t="s">
        <v>43</v>
      </c>
      <c r="O142" s="29">
        <v>62044.34</v>
      </c>
      <c r="P142" s="29">
        <v>54878.02</v>
      </c>
      <c r="Q142" s="29">
        <v>10580</v>
      </c>
      <c r="R142" s="29">
        <v>3250</v>
      </c>
      <c r="S142" s="11" t="s">
        <v>58</v>
      </c>
      <c r="T142" s="11" t="s">
        <v>14</v>
      </c>
      <c r="U142" s="29">
        <v>5500</v>
      </c>
      <c r="V142" s="29">
        <f>Table1[[#This Row],[STAB]]-Table1[[#This Row],[AMOUNT]]</f>
        <v>-2250</v>
      </c>
      <c r="W142" s="11" t="s">
        <v>1497</v>
      </c>
      <c r="X142" s="11" t="s">
        <v>451</v>
      </c>
      <c r="Y142" s="11" t="s">
        <v>760</v>
      </c>
      <c r="Z142" s="12" t="s">
        <v>85</v>
      </c>
      <c r="AA142" s="12" t="s">
        <v>611</v>
      </c>
      <c r="AB142" s="11" t="s">
        <v>3141</v>
      </c>
      <c r="AC142" s="11" t="s">
        <v>974</v>
      </c>
      <c r="AD142" s="11" t="s">
        <v>1027</v>
      </c>
      <c r="AE142" s="11" t="s">
        <v>414</v>
      </c>
      <c r="AF142" s="11" t="s">
        <v>127</v>
      </c>
      <c r="AG142" s="12" t="s">
        <v>106</v>
      </c>
      <c r="AH142" s="12" t="s">
        <v>460</v>
      </c>
      <c r="AI142" s="11">
        <v>802913252</v>
      </c>
      <c r="AJ142" s="11" t="s">
        <v>190</v>
      </c>
      <c r="AK142" s="11"/>
      <c r="AL142" s="11"/>
      <c r="AM142" s="12" t="s">
        <v>64</v>
      </c>
      <c r="AN142" s="11"/>
      <c r="AO142" s="11"/>
      <c r="AP142" s="11"/>
      <c r="AQ142" s="3">
        <v>45598</v>
      </c>
      <c r="AR142" s="11">
        <v>5500</v>
      </c>
      <c r="AS142" s="11" t="s">
        <v>436</v>
      </c>
      <c r="AT142" s="12" t="s">
        <v>1077</v>
      </c>
      <c r="AU142" s="2">
        <v>46171</v>
      </c>
    </row>
    <row r="143" spans="1:47" x14ac:dyDescent="0.25">
      <c r="A143" s="10" t="s">
        <v>845</v>
      </c>
      <c r="B143" s="11" t="s">
        <v>898</v>
      </c>
      <c r="C143" s="11">
        <v>0</v>
      </c>
      <c r="D143" s="11" t="s">
        <v>108</v>
      </c>
      <c r="E143" s="11"/>
      <c r="F143" s="11"/>
      <c r="G143" s="11" t="s">
        <v>90</v>
      </c>
      <c r="H143" s="11">
        <v>11</v>
      </c>
      <c r="I143" s="11" t="s">
        <v>951</v>
      </c>
      <c r="J143" s="11" t="s">
        <v>42</v>
      </c>
      <c r="K143" s="11">
        <f>Table1[[#This Row],[ENR]]-Table1[[#This Row],[CREDIT]]</f>
        <v>1361.8399999999965</v>
      </c>
      <c r="L143" s="43">
        <v>60000</v>
      </c>
      <c r="M143" s="30">
        <v>61361.84</v>
      </c>
      <c r="N143" s="44" t="s">
        <v>43</v>
      </c>
      <c r="O143" s="29">
        <v>61361.84</v>
      </c>
      <c r="P143" s="29">
        <v>57083.4</v>
      </c>
      <c r="Q143" s="29">
        <v>14670</v>
      </c>
      <c r="R143" s="29">
        <v>8890</v>
      </c>
      <c r="S143" s="11" t="s">
        <v>58</v>
      </c>
      <c r="T143" s="11" t="s">
        <v>14</v>
      </c>
      <c r="U143" s="29">
        <v>8890</v>
      </c>
      <c r="V143" s="29">
        <f>Table1[[#This Row],[STAB]]-Table1[[#This Row],[AMOUNT]]</f>
        <v>0</v>
      </c>
      <c r="W143" s="11" t="s">
        <v>2294</v>
      </c>
      <c r="X143" s="11" t="s">
        <v>444</v>
      </c>
      <c r="Y143" s="11" t="s">
        <v>1085</v>
      </c>
      <c r="Z143" s="11" t="s">
        <v>85</v>
      </c>
      <c r="AA143" s="11" t="s">
        <v>447</v>
      </c>
      <c r="AB143" s="11" t="s">
        <v>3139</v>
      </c>
      <c r="AC143" s="11" t="s">
        <v>1004</v>
      </c>
      <c r="AD143" s="11" t="s">
        <v>1056</v>
      </c>
      <c r="AE143" s="11" t="s">
        <v>746</v>
      </c>
      <c r="AF143" s="11" t="s">
        <v>53</v>
      </c>
      <c r="AG143" s="11" t="s">
        <v>3469</v>
      </c>
      <c r="AH143" s="12" t="s">
        <v>752</v>
      </c>
      <c r="AI143" s="11">
        <v>802241455</v>
      </c>
      <c r="AJ143" s="11" t="s">
        <v>191</v>
      </c>
      <c r="AK143" s="11"/>
      <c r="AL143" s="11"/>
      <c r="AM143" s="12" t="s">
        <v>64</v>
      </c>
      <c r="AN143" s="11"/>
      <c r="AO143" s="11"/>
      <c r="AP143" s="11"/>
      <c r="AQ143" s="3">
        <v>46148</v>
      </c>
      <c r="AR143" s="11">
        <v>8420</v>
      </c>
      <c r="AS143" s="11" t="s">
        <v>436</v>
      </c>
      <c r="AT143" s="12" t="s">
        <v>1077</v>
      </c>
      <c r="AU143" s="2">
        <v>46171</v>
      </c>
    </row>
    <row r="144" spans="1:47" x14ac:dyDescent="0.25">
      <c r="A144" s="10" t="s">
        <v>855</v>
      </c>
      <c r="B144" s="11" t="s">
        <v>908</v>
      </c>
      <c r="C144" s="11">
        <v>0</v>
      </c>
      <c r="D144" s="11" t="s">
        <v>108</v>
      </c>
      <c r="E144" s="11"/>
      <c r="F144" s="11"/>
      <c r="G144" s="11" t="s">
        <v>52</v>
      </c>
      <c r="H144" s="11">
        <v>11</v>
      </c>
      <c r="I144" s="11" t="s">
        <v>961</v>
      </c>
      <c r="J144" s="11" t="s">
        <v>550</v>
      </c>
      <c r="K144" s="11">
        <f>Table1[[#This Row],[ENR]]-Table1[[#This Row],[CREDIT]]</f>
        <v>-172723.33000000002</v>
      </c>
      <c r="L144" s="43">
        <v>230000</v>
      </c>
      <c r="M144" s="30">
        <v>57276.67</v>
      </c>
      <c r="N144" s="44" t="s">
        <v>43</v>
      </c>
      <c r="O144" s="29">
        <v>57276.67</v>
      </c>
      <c r="P144" s="29">
        <v>52426.5</v>
      </c>
      <c r="Q144" s="29">
        <v>8090</v>
      </c>
      <c r="R144" s="29">
        <v>3110</v>
      </c>
      <c r="S144" s="11" t="s">
        <v>44</v>
      </c>
      <c r="T144" s="11" t="s">
        <v>45</v>
      </c>
      <c r="U144" s="11">
        <v>0</v>
      </c>
      <c r="V144" s="29">
        <f>Table1[[#This Row],[STAB]]-Table1[[#This Row],[AMOUNT]]</f>
        <v>3110</v>
      </c>
      <c r="W144" s="11">
        <v>0</v>
      </c>
      <c r="X144" s="11" t="s">
        <v>83</v>
      </c>
      <c r="Y144" s="11">
        <v>0</v>
      </c>
      <c r="Z144" s="11" t="s">
        <v>85</v>
      </c>
      <c r="AA144" s="11" t="s">
        <v>447</v>
      </c>
      <c r="AB144" s="11" t="s">
        <v>3139</v>
      </c>
      <c r="AC144" s="11" t="s">
        <v>1014</v>
      </c>
      <c r="AD144" s="11" t="s">
        <v>1066</v>
      </c>
      <c r="AE144" s="11" t="s">
        <v>125</v>
      </c>
      <c r="AF144" s="11" t="s">
        <v>127</v>
      </c>
      <c r="AG144" s="12" t="s">
        <v>56</v>
      </c>
      <c r="AH144" s="12" t="s">
        <v>462</v>
      </c>
      <c r="AI144" s="11">
        <v>801448854</v>
      </c>
      <c r="AJ144" s="11" t="s">
        <v>191</v>
      </c>
      <c r="AK144" s="11"/>
      <c r="AL144" s="11"/>
      <c r="AM144" s="12" t="s">
        <v>64</v>
      </c>
      <c r="AN144" s="11" t="s">
        <v>221</v>
      </c>
      <c r="AO144" s="11" t="s">
        <v>1654</v>
      </c>
      <c r="AP144" s="11" t="s">
        <v>1645</v>
      </c>
      <c r="AQ144" s="3">
        <v>46024</v>
      </c>
      <c r="AR144" s="11">
        <v>3260</v>
      </c>
      <c r="AS144" s="11" t="s">
        <v>126</v>
      </c>
      <c r="AT144" s="12" t="s">
        <v>1077</v>
      </c>
      <c r="AU144" s="2">
        <v>46171</v>
      </c>
    </row>
    <row r="145" spans="1:47" x14ac:dyDescent="0.25">
      <c r="A145" s="10" t="s">
        <v>841</v>
      </c>
      <c r="B145" s="11" t="s">
        <v>894</v>
      </c>
      <c r="C145" s="11">
        <v>0</v>
      </c>
      <c r="D145" s="11" t="s">
        <v>108</v>
      </c>
      <c r="E145" s="11"/>
      <c r="F145" s="11"/>
      <c r="G145" s="11" t="s">
        <v>52</v>
      </c>
      <c r="H145" s="11">
        <v>11</v>
      </c>
      <c r="I145" s="11" t="s">
        <v>947</v>
      </c>
      <c r="J145" s="11" t="s">
        <v>42</v>
      </c>
      <c r="K145" s="11">
        <f>Table1[[#This Row],[ENR]]-Table1[[#This Row],[CREDIT]]</f>
        <v>1076.9400000000023</v>
      </c>
      <c r="L145" s="43">
        <v>55000</v>
      </c>
      <c r="M145" s="30">
        <v>56076.94</v>
      </c>
      <c r="N145" s="44" t="s">
        <v>43</v>
      </c>
      <c r="O145" s="29">
        <v>56076.94</v>
      </c>
      <c r="P145" s="29">
        <v>50115.7</v>
      </c>
      <c r="Q145" s="29">
        <v>10490</v>
      </c>
      <c r="R145" s="29">
        <v>3220</v>
      </c>
      <c r="S145" s="11" t="s">
        <v>58</v>
      </c>
      <c r="T145" s="11" t="s">
        <v>13</v>
      </c>
      <c r="U145" s="11">
        <v>10500</v>
      </c>
      <c r="V145" s="29">
        <f>Table1[[#This Row],[STAB]]-Table1[[#This Row],[AMOUNT]]</f>
        <v>-7280</v>
      </c>
      <c r="W145" s="11" t="s">
        <v>2294</v>
      </c>
      <c r="X145" s="11" t="s">
        <v>444</v>
      </c>
      <c r="Y145" s="11" t="s">
        <v>1084</v>
      </c>
      <c r="Z145" s="11" t="s">
        <v>85</v>
      </c>
      <c r="AA145" s="11" t="s">
        <v>613</v>
      </c>
      <c r="AB145" s="11" t="s">
        <v>3140</v>
      </c>
      <c r="AC145" s="11" t="s">
        <v>1000</v>
      </c>
      <c r="AD145" s="11" t="s">
        <v>1052</v>
      </c>
      <c r="AE145" s="11" t="s">
        <v>421</v>
      </c>
      <c r="AF145" s="11" t="s">
        <v>54</v>
      </c>
      <c r="AG145" s="12" t="s">
        <v>119</v>
      </c>
      <c r="AH145" s="12" t="s">
        <v>626</v>
      </c>
      <c r="AI145" s="11">
        <v>802663344</v>
      </c>
      <c r="AJ145" s="11" t="s">
        <v>191</v>
      </c>
      <c r="AK145" s="11"/>
      <c r="AL145" s="11"/>
      <c r="AM145" s="12" t="s">
        <v>64</v>
      </c>
      <c r="AN145" s="11"/>
      <c r="AO145" s="11"/>
      <c r="AP145" s="11"/>
      <c r="AQ145" s="3">
        <v>46105</v>
      </c>
      <c r="AR145" s="11">
        <v>6000</v>
      </c>
      <c r="AS145" s="11" t="s">
        <v>430</v>
      </c>
      <c r="AT145" s="12" t="s">
        <v>1077</v>
      </c>
      <c r="AU145" s="2">
        <v>46171</v>
      </c>
    </row>
    <row r="146" spans="1:47" x14ac:dyDescent="0.25">
      <c r="A146" s="10" t="s">
        <v>811</v>
      </c>
      <c r="B146" s="11" t="s">
        <v>864</v>
      </c>
      <c r="C146" s="11">
        <v>0</v>
      </c>
      <c r="D146" s="11" t="s">
        <v>108</v>
      </c>
      <c r="E146" s="11"/>
      <c r="F146" s="11"/>
      <c r="G146" s="11" t="s">
        <v>52</v>
      </c>
      <c r="H146" s="11">
        <v>11</v>
      </c>
      <c r="I146" s="11" t="s">
        <v>917</v>
      </c>
      <c r="J146" s="11" t="s">
        <v>42</v>
      </c>
      <c r="K146" s="11">
        <f>Table1[[#This Row],[ENR]]-Table1[[#This Row],[CREDIT]]</f>
        <v>5925.510000000002</v>
      </c>
      <c r="L146" s="43">
        <v>50000</v>
      </c>
      <c r="M146" s="30">
        <v>55925.51</v>
      </c>
      <c r="N146" s="44" t="s">
        <v>43</v>
      </c>
      <c r="O146" s="29">
        <v>55925.51</v>
      </c>
      <c r="P146" s="29">
        <v>49992.22</v>
      </c>
      <c r="Q146" s="29">
        <v>18180</v>
      </c>
      <c r="R146" s="29">
        <v>4920</v>
      </c>
      <c r="S146" s="11" t="s">
        <v>44</v>
      </c>
      <c r="T146" s="11" t="s">
        <v>45</v>
      </c>
      <c r="U146" s="11">
        <v>0</v>
      </c>
      <c r="V146" s="29">
        <f>Table1[[#This Row],[STAB]]-Table1[[#This Row],[AMOUNT]]</f>
        <v>4920</v>
      </c>
      <c r="W146" s="11">
        <v>0</v>
      </c>
      <c r="X146" s="11" t="s">
        <v>83</v>
      </c>
      <c r="Y146" s="11">
        <v>0</v>
      </c>
      <c r="Z146" s="11" t="s">
        <v>88</v>
      </c>
      <c r="AA146" s="11" t="s">
        <v>91</v>
      </c>
      <c r="AB146" s="11" t="s">
        <v>3139</v>
      </c>
      <c r="AC146" s="11" t="s">
        <v>970</v>
      </c>
      <c r="AD146" s="11" t="s">
        <v>1023</v>
      </c>
      <c r="AE146" s="11" t="s">
        <v>747</v>
      </c>
      <c r="AF146" s="11" t="s">
        <v>84</v>
      </c>
      <c r="AG146" s="11" t="s">
        <v>441</v>
      </c>
      <c r="AH146" s="11" t="s">
        <v>193</v>
      </c>
      <c r="AI146" s="11">
        <v>802824019</v>
      </c>
      <c r="AJ146" s="11" t="s">
        <v>189</v>
      </c>
      <c r="AK146" s="11"/>
      <c r="AL146" s="11"/>
      <c r="AM146" s="12" t="s">
        <v>46</v>
      </c>
      <c r="AN146" s="11"/>
      <c r="AO146" s="11"/>
      <c r="AP146" s="11"/>
      <c r="AQ146" s="3">
        <v>45967</v>
      </c>
      <c r="AR146" s="11">
        <v>6000</v>
      </c>
      <c r="AS146" s="11" t="s">
        <v>436</v>
      </c>
      <c r="AT146" s="12" t="s">
        <v>1077</v>
      </c>
      <c r="AU146" s="2">
        <v>46171</v>
      </c>
    </row>
    <row r="147" spans="1:47" x14ac:dyDescent="0.25">
      <c r="A147" s="10" t="s">
        <v>810</v>
      </c>
      <c r="B147" s="11" t="s">
        <v>863</v>
      </c>
      <c r="C147" s="11">
        <v>0</v>
      </c>
      <c r="D147" s="11" t="s">
        <v>108</v>
      </c>
      <c r="E147" s="11"/>
      <c r="F147" s="11"/>
      <c r="G147" s="11" t="s">
        <v>52</v>
      </c>
      <c r="H147" s="11">
        <v>11</v>
      </c>
      <c r="I147" s="11" t="s">
        <v>916</v>
      </c>
      <c r="J147" s="11" t="s">
        <v>42</v>
      </c>
      <c r="K147" s="11">
        <f>Table1[[#This Row],[ENR]]-Table1[[#This Row],[CREDIT]]</f>
        <v>4495.3600000000006</v>
      </c>
      <c r="L147" s="43">
        <v>50000</v>
      </c>
      <c r="M147" s="30">
        <v>54495.360000000001</v>
      </c>
      <c r="N147" s="44" t="s">
        <v>43</v>
      </c>
      <c r="O147" s="29">
        <v>54495.360000000001</v>
      </c>
      <c r="P147" s="29">
        <v>49997</v>
      </c>
      <c r="Q147" s="29">
        <v>13650</v>
      </c>
      <c r="R147" s="29">
        <v>2500</v>
      </c>
      <c r="S147" s="11" t="s">
        <v>44</v>
      </c>
      <c r="T147" s="11" t="s">
        <v>45</v>
      </c>
      <c r="U147" s="11">
        <v>0</v>
      </c>
      <c r="V147" s="29">
        <f>Table1[[#This Row],[STAB]]-Table1[[#This Row],[AMOUNT]]</f>
        <v>2500</v>
      </c>
      <c r="W147" s="11">
        <v>0</v>
      </c>
      <c r="X147" s="11" t="s">
        <v>83</v>
      </c>
      <c r="Y147" s="11">
        <v>0</v>
      </c>
      <c r="Z147" s="11" t="s">
        <v>85</v>
      </c>
      <c r="AA147" s="11" t="s">
        <v>447</v>
      </c>
      <c r="AB147" s="11" t="s">
        <v>3139</v>
      </c>
      <c r="AC147" s="11" t="s">
        <v>969</v>
      </c>
      <c r="AD147" s="11" t="s">
        <v>1022</v>
      </c>
      <c r="AE147" s="11" t="s">
        <v>429</v>
      </c>
      <c r="AF147" s="11" t="s">
        <v>54</v>
      </c>
      <c r="AG147" s="12" t="s">
        <v>95</v>
      </c>
      <c r="AH147" s="12" t="s">
        <v>465</v>
      </c>
      <c r="AI147" s="11">
        <v>802823175</v>
      </c>
      <c r="AJ147" s="11" t="s">
        <v>191</v>
      </c>
      <c r="AK147" s="11"/>
      <c r="AL147" s="11"/>
      <c r="AM147" s="12" t="s">
        <v>64</v>
      </c>
      <c r="AN147" s="11" t="s">
        <v>446</v>
      </c>
      <c r="AO147" s="11" t="s">
        <v>2175</v>
      </c>
      <c r="AP147" s="11" t="s">
        <v>2172</v>
      </c>
      <c r="AQ147" s="3">
        <v>45320</v>
      </c>
      <c r="AR147" s="11">
        <v>50000</v>
      </c>
      <c r="AS147" s="11" t="s">
        <v>436</v>
      </c>
      <c r="AT147" s="12" t="s">
        <v>1077</v>
      </c>
      <c r="AU147" s="2">
        <v>46171</v>
      </c>
    </row>
    <row r="148" spans="1:47" x14ac:dyDescent="0.25">
      <c r="A148" s="10" t="s">
        <v>809</v>
      </c>
      <c r="B148" s="11" t="s">
        <v>862</v>
      </c>
      <c r="C148" s="11">
        <v>0</v>
      </c>
      <c r="D148" s="11" t="s">
        <v>108</v>
      </c>
      <c r="E148" s="11"/>
      <c r="F148" s="11"/>
      <c r="G148" s="11" t="s">
        <v>90</v>
      </c>
      <c r="H148" s="11">
        <v>11</v>
      </c>
      <c r="I148" s="11" t="s">
        <v>915</v>
      </c>
      <c r="J148" s="11" t="s">
        <v>42</v>
      </c>
      <c r="K148" s="11">
        <f>Table1[[#This Row],[ENR]]-Table1[[#This Row],[CREDIT]]</f>
        <v>810.16000000000349</v>
      </c>
      <c r="L148" s="43">
        <v>50000</v>
      </c>
      <c r="M148" s="30">
        <v>50810.16</v>
      </c>
      <c r="N148" s="44" t="s">
        <v>43</v>
      </c>
      <c r="O148" s="29">
        <v>50810.16</v>
      </c>
      <c r="P148" s="29">
        <v>47559.28</v>
      </c>
      <c r="Q148" s="29">
        <v>10880</v>
      </c>
      <c r="R148" s="29">
        <v>5750</v>
      </c>
      <c r="S148" s="11" t="s">
        <v>58</v>
      </c>
      <c r="T148" s="11" t="s">
        <v>13</v>
      </c>
      <c r="U148" s="11">
        <v>10880</v>
      </c>
      <c r="V148" s="29">
        <f>Table1[[#This Row],[STAB]]-Table1[[#This Row],[AMOUNT]]</f>
        <v>-5130</v>
      </c>
      <c r="W148" s="11" t="s">
        <v>1528</v>
      </c>
      <c r="X148" s="11" t="s">
        <v>451</v>
      </c>
      <c r="Y148" s="11">
        <v>0</v>
      </c>
      <c r="Z148" s="12" t="s">
        <v>85</v>
      </c>
      <c r="AA148" s="12" t="s">
        <v>611</v>
      </c>
      <c r="AB148" s="11" t="s">
        <v>3139</v>
      </c>
      <c r="AC148" s="11" t="s">
        <v>968</v>
      </c>
      <c r="AD148" s="11" t="s">
        <v>1021</v>
      </c>
      <c r="AE148" s="11" t="s">
        <v>413</v>
      </c>
      <c r="AF148" s="11" t="s">
        <v>54</v>
      </c>
      <c r="AG148" s="12" t="s">
        <v>129</v>
      </c>
      <c r="AH148" s="12" t="s">
        <v>753</v>
      </c>
      <c r="AI148" s="11">
        <v>802794852</v>
      </c>
      <c r="AJ148" s="11" t="s">
        <v>190</v>
      </c>
      <c r="AK148" s="11"/>
      <c r="AL148" s="11"/>
      <c r="AM148" s="12" t="s">
        <v>64</v>
      </c>
      <c r="AN148" s="11"/>
      <c r="AO148" s="11"/>
      <c r="AP148" s="11"/>
      <c r="AQ148" s="3">
        <v>46149</v>
      </c>
      <c r="AR148" s="11">
        <v>3000</v>
      </c>
      <c r="AS148" s="11" t="s">
        <v>437</v>
      </c>
      <c r="AT148" s="12" t="s">
        <v>1077</v>
      </c>
      <c r="AU148" s="2">
        <v>46171</v>
      </c>
    </row>
    <row r="149" spans="1:47" x14ac:dyDescent="0.25">
      <c r="A149" s="10" t="s">
        <v>674</v>
      </c>
      <c r="B149" s="11" t="s">
        <v>675</v>
      </c>
      <c r="C149" s="11">
        <v>0</v>
      </c>
      <c r="D149" s="11" t="s">
        <v>108</v>
      </c>
      <c r="E149" s="11"/>
      <c r="F149" s="11"/>
      <c r="G149" s="11" t="s">
        <v>52</v>
      </c>
      <c r="H149" s="11">
        <v>12</v>
      </c>
      <c r="I149" s="11" t="s">
        <v>710</v>
      </c>
      <c r="J149" s="11" t="s">
        <v>42</v>
      </c>
      <c r="K149" s="11">
        <f>Table1[[#This Row],[ENR]]-Table1[[#This Row],[CREDIT]]</f>
        <v>366041.31999999995</v>
      </c>
      <c r="L149" s="43">
        <v>380000</v>
      </c>
      <c r="M149" s="30">
        <v>746041.32</v>
      </c>
      <c r="N149" s="44">
        <v>199542.91</v>
      </c>
      <c r="O149" s="29">
        <v>546498.41</v>
      </c>
      <c r="P149" s="29">
        <v>505401.99</v>
      </c>
      <c r="Q149" s="29">
        <v>546498.41</v>
      </c>
      <c r="R149" s="29">
        <v>486105.04</v>
      </c>
      <c r="S149" s="11" t="s">
        <v>44</v>
      </c>
      <c r="T149" s="11" t="s">
        <v>45</v>
      </c>
      <c r="U149" s="11">
        <v>0</v>
      </c>
      <c r="V149" s="29">
        <f>Table1[[#This Row],[STAB]]-Table1[[#This Row],[AMOUNT]]</f>
        <v>486105.04</v>
      </c>
      <c r="W149" s="11">
        <v>0</v>
      </c>
      <c r="X149" s="11" t="s">
        <v>83</v>
      </c>
      <c r="Y149" s="11" t="s">
        <v>759</v>
      </c>
      <c r="Z149" s="11" t="s">
        <v>88</v>
      </c>
      <c r="AA149" s="11" t="s">
        <v>86</v>
      </c>
      <c r="AB149" s="11" t="s">
        <v>3139</v>
      </c>
      <c r="AC149" s="11" t="s">
        <v>736</v>
      </c>
      <c r="AD149" s="11" t="s">
        <v>776</v>
      </c>
      <c r="AE149" s="11" t="s">
        <v>103</v>
      </c>
      <c r="AF149" s="11" t="s">
        <v>53</v>
      </c>
      <c r="AG149" s="12" t="s">
        <v>188</v>
      </c>
      <c r="AH149" s="12" t="s">
        <v>194</v>
      </c>
      <c r="AI149" s="11">
        <v>802823180</v>
      </c>
      <c r="AJ149" s="11" t="s">
        <v>191</v>
      </c>
      <c r="AK149" s="11"/>
      <c r="AL149" s="11"/>
      <c r="AM149" s="12" t="s">
        <v>64</v>
      </c>
      <c r="AN149" s="11" t="s">
        <v>219</v>
      </c>
      <c r="AO149" s="11" t="s">
        <v>2451</v>
      </c>
      <c r="AP149" s="11" t="s">
        <v>2296</v>
      </c>
      <c r="AQ149" s="3">
        <v>46122</v>
      </c>
      <c r="AR149" s="11">
        <v>44108.92</v>
      </c>
      <c r="AS149" s="11" t="s">
        <v>47</v>
      </c>
      <c r="AT149" s="12" t="s">
        <v>748</v>
      </c>
      <c r="AU149" s="2">
        <v>46172</v>
      </c>
    </row>
    <row r="150" spans="1:47" x14ac:dyDescent="0.25">
      <c r="A150" s="10" t="s">
        <v>676</v>
      </c>
      <c r="B150" s="11" t="s">
        <v>677</v>
      </c>
      <c r="C150" s="11">
        <v>0</v>
      </c>
      <c r="D150" s="11" t="s">
        <v>108</v>
      </c>
      <c r="E150" s="11"/>
      <c r="F150" s="11"/>
      <c r="G150" s="11" t="s">
        <v>52</v>
      </c>
      <c r="H150" s="11">
        <v>12</v>
      </c>
      <c r="I150" s="11" t="s">
        <v>711</v>
      </c>
      <c r="J150" s="11" t="s">
        <v>42</v>
      </c>
      <c r="K150" s="11">
        <f>Table1[[#This Row],[ENR]]-Table1[[#This Row],[CREDIT]]</f>
        <v>60156.819999999949</v>
      </c>
      <c r="L150" s="43">
        <v>600000</v>
      </c>
      <c r="M150" s="30">
        <v>660156.81999999995</v>
      </c>
      <c r="N150" s="44" t="s">
        <v>43</v>
      </c>
      <c r="O150" s="29">
        <v>660156.81999999995</v>
      </c>
      <c r="P150" s="29">
        <v>597589.76000000001</v>
      </c>
      <c r="Q150" s="29">
        <v>213640</v>
      </c>
      <c r="R150" s="29">
        <v>67330</v>
      </c>
      <c r="S150" s="11" t="s">
        <v>58</v>
      </c>
      <c r="T150" s="11" t="s">
        <v>13</v>
      </c>
      <c r="U150" s="11">
        <v>660156.81999999995</v>
      </c>
      <c r="V150" s="29">
        <f>Table1[[#This Row],[STAB]]-Table1[[#This Row],[AMOUNT]]</f>
        <v>-592826.81999999995</v>
      </c>
      <c r="W150" s="11" t="s">
        <v>1645</v>
      </c>
      <c r="X150" s="11" t="s">
        <v>451</v>
      </c>
      <c r="Y150" s="11" t="s">
        <v>760</v>
      </c>
      <c r="Z150" s="11" t="s">
        <v>88</v>
      </c>
      <c r="AA150" s="11" t="s">
        <v>86</v>
      </c>
      <c r="AB150" s="11" t="s">
        <v>3139</v>
      </c>
      <c r="AC150" s="11" t="s">
        <v>737</v>
      </c>
      <c r="AD150" s="11" t="s">
        <v>780</v>
      </c>
      <c r="AE150" s="11" t="s">
        <v>218</v>
      </c>
      <c r="AF150" s="11" t="s">
        <v>84</v>
      </c>
      <c r="AG150" s="12" t="s">
        <v>97</v>
      </c>
      <c r="AH150" s="12" t="s">
        <v>88</v>
      </c>
      <c r="AI150" s="11">
        <v>801723195</v>
      </c>
      <c r="AJ150" s="11" t="s">
        <v>191</v>
      </c>
      <c r="AK150" s="11"/>
      <c r="AL150" s="11"/>
      <c r="AM150" s="12" t="s">
        <v>64</v>
      </c>
      <c r="AN150" s="11" t="s">
        <v>115</v>
      </c>
      <c r="AO150" s="11" t="s">
        <v>1648</v>
      </c>
      <c r="AP150" s="11" t="s">
        <v>1645</v>
      </c>
      <c r="AQ150" s="3">
        <v>45911</v>
      </c>
      <c r="AR150" s="11">
        <v>120</v>
      </c>
      <c r="AS150" s="11" t="s">
        <v>47</v>
      </c>
      <c r="AT150" s="12" t="s">
        <v>748</v>
      </c>
      <c r="AU150" s="2">
        <v>46172</v>
      </c>
    </row>
    <row r="151" spans="1:47" x14ac:dyDescent="0.25">
      <c r="A151" s="10" t="s">
        <v>678</v>
      </c>
      <c r="B151" s="11" t="s">
        <v>679</v>
      </c>
      <c r="C151" s="11">
        <v>0</v>
      </c>
      <c r="D151" s="11" t="s">
        <v>108</v>
      </c>
      <c r="E151" s="11"/>
      <c r="F151" s="11"/>
      <c r="G151" s="11" t="s">
        <v>52</v>
      </c>
      <c r="H151" s="11">
        <v>12</v>
      </c>
      <c r="I151" s="11" t="s">
        <v>712</v>
      </c>
      <c r="J151" s="11" t="s">
        <v>42</v>
      </c>
      <c r="K151" s="11">
        <f>Table1[[#This Row],[ENR]]-Table1[[#This Row],[CREDIT]]</f>
        <v>53247.119999999995</v>
      </c>
      <c r="L151" s="43">
        <v>500000</v>
      </c>
      <c r="M151" s="30">
        <v>553247.12</v>
      </c>
      <c r="N151" s="44" t="s">
        <v>43</v>
      </c>
      <c r="O151" s="29">
        <v>553247.12</v>
      </c>
      <c r="P151" s="29">
        <v>499986.76</v>
      </c>
      <c r="Q151" s="29">
        <v>129210</v>
      </c>
      <c r="R151" s="29">
        <v>57970</v>
      </c>
      <c r="S151" s="11" t="s">
        <v>44</v>
      </c>
      <c r="T151" s="11" t="s">
        <v>45</v>
      </c>
      <c r="U151" s="11">
        <v>0</v>
      </c>
      <c r="V151" s="29">
        <f>Table1[[#This Row],[STAB]]-Table1[[#This Row],[AMOUNT]]</f>
        <v>57970</v>
      </c>
      <c r="W151" s="11">
        <v>0</v>
      </c>
      <c r="X151" s="11" t="s">
        <v>83</v>
      </c>
      <c r="Y151" s="11">
        <v>0</v>
      </c>
      <c r="Z151" s="11" t="s">
        <v>88</v>
      </c>
      <c r="AA151" s="11" t="s">
        <v>86</v>
      </c>
      <c r="AB151" s="11" t="s">
        <v>3140</v>
      </c>
      <c r="AC151" s="11" t="s">
        <v>738</v>
      </c>
      <c r="AD151" s="11" t="s">
        <v>778</v>
      </c>
      <c r="AE151" s="11" t="s">
        <v>421</v>
      </c>
      <c r="AF151" s="11" t="s">
        <v>54</v>
      </c>
      <c r="AG151" s="12" t="s">
        <v>119</v>
      </c>
      <c r="AH151" s="12" t="s">
        <v>626</v>
      </c>
      <c r="AI151" s="11">
        <v>802663344</v>
      </c>
      <c r="AJ151" s="11" t="s">
        <v>191</v>
      </c>
      <c r="AK151" s="11"/>
      <c r="AL151" s="11"/>
      <c r="AM151" s="12" t="s">
        <v>64</v>
      </c>
      <c r="AN151" s="11" t="s">
        <v>115</v>
      </c>
      <c r="AO151" s="11" t="s">
        <v>3190</v>
      </c>
      <c r="AP151" s="11" t="s">
        <v>3169</v>
      </c>
      <c r="AQ151" s="3">
        <v>46085</v>
      </c>
      <c r="AR151" s="11">
        <v>40000</v>
      </c>
      <c r="AS151" s="11" t="s">
        <v>47</v>
      </c>
      <c r="AT151" s="12" t="s">
        <v>748</v>
      </c>
      <c r="AU151" s="2">
        <v>46172</v>
      </c>
    </row>
    <row r="152" spans="1:47" x14ac:dyDescent="0.25">
      <c r="A152" s="10" t="s">
        <v>1139</v>
      </c>
      <c r="B152" s="11" t="s">
        <v>1220</v>
      </c>
      <c r="C152" s="11">
        <v>0</v>
      </c>
      <c r="D152" s="11" t="s">
        <v>132</v>
      </c>
      <c r="E152" s="11">
        <v>1</v>
      </c>
      <c r="F152" s="11" t="s">
        <v>440</v>
      </c>
      <c r="G152" s="11" t="s">
        <v>52</v>
      </c>
      <c r="H152" s="11">
        <v>12</v>
      </c>
      <c r="I152" s="11" t="s">
        <v>1301</v>
      </c>
      <c r="J152" s="11" t="s">
        <v>42</v>
      </c>
      <c r="K152" s="11">
        <f>Table1[[#This Row],[ENR]]-Table1[[#This Row],[CREDIT]]</f>
        <v>36990.75</v>
      </c>
      <c r="L152" s="43">
        <v>500000</v>
      </c>
      <c r="M152" s="30">
        <v>536990.75</v>
      </c>
      <c r="N152" s="44">
        <v>242607.25</v>
      </c>
      <c r="O152" s="29">
        <v>294383.5</v>
      </c>
      <c r="P152" s="29">
        <v>255793.77</v>
      </c>
      <c r="Q152" s="11">
        <v>87520</v>
      </c>
      <c r="R152" s="29">
        <v>35460</v>
      </c>
      <c r="S152" s="11" t="s">
        <v>44</v>
      </c>
      <c r="T152" s="11" t="s">
        <v>45</v>
      </c>
      <c r="U152" s="11">
        <v>0</v>
      </c>
      <c r="V152" s="29">
        <f>Table1[[#This Row],[STAB]]-Table1[[#This Row],[AMOUNT]]</f>
        <v>35460</v>
      </c>
      <c r="W152" s="11">
        <v>0</v>
      </c>
      <c r="X152" s="11" t="s">
        <v>83</v>
      </c>
      <c r="Y152" s="11">
        <v>0</v>
      </c>
      <c r="Z152" s="11" t="s">
        <v>88</v>
      </c>
      <c r="AA152" s="11" t="s">
        <v>86</v>
      </c>
      <c r="AB152" s="11" t="e">
        <v>#N/A</v>
      </c>
      <c r="AC152" s="11" t="s">
        <v>1382</v>
      </c>
      <c r="AD152" s="11" t="s">
        <v>1463</v>
      </c>
      <c r="AE152" s="11" t="s">
        <v>604</v>
      </c>
      <c r="AF152" s="11" t="s">
        <v>439</v>
      </c>
      <c r="AG152" s="12" t="s">
        <v>63</v>
      </c>
      <c r="AH152" s="12" t="s">
        <v>467</v>
      </c>
      <c r="AI152" s="11">
        <v>801570488</v>
      </c>
      <c r="AJ152" s="11" t="s">
        <v>190</v>
      </c>
      <c r="AK152" s="11"/>
      <c r="AL152" s="11"/>
      <c r="AM152" s="12" t="s">
        <v>64</v>
      </c>
      <c r="AN152" s="11" t="s">
        <v>219</v>
      </c>
      <c r="AO152" s="11" t="s">
        <v>1525</v>
      </c>
      <c r="AP152" s="11" t="s">
        <v>1497</v>
      </c>
      <c r="AQ152" s="3">
        <v>46097</v>
      </c>
      <c r="AR152" s="11">
        <v>78482.600000000006</v>
      </c>
      <c r="AS152" s="11" t="s">
        <v>47</v>
      </c>
      <c r="AT152" s="12" t="s">
        <v>1077</v>
      </c>
      <c r="AU152" s="2">
        <v>46172</v>
      </c>
    </row>
    <row r="153" spans="1:47" x14ac:dyDescent="0.25">
      <c r="A153" s="10" t="s">
        <v>680</v>
      </c>
      <c r="B153" s="11" t="s">
        <v>681</v>
      </c>
      <c r="C153" s="11">
        <v>0</v>
      </c>
      <c r="D153" s="11" t="s">
        <v>108</v>
      </c>
      <c r="E153" s="11"/>
      <c r="F153" s="11"/>
      <c r="G153" s="11" t="s">
        <v>52</v>
      </c>
      <c r="H153" s="11">
        <v>12</v>
      </c>
      <c r="I153" s="11" t="s">
        <v>713</v>
      </c>
      <c r="J153" s="11" t="s">
        <v>42</v>
      </c>
      <c r="K153" s="11">
        <f>Table1[[#This Row],[ENR]]-Table1[[#This Row],[CREDIT]]</f>
        <v>26920.660000000033</v>
      </c>
      <c r="L153" s="43">
        <v>500000</v>
      </c>
      <c r="M153" s="30">
        <v>526920.66</v>
      </c>
      <c r="N153" s="44">
        <v>320949.73</v>
      </c>
      <c r="O153" s="29">
        <v>205970.93</v>
      </c>
      <c r="P153" s="29">
        <v>176383.13</v>
      </c>
      <c r="Q153" s="29">
        <v>92760</v>
      </c>
      <c r="R153" s="29">
        <v>50110</v>
      </c>
      <c r="S153" s="11" t="s">
        <v>58</v>
      </c>
      <c r="T153" s="11" t="s">
        <v>14</v>
      </c>
      <c r="U153" s="29">
        <v>50200</v>
      </c>
      <c r="V153" s="29">
        <f>Table1[[#This Row],[STAB]]-Table1[[#This Row],[AMOUNT]]</f>
        <v>-90</v>
      </c>
      <c r="W153" s="11" t="s">
        <v>2294</v>
      </c>
      <c r="X153" s="11" t="s">
        <v>451</v>
      </c>
      <c r="Y153" s="11" t="s">
        <v>1085</v>
      </c>
      <c r="Z153" s="11" t="s">
        <v>88</v>
      </c>
      <c r="AA153" s="11" t="s">
        <v>86</v>
      </c>
      <c r="AB153" s="11" t="s">
        <v>3139</v>
      </c>
      <c r="AC153" s="11" t="s">
        <v>739</v>
      </c>
      <c r="AD153" s="11" t="s">
        <v>781</v>
      </c>
      <c r="AE153" s="11" t="s">
        <v>100</v>
      </c>
      <c r="AF153" s="11" t="s">
        <v>54</v>
      </c>
      <c r="AG153" s="12" t="s">
        <v>59</v>
      </c>
      <c r="AH153" s="11" t="s">
        <v>193</v>
      </c>
      <c r="AI153" s="11">
        <v>802824019</v>
      </c>
      <c r="AJ153" s="11" t="s">
        <v>189</v>
      </c>
      <c r="AK153" s="11"/>
      <c r="AL153" s="11"/>
      <c r="AM153" s="12" t="s">
        <v>64</v>
      </c>
      <c r="AN153" s="11" t="s">
        <v>115</v>
      </c>
      <c r="AO153" s="11" t="s">
        <v>2461</v>
      </c>
      <c r="AP153" s="11" t="s">
        <v>2296</v>
      </c>
      <c r="AQ153" s="3">
        <v>45558</v>
      </c>
      <c r="AR153" s="11">
        <v>50000</v>
      </c>
      <c r="AS153" s="11" t="s">
        <v>47</v>
      </c>
      <c r="AT153" s="12" t="s">
        <v>748</v>
      </c>
      <c r="AU153" s="2">
        <v>46172</v>
      </c>
    </row>
    <row r="154" spans="1:47" x14ac:dyDescent="0.25">
      <c r="A154" s="10" t="s">
        <v>1134</v>
      </c>
      <c r="B154" s="11" t="s">
        <v>1215</v>
      </c>
      <c r="C154" s="11">
        <v>0</v>
      </c>
      <c r="D154" s="11" t="s">
        <v>108</v>
      </c>
      <c r="E154" s="11"/>
      <c r="F154" s="11"/>
      <c r="G154" s="11" t="s">
        <v>52</v>
      </c>
      <c r="H154" s="11">
        <v>12</v>
      </c>
      <c r="I154" s="11" t="s">
        <v>1296</v>
      </c>
      <c r="J154" s="11" t="s">
        <v>42</v>
      </c>
      <c r="K154" s="11">
        <f>Table1[[#This Row],[ENR]]-Table1[[#This Row],[CREDIT]]</f>
        <v>22201.219999999972</v>
      </c>
      <c r="L154" s="43">
        <v>500000</v>
      </c>
      <c r="M154" s="30">
        <v>522201.22</v>
      </c>
      <c r="N154" s="44">
        <v>318311.34000000003</v>
      </c>
      <c r="O154" s="29">
        <v>203889.88</v>
      </c>
      <c r="P154" s="29">
        <v>178592.66</v>
      </c>
      <c r="Q154" s="29">
        <v>76400</v>
      </c>
      <c r="R154" s="29">
        <v>31880</v>
      </c>
      <c r="S154" s="11" t="s">
        <v>44</v>
      </c>
      <c r="T154" s="11" t="s">
        <v>45</v>
      </c>
      <c r="U154" s="11">
        <v>0</v>
      </c>
      <c r="V154" s="29">
        <f>Table1[[#This Row],[STAB]]-Table1[[#This Row],[AMOUNT]]</f>
        <v>31880</v>
      </c>
      <c r="W154" s="11">
        <v>0</v>
      </c>
      <c r="X154" s="11" t="s">
        <v>83</v>
      </c>
      <c r="Y154" s="11">
        <v>0</v>
      </c>
      <c r="Z154" s="11" t="s">
        <v>88</v>
      </c>
      <c r="AA154" s="11" t="s">
        <v>86</v>
      </c>
      <c r="AB154" s="11" t="s">
        <v>3141</v>
      </c>
      <c r="AC154" s="11" t="s">
        <v>1377</v>
      </c>
      <c r="AD154" s="11" t="s">
        <v>1458</v>
      </c>
      <c r="AE154" s="11" t="s">
        <v>414</v>
      </c>
      <c r="AF154" s="11" t="s">
        <v>127</v>
      </c>
      <c r="AG154" s="12" t="s">
        <v>106</v>
      </c>
      <c r="AH154" s="12" t="s">
        <v>460</v>
      </c>
      <c r="AI154" s="11">
        <v>802913252</v>
      </c>
      <c r="AJ154" s="11" t="s">
        <v>190</v>
      </c>
      <c r="AK154" s="11"/>
      <c r="AL154" s="11"/>
      <c r="AM154" s="12" t="s">
        <v>64</v>
      </c>
      <c r="AN154" s="11" t="s">
        <v>221</v>
      </c>
      <c r="AO154" s="11" t="s">
        <v>3181</v>
      </c>
      <c r="AP154" s="11" t="s">
        <v>3169</v>
      </c>
      <c r="AQ154" s="3">
        <v>45868</v>
      </c>
      <c r="AR154" s="11">
        <v>34000</v>
      </c>
      <c r="AS154" s="11" t="s">
        <v>47</v>
      </c>
      <c r="AT154" s="12" t="s">
        <v>1077</v>
      </c>
      <c r="AU154" s="2">
        <v>46172</v>
      </c>
    </row>
    <row r="155" spans="1:47" x14ac:dyDescent="0.25">
      <c r="A155" s="45" t="s">
        <v>1152</v>
      </c>
      <c r="B155" s="12" t="s">
        <v>1233</v>
      </c>
      <c r="C155" s="11">
        <v>0</v>
      </c>
      <c r="D155" s="11" t="s">
        <v>108</v>
      </c>
      <c r="E155" s="12"/>
      <c r="F155" s="12" t="s">
        <v>440</v>
      </c>
      <c r="G155" s="11" t="s">
        <v>52</v>
      </c>
      <c r="H155" s="12">
        <v>12</v>
      </c>
      <c r="I155" s="12" t="s">
        <v>1314</v>
      </c>
      <c r="J155" s="12" t="s">
        <v>42</v>
      </c>
      <c r="K155" s="12">
        <f>Table1[[#This Row],[ENR]]-Table1[[#This Row],[CREDIT]]</f>
        <v>10039.039999999979</v>
      </c>
      <c r="L155" s="46">
        <v>480000</v>
      </c>
      <c r="M155" s="47">
        <v>490039.03999999998</v>
      </c>
      <c r="N155" s="48">
        <v>32348.44</v>
      </c>
      <c r="O155" s="49">
        <v>457690.6</v>
      </c>
      <c r="P155" s="49">
        <v>413067.77</v>
      </c>
      <c r="Q155" s="29">
        <v>144960</v>
      </c>
      <c r="R155" s="29">
        <v>66810</v>
      </c>
      <c r="S155" s="11" t="s">
        <v>58</v>
      </c>
      <c r="T155" s="11" t="s">
        <v>13</v>
      </c>
      <c r="U155" s="11">
        <v>457690.6</v>
      </c>
      <c r="V155" s="49">
        <f>Table1[[#This Row],[STAB]]-Table1[[#This Row],[AMOUNT]]</f>
        <v>-390880.6</v>
      </c>
      <c r="W155" s="11" t="s">
        <v>3119</v>
      </c>
      <c r="X155" s="11" t="s">
        <v>451</v>
      </c>
      <c r="Y155" s="11" t="s">
        <v>760</v>
      </c>
      <c r="Z155" s="11" t="s">
        <v>88</v>
      </c>
      <c r="AA155" s="11" t="s">
        <v>86</v>
      </c>
      <c r="AB155" s="12" t="s">
        <v>3139</v>
      </c>
      <c r="AC155" s="12" t="s">
        <v>1395</v>
      </c>
      <c r="AD155" s="12" t="s">
        <v>1476</v>
      </c>
      <c r="AE155" s="12" t="s">
        <v>100</v>
      </c>
      <c r="AF155" s="12" t="s">
        <v>54</v>
      </c>
      <c r="AG155" s="12" t="s">
        <v>60</v>
      </c>
      <c r="AH155" s="11" t="s">
        <v>193</v>
      </c>
      <c r="AI155" s="11">
        <v>802824019</v>
      </c>
      <c r="AJ155" s="11" t="s">
        <v>189</v>
      </c>
      <c r="AK155" s="12"/>
      <c r="AL155" s="12"/>
      <c r="AM155" s="12" t="s">
        <v>64</v>
      </c>
      <c r="AN155" s="12" t="s">
        <v>115</v>
      </c>
      <c r="AO155" s="12" t="s">
        <v>1515</v>
      </c>
      <c r="AP155" s="12" t="s">
        <v>1497</v>
      </c>
      <c r="AQ155" s="50">
        <v>46098</v>
      </c>
      <c r="AR155" s="12">
        <v>8000</v>
      </c>
      <c r="AS155" s="12" t="s">
        <v>47</v>
      </c>
      <c r="AT155" s="12" t="s">
        <v>1077</v>
      </c>
      <c r="AU155" s="51">
        <v>46172</v>
      </c>
    </row>
    <row r="156" spans="1:47" x14ac:dyDescent="0.25">
      <c r="A156" s="10" t="s">
        <v>682</v>
      </c>
      <c r="B156" s="11" t="s">
        <v>683</v>
      </c>
      <c r="C156" s="11">
        <v>0</v>
      </c>
      <c r="D156" s="11" t="s">
        <v>108</v>
      </c>
      <c r="E156" s="11"/>
      <c r="F156" s="11"/>
      <c r="G156" s="11" t="s">
        <v>52</v>
      </c>
      <c r="H156" s="11">
        <v>12</v>
      </c>
      <c r="I156" s="11" t="s">
        <v>714</v>
      </c>
      <c r="J156" s="11" t="s">
        <v>42</v>
      </c>
      <c r="K156" s="11">
        <f>Table1[[#This Row],[ENR]]-Table1[[#This Row],[CREDIT]]</f>
        <v>13397.520000000019</v>
      </c>
      <c r="L156" s="43">
        <v>460000</v>
      </c>
      <c r="M156" s="30">
        <v>473397.52</v>
      </c>
      <c r="N156" s="44" t="s">
        <v>43</v>
      </c>
      <c r="O156" s="29">
        <v>473397.52</v>
      </c>
      <c r="P156" s="29">
        <v>424032.81</v>
      </c>
      <c r="Q156" s="29">
        <v>103200</v>
      </c>
      <c r="R156" s="29">
        <v>49295</v>
      </c>
      <c r="S156" s="11" t="s">
        <v>44</v>
      </c>
      <c r="T156" s="11" t="s">
        <v>45</v>
      </c>
      <c r="U156" s="11">
        <v>0</v>
      </c>
      <c r="V156" s="29">
        <f>Table1[[#This Row],[STAB]]-Table1[[#This Row],[AMOUNT]]</f>
        <v>49295</v>
      </c>
      <c r="W156" s="11">
        <v>0</v>
      </c>
      <c r="X156" s="11" t="s">
        <v>83</v>
      </c>
      <c r="Y156" s="11">
        <v>0</v>
      </c>
      <c r="Z156" s="11" t="s">
        <v>88</v>
      </c>
      <c r="AA156" s="11" t="s">
        <v>86</v>
      </c>
      <c r="AB156" s="11" t="s">
        <v>3139</v>
      </c>
      <c r="AC156" s="11" t="s">
        <v>740</v>
      </c>
      <c r="AD156" s="11" t="s">
        <v>775</v>
      </c>
      <c r="AE156" s="11" t="s">
        <v>92</v>
      </c>
      <c r="AF156" s="11" t="s">
        <v>54</v>
      </c>
      <c r="AG156" s="11" t="s">
        <v>101</v>
      </c>
      <c r="AH156" s="11" t="s">
        <v>197</v>
      </c>
      <c r="AI156" s="11">
        <v>802370852</v>
      </c>
      <c r="AJ156" s="11" t="s">
        <v>191</v>
      </c>
      <c r="AK156" s="11"/>
      <c r="AL156" s="11"/>
      <c r="AM156" s="12" t="s">
        <v>64</v>
      </c>
      <c r="AN156" s="11" t="s">
        <v>219</v>
      </c>
      <c r="AO156" s="11" t="s">
        <v>1668</v>
      </c>
      <c r="AP156" s="11" t="s">
        <v>1667</v>
      </c>
      <c r="AQ156" s="3">
        <v>45443</v>
      </c>
      <c r="AR156" s="11">
        <v>34527</v>
      </c>
      <c r="AS156" s="11" t="s">
        <v>47</v>
      </c>
      <c r="AT156" s="11" t="s">
        <v>748</v>
      </c>
      <c r="AU156" s="2">
        <v>46172</v>
      </c>
    </row>
    <row r="157" spans="1:47" x14ac:dyDescent="0.25">
      <c r="A157" s="10" t="s">
        <v>1146</v>
      </c>
      <c r="B157" s="11" t="s">
        <v>1227</v>
      </c>
      <c r="C157" s="11">
        <v>0</v>
      </c>
      <c r="D157" s="11" t="s">
        <v>108</v>
      </c>
      <c r="E157" s="11"/>
      <c r="F157" s="11"/>
      <c r="G157" s="11" t="s">
        <v>52</v>
      </c>
      <c r="H157" s="11">
        <v>12</v>
      </c>
      <c r="I157" s="11" t="s">
        <v>1308</v>
      </c>
      <c r="J157" s="11" t="s">
        <v>42</v>
      </c>
      <c r="K157" s="11">
        <f>Table1[[#This Row],[ENR]]-Table1[[#This Row],[CREDIT]]</f>
        <v>38756.239999999991</v>
      </c>
      <c r="L157" s="43">
        <v>420000</v>
      </c>
      <c r="M157" s="30">
        <v>458756.24</v>
      </c>
      <c r="N157" s="44">
        <v>10911.88</v>
      </c>
      <c r="O157" s="29">
        <v>447844.36</v>
      </c>
      <c r="P157" s="29">
        <v>408421.88</v>
      </c>
      <c r="Q157" s="29">
        <v>118540</v>
      </c>
      <c r="R157" s="29">
        <v>39830</v>
      </c>
      <c r="S157" s="11" t="s">
        <v>44</v>
      </c>
      <c r="T157" s="11" t="s">
        <v>45</v>
      </c>
      <c r="U157" s="11">
        <v>0</v>
      </c>
      <c r="V157" s="29">
        <f>Table1[[#This Row],[STAB]]-Table1[[#This Row],[AMOUNT]]</f>
        <v>39830</v>
      </c>
      <c r="W157" s="11">
        <v>0</v>
      </c>
      <c r="X157" s="11" t="s">
        <v>83</v>
      </c>
      <c r="Y157" s="11">
        <v>0</v>
      </c>
      <c r="Z157" s="11" t="s">
        <v>88</v>
      </c>
      <c r="AA157" s="11" t="s">
        <v>86</v>
      </c>
      <c r="AB157" s="11" t="s">
        <v>3139</v>
      </c>
      <c r="AC157" s="11" t="s">
        <v>1389</v>
      </c>
      <c r="AD157" s="11" t="s">
        <v>1470</v>
      </c>
      <c r="AE157" s="11" t="s">
        <v>104</v>
      </c>
      <c r="AF157" s="11" t="s">
        <v>54</v>
      </c>
      <c r="AG157" s="11" t="s">
        <v>109</v>
      </c>
      <c r="AH157" s="11" t="s">
        <v>196</v>
      </c>
      <c r="AI157" s="11">
        <v>802555024</v>
      </c>
      <c r="AJ157" s="11" t="s">
        <v>99</v>
      </c>
      <c r="AK157" s="11"/>
      <c r="AL157" s="11"/>
      <c r="AM157" s="12" t="s">
        <v>64</v>
      </c>
      <c r="AN157" s="11" t="s">
        <v>115</v>
      </c>
      <c r="AO157" s="11" t="s">
        <v>1652</v>
      </c>
      <c r="AP157" s="11" t="s">
        <v>1645</v>
      </c>
      <c r="AQ157" s="3">
        <v>45940</v>
      </c>
      <c r="AR157" s="11">
        <v>50000</v>
      </c>
      <c r="AS157" s="11" t="s">
        <v>47</v>
      </c>
      <c r="AT157" s="11" t="s">
        <v>1077</v>
      </c>
      <c r="AU157" s="2">
        <v>46172</v>
      </c>
    </row>
    <row r="158" spans="1:47" x14ac:dyDescent="0.25">
      <c r="A158" s="10" t="s">
        <v>1145</v>
      </c>
      <c r="B158" s="11" t="s">
        <v>1226</v>
      </c>
      <c r="C158" s="11">
        <v>0</v>
      </c>
      <c r="D158" s="11" t="s">
        <v>132</v>
      </c>
      <c r="E158" s="11">
        <v>1</v>
      </c>
      <c r="F158" s="11" t="s">
        <v>440</v>
      </c>
      <c r="G158" s="11" t="s">
        <v>52</v>
      </c>
      <c r="H158" s="11">
        <v>12</v>
      </c>
      <c r="I158" s="11" t="s">
        <v>1307</v>
      </c>
      <c r="J158" s="11" t="s">
        <v>42</v>
      </c>
      <c r="K158" s="11">
        <f>Table1[[#This Row],[ENR]]-Table1[[#This Row],[CREDIT]]</f>
        <v>36522.150000000023</v>
      </c>
      <c r="L158" s="43">
        <v>420000</v>
      </c>
      <c r="M158" s="30">
        <v>456522.15</v>
      </c>
      <c r="N158" s="44">
        <v>36800.15</v>
      </c>
      <c r="O158" s="29">
        <v>419722</v>
      </c>
      <c r="P158" s="29">
        <v>380633.99</v>
      </c>
      <c r="Q158" s="11">
        <v>75120</v>
      </c>
      <c r="R158" s="29">
        <v>30790</v>
      </c>
      <c r="S158" s="11" t="s">
        <v>44</v>
      </c>
      <c r="T158" s="11" t="s">
        <v>45</v>
      </c>
      <c r="U158" s="11">
        <v>0</v>
      </c>
      <c r="V158" s="29">
        <f>Table1[[#This Row],[STAB]]-Table1[[#This Row],[AMOUNT]]</f>
        <v>30790</v>
      </c>
      <c r="W158" s="11">
        <v>0</v>
      </c>
      <c r="X158" s="11" t="s">
        <v>83</v>
      </c>
      <c r="Y158" s="11">
        <v>0</v>
      </c>
      <c r="Z158" s="11" t="s">
        <v>88</v>
      </c>
      <c r="AA158" s="11" t="s">
        <v>86</v>
      </c>
      <c r="AB158" s="11" t="e">
        <v>#N/A</v>
      </c>
      <c r="AC158" s="11" t="s">
        <v>1388</v>
      </c>
      <c r="AD158" s="11" t="s">
        <v>1469</v>
      </c>
      <c r="AE158" s="11" t="s">
        <v>604</v>
      </c>
      <c r="AF158" s="11" t="s">
        <v>439</v>
      </c>
      <c r="AG158" s="11" t="s">
        <v>63</v>
      </c>
      <c r="AH158" s="11" t="s">
        <v>467</v>
      </c>
      <c r="AI158" s="11">
        <v>801570488</v>
      </c>
      <c r="AJ158" s="11" t="s">
        <v>190</v>
      </c>
      <c r="AK158" s="11"/>
      <c r="AL158" s="11"/>
      <c r="AM158" s="12" t="s">
        <v>46</v>
      </c>
      <c r="AN158" s="11"/>
      <c r="AO158" s="11"/>
      <c r="AP158" s="11"/>
      <c r="AQ158" s="3">
        <v>45625</v>
      </c>
      <c r="AR158" s="11">
        <v>30145.15</v>
      </c>
      <c r="AS158" s="11" t="s">
        <v>47</v>
      </c>
      <c r="AT158" s="11" t="s">
        <v>1077</v>
      </c>
      <c r="AU158" s="2">
        <v>46172</v>
      </c>
    </row>
    <row r="159" spans="1:47" x14ac:dyDescent="0.25">
      <c r="A159" s="10" t="s">
        <v>1144</v>
      </c>
      <c r="B159" s="11" t="s">
        <v>1225</v>
      </c>
      <c r="C159" s="11">
        <v>0</v>
      </c>
      <c r="D159" s="11" t="s">
        <v>108</v>
      </c>
      <c r="E159" s="11"/>
      <c r="F159" s="11"/>
      <c r="G159" s="11" t="s">
        <v>52</v>
      </c>
      <c r="H159" s="11">
        <v>12</v>
      </c>
      <c r="I159" s="11" t="s">
        <v>1306</v>
      </c>
      <c r="J159" s="11" t="s">
        <v>42</v>
      </c>
      <c r="K159" s="11">
        <f>Table1[[#This Row],[ENR]]-Table1[[#This Row],[CREDIT]]</f>
        <v>23894.200000000012</v>
      </c>
      <c r="L159" s="43">
        <v>380000</v>
      </c>
      <c r="M159" s="52">
        <v>403894.2</v>
      </c>
      <c r="N159" s="44" t="s">
        <v>43</v>
      </c>
      <c r="O159" s="29">
        <v>403894.2</v>
      </c>
      <c r="P159" s="29">
        <v>372081.08</v>
      </c>
      <c r="Q159" s="29">
        <v>98480</v>
      </c>
      <c r="R159" s="29">
        <v>63825</v>
      </c>
      <c r="S159" s="11" t="s">
        <v>58</v>
      </c>
      <c r="T159" s="11" t="s">
        <v>14</v>
      </c>
      <c r="U159" s="29">
        <v>63825</v>
      </c>
      <c r="V159" s="29">
        <f>Table1[[#This Row],[STAB]]-Table1[[#This Row],[AMOUNT]]</f>
        <v>0</v>
      </c>
      <c r="W159" s="11">
        <v>0</v>
      </c>
      <c r="X159" s="11" t="s">
        <v>1526</v>
      </c>
      <c r="Y159" s="11" t="s">
        <v>760</v>
      </c>
      <c r="Z159" s="11" t="s">
        <v>88</v>
      </c>
      <c r="AA159" s="11" t="s">
        <v>86</v>
      </c>
      <c r="AB159" s="11" t="s">
        <v>3139</v>
      </c>
      <c r="AC159" s="11" t="s">
        <v>1387</v>
      </c>
      <c r="AD159" s="11" t="s">
        <v>1468</v>
      </c>
      <c r="AE159" s="11" t="s">
        <v>429</v>
      </c>
      <c r="AF159" s="11" t="s">
        <v>54</v>
      </c>
      <c r="AG159" s="11" t="s">
        <v>95</v>
      </c>
      <c r="AH159" s="11" t="s">
        <v>465</v>
      </c>
      <c r="AI159" s="11">
        <v>802823175</v>
      </c>
      <c r="AJ159" s="11" t="s">
        <v>191</v>
      </c>
      <c r="AK159" s="11"/>
      <c r="AL159" s="11"/>
      <c r="AM159" s="12" t="s">
        <v>64</v>
      </c>
      <c r="AN159" s="11" t="s">
        <v>219</v>
      </c>
      <c r="AO159" s="11" t="s">
        <v>3167</v>
      </c>
      <c r="AP159" s="11" t="s">
        <v>3129</v>
      </c>
      <c r="AQ159" s="3">
        <v>45576</v>
      </c>
      <c r="AR159" s="11">
        <v>100000</v>
      </c>
      <c r="AS159" s="11" t="s">
        <v>47</v>
      </c>
      <c r="AT159" s="11" t="s">
        <v>1077</v>
      </c>
      <c r="AU159" s="2">
        <v>46172</v>
      </c>
    </row>
    <row r="160" spans="1:47" x14ac:dyDescent="0.25">
      <c r="A160" s="10" t="s">
        <v>684</v>
      </c>
      <c r="B160" s="11" t="s">
        <v>685</v>
      </c>
      <c r="C160" s="11">
        <v>0</v>
      </c>
      <c r="D160" s="11" t="s">
        <v>108</v>
      </c>
      <c r="E160" s="11"/>
      <c r="F160" s="11"/>
      <c r="G160" s="11" t="s">
        <v>52</v>
      </c>
      <c r="H160" s="11">
        <v>12</v>
      </c>
      <c r="I160" s="11" t="s">
        <v>715</v>
      </c>
      <c r="J160" s="11" t="s">
        <v>42</v>
      </c>
      <c r="K160" s="11">
        <f>Table1[[#This Row],[ENR]]-Table1[[#This Row],[CREDIT]]</f>
        <v>345602.2</v>
      </c>
      <c r="L160" s="43">
        <v>20000</v>
      </c>
      <c r="M160" s="30">
        <v>365602.2</v>
      </c>
      <c r="N160" s="44" t="s">
        <v>43</v>
      </c>
      <c r="O160" s="29">
        <v>365602.2</v>
      </c>
      <c r="P160" s="29">
        <v>329572.8</v>
      </c>
      <c r="Q160" s="29">
        <v>365602.2</v>
      </c>
      <c r="R160" s="29">
        <v>332760</v>
      </c>
      <c r="S160" s="11" t="s">
        <v>44</v>
      </c>
      <c r="T160" s="11" t="s">
        <v>45</v>
      </c>
      <c r="U160" s="11">
        <v>0</v>
      </c>
      <c r="V160" s="29">
        <f>Table1[[#This Row],[STAB]]-Table1[[#This Row],[AMOUNT]]</f>
        <v>332760</v>
      </c>
      <c r="W160" s="11">
        <v>0</v>
      </c>
      <c r="X160" s="11" t="s">
        <v>83</v>
      </c>
      <c r="Y160" s="11">
        <v>0</v>
      </c>
      <c r="Z160" s="11" t="s">
        <v>88</v>
      </c>
      <c r="AA160" s="11" t="s">
        <v>86</v>
      </c>
      <c r="AB160" s="11" t="s">
        <v>3139</v>
      </c>
      <c r="AC160" s="11" t="s">
        <v>741</v>
      </c>
      <c r="AD160" s="11" t="s">
        <v>774</v>
      </c>
      <c r="AE160" s="11" t="s">
        <v>747</v>
      </c>
      <c r="AF160" s="11" t="s">
        <v>84</v>
      </c>
      <c r="AG160" s="11" t="s">
        <v>93</v>
      </c>
      <c r="AH160" s="11" t="s">
        <v>88</v>
      </c>
      <c r="AI160" s="11">
        <v>801723195</v>
      </c>
      <c r="AJ160" s="11" t="s">
        <v>191</v>
      </c>
      <c r="AK160" s="11"/>
      <c r="AL160" s="11"/>
      <c r="AM160" s="12" t="s">
        <v>64</v>
      </c>
      <c r="AN160" s="11" t="s">
        <v>446</v>
      </c>
      <c r="AO160" s="11" t="s">
        <v>2434</v>
      </c>
      <c r="AP160" s="11" t="s">
        <v>2294</v>
      </c>
      <c r="AQ160" s="3">
        <v>46118</v>
      </c>
      <c r="AR160" s="11">
        <v>79723</v>
      </c>
      <c r="AS160" s="11" t="s">
        <v>47</v>
      </c>
      <c r="AT160" s="11" t="s">
        <v>748</v>
      </c>
      <c r="AU160" s="2">
        <v>46172</v>
      </c>
    </row>
    <row r="161" spans="1:47" x14ac:dyDescent="0.25">
      <c r="A161" s="10" t="s">
        <v>686</v>
      </c>
      <c r="B161" s="11" t="s">
        <v>687</v>
      </c>
      <c r="C161" s="11">
        <v>0</v>
      </c>
      <c r="D161" s="11" t="s">
        <v>108</v>
      </c>
      <c r="E161" s="11"/>
      <c r="F161" s="11"/>
      <c r="G161" s="11" t="s">
        <v>52</v>
      </c>
      <c r="H161" s="11">
        <v>12</v>
      </c>
      <c r="I161" s="11" t="s">
        <v>716</v>
      </c>
      <c r="J161" s="11" t="s">
        <v>791</v>
      </c>
      <c r="K161" s="11">
        <f>Table1[[#This Row],[ENR]]-Table1[[#This Row],[CREDIT]]</f>
        <v>-143333.18</v>
      </c>
      <c r="L161" s="43">
        <v>500000</v>
      </c>
      <c r="M161" s="30">
        <v>356666.82</v>
      </c>
      <c r="N161" s="44" t="s">
        <v>43</v>
      </c>
      <c r="O161" s="29">
        <v>356666.82</v>
      </c>
      <c r="P161" s="29">
        <v>320364.2</v>
      </c>
      <c r="Q161" s="29">
        <v>331440</v>
      </c>
      <c r="R161" s="29">
        <v>330090</v>
      </c>
      <c r="S161" s="11" t="s">
        <v>58</v>
      </c>
      <c r="T161" s="11" t="s">
        <v>13</v>
      </c>
      <c r="U161" s="11">
        <v>351129</v>
      </c>
      <c r="V161" s="29">
        <f>Table1[[#This Row],[STAB]]-Table1[[#This Row],[AMOUNT]]</f>
        <v>-21039</v>
      </c>
      <c r="W161" s="11">
        <v>0</v>
      </c>
      <c r="X161" s="11" t="s">
        <v>761</v>
      </c>
      <c r="Y161" s="11" t="s">
        <v>1085</v>
      </c>
      <c r="Z161" s="11" t="s">
        <v>88</v>
      </c>
      <c r="AA161" s="11" t="s">
        <v>86</v>
      </c>
      <c r="AB161" s="11" t="s">
        <v>3139</v>
      </c>
      <c r="AC161" s="11" t="s">
        <v>742</v>
      </c>
      <c r="AD161" s="11" t="s">
        <v>783</v>
      </c>
      <c r="AE161" s="11" t="s">
        <v>125</v>
      </c>
      <c r="AF161" s="11" t="s">
        <v>127</v>
      </c>
      <c r="AG161" s="11" t="s">
        <v>56</v>
      </c>
      <c r="AH161" s="11" t="s">
        <v>462</v>
      </c>
      <c r="AI161" s="11">
        <v>801448854</v>
      </c>
      <c r="AJ161" s="11" t="s">
        <v>191</v>
      </c>
      <c r="AK161" s="11"/>
      <c r="AL161" s="11"/>
      <c r="AM161" s="12" t="s">
        <v>64</v>
      </c>
      <c r="AN161" s="11" t="s">
        <v>115</v>
      </c>
      <c r="AO161" s="11" t="s">
        <v>3145</v>
      </c>
      <c r="AP161" s="11" t="s">
        <v>3119</v>
      </c>
      <c r="AQ161" s="3">
        <v>46152</v>
      </c>
      <c r="AR161" s="11">
        <v>87110</v>
      </c>
      <c r="AS161" s="11" t="s">
        <v>47</v>
      </c>
      <c r="AT161" s="11" t="s">
        <v>748</v>
      </c>
      <c r="AU161" s="2">
        <v>46172</v>
      </c>
    </row>
    <row r="162" spans="1:47" x14ac:dyDescent="0.25">
      <c r="A162" s="10" t="s">
        <v>1143</v>
      </c>
      <c r="B162" s="11" t="s">
        <v>1224</v>
      </c>
      <c r="C162" s="11">
        <v>0</v>
      </c>
      <c r="D162" s="11" t="s">
        <v>108</v>
      </c>
      <c r="E162" s="11"/>
      <c r="F162" s="11" t="s">
        <v>440</v>
      </c>
      <c r="G162" s="11" t="s">
        <v>52</v>
      </c>
      <c r="H162" s="11">
        <v>12</v>
      </c>
      <c r="I162" s="11" t="s">
        <v>1305</v>
      </c>
      <c r="J162" s="11" t="s">
        <v>42</v>
      </c>
      <c r="K162" s="11">
        <f>Table1[[#This Row],[ENR]]-Table1[[#This Row],[CREDIT]]</f>
        <v>26650.669999999984</v>
      </c>
      <c r="L162" s="43">
        <v>320000</v>
      </c>
      <c r="M162" s="30">
        <v>346650.67</v>
      </c>
      <c r="N162" s="44" t="s">
        <v>43</v>
      </c>
      <c r="O162" s="29">
        <v>346650.67</v>
      </c>
      <c r="P162" s="29">
        <v>318310.93</v>
      </c>
      <c r="Q162" s="29">
        <v>90010</v>
      </c>
      <c r="R162" s="29">
        <v>60400</v>
      </c>
      <c r="S162" s="11" t="s">
        <v>44</v>
      </c>
      <c r="T162" s="11" t="s">
        <v>45</v>
      </c>
      <c r="U162" s="11">
        <v>0</v>
      </c>
      <c r="V162" s="29">
        <f>Table1[[#This Row],[STAB]]-Table1[[#This Row],[AMOUNT]]</f>
        <v>60400</v>
      </c>
      <c r="W162" s="11">
        <v>0</v>
      </c>
      <c r="X162" s="11" t="s">
        <v>83</v>
      </c>
      <c r="Y162" s="11">
        <v>0</v>
      </c>
      <c r="Z162" s="11" t="s">
        <v>88</v>
      </c>
      <c r="AA162" s="11" t="s">
        <v>86</v>
      </c>
      <c r="AB162" s="11" t="s">
        <v>3139</v>
      </c>
      <c r="AC162" s="11" t="s">
        <v>1386</v>
      </c>
      <c r="AD162" s="11" t="s">
        <v>1467</v>
      </c>
      <c r="AE162" s="11" t="s">
        <v>603</v>
      </c>
      <c r="AF162" s="11" t="s">
        <v>53</v>
      </c>
      <c r="AG162" s="11" t="s">
        <v>89</v>
      </c>
      <c r="AH162" s="11" t="s">
        <v>193</v>
      </c>
      <c r="AI162" s="11">
        <v>802824019</v>
      </c>
      <c r="AJ162" s="11" t="s">
        <v>189</v>
      </c>
      <c r="AK162" s="11"/>
      <c r="AL162" s="11"/>
      <c r="AM162" s="12" t="s">
        <v>64</v>
      </c>
      <c r="AN162" s="11" t="s">
        <v>446</v>
      </c>
      <c r="AO162" s="11" t="s">
        <v>3188</v>
      </c>
      <c r="AP162" s="11" t="s">
        <v>3169</v>
      </c>
      <c r="AQ162" s="3">
        <v>45501</v>
      </c>
      <c r="AR162" s="11">
        <v>2679.77</v>
      </c>
      <c r="AS162" s="11" t="s">
        <v>47</v>
      </c>
      <c r="AT162" s="11" t="s">
        <v>1077</v>
      </c>
      <c r="AU162" s="2">
        <v>46172</v>
      </c>
    </row>
    <row r="163" spans="1:47" x14ac:dyDescent="0.25">
      <c r="A163" s="10" t="s">
        <v>1090</v>
      </c>
      <c r="B163" s="11" t="s">
        <v>1171</v>
      </c>
      <c r="C163" s="11">
        <v>0</v>
      </c>
      <c r="D163" s="11" t="s">
        <v>132</v>
      </c>
      <c r="E163" s="11"/>
      <c r="F163" s="11" t="s">
        <v>440</v>
      </c>
      <c r="G163" s="11" t="s">
        <v>52</v>
      </c>
      <c r="H163" s="11">
        <v>12</v>
      </c>
      <c r="I163" s="11" t="s">
        <v>1252</v>
      </c>
      <c r="J163" s="11" t="s">
        <v>42</v>
      </c>
      <c r="K163" s="11">
        <f>Table1[[#This Row],[ENR]]-Table1[[#This Row],[CREDIT]]</f>
        <v>-8525.4099999999744</v>
      </c>
      <c r="L163" s="43">
        <v>350000</v>
      </c>
      <c r="M163" s="30">
        <v>341474.59</v>
      </c>
      <c r="N163" s="44">
        <v>280508.21000000002</v>
      </c>
      <c r="O163" s="29">
        <v>60966.38</v>
      </c>
      <c r="P163" s="29">
        <v>46678.43</v>
      </c>
      <c r="Q163" s="11">
        <v>60966.38</v>
      </c>
      <c r="R163" s="29">
        <v>27548.81</v>
      </c>
      <c r="S163" s="11" t="s">
        <v>44</v>
      </c>
      <c r="T163" s="11" t="s">
        <v>45</v>
      </c>
      <c r="U163" s="11">
        <v>0</v>
      </c>
      <c r="V163" s="29">
        <f>Table1[[#This Row],[STAB]]-Table1[[#This Row],[AMOUNT]]</f>
        <v>27548.81</v>
      </c>
      <c r="W163" s="11">
        <v>0</v>
      </c>
      <c r="X163" s="11" t="s">
        <v>83</v>
      </c>
      <c r="Y163" s="11">
        <v>0</v>
      </c>
      <c r="Z163" s="11" t="s">
        <v>88</v>
      </c>
      <c r="AA163" s="11" t="s">
        <v>86</v>
      </c>
      <c r="AB163" s="11" t="e">
        <v>#N/A</v>
      </c>
      <c r="AC163" s="11" t="s">
        <v>1333</v>
      </c>
      <c r="AD163" s="11" t="s">
        <v>1414</v>
      </c>
      <c r="AE163" s="11" t="s">
        <v>413</v>
      </c>
      <c r="AF163" s="11" t="s">
        <v>54</v>
      </c>
      <c r="AG163" s="11" t="s">
        <v>129</v>
      </c>
      <c r="AH163" s="11" t="s">
        <v>753</v>
      </c>
      <c r="AI163" s="11">
        <v>802794852</v>
      </c>
      <c r="AJ163" s="11" t="s">
        <v>190</v>
      </c>
      <c r="AK163" s="11"/>
      <c r="AL163" s="11"/>
      <c r="AM163" s="12" t="s">
        <v>64</v>
      </c>
      <c r="AN163" s="11" t="s">
        <v>115</v>
      </c>
      <c r="AO163" s="11" t="s">
        <v>1507</v>
      </c>
      <c r="AP163" s="11" t="s">
        <v>1497</v>
      </c>
      <c r="AQ163" s="3">
        <v>45494</v>
      </c>
      <c r="AR163" s="11">
        <v>15313.62</v>
      </c>
      <c r="AS163" s="11" t="s">
        <v>47</v>
      </c>
      <c r="AT163" s="11" t="s">
        <v>1077</v>
      </c>
      <c r="AU163" s="2">
        <v>46172</v>
      </c>
    </row>
    <row r="164" spans="1:47" x14ac:dyDescent="0.25">
      <c r="A164" s="10" t="s">
        <v>688</v>
      </c>
      <c r="B164" s="11" t="s">
        <v>689</v>
      </c>
      <c r="C164" s="11">
        <v>0</v>
      </c>
      <c r="D164" s="11" t="s">
        <v>108</v>
      </c>
      <c r="E164" s="11"/>
      <c r="F164" s="11"/>
      <c r="G164" s="11" t="s">
        <v>52</v>
      </c>
      <c r="H164" s="11">
        <v>12</v>
      </c>
      <c r="I164" s="11" t="s">
        <v>717</v>
      </c>
      <c r="J164" s="11" t="s">
        <v>42</v>
      </c>
      <c r="K164" s="11">
        <f>Table1[[#This Row],[ENR]]-Table1[[#This Row],[CREDIT]]</f>
        <v>317640.87</v>
      </c>
      <c r="L164" s="43">
        <v>20000</v>
      </c>
      <c r="M164" s="30">
        <v>337640.87</v>
      </c>
      <c r="N164" s="44" t="s">
        <v>43</v>
      </c>
      <c r="O164" s="29">
        <v>337640.87</v>
      </c>
      <c r="P164" s="29">
        <v>300980</v>
      </c>
      <c r="Q164" s="29">
        <v>337640.87</v>
      </c>
      <c r="R164" s="29">
        <v>322176.8</v>
      </c>
      <c r="S164" s="11" t="s">
        <v>44</v>
      </c>
      <c r="T164" s="11" t="s">
        <v>45</v>
      </c>
      <c r="U164" s="11">
        <v>0</v>
      </c>
      <c r="V164" s="29">
        <f>Table1[[#This Row],[STAB]]-Table1[[#This Row],[AMOUNT]]</f>
        <v>322176.8</v>
      </c>
      <c r="W164" s="11">
        <v>0</v>
      </c>
      <c r="X164" s="11" t="s">
        <v>83</v>
      </c>
      <c r="Y164" s="11">
        <v>0</v>
      </c>
      <c r="Z164" s="11" t="s">
        <v>88</v>
      </c>
      <c r="AA164" s="11" t="s">
        <v>86</v>
      </c>
      <c r="AB164" s="11" t="s">
        <v>3139</v>
      </c>
      <c r="AC164" s="11" t="s">
        <v>743</v>
      </c>
      <c r="AD164" s="11" t="s">
        <v>773</v>
      </c>
      <c r="AE164" s="11" t="s">
        <v>747</v>
      </c>
      <c r="AF164" s="11" t="s">
        <v>84</v>
      </c>
      <c r="AG164" s="11" t="s">
        <v>750</v>
      </c>
      <c r="AH164" s="11" t="s">
        <v>459</v>
      </c>
      <c r="AI164" s="11">
        <v>802789320</v>
      </c>
      <c r="AJ164" s="11" t="s">
        <v>190</v>
      </c>
      <c r="AK164" s="11"/>
      <c r="AL164" s="11"/>
      <c r="AM164" s="12" t="s">
        <v>64</v>
      </c>
      <c r="AN164" s="11" t="s">
        <v>115</v>
      </c>
      <c r="AO164" s="11" t="s">
        <v>2457</v>
      </c>
      <c r="AP164" s="11" t="s">
        <v>2296</v>
      </c>
      <c r="AQ164" s="3">
        <v>45807</v>
      </c>
      <c r="AR164" s="11">
        <v>100</v>
      </c>
      <c r="AS164" s="11" t="s">
        <v>47</v>
      </c>
      <c r="AT164" s="11" t="s">
        <v>748</v>
      </c>
      <c r="AU164" s="2">
        <v>46172</v>
      </c>
    </row>
    <row r="165" spans="1:47" x14ac:dyDescent="0.25">
      <c r="A165" s="10" t="s">
        <v>1142</v>
      </c>
      <c r="B165" s="11" t="s">
        <v>1223</v>
      </c>
      <c r="C165" s="11">
        <v>0</v>
      </c>
      <c r="D165" s="11" t="s">
        <v>108</v>
      </c>
      <c r="E165" s="11"/>
      <c r="F165" s="11"/>
      <c r="G165" s="11" t="s">
        <v>52</v>
      </c>
      <c r="H165" s="11">
        <v>12</v>
      </c>
      <c r="I165" s="11" t="s">
        <v>1304</v>
      </c>
      <c r="J165" s="11" t="s">
        <v>42</v>
      </c>
      <c r="K165" s="11">
        <f>Table1[[#This Row],[ENR]]-Table1[[#This Row],[CREDIT]]</f>
        <v>-5862.539999999979</v>
      </c>
      <c r="L165" s="43">
        <v>330000</v>
      </c>
      <c r="M165" s="30">
        <v>324137.46000000002</v>
      </c>
      <c r="N165" s="44">
        <v>42261.58</v>
      </c>
      <c r="O165" s="29">
        <v>281875.88</v>
      </c>
      <c r="P165" s="29">
        <v>263833.09000000003</v>
      </c>
      <c r="Q165" s="29">
        <v>59300</v>
      </c>
      <c r="R165" s="29">
        <v>27870</v>
      </c>
      <c r="S165" s="11" t="s">
        <v>58</v>
      </c>
      <c r="T165" s="11" t="s">
        <v>13</v>
      </c>
      <c r="U165" s="29">
        <v>281875.88</v>
      </c>
      <c r="V165" s="29">
        <f>Table1[[#This Row],[STAB]]-Table1[[#This Row],[AMOUNT]]</f>
        <v>-254005.88</v>
      </c>
      <c r="W165" s="11" t="s">
        <v>3119</v>
      </c>
      <c r="X165" s="11" t="s">
        <v>451</v>
      </c>
      <c r="Y165" s="11" t="s">
        <v>1085</v>
      </c>
      <c r="Z165" s="11" t="s">
        <v>88</v>
      </c>
      <c r="AA165" s="11" t="s">
        <v>86</v>
      </c>
      <c r="AB165" s="11" t="s">
        <v>3139</v>
      </c>
      <c r="AC165" s="11" t="s">
        <v>1385</v>
      </c>
      <c r="AD165" s="11" t="s">
        <v>1466</v>
      </c>
      <c r="AE165" s="11" t="s">
        <v>413</v>
      </c>
      <c r="AF165" s="11" t="s">
        <v>54</v>
      </c>
      <c r="AG165" s="11" t="s">
        <v>129</v>
      </c>
      <c r="AH165" s="11" t="s">
        <v>753</v>
      </c>
      <c r="AI165" s="11">
        <v>802794852</v>
      </c>
      <c r="AJ165" s="11" t="s">
        <v>190</v>
      </c>
      <c r="AK165" s="11"/>
      <c r="AL165" s="11"/>
      <c r="AM165" s="12" t="s">
        <v>64</v>
      </c>
      <c r="AN165" s="11" t="s">
        <v>221</v>
      </c>
      <c r="AO165" s="11" t="s">
        <v>1498</v>
      </c>
      <c r="AP165" s="11" t="s">
        <v>1497</v>
      </c>
      <c r="AQ165" s="3" t="s">
        <v>43</v>
      </c>
      <c r="AR165" s="11">
        <v>0</v>
      </c>
      <c r="AS165" s="11" t="s">
        <v>47</v>
      </c>
      <c r="AT165" s="11" t="s">
        <v>1077</v>
      </c>
      <c r="AU165" s="2">
        <v>46172</v>
      </c>
    </row>
    <row r="166" spans="1:47" x14ac:dyDescent="0.25">
      <c r="A166" s="10" t="s">
        <v>690</v>
      </c>
      <c r="B166" s="11" t="s">
        <v>691</v>
      </c>
      <c r="C166" s="11">
        <v>0</v>
      </c>
      <c r="D166" s="11" t="s">
        <v>108</v>
      </c>
      <c r="E166" s="11"/>
      <c r="F166" s="11"/>
      <c r="G166" s="11" t="s">
        <v>90</v>
      </c>
      <c r="H166" s="11">
        <v>12</v>
      </c>
      <c r="I166" s="11" t="s">
        <v>718</v>
      </c>
      <c r="J166" s="11" t="s">
        <v>42</v>
      </c>
      <c r="K166" s="11">
        <f>Table1[[#This Row],[ENR]]-Table1[[#This Row],[CREDIT]]</f>
        <v>12671.380000000005</v>
      </c>
      <c r="L166" s="43">
        <v>300000</v>
      </c>
      <c r="M166" s="52">
        <v>312671.38</v>
      </c>
      <c r="N166" s="44" t="s">
        <v>43</v>
      </c>
      <c r="O166" s="29">
        <v>312671.38</v>
      </c>
      <c r="P166" s="29">
        <v>297149.15000000002</v>
      </c>
      <c r="Q166" s="29">
        <v>73270</v>
      </c>
      <c r="R166" s="29">
        <v>44330</v>
      </c>
      <c r="S166" s="11" t="s">
        <v>58</v>
      </c>
      <c r="T166" s="11" t="s">
        <v>14</v>
      </c>
      <c r="U166" s="29">
        <v>44330</v>
      </c>
      <c r="V166" s="29">
        <f>Table1[[#This Row],[STAB]]-Table1[[#This Row],[AMOUNT]]</f>
        <v>0</v>
      </c>
      <c r="W166" s="11">
        <v>0</v>
      </c>
      <c r="X166" s="11" t="s">
        <v>1526</v>
      </c>
      <c r="Y166" s="11" t="s">
        <v>1085</v>
      </c>
      <c r="Z166" s="11" t="s">
        <v>88</v>
      </c>
      <c r="AA166" s="11" t="s">
        <v>86</v>
      </c>
      <c r="AB166" s="11" t="s">
        <v>3139</v>
      </c>
      <c r="AC166" s="11" t="s">
        <v>744</v>
      </c>
      <c r="AD166" s="11" t="s">
        <v>772</v>
      </c>
      <c r="AE166" s="11" t="s">
        <v>425</v>
      </c>
      <c r="AF166" s="11" t="s">
        <v>53</v>
      </c>
      <c r="AG166" s="11" t="s">
        <v>89</v>
      </c>
      <c r="AH166" s="11" t="s">
        <v>193</v>
      </c>
      <c r="AI166" s="11">
        <v>802824019</v>
      </c>
      <c r="AJ166" s="11" t="s">
        <v>189</v>
      </c>
      <c r="AK166" s="11"/>
      <c r="AL166" s="11"/>
      <c r="AM166" s="12" t="s">
        <v>64</v>
      </c>
      <c r="AN166" s="11"/>
      <c r="AO166" s="11"/>
      <c r="AP166" s="11"/>
      <c r="AQ166" s="3">
        <v>45973</v>
      </c>
      <c r="AR166" s="11">
        <v>1724</v>
      </c>
      <c r="AS166" s="11" t="s">
        <v>436</v>
      </c>
      <c r="AT166" s="11" t="s">
        <v>748</v>
      </c>
      <c r="AU166" s="2">
        <v>46172</v>
      </c>
    </row>
    <row r="167" spans="1:47" x14ac:dyDescent="0.25">
      <c r="A167" s="10" t="s">
        <v>692</v>
      </c>
      <c r="B167" s="11" t="s">
        <v>693</v>
      </c>
      <c r="C167" s="11">
        <v>0</v>
      </c>
      <c r="D167" s="11" t="s">
        <v>108</v>
      </c>
      <c r="E167" s="11"/>
      <c r="F167" s="11"/>
      <c r="G167" s="11" t="s">
        <v>90</v>
      </c>
      <c r="H167" s="11">
        <v>12</v>
      </c>
      <c r="I167" s="11" t="s">
        <v>719</v>
      </c>
      <c r="J167" s="11" t="s">
        <v>550</v>
      </c>
      <c r="K167" s="11">
        <f>Table1[[#This Row],[ENR]]-Table1[[#This Row],[CREDIT]]</f>
        <v>166613.49</v>
      </c>
      <c r="L167" s="43">
        <v>140000</v>
      </c>
      <c r="M167" s="52">
        <v>306613.49</v>
      </c>
      <c r="N167" s="44">
        <v>269175.49</v>
      </c>
      <c r="O167" s="29">
        <v>37438</v>
      </c>
      <c r="P167" s="29">
        <v>34820.29</v>
      </c>
      <c r="Q167" s="29">
        <v>29640</v>
      </c>
      <c r="R167" s="29">
        <v>14848</v>
      </c>
      <c r="S167" s="11" t="s">
        <v>58</v>
      </c>
      <c r="T167" s="11" t="s">
        <v>14</v>
      </c>
      <c r="U167" s="29">
        <v>14850</v>
      </c>
      <c r="V167" s="29">
        <f>Table1[[#This Row],[STAB]]-Table1[[#This Row],[AMOUNT]]</f>
        <v>-2</v>
      </c>
      <c r="W167" s="11" t="s">
        <v>3169</v>
      </c>
      <c r="X167" s="11" t="s">
        <v>1526</v>
      </c>
      <c r="Y167" s="11" t="s">
        <v>760</v>
      </c>
      <c r="Z167" s="11" t="s">
        <v>88</v>
      </c>
      <c r="AA167" s="11" t="s">
        <v>86</v>
      </c>
      <c r="AB167" s="11" t="s">
        <v>3139</v>
      </c>
      <c r="AC167" s="11" t="s">
        <v>745</v>
      </c>
      <c r="AD167" s="11" t="s">
        <v>782</v>
      </c>
      <c r="AE167" s="11" t="s">
        <v>123</v>
      </c>
      <c r="AF167" s="11" t="s">
        <v>127</v>
      </c>
      <c r="AG167" s="11" t="s">
        <v>57</v>
      </c>
      <c r="AH167" s="11" t="s">
        <v>464</v>
      </c>
      <c r="AI167" s="11">
        <v>802852449</v>
      </c>
      <c r="AJ167" s="11" t="s">
        <v>190</v>
      </c>
      <c r="AK167" s="11"/>
      <c r="AL167" s="11"/>
      <c r="AM167" s="12" t="s">
        <v>64</v>
      </c>
      <c r="AN167" s="11" t="s">
        <v>221</v>
      </c>
      <c r="AO167" s="11" t="s">
        <v>794</v>
      </c>
      <c r="AP167" s="11" t="s">
        <v>756</v>
      </c>
      <c r="AQ167" s="3">
        <v>46124</v>
      </c>
      <c r="AR167" s="11">
        <v>13158</v>
      </c>
      <c r="AS167" s="11" t="s">
        <v>47</v>
      </c>
      <c r="AT167" s="11" t="s">
        <v>748</v>
      </c>
      <c r="AU167" s="2">
        <v>46172</v>
      </c>
    </row>
    <row r="168" spans="1:47" x14ac:dyDescent="0.25">
      <c r="A168" s="10" t="s">
        <v>1141</v>
      </c>
      <c r="B168" s="11" t="s">
        <v>1222</v>
      </c>
      <c r="C168" s="11">
        <v>0</v>
      </c>
      <c r="D168" s="11" t="s">
        <v>108</v>
      </c>
      <c r="E168" s="11"/>
      <c r="F168" s="11"/>
      <c r="G168" s="11" t="s">
        <v>52</v>
      </c>
      <c r="H168" s="11">
        <v>12</v>
      </c>
      <c r="I168" s="11" t="s">
        <v>1303</v>
      </c>
      <c r="J168" s="11" t="s">
        <v>42</v>
      </c>
      <c r="K168" s="11">
        <f>Table1[[#This Row],[ENR]]-Table1[[#This Row],[CREDIT]]</f>
        <v>34640.299999999988</v>
      </c>
      <c r="L168" s="43">
        <v>250000</v>
      </c>
      <c r="M168" s="30">
        <v>284640.3</v>
      </c>
      <c r="N168" s="44" t="s">
        <v>43</v>
      </c>
      <c r="O168" s="29">
        <v>284640.3</v>
      </c>
      <c r="P168" s="29">
        <v>249488.21</v>
      </c>
      <c r="Q168" s="29">
        <v>91670</v>
      </c>
      <c r="R168" s="29">
        <v>42710</v>
      </c>
      <c r="S168" s="11" t="s">
        <v>44</v>
      </c>
      <c r="T168" s="11" t="s">
        <v>45</v>
      </c>
      <c r="U168" s="11">
        <v>0</v>
      </c>
      <c r="V168" s="29">
        <f>Table1[[#This Row],[STAB]]-Table1[[#This Row],[AMOUNT]]</f>
        <v>42710</v>
      </c>
      <c r="W168" s="11">
        <v>0</v>
      </c>
      <c r="X168" s="11" t="s">
        <v>83</v>
      </c>
      <c r="Y168" s="11">
        <v>0</v>
      </c>
      <c r="Z168" s="11" t="s">
        <v>88</v>
      </c>
      <c r="AA168" s="11" t="s">
        <v>86</v>
      </c>
      <c r="AB168" s="11" t="s">
        <v>3139</v>
      </c>
      <c r="AC168" s="11" t="s">
        <v>1384</v>
      </c>
      <c r="AD168" s="11" t="s">
        <v>1465</v>
      </c>
      <c r="AE168" s="11" t="s">
        <v>104</v>
      </c>
      <c r="AF168" s="11" t="s">
        <v>54</v>
      </c>
      <c r="AG168" s="11" t="s">
        <v>109</v>
      </c>
      <c r="AH168" s="11" t="s">
        <v>196</v>
      </c>
      <c r="AI168" s="11">
        <v>802555024</v>
      </c>
      <c r="AJ168" s="11" t="s">
        <v>99</v>
      </c>
      <c r="AK168" s="11"/>
      <c r="AL168" s="11"/>
      <c r="AM168" s="12" t="s">
        <v>64</v>
      </c>
      <c r="AN168" s="11" t="s">
        <v>219</v>
      </c>
      <c r="AO168" s="11" t="s">
        <v>1669</v>
      </c>
      <c r="AP168" s="11" t="s">
        <v>1667</v>
      </c>
      <c r="AQ168" s="3">
        <v>45801</v>
      </c>
      <c r="AR168" s="11">
        <v>71100</v>
      </c>
      <c r="AS168" s="11" t="s">
        <v>436</v>
      </c>
      <c r="AT168" s="11" t="s">
        <v>1077</v>
      </c>
      <c r="AU168" s="2">
        <v>46172</v>
      </c>
    </row>
    <row r="169" spans="1:47" x14ac:dyDescent="0.25">
      <c r="A169" s="10" t="s">
        <v>1140</v>
      </c>
      <c r="B169" s="11" t="s">
        <v>1221</v>
      </c>
      <c r="C169" s="11">
        <v>0</v>
      </c>
      <c r="D169" s="11" t="s">
        <v>108</v>
      </c>
      <c r="E169" s="11"/>
      <c r="F169" s="11"/>
      <c r="G169" s="11" t="s">
        <v>52</v>
      </c>
      <c r="H169" s="11">
        <v>12</v>
      </c>
      <c r="I169" s="11" t="s">
        <v>1302</v>
      </c>
      <c r="J169" s="11" t="s">
        <v>42</v>
      </c>
      <c r="K169" s="11">
        <f>Table1[[#This Row],[ENR]]-Table1[[#This Row],[CREDIT]]</f>
        <v>259645.09000000003</v>
      </c>
      <c r="L169" s="43">
        <v>20000</v>
      </c>
      <c r="M169" s="30">
        <v>279645.09000000003</v>
      </c>
      <c r="N169" s="44" t="s">
        <v>43</v>
      </c>
      <c r="O169" s="29">
        <v>279645.09000000003</v>
      </c>
      <c r="P169" s="29">
        <v>261739.14</v>
      </c>
      <c r="Q169" s="29">
        <v>278610</v>
      </c>
      <c r="R169" s="29">
        <v>242740</v>
      </c>
      <c r="S169" s="11" t="s">
        <v>44</v>
      </c>
      <c r="T169" s="11" t="s">
        <v>45</v>
      </c>
      <c r="U169" s="11">
        <v>0</v>
      </c>
      <c r="V169" s="29">
        <f>Table1[[#This Row],[STAB]]-Table1[[#This Row],[AMOUNT]]</f>
        <v>242740</v>
      </c>
      <c r="W169" s="11">
        <v>0</v>
      </c>
      <c r="X169" s="11" t="s">
        <v>83</v>
      </c>
      <c r="Y169" s="11">
        <v>0</v>
      </c>
      <c r="Z169" s="11" t="s">
        <v>88</v>
      </c>
      <c r="AA169" s="11" t="s">
        <v>86</v>
      </c>
      <c r="AB169" s="11" t="s">
        <v>3139</v>
      </c>
      <c r="AC169" s="11" t="s">
        <v>1383</v>
      </c>
      <c r="AD169" s="11" t="s">
        <v>1464</v>
      </c>
      <c r="AE169" s="11" t="s">
        <v>123</v>
      </c>
      <c r="AF169" s="11" t="s">
        <v>127</v>
      </c>
      <c r="AG169" s="11" t="s">
        <v>96</v>
      </c>
      <c r="AH169" s="11" t="s">
        <v>461</v>
      </c>
      <c r="AI169" s="11">
        <v>801436997</v>
      </c>
      <c r="AJ169" s="11" t="s">
        <v>190</v>
      </c>
      <c r="AK169" s="11"/>
      <c r="AL169" s="11"/>
      <c r="AM169" s="12" t="s">
        <v>64</v>
      </c>
      <c r="AN169" s="11" t="s">
        <v>219</v>
      </c>
      <c r="AO169" s="11" t="s">
        <v>1604</v>
      </c>
      <c r="AP169" s="11" t="s">
        <v>1528</v>
      </c>
      <c r="AQ169" s="3">
        <v>45776</v>
      </c>
      <c r="AR169" s="11">
        <v>54000</v>
      </c>
      <c r="AS169" s="11" t="s">
        <v>47</v>
      </c>
      <c r="AT169" s="11" t="s">
        <v>1077</v>
      </c>
      <c r="AU169" s="2">
        <v>46172</v>
      </c>
    </row>
    <row r="170" spans="1:47" x14ac:dyDescent="0.25">
      <c r="A170" s="10" t="s">
        <v>1149</v>
      </c>
      <c r="B170" s="11" t="s">
        <v>1230</v>
      </c>
      <c r="C170" s="11">
        <v>0</v>
      </c>
      <c r="D170" s="11" t="s">
        <v>108</v>
      </c>
      <c r="E170" s="11"/>
      <c r="F170" s="11"/>
      <c r="G170" s="11" t="s">
        <v>52</v>
      </c>
      <c r="H170" s="11">
        <v>12</v>
      </c>
      <c r="I170" s="11" t="s">
        <v>1311</v>
      </c>
      <c r="J170" s="11" t="s">
        <v>42</v>
      </c>
      <c r="K170" s="11">
        <f>Table1[[#This Row],[ENR]]-Table1[[#This Row],[CREDIT]]</f>
        <v>11956.329999999987</v>
      </c>
      <c r="L170" s="43">
        <v>250000</v>
      </c>
      <c r="M170" s="30">
        <v>261956.33</v>
      </c>
      <c r="N170" s="44">
        <v>193328.47</v>
      </c>
      <c r="O170" s="29">
        <v>68627.86</v>
      </c>
      <c r="P170" s="29">
        <v>51631.69</v>
      </c>
      <c r="Q170" s="29">
        <v>54350</v>
      </c>
      <c r="R170" s="29">
        <v>26930</v>
      </c>
      <c r="S170" s="11" t="s">
        <v>44</v>
      </c>
      <c r="T170" s="11" t="s">
        <v>45</v>
      </c>
      <c r="U170" s="11">
        <v>0</v>
      </c>
      <c r="V170" s="29">
        <f>Table1[[#This Row],[STAB]]-Table1[[#This Row],[AMOUNT]]</f>
        <v>26930</v>
      </c>
      <c r="W170" s="11">
        <v>0</v>
      </c>
      <c r="X170" s="11" t="s">
        <v>83</v>
      </c>
      <c r="Y170" s="11">
        <v>0</v>
      </c>
      <c r="Z170" s="11" t="s">
        <v>88</v>
      </c>
      <c r="AA170" s="11" t="s">
        <v>86</v>
      </c>
      <c r="AB170" s="11" t="s">
        <v>3139</v>
      </c>
      <c r="AC170" s="11" t="s">
        <v>1392</v>
      </c>
      <c r="AD170" s="11" t="s">
        <v>1473</v>
      </c>
      <c r="AE170" s="11" t="s">
        <v>415</v>
      </c>
      <c r="AF170" s="11" t="s">
        <v>53</v>
      </c>
      <c r="AG170" s="11" t="s">
        <v>105</v>
      </c>
      <c r="AH170" s="11" t="s">
        <v>85</v>
      </c>
      <c r="AI170" s="11">
        <v>801772794</v>
      </c>
      <c r="AJ170" s="11" t="s">
        <v>192</v>
      </c>
      <c r="AK170" s="11"/>
      <c r="AL170" s="11"/>
      <c r="AM170" s="12" t="s">
        <v>64</v>
      </c>
      <c r="AN170" s="11" t="s">
        <v>219</v>
      </c>
      <c r="AO170" s="11" t="s">
        <v>2463</v>
      </c>
      <c r="AP170" s="11" t="s">
        <v>2296</v>
      </c>
      <c r="AQ170" s="3">
        <v>45468</v>
      </c>
      <c r="AR170" s="11">
        <v>30000</v>
      </c>
      <c r="AS170" s="11" t="s">
        <v>47</v>
      </c>
      <c r="AT170" s="11" t="s">
        <v>1077</v>
      </c>
      <c r="AU170" s="2">
        <v>46172</v>
      </c>
    </row>
    <row r="171" spans="1:47" x14ac:dyDescent="0.25">
      <c r="A171" s="10" t="s">
        <v>1151</v>
      </c>
      <c r="B171" s="11" t="s">
        <v>1232</v>
      </c>
      <c r="C171" s="11">
        <v>0</v>
      </c>
      <c r="D171" s="11" t="s">
        <v>108</v>
      </c>
      <c r="E171" s="11"/>
      <c r="F171" s="11"/>
      <c r="G171" s="11" t="s">
        <v>52</v>
      </c>
      <c r="H171" s="11">
        <v>12</v>
      </c>
      <c r="I171" s="11" t="s">
        <v>1313</v>
      </c>
      <c r="J171" s="11" t="s">
        <v>42</v>
      </c>
      <c r="K171" s="11">
        <f>Table1[[#This Row],[ENR]]-Table1[[#This Row],[CREDIT]]</f>
        <v>-163202.88</v>
      </c>
      <c r="L171" s="43">
        <v>410000</v>
      </c>
      <c r="M171" s="30">
        <v>246797.12</v>
      </c>
      <c r="N171" s="44" t="s">
        <v>43</v>
      </c>
      <c r="O171" s="29">
        <v>246797.12</v>
      </c>
      <c r="P171" s="29">
        <v>221188.4</v>
      </c>
      <c r="Q171" s="29">
        <v>76000</v>
      </c>
      <c r="R171" s="29">
        <v>39640</v>
      </c>
      <c r="S171" s="11" t="s">
        <v>58</v>
      </c>
      <c r="T171" s="11" t="s">
        <v>14</v>
      </c>
      <c r="U171" s="29">
        <v>40000</v>
      </c>
      <c r="V171" s="29">
        <f>Table1[[#This Row],[STAB]]-Table1[[#This Row],[AMOUNT]]</f>
        <v>-360</v>
      </c>
      <c r="W171" s="11" t="s">
        <v>2296</v>
      </c>
      <c r="X171" s="11" t="s">
        <v>451</v>
      </c>
      <c r="Y171" s="11" t="s">
        <v>1085</v>
      </c>
      <c r="Z171" s="11" t="s">
        <v>88</v>
      </c>
      <c r="AA171" s="11" t="s">
        <v>86</v>
      </c>
      <c r="AB171" s="11" t="s">
        <v>3139</v>
      </c>
      <c r="AC171" s="11" t="s">
        <v>1394</v>
      </c>
      <c r="AD171" s="11" t="s">
        <v>1475</v>
      </c>
      <c r="AE171" s="11" t="s">
        <v>218</v>
      </c>
      <c r="AF171" s="11" t="s">
        <v>84</v>
      </c>
      <c r="AG171" s="11" t="s">
        <v>97</v>
      </c>
      <c r="AH171" s="11" t="s">
        <v>88</v>
      </c>
      <c r="AI171" s="11">
        <v>801723195</v>
      </c>
      <c r="AJ171" s="11" t="s">
        <v>191</v>
      </c>
      <c r="AK171" s="11"/>
      <c r="AL171" s="11"/>
      <c r="AM171" s="12" t="s">
        <v>64</v>
      </c>
      <c r="AN171" s="11" t="s">
        <v>219</v>
      </c>
      <c r="AO171" s="11" t="s">
        <v>1508</v>
      </c>
      <c r="AP171" s="11" t="s">
        <v>1497</v>
      </c>
      <c r="AQ171" s="3">
        <v>46123</v>
      </c>
      <c r="AR171" s="11">
        <v>89990</v>
      </c>
      <c r="AS171" s="11" t="s">
        <v>47</v>
      </c>
      <c r="AT171" s="11" t="s">
        <v>1077</v>
      </c>
      <c r="AU171" s="2">
        <v>46172</v>
      </c>
    </row>
    <row r="172" spans="1:47" x14ac:dyDescent="0.25">
      <c r="A172" s="10" t="s">
        <v>1165</v>
      </c>
      <c r="B172" s="11" t="s">
        <v>1246</v>
      </c>
      <c r="C172" s="11">
        <v>0</v>
      </c>
      <c r="D172" s="11" t="s">
        <v>108</v>
      </c>
      <c r="E172" s="11"/>
      <c r="F172" s="11"/>
      <c r="G172" s="11" t="s">
        <v>52</v>
      </c>
      <c r="H172" s="11">
        <v>12</v>
      </c>
      <c r="I172" s="11" t="s">
        <v>1327</v>
      </c>
      <c r="J172" s="11" t="s">
        <v>42</v>
      </c>
      <c r="K172" s="11">
        <f>Table1[[#This Row],[ENR]]-Table1[[#This Row],[CREDIT]]</f>
        <v>-211310.12</v>
      </c>
      <c r="L172" s="43">
        <v>450000</v>
      </c>
      <c r="M172" s="30">
        <v>238689.88</v>
      </c>
      <c r="N172" s="44">
        <v>155287.20000000001</v>
      </c>
      <c r="O172" s="29">
        <v>83402.679999999993</v>
      </c>
      <c r="P172" s="29">
        <v>68651.63</v>
      </c>
      <c r="Q172" s="29">
        <v>83402.679999999993</v>
      </c>
      <c r="R172" s="29">
        <v>30551.51</v>
      </c>
      <c r="S172" s="11" t="s">
        <v>58</v>
      </c>
      <c r="T172" s="11" t="s">
        <v>14</v>
      </c>
      <c r="U172" s="29">
        <v>31000</v>
      </c>
      <c r="V172" s="29">
        <f>Table1[[#This Row],[STAB]]-Table1[[#This Row],[AMOUNT]]</f>
        <v>-448.4900000000016</v>
      </c>
      <c r="W172" s="11" t="s">
        <v>3169</v>
      </c>
      <c r="X172" s="11" t="s">
        <v>451</v>
      </c>
      <c r="Y172" s="11" t="s">
        <v>760</v>
      </c>
      <c r="Z172" s="11" t="s">
        <v>88</v>
      </c>
      <c r="AA172" s="11" t="s">
        <v>86</v>
      </c>
      <c r="AB172" s="11" t="s">
        <v>3139</v>
      </c>
      <c r="AC172" s="11" t="s">
        <v>1408</v>
      </c>
      <c r="AD172" s="11" t="s">
        <v>1489</v>
      </c>
      <c r="AE172" s="11" t="s">
        <v>92</v>
      </c>
      <c r="AF172" s="11" t="s">
        <v>54</v>
      </c>
      <c r="AG172" s="11" t="s">
        <v>149</v>
      </c>
      <c r="AH172" s="11" t="s">
        <v>624</v>
      </c>
      <c r="AI172" s="11">
        <v>801174030</v>
      </c>
      <c r="AJ172" s="11" t="s">
        <v>458</v>
      </c>
      <c r="AK172" s="11"/>
      <c r="AL172" s="11"/>
      <c r="AM172" s="12" t="s">
        <v>64</v>
      </c>
      <c r="AN172" s="11" t="s">
        <v>219</v>
      </c>
      <c r="AO172" s="11" t="s">
        <v>1659</v>
      </c>
      <c r="AP172" s="11" t="s">
        <v>1645</v>
      </c>
      <c r="AQ172" s="3">
        <v>45534</v>
      </c>
      <c r="AR172" s="11">
        <v>18322.3</v>
      </c>
      <c r="AS172" s="11" t="s">
        <v>47</v>
      </c>
      <c r="AT172" s="11" t="s">
        <v>1077</v>
      </c>
      <c r="AU172" s="2">
        <v>46172</v>
      </c>
    </row>
    <row r="173" spans="1:47" x14ac:dyDescent="0.25">
      <c r="A173" s="10" t="s">
        <v>1138</v>
      </c>
      <c r="B173" s="11" t="s">
        <v>1219</v>
      </c>
      <c r="C173" s="11">
        <v>0</v>
      </c>
      <c r="D173" s="11" t="s">
        <v>108</v>
      </c>
      <c r="E173" s="11"/>
      <c r="F173" s="11"/>
      <c r="G173" s="11" t="s">
        <v>52</v>
      </c>
      <c r="H173" s="11">
        <v>12</v>
      </c>
      <c r="I173" s="11" t="s">
        <v>1300</v>
      </c>
      <c r="J173" s="11" t="s">
        <v>42</v>
      </c>
      <c r="K173" s="11">
        <f>Table1[[#This Row],[ENR]]-Table1[[#This Row],[CREDIT]]</f>
        <v>19790.51999999999</v>
      </c>
      <c r="L173" s="43">
        <v>210000</v>
      </c>
      <c r="M173" s="30">
        <v>229790.52</v>
      </c>
      <c r="N173" s="44" t="s">
        <v>43</v>
      </c>
      <c r="O173" s="29">
        <v>229790.52</v>
      </c>
      <c r="P173" s="29">
        <v>209819.29</v>
      </c>
      <c r="Q173" s="29">
        <v>51990</v>
      </c>
      <c r="R173" s="29">
        <v>20560</v>
      </c>
      <c r="S173" s="11" t="s">
        <v>58</v>
      </c>
      <c r="T173" s="11" t="s">
        <v>14</v>
      </c>
      <c r="U173" s="29">
        <v>20700</v>
      </c>
      <c r="V173" s="29">
        <f>Table1[[#This Row],[STAB]]-Table1[[#This Row],[AMOUNT]]</f>
        <v>-140</v>
      </c>
      <c r="W173" s="11" t="s">
        <v>3129</v>
      </c>
      <c r="X173" s="11" t="s">
        <v>451</v>
      </c>
      <c r="Y173" s="11" t="s">
        <v>760</v>
      </c>
      <c r="Z173" s="11" t="s">
        <v>88</v>
      </c>
      <c r="AA173" s="11" t="s">
        <v>86</v>
      </c>
      <c r="AB173" s="11" t="s">
        <v>3139</v>
      </c>
      <c r="AC173" s="11" t="s">
        <v>1381</v>
      </c>
      <c r="AD173" s="11" t="s">
        <v>1462</v>
      </c>
      <c r="AE173" s="11" t="s">
        <v>413</v>
      </c>
      <c r="AF173" s="11" t="s">
        <v>54</v>
      </c>
      <c r="AG173" s="11" t="s">
        <v>146</v>
      </c>
      <c r="AH173" s="11" t="s">
        <v>625</v>
      </c>
      <c r="AI173" s="11">
        <v>801217009</v>
      </c>
      <c r="AJ173" s="11" t="s">
        <v>190</v>
      </c>
      <c r="AK173" s="11"/>
      <c r="AL173" s="11"/>
      <c r="AM173" s="12" t="s">
        <v>64</v>
      </c>
      <c r="AN173" s="11" t="s">
        <v>219</v>
      </c>
      <c r="AO173" s="11" t="s">
        <v>1644</v>
      </c>
      <c r="AP173" s="11" t="s">
        <v>1528</v>
      </c>
      <c r="AQ173" s="3">
        <v>45485</v>
      </c>
      <c r="AR173" s="11">
        <v>20595</v>
      </c>
      <c r="AS173" s="11" t="s">
        <v>47</v>
      </c>
      <c r="AT173" s="11" t="s">
        <v>1077</v>
      </c>
      <c r="AU173" s="2">
        <v>46172</v>
      </c>
    </row>
    <row r="174" spans="1:47" x14ac:dyDescent="0.25">
      <c r="A174" s="10" t="s">
        <v>1137</v>
      </c>
      <c r="B174" s="11" t="s">
        <v>1218</v>
      </c>
      <c r="C174" s="11">
        <v>0</v>
      </c>
      <c r="D174" s="11" t="s">
        <v>108</v>
      </c>
      <c r="E174" s="11"/>
      <c r="F174" s="11"/>
      <c r="G174" s="11" t="s">
        <v>52</v>
      </c>
      <c r="H174" s="11">
        <v>12</v>
      </c>
      <c r="I174" s="11" t="s">
        <v>1299</v>
      </c>
      <c r="J174" s="11" t="s">
        <v>42</v>
      </c>
      <c r="K174" s="11">
        <f>Table1[[#This Row],[ENR]]-Table1[[#This Row],[CREDIT]]</f>
        <v>-15.459999999991851</v>
      </c>
      <c r="L174" s="43">
        <v>220000</v>
      </c>
      <c r="M174" s="30">
        <v>219984.54</v>
      </c>
      <c r="N174" s="44">
        <v>3681.81</v>
      </c>
      <c r="O174" s="29">
        <v>216302.73</v>
      </c>
      <c r="P174" s="29">
        <v>194456.1</v>
      </c>
      <c r="Q174" s="29">
        <v>43790</v>
      </c>
      <c r="R174" s="29">
        <v>21876</v>
      </c>
      <c r="S174" s="11" t="s">
        <v>58</v>
      </c>
      <c r="T174" s="11" t="s">
        <v>14</v>
      </c>
      <c r="U174" s="29">
        <v>21900</v>
      </c>
      <c r="V174" s="29">
        <f>Table1[[#This Row],[STAB]]-Table1[[#This Row],[AMOUNT]]</f>
        <v>-24</v>
      </c>
      <c r="W174" s="11" t="s">
        <v>2296</v>
      </c>
      <c r="X174" s="11" t="s">
        <v>451</v>
      </c>
      <c r="Y174" s="11" t="s">
        <v>760</v>
      </c>
      <c r="Z174" s="11" t="s">
        <v>88</v>
      </c>
      <c r="AA174" s="11" t="s">
        <v>86</v>
      </c>
      <c r="AB174" s="11" t="s">
        <v>3141</v>
      </c>
      <c r="AC174" s="11" t="s">
        <v>1380</v>
      </c>
      <c r="AD174" s="11" t="s">
        <v>1461</v>
      </c>
      <c r="AE174" s="11" t="s">
        <v>414</v>
      </c>
      <c r="AF174" s="11" t="s">
        <v>127</v>
      </c>
      <c r="AG174" s="11" t="s">
        <v>128</v>
      </c>
      <c r="AH174" s="11" t="s">
        <v>462</v>
      </c>
      <c r="AI174" s="11">
        <v>801448854</v>
      </c>
      <c r="AJ174" s="11" t="s">
        <v>191</v>
      </c>
      <c r="AK174" s="11"/>
      <c r="AL174" s="11"/>
      <c r="AM174" s="12" t="s">
        <v>64</v>
      </c>
      <c r="AN174" s="11" t="s">
        <v>446</v>
      </c>
      <c r="AO174" s="11" t="s">
        <v>2470</v>
      </c>
      <c r="AP174" s="11" t="s">
        <v>2296</v>
      </c>
      <c r="AQ174" s="3">
        <v>45471</v>
      </c>
      <c r="AR174" s="11">
        <v>36481.42</v>
      </c>
      <c r="AS174" s="11" t="s">
        <v>47</v>
      </c>
      <c r="AT174" s="11" t="s">
        <v>1077</v>
      </c>
      <c r="AU174" s="2">
        <v>46172</v>
      </c>
    </row>
    <row r="175" spans="1:47" x14ac:dyDescent="0.25">
      <c r="A175" s="10" t="s">
        <v>1136</v>
      </c>
      <c r="B175" s="11" t="s">
        <v>1217</v>
      </c>
      <c r="C175" s="11">
        <v>0</v>
      </c>
      <c r="D175" s="11" t="s">
        <v>132</v>
      </c>
      <c r="E175" s="11">
        <v>1</v>
      </c>
      <c r="F175" s="11" t="s">
        <v>440</v>
      </c>
      <c r="G175" s="11" t="s">
        <v>52</v>
      </c>
      <c r="H175" s="11">
        <v>12</v>
      </c>
      <c r="I175" s="11" t="s">
        <v>1298</v>
      </c>
      <c r="J175" s="11" t="s">
        <v>42</v>
      </c>
      <c r="K175" s="11">
        <f>Table1[[#This Row],[ENR]]-Table1[[#This Row],[CREDIT]]</f>
        <v>14323.420000000013</v>
      </c>
      <c r="L175" s="43">
        <v>200000</v>
      </c>
      <c r="M175" s="30">
        <v>214323.42</v>
      </c>
      <c r="N175" s="44" t="s">
        <v>43</v>
      </c>
      <c r="O175" s="29">
        <v>214323.42</v>
      </c>
      <c r="P175" s="29">
        <v>199988</v>
      </c>
      <c r="Q175" s="11">
        <v>47450</v>
      </c>
      <c r="R175" s="29">
        <v>10000</v>
      </c>
      <c r="S175" s="11" t="s">
        <v>44</v>
      </c>
      <c r="T175" s="11" t="s">
        <v>45</v>
      </c>
      <c r="U175" s="11">
        <v>0</v>
      </c>
      <c r="V175" s="29">
        <f>Table1[[#This Row],[STAB]]-Table1[[#This Row],[AMOUNT]]</f>
        <v>10000</v>
      </c>
      <c r="W175" s="11">
        <v>0</v>
      </c>
      <c r="X175" s="11" t="s">
        <v>83</v>
      </c>
      <c r="Y175" s="11">
        <v>0</v>
      </c>
      <c r="Z175" s="11" t="s">
        <v>88</v>
      </c>
      <c r="AA175" s="11" t="s">
        <v>86</v>
      </c>
      <c r="AB175" s="11" t="e">
        <v>#N/A</v>
      </c>
      <c r="AC175" s="11" t="s">
        <v>1379</v>
      </c>
      <c r="AD175" s="11" t="s">
        <v>1460</v>
      </c>
      <c r="AE175" s="11" t="s">
        <v>747</v>
      </c>
      <c r="AF175" s="11" t="s">
        <v>84</v>
      </c>
      <c r="AG175" s="11" t="s">
        <v>93</v>
      </c>
      <c r="AH175" s="11" t="s">
        <v>88</v>
      </c>
      <c r="AI175" s="11">
        <v>801723195</v>
      </c>
      <c r="AJ175" s="11" t="s">
        <v>191</v>
      </c>
      <c r="AK175" s="11"/>
      <c r="AL175" s="11"/>
      <c r="AM175" s="12" t="s">
        <v>46</v>
      </c>
      <c r="AN175" s="11"/>
      <c r="AO175" s="11"/>
      <c r="AP175" s="11"/>
      <c r="AQ175" s="3">
        <v>45485</v>
      </c>
      <c r="AR175" s="11">
        <v>7000</v>
      </c>
      <c r="AS175" s="11" t="s">
        <v>47</v>
      </c>
      <c r="AT175" s="11" t="s">
        <v>1077</v>
      </c>
      <c r="AU175" s="2">
        <v>46172</v>
      </c>
    </row>
    <row r="176" spans="1:47" x14ac:dyDescent="0.25">
      <c r="A176" s="10" t="s">
        <v>1130</v>
      </c>
      <c r="B176" s="11" t="s">
        <v>1211</v>
      </c>
      <c r="C176" s="11">
        <v>0</v>
      </c>
      <c r="D176" s="11" t="s">
        <v>132</v>
      </c>
      <c r="E176" s="11">
        <v>1</v>
      </c>
      <c r="F176" s="11" t="s">
        <v>440</v>
      </c>
      <c r="G176" s="11" t="s">
        <v>52</v>
      </c>
      <c r="H176" s="11">
        <v>12</v>
      </c>
      <c r="I176" s="11" t="s">
        <v>1292</v>
      </c>
      <c r="J176" s="11" t="s">
        <v>42</v>
      </c>
      <c r="K176" s="11">
        <f>Table1[[#This Row],[ENR]]-Table1[[#This Row],[CREDIT]]</f>
        <v>31052.700000000012</v>
      </c>
      <c r="L176" s="43">
        <v>180000</v>
      </c>
      <c r="M176" s="30">
        <v>211052.7</v>
      </c>
      <c r="N176" s="44">
        <v>58762.93</v>
      </c>
      <c r="O176" s="29">
        <v>152289.76999999999</v>
      </c>
      <c r="P176" s="29">
        <v>136669.82</v>
      </c>
      <c r="Q176" s="11">
        <v>30840</v>
      </c>
      <c r="R176" s="29">
        <v>12909.45</v>
      </c>
      <c r="S176" s="11" t="s">
        <v>44</v>
      </c>
      <c r="T176" s="11" t="s">
        <v>45</v>
      </c>
      <c r="U176" s="11">
        <v>0</v>
      </c>
      <c r="V176" s="29">
        <f>Table1[[#This Row],[STAB]]-Table1[[#This Row],[AMOUNT]]</f>
        <v>12909.45</v>
      </c>
      <c r="W176" s="11">
        <v>0</v>
      </c>
      <c r="X176" s="11" t="s">
        <v>83</v>
      </c>
      <c r="Y176" s="11">
        <v>0</v>
      </c>
      <c r="Z176" s="11" t="s">
        <v>88</v>
      </c>
      <c r="AA176" s="11" t="s">
        <v>86</v>
      </c>
      <c r="AB176" s="11" t="e">
        <v>#N/A</v>
      </c>
      <c r="AC176" s="11" t="s">
        <v>1373</v>
      </c>
      <c r="AD176" s="11" t="s">
        <v>1454</v>
      </c>
      <c r="AE176" s="11" t="s">
        <v>92</v>
      </c>
      <c r="AF176" s="11" t="s">
        <v>54</v>
      </c>
      <c r="AG176" s="11" t="s">
        <v>149</v>
      </c>
      <c r="AH176" s="11" t="s">
        <v>624</v>
      </c>
      <c r="AI176" s="11">
        <v>801174030</v>
      </c>
      <c r="AJ176" s="11" t="s">
        <v>458</v>
      </c>
      <c r="AK176" s="11"/>
      <c r="AL176" s="11"/>
      <c r="AM176" s="12" t="s">
        <v>46</v>
      </c>
      <c r="AN176" s="11"/>
      <c r="AO176" s="11"/>
      <c r="AP176" s="11"/>
      <c r="AQ176" s="3">
        <v>45472</v>
      </c>
      <c r="AR176" s="11">
        <v>843.75</v>
      </c>
      <c r="AS176" s="11" t="s">
        <v>47</v>
      </c>
      <c r="AT176" s="11" t="s">
        <v>1077</v>
      </c>
      <c r="AU176" s="2">
        <v>46172</v>
      </c>
    </row>
    <row r="177" spans="1:47" x14ac:dyDescent="0.25">
      <c r="A177" s="10" t="s">
        <v>1133</v>
      </c>
      <c r="B177" s="11" t="s">
        <v>1214</v>
      </c>
      <c r="C177" s="11">
        <v>0</v>
      </c>
      <c r="D177" s="11" t="s">
        <v>132</v>
      </c>
      <c r="E177" s="11">
        <v>1</v>
      </c>
      <c r="F177" s="11" t="s">
        <v>440</v>
      </c>
      <c r="G177" s="11" t="s">
        <v>52</v>
      </c>
      <c r="H177" s="11">
        <v>12</v>
      </c>
      <c r="I177" s="11" t="s">
        <v>1295</v>
      </c>
      <c r="J177" s="11" t="s">
        <v>42</v>
      </c>
      <c r="K177" s="11">
        <f>Table1[[#This Row],[ENR]]-Table1[[#This Row],[CREDIT]]</f>
        <v>12465.149999999994</v>
      </c>
      <c r="L177" s="43">
        <v>190000</v>
      </c>
      <c r="M177" s="30">
        <v>202465.15</v>
      </c>
      <c r="N177" s="44">
        <v>18329.97</v>
      </c>
      <c r="O177" s="29">
        <v>184135.18</v>
      </c>
      <c r="P177" s="29">
        <v>170850.12</v>
      </c>
      <c r="Q177" s="11">
        <v>46010</v>
      </c>
      <c r="R177" s="29">
        <v>17130</v>
      </c>
      <c r="S177" s="11" t="s">
        <v>44</v>
      </c>
      <c r="T177" s="11" t="s">
        <v>45</v>
      </c>
      <c r="U177" s="11">
        <v>0</v>
      </c>
      <c r="V177" s="29">
        <f>Table1[[#This Row],[STAB]]-Table1[[#This Row],[AMOUNT]]</f>
        <v>17130</v>
      </c>
      <c r="W177" s="11">
        <v>0</v>
      </c>
      <c r="X177" s="11" t="s">
        <v>83</v>
      </c>
      <c r="Y177" s="11">
        <v>0</v>
      </c>
      <c r="Z177" s="11" t="s">
        <v>88</v>
      </c>
      <c r="AA177" s="11" t="s">
        <v>86</v>
      </c>
      <c r="AB177" s="11" t="e">
        <v>#N/A</v>
      </c>
      <c r="AC177" s="11" t="s">
        <v>1376</v>
      </c>
      <c r="AD177" s="11" t="s">
        <v>1457</v>
      </c>
      <c r="AE177" s="11" t="s">
        <v>414</v>
      </c>
      <c r="AF177" s="11" t="s">
        <v>127</v>
      </c>
      <c r="AG177" s="11" t="s">
        <v>106</v>
      </c>
      <c r="AH177" s="11" t="s">
        <v>460</v>
      </c>
      <c r="AI177" s="11">
        <v>802913252</v>
      </c>
      <c r="AJ177" s="11" t="s">
        <v>190</v>
      </c>
      <c r="AK177" s="11"/>
      <c r="AL177" s="11"/>
      <c r="AM177" s="12" t="s">
        <v>46</v>
      </c>
      <c r="AN177" s="11"/>
      <c r="AO177" s="11"/>
      <c r="AP177" s="11"/>
      <c r="AQ177" s="3">
        <v>45533</v>
      </c>
      <c r="AR177" s="11">
        <v>5717.7</v>
      </c>
      <c r="AS177" s="11" t="s">
        <v>47</v>
      </c>
      <c r="AT177" s="11" t="s">
        <v>1077</v>
      </c>
      <c r="AU177" s="2">
        <v>46172</v>
      </c>
    </row>
    <row r="178" spans="1:47" x14ac:dyDescent="0.25">
      <c r="A178" s="10" t="s">
        <v>1111</v>
      </c>
      <c r="B178" s="11" t="s">
        <v>1192</v>
      </c>
      <c r="C178" s="11">
        <v>0</v>
      </c>
      <c r="D178" s="11" t="s">
        <v>108</v>
      </c>
      <c r="E178" s="11"/>
      <c r="F178" s="11"/>
      <c r="G178" s="11" t="s">
        <v>52</v>
      </c>
      <c r="H178" s="11">
        <v>12</v>
      </c>
      <c r="I178" s="11" t="s">
        <v>1273</v>
      </c>
      <c r="J178" s="11" t="s">
        <v>42</v>
      </c>
      <c r="K178" s="11">
        <f>Table1[[#This Row],[ENR]]-Table1[[#This Row],[CREDIT]]</f>
        <v>-8515.9899999999907</v>
      </c>
      <c r="L178" s="43">
        <v>210000</v>
      </c>
      <c r="M178" s="30">
        <v>201484.01</v>
      </c>
      <c r="N178" s="44">
        <v>117889.60000000001</v>
      </c>
      <c r="O178" s="29">
        <v>83594.41</v>
      </c>
      <c r="P178" s="29">
        <v>68974.100000000006</v>
      </c>
      <c r="Q178" s="29">
        <v>33630</v>
      </c>
      <c r="R178" s="29">
        <v>17020</v>
      </c>
      <c r="S178" s="11" t="s">
        <v>44</v>
      </c>
      <c r="T178" s="11" t="s">
        <v>45</v>
      </c>
      <c r="U178" s="11">
        <v>0</v>
      </c>
      <c r="V178" s="29">
        <f>Table1[[#This Row],[STAB]]-Table1[[#This Row],[AMOUNT]]</f>
        <v>17020</v>
      </c>
      <c r="W178" s="11">
        <v>0</v>
      </c>
      <c r="X178" s="11" t="s">
        <v>83</v>
      </c>
      <c r="Y178" s="11">
        <v>0</v>
      </c>
      <c r="Z178" s="11" t="s">
        <v>88</v>
      </c>
      <c r="AA178" s="11" t="s">
        <v>86</v>
      </c>
      <c r="AB178" s="11" t="s">
        <v>3139</v>
      </c>
      <c r="AC178" s="11" t="s">
        <v>1354</v>
      </c>
      <c r="AD178" s="11" t="s">
        <v>1435</v>
      </c>
      <c r="AE178" s="11" t="s">
        <v>92</v>
      </c>
      <c r="AF178" s="11" t="s">
        <v>54</v>
      </c>
      <c r="AG178" s="11" t="s">
        <v>149</v>
      </c>
      <c r="AH178" s="11" t="s">
        <v>624</v>
      </c>
      <c r="AI178" s="11">
        <v>801174030</v>
      </c>
      <c r="AJ178" s="11" t="s">
        <v>458</v>
      </c>
      <c r="AK178" s="11"/>
      <c r="AL178" s="11"/>
      <c r="AM178" s="12" t="s">
        <v>64</v>
      </c>
      <c r="AN178" s="11" t="s">
        <v>219</v>
      </c>
      <c r="AO178" s="11" t="s">
        <v>1655</v>
      </c>
      <c r="AP178" s="11" t="s">
        <v>1645</v>
      </c>
      <c r="AQ178" s="3">
        <v>45496</v>
      </c>
      <c r="AR178" s="11">
        <v>9024</v>
      </c>
      <c r="AS178" s="11" t="s">
        <v>47</v>
      </c>
      <c r="AT178" s="11" t="s">
        <v>1077</v>
      </c>
      <c r="AU178" s="2">
        <v>46172</v>
      </c>
    </row>
    <row r="179" spans="1:47" x14ac:dyDescent="0.25">
      <c r="A179" s="10" t="s">
        <v>1119</v>
      </c>
      <c r="B179" s="11" t="s">
        <v>1200</v>
      </c>
      <c r="C179" s="11">
        <v>0</v>
      </c>
      <c r="D179" s="11" t="s">
        <v>108</v>
      </c>
      <c r="E179" s="11"/>
      <c r="F179" s="11"/>
      <c r="G179" s="11" t="s">
        <v>52</v>
      </c>
      <c r="H179" s="11">
        <v>12</v>
      </c>
      <c r="I179" s="11" t="s">
        <v>1281</v>
      </c>
      <c r="J179" s="11" t="s">
        <v>42</v>
      </c>
      <c r="K179" s="11">
        <f>Table1[[#This Row],[ENR]]-Table1[[#This Row],[CREDIT]]</f>
        <v>-11867.239999999991</v>
      </c>
      <c r="L179" s="43">
        <v>210000</v>
      </c>
      <c r="M179" s="30">
        <v>198132.76</v>
      </c>
      <c r="N179" s="44">
        <v>98766.66</v>
      </c>
      <c r="O179" s="29">
        <v>99366.1</v>
      </c>
      <c r="P179" s="29">
        <v>82549.52</v>
      </c>
      <c r="Q179" s="29">
        <v>40990</v>
      </c>
      <c r="R179" s="29">
        <v>21520</v>
      </c>
      <c r="S179" s="11" t="s">
        <v>44</v>
      </c>
      <c r="T179" s="11" t="s">
        <v>45</v>
      </c>
      <c r="U179" s="11">
        <v>0</v>
      </c>
      <c r="V179" s="29">
        <f>Table1[[#This Row],[STAB]]-Table1[[#This Row],[AMOUNT]]</f>
        <v>21520</v>
      </c>
      <c r="W179" s="11">
        <v>0</v>
      </c>
      <c r="X179" s="11" t="s">
        <v>83</v>
      </c>
      <c r="Y179" s="11">
        <v>0</v>
      </c>
      <c r="Z179" s="11" t="s">
        <v>88</v>
      </c>
      <c r="AA179" s="11" t="s">
        <v>86</v>
      </c>
      <c r="AB179" s="11" t="s">
        <v>3141</v>
      </c>
      <c r="AC179" s="11" t="s">
        <v>1362</v>
      </c>
      <c r="AD179" s="11" t="s">
        <v>1443</v>
      </c>
      <c r="AE179" s="11" t="s">
        <v>414</v>
      </c>
      <c r="AF179" s="11" t="s">
        <v>127</v>
      </c>
      <c r="AG179" s="11" t="s">
        <v>106</v>
      </c>
      <c r="AH179" s="11" t="s">
        <v>460</v>
      </c>
      <c r="AI179" s="11">
        <v>802913252</v>
      </c>
      <c r="AJ179" s="11" t="s">
        <v>190</v>
      </c>
      <c r="AK179" s="11"/>
      <c r="AL179" s="11"/>
      <c r="AM179" s="12" t="s">
        <v>64</v>
      </c>
      <c r="AN179" s="11" t="s">
        <v>219</v>
      </c>
      <c r="AO179" s="11" t="s">
        <v>2468</v>
      </c>
      <c r="AP179" s="11" t="s">
        <v>2296</v>
      </c>
      <c r="AQ179" s="3">
        <v>45471</v>
      </c>
      <c r="AR179" s="11">
        <v>22117.78</v>
      </c>
      <c r="AS179" s="11" t="s">
        <v>47</v>
      </c>
      <c r="AT179" s="11" t="s">
        <v>1077</v>
      </c>
      <c r="AU179" s="2">
        <v>46172</v>
      </c>
    </row>
    <row r="180" spans="1:47" x14ac:dyDescent="0.25">
      <c r="A180" s="10" t="s">
        <v>1135</v>
      </c>
      <c r="B180" s="11" t="s">
        <v>1216</v>
      </c>
      <c r="C180" s="11">
        <v>0</v>
      </c>
      <c r="D180" s="11" t="s">
        <v>108</v>
      </c>
      <c r="E180" s="11"/>
      <c r="F180" s="11"/>
      <c r="G180" s="11" t="s">
        <v>52</v>
      </c>
      <c r="H180" s="11">
        <v>12</v>
      </c>
      <c r="I180" s="11" t="s">
        <v>1297</v>
      </c>
      <c r="J180" s="11" t="s">
        <v>42</v>
      </c>
      <c r="K180" s="11">
        <f>Table1[[#This Row],[ENR]]-Table1[[#This Row],[CREDIT]]</f>
        <v>17961.339999999997</v>
      </c>
      <c r="L180" s="43">
        <v>180000</v>
      </c>
      <c r="M180" s="30">
        <v>197961.34</v>
      </c>
      <c r="N180" s="44" t="s">
        <v>43</v>
      </c>
      <c r="O180" s="29">
        <v>197961.34</v>
      </c>
      <c r="P180" s="29">
        <v>178400.02</v>
      </c>
      <c r="Q180" s="29">
        <v>47290</v>
      </c>
      <c r="R180" s="29">
        <v>20080</v>
      </c>
      <c r="S180" s="11" t="s">
        <v>58</v>
      </c>
      <c r="T180" s="11" t="s">
        <v>13</v>
      </c>
      <c r="U180" s="11">
        <v>47290</v>
      </c>
      <c r="V180" s="29">
        <f>Table1[[#This Row],[STAB]]-Table1[[#This Row],[AMOUNT]]</f>
        <v>-27210</v>
      </c>
      <c r="W180" s="11">
        <v>0</v>
      </c>
      <c r="X180" s="11" t="s">
        <v>761</v>
      </c>
      <c r="Y180" s="11">
        <v>0</v>
      </c>
      <c r="Z180" s="11" t="s">
        <v>88</v>
      </c>
      <c r="AA180" s="11" t="s">
        <v>86</v>
      </c>
      <c r="AB180" s="11" t="s">
        <v>3139</v>
      </c>
      <c r="AC180" s="11" t="s">
        <v>1378</v>
      </c>
      <c r="AD180" s="11" t="s">
        <v>1459</v>
      </c>
      <c r="AE180" s="11" t="s">
        <v>413</v>
      </c>
      <c r="AF180" s="11" t="s">
        <v>54</v>
      </c>
      <c r="AG180" s="11" t="s">
        <v>146</v>
      </c>
      <c r="AH180" s="11" t="s">
        <v>625</v>
      </c>
      <c r="AI180" s="11">
        <v>801217009</v>
      </c>
      <c r="AJ180" s="11" t="s">
        <v>190</v>
      </c>
      <c r="AK180" s="11"/>
      <c r="AL180" s="11"/>
      <c r="AM180" s="12" t="s">
        <v>64</v>
      </c>
      <c r="AN180" s="11" t="s">
        <v>446</v>
      </c>
      <c r="AO180" s="11" t="s">
        <v>1641</v>
      </c>
      <c r="AP180" s="11" t="s">
        <v>1528</v>
      </c>
      <c r="AQ180" s="3">
        <v>45504</v>
      </c>
      <c r="AR180" s="11">
        <v>40669.040000000001</v>
      </c>
      <c r="AS180" s="11" t="s">
        <v>47</v>
      </c>
      <c r="AT180" s="11" t="s">
        <v>1077</v>
      </c>
      <c r="AU180" s="2">
        <v>46172</v>
      </c>
    </row>
    <row r="181" spans="1:47" x14ac:dyDescent="0.25">
      <c r="A181" s="10" t="s">
        <v>1089</v>
      </c>
      <c r="B181" s="11" t="s">
        <v>1170</v>
      </c>
      <c r="C181" s="11">
        <v>0</v>
      </c>
      <c r="D181" s="11" t="s">
        <v>108</v>
      </c>
      <c r="E181" s="11"/>
      <c r="F181" s="11"/>
      <c r="G181" s="11" t="s">
        <v>52</v>
      </c>
      <c r="H181" s="11">
        <v>12</v>
      </c>
      <c r="I181" s="11" t="s">
        <v>1251</v>
      </c>
      <c r="J181" s="11" t="s">
        <v>42</v>
      </c>
      <c r="K181" s="11">
        <f>Table1[[#This Row],[ENR]]-Table1[[#This Row],[CREDIT]]</f>
        <v>7141.820000000007</v>
      </c>
      <c r="L181" s="43">
        <v>190000</v>
      </c>
      <c r="M181" s="30">
        <v>197141.82</v>
      </c>
      <c r="N181" s="44">
        <v>161232.03</v>
      </c>
      <c r="O181" s="29">
        <v>35909.79</v>
      </c>
      <c r="P181" s="29">
        <v>26880.48</v>
      </c>
      <c r="Q181" s="29">
        <v>24860</v>
      </c>
      <c r="R181" s="29">
        <v>11150</v>
      </c>
      <c r="S181" s="11" t="s">
        <v>44</v>
      </c>
      <c r="T181" s="11" t="s">
        <v>45</v>
      </c>
      <c r="U181" s="11">
        <v>0</v>
      </c>
      <c r="V181" s="29">
        <f>Table1[[#This Row],[STAB]]-Table1[[#This Row],[AMOUNT]]</f>
        <v>11150</v>
      </c>
      <c r="W181" s="11">
        <v>0</v>
      </c>
      <c r="X181" s="11" t="s">
        <v>83</v>
      </c>
      <c r="Y181" s="11">
        <v>0</v>
      </c>
      <c r="Z181" s="11" t="s">
        <v>88</v>
      </c>
      <c r="AA181" s="11" t="s">
        <v>86</v>
      </c>
      <c r="AB181" s="11" t="s">
        <v>3139</v>
      </c>
      <c r="AC181" s="11" t="s">
        <v>1332</v>
      </c>
      <c r="AD181" s="11" t="s">
        <v>1413</v>
      </c>
      <c r="AE181" s="11" t="s">
        <v>103</v>
      </c>
      <c r="AF181" s="11" t="s">
        <v>53</v>
      </c>
      <c r="AG181" s="11" t="s">
        <v>188</v>
      </c>
      <c r="AH181" s="11" t="s">
        <v>194</v>
      </c>
      <c r="AI181" s="11">
        <v>802823180</v>
      </c>
      <c r="AJ181" s="11" t="s">
        <v>191</v>
      </c>
      <c r="AK181" s="11"/>
      <c r="AL181" s="11"/>
      <c r="AM181" s="12" t="s">
        <v>64</v>
      </c>
      <c r="AN181" s="11" t="s">
        <v>221</v>
      </c>
      <c r="AO181" s="11" t="s">
        <v>2286</v>
      </c>
      <c r="AP181" s="11" t="s">
        <v>2172</v>
      </c>
      <c r="AQ181" s="3">
        <v>46107</v>
      </c>
      <c r="AR181" s="11">
        <v>11802</v>
      </c>
      <c r="AS181" s="11" t="s">
        <v>47</v>
      </c>
      <c r="AT181" s="11" t="s">
        <v>1077</v>
      </c>
      <c r="AU181" s="2">
        <v>46172</v>
      </c>
    </row>
    <row r="182" spans="1:47" x14ac:dyDescent="0.25">
      <c r="A182" s="10" t="s">
        <v>1129</v>
      </c>
      <c r="B182" s="11" t="s">
        <v>1210</v>
      </c>
      <c r="C182" s="11">
        <v>0</v>
      </c>
      <c r="D182" s="11" t="s">
        <v>108</v>
      </c>
      <c r="E182" s="11"/>
      <c r="F182" s="11"/>
      <c r="G182" s="11" t="s">
        <v>90</v>
      </c>
      <c r="H182" s="11">
        <v>12</v>
      </c>
      <c r="I182" s="11" t="s">
        <v>1291</v>
      </c>
      <c r="J182" s="11" t="s">
        <v>42</v>
      </c>
      <c r="K182" s="11">
        <f>Table1[[#This Row],[ENR]]-Table1[[#This Row],[CREDIT]]</f>
        <v>4189.2399999999907</v>
      </c>
      <c r="L182" s="43">
        <v>190000</v>
      </c>
      <c r="M182" s="52">
        <v>194189.24</v>
      </c>
      <c r="N182" s="44">
        <v>44474.96</v>
      </c>
      <c r="O182" s="29">
        <v>149714.28</v>
      </c>
      <c r="P182" s="29">
        <v>140764.91</v>
      </c>
      <c r="Q182" s="29">
        <v>39580</v>
      </c>
      <c r="R182" s="29">
        <v>23460</v>
      </c>
      <c r="S182" s="11" t="s">
        <v>58</v>
      </c>
      <c r="T182" s="11" t="s">
        <v>14</v>
      </c>
      <c r="U182" s="29">
        <v>23460</v>
      </c>
      <c r="V182" s="29">
        <f>Table1[[#This Row],[STAB]]-Table1[[#This Row],[AMOUNT]]</f>
        <v>0</v>
      </c>
      <c r="W182" s="11" t="s">
        <v>3169</v>
      </c>
      <c r="X182" s="11" t="s">
        <v>1526</v>
      </c>
      <c r="Y182" s="11" t="s">
        <v>760</v>
      </c>
      <c r="Z182" s="11" t="s">
        <v>88</v>
      </c>
      <c r="AA182" s="11" t="s">
        <v>86</v>
      </c>
      <c r="AB182" s="11" t="s">
        <v>3141</v>
      </c>
      <c r="AC182" s="11" t="s">
        <v>1372</v>
      </c>
      <c r="AD182" s="11" t="s">
        <v>1453</v>
      </c>
      <c r="AE182" s="11" t="s">
        <v>414</v>
      </c>
      <c r="AF182" s="11" t="s">
        <v>84</v>
      </c>
      <c r="AG182" s="11" t="s">
        <v>107</v>
      </c>
      <c r="AH182" s="11" t="s">
        <v>88</v>
      </c>
      <c r="AI182" s="11">
        <v>801723195</v>
      </c>
      <c r="AJ182" s="11" t="s">
        <v>191</v>
      </c>
      <c r="AK182" s="11"/>
      <c r="AL182" s="11"/>
      <c r="AM182" s="12" t="s">
        <v>64</v>
      </c>
      <c r="AN182" s="11" t="s">
        <v>221</v>
      </c>
      <c r="AO182" s="11" t="s">
        <v>3187</v>
      </c>
      <c r="AP182" s="11" t="s">
        <v>3169</v>
      </c>
      <c r="AQ182" s="3">
        <v>45534</v>
      </c>
      <c r="AR182" s="11">
        <v>13586.74</v>
      </c>
      <c r="AS182" s="11" t="s">
        <v>47</v>
      </c>
      <c r="AT182" s="11" t="s">
        <v>1077</v>
      </c>
      <c r="AU182" s="2">
        <v>46172</v>
      </c>
    </row>
    <row r="183" spans="1:47" x14ac:dyDescent="0.25">
      <c r="A183" s="10" t="s">
        <v>1128</v>
      </c>
      <c r="B183" s="11" t="s">
        <v>1209</v>
      </c>
      <c r="C183" s="11">
        <v>0</v>
      </c>
      <c r="D183" s="11" t="s">
        <v>108</v>
      </c>
      <c r="E183" s="11"/>
      <c r="F183" s="11" t="s">
        <v>440</v>
      </c>
      <c r="G183" s="11" t="s">
        <v>52</v>
      </c>
      <c r="H183" s="11">
        <v>12</v>
      </c>
      <c r="I183" s="11" t="s">
        <v>1290</v>
      </c>
      <c r="J183" s="11" t="s">
        <v>42</v>
      </c>
      <c r="K183" s="11">
        <f>Table1[[#This Row],[ENR]]-Table1[[#This Row],[CREDIT]]</f>
        <v>14406.970000000001</v>
      </c>
      <c r="L183" s="43">
        <v>160000</v>
      </c>
      <c r="M183" s="30">
        <v>174406.97</v>
      </c>
      <c r="N183" s="44">
        <v>36356.06</v>
      </c>
      <c r="O183" s="29">
        <v>138050.91</v>
      </c>
      <c r="P183" s="29">
        <v>121578.15</v>
      </c>
      <c r="Q183" s="29">
        <v>30150</v>
      </c>
      <c r="R183" s="29">
        <v>13420</v>
      </c>
      <c r="S183" s="11" t="s">
        <v>44</v>
      </c>
      <c r="T183" s="11" t="s">
        <v>45</v>
      </c>
      <c r="U183" s="11">
        <v>0</v>
      </c>
      <c r="V183" s="29">
        <f>Table1[[#This Row],[STAB]]-Table1[[#This Row],[AMOUNT]]</f>
        <v>13420</v>
      </c>
      <c r="W183" s="11">
        <v>0</v>
      </c>
      <c r="X183" s="11" t="s">
        <v>83</v>
      </c>
      <c r="Y183" s="11">
        <v>0</v>
      </c>
      <c r="Z183" s="11" t="s">
        <v>88</v>
      </c>
      <c r="AA183" s="11" t="s">
        <v>86</v>
      </c>
      <c r="AB183" s="11" t="s">
        <v>3139</v>
      </c>
      <c r="AC183" s="11" t="s">
        <v>1371</v>
      </c>
      <c r="AD183" s="11" t="s">
        <v>1452</v>
      </c>
      <c r="AE183" s="11" t="s">
        <v>603</v>
      </c>
      <c r="AF183" s="11" t="s">
        <v>53</v>
      </c>
      <c r="AG183" s="11" t="s">
        <v>89</v>
      </c>
      <c r="AH183" s="11" t="s">
        <v>193</v>
      </c>
      <c r="AI183" s="11">
        <v>802824019</v>
      </c>
      <c r="AJ183" s="11" t="s">
        <v>189</v>
      </c>
      <c r="AK183" s="11"/>
      <c r="AL183" s="11"/>
      <c r="AM183" s="12" t="s">
        <v>46</v>
      </c>
      <c r="AN183" s="11"/>
      <c r="AO183" s="11"/>
      <c r="AP183" s="11"/>
      <c r="AQ183" s="3" t="s">
        <v>43</v>
      </c>
      <c r="AR183" s="11">
        <v>0</v>
      </c>
      <c r="AS183" s="11" t="s">
        <v>47</v>
      </c>
      <c r="AT183" s="11" t="s">
        <v>1077</v>
      </c>
      <c r="AU183" s="2">
        <v>46172</v>
      </c>
    </row>
    <row r="184" spans="1:47" x14ac:dyDescent="0.25">
      <c r="A184" s="10" t="s">
        <v>1131</v>
      </c>
      <c r="B184" s="11" t="s">
        <v>1212</v>
      </c>
      <c r="C184" s="11">
        <v>0</v>
      </c>
      <c r="D184" s="11" t="s">
        <v>108</v>
      </c>
      <c r="E184" s="11"/>
      <c r="F184" s="11"/>
      <c r="G184" s="11" t="s">
        <v>52</v>
      </c>
      <c r="H184" s="11">
        <v>12</v>
      </c>
      <c r="I184" s="11" t="s">
        <v>1293</v>
      </c>
      <c r="J184" s="11" t="s">
        <v>42</v>
      </c>
      <c r="K184" s="11">
        <f>Table1[[#This Row],[ENR]]-Table1[[#This Row],[CREDIT]]</f>
        <v>-78640.459999999992</v>
      </c>
      <c r="L184" s="43">
        <v>250000</v>
      </c>
      <c r="M184" s="30">
        <v>171359.54</v>
      </c>
      <c r="N184" s="44" t="s">
        <v>43</v>
      </c>
      <c r="O184" s="29">
        <v>171359.54</v>
      </c>
      <c r="P184" s="29">
        <v>154711.44</v>
      </c>
      <c r="Q184" s="29">
        <v>56760</v>
      </c>
      <c r="R184" s="29">
        <v>25690</v>
      </c>
      <c r="S184" s="11" t="s">
        <v>44</v>
      </c>
      <c r="T184" s="11" t="s">
        <v>45</v>
      </c>
      <c r="U184" s="11">
        <v>0</v>
      </c>
      <c r="V184" s="29">
        <f>Table1[[#This Row],[STAB]]-Table1[[#This Row],[AMOUNT]]</f>
        <v>25690</v>
      </c>
      <c r="W184" s="11">
        <v>0</v>
      </c>
      <c r="X184" s="11" t="s">
        <v>83</v>
      </c>
      <c r="Y184" s="11">
        <v>0</v>
      </c>
      <c r="Z184" s="11" t="s">
        <v>88</v>
      </c>
      <c r="AA184" s="11" t="s">
        <v>86</v>
      </c>
      <c r="AB184" s="11" t="s">
        <v>3140</v>
      </c>
      <c r="AC184" s="11" t="s">
        <v>1374</v>
      </c>
      <c r="AD184" s="11" t="s">
        <v>1455</v>
      </c>
      <c r="AE184" s="11" t="s">
        <v>416</v>
      </c>
      <c r="AF184" s="11" t="s">
        <v>54</v>
      </c>
      <c r="AG184" s="11" t="s">
        <v>1501</v>
      </c>
      <c r="AH184" s="11" t="s">
        <v>193</v>
      </c>
      <c r="AI184" s="11">
        <v>802824019</v>
      </c>
      <c r="AJ184" s="11" t="s">
        <v>189</v>
      </c>
      <c r="AK184" s="11"/>
      <c r="AL184" s="11"/>
      <c r="AM184" s="12" t="s">
        <v>46</v>
      </c>
      <c r="AN184" s="11"/>
      <c r="AO184" s="11"/>
      <c r="AP184" s="11"/>
      <c r="AQ184" s="3">
        <v>45944</v>
      </c>
      <c r="AR184" s="11">
        <v>37698.85</v>
      </c>
      <c r="AS184" s="11" t="s">
        <v>47</v>
      </c>
      <c r="AT184" s="11" t="s">
        <v>1077</v>
      </c>
      <c r="AU184" s="2">
        <v>46172</v>
      </c>
    </row>
    <row r="185" spans="1:47" x14ac:dyDescent="0.25">
      <c r="A185" s="10" t="s">
        <v>1127</v>
      </c>
      <c r="B185" s="11" t="s">
        <v>1208</v>
      </c>
      <c r="C185" s="11">
        <v>0</v>
      </c>
      <c r="D185" s="11" t="s">
        <v>108</v>
      </c>
      <c r="E185" s="11"/>
      <c r="F185" s="11"/>
      <c r="G185" s="11" t="s">
        <v>52</v>
      </c>
      <c r="H185" s="11">
        <v>12</v>
      </c>
      <c r="I185" s="11" t="s">
        <v>1289</v>
      </c>
      <c r="J185" s="11" t="s">
        <v>42</v>
      </c>
      <c r="K185" s="11">
        <f>Table1[[#This Row],[ENR]]-Table1[[#This Row],[CREDIT]]</f>
        <v>43838.320000000007</v>
      </c>
      <c r="L185" s="43">
        <v>120000</v>
      </c>
      <c r="M185" s="30">
        <v>163838.32</v>
      </c>
      <c r="N185" s="44">
        <v>31812.639999999999</v>
      </c>
      <c r="O185" s="29">
        <v>132025.68</v>
      </c>
      <c r="P185" s="29">
        <v>122437.68</v>
      </c>
      <c r="Q185" s="29">
        <v>40580</v>
      </c>
      <c r="R185" s="29">
        <v>10020</v>
      </c>
      <c r="S185" s="11" t="s">
        <v>44</v>
      </c>
      <c r="T185" s="11" t="s">
        <v>45</v>
      </c>
      <c r="U185" s="11">
        <v>0</v>
      </c>
      <c r="V185" s="29">
        <f>Table1[[#This Row],[STAB]]-Table1[[#This Row],[AMOUNT]]</f>
        <v>10020</v>
      </c>
      <c r="W185" s="11">
        <v>0</v>
      </c>
      <c r="X185" s="11" t="s">
        <v>83</v>
      </c>
      <c r="Y185" s="11">
        <v>0</v>
      </c>
      <c r="Z185" s="11" t="s">
        <v>88</v>
      </c>
      <c r="AA185" s="11" t="s">
        <v>86</v>
      </c>
      <c r="AB185" s="11" t="s">
        <v>3139</v>
      </c>
      <c r="AC185" s="11" t="s">
        <v>1370</v>
      </c>
      <c r="AD185" s="11" t="s">
        <v>1451</v>
      </c>
      <c r="AE185" s="11" t="s">
        <v>218</v>
      </c>
      <c r="AF185" s="11" t="s">
        <v>84</v>
      </c>
      <c r="AG185" s="11" t="s">
        <v>107</v>
      </c>
      <c r="AH185" s="11" t="s">
        <v>88</v>
      </c>
      <c r="AI185" s="11">
        <v>801723195</v>
      </c>
      <c r="AJ185" s="11" t="s">
        <v>191</v>
      </c>
      <c r="AK185" s="11"/>
      <c r="AL185" s="11"/>
      <c r="AM185" s="12" t="s">
        <v>64</v>
      </c>
      <c r="AN185" s="11" t="s">
        <v>221</v>
      </c>
      <c r="AO185" s="11" t="s">
        <v>2159</v>
      </c>
      <c r="AP185" s="11" t="s">
        <v>1667</v>
      </c>
      <c r="AQ185" s="3">
        <v>45379</v>
      </c>
      <c r="AR185" s="11">
        <v>7093.18</v>
      </c>
      <c r="AS185" s="11" t="s">
        <v>47</v>
      </c>
      <c r="AT185" s="11" t="s">
        <v>1077</v>
      </c>
      <c r="AU185" s="2">
        <v>46172</v>
      </c>
    </row>
    <row r="186" spans="1:47" x14ac:dyDescent="0.25">
      <c r="A186" s="10" t="s">
        <v>1132</v>
      </c>
      <c r="B186" s="11" t="s">
        <v>1213</v>
      </c>
      <c r="C186" s="11">
        <v>0</v>
      </c>
      <c r="D186" s="11" t="s">
        <v>108</v>
      </c>
      <c r="E186" s="11"/>
      <c r="F186" s="11"/>
      <c r="G186" s="11" t="s">
        <v>90</v>
      </c>
      <c r="H186" s="11">
        <v>12</v>
      </c>
      <c r="I186" s="11" t="s">
        <v>1294</v>
      </c>
      <c r="J186" s="11" t="s">
        <v>42</v>
      </c>
      <c r="K186" s="11">
        <f>Table1[[#This Row],[ENR]]-Table1[[#This Row],[CREDIT]]</f>
        <v>-1541.9599999999919</v>
      </c>
      <c r="L186" s="43">
        <v>160000</v>
      </c>
      <c r="M186" s="30">
        <v>158458.04</v>
      </c>
      <c r="N186" s="44" t="s">
        <v>43</v>
      </c>
      <c r="O186" s="29">
        <v>158458.04</v>
      </c>
      <c r="P186" s="29">
        <v>149802.01</v>
      </c>
      <c r="Q186" s="29">
        <v>24230</v>
      </c>
      <c r="R186" s="29">
        <v>14540</v>
      </c>
      <c r="S186" s="11" t="s">
        <v>58</v>
      </c>
      <c r="T186" s="11" t="s">
        <v>13</v>
      </c>
      <c r="U186" s="11">
        <v>158458.04</v>
      </c>
      <c r="V186" s="29">
        <f>Table1[[#This Row],[STAB]]-Table1[[#This Row],[AMOUNT]]</f>
        <v>-143918.04</v>
      </c>
      <c r="W186" s="11">
        <v>0</v>
      </c>
      <c r="X186" s="11" t="s">
        <v>761</v>
      </c>
      <c r="Y186" s="11" t="s">
        <v>760</v>
      </c>
      <c r="Z186" s="11" t="s">
        <v>88</v>
      </c>
      <c r="AA186" s="11" t="s">
        <v>86</v>
      </c>
      <c r="AB186" s="11" t="s">
        <v>3141</v>
      </c>
      <c r="AC186" s="11" t="s">
        <v>1375</v>
      </c>
      <c r="AD186" s="11" t="s">
        <v>1456</v>
      </c>
      <c r="AE186" s="11" t="s">
        <v>414</v>
      </c>
      <c r="AF186" s="11" t="s">
        <v>127</v>
      </c>
      <c r="AG186" s="11" t="s">
        <v>106</v>
      </c>
      <c r="AH186" s="11" t="s">
        <v>460</v>
      </c>
      <c r="AI186" s="11">
        <v>802913252</v>
      </c>
      <c r="AJ186" s="11" t="s">
        <v>190</v>
      </c>
      <c r="AK186" s="11"/>
      <c r="AL186" s="11"/>
      <c r="AM186" s="12" t="s">
        <v>64</v>
      </c>
      <c r="AN186" s="11"/>
      <c r="AO186" s="11"/>
      <c r="AP186" s="11"/>
      <c r="AQ186" s="3">
        <v>45845</v>
      </c>
      <c r="AR186" s="11">
        <v>50000</v>
      </c>
      <c r="AS186" s="11" t="s">
        <v>47</v>
      </c>
      <c r="AT186" s="11" t="s">
        <v>1077</v>
      </c>
      <c r="AU186" s="2">
        <v>46172</v>
      </c>
    </row>
    <row r="187" spans="1:47" x14ac:dyDescent="0.25">
      <c r="A187" s="10" t="s">
        <v>1106</v>
      </c>
      <c r="B187" s="11" t="s">
        <v>1187</v>
      </c>
      <c r="C187" s="11">
        <v>0</v>
      </c>
      <c r="D187" s="11" t="s">
        <v>108</v>
      </c>
      <c r="E187" s="11"/>
      <c r="F187" s="11"/>
      <c r="G187" s="11" t="s">
        <v>52</v>
      </c>
      <c r="H187" s="11">
        <v>12</v>
      </c>
      <c r="I187" s="11" t="s">
        <v>1268</v>
      </c>
      <c r="J187" s="11" t="s">
        <v>42</v>
      </c>
      <c r="K187" s="11">
        <f>Table1[[#This Row],[ENR]]-Table1[[#This Row],[CREDIT]]</f>
        <v>8241</v>
      </c>
      <c r="L187" s="43">
        <v>150000</v>
      </c>
      <c r="M187" s="30">
        <v>158241</v>
      </c>
      <c r="N187" s="44">
        <v>86660.54</v>
      </c>
      <c r="O187" s="29">
        <v>71580.460000000006</v>
      </c>
      <c r="P187" s="29">
        <v>62917.64</v>
      </c>
      <c r="Q187" s="29">
        <v>29630</v>
      </c>
      <c r="R187" s="29">
        <v>12300</v>
      </c>
      <c r="S187" s="11" t="s">
        <v>44</v>
      </c>
      <c r="T187" s="11" t="s">
        <v>45</v>
      </c>
      <c r="U187" s="11">
        <v>0</v>
      </c>
      <c r="V187" s="29">
        <f>Table1[[#This Row],[STAB]]-Table1[[#This Row],[AMOUNT]]</f>
        <v>12300</v>
      </c>
      <c r="W187" s="11">
        <v>0</v>
      </c>
      <c r="X187" s="11" t="s">
        <v>83</v>
      </c>
      <c r="Y187" s="11">
        <v>0</v>
      </c>
      <c r="Z187" s="11" t="s">
        <v>88</v>
      </c>
      <c r="AA187" s="11" t="s">
        <v>86</v>
      </c>
      <c r="AB187" s="11" t="s">
        <v>3139</v>
      </c>
      <c r="AC187" s="11" t="s">
        <v>1349</v>
      </c>
      <c r="AD187" s="11" t="s">
        <v>1430</v>
      </c>
      <c r="AE187" s="11" t="s">
        <v>425</v>
      </c>
      <c r="AF187" s="11" t="s">
        <v>53</v>
      </c>
      <c r="AG187" s="11" t="s">
        <v>117</v>
      </c>
      <c r="AH187" s="11" t="s">
        <v>466</v>
      </c>
      <c r="AI187" s="11">
        <v>802388289</v>
      </c>
      <c r="AJ187" s="11" t="s">
        <v>190</v>
      </c>
      <c r="AK187" s="11"/>
      <c r="AL187" s="11"/>
      <c r="AM187" s="12" t="s">
        <v>46</v>
      </c>
      <c r="AN187" s="11"/>
      <c r="AO187" s="11"/>
      <c r="AP187" s="11"/>
      <c r="AQ187" s="3" t="s">
        <v>43</v>
      </c>
      <c r="AR187" s="11">
        <v>0</v>
      </c>
      <c r="AS187" s="11" t="s">
        <v>47</v>
      </c>
      <c r="AT187" s="11" t="s">
        <v>1077</v>
      </c>
      <c r="AU187" s="2">
        <v>46172</v>
      </c>
    </row>
    <row r="188" spans="1:47" x14ac:dyDescent="0.25">
      <c r="A188" s="10" t="s">
        <v>1113</v>
      </c>
      <c r="B188" s="11" t="s">
        <v>1194</v>
      </c>
      <c r="C188" s="11">
        <v>0</v>
      </c>
      <c r="D188" s="11" t="s">
        <v>108</v>
      </c>
      <c r="E188" s="11"/>
      <c r="F188" s="11"/>
      <c r="G188" s="11" t="s">
        <v>52</v>
      </c>
      <c r="H188" s="11">
        <v>12</v>
      </c>
      <c r="I188" s="11" t="s">
        <v>1275</v>
      </c>
      <c r="J188" s="11" t="s">
        <v>42</v>
      </c>
      <c r="K188" s="11">
        <f>Table1[[#This Row],[ENR]]-Table1[[#This Row],[CREDIT]]</f>
        <v>-66102.84</v>
      </c>
      <c r="L188" s="43">
        <v>220000</v>
      </c>
      <c r="M188" s="30">
        <v>153897.16</v>
      </c>
      <c r="N188" s="44">
        <v>57689.8</v>
      </c>
      <c r="O188" s="29">
        <v>96207.360000000001</v>
      </c>
      <c r="P188" s="29">
        <v>86575.63</v>
      </c>
      <c r="Q188" s="29">
        <v>40440</v>
      </c>
      <c r="R188" s="29">
        <v>16850</v>
      </c>
      <c r="S188" s="11" t="s">
        <v>58</v>
      </c>
      <c r="T188" s="11" t="s">
        <v>13</v>
      </c>
      <c r="U188" s="11">
        <v>40440</v>
      </c>
      <c r="V188" s="29">
        <f>Table1[[#This Row],[STAB]]-Table1[[#This Row],[AMOUNT]]</f>
        <v>-23590</v>
      </c>
      <c r="W188" s="11" t="s">
        <v>3129</v>
      </c>
      <c r="X188" s="11" t="s">
        <v>444</v>
      </c>
      <c r="Y188" s="11" t="s">
        <v>760</v>
      </c>
      <c r="Z188" s="11" t="s">
        <v>88</v>
      </c>
      <c r="AA188" s="11" t="s">
        <v>86</v>
      </c>
      <c r="AB188" s="11" t="s">
        <v>3140</v>
      </c>
      <c r="AC188" s="11" t="s">
        <v>1356</v>
      </c>
      <c r="AD188" s="11" t="s">
        <v>1437</v>
      </c>
      <c r="AE188" s="11" t="s">
        <v>418</v>
      </c>
      <c r="AF188" s="11" t="s">
        <v>54</v>
      </c>
      <c r="AG188" s="11" t="s">
        <v>1658</v>
      </c>
      <c r="AH188" s="11" t="s">
        <v>85</v>
      </c>
      <c r="AI188" s="11">
        <v>801772794</v>
      </c>
      <c r="AJ188" s="11" t="s">
        <v>192</v>
      </c>
      <c r="AK188" s="11"/>
      <c r="AL188" s="11"/>
      <c r="AM188" s="12" t="s">
        <v>64</v>
      </c>
      <c r="AN188" s="11" t="s">
        <v>115</v>
      </c>
      <c r="AO188" s="11" t="s">
        <v>2460</v>
      </c>
      <c r="AP188" s="11" t="s">
        <v>2296</v>
      </c>
      <c r="AQ188" s="3">
        <v>45458</v>
      </c>
      <c r="AR188" s="11">
        <v>60000</v>
      </c>
      <c r="AS188" s="11" t="s">
        <v>47</v>
      </c>
      <c r="AT188" s="11" t="s">
        <v>1077</v>
      </c>
      <c r="AU188" s="2">
        <v>46172</v>
      </c>
    </row>
    <row r="189" spans="1:47" x14ac:dyDescent="0.25">
      <c r="A189" s="10" t="s">
        <v>1088</v>
      </c>
      <c r="B189" s="11" t="s">
        <v>1169</v>
      </c>
      <c r="C189" s="11">
        <v>0</v>
      </c>
      <c r="D189" s="11" t="s">
        <v>108</v>
      </c>
      <c r="E189" s="11"/>
      <c r="F189" s="11" t="s">
        <v>440</v>
      </c>
      <c r="G189" s="11" t="s">
        <v>52</v>
      </c>
      <c r="H189" s="11">
        <v>12</v>
      </c>
      <c r="I189" s="11" t="s">
        <v>1250</v>
      </c>
      <c r="J189" s="11" t="s">
        <v>42</v>
      </c>
      <c r="K189" s="11">
        <f>Table1[[#This Row],[ENR]]-Table1[[#This Row],[CREDIT]]</f>
        <v>217.64000000001397</v>
      </c>
      <c r="L189" s="43">
        <v>150000</v>
      </c>
      <c r="M189" s="30">
        <v>150217.64000000001</v>
      </c>
      <c r="N189" s="44">
        <v>113862.42</v>
      </c>
      <c r="O189" s="29">
        <v>36355.22</v>
      </c>
      <c r="P189" s="29">
        <v>27099.31</v>
      </c>
      <c r="Q189" s="29">
        <v>32930</v>
      </c>
      <c r="R189" s="29">
        <v>16330</v>
      </c>
      <c r="S189" s="11" t="s">
        <v>44</v>
      </c>
      <c r="T189" s="11" t="s">
        <v>45</v>
      </c>
      <c r="U189" s="11">
        <v>0</v>
      </c>
      <c r="V189" s="29">
        <f>Table1[[#This Row],[STAB]]-Table1[[#This Row],[AMOUNT]]</f>
        <v>16330</v>
      </c>
      <c r="W189" s="11">
        <v>0</v>
      </c>
      <c r="X189" s="11" t="s">
        <v>83</v>
      </c>
      <c r="Y189" s="11">
        <v>0</v>
      </c>
      <c r="Z189" s="11" t="s">
        <v>88</v>
      </c>
      <c r="AA189" s="11" t="s">
        <v>86</v>
      </c>
      <c r="AB189" s="11" t="s">
        <v>3139</v>
      </c>
      <c r="AC189" s="11" t="s">
        <v>1331</v>
      </c>
      <c r="AD189" s="11" t="s">
        <v>1412</v>
      </c>
      <c r="AE189" s="11" t="s">
        <v>100</v>
      </c>
      <c r="AF189" s="11" t="s">
        <v>54</v>
      </c>
      <c r="AG189" s="11" t="s">
        <v>60</v>
      </c>
      <c r="AH189" s="11" t="s">
        <v>193</v>
      </c>
      <c r="AI189" s="11">
        <v>802824019</v>
      </c>
      <c r="AJ189" s="11" t="s">
        <v>189</v>
      </c>
      <c r="AK189" s="11"/>
      <c r="AL189" s="11"/>
      <c r="AM189" s="12" t="s">
        <v>64</v>
      </c>
      <c r="AN189" s="11" t="s">
        <v>115</v>
      </c>
      <c r="AO189" s="11" t="s">
        <v>3174</v>
      </c>
      <c r="AP189" s="11" t="s">
        <v>3169</v>
      </c>
      <c r="AQ189" s="3">
        <v>46091</v>
      </c>
      <c r="AR189" s="11">
        <v>1753</v>
      </c>
      <c r="AS189" s="11" t="s">
        <v>47</v>
      </c>
      <c r="AT189" s="11" t="s">
        <v>1077</v>
      </c>
      <c r="AU189" s="2">
        <v>46172</v>
      </c>
    </row>
    <row r="190" spans="1:47" x14ac:dyDescent="0.25">
      <c r="A190" s="10" t="s">
        <v>1087</v>
      </c>
      <c r="B190" s="11" t="s">
        <v>1168</v>
      </c>
      <c r="C190" s="11">
        <v>0</v>
      </c>
      <c r="D190" s="11" t="s">
        <v>108</v>
      </c>
      <c r="E190" s="11"/>
      <c r="F190" s="11"/>
      <c r="G190" s="11" t="s">
        <v>52</v>
      </c>
      <c r="H190" s="11">
        <v>12</v>
      </c>
      <c r="I190" s="11" t="s">
        <v>1249</v>
      </c>
      <c r="J190" s="11" t="s">
        <v>42</v>
      </c>
      <c r="K190" s="11">
        <f>Table1[[#This Row],[ENR]]-Table1[[#This Row],[CREDIT]]</f>
        <v>9472.9200000000128</v>
      </c>
      <c r="L190" s="43">
        <v>140000</v>
      </c>
      <c r="M190" s="30">
        <v>149472.92000000001</v>
      </c>
      <c r="N190" s="44">
        <v>119917.37</v>
      </c>
      <c r="O190" s="29">
        <v>29555.55</v>
      </c>
      <c r="P190" s="29">
        <v>19991.75</v>
      </c>
      <c r="Q190" s="29">
        <v>29200</v>
      </c>
      <c r="R190" s="29">
        <v>14660</v>
      </c>
      <c r="S190" s="11" t="s">
        <v>44</v>
      </c>
      <c r="T190" s="11" t="s">
        <v>45</v>
      </c>
      <c r="U190" s="11">
        <v>0</v>
      </c>
      <c r="V190" s="29">
        <f>Table1[[#This Row],[STAB]]-Table1[[#This Row],[AMOUNT]]</f>
        <v>14660</v>
      </c>
      <c r="W190" s="11">
        <v>0</v>
      </c>
      <c r="X190" s="11" t="s">
        <v>83</v>
      </c>
      <c r="Y190" s="11">
        <v>0</v>
      </c>
      <c r="Z190" s="11" t="s">
        <v>88</v>
      </c>
      <c r="AA190" s="11" t="s">
        <v>86</v>
      </c>
      <c r="AB190" s="11" t="s">
        <v>3139</v>
      </c>
      <c r="AC190" s="11" t="s">
        <v>1330</v>
      </c>
      <c r="AD190" s="11" t="s">
        <v>1411</v>
      </c>
      <c r="AE190" s="11" t="s">
        <v>747</v>
      </c>
      <c r="AF190" s="11" t="s">
        <v>84</v>
      </c>
      <c r="AG190" s="11" t="s">
        <v>750</v>
      </c>
      <c r="AH190" s="11" t="s">
        <v>459</v>
      </c>
      <c r="AI190" s="11">
        <v>802789320</v>
      </c>
      <c r="AJ190" s="11" t="s">
        <v>190</v>
      </c>
      <c r="AK190" s="11"/>
      <c r="AL190" s="11"/>
      <c r="AM190" s="12" t="s">
        <v>46</v>
      </c>
      <c r="AN190" s="11"/>
      <c r="AO190" s="11"/>
      <c r="AP190" s="11"/>
      <c r="AQ190" s="3" t="s">
        <v>43</v>
      </c>
      <c r="AR190" s="11">
        <v>0</v>
      </c>
      <c r="AS190" s="11" t="s">
        <v>47</v>
      </c>
      <c r="AT190" s="11" t="s">
        <v>1077</v>
      </c>
      <c r="AU190" s="2">
        <v>46172</v>
      </c>
    </row>
    <row r="191" spans="1:47" x14ac:dyDescent="0.25">
      <c r="A191" s="10" t="s">
        <v>1099</v>
      </c>
      <c r="B191" s="11" t="s">
        <v>1180</v>
      </c>
      <c r="C191" s="11">
        <v>0</v>
      </c>
      <c r="D191" s="11" t="s">
        <v>108</v>
      </c>
      <c r="E191" s="11"/>
      <c r="F191" s="11"/>
      <c r="G191" s="11" t="s">
        <v>52</v>
      </c>
      <c r="H191" s="11">
        <v>12</v>
      </c>
      <c r="I191" s="11" t="s">
        <v>1261</v>
      </c>
      <c r="J191" s="11" t="s">
        <v>42</v>
      </c>
      <c r="K191" s="11">
        <f>Table1[[#This Row],[ENR]]-Table1[[#This Row],[CREDIT]]</f>
        <v>-3123.1700000000128</v>
      </c>
      <c r="L191" s="43">
        <v>150000</v>
      </c>
      <c r="M191" s="30">
        <v>146876.82999999999</v>
      </c>
      <c r="N191" s="44">
        <v>83015.520000000004</v>
      </c>
      <c r="O191" s="29">
        <v>63861.31</v>
      </c>
      <c r="P191" s="29">
        <v>53787.519999999997</v>
      </c>
      <c r="Q191" s="29">
        <v>32830</v>
      </c>
      <c r="R191" s="29">
        <v>15850</v>
      </c>
      <c r="S191" s="11" t="s">
        <v>44</v>
      </c>
      <c r="T191" s="11" t="s">
        <v>45</v>
      </c>
      <c r="U191" s="11">
        <v>0</v>
      </c>
      <c r="V191" s="29">
        <f>Table1[[#This Row],[STAB]]-Table1[[#This Row],[AMOUNT]]</f>
        <v>15850</v>
      </c>
      <c r="W191" s="11">
        <v>0</v>
      </c>
      <c r="X191" s="11" t="s">
        <v>83</v>
      </c>
      <c r="Y191" s="11" t="s">
        <v>760</v>
      </c>
      <c r="Z191" s="11" t="s">
        <v>88</v>
      </c>
      <c r="AA191" s="11" t="s">
        <v>86</v>
      </c>
      <c r="AB191" s="11" t="s">
        <v>3139</v>
      </c>
      <c r="AC191" s="11" t="s">
        <v>1342</v>
      </c>
      <c r="AD191" s="11" t="s">
        <v>1423</v>
      </c>
      <c r="AE191" s="11" t="s">
        <v>123</v>
      </c>
      <c r="AF191" s="11" t="s">
        <v>127</v>
      </c>
      <c r="AG191" s="11" t="s">
        <v>96</v>
      </c>
      <c r="AH191" s="11" t="s">
        <v>461</v>
      </c>
      <c r="AI191" s="11">
        <v>801436997</v>
      </c>
      <c r="AJ191" s="11" t="s">
        <v>190</v>
      </c>
      <c r="AK191" s="11"/>
      <c r="AL191" s="11"/>
      <c r="AM191" s="12" t="s">
        <v>64</v>
      </c>
      <c r="AN191" s="11" t="s">
        <v>115</v>
      </c>
      <c r="AO191" s="11" t="s">
        <v>3168</v>
      </c>
      <c r="AP191" s="11" t="s">
        <v>3169</v>
      </c>
      <c r="AQ191" s="3">
        <v>45471</v>
      </c>
      <c r="AR191" s="11">
        <v>3367.03</v>
      </c>
      <c r="AS191" s="11" t="s">
        <v>47</v>
      </c>
      <c r="AT191" s="11" t="s">
        <v>1077</v>
      </c>
      <c r="AU191" s="2">
        <v>46172</v>
      </c>
    </row>
    <row r="192" spans="1:47" x14ac:dyDescent="0.25">
      <c r="A192" s="10" t="s">
        <v>1117</v>
      </c>
      <c r="B192" s="11" t="s">
        <v>1198</v>
      </c>
      <c r="C192" s="11">
        <v>0</v>
      </c>
      <c r="D192" s="11" t="s">
        <v>108</v>
      </c>
      <c r="E192" s="11"/>
      <c r="F192" s="11" t="s">
        <v>440</v>
      </c>
      <c r="G192" s="11" t="s">
        <v>52</v>
      </c>
      <c r="H192" s="11">
        <v>12</v>
      </c>
      <c r="I192" s="11" t="s">
        <v>1279</v>
      </c>
      <c r="J192" s="11" t="s">
        <v>42</v>
      </c>
      <c r="K192" s="11">
        <f>Table1[[#This Row],[ENR]]-Table1[[#This Row],[CREDIT]]</f>
        <v>6243.0599999999977</v>
      </c>
      <c r="L192" s="43">
        <v>140000</v>
      </c>
      <c r="M192" s="30">
        <v>146243.06</v>
      </c>
      <c r="N192" s="44">
        <v>50933.06</v>
      </c>
      <c r="O192" s="29">
        <v>95310</v>
      </c>
      <c r="P192" s="29">
        <v>81795.56</v>
      </c>
      <c r="Q192" s="29">
        <v>34700</v>
      </c>
      <c r="R192" s="29">
        <v>17800</v>
      </c>
      <c r="S192" s="11" t="s">
        <v>44</v>
      </c>
      <c r="T192" s="11" t="s">
        <v>45</v>
      </c>
      <c r="U192" s="11">
        <v>0</v>
      </c>
      <c r="V192" s="29">
        <f>Table1[[#This Row],[STAB]]-Table1[[#This Row],[AMOUNT]]</f>
        <v>17800</v>
      </c>
      <c r="W192" s="11">
        <v>0</v>
      </c>
      <c r="X192" s="11" t="s">
        <v>83</v>
      </c>
      <c r="Y192" s="11">
        <v>0</v>
      </c>
      <c r="Z192" s="11" t="s">
        <v>88</v>
      </c>
      <c r="AA192" s="11" t="s">
        <v>86</v>
      </c>
      <c r="AB192" s="11" t="s">
        <v>3139</v>
      </c>
      <c r="AC192" s="11" t="s">
        <v>1360</v>
      </c>
      <c r="AD192" s="11" t="s">
        <v>1441</v>
      </c>
      <c r="AE192" s="11" t="s">
        <v>104</v>
      </c>
      <c r="AF192" s="11" t="s">
        <v>54</v>
      </c>
      <c r="AG192" s="11" t="s">
        <v>60</v>
      </c>
      <c r="AH192" s="11" t="s">
        <v>193</v>
      </c>
      <c r="AI192" s="11">
        <v>802824019</v>
      </c>
      <c r="AJ192" s="11" t="s">
        <v>189</v>
      </c>
      <c r="AK192" s="11"/>
      <c r="AL192" s="11"/>
      <c r="AM192" s="12" t="s">
        <v>64</v>
      </c>
      <c r="AN192" s="11" t="s">
        <v>219</v>
      </c>
      <c r="AO192" s="11" t="s">
        <v>1524</v>
      </c>
      <c r="AP192" s="11" t="s">
        <v>1497</v>
      </c>
      <c r="AQ192" s="3">
        <v>46079</v>
      </c>
      <c r="AR192" s="11">
        <v>55965</v>
      </c>
      <c r="AS192" s="11" t="s">
        <v>47</v>
      </c>
      <c r="AT192" s="11" t="s">
        <v>1077</v>
      </c>
      <c r="AU192" s="2">
        <v>46172</v>
      </c>
    </row>
    <row r="193" spans="1:47" x14ac:dyDescent="0.25">
      <c r="A193" s="10" t="s">
        <v>1167</v>
      </c>
      <c r="B193" s="11" t="s">
        <v>1248</v>
      </c>
      <c r="C193" s="11">
        <v>0</v>
      </c>
      <c r="D193" s="11" t="s">
        <v>108</v>
      </c>
      <c r="E193" s="11"/>
      <c r="F193" s="11"/>
      <c r="G193" s="11" t="s">
        <v>52</v>
      </c>
      <c r="H193" s="11">
        <v>12</v>
      </c>
      <c r="I193" s="11" t="s">
        <v>1329</v>
      </c>
      <c r="J193" s="11" t="s">
        <v>42</v>
      </c>
      <c r="K193" s="11">
        <f>Table1[[#This Row],[ENR]]-Table1[[#This Row],[CREDIT]]</f>
        <v>4314.7299999999959</v>
      </c>
      <c r="L193" s="43">
        <v>120000</v>
      </c>
      <c r="M193" s="30">
        <v>124314.73</v>
      </c>
      <c r="N193" s="44">
        <v>108212.44</v>
      </c>
      <c r="O193" s="29">
        <v>16102.29</v>
      </c>
      <c r="P193" s="29">
        <v>10102.58</v>
      </c>
      <c r="Q193" s="29">
        <v>16102.29</v>
      </c>
      <c r="R193" s="29">
        <v>7547.2</v>
      </c>
      <c r="S193" s="11" t="s">
        <v>44</v>
      </c>
      <c r="T193" s="11" t="s">
        <v>45</v>
      </c>
      <c r="U193" s="11">
        <v>0</v>
      </c>
      <c r="V193" s="29">
        <f>Table1[[#This Row],[STAB]]-Table1[[#This Row],[AMOUNT]]</f>
        <v>7547.2</v>
      </c>
      <c r="W193" s="11">
        <v>0</v>
      </c>
      <c r="X193" s="11" t="s">
        <v>83</v>
      </c>
      <c r="Y193" s="11">
        <v>0</v>
      </c>
      <c r="Z193" s="11" t="s">
        <v>88</v>
      </c>
      <c r="AA193" s="11" t="s">
        <v>86</v>
      </c>
      <c r="AB193" s="11" t="s">
        <v>3139</v>
      </c>
      <c r="AC193" s="11" t="s">
        <v>1410</v>
      </c>
      <c r="AD193" s="11" t="s">
        <v>1491</v>
      </c>
      <c r="AE193" s="11" t="s">
        <v>604</v>
      </c>
      <c r="AF193" s="11" t="s">
        <v>439</v>
      </c>
      <c r="AG193" s="11" t="s">
        <v>63</v>
      </c>
      <c r="AH193" s="11" t="s">
        <v>467</v>
      </c>
      <c r="AI193" s="11">
        <v>801570488</v>
      </c>
      <c r="AJ193" s="11" t="s">
        <v>190</v>
      </c>
      <c r="AK193" s="11"/>
      <c r="AL193" s="11"/>
      <c r="AM193" s="12" t="s">
        <v>64</v>
      </c>
      <c r="AN193" s="11" t="s">
        <v>219</v>
      </c>
      <c r="AO193" s="11" t="s">
        <v>1640</v>
      </c>
      <c r="AP193" s="11" t="s">
        <v>1528</v>
      </c>
      <c r="AQ193" s="3">
        <v>46111</v>
      </c>
      <c r="AR193" s="11">
        <v>14154</v>
      </c>
      <c r="AS193" s="11" t="s">
        <v>47</v>
      </c>
      <c r="AT193" s="11" t="s">
        <v>1077</v>
      </c>
      <c r="AU193" s="2">
        <v>46172</v>
      </c>
    </row>
    <row r="194" spans="1:47" x14ac:dyDescent="0.25">
      <c r="A194" s="10" t="s">
        <v>1126</v>
      </c>
      <c r="B194" s="11" t="s">
        <v>1207</v>
      </c>
      <c r="C194" s="11">
        <v>0</v>
      </c>
      <c r="D194" s="11" t="s">
        <v>108</v>
      </c>
      <c r="E194" s="11"/>
      <c r="F194" s="11"/>
      <c r="G194" s="11" t="s">
        <v>52</v>
      </c>
      <c r="H194" s="11">
        <v>12</v>
      </c>
      <c r="I194" s="11" t="s">
        <v>1288</v>
      </c>
      <c r="J194" s="11" t="s">
        <v>42</v>
      </c>
      <c r="K194" s="11">
        <f>Table1[[#This Row],[ENR]]-Table1[[#This Row],[CREDIT]]</f>
        <v>12274.25</v>
      </c>
      <c r="L194" s="43">
        <v>110000</v>
      </c>
      <c r="M194" s="30">
        <v>122274.25</v>
      </c>
      <c r="N194" s="44" t="s">
        <v>43</v>
      </c>
      <c r="O194" s="29">
        <v>122274.25</v>
      </c>
      <c r="P194" s="29">
        <v>109344</v>
      </c>
      <c r="Q194" s="29">
        <v>30110</v>
      </c>
      <c r="R194" s="29">
        <v>12150</v>
      </c>
      <c r="S194" s="11" t="s">
        <v>44</v>
      </c>
      <c r="T194" s="11" t="s">
        <v>45</v>
      </c>
      <c r="U194" s="11">
        <v>0</v>
      </c>
      <c r="V194" s="29">
        <f>Table1[[#This Row],[STAB]]-Table1[[#This Row],[AMOUNT]]</f>
        <v>12150</v>
      </c>
      <c r="W194" s="11">
        <v>0</v>
      </c>
      <c r="X194" s="11" t="s">
        <v>83</v>
      </c>
      <c r="Y194" s="11">
        <v>0</v>
      </c>
      <c r="Z194" s="11" t="s">
        <v>88</v>
      </c>
      <c r="AA194" s="11" t="s">
        <v>86</v>
      </c>
      <c r="AB194" s="11" t="s">
        <v>3141</v>
      </c>
      <c r="AC194" s="11" t="s">
        <v>1369</v>
      </c>
      <c r="AD194" s="11" t="s">
        <v>1450</v>
      </c>
      <c r="AE194" s="11" t="s">
        <v>414</v>
      </c>
      <c r="AF194" s="11" t="s">
        <v>127</v>
      </c>
      <c r="AG194" s="11" t="s">
        <v>106</v>
      </c>
      <c r="AH194" s="11" t="s">
        <v>460</v>
      </c>
      <c r="AI194" s="11">
        <v>802913252</v>
      </c>
      <c r="AJ194" s="11" t="s">
        <v>190</v>
      </c>
      <c r="AK194" s="11"/>
      <c r="AL194" s="11"/>
      <c r="AM194" s="12" t="s">
        <v>64</v>
      </c>
      <c r="AN194" s="11" t="s">
        <v>219</v>
      </c>
      <c r="AO194" s="11" t="s">
        <v>2433</v>
      </c>
      <c r="AP194" s="11" t="s">
        <v>2294</v>
      </c>
      <c r="AQ194" s="3">
        <v>45656</v>
      </c>
      <c r="AR194" s="11">
        <v>10773</v>
      </c>
      <c r="AS194" s="11" t="s">
        <v>47</v>
      </c>
      <c r="AT194" s="11" t="s">
        <v>1077</v>
      </c>
      <c r="AU194" s="2">
        <v>46172</v>
      </c>
    </row>
    <row r="195" spans="1:47" x14ac:dyDescent="0.25">
      <c r="A195" s="10" t="s">
        <v>1164</v>
      </c>
      <c r="B195" s="11" t="s">
        <v>1245</v>
      </c>
      <c r="C195" s="11">
        <v>0</v>
      </c>
      <c r="D195" s="11" t="s">
        <v>108</v>
      </c>
      <c r="E195" s="11"/>
      <c r="F195" s="11"/>
      <c r="G195" s="11" t="s">
        <v>52</v>
      </c>
      <c r="H195" s="11">
        <v>12</v>
      </c>
      <c r="I195" s="11" t="s">
        <v>1326</v>
      </c>
      <c r="J195" s="11" t="s">
        <v>42</v>
      </c>
      <c r="K195" s="11">
        <f>Table1[[#This Row],[ENR]]-Table1[[#This Row],[CREDIT]]</f>
        <v>10170.75</v>
      </c>
      <c r="L195" s="43">
        <v>110000</v>
      </c>
      <c r="M195" s="30">
        <v>120170.75</v>
      </c>
      <c r="N195" s="44">
        <v>14246</v>
      </c>
      <c r="O195" s="29">
        <v>105924.75</v>
      </c>
      <c r="P195" s="29">
        <v>93348.47</v>
      </c>
      <c r="Q195" s="29">
        <v>30760</v>
      </c>
      <c r="R195" s="29">
        <v>13649.99</v>
      </c>
      <c r="S195" s="11" t="s">
        <v>58</v>
      </c>
      <c r="T195" s="11" t="s">
        <v>14</v>
      </c>
      <c r="U195" s="29">
        <v>14000</v>
      </c>
      <c r="V195" s="29">
        <f>Table1[[#This Row],[STAB]]-Table1[[#This Row],[AMOUNT]]</f>
        <v>-350.01000000000022</v>
      </c>
      <c r="W195" s="11" t="s">
        <v>3119</v>
      </c>
      <c r="X195" s="11" t="s">
        <v>451</v>
      </c>
      <c r="Y195" s="11" t="s">
        <v>760</v>
      </c>
      <c r="Z195" s="11" t="s">
        <v>88</v>
      </c>
      <c r="AA195" s="11" t="s">
        <v>86</v>
      </c>
      <c r="AB195" s="11" t="s">
        <v>3139</v>
      </c>
      <c r="AC195" s="11" t="s">
        <v>1407</v>
      </c>
      <c r="AD195" s="11" t="s">
        <v>1488</v>
      </c>
      <c r="AE195" s="11" t="s">
        <v>125</v>
      </c>
      <c r="AF195" s="11" t="s">
        <v>127</v>
      </c>
      <c r="AG195" s="11" t="s">
        <v>56</v>
      </c>
      <c r="AH195" s="11" t="s">
        <v>462</v>
      </c>
      <c r="AI195" s="11">
        <v>801448854</v>
      </c>
      <c r="AJ195" s="11" t="s">
        <v>191</v>
      </c>
      <c r="AK195" s="11"/>
      <c r="AL195" s="11"/>
      <c r="AM195" s="12" t="s">
        <v>64</v>
      </c>
      <c r="AN195" s="11" t="s">
        <v>115</v>
      </c>
      <c r="AO195" s="11" t="s">
        <v>2157</v>
      </c>
      <c r="AP195" s="11" t="s">
        <v>1667</v>
      </c>
      <c r="AQ195" s="3">
        <v>45503</v>
      </c>
      <c r="AR195" s="11">
        <v>60000</v>
      </c>
      <c r="AS195" s="11" t="s">
        <v>47</v>
      </c>
      <c r="AT195" s="11" t="s">
        <v>1077</v>
      </c>
      <c r="AU195" s="2">
        <v>46172</v>
      </c>
    </row>
    <row r="196" spans="1:47" x14ac:dyDescent="0.25">
      <c r="A196" s="10" t="s">
        <v>1153</v>
      </c>
      <c r="B196" s="11" t="s">
        <v>1234</v>
      </c>
      <c r="C196" s="11">
        <v>0</v>
      </c>
      <c r="D196" s="11" t="s">
        <v>108</v>
      </c>
      <c r="E196" s="11"/>
      <c r="F196" s="11"/>
      <c r="G196" s="11" t="s">
        <v>90</v>
      </c>
      <c r="H196" s="11">
        <v>12</v>
      </c>
      <c r="I196" s="11" t="s">
        <v>1315</v>
      </c>
      <c r="J196" s="11" t="s">
        <v>42</v>
      </c>
      <c r="K196" s="11">
        <f>Table1[[#This Row],[ENR]]-Table1[[#This Row],[CREDIT]]</f>
        <v>5833.2899999999936</v>
      </c>
      <c r="L196" s="43">
        <v>110000</v>
      </c>
      <c r="M196" s="30">
        <v>115833.29</v>
      </c>
      <c r="N196" s="44" t="s">
        <v>43</v>
      </c>
      <c r="O196" s="29">
        <v>115833.29</v>
      </c>
      <c r="P196" s="29">
        <v>104773.67</v>
      </c>
      <c r="Q196" s="29">
        <v>32260</v>
      </c>
      <c r="R196" s="29">
        <v>15610</v>
      </c>
      <c r="S196" s="11" t="s">
        <v>58</v>
      </c>
      <c r="T196" s="11" t="s">
        <v>13</v>
      </c>
      <c r="U196" s="11">
        <v>32260</v>
      </c>
      <c r="V196" s="29">
        <f>Table1[[#This Row],[STAB]]-Table1[[#This Row],[AMOUNT]]</f>
        <v>-16650</v>
      </c>
      <c r="W196" s="11" t="s">
        <v>1667</v>
      </c>
      <c r="X196" s="11" t="s">
        <v>444</v>
      </c>
      <c r="Y196" s="11" t="s">
        <v>760</v>
      </c>
      <c r="Z196" s="11" t="s">
        <v>88</v>
      </c>
      <c r="AA196" s="11" t="s">
        <v>86</v>
      </c>
      <c r="AB196" s="11" t="s">
        <v>3139</v>
      </c>
      <c r="AC196" s="11" t="s">
        <v>1396</v>
      </c>
      <c r="AD196" s="11" t="s">
        <v>1477</v>
      </c>
      <c r="AE196" s="11" t="s">
        <v>103</v>
      </c>
      <c r="AF196" s="11" t="s">
        <v>53</v>
      </c>
      <c r="AG196" s="11" t="s">
        <v>188</v>
      </c>
      <c r="AH196" s="11" t="s">
        <v>194</v>
      </c>
      <c r="AI196" s="11">
        <v>802823180</v>
      </c>
      <c r="AJ196" s="11" t="s">
        <v>191</v>
      </c>
      <c r="AK196" s="11"/>
      <c r="AL196" s="11"/>
      <c r="AM196" s="12" t="s">
        <v>64</v>
      </c>
      <c r="AN196" s="11"/>
      <c r="AO196" s="11"/>
      <c r="AP196" s="11"/>
      <c r="AQ196" s="3">
        <v>45862</v>
      </c>
      <c r="AR196" s="11">
        <v>5760</v>
      </c>
      <c r="AS196" s="11" t="s">
        <v>47</v>
      </c>
      <c r="AT196" s="11" t="s">
        <v>1077</v>
      </c>
      <c r="AU196" s="2">
        <v>46172</v>
      </c>
    </row>
    <row r="197" spans="1:47" x14ac:dyDescent="0.25">
      <c r="A197" s="10" t="s">
        <v>1114</v>
      </c>
      <c r="B197" s="11" t="s">
        <v>1195</v>
      </c>
      <c r="C197" s="11">
        <v>0</v>
      </c>
      <c r="D197" s="11" t="s">
        <v>108</v>
      </c>
      <c r="E197" s="11"/>
      <c r="F197" s="11"/>
      <c r="G197" s="11" t="s">
        <v>52</v>
      </c>
      <c r="H197" s="11">
        <v>12</v>
      </c>
      <c r="I197" s="11" t="s">
        <v>1276</v>
      </c>
      <c r="J197" s="11" t="s">
        <v>42</v>
      </c>
      <c r="K197" s="11">
        <f>Table1[[#This Row],[ENR]]-Table1[[#This Row],[CREDIT]]</f>
        <v>4369.2799999999988</v>
      </c>
      <c r="L197" s="43">
        <v>110000</v>
      </c>
      <c r="M197" s="30">
        <v>114369.28</v>
      </c>
      <c r="N197" s="44">
        <v>17986.97</v>
      </c>
      <c r="O197" s="29">
        <v>96382.31</v>
      </c>
      <c r="P197" s="29">
        <v>84166.71</v>
      </c>
      <c r="Q197" s="29">
        <v>22990</v>
      </c>
      <c r="R197" s="29">
        <v>8907.93</v>
      </c>
      <c r="S197" s="11" t="s">
        <v>58</v>
      </c>
      <c r="T197" s="11" t="s">
        <v>14</v>
      </c>
      <c r="U197" s="29">
        <v>12000</v>
      </c>
      <c r="V197" s="29">
        <f>Table1[[#This Row],[STAB]]-Table1[[#This Row],[AMOUNT]]</f>
        <v>-3092.0699999999997</v>
      </c>
      <c r="W197" s="11" t="s">
        <v>3129</v>
      </c>
      <c r="X197" s="11" t="s">
        <v>451</v>
      </c>
      <c r="Y197" s="11" t="s">
        <v>760</v>
      </c>
      <c r="Z197" s="11" t="s">
        <v>88</v>
      </c>
      <c r="AA197" s="11" t="s">
        <v>86</v>
      </c>
      <c r="AB197" s="11" t="s">
        <v>3139</v>
      </c>
      <c r="AC197" s="11" t="s">
        <v>1357</v>
      </c>
      <c r="AD197" s="11" t="s">
        <v>1438</v>
      </c>
      <c r="AE197" s="11" t="s">
        <v>92</v>
      </c>
      <c r="AF197" s="11" t="s">
        <v>54</v>
      </c>
      <c r="AG197" s="11" t="s">
        <v>119</v>
      </c>
      <c r="AH197" s="11" t="s">
        <v>626</v>
      </c>
      <c r="AI197" s="11">
        <v>802663344</v>
      </c>
      <c r="AJ197" s="11" t="s">
        <v>191</v>
      </c>
      <c r="AK197" s="11"/>
      <c r="AL197" s="11"/>
      <c r="AM197" s="12" t="s">
        <v>64</v>
      </c>
      <c r="AN197" s="11" t="s">
        <v>115</v>
      </c>
      <c r="AO197" s="11" t="s">
        <v>1499</v>
      </c>
      <c r="AP197" s="11" t="s">
        <v>1497</v>
      </c>
      <c r="AQ197" s="3">
        <v>45534</v>
      </c>
      <c r="AR197" s="11">
        <v>75237.62</v>
      </c>
      <c r="AS197" s="11" t="s">
        <v>47</v>
      </c>
      <c r="AT197" s="11" t="s">
        <v>1077</v>
      </c>
      <c r="AU197" s="2">
        <v>46172</v>
      </c>
    </row>
    <row r="198" spans="1:47" x14ac:dyDescent="0.25">
      <c r="A198" s="10" t="s">
        <v>1125</v>
      </c>
      <c r="B198" s="11" t="s">
        <v>1206</v>
      </c>
      <c r="C198" s="11">
        <v>0</v>
      </c>
      <c r="D198" s="11" t="s">
        <v>108</v>
      </c>
      <c r="E198" s="11"/>
      <c r="F198" s="11"/>
      <c r="G198" s="11" t="s">
        <v>52</v>
      </c>
      <c r="H198" s="11">
        <v>12</v>
      </c>
      <c r="I198" s="11" t="s">
        <v>1287</v>
      </c>
      <c r="J198" s="11" t="s">
        <v>42</v>
      </c>
      <c r="K198" s="11">
        <f>Table1[[#This Row],[ENR]]-Table1[[#This Row],[CREDIT]]</f>
        <v>3808</v>
      </c>
      <c r="L198" s="43">
        <v>110000</v>
      </c>
      <c r="M198" s="30">
        <v>113808</v>
      </c>
      <c r="N198" s="44" t="s">
        <v>43</v>
      </c>
      <c r="O198" s="29">
        <v>113808</v>
      </c>
      <c r="P198" s="29">
        <v>103027.96</v>
      </c>
      <c r="Q198" s="29">
        <v>20740</v>
      </c>
      <c r="R198" s="29">
        <v>5900</v>
      </c>
      <c r="S198" s="11" t="s">
        <v>44</v>
      </c>
      <c r="T198" s="11" t="s">
        <v>45</v>
      </c>
      <c r="U198" s="11">
        <v>0</v>
      </c>
      <c r="V198" s="29">
        <f>Table1[[#This Row],[STAB]]-Table1[[#This Row],[AMOUNT]]</f>
        <v>5900</v>
      </c>
      <c r="W198" s="11">
        <v>0</v>
      </c>
      <c r="X198" s="11" t="s">
        <v>83</v>
      </c>
      <c r="Y198" s="11">
        <v>0</v>
      </c>
      <c r="Z198" s="11" t="s">
        <v>88</v>
      </c>
      <c r="AA198" s="11" t="s">
        <v>86</v>
      </c>
      <c r="AB198" s="11" t="s">
        <v>3139</v>
      </c>
      <c r="AC198" s="11" t="s">
        <v>1368</v>
      </c>
      <c r="AD198" s="11" t="s">
        <v>1449</v>
      </c>
      <c r="AE198" s="11" t="s">
        <v>125</v>
      </c>
      <c r="AF198" s="11" t="s">
        <v>127</v>
      </c>
      <c r="AG198" s="11" t="s">
        <v>56</v>
      </c>
      <c r="AH198" s="11" t="s">
        <v>462</v>
      </c>
      <c r="AI198" s="11">
        <v>801448854</v>
      </c>
      <c r="AJ198" s="11" t="s">
        <v>191</v>
      </c>
      <c r="AK198" s="11"/>
      <c r="AL198" s="11"/>
      <c r="AM198" s="12" t="s">
        <v>64</v>
      </c>
      <c r="AN198" s="11" t="s">
        <v>221</v>
      </c>
      <c r="AO198" s="11" t="s">
        <v>2177</v>
      </c>
      <c r="AP198" s="11" t="s">
        <v>2172</v>
      </c>
      <c r="AQ198" s="3">
        <v>45565</v>
      </c>
      <c r="AR198" s="11">
        <v>150</v>
      </c>
      <c r="AS198" s="11" t="s">
        <v>47</v>
      </c>
      <c r="AT198" s="11" t="s">
        <v>1077</v>
      </c>
      <c r="AU198" s="2">
        <v>46172</v>
      </c>
    </row>
    <row r="199" spans="1:47" x14ac:dyDescent="0.25">
      <c r="A199" s="10" t="s">
        <v>1148</v>
      </c>
      <c r="B199" s="11" t="s">
        <v>1229</v>
      </c>
      <c r="C199" s="11">
        <v>0</v>
      </c>
      <c r="D199" s="11" t="s">
        <v>108</v>
      </c>
      <c r="E199" s="11"/>
      <c r="F199" s="11"/>
      <c r="G199" s="11" t="s">
        <v>52</v>
      </c>
      <c r="H199" s="11">
        <v>12</v>
      </c>
      <c r="I199" s="11" t="s">
        <v>1310</v>
      </c>
      <c r="J199" s="11" t="s">
        <v>42</v>
      </c>
      <c r="K199" s="11">
        <f>Table1[[#This Row],[ENR]]-Table1[[#This Row],[CREDIT]]</f>
        <v>10556.36</v>
      </c>
      <c r="L199" s="43">
        <v>100000</v>
      </c>
      <c r="M199" s="30">
        <v>110556.36</v>
      </c>
      <c r="N199" s="44">
        <v>16202.65</v>
      </c>
      <c r="O199" s="29">
        <v>94353.71</v>
      </c>
      <c r="P199" s="29">
        <v>83500.63</v>
      </c>
      <c r="Q199" s="29">
        <v>16010</v>
      </c>
      <c r="R199" s="29">
        <v>5240</v>
      </c>
      <c r="S199" s="11" t="s">
        <v>58</v>
      </c>
      <c r="T199" s="11" t="s">
        <v>14</v>
      </c>
      <c r="U199" s="29">
        <v>5500</v>
      </c>
      <c r="V199" s="29">
        <f>Table1[[#This Row],[STAB]]-Table1[[#This Row],[AMOUNT]]</f>
        <v>-260</v>
      </c>
      <c r="W199" s="11" t="s">
        <v>1528</v>
      </c>
      <c r="X199" s="11" t="s">
        <v>444</v>
      </c>
      <c r="Y199" s="11">
        <v>0</v>
      </c>
      <c r="Z199" s="11" t="s">
        <v>88</v>
      </c>
      <c r="AA199" s="11" t="s">
        <v>86</v>
      </c>
      <c r="AB199" s="11" t="s">
        <v>3139</v>
      </c>
      <c r="AC199" s="11" t="s">
        <v>1391</v>
      </c>
      <c r="AD199" s="11" t="s">
        <v>1472</v>
      </c>
      <c r="AE199" s="11" t="s">
        <v>124</v>
      </c>
      <c r="AF199" s="11" t="s">
        <v>127</v>
      </c>
      <c r="AG199" s="11" t="s">
        <v>57</v>
      </c>
      <c r="AH199" s="11" t="s">
        <v>464</v>
      </c>
      <c r="AI199" s="11">
        <v>802852449</v>
      </c>
      <c r="AJ199" s="11" t="s">
        <v>190</v>
      </c>
      <c r="AK199" s="11"/>
      <c r="AL199" s="11"/>
      <c r="AM199" s="12" t="s">
        <v>64</v>
      </c>
      <c r="AN199" s="11" t="s">
        <v>115</v>
      </c>
      <c r="AO199" s="11" t="s">
        <v>1517</v>
      </c>
      <c r="AP199" s="11" t="s">
        <v>1497</v>
      </c>
      <c r="AQ199" s="3">
        <v>45486</v>
      </c>
      <c r="AR199" s="11">
        <v>1000</v>
      </c>
      <c r="AS199" s="11" t="s">
        <v>47</v>
      </c>
      <c r="AT199" s="11" t="s">
        <v>1077</v>
      </c>
      <c r="AU199" s="2">
        <v>46172</v>
      </c>
    </row>
    <row r="200" spans="1:47" x14ac:dyDescent="0.25">
      <c r="A200" s="10" t="s">
        <v>1124</v>
      </c>
      <c r="B200" s="11" t="s">
        <v>1205</v>
      </c>
      <c r="C200" s="11">
        <v>0</v>
      </c>
      <c r="D200" s="11" t="s">
        <v>108</v>
      </c>
      <c r="E200" s="11"/>
      <c r="F200" s="11"/>
      <c r="G200" s="11" t="s">
        <v>52</v>
      </c>
      <c r="H200" s="11">
        <v>12</v>
      </c>
      <c r="I200" s="11" t="s">
        <v>1286</v>
      </c>
      <c r="J200" s="11" t="s">
        <v>42</v>
      </c>
      <c r="K200" s="11">
        <f>Table1[[#This Row],[ENR]]-Table1[[#This Row],[CREDIT]]</f>
        <v>-11227.270000000004</v>
      </c>
      <c r="L200" s="43">
        <v>120000</v>
      </c>
      <c r="M200" s="30">
        <v>108772.73</v>
      </c>
      <c r="N200" s="44" t="s">
        <v>43</v>
      </c>
      <c r="O200" s="29">
        <v>108772.73</v>
      </c>
      <c r="P200" s="29">
        <v>96813.92</v>
      </c>
      <c r="Q200" s="29">
        <v>17960</v>
      </c>
      <c r="R200" s="29">
        <v>7240</v>
      </c>
      <c r="S200" s="11" t="s">
        <v>58</v>
      </c>
      <c r="T200" s="11" t="s">
        <v>13</v>
      </c>
      <c r="U200" s="11">
        <v>108772.73</v>
      </c>
      <c r="V200" s="29">
        <f>Table1[[#This Row],[STAB]]-Table1[[#This Row],[AMOUNT]]</f>
        <v>-101532.73</v>
      </c>
      <c r="W200" s="11" t="s">
        <v>3169</v>
      </c>
      <c r="X200" s="11" t="s">
        <v>451</v>
      </c>
      <c r="Y200" s="11" t="s">
        <v>760</v>
      </c>
      <c r="Z200" s="11" t="s">
        <v>88</v>
      </c>
      <c r="AA200" s="11" t="s">
        <v>86</v>
      </c>
      <c r="AB200" s="11" t="s">
        <v>3139</v>
      </c>
      <c r="AC200" s="11" t="s">
        <v>1367</v>
      </c>
      <c r="AD200" s="11" t="s">
        <v>1448</v>
      </c>
      <c r="AE200" s="11" t="s">
        <v>746</v>
      </c>
      <c r="AF200" s="11" t="s">
        <v>53</v>
      </c>
      <c r="AG200" s="11" t="s">
        <v>3469</v>
      </c>
      <c r="AH200" s="11" t="s">
        <v>752</v>
      </c>
      <c r="AI200" s="11">
        <v>802241455</v>
      </c>
      <c r="AJ200" s="11" t="s">
        <v>191</v>
      </c>
      <c r="AK200" s="11"/>
      <c r="AL200" s="11"/>
      <c r="AM200" s="12" t="s">
        <v>64</v>
      </c>
      <c r="AN200" s="11" t="s">
        <v>115</v>
      </c>
      <c r="AO200" s="11" t="s">
        <v>1665</v>
      </c>
      <c r="AP200" s="11" t="s">
        <v>1645</v>
      </c>
      <c r="AQ200" s="3">
        <v>46029</v>
      </c>
      <c r="AR200" s="11">
        <v>8000</v>
      </c>
      <c r="AS200" s="11" t="s">
        <v>47</v>
      </c>
      <c r="AT200" s="11" t="s">
        <v>1077</v>
      </c>
      <c r="AU200" s="2">
        <v>46172</v>
      </c>
    </row>
    <row r="201" spans="1:47" x14ac:dyDescent="0.25">
      <c r="A201" s="10" t="s">
        <v>1095</v>
      </c>
      <c r="B201" s="11" t="s">
        <v>1176</v>
      </c>
      <c r="C201" s="11">
        <v>0</v>
      </c>
      <c r="D201" s="11" t="s">
        <v>108</v>
      </c>
      <c r="E201" s="11"/>
      <c r="F201" s="11"/>
      <c r="G201" s="11" t="s">
        <v>52</v>
      </c>
      <c r="H201" s="11">
        <v>12</v>
      </c>
      <c r="I201" s="11" t="s">
        <v>1257</v>
      </c>
      <c r="J201" s="11" t="s">
        <v>42</v>
      </c>
      <c r="K201" s="11">
        <f>Table1[[#This Row],[ENR]]-Table1[[#This Row],[CREDIT]]</f>
        <v>5326.679999999993</v>
      </c>
      <c r="L201" s="43">
        <v>100000</v>
      </c>
      <c r="M201" s="30">
        <v>105326.68</v>
      </c>
      <c r="N201" s="44">
        <v>50247.71</v>
      </c>
      <c r="O201" s="29">
        <v>55078.97</v>
      </c>
      <c r="P201" s="29">
        <v>48704.07</v>
      </c>
      <c r="Q201" s="29">
        <v>18530</v>
      </c>
      <c r="R201" s="29">
        <v>7090</v>
      </c>
      <c r="S201" s="11" t="s">
        <v>44</v>
      </c>
      <c r="T201" s="11" t="s">
        <v>45</v>
      </c>
      <c r="U201" s="11">
        <v>0</v>
      </c>
      <c r="V201" s="29">
        <f>Table1[[#This Row],[STAB]]-Table1[[#This Row],[AMOUNT]]</f>
        <v>7090</v>
      </c>
      <c r="W201" s="11">
        <v>0</v>
      </c>
      <c r="X201" s="11" t="s">
        <v>83</v>
      </c>
      <c r="Y201" s="11">
        <v>0</v>
      </c>
      <c r="Z201" s="11" t="s">
        <v>88</v>
      </c>
      <c r="AA201" s="11" t="s">
        <v>86</v>
      </c>
      <c r="AB201" s="11" t="s">
        <v>3139</v>
      </c>
      <c r="AC201" s="11" t="s">
        <v>1338</v>
      </c>
      <c r="AD201" s="11" t="s">
        <v>1419</v>
      </c>
      <c r="AE201" s="11" t="s">
        <v>425</v>
      </c>
      <c r="AF201" s="11" t="s">
        <v>53</v>
      </c>
      <c r="AG201" s="11" t="s">
        <v>117</v>
      </c>
      <c r="AH201" s="11" t="s">
        <v>466</v>
      </c>
      <c r="AI201" s="11">
        <v>802388289</v>
      </c>
      <c r="AJ201" s="11" t="s">
        <v>190</v>
      </c>
      <c r="AK201" s="11"/>
      <c r="AL201" s="11"/>
      <c r="AM201" s="12" t="s">
        <v>64</v>
      </c>
      <c r="AN201" s="11" t="s">
        <v>221</v>
      </c>
      <c r="AO201" s="11" t="s">
        <v>3135</v>
      </c>
      <c r="AP201" s="11" t="s">
        <v>3119</v>
      </c>
      <c r="AQ201" s="3">
        <v>45756</v>
      </c>
      <c r="AR201" s="11">
        <v>34607.99</v>
      </c>
      <c r="AS201" s="11" t="s">
        <v>47</v>
      </c>
      <c r="AT201" s="11" t="s">
        <v>1077</v>
      </c>
      <c r="AU201" s="2">
        <v>46172</v>
      </c>
    </row>
    <row r="202" spans="1:47" x14ac:dyDescent="0.25">
      <c r="A202" s="10" t="s">
        <v>1123</v>
      </c>
      <c r="B202" s="11" t="s">
        <v>1204</v>
      </c>
      <c r="C202" s="11">
        <v>0</v>
      </c>
      <c r="D202" s="11" t="s">
        <v>108</v>
      </c>
      <c r="E202" s="11"/>
      <c r="F202" s="11"/>
      <c r="G202" s="11" t="s">
        <v>52</v>
      </c>
      <c r="H202" s="11">
        <v>12</v>
      </c>
      <c r="I202" s="11" t="s">
        <v>1285</v>
      </c>
      <c r="J202" s="11" t="s">
        <v>42</v>
      </c>
      <c r="K202" s="11">
        <f>Table1[[#This Row],[ENR]]-Table1[[#This Row],[CREDIT]]</f>
        <v>-14821.89</v>
      </c>
      <c r="L202" s="43">
        <v>120000</v>
      </c>
      <c r="M202" s="30">
        <v>105178.11</v>
      </c>
      <c r="N202" s="44" t="s">
        <v>43</v>
      </c>
      <c r="O202" s="29">
        <v>105178.11</v>
      </c>
      <c r="P202" s="29">
        <v>99021.78</v>
      </c>
      <c r="Q202" s="29">
        <v>16660</v>
      </c>
      <c r="R202" s="29">
        <v>9760</v>
      </c>
      <c r="S202" s="11" t="s">
        <v>58</v>
      </c>
      <c r="T202" s="11" t="s">
        <v>14</v>
      </c>
      <c r="U202" s="29">
        <v>9800</v>
      </c>
      <c r="V202" s="29">
        <f>Table1[[#This Row],[STAB]]-Table1[[#This Row],[AMOUNT]]</f>
        <v>-40</v>
      </c>
      <c r="W202" s="11" t="s">
        <v>3129</v>
      </c>
      <c r="X202" s="11" t="s">
        <v>451</v>
      </c>
      <c r="Y202" s="11" t="s">
        <v>760</v>
      </c>
      <c r="Z202" s="11" t="s">
        <v>88</v>
      </c>
      <c r="AA202" s="11" t="s">
        <v>86</v>
      </c>
      <c r="AB202" s="11" t="s">
        <v>3139</v>
      </c>
      <c r="AC202" s="11" t="s">
        <v>1366</v>
      </c>
      <c r="AD202" s="11" t="s">
        <v>1447</v>
      </c>
      <c r="AE202" s="11" t="s">
        <v>104</v>
      </c>
      <c r="AF202" s="11" t="s">
        <v>54</v>
      </c>
      <c r="AG202" s="11" t="s">
        <v>109</v>
      </c>
      <c r="AH202" s="11" t="s">
        <v>196</v>
      </c>
      <c r="AI202" s="11">
        <v>802555024</v>
      </c>
      <c r="AJ202" s="11" t="s">
        <v>99</v>
      </c>
      <c r="AK202" s="11"/>
      <c r="AL202" s="11"/>
      <c r="AM202" s="12" t="s">
        <v>64</v>
      </c>
      <c r="AN202" s="11" t="s">
        <v>115</v>
      </c>
      <c r="AO202" s="11" t="s">
        <v>2161</v>
      </c>
      <c r="AP202" s="11" t="s">
        <v>1667</v>
      </c>
      <c r="AQ202" s="3">
        <v>45467</v>
      </c>
      <c r="AR202" s="11">
        <v>1941</v>
      </c>
      <c r="AS202" s="11" t="s">
        <v>47</v>
      </c>
      <c r="AT202" s="11" t="s">
        <v>1077</v>
      </c>
      <c r="AU202" s="2">
        <v>46172</v>
      </c>
    </row>
    <row r="203" spans="1:47" x14ac:dyDescent="0.25">
      <c r="A203" s="10" t="s">
        <v>1147</v>
      </c>
      <c r="B203" s="11" t="s">
        <v>1228</v>
      </c>
      <c r="C203" s="11">
        <v>0</v>
      </c>
      <c r="D203" s="11" t="s">
        <v>108</v>
      </c>
      <c r="E203" s="11"/>
      <c r="F203" s="11"/>
      <c r="G203" s="11" t="s">
        <v>52</v>
      </c>
      <c r="H203" s="11">
        <v>12</v>
      </c>
      <c r="I203" s="11" t="s">
        <v>1309</v>
      </c>
      <c r="J203" s="11" t="s">
        <v>42</v>
      </c>
      <c r="K203" s="11">
        <f>Table1[[#This Row],[ENR]]-Table1[[#This Row],[CREDIT]]</f>
        <v>4935.1600000000035</v>
      </c>
      <c r="L203" s="43">
        <v>100000</v>
      </c>
      <c r="M203" s="30">
        <v>104935.16</v>
      </c>
      <c r="N203" s="44">
        <v>43137.85</v>
      </c>
      <c r="O203" s="29">
        <v>61797.31</v>
      </c>
      <c r="P203" s="29">
        <v>54939.29</v>
      </c>
      <c r="Q203" s="29">
        <v>37840</v>
      </c>
      <c r="R203" s="29">
        <v>19550</v>
      </c>
      <c r="S203" s="11" t="s">
        <v>44</v>
      </c>
      <c r="T203" s="11" t="s">
        <v>45</v>
      </c>
      <c r="U203" s="11">
        <v>0</v>
      </c>
      <c r="V203" s="29">
        <f>Table1[[#This Row],[STAB]]-Table1[[#This Row],[AMOUNT]]</f>
        <v>19550</v>
      </c>
      <c r="W203" s="11">
        <v>0</v>
      </c>
      <c r="X203" s="11" t="s">
        <v>83</v>
      </c>
      <c r="Y203" s="11">
        <v>0</v>
      </c>
      <c r="Z203" s="11" t="s">
        <v>88</v>
      </c>
      <c r="AA203" s="11" t="s">
        <v>86</v>
      </c>
      <c r="AB203" s="11" t="s">
        <v>3139</v>
      </c>
      <c r="AC203" s="11" t="s">
        <v>1390</v>
      </c>
      <c r="AD203" s="11" t="s">
        <v>1471</v>
      </c>
      <c r="AE203" s="11" t="s">
        <v>103</v>
      </c>
      <c r="AF203" s="11" t="s">
        <v>53</v>
      </c>
      <c r="AG203" s="11" t="s">
        <v>188</v>
      </c>
      <c r="AH203" s="11" t="s">
        <v>194</v>
      </c>
      <c r="AI203" s="11">
        <v>802823180</v>
      </c>
      <c r="AJ203" s="11" t="s">
        <v>191</v>
      </c>
      <c r="AK203" s="11"/>
      <c r="AL203" s="11"/>
      <c r="AM203" s="12" t="s">
        <v>64</v>
      </c>
      <c r="AN203" s="11" t="s">
        <v>219</v>
      </c>
      <c r="AO203" s="11" t="s">
        <v>1663</v>
      </c>
      <c r="AP203" s="11" t="s">
        <v>1645</v>
      </c>
      <c r="AQ203" s="3">
        <v>45412</v>
      </c>
      <c r="AR203" s="11">
        <v>37129.85</v>
      </c>
      <c r="AS203" s="11" t="s">
        <v>47</v>
      </c>
      <c r="AT203" s="11" t="s">
        <v>1077</v>
      </c>
      <c r="AU203" s="2">
        <v>46172</v>
      </c>
    </row>
    <row r="204" spans="1:47" x14ac:dyDescent="0.25">
      <c r="A204" s="10" t="s">
        <v>1094</v>
      </c>
      <c r="B204" s="11" t="s">
        <v>1175</v>
      </c>
      <c r="C204" s="11">
        <v>0</v>
      </c>
      <c r="D204" s="11" t="s">
        <v>108</v>
      </c>
      <c r="E204" s="11"/>
      <c r="F204" s="11"/>
      <c r="G204" s="11" t="s">
        <v>52</v>
      </c>
      <c r="H204" s="11">
        <v>12</v>
      </c>
      <c r="I204" s="11" t="s">
        <v>1256</v>
      </c>
      <c r="J204" s="11" t="s">
        <v>42</v>
      </c>
      <c r="K204" s="11">
        <f>Table1[[#This Row],[ENR]]-Table1[[#This Row],[CREDIT]]</f>
        <v>5201.3800000000047</v>
      </c>
      <c r="L204" s="43">
        <v>99000</v>
      </c>
      <c r="M204" s="30">
        <v>104201.38</v>
      </c>
      <c r="N204" s="44">
        <v>62008.35</v>
      </c>
      <c r="O204" s="29">
        <v>42193.03</v>
      </c>
      <c r="P204" s="29">
        <v>34073.61</v>
      </c>
      <c r="Q204" s="29">
        <v>27200</v>
      </c>
      <c r="R204" s="29">
        <v>12877</v>
      </c>
      <c r="S204" s="11" t="s">
        <v>44</v>
      </c>
      <c r="T204" s="11" t="s">
        <v>45</v>
      </c>
      <c r="U204" s="11">
        <v>0</v>
      </c>
      <c r="V204" s="29">
        <f>Table1[[#This Row],[STAB]]-Table1[[#This Row],[AMOUNT]]</f>
        <v>12877</v>
      </c>
      <c r="W204" s="11">
        <v>0</v>
      </c>
      <c r="X204" s="11" t="s">
        <v>83</v>
      </c>
      <c r="Y204" s="11" t="s">
        <v>760</v>
      </c>
      <c r="Z204" s="11" t="s">
        <v>88</v>
      </c>
      <c r="AA204" s="11" t="s">
        <v>86</v>
      </c>
      <c r="AB204" s="11" t="s">
        <v>3139</v>
      </c>
      <c r="AC204" s="11" t="s">
        <v>1337</v>
      </c>
      <c r="AD204" s="11" t="s">
        <v>1418</v>
      </c>
      <c r="AE204" s="11" t="s">
        <v>425</v>
      </c>
      <c r="AF204" s="11" t="s">
        <v>53</v>
      </c>
      <c r="AG204" s="11" t="s">
        <v>117</v>
      </c>
      <c r="AH204" s="11" t="s">
        <v>466</v>
      </c>
      <c r="AI204" s="11">
        <v>802388289</v>
      </c>
      <c r="AJ204" s="11" t="s">
        <v>190</v>
      </c>
      <c r="AK204" s="11"/>
      <c r="AL204" s="11"/>
      <c r="AM204" s="12" t="s">
        <v>64</v>
      </c>
      <c r="AN204" s="11" t="s">
        <v>115</v>
      </c>
      <c r="AO204" s="11" t="s">
        <v>2442</v>
      </c>
      <c r="AP204" s="11" t="s">
        <v>2294</v>
      </c>
      <c r="AQ204" s="3">
        <v>45877</v>
      </c>
      <c r="AR204" s="11">
        <v>100777</v>
      </c>
      <c r="AS204" s="11" t="s">
        <v>47</v>
      </c>
      <c r="AT204" s="11" t="s">
        <v>1077</v>
      </c>
      <c r="AU204" s="2">
        <v>46172</v>
      </c>
    </row>
    <row r="205" spans="1:47" x14ac:dyDescent="0.25">
      <c r="A205" s="10" t="s">
        <v>1122</v>
      </c>
      <c r="B205" s="11" t="s">
        <v>1203</v>
      </c>
      <c r="C205" s="11">
        <v>0</v>
      </c>
      <c r="D205" s="11" t="s">
        <v>108</v>
      </c>
      <c r="E205" s="11"/>
      <c r="F205" s="11" t="s">
        <v>440</v>
      </c>
      <c r="G205" s="11" t="s">
        <v>90</v>
      </c>
      <c r="H205" s="11">
        <v>12</v>
      </c>
      <c r="I205" s="11" t="s">
        <v>1284</v>
      </c>
      <c r="J205" s="11" t="s">
        <v>42</v>
      </c>
      <c r="K205" s="11">
        <f>Table1[[#This Row],[ENR]]-Table1[[#This Row],[CREDIT]]</f>
        <v>2913.679999999993</v>
      </c>
      <c r="L205" s="43">
        <v>100000</v>
      </c>
      <c r="M205" s="30">
        <v>102913.68</v>
      </c>
      <c r="N205" s="44" t="s">
        <v>43</v>
      </c>
      <c r="O205" s="29">
        <v>102913.68</v>
      </c>
      <c r="P205" s="29">
        <v>94256.36</v>
      </c>
      <c r="Q205" s="29">
        <v>28670</v>
      </c>
      <c r="R205" s="29">
        <v>15880</v>
      </c>
      <c r="S205" s="11" t="s">
        <v>58</v>
      </c>
      <c r="T205" s="11" t="s">
        <v>14</v>
      </c>
      <c r="U205" s="29">
        <v>16000</v>
      </c>
      <c r="V205" s="29">
        <f>Table1[[#This Row],[STAB]]-Table1[[#This Row],[AMOUNT]]</f>
        <v>-120</v>
      </c>
      <c r="W205" s="11" t="s">
        <v>3169</v>
      </c>
      <c r="X205" s="11" t="s">
        <v>451</v>
      </c>
      <c r="Y205" s="11" t="s">
        <v>760</v>
      </c>
      <c r="Z205" s="11" t="s">
        <v>88</v>
      </c>
      <c r="AA205" s="11" t="s">
        <v>86</v>
      </c>
      <c r="AB205" s="11" t="s">
        <v>3139</v>
      </c>
      <c r="AC205" s="11" t="s">
        <v>1365</v>
      </c>
      <c r="AD205" s="11" t="s">
        <v>1446</v>
      </c>
      <c r="AE205" s="11" t="s">
        <v>603</v>
      </c>
      <c r="AF205" s="11" t="s">
        <v>53</v>
      </c>
      <c r="AG205" s="11" t="s">
        <v>89</v>
      </c>
      <c r="AH205" s="11" t="s">
        <v>193</v>
      </c>
      <c r="AI205" s="11">
        <v>802824019</v>
      </c>
      <c r="AJ205" s="11" t="s">
        <v>189</v>
      </c>
      <c r="AK205" s="11"/>
      <c r="AL205" s="11"/>
      <c r="AM205" s="12" t="s">
        <v>64</v>
      </c>
      <c r="AN205" s="11" t="s">
        <v>115</v>
      </c>
      <c r="AO205" s="11" t="s">
        <v>1520</v>
      </c>
      <c r="AP205" s="11" t="s">
        <v>1497</v>
      </c>
      <c r="AQ205" s="3">
        <v>45562</v>
      </c>
      <c r="AR205" s="11">
        <v>78000</v>
      </c>
      <c r="AS205" s="11" t="s">
        <v>47</v>
      </c>
      <c r="AT205" s="11" t="s">
        <v>1077</v>
      </c>
      <c r="AU205" s="2">
        <v>46172</v>
      </c>
    </row>
    <row r="206" spans="1:47" x14ac:dyDescent="0.25">
      <c r="A206" s="10" t="s">
        <v>1121</v>
      </c>
      <c r="B206" s="11" t="s">
        <v>1202</v>
      </c>
      <c r="C206" s="11">
        <v>0</v>
      </c>
      <c r="D206" s="11" t="s">
        <v>108</v>
      </c>
      <c r="E206" s="11"/>
      <c r="F206" s="11"/>
      <c r="G206" s="11" t="s">
        <v>52</v>
      </c>
      <c r="H206" s="11">
        <v>12</v>
      </c>
      <c r="I206" s="11" t="s">
        <v>1283</v>
      </c>
      <c r="J206" s="11" t="s">
        <v>42</v>
      </c>
      <c r="K206" s="11">
        <f>Table1[[#This Row],[ENR]]-Table1[[#This Row],[CREDIT]]</f>
        <v>-38863.31</v>
      </c>
      <c r="L206" s="43">
        <v>140000</v>
      </c>
      <c r="M206" s="30">
        <v>101136.69</v>
      </c>
      <c r="N206" s="44" t="s">
        <v>43</v>
      </c>
      <c r="O206" s="29">
        <v>101136.69</v>
      </c>
      <c r="P206" s="29">
        <v>95200.14</v>
      </c>
      <c r="Q206" s="29">
        <v>13730</v>
      </c>
      <c r="R206" s="29">
        <v>6920</v>
      </c>
      <c r="S206" s="11" t="s">
        <v>58</v>
      </c>
      <c r="T206" s="11" t="s">
        <v>13</v>
      </c>
      <c r="U206" s="11">
        <v>14000</v>
      </c>
      <c r="V206" s="29">
        <f>Table1[[#This Row],[STAB]]-Table1[[#This Row],[AMOUNT]]</f>
        <v>-7080</v>
      </c>
      <c r="W206" s="11" t="s">
        <v>2172</v>
      </c>
      <c r="X206" s="11" t="s">
        <v>451</v>
      </c>
      <c r="Y206" s="11" t="s">
        <v>1085</v>
      </c>
      <c r="Z206" s="11" t="s">
        <v>88</v>
      </c>
      <c r="AA206" s="11" t="s">
        <v>86</v>
      </c>
      <c r="AB206" s="11" t="s">
        <v>3139</v>
      </c>
      <c r="AC206" s="11" t="s">
        <v>1364</v>
      </c>
      <c r="AD206" s="11" t="s">
        <v>1445</v>
      </c>
      <c r="AE206" s="11" t="s">
        <v>104</v>
      </c>
      <c r="AF206" s="11" t="s">
        <v>54</v>
      </c>
      <c r="AG206" s="11" t="s">
        <v>109</v>
      </c>
      <c r="AH206" s="11" t="s">
        <v>196</v>
      </c>
      <c r="AI206" s="11">
        <v>802555024</v>
      </c>
      <c r="AJ206" s="11" t="s">
        <v>99</v>
      </c>
      <c r="AK206" s="11"/>
      <c r="AL206" s="11"/>
      <c r="AM206" s="12" t="s">
        <v>64</v>
      </c>
      <c r="AN206" s="11" t="s">
        <v>115</v>
      </c>
      <c r="AO206" s="11" t="s">
        <v>1651</v>
      </c>
      <c r="AP206" s="11" t="s">
        <v>1645</v>
      </c>
      <c r="AQ206" s="3">
        <v>46148</v>
      </c>
      <c r="AR206" s="11">
        <v>3000</v>
      </c>
      <c r="AS206" s="11" t="s">
        <v>47</v>
      </c>
      <c r="AT206" s="11" t="s">
        <v>1077</v>
      </c>
      <c r="AU206" s="2">
        <v>46172</v>
      </c>
    </row>
    <row r="207" spans="1:47" x14ac:dyDescent="0.25">
      <c r="A207" s="10" t="s">
        <v>1150</v>
      </c>
      <c r="B207" s="11" t="s">
        <v>1231</v>
      </c>
      <c r="C207" s="11">
        <v>0</v>
      </c>
      <c r="D207" s="11" t="s">
        <v>108</v>
      </c>
      <c r="E207" s="11"/>
      <c r="F207" s="11"/>
      <c r="G207" s="11" t="s">
        <v>52</v>
      </c>
      <c r="H207" s="11">
        <v>12</v>
      </c>
      <c r="I207" s="11" t="s">
        <v>1312</v>
      </c>
      <c r="J207" s="11" t="s">
        <v>336</v>
      </c>
      <c r="K207" s="11">
        <f>Table1[[#This Row],[ENR]]-Table1[[#This Row],[CREDIT]]</f>
        <v>-192112.25</v>
      </c>
      <c r="L207" s="43">
        <v>290000</v>
      </c>
      <c r="M207" s="30">
        <v>97887.75</v>
      </c>
      <c r="N207" s="44" t="s">
        <v>43</v>
      </c>
      <c r="O207" s="29">
        <v>97887.75</v>
      </c>
      <c r="P207" s="29">
        <v>88971.63</v>
      </c>
      <c r="Q207" s="29">
        <v>13890</v>
      </c>
      <c r="R207" s="29">
        <v>5400</v>
      </c>
      <c r="S207" s="11" t="s">
        <v>58</v>
      </c>
      <c r="T207" s="11" t="s">
        <v>14</v>
      </c>
      <c r="U207" s="29">
        <v>5500</v>
      </c>
      <c r="V207" s="29">
        <f>Table1[[#This Row],[STAB]]-Table1[[#This Row],[AMOUNT]]</f>
        <v>-100</v>
      </c>
      <c r="W207" s="11" t="s">
        <v>3169</v>
      </c>
      <c r="X207" s="11" t="s">
        <v>451</v>
      </c>
      <c r="Y207" s="11" t="s">
        <v>1085</v>
      </c>
      <c r="Z207" s="11" t="s">
        <v>88</v>
      </c>
      <c r="AA207" s="11" t="s">
        <v>86</v>
      </c>
      <c r="AB207" s="11" t="s">
        <v>3139</v>
      </c>
      <c r="AC207" s="11" t="s">
        <v>1393</v>
      </c>
      <c r="AD207" s="11" t="s">
        <v>1474</v>
      </c>
      <c r="AE207" s="11" t="s">
        <v>746</v>
      </c>
      <c r="AF207" s="11" t="s">
        <v>53</v>
      </c>
      <c r="AG207" s="11" t="s">
        <v>3469</v>
      </c>
      <c r="AH207" s="11" t="s">
        <v>752</v>
      </c>
      <c r="AI207" s="11">
        <v>802241455</v>
      </c>
      <c r="AJ207" s="11" t="s">
        <v>191</v>
      </c>
      <c r="AK207" s="11"/>
      <c r="AL207" s="11"/>
      <c r="AM207" s="12" t="s">
        <v>64</v>
      </c>
      <c r="AN207" s="11"/>
      <c r="AO207" s="11"/>
      <c r="AP207" s="11"/>
      <c r="AQ207" s="3">
        <v>46093</v>
      </c>
      <c r="AR207" s="11">
        <v>1500</v>
      </c>
      <c r="AS207" s="11" t="s">
        <v>47</v>
      </c>
      <c r="AT207" s="11" t="s">
        <v>1077</v>
      </c>
      <c r="AU207" s="2">
        <v>46172</v>
      </c>
    </row>
    <row r="208" spans="1:47" x14ac:dyDescent="0.25">
      <c r="A208" s="10" t="s">
        <v>1120</v>
      </c>
      <c r="B208" s="11" t="s">
        <v>1201</v>
      </c>
      <c r="C208" s="11">
        <v>0</v>
      </c>
      <c r="D208" s="11" t="s">
        <v>108</v>
      </c>
      <c r="E208" s="11"/>
      <c r="F208" s="11"/>
      <c r="G208" s="11" t="s">
        <v>52</v>
      </c>
      <c r="H208" s="11">
        <v>12</v>
      </c>
      <c r="I208" s="11" t="s">
        <v>1282</v>
      </c>
      <c r="J208" s="11" t="s">
        <v>42</v>
      </c>
      <c r="K208" s="11">
        <f>Table1[[#This Row],[ENR]]-Table1[[#This Row],[CREDIT]]</f>
        <v>6900.570000000007</v>
      </c>
      <c r="L208" s="43">
        <v>90000</v>
      </c>
      <c r="M208" s="30">
        <v>96900.57</v>
      </c>
      <c r="N208" s="44" t="s">
        <v>43</v>
      </c>
      <c r="O208" s="29">
        <v>96900.57</v>
      </c>
      <c r="P208" s="29">
        <v>89453.51</v>
      </c>
      <c r="Q208" s="29">
        <v>22720</v>
      </c>
      <c r="R208" s="29">
        <v>4610</v>
      </c>
      <c r="S208" s="11" t="s">
        <v>58</v>
      </c>
      <c r="T208" s="11" t="s">
        <v>13</v>
      </c>
      <c r="U208" s="11">
        <v>96900.57</v>
      </c>
      <c r="V208" s="29">
        <f>Table1[[#This Row],[STAB]]-Table1[[#This Row],[AMOUNT]]</f>
        <v>-92290.57</v>
      </c>
      <c r="W208" s="11" t="s">
        <v>1645</v>
      </c>
      <c r="X208" s="11" t="s">
        <v>451</v>
      </c>
      <c r="Y208" s="11" t="s">
        <v>760</v>
      </c>
      <c r="Z208" s="11" t="s">
        <v>88</v>
      </c>
      <c r="AA208" s="11" t="s">
        <v>86</v>
      </c>
      <c r="AB208" s="11" t="s">
        <v>3139</v>
      </c>
      <c r="AC208" s="11" t="s">
        <v>1363</v>
      </c>
      <c r="AD208" s="11" t="s">
        <v>1444</v>
      </c>
      <c r="AE208" s="11" t="s">
        <v>104</v>
      </c>
      <c r="AF208" s="11" t="s">
        <v>54</v>
      </c>
      <c r="AG208" s="11" t="s">
        <v>109</v>
      </c>
      <c r="AH208" s="11" t="s">
        <v>196</v>
      </c>
      <c r="AI208" s="11">
        <v>802555024</v>
      </c>
      <c r="AJ208" s="11" t="s">
        <v>99</v>
      </c>
      <c r="AK208" s="11"/>
      <c r="AL208" s="11"/>
      <c r="AM208" s="12" t="s">
        <v>64</v>
      </c>
      <c r="AN208" s="11" t="s">
        <v>115</v>
      </c>
      <c r="AO208" s="11" t="s">
        <v>1647</v>
      </c>
      <c r="AP208" s="11" t="s">
        <v>1645</v>
      </c>
      <c r="AQ208" s="3">
        <v>46112</v>
      </c>
      <c r="AR208" s="11">
        <v>100</v>
      </c>
      <c r="AS208" s="11" t="s">
        <v>47</v>
      </c>
      <c r="AT208" s="11" t="s">
        <v>1077</v>
      </c>
      <c r="AU208" s="2">
        <v>46172</v>
      </c>
    </row>
    <row r="209" spans="1:47" x14ac:dyDescent="0.25">
      <c r="A209" s="10" t="s">
        <v>1103</v>
      </c>
      <c r="B209" s="11" t="s">
        <v>1184</v>
      </c>
      <c r="C209" s="11">
        <v>0</v>
      </c>
      <c r="D209" s="11" t="s">
        <v>108</v>
      </c>
      <c r="E209" s="11"/>
      <c r="F209" s="11"/>
      <c r="G209" s="11" t="s">
        <v>52</v>
      </c>
      <c r="H209" s="11">
        <v>12</v>
      </c>
      <c r="I209" s="11" t="s">
        <v>1265</v>
      </c>
      <c r="J209" s="11" t="s">
        <v>42</v>
      </c>
      <c r="K209" s="11">
        <f>Table1[[#This Row],[ENR]]-Table1[[#This Row],[CREDIT]]</f>
        <v>-4017.9900000000052</v>
      </c>
      <c r="L209" s="43">
        <v>100000</v>
      </c>
      <c r="M209" s="30">
        <v>95982.01</v>
      </c>
      <c r="N209" s="44">
        <v>38813.83</v>
      </c>
      <c r="O209" s="29">
        <v>57168.18</v>
      </c>
      <c r="P209" s="29">
        <v>49185.17</v>
      </c>
      <c r="Q209" s="29">
        <v>14050</v>
      </c>
      <c r="R209" s="29">
        <v>5850</v>
      </c>
      <c r="S209" s="11" t="s">
        <v>44</v>
      </c>
      <c r="T209" s="11" t="s">
        <v>45</v>
      </c>
      <c r="U209" s="11">
        <v>0</v>
      </c>
      <c r="V209" s="29">
        <f>Table1[[#This Row],[STAB]]-Table1[[#This Row],[AMOUNT]]</f>
        <v>5850</v>
      </c>
      <c r="W209" s="11">
        <v>0</v>
      </c>
      <c r="X209" s="11" t="s">
        <v>83</v>
      </c>
      <c r="Y209" s="11">
        <v>0</v>
      </c>
      <c r="Z209" s="11" t="s">
        <v>88</v>
      </c>
      <c r="AA209" s="11" t="s">
        <v>86</v>
      </c>
      <c r="AB209" s="11" t="s">
        <v>3140</v>
      </c>
      <c r="AC209" s="11" t="s">
        <v>1346</v>
      </c>
      <c r="AD209" s="11" t="s">
        <v>1427</v>
      </c>
      <c r="AE209" s="11" t="s">
        <v>418</v>
      </c>
      <c r="AF209" s="11" t="s">
        <v>54</v>
      </c>
      <c r="AG209" s="11" t="s">
        <v>1658</v>
      </c>
      <c r="AH209" s="11" t="s">
        <v>85</v>
      </c>
      <c r="AI209" s="11">
        <v>801772794</v>
      </c>
      <c r="AJ209" s="11" t="s">
        <v>192</v>
      </c>
      <c r="AK209" s="11"/>
      <c r="AL209" s="11"/>
      <c r="AM209" s="12" t="s">
        <v>64</v>
      </c>
      <c r="AN209" s="11" t="s">
        <v>115</v>
      </c>
      <c r="AO209" s="11" t="s">
        <v>2471</v>
      </c>
      <c r="AP209" s="11" t="s">
        <v>2296</v>
      </c>
      <c r="AQ209" s="3">
        <v>45847</v>
      </c>
      <c r="AR209" s="11">
        <v>1310</v>
      </c>
      <c r="AS209" s="11" t="s">
        <v>47</v>
      </c>
      <c r="AT209" s="11" t="s">
        <v>1077</v>
      </c>
      <c r="AU209" s="2">
        <v>46172</v>
      </c>
    </row>
    <row r="210" spans="1:47" x14ac:dyDescent="0.25">
      <c r="A210" s="10" t="s">
        <v>1118</v>
      </c>
      <c r="B210" s="11" t="s">
        <v>1199</v>
      </c>
      <c r="C210" s="11">
        <v>0</v>
      </c>
      <c r="D210" s="11" t="s">
        <v>108</v>
      </c>
      <c r="E210" s="11"/>
      <c r="F210" s="11"/>
      <c r="G210" s="11" t="s">
        <v>52</v>
      </c>
      <c r="H210" s="11">
        <v>12</v>
      </c>
      <c r="I210" s="11" t="s">
        <v>1280</v>
      </c>
      <c r="J210" s="11" t="s">
        <v>42</v>
      </c>
      <c r="K210" s="11">
        <f>Table1[[#This Row],[ENR]]-Table1[[#This Row],[CREDIT]]</f>
        <v>7989.75</v>
      </c>
      <c r="L210" s="43">
        <v>80000</v>
      </c>
      <c r="M210" s="30">
        <v>87989.75</v>
      </c>
      <c r="N210" s="44" t="s">
        <v>43</v>
      </c>
      <c r="O210" s="29">
        <v>87989.75</v>
      </c>
      <c r="P210" s="29">
        <v>79383.19</v>
      </c>
      <c r="Q210" s="29">
        <v>21160</v>
      </c>
      <c r="R210" s="29">
        <v>7370</v>
      </c>
      <c r="S210" s="11" t="s">
        <v>58</v>
      </c>
      <c r="T210" s="11" t="s">
        <v>14</v>
      </c>
      <c r="U210" s="29">
        <v>7370</v>
      </c>
      <c r="V210" s="29">
        <f>Table1[[#This Row],[STAB]]-Table1[[#This Row],[AMOUNT]]</f>
        <v>0</v>
      </c>
      <c r="W210" s="11">
        <v>0</v>
      </c>
      <c r="X210" s="11" t="s">
        <v>761</v>
      </c>
      <c r="Y210" s="11" t="s">
        <v>760</v>
      </c>
      <c r="Z210" s="11" t="s">
        <v>88</v>
      </c>
      <c r="AA210" s="11" t="s">
        <v>86</v>
      </c>
      <c r="AB210" s="11" t="s">
        <v>3140</v>
      </c>
      <c r="AC210" s="11" t="s">
        <v>1361</v>
      </c>
      <c r="AD210" s="11" t="s">
        <v>1442</v>
      </c>
      <c r="AE210" s="11" t="s">
        <v>421</v>
      </c>
      <c r="AF210" s="11" t="s">
        <v>54</v>
      </c>
      <c r="AG210" s="11" t="s">
        <v>119</v>
      </c>
      <c r="AH210" s="11" t="s">
        <v>626</v>
      </c>
      <c r="AI210" s="11">
        <v>802663344</v>
      </c>
      <c r="AJ210" s="11" t="s">
        <v>191</v>
      </c>
      <c r="AK210" s="11"/>
      <c r="AL210" s="11"/>
      <c r="AM210" s="12" t="s">
        <v>64</v>
      </c>
      <c r="AN210" s="11" t="s">
        <v>115</v>
      </c>
      <c r="AO210" s="11" t="s">
        <v>2446</v>
      </c>
      <c r="AP210" s="11" t="s">
        <v>2294</v>
      </c>
      <c r="AQ210" s="3">
        <v>45448</v>
      </c>
      <c r="AR210" s="11">
        <v>5680</v>
      </c>
      <c r="AS210" s="11" t="s">
        <v>47</v>
      </c>
      <c r="AT210" s="11" t="s">
        <v>1077</v>
      </c>
      <c r="AU210" s="2">
        <v>46172</v>
      </c>
    </row>
    <row r="211" spans="1:47" x14ac:dyDescent="0.25">
      <c r="A211" s="10" t="s">
        <v>1116</v>
      </c>
      <c r="B211" s="11" t="s">
        <v>1197</v>
      </c>
      <c r="C211" s="11">
        <v>0</v>
      </c>
      <c r="D211" s="11" t="s">
        <v>108</v>
      </c>
      <c r="E211" s="11"/>
      <c r="F211" s="11" t="s">
        <v>440</v>
      </c>
      <c r="G211" s="11" t="s">
        <v>52</v>
      </c>
      <c r="H211" s="11">
        <v>12</v>
      </c>
      <c r="I211" s="11" t="s">
        <v>1278</v>
      </c>
      <c r="J211" s="11" t="s">
        <v>42</v>
      </c>
      <c r="K211" s="11">
        <f>Table1[[#This Row],[ENR]]-Table1[[#This Row],[CREDIT]]</f>
        <v>6256.0899999999965</v>
      </c>
      <c r="L211" s="43">
        <v>80000</v>
      </c>
      <c r="M211" s="30">
        <v>86256.09</v>
      </c>
      <c r="N211" s="44" t="s">
        <v>43</v>
      </c>
      <c r="O211" s="29">
        <v>86256.09</v>
      </c>
      <c r="P211" s="29">
        <v>77597.38</v>
      </c>
      <c r="Q211" s="29">
        <v>19360</v>
      </c>
      <c r="R211" s="29">
        <v>5720</v>
      </c>
      <c r="S211" s="11" t="s">
        <v>58</v>
      </c>
      <c r="T211" s="11" t="s">
        <v>13</v>
      </c>
      <c r="U211" s="11">
        <v>19360</v>
      </c>
      <c r="V211" s="29">
        <f>Table1[[#This Row],[STAB]]-Table1[[#This Row],[AMOUNT]]</f>
        <v>-13640</v>
      </c>
      <c r="W211" s="11" t="s">
        <v>2292</v>
      </c>
      <c r="X211" s="11" t="s">
        <v>451</v>
      </c>
      <c r="Y211" s="11" t="s">
        <v>760</v>
      </c>
      <c r="Z211" s="11" t="s">
        <v>88</v>
      </c>
      <c r="AA211" s="11" t="s">
        <v>86</v>
      </c>
      <c r="AB211" s="11" t="s">
        <v>3139</v>
      </c>
      <c r="AC211" s="11" t="s">
        <v>1359</v>
      </c>
      <c r="AD211" s="11" t="s">
        <v>1440</v>
      </c>
      <c r="AE211" s="11" t="s">
        <v>100</v>
      </c>
      <c r="AF211" s="11" t="s">
        <v>54</v>
      </c>
      <c r="AG211" s="11" t="s">
        <v>60</v>
      </c>
      <c r="AH211" s="11" t="s">
        <v>193</v>
      </c>
      <c r="AI211" s="11">
        <v>802824019</v>
      </c>
      <c r="AJ211" s="11" t="s">
        <v>189</v>
      </c>
      <c r="AK211" s="11"/>
      <c r="AL211" s="11"/>
      <c r="AM211" s="12" t="s">
        <v>64</v>
      </c>
      <c r="AN211" s="11" t="s">
        <v>219</v>
      </c>
      <c r="AO211" s="11" t="s">
        <v>1510</v>
      </c>
      <c r="AP211" s="11" t="s">
        <v>1497</v>
      </c>
      <c r="AQ211" s="3">
        <v>45940</v>
      </c>
      <c r="AR211" s="11">
        <v>10000</v>
      </c>
      <c r="AS211" s="11" t="s">
        <v>47</v>
      </c>
      <c r="AT211" s="11" t="s">
        <v>1077</v>
      </c>
      <c r="AU211" s="2">
        <v>46172</v>
      </c>
    </row>
    <row r="212" spans="1:47" x14ac:dyDescent="0.25">
      <c r="A212" s="10" t="s">
        <v>1115</v>
      </c>
      <c r="B212" s="11" t="s">
        <v>1196</v>
      </c>
      <c r="C212" s="11">
        <v>0</v>
      </c>
      <c r="D212" s="11" t="s">
        <v>108</v>
      </c>
      <c r="E212" s="11"/>
      <c r="F212" s="11" t="s">
        <v>440</v>
      </c>
      <c r="G212" s="11" t="s">
        <v>52</v>
      </c>
      <c r="H212" s="11">
        <v>12</v>
      </c>
      <c r="I212" s="11" t="s">
        <v>1277</v>
      </c>
      <c r="J212" s="11" t="s">
        <v>42</v>
      </c>
      <c r="K212" s="11">
        <f>Table1[[#This Row],[ENR]]-Table1[[#This Row],[CREDIT]]</f>
        <v>4898.4600000000064</v>
      </c>
      <c r="L212" s="43">
        <v>80000</v>
      </c>
      <c r="M212" s="30">
        <v>84898.46</v>
      </c>
      <c r="N212" s="44" t="s">
        <v>43</v>
      </c>
      <c r="O212" s="29">
        <v>84898.46</v>
      </c>
      <c r="P212" s="29">
        <v>76704.2</v>
      </c>
      <c r="Q212" s="29">
        <v>17830</v>
      </c>
      <c r="R212" s="29">
        <v>4400</v>
      </c>
      <c r="S212" s="11" t="s">
        <v>58</v>
      </c>
      <c r="T212" s="11" t="s">
        <v>13</v>
      </c>
      <c r="U212" s="11">
        <v>54898</v>
      </c>
      <c r="V212" s="29">
        <f>Table1[[#This Row],[STAB]]-Table1[[#This Row],[AMOUNT]]</f>
        <v>-50498</v>
      </c>
      <c r="W212" s="11" t="s">
        <v>3129</v>
      </c>
      <c r="X212" s="11" t="s">
        <v>451</v>
      </c>
      <c r="Y212" s="11" t="s">
        <v>760</v>
      </c>
      <c r="Z212" s="11" t="s">
        <v>88</v>
      </c>
      <c r="AA212" s="11" t="s">
        <v>86</v>
      </c>
      <c r="AB212" s="11" t="s">
        <v>3139</v>
      </c>
      <c r="AC212" s="11" t="s">
        <v>1358</v>
      </c>
      <c r="AD212" s="11" t="s">
        <v>1439</v>
      </c>
      <c r="AE212" s="11" t="s">
        <v>603</v>
      </c>
      <c r="AF212" s="11" t="s">
        <v>53</v>
      </c>
      <c r="AG212" s="11" t="s">
        <v>89</v>
      </c>
      <c r="AH212" s="11" t="s">
        <v>193</v>
      </c>
      <c r="AI212" s="11">
        <v>802824019</v>
      </c>
      <c r="AJ212" s="11" t="s">
        <v>189</v>
      </c>
      <c r="AK212" s="11"/>
      <c r="AL212" s="11"/>
      <c r="AM212" s="12" t="s">
        <v>64</v>
      </c>
      <c r="AN212" s="11"/>
      <c r="AO212" s="11"/>
      <c r="AP212" s="11"/>
      <c r="AQ212" s="3">
        <v>45912</v>
      </c>
      <c r="AR212" s="11">
        <v>3671</v>
      </c>
      <c r="AS212" s="11" t="s">
        <v>47</v>
      </c>
      <c r="AT212" s="11" t="s">
        <v>1077</v>
      </c>
      <c r="AU212" s="2">
        <v>46172</v>
      </c>
    </row>
    <row r="213" spans="1:47" x14ac:dyDescent="0.25">
      <c r="A213" s="10" t="s">
        <v>1166</v>
      </c>
      <c r="B213" s="11" t="s">
        <v>1247</v>
      </c>
      <c r="C213" s="11">
        <v>0</v>
      </c>
      <c r="D213" s="11" t="s">
        <v>108</v>
      </c>
      <c r="E213" s="11"/>
      <c r="F213" s="11"/>
      <c r="G213" s="11" t="s">
        <v>52</v>
      </c>
      <c r="H213" s="11">
        <v>12</v>
      </c>
      <c r="I213" s="11" t="s">
        <v>1328</v>
      </c>
      <c r="J213" s="11" t="s">
        <v>42</v>
      </c>
      <c r="K213" s="11">
        <f>Table1[[#This Row],[ENR]]-Table1[[#This Row],[CREDIT]]</f>
        <v>4159.0899999999965</v>
      </c>
      <c r="L213" s="43">
        <v>80000</v>
      </c>
      <c r="M213" s="30">
        <v>84159.09</v>
      </c>
      <c r="N213" s="44">
        <v>4277.8599999999997</v>
      </c>
      <c r="O213" s="29">
        <v>79881.23</v>
      </c>
      <c r="P213" s="29">
        <v>70293.81</v>
      </c>
      <c r="Q213" s="29">
        <v>14810</v>
      </c>
      <c r="R213" s="29">
        <v>6150</v>
      </c>
      <c r="S213" s="11" t="s">
        <v>58</v>
      </c>
      <c r="T213" s="11" t="s">
        <v>13</v>
      </c>
      <c r="U213" s="29">
        <v>16150</v>
      </c>
      <c r="V213" s="29">
        <f>Table1[[#This Row],[STAB]]-Table1[[#This Row],[AMOUNT]]</f>
        <v>-10000</v>
      </c>
      <c r="W213" s="11" t="s">
        <v>1667</v>
      </c>
      <c r="X213" s="11" t="s">
        <v>451</v>
      </c>
      <c r="Y213" s="11" t="s">
        <v>760</v>
      </c>
      <c r="Z213" s="11" t="s">
        <v>88</v>
      </c>
      <c r="AA213" s="11" t="s">
        <v>86</v>
      </c>
      <c r="AB213" s="11" t="s">
        <v>3139</v>
      </c>
      <c r="AC213" s="11" t="s">
        <v>1409</v>
      </c>
      <c r="AD213" s="11" t="s">
        <v>1490</v>
      </c>
      <c r="AE213" s="11" t="s">
        <v>104</v>
      </c>
      <c r="AF213" s="11" t="s">
        <v>54</v>
      </c>
      <c r="AG213" s="11" t="s">
        <v>109</v>
      </c>
      <c r="AH213" s="11" t="s">
        <v>196</v>
      </c>
      <c r="AI213" s="11">
        <v>802555024</v>
      </c>
      <c r="AJ213" s="11" t="s">
        <v>99</v>
      </c>
      <c r="AK213" s="11"/>
      <c r="AL213" s="11"/>
      <c r="AM213" s="12" t="s">
        <v>64</v>
      </c>
      <c r="AN213" s="11" t="s">
        <v>115</v>
      </c>
      <c r="AO213" s="11" t="s">
        <v>1503</v>
      </c>
      <c r="AP213" s="11" t="s">
        <v>1497</v>
      </c>
      <c r="AQ213" s="3">
        <v>45598</v>
      </c>
      <c r="AR213" s="11">
        <v>9470</v>
      </c>
      <c r="AS213" s="11" t="s">
        <v>47</v>
      </c>
      <c r="AT213" s="11" t="s">
        <v>1077</v>
      </c>
      <c r="AU213" s="2">
        <v>46172</v>
      </c>
    </row>
    <row r="214" spans="1:47" x14ac:dyDescent="0.25">
      <c r="A214" s="10" t="s">
        <v>1157</v>
      </c>
      <c r="B214" s="11" t="s">
        <v>1238</v>
      </c>
      <c r="C214" s="11">
        <v>0</v>
      </c>
      <c r="D214" s="11" t="s">
        <v>108</v>
      </c>
      <c r="E214" s="11"/>
      <c r="F214" s="11"/>
      <c r="G214" s="11" t="s">
        <v>52</v>
      </c>
      <c r="H214" s="11">
        <v>12</v>
      </c>
      <c r="I214" s="11" t="s">
        <v>1319</v>
      </c>
      <c r="J214" s="11" t="s">
        <v>42</v>
      </c>
      <c r="K214" s="11">
        <f>Table1[[#This Row],[ENR]]-Table1[[#This Row],[CREDIT]]</f>
        <v>9099.2799999999988</v>
      </c>
      <c r="L214" s="43">
        <v>75000</v>
      </c>
      <c r="M214" s="30">
        <v>84099.28</v>
      </c>
      <c r="N214" s="44" t="s">
        <v>43</v>
      </c>
      <c r="O214" s="29">
        <v>84099.28</v>
      </c>
      <c r="P214" s="29">
        <v>70732.47</v>
      </c>
      <c r="Q214" s="29">
        <v>26190</v>
      </c>
      <c r="R214" s="29">
        <v>9970</v>
      </c>
      <c r="S214" s="11" t="s">
        <v>44</v>
      </c>
      <c r="T214" s="11" t="s">
        <v>45</v>
      </c>
      <c r="U214" s="11">
        <v>0</v>
      </c>
      <c r="V214" s="29">
        <f>Table1[[#This Row],[STAB]]-Table1[[#This Row],[AMOUNT]]</f>
        <v>9970</v>
      </c>
      <c r="W214" s="11">
        <v>0</v>
      </c>
      <c r="X214" s="11" t="s">
        <v>83</v>
      </c>
      <c r="Y214" s="11" t="s">
        <v>759</v>
      </c>
      <c r="Z214" s="11" t="s">
        <v>88</v>
      </c>
      <c r="AA214" s="11" t="s">
        <v>86</v>
      </c>
      <c r="AB214" s="11" t="s">
        <v>3139</v>
      </c>
      <c r="AC214" s="11" t="s">
        <v>1400</v>
      </c>
      <c r="AD214" s="11" t="s">
        <v>1481</v>
      </c>
      <c r="AE214" s="11" t="s">
        <v>1492</v>
      </c>
      <c r="AF214" s="11" t="s">
        <v>127</v>
      </c>
      <c r="AG214" s="11" t="s">
        <v>94</v>
      </c>
      <c r="AH214" s="11" t="s">
        <v>628</v>
      </c>
      <c r="AI214" s="11">
        <v>802631601</v>
      </c>
      <c r="AJ214" s="11" t="s">
        <v>99</v>
      </c>
      <c r="AK214" s="11"/>
      <c r="AL214" s="11"/>
      <c r="AM214" s="12" t="s">
        <v>46</v>
      </c>
      <c r="AN214" s="11"/>
      <c r="AO214" s="11"/>
      <c r="AP214" s="11"/>
      <c r="AQ214" s="3">
        <v>46117</v>
      </c>
      <c r="AR214" s="11">
        <v>7130</v>
      </c>
      <c r="AS214" s="11" t="s">
        <v>430</v>
      </c>
      <c r="AT214" s="11" t="s">
        <v>1077</v>
      </c>
      <c r="AU214" s="2">
        <v>46172</v>
      </c>
    </row>
    <row r="215" spans="1:47" x14ac:dyDescent="0.25">
      <c r="A215" s="10" t="s">
        <v>1159</v>
      </c>
      <c r="B215" s="11" t="s">
        <v>1240</v>
      </c>
      <c r="C215" s="11">
        <v>0</v>
      </c>
      <c r="D215" s="11" t="s">
        <v>108</v>
      </c>
      <c r="E215" s="11"/>
      <c r="F215" s="11"/>
      <c r="G215" s="11" t="s">
        <v>90</v>
      </c>
      <c r="H215" s="11">
        <v>12</v>
      </c>
      <c r="I215" s="11" t="s">
        <v>1321</v>
      </c>
      <c r="J215" s="11" t="s">
        <v>42</v>
      </c>
      <c r="K215" s="11">
        <f>Table1[[#This Row],[ENR]]-Table1[[#This Row],[CREDIT]]</f>
        <v>-13291.850000000006</v>
      </c>
      <c r="L215" s="43">
        <v>92000</v>
      </c>
      <c r="M215" s="30">
        <v>78708.149999999994</v>
      </c>
      <c r="N215" s="44" t="s">
        <v>43</v>
      </c>
      <c r="O215" s="29">
        <v>78708.149999999994</v>
      </c>
      <c r="P215" s="29">
        <v>73356.240000000005</v>
      </c>
      <c r="Q215" s="29">
        <v>14950</v>
      </c>
      <c r="R215" s="29">
        <v>9470</v>
      </c>
      <c r="S215" s="11" t="s">
        <v>58</v>
      </c>
      <c r="T215" s="11" t="s">
        <v>13</v>
      </c>
      <c r="U215" s="11">
        <v>78708.149999999994</v>
      </c>
      <c r="V215" s="29">
        <f>Table1[[#This Row],[STAB]]-Table1[[#This Row],[AMOUNT]]</f>
        <v>-69238.149999999994</v>
      </c>
      <c r="W215" s="11">
        <v>0</v>
      </c>
      <c r="X215" s="11" t="s">
        <v>761</v>
      </c>
      <c r="Y215" s="11" t="s">
        <v>760</v>
      </c>
      <c r="Z215" s="11" t="s">
        <v>88</v>
      </c>
      <c r="AA215" s="11" t="s">
        <v>86</v>
      </c>
      <c r="AB215" s="11" t="s">
        <v>3139</v>
      </c>
      <c r="AC215" s="11" t="s">
        <v>1402</v>
      </c>
      <c r="AD215" s="11" t="s">
        <v>1483</v>
      </c>
      <c r="AE215" s="11" t="s">
        <v>746</v>
      </c>
      <c r="AF215" s="11" t="s">
        <v>53</v>
      </c>
      <c r="AG215" s="11" t="s">
        <v>3469</v>
      </c>
      <c r="AH215" s="11" t="s">
        <v>752</v>
      </c>
      <c r="AI215" s="11">
        <v>802241455</v>
      </c>
      <c r="AJ215" s="11" t="s">
        <v>191</v>
      </c>
      <c r="AK215" s="11"/>
      <c r="AL215" s="11"/>
      <c r="AM215" s="12" t="s">
        <v>64</v>
      </c>
      <c r="AN215" s="11"/>
      <c r="AO215" s="11"/>
      <c r="AP215" s="11"/>
      <c r="AQ215" s="3">
        <v>45923</v>
      </c>
      <c r="AR215" s="11">
        <v>47000</v>
      </c>
      <c r="AS215" s="11" t="s">
        <v>1493</v>
      </c>
      <c r="AT215" s="11" t="s">
        <v>1077</v>
      </c>
      <c r="AU215" s="2">
        <v>46172</v>
      </c>
    </row>
    <row r="216" spans="1:47" x14ac:dyDescent="0.25">
      <c r="A216" s="10" t="s">
        <v>1156</v>
      </c>
      <c r="B216" s="11" t="s">
        <v>1237</v>
      </c>
      <c r="C216" s="11">
        <v>0</v>
      </c>
      <c r="D216" s="11" t="s">
        <v>108</v>
      </c>
      <c r="E216" s="11"/>
      <c r="F216" s="11"/>
      <c r="G216" s="11" t="s">
        <v>52</v>
      </c>
      <c r="H216" s="11">
        <v>12</v>
      </c>
      <c r="I216" s="11" t="s">
        <v>1318</v>
      </c>
      <c r="J216" s="11" t="s">
        <v>42</v>
      </c>
      <c r="K216" s="11">
        <f>Table1[[#This Row],[ENR]]-Table1[[#This Row],[CREDIT]]</f>
        <v>6875.679999999993</v>
      </c>
      <c r="L216" s="43">
        <v>70000</v>
      </c>
      <c r="M216" s="30">
        <v>76875.679999999993</v>
      </c>
      <c r="N216" s="44">
        <v>2302.98</v>
      </c>
      <c r="O216" s="29">
        <v>74572.7</v>
      </c>
      <c r="P216" s="29">
        <v>66893.02</v>
      </c>
      <c r="Q216" s="29">
        <v>20520</v>
      </c>
      <c r="R216" s="29">
        <v>6250</v>
      </c>
      <c r="S216" s="11" t="s">
        <v>58</v>
      </c>
      <c r="T216" s="11" t="s">
        <v>14</v>
      </c>
      <c r="U216" s="29">
        <v>10000</v>
      </c>
      <c r="V216" s="29">
        <f>Table1[[#This Row],[STAB]]-Table1[[#This Row],[AMOUNT]]</f>
        <v>-3750</v>
      </c>
      <c r="W216" s="11" t="s">
        <v>2294</v>
      </c>
      <c r="X216" s="11" t="s">
        <v>444</v>
      </c>
      <c r="Y216" s="11" t="s">
        <v>760</v>
      </c>
      <c r="Z216" s="11" t="s">
        <v>88</v>
      </c>
      <c r="AA216" s="11" t="s">
        <v>86</v>
      </c>
      <c r="AB216" s="11" t="s">
        <v>3140</v>
      </c>
      <c r="AC216" s="11" t="s">
        <v>1399</v>
      </c>
      <c r="AD216" s="11" t="s">
        <v>1480</v>
      </c>
      <c r="AE216" s="11" t="s">
        <v>418</v>
      </c>
      <c r="AF216" s="11" t="s">
        <v>54</v>
      </c>
      <c r="AG216" s="11" t="s">
        <v>1658</v>
      </c>
      <c r="AH216" s="11" t="s">
        <v>85</v>
      </c>
      <c r="AI216" s="11">
        <v>801772794</v>
      </c>
      <c r="AJ216" s="11" t="s">
        <v>192</v>
      </c>
      <c r="AK216" s="11"/>
      <c r="AL216" s="11"/>
      <c r="AM216" s="12" t="s">
        <v>64</v>
      </c>
      <c r="AN216" s="11"/>
      <c r="AO216" s="11"/>
      <c r="AP216" s="11"/>
      <c r="AQ216" s="3">
        <v>45758</v>
      </c>
      <c r="AR216" s="11">
        <v>9700</v>
      </c>
      <c r="AS216" s="11" t="s">
        <v>47</v>
      </c>
      <c r="AT216" s="11" t="s">
        <v>1077</v>
      </c>
      <c r="AU216" s="2">
        <v>46172</v>
      </c>
    </row>
    <row r="217" spans="1:47" x14ac:dyDescent="0.25">
      <c r="A217" s="10" t="s">
        <v>1112</v>
      </c>
      <c r="B217" s="11" t="s">
        <v>1193</v>
      </c>
      <c r="C217" s="11">
        <v>0</v>
      </c>
      <c r="D217" s="11" t="s">
        <v>108</v>
      </c>
      <c r="E217" s="11"/>
      <c r="F217" s="11"/>
      <c r="G217" s="11" t="s">
        <v>52</v>
      </c>
      <c r="H217" s="11">
        <v>12</v>
      </c>
      <c r="I217" s="11" t="s">
        <v>1274</v>
      </c>
      <c r="J217" s="11" t="s">
        <v>42</v>
      </c>
      <c r="K217" s="11">
        <f>Table1[[#This Row],[ENR]]-Table1[[#This Row],[CREDIT]]</f>
        <v>6600.4799999999959</v>
      </c>
      <c r="L217" s="43">
        <v>70000</v>
      </c>
      <c r="M217" s="30">
        <v>76600.479999999996</v>
      </c>
      <c r="N217" s="44" t="s">
        <v>43</v>
      </c>
      <c r="O217" s="29">
        <v>76600.479999999996</v>
      </c>
      <c r="P217" s="29">
        <v>67248.61</v>
      </c>
      <c r="Q217" s="29">
        <v>19630</v>
      </c>
      <c r="R217" s="29">
        <v>7440</v>
      </c>
      <c r="S217" s="11" t="s">
        <v>58</v>
      </c>
      <c r="T217" s="11" t="s">
        <v>13</v>
      </c>
      <c r="U217" s="11">
        <v>20210</v>
      </c>
      <c r="V217" s="29">
        <f>Table1[[#This Row],[STAB]]-Table1[[#This Row],[AMOUNT]]</f>
        <v>-12770</v>
      </c>
      <c r="W217" s="11" t="s">
        <v>1528</v>
      </c>
      <c r="X217" s="11" t="s">
        <v>444</v>
      </c>
      <c r="Y217" s="11" t="s">
        <v>760</v>
      </c>
      <c r="Z217" s="11" t="s">
        <v>88</v>
      </c>
      <c r="AA217" s="11" t="s">
        <v>86</v>
      </c>
      <c r="AB217" s="11" t="s">
        <v>3141</v>
      </c>
      <c r="AC217" s="11" t="s">
        <v>1355</v>
      </c>
      <c r="AD217" s="11" t="s">
        <v>1436</v>
      </c>
      <c r="AE217" s="11" t="s">
        <v>414</v>
      </c>
      <c r="AF217" s="11" t="s">
        <v>127</v>
      </c>
      <c r="AG217" s="11" t="s">
        <v>106</v>
      </c>
      <c r="AH217" s="11" t="s">
        <v>460</v>
      </c>
      <c r="AI217" s="11">
        <v>802913252</v>
      </c>
      <c r="AJ217" s="11" t="s">
        <v>190</v>
      </c>
      <c r="AK217" s="11"/>
      <c r="AL217" s="11"/>
      <c r="AM217" s="12" t="s">
        <v>64</v>
      </c>
      <c r="AN217" s="11"/>
      <c r="AO217" s="11"/>
      <c r="AP217" s="11"/>
      <c r="AQ217" s="3">
        <v>45475</v>
      </c>
      <c r="AR217" s="11">
        <v>20000</v>
      </c>
      <c r="AS217" s="11" t="s">
        <v>47</v>
      </c>
      <c r="AT217" s="11" t="s">
        <v>1077</v>
      </c>
      <c r="AU217" s="2">
        <v>46172</v>
      </c>
    </row>
    <row r="218" spans="1:47" x14ac:dyDescent="0.25">
      <c r="A218" s="10" t="s">
        <v>1110</v>
      </c>
      <c r="B218" s="11" t="s">
        <v>1191</v>
      </c>
      <c r="C218" s="11">
        <v>0</v>
      </c>
      <c r="D218" s="11" t="s">
        <v>108</v>
      </c>
      <c r="E218" s="11"/>
      <c r="F218" s="11"/>
      <c r="G218" s="11" t="s">
        <v>52</v>
      </c>
      <c r="H218" s="11">
        <v>12</v>
      </c>
      <c r="I218" s="11" t="s">
        <v>1272</v>
      </c>
      <c r="J218" s="11" t="s">
        <v>42</v>
      </c>
      <c r="K218" s="11">
        <f>Table1[[#This Row],[ENR]]-Table1[[#This Row],[CREDIT]]</f>
        <v>-60192.399999999994</v>
      </c>
      <c r="L218" s="43">
        <v>130000</v>
      </c>
      <c r="M218" s="30">
        <v>69807.600000000006</v>
      </c>
      <c r="N218" s="44" t="s">
        <v>43</v>
      </c>
      <c r="O218" s="29">
        <v>69807.600000000006</v>
      </c>
      <c r="P218" s="29">
        <v>60676.81</v>
      </c>
      <c r="Q218" s="29">
        <v>12540</v>
      </c>
      <c r="R218" s="29">
        <v>5210</v>
      </c>
      <c r="S218" s="11" t="s">
        <v>58</v>
      </c>
      <c r="T218" s="11" t="s">
        <v>13</v>
      </c>
      <c r="U218" s="11">
        <v>15000</v>
      </c>
      <c r="V218" s="29">
        <f>Table1[[#This Row],[STAB]]-Table1[[#This Row],[AMOUNT]]</f>
        <v>-9790</v>
      </c>
      <c r="W218" s="11" t="s">
        <v>2172</v>
      </c>
      <c r="X218" s="11" t="s">
        <v>451</v>
      </c>
      <c r="Y218" s="11" t="s">
        <v>760</v>
      </c>
      <c r="Z218" s="11" t="s">
        <v>88</v>
      </c>
      <c r="AA218" s="11" t="s">
        <v>86</v>
      </c>
      <c r="AB218" s="11" t="s">
        <v>3139</v>
      </c>
      <c r="AC218" s="11" t="s">
        <v>1353</v>
      </c>
      <c r="AD218" s="11" t="s">
        <v>1434</v>
      </c>
      <c r="AE218" s="11" t="s">
        <v>103</v>
      </c>
      <c r="AF218" s="11" t="s">
        <v>53</v>
      </c>
      <c r="AG218" s="11" t="s">
        <v>188</v>
      </c>
      <c r="AH218" s="11" t="s">
        <v>194</v>
      </c>
      <c r="AI218" s="11">
        <v>802823180</v>
      </c>
      <c r="AJ218" s="11" t="s">
        <v>191</v>
      </c>
      <c r="AK218" s="11"/>
      <c r="AL218" s="11"/>
      <c r="AM218" s="12" t="s">
        <v>64</v>
      </c>
      <c r="AN218" s="11" t="s">
        <v>115</v>
      </c>
      <c r="AO218" s="11" t="s">
        <v>2287</v>
      </c>
      <c r="AP218" s="11" t="s">
        <v>2172</v>
      </c>
      <c r="AQ218" s="3">
        <v>45345</v>
      </c>
      <c r="AR218" s="11">
        <v>7362.72</v>
      </c>
      <c r="AS218" s="11" t="s">
        <v>47</v>
      </c>
      <c r="AT218" s="11" t="s">
        <v>1077</v>
      </c>
      <c r="AU218" s="2">
        <v>46172</v>
      </c>
    </row>
    <row r="219" spans="1:47" x14ac:dyDescent="0.25">
      <c r="A219" s="10" t="s">
        <v>1109</v>
      </c>
      <c r="B219" s="11" t="s">
        <v>1190</v>
      </c>
      <c r="C219" s="11">
        <v>0</v>
      </c>
      <c r="D219" s="11" t="s">
        <v>108</v>
      </c>
      <c r="E219" s="11"/>
      <c r="F219" s="11"/>
      <c r="G219" s="11" t="s">
        <v>52</v>
      </c>
      <c r="H219" s="11">
        <v>12</v>
      </c>
      <c r="I219" s="11" t="s">
        <v>1271</v>
      </c>
      <c r="J219" s="11" t="s">
        <v>42</v>
      </c>
      <c r="K219" s="11">
        <f>Table1[[#This Row],[ENR]]-Table1[[#This Row],[CREDIT]]</f>
        <v>6587.3699999999953</v>
      </c>
      <c r="L219" s="43">
        <v>60000</v>
      </c>
      <c r="M219" s="30">
        <v>66587.37</v>
      </c>
      <c r="N219" s="44" t="s">
        <v>43</v>
      </c>
      <c r="O219" s="29">
        <v>66587.37</v>
      </c>
      <c r="P219" s="29">
        <v>59600.65</v>
      </c>
      <c r="Q219" s="29">
        <v>16850</v>
      </c>
      <c r="R219" s="29">
        <v>5750</v>
      </c>
      <c r="S219" s="11" t="s">
        <v>58</v>
      </c>
      <c r="T219" s="11" t="s">
        <v>14</v>
      </c>
      <c r="U219" s="29">
        <v>10550</v>
      </c>
      <c r="V219" s="29">
        <f>Table1[[#This Row],[STAB]]-Table1[[#This Row],[AMOUNT]]</f>
        <v>-4800</v>
      </c>
      <c r="W219" s="11" t="s">
        <v>2294</v>
      </c>
      <c r="X219" s="11" t="s">
        <v>444</v>
      </c>
      <c r="Y219" s="11" t="s">
        <v>760</v>
      </c>
      <c r="Z219" s="11" t="s">
        <v>88</v>
      </c>
      <c r="AA219" s="11" t="s">
        <v>86</v>
      </c>
      <c r="AB219" s="11" t="s">
        <v>3139</v>
      </c>
      <c r="AC219" s="11" t="s">
        <v>1352</v>
      </c>
      <c r="AD219" s="11" t="s">
        <v>1433</v>
      </c>
      <c r="AE219" s="11" t="s">
        <v>125</v>
      </c>
      <c r="AF219" s="11" t="s">
        <v>127</v>
      </c>
      <c r="AG219" s="11" t="s">
        <v>57</v>
      </c>
      <c r="AH219" s="11" t="s">
        <v>464</v>
      </c>
      <c r="AI219" s="11">
        <v>802852449</v>
      </c>
      <c r="AJ219" s="11" t="s">
        <v>190</v>
      </c>
      <c r="AK219" s="11"/>
      <c r="AL219" s="11"/>
      <c r="AM219" s="12" t="s">
        <v>64</v>
      </c>
      <c r="AN219" s="11" t="s">
        <v>115</v>
      </c>
      <c r="AO219" s="11" t="s">
        <v>1608</v>
      </c>
      <c r="AP219" s="11" t="s">
        <v>1528</v>
      </c>
      <c r="AQ219" s="3">
        <v>45746</v>
      </c>
      <c r="AR219" s="11">
        <v>5000</v>
      </c>
      <c r="AS219" s="11" t="s">
        <v>47</v>
      </c>
      <c r="AT219" s="11" t="s">
        <v>1077</v>
      </c>
      <c r="AU219" s="2">
        <v>46172</v>
      </c>
    </row>
    <row r="220" spans="1:47" x14ac:dyDescent="0.25">
      <c r="A220" s="10" t="s">
        <v>1108</v>
      </c>
      <c r="B220" s="11" t="s">
        <v>1189</v>
      </c>
      <c r="C220" s="11">
        <v>0</v>
      </c>
      <c r="D220" s="11" t="s">
        <v>108</v>
      </c>
      <c r="E220" s="11"/>
      <c r="F220" s="11"/>
      <c r="G220" s="11" t="s">
        <v>52</v>
      </c>
      <c r="H220" s="11">
        <v>12</v>
      </c>
      <c r="I220" s="11" t="s">
        <v>1270</v>
      </c>
      <c r="J220" s="11" t="s">
        <v>42</v>
      </c>
      <c r="K220" s="11">
        <f>Table1[[#This Row],[ENR]]-Table1[[#This Row],[CREDIT]]</f>
        <v>5195.43</v>
      </c>
      <c r="L220" s="43">
        <v>60000</v>
      </c>
      <c r="M220" s="30">
        <v>65195.43</v>
      </c>
      <c r="N220" s="44" t="s">
        <v>43</v>
      </c>
      <c r="O220" s="29">
        <v>65195.43</v>
      </c>
      <c r="P220" s="29">
        <v>58265.34</v>
      </c>
      <c r="Q220" s="29">
        <v>15410</v>
      </c>
      <c r="R220" s="29">
        <v>4350</v>
      </c>
      <c r="S220" s="11" t="s">
        <v>58</v>
      </c>
      <c r="T220" s="11" t="s">
        <v>13</v>
      </c>
      <c r="U220" s="11">
        <v>15410</v>
      </c>
      <c r="V220" s="29">
        <f>Table1[[#This Row],[STAB]]-Table1[[#This Row],[AMOUNT]]</f>
        <v>-11060</v>
      </c>
      <c r="W220" s="11" t="s">
        <v>1497</v>
      </c>
      <c r="X220" s="11" t="s">
        <v>451</v>
      </c>
      <c r="Y220" s="11" t="s">
        <v>760</v>
      </c>
      <c r="Z220" s="11" t="s">
        <v>88</v>
      </c>
      <c r="AA220" s="11" t="s">
        <v>86</v>
      </c>
      <c r="AB220" s="11" t="s">
        <v>3139</v>
      </c>
      <c r="AC220" s="11" t="s">
        <v>1351</v>
      </c>
      <c r="AD220" s="11" t="s">
        <v>1432</v>
      </c>
      <c r="AE220" s="11" t="s">
        <v>427</v>
      </c>
      <c r="AF220" s="11" t="s">
        <v>53</v>
      </c>
      <c r="AG220" s="11" t="s">
        <v>55</v>
      </c>
      <c r="AH220" s="11" t="s">
        <v>468</v>
      </c>
      <c r="AI220" s="11">
        <v>802030802</v>
      </c>
      <c r="AJ220" s="11" t="s">
        <v>458</v>
      </c>
      <c r="AK220" s="11"/>
      <c r="AL220" s="11"/>
      <c r="AM220" s="12" t="s">
        <v>64</v>
      </c>
      <c r="AN220" s="11"/>
      <c r="AO220" s="11"/>
      <c r="AP220" s="11"/>
      <c r="AQ220" s="3">
        <v>45471</v>
      </c>
      <c r="AR220" s="11">
        <v>2000</v>
      </c>
      <c r="AS220" s="11" t="s">
        <v>47</v>
      </c>
      <c r="AT220" s="11" t="s">
        <v>1077</v>
      </c>
      <c r="AU220" s="2">
        <v>46172</v>
      </c>
    </row>
    <row r="221" spans="1:47" x14ac:dyDescent="0.25">
      <c r="A221" s="10" t="s">
        <v>1105</v>
      </c>
      <c r="B221" s="11" t="s">
        <v>1186</v>
      </c>
      <c r="C221" s="11">
        <v>0</v>
      </c>
      <c r="D221" s="11" t="s">
        <v>108</v>
      </c>
      <c r="E221" s="11"/>
      <c r="F221" s="11"/>
      <c r="G221" s="11" t="s">
        <v>52</v>
      </c>
      <c r="H221" s="11">
        <v>12</v>
      </c>
      <c r="I221" s="11" t="s">
        <v>1267</v>
      </c>
      <c r="J221" s="11" t="s">
        <v>42</v>
      </c>
      <c r="K221" s="11">
        <f>Table1[[#This Row],[ENR]]-Table1[[#This Row],[CREDIT]]</f>
        <v>4944.3000000000029</v>
      </c>
      <c r="L221" s="43">
        <v>60000</v>
      </c>
      <c r="M221" s="30">
        <v>64944.3</v>
      </c>
      <c r="N221" s="44">
        <v>4608.09</v>
      </c>
      <c r="O221" s="29">
        <v>60336.21</v>
      </c>
      <c r="P221" s="29">
        <v>55187.62</v>
      </c>
      <c r="Q221" s="29">
        <v>14910</v>
      </c>
      <c r="R221" s="29">
        <v>4910</v>
      </c>
      <c r="S221" s="11" t="s">
        <v>58</v>
      </c>
      <c r="T221" s="11" t="s">
        <v>14</v>
      </c>
      <c r="U221" s="29">
        <v>5000</v>
      </c>
      <c r="V221" s="29">
        <f>Table1[[#This Row],[STAB]]-Table1[[#This Row],[AMOUNT]]</f>
        <v>-90</v>
      </c>
      <c r="W221" s="11" t="s">
        <v>2296</v>
      </c>
      <c r="X221" s="11" t="s">
        <v>451</v>
      </c>
      <c r="Y221" s="11" t="s">
        <v>760</v>
      </c>
      <c r="Z221" s="11" t="s">
        <v>88</v>
      </c>
      <c r="AA221" s="11" t="s">
        <v>86</v>
      </c>
      <c r="AB221" s="11" t="s">
        <v>3139</v>
      </c>
      <c r="AC221" s="11" t="s">
        <v>1348</v>
      </c>
      <c r="AD221" s="11" t="s">
        <v>1429</v>
      </c>
      <c r="AE221" s="11" t="s">
        <v>92</v>
      </c>
      <c r="AF221" s="11" t="s">
        <v>54</v>
      </c>
      <c r="AG221" s="11" t="s">
        <v>109</v>
      </c>
      <c r="AH221" s="11" t="s">
        <v>196</v>
      </c>
      <c r="AI221" s="11">
        <v>802555024</v>
      </c>
      <c r="AJ221" s="11" t="s">
        <v>99</v>
      </c>
      <c r="AK221" s="11"/>
      <c r="AL221" s="11"/>
      <c r="AM221" s="12" t="s">
        <v>64</v>
      </c>
      <c r="AN221" s="11" t="s">
        <v>115</v>
      </c>
      <c r="AO221" s="11" t="s">
        <v>2169</v>
      </c>
      <c r="AP221" s="11" t="s">
        <v>1667</v>
      </c>
      <c r="AQ221" s="3">
        <v>45903</v>
      </c>
      <c r="AR221" s="11">
        <v>36008</v>
      </c>
      <c r="AS221" s="11" t="s">
        <v>47</v>
      </c>
      <c r="AT221" s="11" t="s">
        <v>1077</v>
      </c>
      <c r="AU221" s="2">
        <v>46172</v>
      </c>
    </row>
    <row r="222" spans="1:47" x14ac:dyDescent="0.25">
      <c r="A222" s="10" t="s">
        <v>1163</v>
      </c>
      <c r="B222" s="11" t="s">
        <v>1244</v>
      </c>
      <c r="C222" s="11">
        <v>0</v>
      </c>
      <c r="D222" s="11" t="s">
        <v>108</v>
      </c>
      <c r="E222" s="11"/>
      <c r="F222" s="11"/>
      <c r="G222" s="11" t="s">
        <v>52</v>
      </c>
      <c r="H222" s="11">
        <v>12</v>
      </c>
      <c r="I222" s="11" t="s">
        <v>1325</v>
      </c>
      <c r="J222" s="11" t="s">
        <v>791</v>
      </c>
      <c r="K222" s="11">
        <f>Table1[[#This Row],[ENR]]-Table1[[#This Row],[CREDIT]]</f>
        <v>-79199.56</v>
      </c>
      <c r="L222" s="43">
        <v>144000</v>
      </c>
      <c r="M222" s="30">
        <v>64800.44</v>
      </c>
      <c r="N222" s="44" t="s">
        <v>43</v>
      </c>
      <c r="O222" s="29">
        <v>64800.44</v>
      </c>
      <c r="P222" s="29">
        <v>45455.43</v>
      </c>
      <c r="Q222" s="29">
        <v>23780</v>
      </c>
      <c r="R222" s="29">
        <v>21620</v>
      </c>
      <c r="S222" s="11" t="s">
        <v>58</v>
      </c>
      <c r="T222" s="11" t="s">
        <v>13</v>
      </c>
      <c r="U222" s="11">
        <v>23780</v>
      </c>
      <c r="V222" s="29">
        <f>Table1[[#This Row],[STAB]]-Table1[[#This Row],[AMOUNT]]</f>
        <v>-2160</v>
      </c>
      <c r="W222" s="11" t="s">
        <v>1528</v>
      </c>
      <c r="X222" s="11" t="s">
        <v>451</v>
      </c>
      <c r="Y222" s="11" t="s">
        <v>1085</v>
      </c>
      <c r="Z222" s="11" t="s">
        <v>88</v>
      </c>
      <c r="AA222" s="11" t="s">
        <v>86</v>
      </c>
      <c r="AB222" s="11" t="s">
        <v>3139</v>
      </c>
      <c r="AC222" s="11" t="s">
        <v>1406</v>
      </c>
      <c r="AD222" s="11" t="s">
        <v>1487</v>
      </c>
      <c r="AE222" s="11" t="s">
        <v>427</v>
      </c>
      <c r="AF222" s="11" t="s">
        <v>53</v>
      </c>
      <c r="AG222" s="11" t="s">
        <v>55</v>
      </c>
      <c r="AH222" s="11" t="s">
        <v>468</v>
      </c>
      <c r="AI222" s="11">
        <v>802030802</v>
      </c>
      <c r="AJ222" s="11" t="s">
        <v>458</v>
      </c>
      <c r="AK222" s="11"/>
      <c r="AL222" s="11"/>
      <c r="AM222" s="12" t="s">
        <v>64</v>
      </c>
      <c r="AN222" s="11"/>
      <c r="AO222" s="11"/>
      <c r="AP222" s="11"/>
      <c r="AQ222" s="3">
        <v>46017</v>
      </c>
      <c r="AR222" s="11">
        <v>15000</v>
      </c>
      <c r="AS222" s="11" t="s">
        <v>47</v>
      </c>
      <c r="AT222" s="11" t="s">
        <v>1077</v>
      </c>
      <c r="AU222" s="2">
        <v>46172</v>
      </c>
    </row>
    <row r="223" spans="1:47" x14ac:dyDescent="0.25">
      <c r="A223" s="10" t="s">
        <v>1096</v>
      </c>
      <c r="B223" s="11" t="s">
        <v>1177</v>
      </c>
      <c r="C223" s="11">
        <v>0</v>
      </c>
      <c r="D223" s="11" t="s">
        <v>108</v>
      </c>
      <c r="E223" s="11"/>
      <c r="F223" s="11"/>
      <c r="G223" s="11" t="s">
        <v>52</v>
      </c>
      <c r="H223" s="11">
        <v>12</v>
      </c>
      <c r="I223" s="11" t="s">
        <v>1258</v>
      </c>
      <c r="J223" s="11" t="s">
        <v>42</v>
      </c>
      <c r="K223" s="11">
        <f>Table1[[#This Row],[ENR]]-Table1[[#This Row],[CREDIT]]</f>
        <v>-768.5</v>
      </c>
      <c r="L223" s="43">
        <v>65000</v>
      </c>
      <c r="M223" s="30">
        <v>64231.5</v>
      </c>
      <c r="N223" s="44">
        <v>11638.61</v>
      </c>
      <c r="O223" s="29">
        <v>52592.89</v>
      </c>
      <c r="P223" s="29">
        <v>48973.32</v>
      </c>
      <c r="Q223" s="29">
        <v>15340</v>
      </c>
      <c r="R223" s="29">
        <v>8550</v>
      </c>
      <c r="S223" s="11" t="s">
        <v>58</v>
      </c>
      <c r="T223" s="11" t="s">
        <v>13</v>
      </c>
      <c r="U223" s="11">
        <v>15640</v>
      </c>
      <c r="V223" s="29">
        <f>Table1[[#This Row],[STAB]]-Table1[[#This Row],[AMOUNT]]</f>
        <v>-7090</v>
      </c>
      <c r="W223" s="11">
        <v>0</v>
      </c>
      <c r="X223" s="11" t="s">
        <v>761</v>
      </c>
      <c r="Y223" s="11" t="s">
        <v>760</v>
      </c>
      <c r="Z223" s="11" t="s">
        <v>88</v>
      </c>
      <c r="AA223" s="11" t="s">
        <v>86</v>
      </c>
      <c r="AB223" s="11" t="s">
        <v>3139</v>
      </c>
      <c r="AC223" s="11" t="s">
        <v>1339</v>
      </c>
      <c r="AD223" s="11" t="s">
        <v>1420</v>
      </c>
      <c r="AE223" s="11" t="s">
        <v>125</v>
      </c>
      <c r="AF223" s="11" t="s">
        <v>127</v>
      </c>
      <c r="AG223" s="11" t="s">
        <v>128</v>
      </c>
      <c r="AH223" s="11" t="s">
        <v>462</v>
      </c>
      <c r="AI223" s="11">
        <v>801448854</v>
      </c>
      <c r="AJ223" s="11" t="s">
        <v>191</v>
      </c>
      <c r="AK223" s="11"/>
      <c r="AL223" s="11"/>
      <c r="AM223" s="12" t="s">
        <v>64</v>
      </c>
      <c r="AN223" s="11" t="s">
        <v>115</v>
      </c>
      <c r="AO223" s="11" t="s">
        <v>2173</v>
      </c>
      <c r="AP223" s="11" t="s">
        <v>2172</v>
      </c>
      <c r="AQ223" s="3">
        <v>45496</v>
      </c>
      <c r="AR223" s="11">
        <v>47000</v>
      </c>
      <c r="AS223" s="11" t="s">
        <v>47</v>
      </c>
      <c r="AT223" s="11" t="s">
        <v>1077</v>
      </c>
      <c r="AU223" s="2">
        <v>46172</v>
      </c>
    </row>
    <row r="224" spans="1:47" x14ac:dyDescent="0.25">
      <c r="A224" s="10" t="s">
        <v>1107</v>
      </c>
      <c r="B224" s="11" t="s">
        <v>1188</v>
      </c>
      <c r="C224" s="11">
        <v>0</v>
      </c>
      <c r="D224" s="11" t="s">
        <v>108</v>
      </c>
      <c r="E224" s="11"/>
      <c r="F224" s="11"/>
      <c r="G224" s="11" t="s">
        <v>90</v>
      </c>
      <c r="H224" s="11">
        <v>12</v>
      </c>
      <c r="I224" s="11" t="s">
        <v>1269</v>
      </c>
      <c r="J224" s="11" t="s">
        <v>42</v>
      </c>
      <c r="K224" s="11">
        <f>Table1[[#This Row],[ENR]]-Table1[[#This Row],[CREDIT]]</f>
        <v>3951.1299999999974</v>
      </c>
      <c r="L224" s="43">
        <v>60000</v>
      </c>
      <c r="M224" s="30">
        <v>63951.13</v>
      </c>
      <c r="N224" s="44" t="s">
        <v>43</v>
      </c>
      <c r="O224" s="29">
        <v>63951.13</v>
      </c>
      <c r="P224" s="29">
        <v>56361.1</v>
      </c>
      <c r="Q224" s="29">
        <v>21690</v>
      </c>
      <c r="R224" s="29">
        <v>11330</v>
      </c>
      <c r="S224" s="11" t="s">
        <v>58</v>
      </c>
      <c r="T224" s="11" t="s">
        <v>14</v>
      </c>
      <c r="U224" s="29">
        <v>11500</v>
      </c>
      <c r="V224" s="29">
        <f>Table1[[#This Row],[STAB]]-Table1[[#This Row],[AMOUNT]]</f>
        <v>-170</v>
      </c>
      <c r="W224" s="11" t="s">
        <v>2296</v>
      </c>
      <c r="X224" s="11" t="s">
        <v>451</v>
      </c>
      <c r="Y224" s="11" t="s">
        <v>760</v>
      </c>
      <c r="Z224" s="11" t="s">
        <v>88</v>
      </c>
      <c r="AA224" s="11" t="s">
        <v>86</v>
      </c>
      <c r="AB224" s="11" t="s">
        <v>3139</v>
      </c>
      <c r="AC224" s="11" t="s">
        <v>1350</v>
      </c>
      <c r="AD224" s="11" t="s">
        <v>1431</v>
      </c>
      <c r="AE224" s="11" t="s">
        <v>604</v>
      </c>
      <c r="AF224" s="11" t="s">
        <v>439</v>
      </c>
      <c r="AG224" s="11" t="s">
        <v>63</v>
      </c>
      <c r="AH224" s="11" t="s">
        <v>467</v>
      </c>
      <c r="AI224" s="11">
        <v>801570488</v>
      </c>
      <c r="AJ224" s="11" t="s">
        <v>190</v>
      </c>
      <c r="AK224" s="11"/>
      <c r="AL224" s="11"/>
      <c r="AM224" s="12" t="s">
        <v>64</v>
      </c>
      <c r="AN224" s="11" t="s">
        <v>115</v>
      </c>
      <c r="AO224" s="11" t="s">
        <v>2290</v>
      </c>
      <c r="AP224" s="11" t="s">
        <v>2172</v>
      </c>
      <c r="AQ224" s="3">
        <v>45473</v>
      </c>
      <c r="AR224" s="11">
        <v>48682.71</v>
      </c>
      <c r="AS224" s="11" t="s">
        <v>47</v>
      </c>
      <c r="AT224" s="11" t="s">
        <v>1077</v>
      </c>
      <c r="AU224" s="2">
        <v>46172</v>
      </c>
    </row>
    <row r="225" spans="1:47" x14ac:dyDescent="0.25">
      <c r="A225" s="10" t="s">
        <v>1093</v>
      </c>
      <c r="B225" s="11" t="s">
        <v>1174</v>
      </c>
      <c r="C225" s="11">
        <v>0</v>
      </c>
      <c r="D225" s="11" t="s">
        <v>108</v>
      </c>
      <c r="E225" s="11"/>
      <c r="F225" s="11"/>
      <c r="G225" s="11" t="s">
        <v>52</v>
      </c>
      <c r="H225" s="11">
        <v>12</v>
      </c>
      <c r="I225" s="11" t="s">
        <v>1255</v>
      </c>
      <c r="J225" s="11" t="s">
        <v>42</v>
      </c>
      <c r="K225" s="11">
        <f>Table1[[#This Row],[ENR]]-Table1[[#This Row],[CREDIT]]</f>
        <v>3670.7300000000032</v>
      </c>
      <c r="L225" s="43">
        <v>60000</v>
      </c>
      <c r="M225" s="30">
        <v>63670.73</v>
      </c>
      <c r="N225" s="44">
        <v>25048.73</v>
      </c>
      <c r="O225" s="29">
        <v>38622</v>
      </c>
      <c r="P225" s="29">
        <v>34429.14</v>
      </c>
      <c r="Q225" s="29">
        <v>8830</v>
      </c>
      <c r="R225" s="29">
        <v>3600</v>
      </c>
      <c r="S225" s="11" t="s">
        <v>58</v>
      </c>
      <c r="T225" s="11" t="s">
        <v>13</v>
      </c>
      <c r="U225" s="11">
        <v>38622</v>
      </c>
      <c r="V225" s="29">
        <f>Table1[[#This Row],[STAB]]-Table1[[#This Row],[AMOUNT]]</f>
        <v>-35022</v>
      </c>
      <c r="W225" s="11">
        <v>0</v>
      </c>
      <c r="X225" s="11" t="s">
        <v>761</v>
      </c>
      <c r="Y225" s="11">
        <v>0</v>
      </c>
      <c r="Z225" s="11" t="s">
        <v>88</v>
      </c>
      <c r="AA225" s="11" t="s">
        <v>86</v>
      </c>
      <c r="AB225" s="11" t="s">
        <v>3139</v>
      </c>
      <c r="AC225" s="11" t="s">
        <v>1336</v>
      </c>
      <c r="AD225" s="11" t="s">
        <v>1417</v>
      </c>
      <c r="AE225" s="11" t="s">
        <v>420</v>
      </c>
      <c r="AF225" s="11" t="s">
        <v>54</v>
      </c>
      <c r="AG225" s="11" t="s">
        <v>120</v>
      </c>
      <c r="AH225" s="11" t="s">
        <v>463</v>
      </c>
      <c r="AI225" s="11">
        <v>802898520</v>
      </c>
      <c r="AJ225" s="11" t="s">
        <v>190</v>
      </c>
      <c r="AK225" s="11"/>
      <c r="AL225" s="11"/>
      <c r="AM225" s="12" t="s">
        <v>64</v>
      </c>
      <c r="AN225" s="11" t="s">
        <v>221</v>
      </c>
      <c r="AO225" s="11" t="s">
        <v>1511</v>
      </c>
      <c r="AP225" s="11" t="s">
        <v>1497</v>
      </c>
      <c r="AQ225" s="3">
        <v>46003</v>
      </c>
      <c r="AR225" s="11">
        <v>3320</v>
      </c>
      <c r="AS225" s="11" t="s">
        <v>47</v>
      </c>
      <c r="AT225" s="11" t="s">
        <v>1077</v>
      </c>
      <c r="AU225" s="2">
        <v>46172</v>
      </c>
    </row>
    <row r="226" spans="1:47" x14ac:dyDescent="0.25">
      <c r="A226" s="10" t="s">
        <v>1158</v>
      </c>
      <c r="B226" s="11" t="s">
        <v>1239</v>
      </c>
      <c r="C226" s="11">
        <v>0</v>
      </c>
      <c r="D226" s="11" t="s">
        <v>108</v>
      </c>
      <c r="E226" s="11"/>
      <c r="F226" s="11"/>
      <c r="G226" s="11" t="s">
        <v>52</v>
      </c>
      <c r="H226" s="11">
        <v>12</v>
      </c>
      <c r="I226" s="11" t="s">
        <v>1320</v>
      </c>
      <c r="J226" s="11" t="s">
        <v>42</v>
      </c>
      <c r="K226" s="11">
        <f>Table1[[#This Row],[ENR]]-Table1[[#This Row],[CREDIT]]</f>
        <v>2370.4499999999971</v>
      </c>
      <c r="L226" s="43">
        <v>60000</v>
      </c>
      <c r="M226" s="30">
        <v>62370.45</v>
      </c>
      <c r="N226" s="44" t="s">
        <v>43</v>
      </c>
      <c r="O226" s="29">
        <v>62370.45</v>
      </c>
      <c r="P226" s="29">
        <v>55985.120000000003</v>
      </c>
      <c r="Q226" s="29">
        <v>12340</v>
      </c>
      <c r="R226" s="29">
        <v>3260</v>
      </c>
      <c r="S226" s="11" t="s">
        <v>58</v>
      </c>
      <c r="T226" s="11" t="s">
        <v>13</v>
      </c>
      <c r="U226" s="11">
        <v>62370.45</v>
      </c>
      <c r="V226" s="29">
        <f>Table1[[#This Row],[STAB]]-Table1[[#This Row],[AMOUNT]]</f>
        <v>-59110.45</v>
      </c>
      <c r="W226" s="11" t="s">
        <v>1528</v>
      </c>
      <c r="X226" s="11" t="s">
        <v>451</v>
      </c>
      <c r="Y226" s="11">
        <v>0</v>
      </c>
      <c r="Z226" s="11" t="s">
        <v>88</v>
      </c>
      <c r="AA226" s="11" t="s">
        <v>86</v>
      </c>
      <c r="AB226" s="11" t="s">
        <v>3139</v>
      </c>
      <c r="AC226" s="11" t="s">
        <v>1401</v>
      </c>
      <c r="AD226" s="11" t="s">
        <v>1482</v>
      </c>
      <c r="AE226" s="11" t="s">
        <v>218</v>
      </c>
      <c r="AF226" s="11" t="s">
        <v>84</v>
      </c>
      <c r="AG226" s="11" t="s">
        <v>97</v>
      </c>
      <c r="AH226" s="11" t="s">
        <v>88</v>
      </c>
      <c r="AI226" s="11">
        <v>801723195</v>
      </c>
      <c r="AJ226" s="11" t="s">
        <v>191</v>
      </c>
      <c r="AK226" s="11"/>
      <c r="AL226" s="11"/>
      <c r="AM226" s="12" t="s">
        <v>64</v>
      </c>
      <c r="AN226" s="11" t="s">
        <v>115</v>
      </c>
      <c r="AO226" s="11" t="s">
        <v>1605</v>
      </c>
      <c r="AP226" s="11" t="s">
        <v>1528</v>
      </c>
      <c r="AQ226" s="3">
        <v>45464</v>
      </c>
      <c r="AR226" s="11">
        <v>12134</v>
      </c>
      <c r="AS226" s="11" t="s">
        <v>47</v>
      </c>
      <c r="AT226" s="11" t="s">
        <v>1077</v>
      </c>
      <c r="AU226" s="2">
        <v>46172</v>
      </c>
    </row>
    <row r="227" spans="1:47" x14ac:dyDescent="0.25">
      <c r="A227" s="10" t="s">
        <v>1161</v>
      </c>
      <c r="B227" s="11" t="s">
        <v>1242</v>
      </c>
      <c r="C227" s="11">
        <v>0</v>
      </c>
      <c r="D227" s="11" t="s">
        <v>108</v>
      </c>
      <c r="E227" s="11"/>
      <c r="F227" s="11"/>
      <c r="G227" s="11" t="s">
        <v>52</v>
      </c>
      <c r="H227" s="11">
        <v>12</v>
      </c>
      <c r="I227" s="11" t="s">
        <v>1323</v>
      </c>
      <c r="J227" s="11" t="s">
        <v>42</v>
      </c>
      <c r="K227" s="11">
        <f>Table1[[#This Row],[ENR]]-Table1[[#This Row],[CREDIT]]</f>
        <v>6109.43</v>
      </c>
      <c r="L227" s="43">
        <v>55000</v>
      </c>
      <c r="M227" s="52">
        <v>61109.43</v>
      </c>
      <c r="N227" s="44">
        <v>2666.05</v>
      </c>
      <c r="O227" s="29">
        <v>58443.38</v>
      </c>
      <c r="P227" s="29">
        <v>52122.43</v>
      </c>
      <c r="Q227" s="29">
        <v>15270</v>
      </c>
      <c r="R227" s="29">
        <v>4300</v>
      </c>
      <c r="S227" s="11" t="s">
        <v>58</v>
      </c>
      <c r="T227" s="11" t="s">
        <v>14</v>
      </c>
      <c r="U227" s="29">
        <v>4300</v>
      </c>
      <c r="V227" s="29">
        <f>Table1[[#This Row],[STAB]]-Table1[[#This Row],[AMOUNT]]</f>
        <v>0</v>
      </c>
      <c r="W227" s="11">
        <v>0</v>
      </c>
      <c r="X227" s="11" t="s">
        <v>1526</v>
      </c>
      <c r="Y227" s="11" t="s">
        <v>760</v>
      </c>
      <c r="Z227" s="11" t="s">
        <v>88</v>
      </c>
      <c r="AA227" s="11" t="s">
        <v>86</v>
      </c>
      <c r="AB227" s="11" t="s">
        <v>3139</v>
      </c>
      <c r="AC227" s="11" t="s">
        <v>1404</v>
      </c>
      <c r="AD227" s="11" t="s">
        <v>1485</v>
      </c>
      <c r="AE227" s="11" t="s">
        <v>104</v>
      </c>
      <c r="AF227" s="11" t="s">
        <v>54</v>
      </c>
      <c r="AG227" s="11" t="s">
        <v>109</v>
      </c>
      <c r="AH227" s="11" t="s">
        <v>196</v>
      </c>
      <c r="AI227" s="11">
        <v>802555024</v>
      </c>
      <c r="AJ227" s="11" t="s">
        <v>99</v>
      </c>
      <c r="AK227" s="11"/>
      <c r="AL227" s="11"/>
      <c r="AM227" s="12" t="s">
        <v>64</v>
      </c>
      <c r="AN227" s="11" t="s">
        <v>221</v>
      </c>
      <c r="AO227" s="11" t="s">
        <v>3157</v>
      </c>
      <c r="AP227" s="11" t="s">
        <v>3129</v>
      </c>
      <c r="AQ227" s="3">
        <v>45506</v>
      </c>
      <c r="AR227" s="11">
        <v>100</v>
      </c>
      <c r="AS227" s="11" t="s">
        <v>47</v>
      </c>
      <c r="AT227" s="11" t="s">
        <v>1077</v>
      </c>
      <c r="AU227" s="2">
        <v>46172</v>
      </c>
    </row>
    <row r="228" spans="1:47" x14ac:dyDescent="0.25">
      <c r="A228" s="10" t="s">
        <v>1162</v>
      </c>
      <c r="B228" s="11" t="s">
        <v>1243</v>
      </c>
      <c r="C228" s="11">
        <v>0</v>
      </c>
      <c r="D228" s="11" t="s">
        <v>108</v>
      </c>
      <c r="E228" s="11"/>
      <c r="F228" s="11"/>
      <c r="G228" s="11" t="s">
        <v>52</v>
      </c>
      <c r="H228" s="11">
        <v>12</v>
      </c>
      <c r="I228" s="11" t="s">
        <v>1324</v>
      </c>
      <c r="J228" s="11" t="s">
        <v>336</v>
      </c>
      <c r="K228" s="11">
        <f>Table1[[#This Row],[ENR]]-Table1[[#This Row],[CREDIT]]</f>
        <v>-20784.980000000003</v>
      </c>
      <c r="L228" s="43">
        <v>80000</v>
      </c>
      <c r="M228" s="30">
        <v>59215.02</v>
      </c>
      <c r="N228" s="44">
        <v>36288.18</v>
      </c>
      <c r="O228" s="29">
        <v>22926.84</v>
      </c>
      <c r="P228" s="29">
        <v>21762.99</v>
      </c>
      <c r="Q228" s="29">
        <v>20590</v>
      </c>
      <c r="R228" s="29">
        <v>10000</v>
      </c>
      <c r="S228" s="11" t="s">
        <v>44</v>
      </c>
      <c r="T228" s="11" t="s">
        <v>45</v>
      </c>
      <c r="U228" s="11">
        <v>0</v>
      </c>
      <c r="V228" s="29">
        <f>Table1[[#This Row],[STAB]]-Table1[[#This Row],[AMOUNT]]</f>
        <v>10000</v>
      </c>
      <c r="W228" s="11">
        <v>0</v>
      </c>
      <c r="X228" s="11" t="s">
        <v>83</v>
      </c>
      <c r="Y228" s="11">
        <v>0</v>
      </c>
      <c r="Z228" s="11" t="s">
        <v>88</v>
      </c>
      <c r="AA228" s="11" t="s">
        <v>86</v>
      </c>
      <c r="AB228" s="11" t="s">
        <v>3139</v>
      </c>
      <c r="AC228" s="11" t="s">
        <v>1405</v>
      </c>
      <c r="AD228" s="11" t="s">
        <v>1486</v>
      </c>
      <c r="AE228" s="11" t="s">
        <v>423</v>
      </c>
      <c r="AF228" s="11" t="s">
        <v>54</v>
      </c>
      <c r="AG228" s="11" t="s">
        <v>1500</v>
      </c>
      <c r="AH228" s="11" t="s">
        <v>465</v>
      </c>
      <c r="AI228" s="11">
        <v>802823175</v>
      </c>
      <c r="AJ228" s="11" t="s">
        <v>191</v>
      </c>
      <c r="AK228" s="11"/>
      <c r="AL228" s="11"/>
      <c r="AM228" s="12" t="s">
        <v>64</v>
      </c>
      <c r="AN228" s="11" t="s">
        <v>115</v>
      </c>
      <c r="AO228" s="11" t="s">
        <v>1606</v>
      </c>
      <c r="AP228" s="11" t="s">
        <v>1528</v>
      </c>
      <c r="AQ228" s="3">
        <v>46102</v>
      </c>
      <c r="AR228" s="11">
        <v>41000</v>
      </c>
      <c r="AS228" s="11" t="s">
        <v>47</v>
      </c>
      <c r="AT228" s="11" t="s">
        <v>1077</v>
      </c>
      <c r="AU228" s="2">
        <v>46172</v>
      </c>
    </row>
    <row r="229" spans="1:47" x14ac:dyDescent="0.25">
      <c r="A229" s="10" t="s">
        <v>1104</v>
      </c>
      <c r="B229" s="11" t="s">
        <v>1185</v>
      </c>
      <c r="C229" s="11">
        <v>0</v>
      </c>
      <c r="D229" s="11" t="s">
        <v>108</v>
      </c>
      <c r="E229" s="11"/>
      <c r="F229" s="11"/>
      <c r="G229" s="11" t="s">
        <v>52</v>
      </c>
      <c r="H229" s="11">
        <v>12</v>
      </c>
      <c r="I229" s="11" t="s">
        <v>1266</v>
      </c>
      <c r="J229" s="11" t="s">
        <v>42</v>
      </c>
      <c r="K229" s="11">
        <f>Table1[[#This Row],[ENR]]-Table1[[#This Row],[CREDIT]]</f>
        <v>5985.8899999999994</v>
      </c>
      <c r="L229" s="43">
        <v>50000</v>
      </c>
      <c r="M229" s="30">
        <v>55985.89</v>
      </c>
      <c r="N229" s="44" t="s">
        <v>43</v>
      </c>
      <c r="O229" s="29">
        <v>55985.89</v>
      </c>
      <c r="P229" s="29">
        <v>49997.21</v>
      </c>
      <c r="Q229" s="29">
        <v>14780</v>
      </c>
      <c r="R229" s="29">
        <v>5010</v>
      </c>
      <c r="S229" s="11" t="s">
        <v>58</v>
      </c>
      <c r="T229" s="11" t="s">
        <v>14</v>
      </c>
      <c r="U229" s="29">
        <v>6000</v>
      </c>
      <c r="V229" s="29">
        <f>Table1[[#This Row],[STAB]]-Table1[[#This Row],[AMOUNT]]</f>
        <v>-990</v>
      </c>
      <c r="W229" s="11" t="s">
        <v>2294</v>
      </c>
      <c r="X229" s="11" t="s">
        <v>451</v>
      </c>
      <c r="Y229" s="11" t="s">
        <v>760</v>
      </c>
      <c r="Z229" s="11" t="s">
        <v>88</v>
      </c>
      <c r="AA229" s="11" t="s">
        <v>86</v>
      </c>
      <c r="AB229" s="11" t="s">
        <v>3139</v>
      </c>
      <c r="AC229" s="11" t="s">
        <v>1347</v>
      </c>
      <c r="AD229" s="11" t="s">
        <v>1428</v>
      </c>
      <c r="AE229" s="11" t="s">
        <v>218</v>
      </c>
      <c r="AF229" s="11" t="s">
        <v>84</v>
      </c>
      <c r="AG229" s="11" t="s">
        <v>97</v>
      </c>
      <c r="AH229" s="11" t="s">
        <v>88</v>
      </c>
      <c r="AI229" s="11">
        <v>801723195</v>
      </c>
      <c r="AJ229" s="11" t="s">
        <v>191</v>
      </c>
      <c r="AK229" s="11"/>
      <c r="AL229" s="11"/>
      <c r="AM229" s="12" t="s">
        <v>64</v>
      </c>
      <c r="AN229" s="11" t="s">
        <v>115</v>
      </c>
      <c r="AO229" s="11" t="s">
        <v>2430</v>
      </c>
      <c r="AP229" s="11" t="s">
        <v>2294</v>
      </c>
      <c r="AQ229" s="3">
        <v>46033</v>
      </c>
      <c r="AR229" s="11">
        <v>3900</v>
      </c>
      <c r="AS229" s="11" t="s">
        <v>47</v>
      </c>
      <c r="AT229" s="11" t="s">
        <v>1077</v>
      </c>
      <c r="AU229" s="2">
        <v>46172</v>
      </c>
    </row>
    <row r="230" spans="1:47" x14ac:dyDescent="0.25">
      <c r="A230" s="10" t="s">
        <v>1155</v>
      </c>
      <c r="B230" s="11" t="s">
        <v>1236</v>
      </c>
      <c r="C230" s="11">
        <v>0</v>
      </c>
      <c r="D230" s="11" t="s">
        <v>108</v>
      </c>
      <c r="E230" s="11"/>
      <c r="F230" s="11"/>
      <c r="G230" s="11" t="s">
        <v>52</v>
      </c>
      <c r="H230" s="11">
        <v>12</v>
      </c>
      <c r="I230" s="11" t="s">
        <v>1317</v>
      </c>
      <c r="J230" s="11" t="s">
        <v>42</v>
      </c>
      <c r="K230" s="11">
        <f>Table1[[#This Row],[ENR]]-Table1[[#This Row],[CREDIT]]</f>
        <v>4347.1399999999994</v>
      </c>
      <c r="L230" s="43">
        <v>50000</v>
      </c>
      <c r="M230" s="30">
        <v>54347.14</v>
      </c>
      <c r="N230" s="44" t="s">
        <v>43</v>
      </c>
      <c r="O230" s="29">
        <v>54347.14</v>
      </c>
      <c r="P230" s="29">
        <v>46995.94</v>
      </c>
      <c r="Q230" s="29">
        <v>14220</v>
      </c>
      <c r="R230" s="29">
        <v>4750</v>
      </c>
      <c r="S230" s="11" t="s">
        <v>58</v>
      </c>
      <c r="T230" s="11" t="s">
        <v>13</v>
      </c>
      <c r="U230" s="11">
        <v>15000</v>
      </c>
      <c r="V230" s="29">
        <f>Table1[[#This Row],[STAB]]-Table1[[#This Row],[AMOUNT]]</f>
        <v>-10250</v>
      </c>
      <c r="W230" s="11" t="s">
        <v>2296</v>
      </c>
      <c r="X230" s="11" t="s">
        <v>451</v>
      </c>
      <c r="Y230" s="11" t="s">
        <v>760</v>
      </c>
      <c r="Z230" s="11" t="s">
        <v>88</v>
      </c>
      <c r="AA230" s="11" t="s">
        <v>86</v>
      </c>
      <c r="AB230" s="11" t="s">
        <v>3139</v>
      </c>
      <c r="AC230" s="11" t="s">
        <v>1398</v>
      </c>
      <c r="AD230" s="11" t="s">
        <v>1479</v>
      </c>
      <c r="AE230" s="11" t="s">
        <v>123</v>
      </c>
      <c r="AF230" s="11" t="s">
        <v>127</v>
      </c>
      <c r="AG230" s="11" t="s">
        <v>96</v>
      </c>
      <c r="AH230" s="11" t="s">
        <v>461</v>
      </c>
      <c r="AI230" s="11">
        <v>801436997</v>
      </c>
      <c r="AJ230" s="11" t="s">
        <v>190</v>
      </c>
      <c r="AK230" s="11"/>
      <c r="AL230" s="11"/>
      <c r="AM230" s="12" t="s">
        <v>64</v>
      </c>
      <c r="AN230" s="11" t="s">
        <v>219</v>
      </c>
      <c r="AO230" s="11" t="s">
        <v>1642</v>
      </c>
      <c r="AP230" s="11" t="s">
        <v>1528</v>
      </c>
      <c r="AQ230" s="3">
        <v>45815</v>
      </c>
      <c r="AR230" s="11">
        <v>7300</v>
      </c>
      <c r="AS230" s="11" t="s">
        <v>47</v>
      </c>
      <c r="AT230" s="11" t="s">
        <v>1077</v>
      </c>
      <c r="AU230" s="2">
        <v>46172</v>
      </c>
    </row>
    <row r="231" spans="1:47" x14ac:dyDescent="0.25">
      <c r="A231" s="10" t="s">
        <v>1160</v>
      </c>
      <c r="B231" s="11" t="s">
        <v>1241</v>
      </c>
      <c r="C231" s="11">
        <v>0</v>
      </c>
      <c r="D231" s="11" t="s">
        <v>108</v>
      </c>
      <c r="E231" s="11"/>
      <c r="F231" s="11"/>
      <c r="G231" s="11" t="s">
        <v>52</v>
      </c>
      <c r="H231" s="11">
        <v>12</v>
      </c>
      <c r="I231" s="11" t="s">
        <v>1322</v>
      </c>
      <c r="J231" s="11" t="s">
        <v>42</v>
      </c>
      <c r="K231" s="11">
        <f>Table1[[#This Row],[ENR]]-Table1[[#This Row],[CREDIT]]</f>
        <v>3837.9199999999983</v>
      </c>
      <c r="L231" s="43">
        <v>50000</v>
      </c>
      <c r="M231" s="30">
        <v>53837.919999999998</v>
      </c>
      <c r="N231" s="44">
        <v>41364.39</v>
      </c>
      <c r="O231" s="29">
        <v>12473.53</v>
      </c>
      <c r="P231" s="29">
        <v>8586.85</v>
      </c>
      <c r="Q231" s="29">
        <v>12473.53</v>
      </c>
      <c r="R231" s="29">
        <v>6082.14</v>
      </c>
      <c r="S231" s="11" t="s">
        <v>58</v>
      </c>
      <c r="T231" s="11" t="s">
        <v>13</v>
      </c>
      <c r="U231" s="11">
        <v>12473.53</v>
      </c>
      <c r="V231" s="29">
        <f>Table1[[#This Row],[STAB]]-Table1[[#This Row],[AMOUNT]]</f>
        <v>-6391.39</v>
      </c>
      <c r="W231" s="11" t="s">
        <v>3129</v>
      </c>
      <c r="X231" s="11" t="s">
        <v>451</v>
      </c>
      <c r="Y231" s="11" t="s">
        <v>760</v>
      </c>
      <c r="Z231" s="11" t="s">
        <v>88</v>
      </c>
      <c r="AA231" s="11" t="s">
        <v>86</v>
      </c>
      <c r="AB231" s="11" t="s">
        <v>3139</v>
      </c>
      <c r="AC231" s="11" t="s">
        <v>1403</v>
      </c>
      <c r="AD231" s="11" t="s">
        <v>1484</v>
      </c>
      <c r="AE231" s="11" t="s">
        <v>218</v>
      </c>
      <c r="AF231" s="11" t="s">
        <v>84</v>
      </c>
      <c r="AG231" s="11" t="s">
        <v>97</v>
      </c>
      <c r="AH231" s="11" t="s">
        <v>88</v>
      </c>
      <c r="AI231" s="11">
        <v>801723195</v>
      </c>
      <c r="AJ231" s="11" t="s">
        <v>191</v>
      </c>
      <c r="AK231" s="11"/>
      <c r="AL231" s="11"/>
      <c r="AM231" s="12" t="s">
        <v>64</v>
      </c>
      <c r="AN231" s="11" t="s">
        <v>446</v>
      </c>
      <c r="AO231" s="11" t="s">
        <v>3149</v>
      </c>
      <c r="AP231" s="11" t="s">
        <v>3129</v>
      </c>
      <c r="AQ231" s="3">
        <v>45525</v>
      </c>
      <c r="AR231" s="11">
        <v>2398.9899999999998</v>
      </c>
      <c r="AS231" s="11" t="s">
        <v>47</v>
      </c>
      <c r="AT231" s="11" t="s">
        <v>1077</v>
      </c>
      <c r="AU231" s="2">
        <v>46172</v>
      </c>
    </row>
    <row r="232" spans="1:47" x14ac:dyDescent="0.25">
      <c r="A232" s="10" t="s">
        <v>1102</v>
      </c>
      <c r="B232" s="11" t="s">
        <v>1183</v>
      </c>
      <c r="C232" s="11">
        <v>0</v>
      </c>
      <c r="D232" s="11" t="s">
        <v>108</v>
      </c>
      <c r="E232" s="11"/>
      <c r="F232" s="11"/>
      <c r="G232" s="11" t="s">
        <v>52</v>
      </c>
      <c r="H232" s="11">
        <v>12</v>
      </c>
      <c r="I232" s="11" t="s">
        <v>1264</v>
      </c>
      <c r="J232" s="11" t="s">
        <v>42</v>
      </c>
      <c r="K232" s="11">
        <f>Table1[[#This Row],[ENR]]-Table1[[#This Row],[CREDIT]]</f>
        <v>3244.8700000000026</v>
      </c>
      <c r="L232" s="43">
        <v>50000</v>
      </c>
      <c r="M232" s="30">
        <v>53244.87</v>
      </c>
      <c r="N232" s="44" t="s">
        <v>43</v>
      </c>
      <c r="O232" s="29">
        <v>53244.87</v>
      </c>
      <c r="P232" s="29">
        <v>46229.120000000003</v>
      </c>
      <c r="Q232" s="29">
        <v>13850</v>
      </c>
      <c r="R232" s="29">
        <v>5200</v>
      </c>
      <c r="S232" s="11" t="s">
        <v>44</v>
      </c>
      <c r="T232" s="11" t="s">
        <v>45</v>
      </c>
      <c r="U232" s="11">
        <v>0</v>
      </c>
      <c r="V232" s="29">
        <f>Table1[[#This Row],[STAB]]-Table1[[#This Row],[AMOUNT]]</f>
        <v>5200</v>
      </c>
      <c r="W232" s="11">
        <v>0</v>
      </c>
      <c r="X232" s="11" t="s">
        <v>83</v>
      </c>
      <c r="Y232" s="11">
        <v>0</v>
      </c>
      <c r="Z232" s="11" t="s">
        <v>88</v>
      </c>
      <c r="AA232" s="11" t="s">
        <v>86</v>
      </c>
      <c r="AB232" s="11" t="s">
        <v>3139</v>
      </c>
      <c r="AC232" s="11" t="s">
        <v>1345</v>
      </c>
      <c r="AD232" s="11" t="s">
        <v>1426</v>
      </c>
      <c r="AE232" s="11" t="s">
        <v>422</v>
      </c>
      <c r="AF232" s="11" t="s">
        <v>127</v>
      </c>
      <c r="AG232" s="11" t="s">
        <v>57</v>
      </c>
      <c r="AH232" s="11" t="s">
        <v>464</v>
      </c>
      <c r="AI232" s="11">
        <v>802852449</v>
      </c>
      <c r="AJ232" s="11" t="s">
        <v>190</v>
      </c>
      <c r="AK232" s="11"/>
      <c r="AL232" s="11"/>
      <c r="AM232" s="12" t="s">
        <v>64</v>
      </c>
      <c r="AN232" s="11" t="s">
        <v>219</v>
      </c>
      <c r="AO232" s="11" t="s">
        <v>2432</v>
      </c>
      <c r="AP232" s="11" t="s">
        <v>2294</v>
      </c>
      <c r="AQ232" s="3">
        <v>45465</v>
      </c>
      <c r="AR232" s="11">
        <v>35650</v>
      </c>
      <c r="AS232" s="11" t="s">
        <v>47</v>
      </c>
      <c r="AT232" s="11" t="s">
        <v>1077</v>
      </c>
      <c r="AU232" s="2">
        <v>46172</v>
      </c>
    </row>
    <row r="233" spans="1:47" x14ac:dyDescent="0.25">
      <c r="A233" s="10" t="s">
        <v>1101</v>
      </c>
      <c r="B233" s="11" t="s">
        <v>1182</v>
      </c>
      <c r="C233" s="11">
        <v>0</v>
      </c>
      <c r="D233" s="11" t="s">
        <v>108</v>
      </c>
      <c r="E233" s="11"/>
      <c r="F233" s="11"/>
      <c r="G233" s="11" t="s">
        <v>52</v>
      </c>
      <c r="H233" s="11">
        <v>12</v>
      </c>
      <c r="I233" s="11" t="s">
        <v>1263</v>
      </c>
      <c r="J233" s="11" t="s">
        <v>42</v>
      </c>
      <c r="K233" s="11">
        <f>Table1[[#This Row],[ENR]]-Table1[[#This Row],[CREDIT]]</f>
        <v>2501.0599999999977</v>
      </c>
      <c r="L233" s="43">
        <v>50000</v>
      </c>
      <c r="M233" s="30">
        <v>52501.06</v>
      </c>
      <c r="N233" s="44" t="s">
        <v>43</v>
      </c>
      <c r="O233" s="29">
        <v>52501.06</v>
      </c>
      <c r="P233" s="29">
        <v>45725.89</v>
      </c>
      <c r="Q233" s="29">
        <v>11970</v>
      </c>
      <c r="R233" s="29">
        <v>3960</v>
      </c>
      <c r="S233" s="11" t="s">
        <v>58</v>
      </c>
      <c r="T233" s="11" t="s">
        <v>14</v>
      </c>
      <c r="U233" s="29">
        <v>4000</v>
      </c>
      <c r="V233" s="29">
        <f>Table1[[#This Row],[STAB]]-Table1[[#This Row],[AMOUNT]]</f>
        <v>-40</v>
      </c>
      <c r="W233" s="11" t="s">
        <v>1528</v>
      </c>
      <c r="X233" s="11" t="s">
        <v>444</v>
      </c>
      <c r="Y233" s="11">
        <v>0</v>
      </c>
      <c r="Z233" s="11" t="s">
        <v>88</v>
      </c>
      <c r="AA233" s="11" t="s">
        <v>86</v>
      </c>
      <c r="AB233" s="11" t="s">
        <v>3139</v>
      </c>
      <c r="AC233" s="11" t="s">
        <v>1344</v>
      </c>
      <c r="AD233" s="11" t="s">
        <v>1425</v>
      </c>
      <c r="AE233" s="11" t="s">
        <v>746</v>
      </c>
      <c r="AF233" s="11" t="s">
        <v>127</v>
      </c>
      <c r="AG233" s="11" t="s">
        <v>128</v>
      </c>
      <c r="AH233" s="11" t="s">
        <v>462</v>
      </c>
      <c r="AI233" s="11">
        <v>801448854</v>
      </c>
      <c r="AJ233" s="11" t="s">
        <v>191</v>
      </c>
      <c r="AK233" s="11"/>
      <c r="AL233" s="11"/>
      <c r="AM233" s="12" t="s">
        <v>64</v>
      </c>
      <c r="AN233" s="11"/>
      <c r="AO233" s="11"/>
      <c r="AP233" s="11"/>
      <c r="AQ233" s="3">
        <v>45896</v>
      </c>
      <c r="AR233" s="11">
        <v>3890</v>
      </c>
      <c r="AS233" s="11" t="s">
        <v>47</v>
      </c>
      <c r="AT233" s="11" t="s">
        <v>1077</v>
      </c>
      <c r="AU233" s="2">
        <v>46172</v>
      </c>
    </row>
    <row r="234" spans="1:47" x14ac:dyDescent="0.25">
      <c r="A234" s="10" t="s">
        <v>1097</v>
      </c>
      <c r="B234" s="11" t="s">
        <v>1178</v>
      </c>
      <c r="C234" s="11">
        <v>0</v>
      </c>
      <c r="D234" s="11" t="s">
        <v>108</v>
      </c>
      <c r="E234" s="11"/>
      <c r="F234" s="11"/>
      <c r="G234" s="11" t="s">
        <v>52</v>
      </c>
      <c r="H234" s="11">
        <v>12</v>
      </c>
      <c r="I234" s="11" t="s">
        <v>1259</v>
      </c>
      <c r="J234" s="11" t="s">
        <v>42</v>
      </c>
      <c r="K234" s="11">
        <f>Table1[[#This Row],[ENR]]-Table1[[#This Row],[CREDIT]]</f>
        <v>32485.39</v>
      </c>
      <c r="L234" s="43">
        <v>20000</v>
      </c>
      <c r="M234" s="30">
        <v>52485.39</v>
      </c>
      <c r="N234" s="44" t="s">
        <v>43</v>
      </c>
      <c r="O234" s="29">
        <v>52485.39</v>
      </c>
      <c r="P234" s="29">
        <v>47085.56</v>
      </c>
      <c r="Q234" s="29">
        <v>38620</v>
      </c>
      <c r="R234" s="29">
        <v>28090</v>
      </c>
      <c r="S234" s="11" t="s">
        <v>44</v>
      </c>
      <c r="T234" s="11" t="s">
        <v>45</v>
      </c>
      <c r="U234" s="11">
        <v>0</v>
      </c>
      <c r="V234" s="29">
        <f>Table1[[#This Row],[STAB]]-Table1[[#This Row],[AMOUNT]]</f>
        <v>28090</v>
      </c>
      <c r="W234" s="11">
        <v>0</v>
      </c>
      <c r="X234" s="11" t="s">
        <v>83</v>
      </c>
      <c r="Y234" s="11">
        <v>0</v>
      </c>
      <c r="Z234" s="11" t="s">
        <v>88</v>
      </c>
      <c r="AA234" s="11" t="s">
        <v>86</v>
      </c>
      <c r="AB234" s="11" t="s">
        <v>3139</v>
      </c>
      <c r="AC234" s="11" t="s">
        <v>1340</v>
      </c>
      <c r="AD234" s="11" t="s">
        <v>1421</v>
      </c>
      <c r="AE234" s="11" t="s">
        <v>429</v>
      </c>
      <c r="AF234" s="11" t="s">
        <v>54</v>
      </c>
      <c r="AG234" s="11" t="s">
        <v>95</v>
      </c>
      <c r="AH234" s="11" t="s">
        <v>465</v>
      </c>
      <c r="AI234" s="11">
        <v>802823175</v>
      </c>
      <c r="AJ234" s="11" t="s">
        <v>191</v>
      </c>
      <c r="AK234" s="11"/>
      <c r="AL234" s="11"/>
      <c r="AM234" s="12" t="s">
        <v>64</v>
      </c>
      <c r="AN234" s="11" t="s">
        <v>115</v>
      </c>
      <c r="AO234" s="11" t="s">
        <v>1653</v>
      </c>
      <c r="AP234" s="11" t="s">
        <v>1645</v>
      </c>
      <c r="AQ234" s="3">
        <v>45769</v>
      </c>
      <c r="AR234" s="11">
        <v>1000</v>
      </c>
      <c r="AS234" s="11" t="s">
        <v>47</v>
      </c>
      <c r="AT234" s="11" t="s">
        <v>1077</v>
      </c>
      <c r="AU234" s="2">
        <v>46172</v>
      </c>
    </row>
    <row r="235" spans="1:47" x14ac:dyDescent="0.25">
      <c r="A235" s="10" t="s">
        <v>1100</v>
      </c>
      <c r="B235" s="11" t="s">
        <v>1181</v>
      </c>
      <c r="C235" s="11">
        <v>0</v>
      </c>
      <c r="D235" s="11" t="s">
        <v>108</v>
      </c>
      <c r="E235" s="11"/>
      <c r="F235" s="11"/>
      <c r="G235" s="11" t="s">
        <v>52</v>
      </c>
      <c r="H235" s="11">
        <v>12</v>
      </c>
      <c r="I235" s="11" t="s">
        <v>1262</v>
      </c>
      <c r="J235" s="11" t="s">
        <v>42</v>
      </c>
      <c r="K235" s="11">
        <f>Table1[[#This Row],[ENR]]-Table1[[#This Row],[CREDIT]]</f>
        <v>1874.4800000000032</v>
      </c>
      <c r="L235" s="43">
        <v>50000</v>
      </c>
      <c r="M235" s="30">
        <v>51874.48</v>
      </c>
      <c r="N235" s="44" t="s">
        <v>43</v>
      </c>
      <c r="O235" s="29">
        <v>51874.48</v>
      </c>
      <c r="P235" s="29">
        <v>45113.84</v>
      </c>
      <c r="Q235" s="29">
        <v>11330</v>
      </c>
      <c r="R235" s="29">
        <v>3970</v>
      </c>
      <c r="S235" s="11" t="s">
        <v>58</v>
      </c>
      <c r="T235" s="11" t="s">
        <v>14</v>
      </c>
      <c r="U235" s="29">
        <v>6000</v>
      </c>
      <c r="V235" s="29">
        <f>Table1[[#This Row],[STAB]]-Table1[[#This Row],[AMOUNT]]</f>
        <v>-2030</v>
      </c>
      <c r="W235" s="11">
        <v>0</v>
      </c>
      <c r="X235" s="11" t="s">
        <v>761</v>
      </c>
      <c r="Y235" s="11" t="s">
        <v>760</v>
      </c>
      <c r="Z235" s="11" t="s">
        <v>88</v>
      </c>
      <c r="AA235" s="11" t="s">
        <v>86</v>
      </c>
      <c r="AB235" s="11" t="s">
        <v>3139</v>
      </c>
      <c r="AC235" s="11" t="s">
        <v>1343</v>
      </c>
      <c r="AD235" s="11" t="s">
        <v>1424</v>
      </c>
      <c r="AE235" s="11" t="s">
        <v>417</v>
      </c>
      <c r="AF235" s="11" t="s">
        <v>127</v>
      </c>
      <c r="AG235" s="11" t="s">
        <v>128</v>
      </c>
      <c r="AH235" s="11" t="s">
        <v>462</v>
      </c>
      <c r="AI235" s="11">
        <v>801448854</v>
      </c>
      <c r="AJ235" s="11" t="s">
        <v>191</v>
      </c>
      <c r="AK235" s="11"/>
      <c r="AL235" s="11"/>
      <c r="AM235" s="12" t="s">
        <v>64</v>
      </c>
      <c r="AN235" s="11"/>
      <c r="AO235" s="11"/>
      <c r="AP235" s="11"/>
      <c r="AQ235" s="3">
        <v>45505</v>
      </c>
      <c r="AR235" s="11">
        <v>6000</v>
      </c>
      <c r="AS235" s="11" t="s">
        <v>47</v>
      </c>
      <c r="AT235" s="11" t="s">
        <v>1077</v>
      </c>
      <c r="AU235" s="2">
        <v>46172</v>
      </c>
    </row>
    <row r="236" spans="1:47" x14ac:dyDescent="0.25">
      <c r="A236" s="45" t="s">
        <v>1098</v>
      </c>
      <c r="B236" s="12" t="s">
        <v>1179</v>
      </c>
      <c r="C236" s="11">
        <v>0</v>
      </c>
      <c r="D236" s="11" t="s">
        <v>108</v>
      </c>
      <c r="E236" s="12"/>
      <c r="F236" s="12"/>
      <c r="G236" s="11" t="s">
        <v>52</v>
      </c>
      <c r="H236" s="12">
        <v>12</v>
      </c>
      <c r="I236" s="12" t="s">
        <v>1260</v>
      </c>
      <c r="J236" s="12" t="s">
        <v>42</v>
      </c>
      <c r="K236" s="12">
        <f>Table1[[#This Row],[ENR]]-Table1[[#This Row],[CREDIT]]</f>
        <v>-18569.14</v>
      </c>
      <c r="L236" s="46">
        <v>70000</v>
      </c>
      <c r="M236" s="47">
        <v>51430.86</v>
      </c>
      <c r="N236" s="48" t="s">
        <v>43</v>
      </c>
      <c r="O236" s="49">
        <v>51430.86</v>
      </c>
      <c r="P236" s="49">
        <v>45755.6</v>
      </c>
      <c r="Q236" s="29">
        <v>8390</v>
      </c>
      <c r="R236" s="29">
        <v>2740</v>
      </c>
      <c r="S236" s="11" t="s">
        <v>58</v>
      </c>
      <c r="T236" s="11" t="s">
        <v>14</v>
      </c>
      <c r="U236" s="29">
        <v>2740</v>
      </c>
      <c r="V236" s="49">
        <f>Table1[[#This Row],[STAB]]-Table1[[#This Row],[AMOUNT]]</f>
        <v>0</v>
      </c>
      <c r="W236" s="11" t="s">
        <v>2294</v>
      </c>
      <c r="X236" s="11" t="s">
        <v>444</v>
      </c>
      <c r="Y236" s="11" t="s">
        <v>760</v>
      </c>
      <c r="Z236" s="11" t="s">
        <v>88</v>
      </c>
      <c r="AA236" s="11" t="s">
        <v>86</v>
      </c>
      <c r="AB236" s="12" t="s">
        <v>3141</v>
      </c>
      <c r="AC236" s="12" t="s">
        <v>1341</v>
      </c>
      <c r="AD236" s="12" t="s">
        <v>1422</v>
      </c>
      <c r="AE236" s="12" t="s">
        <v>414</v>
      </c>
      <c r="AF236" s="12" t="s">
        <v>127</v>
      </c>
      <c r="AG236" s="11" t="s">
        <v>106</v>
      </c>
      <c r="AH236" s="11" t="s">
        <v>460</v>
      </c>
      <c r="AI236" s="12">
        <v>802913252</v>
      </c>
      <c r="AJ236" s="12" t="s">
        <v>190</v>
      </c>
      <c r="AK236" s="12"/>
      <c r="AL236" s="12"/>
      <c r="AM236" s="12" t="s">
        <v>64</v>
      </c>
      <c r="AN236" s="12" t="s">
        <v>115</v>
      </c>
      <c r="AO236" s="12" t="s">
        <v>2178</v>
      </c>
      <c r="AP236" s="12" t="s">
        <v>2172</v>
      </c>
      <c r="AQ236" s="50">
        <v>45838</v>
      </c>
      <c r="AR236" s="12">
        <v>49998</v>
      </c>
      <c r="AS236" s="12" t="s">
        <v>47</v>
      </c>
      <c r="AT236" s="11" t="s">
        <v>1077</v>
      </c>
      <c r="AU236" s="51">
        <v>46172</v>
      </c>
    </row>
    <row r="237" spans="1:47" x14ac:dyDescent="0.25">
      <c r="A237" s="45" t="s">
        <v>1091</v>
      </c>
      <c r="B237" s="12" t="s">
        <v>1172</v>
      </c>
      <c r="C237" s="11">
        <v>0</v>
      </c>
      <c r="D237" s="11" t="s">
        <v>108</v>
      </c>
      <c r="E237" s="12"/>
      <c r="F237" s="12"/>
      <c r="G237" s="11" t="s">
        <v>52</v>
      </c>
      <c r="H237" s="12">
        <v>12</v>
      </c>
      <c r="I237" s="12" t="s">
        <v>1253</v>
      </c>
      <c r="J237" s="12" t="s">
        <v>42</v>
      </c>
      <c r="K237" s="12">
        <f>Table1[[#This Row],[ENR]]-Table1[[#This Row],[CREDIT]]</f>
        <v>3739.1100000000006</v>
      </c>
      <c r="L237" s="46">
        <v>47000</v>
      </c>
      <c r="M237" s="47">
        <v>50739.11</v>
      </c>
      <c r="N237" s="48">
        <v>15768.59</v>
      </c>
      <c r="O237" s="49">
        <v>34970.519999999997</v>
      </c>
      <c r="P237" s="49">
        <v>29285.7</v>
      </c>
      <c r="Q237" s="29">
        <v>14750</v>
      </c>
      <c r="R237" s="29">
        <v>7810</v>
      </c>
      <c r="S237" s="11" t="s">
        <v>58</v>
      </c>
      <c r="T237" s="11" t="s">
        <v>13</v>
      </c>
      <c r="U237" s="11">
        <v>34970.519999999997</v>
      </c>
      <c r="V237" s="49">
        <f>Table1[[#This Row],[STAB]]-Table1[[#This Row],[AMOUNT]]</f>
        <v>-27160.519999999997</v>
      </c>
      <c r="W237" s="11">
        <v>0</v>
      </c>
      <c r="X237" s="11" t="s">
        <v>761</v>
      </c>
      <c r="Y237" s="11" t="s">
        <v>760</v>
      </c>
      <c r="Z237" s="12" t="s">
        <v>88</v>
      </c>
      <c r="AA237" s="11" t="s">
        <v>86</v>
      </c>
      <c r="AB237" s="12" t="s">
        <v>3139</v>
      </c>
      <c r="AC237" s="12" t="s">
        <v>1334</v>
      </c>
      <c r="AD237" s="12" t="s">
        <v>1415</v>
      </c>
      <c r="AE237" s="12" t="s">
        <v>103</v>
      </c>
      <c r="AF237" s="12" t="s">
        <v>53</v>
      </c>
      <c r="AG237" s="11" t="s">
        <v>188</v>
      </c>
      <c r="AH237" s="11" t="s">
        <v>194</v>
      </c>
      <c r="AI237" s="12">
        <v>802823180</v>
      </c>
      <c r="AJ237" s="12" t="s">
        <v>191</v>
      </c>
      <c r="AK237" s="12"/>
      <c r="AL237" s="12"/>
      <c r="AM237" s="12" t="s">
        <v>64</v>
      </c>
      <c r="AN237" s="12"/>
      <c r="AO237" s="12"/>
      <c r="AP237" s="12"/>
      <c r="AQ237" s="50">
        <v>45632</v>
      </c>
      <c r="AR237" s="12">
        <v>6985</v>
      </c>
      <c r="AS237" s="12" t="s">
        <v>47</v>
      </c>
      <c r="AT237" s="12" t="s">
        <v>1077</v>
      </c>
      <c r="AU237" s="51">
        <v>46172</v>
      </c>
    </row>
    <row r="238" spans="1:47" x14ac:dyDescent="0.25">
      <c r="A238" s="10" t="s">
        <v>1092</v>
      </c>
      <c r="B238" s="11" t="s">
        <v>1173</v>
      </c>
      <c r="C238" s="11">
        <v>0</v>
      </c>
      <c r="D238" s="11" t="s">
        <v>108</v>
      </c>
      <c r="E238" s="11"/>
      <c r="F238" s="11"/>
      <c r="G238" s="11" t="s">
        <v>52</v>
      </c>
      <c r="H238" s="11">
        <v>12</v>
      </c>
      <c r="I238" s="11" t="s">
        <v>1254</v>
      </c>
      <c r="J238" s="11" t="s">
        <v>42</v>
      </c>
      <c r="K238" s="11">
        <f>Table1[[#This Row],[ENR]]-Table1[[#This Row],[CREDIT]]</f>
        <v>230.94999999999709</v>
      </c>
      <c r="L238" s="43">
        <v>50000</v>
      </c>
      <c r="M238" s="30">
        <v>50230.95</v>
      </c>
      <c r="N238" s="44">
        <v>12745.22</v>
      </c>
      <c r="O238" s="29">
        <v>37485.730000000003</v>
      </c>
      <c r="P238" s="29">
        <v>32434.77</v>
      </c>
      <c r="Q238" s="29">
        <v>10180</v>
      </c>
      <c r="R238" s="29">
        <v>4060</v>
      </c>
      <c r="S238" s="11" t="s">
        <v>58</v>
      </c>
      <c r="T238" s="11" t="s">
        <v>14</v>
      </c>
      <c r="U238" s="29">
        <v>5000</v>
      </c>
      <c r="V238" s="29">
        <f>Table1[[#This Row],[STAB]]-Table1[[#This Row],[AMOUNT]]</f>
        <v>-940</v>
      </c>
      <c r="W238" s="11" t="s">
        <v>2292</v>
      </c>
      <c r="X238" s="11" t="s">
        <v>451</v>
      </c>
      <c r="Y238" s="11" t="s">
        <v>760</v>
      </c>
      <c r="Z238" s="12" t="s">
        <v>88</v>
      </c>
      <c r="AA238" s="11" t="s">
        <v>86</v>
      </c>
      <c r="AB238" s="11" t="s">
        <v>3139</v>
      </c>
      <c r="AC238" s="11" t="s">
        <v>1335</v>
      </c>
      <c r="AD238" s="11" t="s">
        <v>1416</v>
      </c>
      <c r="AE238" s="11" t="s">
        <v>423</v>
      </c>
      <c r="AF238" s="11" t="s">
        <v>54</v>
      </c>
      <c r="AG238" s="11" t="s">
        <v>1500</v>
      </c>
      <c r="AH238" s="11" t="s">
        <v>465</v>
      </c>
      <c r="AI238" s="11">
        <v>802823175</v>
      </c>
      <c r="AJ238" s="11" t="s">
        <v>191</v>
      </c>
      <c r="AK238" s="11"/>
      <c r="AL238" s="11"/>
      <c r="AM238" s="12" t="s">
        <v>64</v>
      </c>
      <c r="AN238" s="11" t="s">
        <v>115</v>
      </c>
      <c r="AO238" s="11" t="s">
        <v>1529</v>
      </c>
      <c r="AP238" s="11" t="s">
        <v>1528</v>
      </c>
      <c r="AQ238" s="3">
        <v>45961</v>
      </c>
      <c r="AR238" s="11">
        <v>9030</v>
      </c>
      <c r="AS238" s="11" t="s">
        <v>47</v>
      </c>
      <c r="AT238" s="12" t="s">
        <v>1077</v>
      </c>
      <c r="AU238" s="2">
        <v>46172</v>
      </c>
    </row>
    <row r="239" spans="1:47" x14ac:dyDescent="0.25">
      <c r="A239" s="45" t="s">
        <v>1154</v>
      </c>
      <c r="B239" s="12" t="s">
        <v>1235</v>
      </c>
      <c r="C239" s="11">
        <v>0</v>
      </c>
      <c r="D239" s="11" t="s">
        <v>108</v>
      </c>
      <c r="E239" s="12"/>
      <c r="F239" s="12" t="s">
        <v>440</v>
      </c>
      <c r="G239" s="11" t="s">
        <v>90</v>
      </c>
      <c r="H239" s="12">
        <v>12</v>
      </c>
      <c r="I239" s="12" t="s">
        <v>1316</v>
      </c>
      <c r="J239" s="12" t="s">
        <v>550</v>
      </c>
      <c r="K239" s="12">
        <f>Table1[[#This Row],[ENR]]-Table1[[#This Row],[CREDIT]]</f>
        <v>-69939.31</v>
      </c>
      <c r="L239" s="46">
        <v>120000</v>
      </c>
      <c r="M239" s="47">
        <v>50060.69</v>
      </c>
      <c r="N239" s="48" t="s">
        <v>43</v>
      </c>
      <c r="O239" s="49">
        <v>50060.69</v>
      </c>
      <c r="P239" s="49">
        <v>47799.83</v>
      </c>
      <c r="Q239" s="29">
        <v>7220</v>
      </c>
      <c r="R239" s="29">
        <v>4620</v>
      </c>
      <c r="S239" s="11" t="s">
        <v>44</v>
      </c>
      <c r="T239" s="11" t="s">
        <v>45</v>
      </c>
      <c r="U239" s="11">
        <v>0</v>
      </c>
      <c r="V239" s="49">
        <f>Table1[[#This Row],[STAB]]-Table1[[#This Row],[AMOUNT]]</f>
        <v>4620</v>
      </c>
      <c r="W239" s="11">
        <v>0</v>
      </c>
      <c r="X239" s="11" t="s">
        <v>83</v>
      </c>
      <c r="Y239" s="11">
        <v>0</v>
      </c>
      <c r="Z239" s="12" t="s">
        <v>88</v>
      </c>
      <c r="AA239" s="11" t="s">
        <v>86</v>
      </c>
      <c r="AB239" s="12" t="s">
        <v>3139</v>
      </c>
      <c r="AC239" s="12" t="s">
        <v>1397</v>
      </c>
      <c r="AD239" s="12" t="s">
        <v>1478</v>
      </c>
      <c r="AE239" s="12" t="s">
        <v>603</v>
      </c>
      <c r="AF239" s="12" t="s">
        <v>53</v>
      </c>
      <c r="AG239" s="12" t="s">
        <v>89</v>
      </c>
      <c r="AH239" s="11" t="s">
        <v>193</v>
      </c>
      <c r="AI239" s="11">
        <v>802824019</v>
      </c>
      <c r="AJ239" s="11" t="s">
        <v>189</v>
      </c>
      <c r="AK239" s="12"/>
      <c r="AL239" s="12"/>
      <c r="AM239" s="12" t="s">
        <v>46</v>
      </c>
      <c r="AN239" s="12"/>
      <c r="AO239" s="12"/>
      <c r="AP239" s="12"/>
      <c r="AQ239" s="50">
        <v>45497</v>
      </c>
      <c r="AR239" s="12">
        <v>6600</v>
      </c>
      <c r="AS239" s="12" t="s">
        <v>47</v>
      </c>
      <c r="AT239" s="12" t="s">
        <v>1077</v>
      </c>
      <c r="AU239" s="51">
        <v>46172</v>
      </c>
    </row>
    <row r="240" spans="1:47" x14ac:dyDescent="0.25">
      <c r="A240" s="45" t="s">
        <v>1711</v>
      </c>
      <c r="B240" s="12" t="s">
        <v>1808</v>
      </c>
      <c r="C240" s="11">
        <v>0</v>
      </c>
      <c r="D240" s="11" t="s">
        <v>108</v>
      </c>
      <c r="E240" s="12"/>
      <c r="F240" s="12"/>
      <c r="G240" s="11" t="s">
        <v>52</v>
      </c>
      <c r="H240" s="12">
        <v>13</v>
      </c>
      <c r="I240" s="12" t="s">
        <v>1905</v>
      </c>
      <c r="J240" s="12" t="s">
        <v>42</v>
      </c>
      <c r="K240" s="12">
        <f>Table1[[#This Row],[ENR]]-Table1[[#This Row],[CREDIT]]</f>
        <v>2283.5200000000041</v>
      </c>
      <c r="L240" s="46">
        <v>100000</v>
      </c>
      <c r="M240" s="47">
        <v>102283.52</v>
      </c>
      <c r="N240" s="48">
        <v>53905.79</v>
      </c>
      <c r="O240" s="49">
        <v>48377.73</v>
      </c>
      <c r="P240" s="49">
        <v>42774.45</v>
      </c>
      <c r="Q240" s="29">
        <v>48377.73</v>
      </c>
      <c r="R240" s="29">
        <v>38924.230000000003</v>
      </c>
      <c r="S240" s="11" t="s">
        <v>58</v>
      </c>
      <c r="T240" s="11" t="s">
        <v>13</v>
      </c>
      <c r="U240" s="11">
        <v>48377.73</v>
      </c>
      <c r="V240" s="49">
        <f>Table1[[#This Row],[STAB]]-Table1[[#This Row],[AMOUNT]]</f>
        <v>-9453.5</v>
      </c>
      <c r="W240" s="11">
        <v>0</v>
      </c>
      <c r="X240" s="11" t="s">
        <v>761</v>
      </c>
      <c r="Y240" s="11" t="s">
        <v>760</v>
      </c>
      <c r="Z240" s="12" t="s">
        <v>85</v>
      </c>
      <c r="AA240" s="12" t="s">
        <v>612</v>
      </c>
      <c r="AB240" s="12" t="s">
        <v>3139</v>
      </c>
      <c r="AC240" s="12" t="s">
        <v>2002</v>
      </c>
      <c r="AD240" s="12" t="s">
        <v>2002</v>
      </c>
      <c r="AE240" s="12" t="s">
        <v>427</v>
      </c>
      <c r="AF240" s="12" t="s">
        <v>53</v>
      </c>
      <c r="AG240" s="12" t="s">
        <v>55</v>
      </c>
      <c r="AH240" s="11" t="s">
        <v>468</v>
      </c>
      <c r="AI240" s="12">
        <v>802030802</v>
      </c>
      <c r="AJ240" s="12" t="s">
        <v>458</v>
      </c>
      <c r="AK240" s="12"/>
      <c r="AL240" s="12"/>
      <c r="AM240" s="12" t="s">
        <v>64</v>
      </c>
      <c r="AN240" s="12" t="s">
        <v>219</v>
      </c>
      <c r="AO240" s="12" t="s">
        <v>2436</v>
      </c>
      <c r="AP240" s="12" t="s">
        <v>2294</v>
      </c>
      <c r="AQ240" s="50">
        <v>46022</v>
      </c>
      <c r="AR240" s="12">
        <v>30480.26</v>
      </c>
      <c r="AS240" s="12" t="s">
        <v>2150</v>
      </c>
      <c r="AT240" s="12" t="s">
        <v>2152</v>
      </c>
      <c r="AU240" s="51">
        <v>46173</v>
      </c>
    </row>
    <row r="241" spans="1:47" x14ac:dyDescent="0.25">
      <c r="A241" s="45" t="s">
        <v>1543</v>
      </c>
      <c r="B241" s="12" t="s">
        <v>1558</v>
      </c>
      <c r="C241" s="11">
        <v>0</v>
      </c>
      <c r="D241" s="11" t="s">
        <v>108</v>
      </c>
      <c r="E241" s="12"/>
      <c r="F241" s="12"/>
      <c r="G241" s="11" t="s">
        <v>52</v>
      </c>
      <c r="H241" s="12">
        <v>14</v>
      </c>
      <c r="I241" s="12" t="s">
        <v>1573</v>
      </c>
      <c r="J241" s="12" t="s">
        <v>42</v>
      </c>
      <c r="K241" s="12">
        <f>Table1[[#This Row],[ENR]]-Table1[[#This Row],[CREDIT]]</f>
        <v>47106.289999999979</v>
      </c>
      <c r="L241" s="46">
        <v>450000</v>
      </c>
      <c r="M241" s="47">
        <v>497106.29</v>
      </c>
      <c r="N241" s="48" t="s">
        <v>43</v>
      </c>
      <c r="O241" s="49">
        <v>497106.29</v>
      </c>
      <c r="P241" s="49">
        <v>446877</v>
      </c>
      <c r="Q241" s="29">
        <v>116240</v>
      </c>
      <c r="R241" s="29">
        <v>51060</v>
      </c>
      <c r="S241" s="11" t="s">
        <v>44</v>
      </c>
      <c r="T241" s="11" t="s">
        <v>45</v>
      </c>
      <c r="U241" s="11">
        <v>0</v>
      </c>
      <c r="V241" s="49">
        <f>Table1[[#This Row],[STAB]]-Table1[[#This Row],[AMOUNT]]</f>
        <v>51060</v>
      </c>
      <c r="W241" s="11">
        <v>0</v>
      </c>
      <c r="X241" s="11" t="s">
        <v>83</v>
      </c>
      <c r="Y241" s="11">
        <v>0</v>
      </c>
      <c r="Z241" s="12" t="s">
        <v>88</v>
      </c>
      <c r="AA241" s="11" t="s">
        <v>91</v>
      </c>
      <c r="AB241" s="12" t="s">
        <v>3139</v>
      </c>
      <c r="AC241" s="12" t="s">
        <v>1588</v>
      </c>
      <c r="AD241" s="12" t="s">
        <v>1588</v>
      </c>
      <c r="AE241" s="12" t="s">
        <v>218</v>
      </c>
      <c r="AF241" s="12" t="s">
        <v>84</v>
      </c>
      <c r="AG241" s="12" t="s">
        <v>749</v>
      </c>
      <c r="AH241" s="11" t="s">
        <v>88</v>
      </c>
      <c r="AI241" s="12">
        <v>801723195</v>
      </c>
      <c r="AJ241" s="12" t="s">
        <v>191</v>
      </c>
      <c r="AK241" s="12"/>
      <c r="AL241" s="12"/>
      <c r="AM241" s="12" t="s">
        <v>64</v>
      </c>
      <c r="AN241" s="12" t="s">
        <v>219</v>
      </c>
      <c r="AO241" s="12" t="s">
        <v>2428</v>
      </c>
      <c r="AP241" s="12" t="s">
        <v>2294</v>
      </c>
      <c r="AQ241" s="50">
        <v>46112</v>
      </c>
      <c r="AR241" s="12">
        <v>50000</v>
      </c>
      <c r="AS241" s="12" t="s">
        <v>1601</v>
      </c>
      <c r="AT241" s="12" t="s">
        <v>1602</v>
      </c>
      <c r="AU241" s="51">
        <v>46174</v>
      </c>
    </row>
    <row r="242" spans="1:47" x14ac:dyDescent="0.25">
      <c r="A242" s="45" t="s">
        <v>1542</v>
      </c>
      <c r="B242" s="12" t="s">
        <v>1557</v>
      </c>
      <c r="C242" s="11">
        <v>0</v>
      </c>
      <c r="D242" s="11" t="s">
        <v>108</v>
      </c>
      <c r="E242" s="12"/>
      <c r="F242" s="12"/>
      <c r="G242" s="11" t="s">
        <v>52</v>
      </c>
      <c r="H242" s="12">
        <v>14</v>
      </c>
      <c r="I242" s="12" t="s">
        <v>1572</v>
      </c>
      <c r="J242" s="12" t="s">
        <v>42</v>
      </c>
      <c r="K242" s="12">
        <f>Table1[[#This Row],[ENR]]-Table1[[#This Row],[CREDIT]]</f>
        <v>27215.200000000012</v>
      </c>
      <c r="L242" s="46">
        <v>300000</v>
      </c>
      <c r="M242" s="47">
        <v>327215.2</v>
      </c>
      <c r="N242" s="48" t="s">
        <v>43</v>
      </c>
      <c r="O242" s="49">
        <v>327215.2</v>
      </c>
      <c r="P242" s="49">
        <v>295214.58</v>
      </c>
      <c r="Q242" s="29">
        <v>87990</v>
      </c>
      <c r="R242" s="29">
        <v>22775.06</v>
      </c>
      <c r="S242" s="11" t="s">
        <v>58</v>
      </c>
      <c r="T242" s="11" t="s">
        <v>13</v>
      </c>
      <c r="U242" s="11">
        <v>327215.2</v>
      </c>
      <c r="V242" s="49">
        <f>Table1[[#This Row],[STAB]]-Table1[[#This Row],[AMOUNT]]</f>
        <v>-304440.14</v>
      </c>
      <c r="W242" s="11" t="s">
        <v>1528</v>
      </c>
      <c r="X242" s="11" t="s">
        <v>451</v>
      </c>
      <c r="Y242" s="11" t="s">
        <v>760</v>
      </c>
      <c r="Z242" s="12" t="s">
        <v>85</v>
      </c>
      <c r="AA242" s="12" t="s">
        <v>612</v>
      </c>
      <c r="AB242" s="12" t="s">
        <v>3139</v>
      </c>
      <c r="AC242" s="12" t="s">
        <v>1587</v>
      </c>
      <c r="AD242" s="12" t="s">
        <v>1598</v>
      </c>
      <c r="AE242" s="12" t="s">
        <v>413</v>
      </c>
      <c r="AF242" s="12" t="s">
        <v>54</v>
      </c>
      <c r="AG242" s="12" t="s">
        <v>129</v>
      </c>
      <c r="AH242" s="11" t="s">
        <v>753</v>
      </c>
      <c r="AI242" s="12">
        <v>802794852</v>
      </c>
      <c r="AJ242" s="12" t="s">
        <v>190</v>
      </c>
      <c r="AK242" s="12"/>
      <c r="AL242" s="12"/>
      <c r="AM242" s="12" t="s">
        <v>64</v>
      </c>
      <c r="AN242" s="12"/>
      <c r="AO242" s="12"/>
      <c r="AP242" s="12"/>
      <c r="AQ242" s="50">
        <v>46126</v>
      </c>
      <c r="AR242" s="12">
        <v>99999</v>
      </c>
      <c r="AS242" s="12" t="s">
        <v>606</v>
      </c>
      <c r="AT242" s="12" t="s">
        <v>1602</v>
      </c>
      <c r="AU242" s="51">
        <v>46174</v>
      </c>
    </row>
    <row r="243" spans="1:47" x14ac:dyDescent="0.25">
      <c r="A243" s="45" t="s">
        <v>1533</v>
      </c>
      <c r="B243" s="12" t="s">
        <v>1548</v>
      </c>
      <c r="C243" s="11">
        <v>0</v>
      </c>
      <c r="D243" s="11" t="s">
        <v>108</v>
      </c>
      <c r="E243" s="12"/>
      <c r="F243" s="12"/>
      <c r="G243" s="11" t="s">
        <v>52</v>
      </c>
      <c r="H243" s="12">
        <v>14</v>
      </c>
      <c r="I243" s="12" t="s">
        <v>1563</v>
      </c>
      <c r="J243" s="12" t="s">
        <v>42</v>
      </c>
      <c r="K243" s="12">
        <f>Table1[[#This Row],[ENR]]-Table1[[#This Row],[CREDIT]]</f>
        <v>-24751.48000000001</v>
      </c>
      <c r="L243" s="46">
        <v>220000</v>
      </c>
      <c r="M243" s="47">
        <v>195248.52</v>
      </c>
      <c r="N243" s="48">
        <v>130987.18</v>
      </c>
      <c r="O243" s="49">
        <v>64261.34</v>
      </c>
      <c r="P243" s="49">
        <v>52931.23</v>
      </c>
      <c r="Q243" s="29">
        <v>42660</v>
      </c>
      <c r="R243" s="29">
        <v>21260</v>
      </c>
      <c r="S243" s="11" t="s">
        <v>44</v>
      </c>
      <c r="T243" s="11" t="s">
        <v>45</v>
      </c>
      <c r="U243" s="11">
        <v>0</v>
      </c>
      <c r="V243" s="49">
        <f>Table1[[#This Row],[STAB]]-Table1[[#This Row],[AMOUNT]]</f>
        <v>21260</v>
      </c>
      <c r="W243" s="11">
        <v>0</v>
      </c>
      <c r="X243" s="11" t="s">
        <v>83</v>
      </c>
      <c r="Y243" s="11" t="s">
        <v>759</v>
      </c>
      <c r="Z243" s="12" t="s">
        <v>85</v>
      </c>
      <c r="AA243" s="11" t="s">
        <v>447</v>
      </c>
      <c r="AB243" s="12" t="s">
        <v>3141</v>
      </c>
      <c r="AC243" s="12" t="s">
        <v>1578</v>
      </c>
      <c r="AD243" s="12" t="s">
        <v>1592</v>
      </c>
      <c r="AE243" s="12" t="s">
        <v>414</v>
      </c>
      <c r="AF243" s="12" t="s">
        <v>127</v>
      </c>
      <c r="AG243" s="12" t="s">
        <v>106</v>
      </c>
      <c r="AH243" s="11" t="s">
        <v>460</v>
      </c>
      <c r="AI243" s="12">
        <v>802913252</v>
      </c>
      <c r="AJ243" s="12" t="s">
        <v>190</v>
      </c>
      <c r="AK243" s="12"/>
      <c r="AL243" s="12"/>
      <c r="AM243" s="12" t="s">
        <v>64</v>
      </c>
      <c r="AN243" s="12" t="s">
        <v>446</v>
      </c>
      <c r="AO243" s="12" t="s">
        <v>2454</v>
      </c>
      <c r="AP243" s="12" t="s">
        <v>2296</v>
      </c>
      <c r="AQ243" s="50">
        <v>46116</v>
      </c>
      <c r="AR243" s="12">
        <v>687</v>
      </c>
      <c r="AS243" s="12" t="s">
        <v>437</v>
      </c>
      <c r="AT243" s="12" t="s">
        <v>1602</v>
      </c>
      <c r="AU243" s="51">
        <v>46174</v>
      </c>
    </row>
    <row r="244" spans="1:47" x14ac:dyDescent="0.25">
      <c r="A244" s="45" t="s">
        <v>1540</v>
      </c>
      <c r="B244" s="12" t="s">
        <v>1555</v>
      </c>
      <c r="C244" s="11">
        <v>0</v>
      </c>
      <c r="D244" s="11" t="s">
        <v>108</v>
      </c>
      <c r="E244" s="12"/>
      <c r="F244" s="12"/>
      <c r="G244" s="11" t="s">
        <v>52</v>
      </c>
      <c r="H244" s="12">
        <v>14</v>
      </c>
      <c r="I244" s="12" t="s">
        <v>1570</v>
      </c>
      <c r="J244" s="12" t="s">
        <v>42</v>
      </c>
      <c r="K244" s="12">
        <f>Table1[[#This Row],[ENR]]-Table1[[#This Row],[CREDIT]]</f>
        <v>7874.7600000000093</v>
      </c>
      <c r="L244" s="46">
        <v>153000</v>
      </c>
      <c r="M244" s="47">
        <v>160874.76</v>
      </c>
      <c r="N244" s="48" t="s">
        <v>43</v>
      </c>
      <c r="O244" s="49">
        <v>160874.76</v>
      </c>
      <c r="P244" s="49">
        <v>146112.46</v>
      </c>
      <c r="Q244" s="29">
        <v>31210</v>
      </c>
      <c r="R244" s="29">
        <v>8400</v>
      </c>
      <c r="S244" s="11" t="s">
        <v>58</v>
      </c>
      <c r="T244" s="11" t="s">
        <v>14</v>
      </c>
      <c r="U244" s="29">
        <v>8500</v>
      </c>
      <c r="V244" s="49">
        <f>Table1[[#This Row],[STAB]]-Table1[[#This Row],[AMOUNT]]</f>
        <v>-100</v>
      </c>
      <c r="W244" s="11" t="s">
        <v>3169</v>
      </c>
      <c r="X244" s="11" t="s">
        <v>444</v>
      </c>
      <c r="Y244" s="11" t="s">
        <v>1085</v>
      </c>
      <c r="Z244" s="12" t="s">
        <v>85</v>
      </c>
      <c r="AA244" s="12" t="s">
        <v>612</v>
      </c>
      <c r="AB244" s="12" t="s">
        <v>3139</v>
      </c>
      <c r="AC244" s="12" t="s">
        <v>1585</v>
      </c>
      <c r="AD244" s="12" t="s">
        <v>1585</v>
      </c>
      <c r="AE244" s="12" t="s">
        <v>133</v>
      </c>
      <c r="AF244" s="12" t="s">
        <v>54</v>
      </c>
      <c r="AG244" s="12" t="s">
        <v>1658</v>
      </c>
      <c r="AH244" s="11" t="s">
        <v>85</v>
      </c>
      <c r="AI244" s="12">
        <v>801772794</v>
      </c>
      <c r="AJ244" s="12" t="s">
        <v>192</v>
      </c>
      <c r="AK244" s="12"/>
      <c r="AL244" s="12"/>
      <c r="AM244" s="12" t="s">
        <v>64</v>
      </c>
      <c r="AN244" s="12"/>
      <c r="AO244" s="12"/>
      <c r="AP244" s="12"/>
      <c r="AQ244" s="50">
        <v>46114</v>
      </c>
      <c r="AR244" s="12">
        <v>35000</v>
      </c>
      <c r="AS244" s="12" t="s">
        <v>1601</v>
      </c>
      <c r="AT244" s="12" t="s">
        <v>1602</v>
      </c>
      <c r="AU244" s="51">
        <v>46174</v>
      </c>
    </row>
    <row r="245" spans="1:47" x14ac:dyDescent="0.25">
      <c r="A245" s="45" t="s">
        <v>1545</v>
      </c>
      <c r="B245" s="12" t="s">
        <v>1560</v>
      </c>
      <c r="C245" s="11">
        <v>0</v>
      </c>
      <c r="D245" s="11" t="s">
        <v>108</v>
      </c>
      <c r="E245" s="12"/>
      <c r="F245" s="12"/>
      <c r="G245" s="11" t="s">
        <v>52</v>
      </c>
      <c r="H245" s="12">
        <v>14</v>
      </c>
      <c r="I245" s="12" t="s">
        <v>1575</v>
      </c>
      <c r="J245" s="12" t="s">
        <v>42</v>
      </c>
      <c r="K245" s="12">
        <f>Table1[[#This Row],[ENR]]-Table1[[#This Row],[CREDIT]]</f>
        <v>6961.5500000000029</v>
      </c>
      <c r="L245" s="46">
        <v>90000</v>
      </c>
      <c r="M245" s="47">
        <v>96961.55</v>
      </c>
      <c r="N245" s="48">
        <v>76087.31</v>
      </c>
      <c r="O245" s="49">
        <v>20874.240000000002</v>
      </c>
      <c r="P245" s="49">
        <v>13904.69</v>
      </c>
      <c r="Q245" s="29">
        <v>20874.240000000002</v>
      </c>
      <c r="R245" s="29">
        <v>10617.26</v>
      </c>
      <c r="S245" s="11" t="s">
        <v>58</v>
      </c>
      <c r="T245" s="11" t="s">
        <v>13</v>
      </c>
      <c r="U245" s="11">
        <v>20874.240000000002</v>
      </c>
      <c r="V245" s="49">
        <f>Table1[[#This Row],[STAB]]-Table1[[#This Row],[AMOUNT]]</f>
        <v>-10256.980000000001</v>
      </c>
      <c r="W245" s="11">
        <v>0</v>
      </c>
      <c r="X245" s="11" t="s">
        <v>761</v>
      </c>
      <c r="Y245" s="11" t="s">
        <v>760</v>
      </c>
      <c r="Z245" s="12" t="s">
        <v>85</v>
      </c>
      <c r="AA245" s="12" t="s">
        <v>612</v>
      </c>
      <c r="AB245" s="12" t="s">
        <v>3140</v>
      </c>
      <c r="AC245" s="12" t="s">
        <v>1590</v>
      </c>
      <c r="AD245" s="12" t="s">
        <v>1590</v>
      </c>
      <c r="AE245" s="12" t="s">
        <v>416</v>
      </c>
      <c r="AF245" s="12" t="s">
        <v>54</v>
      </c>
      <c r="AG245" s="11" t="s">
        <v>1501</v>
      </c>
      <c r="AH245" s="11" t="s">
        <v>469</v>
      </c>
      <c r="AI245" s="12">
        <v>802835406</v>
      </c>
      <c r="AJ245" s="12" t="s">
        <v>99</v>
      </c>
      <c r="AK245" s="12"/>
      <c r="AL245" s="12"/>
      <c r="AM245" s="12" t="s">
        <v>64</v>
      </c>
      <c r="AN245" s="12"/>
      <c r="AO245" s="12"/>
      <c r="AP245" s="12"/>
      <c r="AQ245" s="50">
        <v>46024</v>
      </c>
      <c r="AR245" s="12">
        <v>31719.99</v>
      </c>
      <c r="AS245" s="12" t="s">
        <v>1601</v>
      </c>
      <c r="AT245" s="12" t="s">
        <v>1602</v>
      </c>
      <c r="AU245" s="51">
        <v>46174</v>
      </c>
    </row>
    <row r="246" spans="1:47" x14ac:dyDescent="0.25">
      <c r="A246" s="45" t="s">
        <v>1535</v>
      </c>
      <c r="B246" s="12" t="s">
        <v>1550</v>
      </c>
      <c r="C246" s="11">
        <v>0</v>
      </c>
      <c r="D246" s="11" t="s">
        <v>108</v>
      </c>
      <c r="E246" s="12"/>
      <c r="F246" s="12"/>
      <c r="G246" s="11" t="s">
        <v>52</v>
      </c>
      <c r="H246" s="12">
        <v>14</v>
      </c>
      <c r="I246" s="12" t="s">
        <v>1565</v>
      </c>
      <c r="J246" s="12" t="s">
        <v>42</v>
      </c>
      <c r="K246" s="12">
        <f>Table1[[#This Row],[ENR]]-Table1[[#This Row],[CREDIT]]</f>
        <v>4961.2100000000064</v>
      </c>
      <c r="L246" s="46">
        <v>90000</v>
      </c>
      <c r="M246" s="47">
        <v>94961.21</v>
      </c>
      <c r="N246" s="48">
        <v>24174.07</v>
      </c>
      <c r="O246" s="49">
        <v>70787.14</v>
      </c>
      <c r="P246" s="49">
        <v>65101.46</v>
      </c>
      <c r="Q246" s="29">
        <v>30970</v>
      </c>
      <c r="R246" s="29">
        <v>5310</v>
      </c>
      <c r="S246" s="11" t="s">
        <v>58</v>
      </c>
      <c r="T246" s="11" t="s">
        <v>14</v>
      </c>
      <c r="U246" s="29">
        <v>5320</v>
      </c>
      <c r="V246" s="49">
        <f>Table1[[#This Row],[STAB]]-Table1[[#This Row],[AMOUNT]]</f>
        <v>-10</v>
      </c>
      <c r="W246" s="11" t="s">
        <v>3119</v>
      </c>
      <c r="X246" s="11" t="s">
        <v>444</v>
      </c>
      <c r="Y246" s="11" t="s">
        <v>1085</v>
      </c>
      <c r="Z246" s="12" t="s">
        <v>85</v>
      </c>
      <c r="AA246" s="11" t="s">
        <v>447</v>
      </c>
      <c r="AB246" s="12" t="s">
        <v>3139</v>
      </c>
      <c r="AC246" s="12" t="s">
        <v>1580</v>
      </c>
      <c r="AD246" s="12" t="s">
        <v>1580</v>
      </c>
      <c r="AE246" s="12" t="s">
        <v>603</v>
      </c>
      <c r="AF246" s="12" t="s">
        <v>53</v>
      </c>
      <c r="AG246" s="11" t="s">
        <v>89</v>
      </c>
      <c r="AH246" s="11" t="s">
        <v>193</v>
      </c>
      <c r="AI246" s="11">
        <v>802824019</v>
      </c>
      <c r="AJ246" s="11" t="s">
        <v>189</v>
      </c>
      <c r="AK246" s="12"/>
      <c r="AL246" s="12"/>
      <c r="AM246" s="12" t="s">
        <v>64</v>
      </c>
      <c r="AN246" s="12"/>
      <c r="AO246" s="12"/>
      <c r="AP246" s="12"/>
      <c r="AQ246" s="50">
        <v>46113</v>
      </c>
      <c r="AR246" s="12">
        <v>9467</v>
      </c>
      <c r="AS246" s="12" t="s">
        <v>1601</v>
      </c>
      <c r="AT246" s="12" t="s">
        <v>1602</v>
      </c>
      <c r="AU246" s="51">
        <v>46174</v>
      </c>
    </row>
    <row r="247" spans="1:47" x14ac:dyDescent="0.25">
      <c r="A247" s="45" t="s">
        <v>1538</v>
      </c>
      <c r="B247" s="12" t="s">
        <v>1553</v>
      </c>
      <c r="C247" s="11">
        <v>0</v>
      </c>
      <c r="D247" s="11" t="s">
        <v>108</v>
      </c>
      <c r="E247" s="12"/>
      <c r="F247" s="12"/>
      <c r="G247" s="11" t="s">
        <v>52</v>
      </c>
      <c r="H247" s="12">
        <v>14</v>
      </c>
      <c r="I247" s="12" t="s">
        <v>1568</v>
      </c>
      <c r="J247" s="12" t="s">
        <v>42</v>
      </c>
      <c r="K247" s="12">
        <f>Table1[[#This Row],[ENR]]-Table1[[#This Row],[CREDIT]]</f>
        <v>1034.0299999999988</v>
      </c>
      <c r="L247" s="46">
        <v>90000</v>
      </c>
      <c r="M247" s="47">
        <v>91034.03</v>
      </c>
      <c r="N247" s="48" t="s">
        <v>43</v>
      </c>
      <c r="O247" s="49">
        <v>91034.03</v>
      </c>
      <c r="P247" s="49">
        <v>82317.440000000002</v>
      </c>
      <c r="Q247" s="29">
        <v>19990</v>
      </c>
      <c r="R247" s="29">
        <v>9813.34</v>
      </c>
      <c r="S247" s="11" t="s">
        <v>58</v>
      </c>
      <c r="T247" s="11" t="s">
        <v>14</v>
      </c>
      <c r="U247" s="29">
        <v>10572</v>
      </c>
      <c r="V247" s="49">
        <f>Table1[[#This Row],[STAB]]-Table1[[#This Row],[AMOUNT]]</f>
        <v>-758.65999999999985</v>
      </c>
      <c r="W247" s="11">
        <v>0</v>
      </c>
      <c r="X247" s="11" t="s">
        <v>761</v>
      </c>
      <c r="Y247" s="11" t="s">
        <v>760</v>
      </c>
      <c r="Z247" s="12" t="s">
        <v>85</v>
      </c>
      <c r="AA247" s="12" t="s">
        <v>612</v>
      </c>
      <c r="AB247" s="12" t="s">
        <v>3141</v>
      </c>
      <c r="AC247" s="12" t="s">
        <v>1583</v>
      </c>
      <c r="AD247" s="12" t="s">
        <v>1595</v>
      </c>
      <c r="AE247" s="12" t="s">
        <v>414</v>
      </c>
      <c r="AF247" s="12" t="s">
        <v>127</v>
      </c>
      <c r="AG247" s="12" t="s">
        <v>106</v>
      </c>
      <c r="AH247" s="11" t="s">
        <v>460</v>
      </c>
      <c r="AI247" s="12">
        <v>802913252</v>
      </c>
      <c r="AJ247" s="12" t="s">
        <v>190</v>
      </c>
      <c r="AK247" s="12"/>
      <c r="AL247" s="12"/>
      <c r="AM247" s="12" t="s">
        <v>64</v>
      </c>
      <c r="AN247" s="12" t="s">
        <v>446</v>
      </c>
      <c r="AO247" s="12" t="s">
        <v>2440</v>
      </c>
      <c r="AP247" s="12" t="s">
        <v>2294</v>
      </c>
      <c r="AQ247" s="50">
        <v>46148</v>
      </c>
      <c r="AR247" s="12">
        <v>1526.66</v>
      </c>
      <c r="AS247" s="12" t="s">
        <v>1601</v>
      </c>
      <c r="AT247" s="12" t="s">
        <v>1602</v>
      </c>
      <c r="AU247" s="51">
        <v>46174</v>
      </c>
    </row>
    <row r="248" spans="1:47" x14ac:dyDescent="0.25">
      <c r="A248" s="45" t="s">
        <v>1534</v>
      </c>
      <c r="B248" s="12" t="s">
        <v>1549</v>
      </c>
      <c r="C248" s="11">
        <v>0</v>
      </c>
      <c r="D248" s="11" t="s">
        <v>108</v>
      </c>
      <c r="E248" s="12"/>
      <c r="F248" s="12"/>
      <c r="G248" s="11" t="s">
        <v>52</v>
      </c>
      <c r="H248" s="12">
        <v>14</v>
      </c>
      <c r="I248" s="12" t="s">
        <v>1564</v>
      </c>
      <c r="J248" s="12" t="s">
        <v>42</v>
      </c>
      <c r="K248" s="12">
        <f>Table1[[#This Row],[ENR]]-Table1[[#This Row],[CREDIT]]</f>
        <v>5666.3399999999965</v>
      </c>
      <c r="L248" s="46">
        <v>80000</v>
      </c>
      <c r="M248" s="47">
        <v>85666.34</v>
      </c>
      <c r="N248" s="48">
        <v>33380.300000000003</v>
      </c>
      <c r="O248" s="49">
        <v>52286.04</v>
      </c>
      <c r="P248" s="49">
        <v>45813.82</v>
      </c>
      <c r="Q248" s="29">
        <v>15760</v>
      </c>
      <c r="R248" s="29">
        <v>6440</v>
      </c>
      <c r="S248" s="11" t="s">
        <v>58</v>
      </c>
      <c r="T248" s="11" t="s">
        <v>13</v>
      </c>
      <c r="U248" s="11">
        <v>15760</v>
      </c>
      <c r="V248" s="49">
        <f>Table1[[#This Row],[STAB]]-Table1[[#This Row],[AMOUNT]]</f>
        <v>-9320</v>
      </c>
      <c r="W248" s="11">
        <v>0</v>
      </c>
      <c r="X248" s="11" t="s">
        <v>761</v>
      </c>
      <c r="Y248" s="11">
        <v>0</v>
      </c>
      <c r="Z248" s="11" t="s">
        <v>85</v>
      </c>
      <c r="AA248" s="11" t="s">
        <v>447</v>
      </c>
      <c r="AB248" s="12" t="s">
        <v>3139</v>
      </c>
      <c r="AC248" s="12" t="s">
        <v>1579</v>
      </c>
      <c r="AD248" s="12" t="s">
        <v>1593</v>
      </c>
      <c r="AE248" s="12" t="s">
        <v>125</v>
      </c>
      <c r="AF248" s="12" t="s">
        <v>127</v>
      </c>
      <c r="AG248" s="12" t="s">
        <v>56</v>
      </c>
      <c r="AH248" s="11" t="s">
        <v>462</v>
      </c>
      <c r="AI248" s="12">
        <v>801448854</v>
      </c>
      <c r="AJ248" s="12" t="s">
        <v>191</v>
      </c>
      <c r="AK248" s="12"/>
      <c r="AL248" s="12"/>
      <c r="AM248" s="12" t="s">
        <v>64</v>
      </c>
      <c r="AN248" s="12"/>
      <c r="AO248" s="12"/>
      <c r="AP248" s="12"/>
      <c r="AQ248" s="50">
        <v>46093</v>
      </c>
      <c r="AR248" s="12">
        <v>5710</v>
      </c>
      <c r="AS248" s="12" t="s">
        <v>608</v>
      </c>
      <c r="AT248" s="12" t="s">
        <v>1602</v>
      </c>
      <c r="AU248" s="51">
        <v>46174</v>
      </c>
    </row>
    <row r="249" spans="1:47" x14ac:dyDescent="0.25">
      <c r="A249" s="45" t="s">
        <v>1546</v>
      </c>
      <c r="B249" s="12" t="s">
        <v>1561</v>
      </c>
      <c r="C249" s="11">
        <v>0</v>
      </c>
      <c r="D249" s="11" t="s">
        <v>108</v>
      </c>
      <c r="E249" s="12"/>
      <c r="F249" s="12"/>
      <c r="G249" s="11" t="s">
        <v>52</v>
      </c>
      <c r="H249" s="12">
        <v>14</v>
      </c>
      <c r="I249" s="12" t="s">
        <v>1576</v>
      </c>
      <c r="J249" s="12" t="s">
        <v>42</v>
      </c>
      <c r="K249" s="12">
        <f>Table1[[#This Row],[ENR]]-Table1[[#This Row],[CREDIT]]</f>
        <v>1249.8899999999994</v>
      </c>
      <c r="L249" s="46">
        <v>60000</v>
      </c>
      <c r="M249" s="47">
        <v>61249.89</v>
      </c>
      <c r="N249" s="48">
        <v>44501.99</v>
      </c>
      <c r="O249" s="49">
        <v>16747.900000000001</v>
      </c>
      <c r="P249" s="49">
        <v>13114.68</v>
      </c>
      <c r="Q249" s="29">
        <v>12100</v>
      </c>
      <c r="R249" s="29">
        <v>5140</v>
      </c>
      <c r="S249" s="11" t="s">
        <v>44</v>
      </c>
      <c r="T249" s="11" t="s">
        <v>45</v>
      </c>
      <c r="U249" s="11">
        <v>0</v>
      </c>
      <c r="V249" s="49">
        <f>Table1[[#This Row],[STAB]]-Table1[[#This Row],[AMOUNT]]</f>
        <v>5140</v>
      </c>
      <c r="W249" s="11">
        <v>0</v>
      </c>
      <c r="X249" s="11" t="s">
        <v>83</v>
      </c>
      <c r="Y249" s="11">
        <v>0</v>
      </c>
      <c r="Z249" s="12" t="s">
        <v>85</v>
      </c>
      <c r="AA249" s="12" t="s">
        <v>612</v>
      </c>
      <c r="AB249" s="12" t="s">
        <v>3139</v>
      </c>
      <c r="AC249" s="12" t="s">
        <v>1591</v>
      </c>
      <c r="AD249" s="12" t="s">
        <v>1600</v>
      </c>
      <c r="AE249" s="12" t="s">
        <v>429</v>
      </c>
      <c r="AF249" s="12" t="s">
        <v>54</v>
      </c>
      <c r="AG249" s="12" t="s">
        <v>95</v>
      </c>
      <c r="AH249" s="11" t="s">
        <v>465</v>
      </c>
      <c r="AI249" s="12">
        <v>802823175</v>
      </c>
      <c r="AJ249" s="12" t="s">
        <v>191</v>
      </c>
      <c r="AK249" s="12"/>
      <c r="AL249" s="12"/>
      <c r="AM249" s="12" t="s">
        <v>64</v>
      </c>
      <c r="AN249" s="12" t="s">
        <v>446</v>
      </c>
      <c r="AO249" s="12" t="s">
        <v>3180</v>
      </c>
      <c r="AP249" s="12" t="s">
        <v>3169</v>
      </c>
      <c r="AQ249" s="50">
        <v>45838</v>
      </c>
      <c r="AR249" s="12">
        <v>6285.38</v>
      </c>
      <c r="AS249" s="12" t="s">
        <v>1075</v>
      </c>
      <c r="AT249" s="12" t="s">
        <v>1602</v>
      </c>
      <c r="AU249" s="51">
        <v>46174</v>
      </c>
    </row>
    <row r="250" spans="1:47" x14ac:dyDescent="0.25">
      <c r="A250" s="45" t="s">
        <v>1532</v>
      </c>
      <c r="B250" s="12" t="s">
        <v>1547</v>
      </c>
      <c r="C250" s="11">
        <v>0</v>
      </c>
      <c r="D250" s="11" t="s">
        <v>108</v>
      </c>
      <c r="E250" s="12"/>
      <c r="F250" s="12"/>
      <c r="G250" s="11" t="s">
        <v>52</v>
      </c>
      <c r="H250" s="12">
        <v>14</v>
      </c>
      <c r="I250" s="12" t="s">
        <v>1562</v>
      </c>
      <c r="J250" s="12" t="s">
        <v>42</v>
      </c>
      <c r="K250" s="12">
        <f>Table1[[#This Row],[ENR]]-Table1[[#This Row],[CREDIT]]</f>
        <v>4275.7099999999991</v>
      </c>
      <c r="L250" s="46">
        <v>56970</v>
      </c>
      <c r="M250" s="47">
        <v>61245.71</v>
      </c>
      <c r="N250" s="48">
        <v>19406.86</v>
      </c>
      <c r="O250" s="49">
        <v>41838.85</v>
      </c>
      <c r="P250" s="49">
        <v>36891.449999999997</v>
      </c>
      <c r="Q250" s="29">
        <v>23600</v>
      </c>
      <c r="R250" s="29">
        <v>11800</v>
      </c>
      <c r="S250" s="11" t="s">
        <v>44</v>
      </c>
      <c r="T250" s="11" t="s">
        <v>45</v>
      </c>
      <c r="U250" s="11">
        <v>0</v>
      </c>
      <c r="V250" s="49">
        <f>Table1[[#This Row],[STAB]]-Table1[[#This Row],[AMOUNT]]</f>
        <v>11800</v>
      </c>
      <c r="W250" s="11">
        <v>0</v>
      </c>
      <c r="X250" s="11" t="s">
        <v>83</v>
      </c>
      <c r="Y250" s="11">
        <v>0</v>
      </c>
      <c r="Z250" s="12" t="s">
        <v>85</v>
      </c>
      <c r="AA250" s="11" t="s">
        <v>447</v>
      </c>
      <c r="AB250" s="12" t="s">
        <v>3139</v>
      </c>
      <c r="AC250" s="12" t="s">
        <v>1577</v>
      </c>
      <c r="AD250" s="12" t="s">
        <v>1577</v>
      </c>
      <c r="AE250" s="12" t="s">
        <v>604</v>
      </c>
      <c r="AF250" s="12" t="s">
        <v>439</v>
      </c>
      <c r="AG250" s="12" t="s">
        <v>63</v>
      </c>
      <c r="AH250" s="11" t="s">
        <v>467</v>
      </c>
      <c r="AI250" s="12">
        <v>801570488</v>
      </c>
      <c r="AJ250" s="12" t="s">
        <v>190</v>
      </c>
      <c r="AK250" s="12"/>
      <c r="AL250" s="12"/>
      <c r="AM250" s="12" t="s">
        <v>46</v>
      </c>
      <c r="AN250" s="12"/>
      <c r="AO250" s="12"/>
      <c r="AP250" s="12"/>
      <c r="AQ250" s="50">
        <v>45739</v>
      </c>
      <c r="AR250" s="12">
        <v>32423.31</v>
      </c>
      <c r="AS250" s="12" t="s">
        <v>1601</v>
      </c>
      <c r="AT250" s="12" t="s">
        <v>1602</v>
      </c>
      <c r="AU250" s="51">
        <v>46174</v>
      </c>
    </row>
    <row r="251" spans="1:47" x14ac:dyDescent="0.25">
      <c r="A251" s="45" t="s">
        <v>1536</v>
      </c>
      <c r="B251" s="12" t="s">
        <v>1551</v>
      </c>
      <c r="C251" s="11">
        <v>0</v>
      </c>
      <c r="D251" s="11" t="s">
        <v>108</v>
      </c>
      <c r="E251" s="12"/>
      <c r="F251" s="12"/>
      <c r="G251" s="11" t="s">
        <v>52</v>
      </c>
      <c r="H251" s="12">
        <v>14</v>
      </c>
      <c r="I251" s="12" t="s">
        <v>1566</v>
      </c>
      <c r="J251" s="12" t="s">
        <v>42</v>
      </c>
      <c r="K251" s="12">
        <f>Table1[[#This Row],[ENR]]-Table1[[#This Row],[CREDIT]]</f>
        <v>4678.5899999999965</v>
      </c>
      <c r="L251" s="46">
        <v>47700</v>
      </c>
      <c r="M251" s="47">
        <v>52378.59</v>
      </c>
      <c r="N251" s="48" t="s">
        <v>43</v>
      </c>
      <c r="O251" s="49">
        <v>52378.59</v>
      </c>
      <c r="P251" s="49">
        <v>47554.6</v>
      </c>
      <c r="Q251" s="29">
        <v>13800</v>
      </c>
      <c r="R251" s="29">
        <v>7760</v>
      </c>
      <c r="S251" s="11" t="s">
        <v>44</v>
      </c>
      <c r="T251" s="11" t="s">
        <v>45</v>
      </c>
      <c r="U251" s="11">
        <v>0</v>
      </c>
      <c r="V251" s="49">
        <f>Table1[[#This Row],[STAB]]-Table1[[#This Row],[AMOUNT]]</f>
        <v>7760</v>
      </c>
      <c r="W251" s="11">
        <v>0</v>
      </c>
      <c r="X251" s="11" t="s">
        <v>83</v>
      </c>
      <c r="Y251" s="11" t="s">
        <v>760</v>
      </c>
      <c r="Z251" s="12" t="s">
        <v>85</v>
      </c>
      <c r="AA251" s="12" t="s">
        <v>612</v>
      </c>
      <c r="AB251" s="12" t="s">
        <v>3139</v>
      </c>
      <c r="AC251" s="12" t="s">
        <v>1581</v>
      </c>
      <c r="AD251" s="12" t="s">
        <v>1581</v>
      </c>
      <c r="AE251" s="12" t="s">
        <v>605</v>
      </c>
      <c r="AF251" s="12" t="s">
        <v>127</v>
      </c>
      <c r="AG251" s="12" t="s">
        <v>94</v>
      </c>
      <c r="AH251" s="11" t="s">
        <v>628</v>
      </c>
      <c r="AI251" s="12">
        <v>802631601</v>
      </c>
      <c r="AJ251" s="12" t="s">
        <v>99</v>
      </c>
      <c r="AK251" s="12"/>
      <c r="AL251" s="12"/>
      <c r="AM251" s="12" t="s">
        <v>46</v>
      </c>
      <c r="AN251" s="12"/>
      <c r="AO251" s="12"/>
      <c r="AP251" s="12"/>
      <c r="AQ251" s="50">
        <v>46086</v>
      </c>
      <c r="AR251" s="12">
        <v>45314.61</v>
      </c>
      <c r="AS251" s="12" t="s">
        <v>1601</v>
      </c>
      <c r="AT251" s="12" t="s">
        <v>1602</v>
      </c>
      <c r="AU251" s="51">
        <v>46174</v>
      </c>
    </row>
    <row r="252" spans="1:47" x14ac:dyDescent="0.25">
      <c r="A252" s="10" t="s">
        <v>1544</v>
      </c>
      <c r="B252" s="11" t="s">
        <v>1559</v>
      </c>
      <c r="C252" s="11">
        <v>0</v>
      </c>
      <c r="D252" s="11" t="s">
        <v>108</v>
      </c>
      <c r="E252" s="11"/>
      <c r="F252" s="11"/>
      <c r="G252" s="11" t="s">
        <v>52</v>
      </c>
      <c r="H252" s="11">
        <v>15</v>
      </c>
      <c r="I252" s="11" t="s">
        <v>1574</v>
      </c>
      <c r="J252" s="11" t="s">
        <v>42</v>
      </c>
      <c r="K252" s="11">
        <f>Table1[[#This Row],[ENR]]-Table1[[#This Row],[CREDIT]]</f>
        <v>146719.52000000002</v>
      </c>
      <c r="L252" s="43">
        <v>2500000</v>
      </c>
      <c r="M252" s="30">
        <v>2646719.52</v>
      </c>
      <c r="N252" s="44" t="s">
        <v>43</v>
      </c>
      <c r="O252" s="29">
        <v>2646719.52</v>
      </c>
      <c r="P252" s="29">
        <v>2426066.83</v>
      </c>
      <c r="Q252" s="29">
        <v>511810</v>
      </c>
      <c r="R252" s="29">
        <v>175910</v>
      </c>
      <c r="S252" s="11" t="s">
        <v>58</v>
      </c>
      <c r="T252" s="11" t="s">
        <v>13</v>
      </c>
      <c r="U252" s="11">
        <v>511810</v>
      </c>
      <c r="V252" s="29">
        <f>Table1[[#This Row],[STAB]]-Table1[[#This Row],[AMOUNT]]</f>
        <v>-335900</v>
      </c>
      <c r="W252" s="11">
        <v>0</v>
      </c>
      <c r="X252" s="11" t="s">
        <v>761</v>
      </c>
      <c r="Y252" s="11" t="s">
        <v>759</v>
      </c>
      <c r="Z252" s="12" t="s">
        <v>85</v>
      </c>
      <c r="AA252" s="12" t="s">
        <v>611</v>
      </c>
      <c r="AB252" s="11" t="s">
        <v>3140</v>
      </c>
      <c r="AC252" s="11" t="s">
        <v>1589</v>
      </c>
      <c r="AD252" s="11" t="s">
        <v>1599</v>
      </c>
      <c r="AE252" s="11" t="s">
        <v>421</v>
      </c>
      <c r="AF252" s="11" t="s">
        <v>54</v>
      </c>
      <c r="AG252" s="12" t="s">
        <v>119</v>
      </c>
      <c r="AH252" s="11" t="s">
        <v>626</v>
      </c>
      <c r="AI252" s="12">
        <v>802663344</v>
      </c>
      <c r="AJ252" s="12" t="s">
        <v>191</v>
      </c>
      <c r="AK252" s="11"/>
      <c r="AL252" s="11"/>
      <c r="AM252" s="12" t="s">
        <v>64</v>
      </c>
      <c r="AN252" s="11" t="s">
        <v>115</v>
      </c>
      <c r="AO252" s="11" t="s">
        <v>1649</v>
      </c>
      <c r="AP252" s="11" t="s">
        <v>1645</v>
      </c>
      <c r="AQ252" s="3">
        <v>46116</v>
      </c>
      <c r="AR252" s="11">
        <v>250000</v>
      </c>
      <c r="AS252" s="11" t="s">
        <v>48</v>
      </c>
      <c r="AT252" s="12" t="s">
        <v>1602</v>
      </c>
      <c r="AU252" s="2">
        <v>46175</v>
      </c>
    </row>
    <row r="253" spans="1:47" x14ac:dyDescent="0.25">
      <c r="A253" s="10" t="s">
        <v>1707</v>
      </c>
      <c r="B253" s="11" t="s">
        <v>1804</v>
      </c>
      <c r="C253" s="11">
        <v>0</v>
      </c>
      <c r="D253" s="11" t="s">
        <v>108</v>
      </c>
      <c r="E253" s="11"/>
      <c r="F253" s="11"/>
      <c r="G253" s="11" t="s">
        <v>52</v>
      </c>
      <c r="H253" s="11">
        <v>15</v>
      </c>
      <c r="I253" s="11" t="s">
        <v>1901</v>
      </c>
      <c r="J253" s="11" t="s">
        <v>42</v>
      </c>
      <c r="K253" s="11">
        <f>Table1[[#This Row],[ENR]]-Table1[[#This Row],[CREDIT]]</f>
        <v>37808.329999999958</v>
      </c>
      <c r="L253" s="43">
        <v>500000</v>
      </c>
      <c r="M253" s="30">
        <v>537808.32999999996</v>
      </c>
      <c r="N253" s="44" t="s">
        <v>43</v>
      </c>
      <c r="O253" s="29">
        <v>537808.32999999996</v>
      </c>
      <c r="P253" s="29">
        <v>468895.07</v>
      </c>
      <c r="Q253" s="29">
        <v>133770</v>
      </c>
      <c r="R253" s="29">
        <v>43070</v>
      </c>
      <c r="S253" s="11" t="s">
        <v>58</v>
      </c>
      <c r="T253" s="11" t="s">
        <v>13</v>
      </c>
      <c r="U253" s="11">
        <v>537808.32999999996</v>
      </c>
      <c r="V253" s="29">
        <f>Table1[[#This Row],[STAB]]-Table1[[#This Row],[AMOUNT]]</f>
        <v>-494738.32999999996</v>
      </c>
      <c r="W253" s="11" t="s">
        <v>3204</v>
      </c>
      <c r="X253" s="11" t="s">
        <v>444</v>
      </c>
      <c r="Y253" s="11" t="s">
        <v>760</v>
      </c>
      <c r="Z253" s="11" t="s">
        <v>85</v>
      </c>
      <c r="AA253" s="11" t="s">
        <v>613</v>
      </c>
      <c r="AB253" s="11" t="s">
        <v>3139</v>
      </c>
      <c r="AC253" s="11" t="s">
        <v>1998</v>
      </c>
      <c r="AD253" s="11" t="s">
        <v>2095</v>
      </c>
      <c r="AE253" s="11" t="s">
        <v>133</v>
      </c>
      <c r="AF253" s="11" t="s">
        <v>54</v>
      </c>
      <c r="AG253" s="12" t="s">
        <v>1658</v>
      </c>
      <c r="AH253" s="11" t="s">
        <v>85</v>
      </c>
      <c r="AI253" s="12">
        <v>801772794</v>
      </c>
      <c r="AJ253" s="12" t="s">
        <v>192</v>
      </c>
      <c r="AK253" s="11"/>
      <c r="AL253" s="11"/>
      <c r="AM253" s="12" t="s">
        <v>64</v>
      </c>
      <c r="AN253" s="11"/>
      <c r="AO253" s="11"/>
      <c r="AP253" s="11"/>
      <c r="AQ253" s="3">
        <v>46073</v>
      </c>
      <c r="AR253" s="11">
        <v>1565.11</v>
      </c>
      <c r="AS253" s="11" t="s">
        <v>48</v>
      </c>
      <c r="AT253" s="12" t="s">
        <v>2152</v>
      </c>
      <c r="AU253" s="2">
        <v>46175</v>
      </c>
    </row>
    <row r="254" spans="1:47" x14ac:dyDescent="0.25">
      <c r="A254" s="10" t="s">
        <v>1706</v>
      </c>
      <c r="B254" s="11" t="s">
        <v>1803</v>
      </c>
      <c r="C254" s="11">
        <v>0</v>
      </c>
      <c r="D254" s="11" t="s">
        <v>108</v>
      </c>
      <c r="E254" s="11"/>
      <c r="F254" s="11"/>
      <c r="G254" s="11" t="s">
        <v>52</v>
      </c>
      <c r="H254" s="11">
        <v>15</v>
      </c>
      <c r="I254" s="11" t="s">
        <v>1900</v>
      </c>
      <c r="J254" s="11" t="s">
        <v>42</v>
      </c>
      <c r="K254" s="11">
        <f>Table1[[#This Row],[ENR]]-Table1[[#This Row],[CREDIT]]</f>
        <v>35566.160000000033</v>
      </c>
      <c r="L254" s="43">
        <v>500000</v>
      </c>
      <c r="M254" s="30">
        <v>535566.16</v>
      </c>
      <c r="N254" s="44" t="s">
        <v>43</v>
      </c>
      <c r="O254" s="29">
        <v>535566.16</v>
      </c>
      <c r="P254" s="29">
        <v>499989.78</v>
      </c>
      <c r="Q254" s="29">
        <v>118120</v>
      </c>
      <c r="R254" s="29">
        <v>25000</v>
      </c>
      <c r="S254" s="11" t="s">
        <v>44</v>
      </c>
      <c r="T254" s="11" t="s">
        <v>45</v>
      </c>
      <c r="U254" s="11">
        <v>0</v>
      </c>
      <c r="V254" s="29">
        <f>Table1[[#This Row],[STAB]]-Table1[[#This Row],[AMOUNT]]</f>
        <v>25000</v>
      </c>
      <c r="W254" s="11">
        <v>0</v>
      </c>
      <c r="X254" s="11" t="s">
        <v>83</v>
      </c>
      <c r="Y254" s="11">
        <v>0</v>
      </c>
      <c r="Z254" s="12" t="s">
        <v>85</v>
      </c>
      <c r="AA254" s="12" t="s">
        <v>611</v>
      </c>
      <c r="AB254" s="11" t="s">
        <v>3139</v>
      </c>
      <c r="AC254" s="11" t="s">
        <v>1997</v>
      </c>
      <c r="AD254" s="11" t="s">
        <v>2094</v>
      </c>
      <c r="AE254" s="11" t="s">
        <v>424</v>
      </c>
      <c r="AF254" s="11" t="s">
        <v>54</v>
      </c>
      <c r="AG254" s="11" t="s">
        <v>1658</v>
      </c>
      <c r="AH254" s="11" t="s">
        <v>85</v>
      </c>
      <c r="AI254" s="11">
        <v>801772794</v>
      </c>
      <c r="AJ254" s="11" t="s">
        <v>192</v>
      </c>
      <c r="AK254" s="11"/>
      <c r="AL254" s="11"/>
      <c r="AM254" s="12" t="s">
        <v>64</v>
      </c>
      <c r="AN254" s="11" t="s">
        <v>219</v>
      </c>
      <c r="AO254" s="11" t="s">
        <v>2439</v>
      </c>
      <c r="AP254" s="11" t="s">
        <v>2294</v>
      </c>
      <c r="AQ254" s="3">
        <v>46112</v>
      </c>
      <c r="AR254" s="11">
        <v>1373</v>
      </c>
      <c r="AS254" s="11" t="s">
        <v>144</v>
      </c>
      <c r="AT254" s="12" t="s">
        <v>2152</v>
      </c>
      <c r="AU254" s="2">
        <v>46175</v>
      </c>
    </row>
    <row r="255" spans="1:47" x14ac:dyDescent="0.25">
      <c r="A255" s="10" t="s">
        <v>1537</v>
      </c>
      <c r="B255" s="11" t="s">
        <v>1552</v>
      </c>
      <c r="C255" s="11">
        <v>0</v>
      </c>
      <c r="D255" s="11" t="s">
        <v>108</v>
      </c>
      <c r="E255" s="11"/>
      <c r="F255" s="11"/>
      <c r="G255" s="11" t="s">
        <v>52</v>
      </c>
      <c r="H255" s="11">
        <v>15</v>
      </c>
      <c r="I255" s="11" t="s">
        <v>1567</v>
      </c>
      <c r="J255" s="11" t="s">
        <v>42</v>
      </c>
      <c r="K255" s="11">
        <f>Table1[[#This Row],[ENR]]-Table1[[#This Row],[CREDIT]]</f>
        <v>16700.960000000021</v>
      </c>
      <c r="L255" s="43">
        <v>485000</v>
      </c>
      <c r="M255" s="30">
        <v>501700.96</v>
      </c>
      <c r="N255" s="44">
        <v>378385.59</v>
      </c>
      <c r="O255" s="29">
        <v>123315.37</v>
      </c>
      <c r="P255" s="29">
        <v>99540.23</v>
      </c>
      <c r="Q255" s="29">
        <v>79460</v>
      </c>
      <c r="R255" s="29">
        <v>35253.43</v>
      </c>
      <c r="S255" s="11" t="s">
        <v>44</v>
      </c>
      <c r="T255" s="11" t="s">
        <v>45</v>
      </c>
      <c r="U255" s="11">
        <v>0</v>
      </c>
      <c r="V255" s="29">
        <f>Table1[[#This Row],[STAB]]-Table1[[#This Row],[AMOUNT]]</f>
        <v>35253.43</v>
      </c>
      <c r="W255" s="11">
        <v>0</v>
      </c>
      <c r="X255" s="11" t="s">
        <v>83</v>
      </c>
      <c r="Y255" s="11">
        <v>0</v>
      </c>
      <c r="Z255" s="11" t="s">
        <v>85</v>
      </c>
      <c r="AA255" s="11" t="s">
        <v>613</v>
      </c>
      <c r="AB255" s="11" t="s">
        <v>3139</v>
      </c>
      <c r="AC255" s="11" t="s">
        <v>1582</v>
      </c>
      <c r="AD255" s="11" t="s">
        <v>1594</v>
      </c>
      <c r="AE255" s="11" t="s">
        <v>413</v>
      </c>
      <c r="AF255" s="11" t="s">
        <v>54</v>
      </c>
      <c r="AG255" s="12" t="s">
        <v>146</v>
      </c>
      <c r="AH255" s="12" t="s">
        <v>625</v>
      </c>
      <c r="AI255" s="11">
        <v>801217009</v>
      </c>
      <c r="AJ255" s="11" t="s">
        <v>190</v>
      </c>
      <c r="AK255" s="11"/>
      <c r="AL255" s="11"/>
      <c r="AM255" s="12" t="s">
        <v>64</v>
      </c>
      <c r="AN255" s="11" t="s">
        <v>221</v>
      </c>
      <c r="AO255" s="11" t="s">
        <v>2162</v>
      </c>
      <c r="AP255" s="11" t="s">
        <v>1667</v>
      </c>
      <c r="AQ255" s="3">
        <v>46114</v>
      </c>
      <c r="AR255" s="11">
        <v>58533.84</v>
      </c>
      <c r="AS255" s="11" t="s">
        <v>430</v>
      </c>
      <c r="AT255" s="12" t="s">
        <v>1602</v>
      </c>
      <c r="AU255" s="2">
        <v>46175</v>
      </c>
    </row>
    <row r="256" spans="1:47" x14ac:dyDescent="0.25">
      <c r="A256" s="10" t="s">
        <v>1681</v>
      </c>
      <c r="B256" s="11" t="s">
        <v>1778</v>
      </c>
      <c r="C256" s="11">
        <v>0</v>
      </c>
      <c r="D256" s="11" t="s">
        <v>108</v>
      </c>
      <c r="E256" s="11"/>
      <c r="F256" s="11"/>
      <c r="G256" s="11" t="s">
        <v>52</v>
      </c>
      <c r="H256" s="11">
        <v>15</v>
      </c>
      <c r="I256" s="11" t="s">
        <v>1875</v>
      </c>
      <c r="J256" s="11" t="s">
        <v>42</v>
      </c>
      <c r="K256" s="11">
        <f>Table1[[#This Row],[ENR]]-Table1[[#This Row],[CREDIT]]</f>
        <v>8217.8399999999965</v>
      </c>
      <c r="L256" s="43">
        <v>80000</v>
      </c>
      <c r="M256" s="30">
        <v>88217.84</v>
      </c>
      <c r="N256" s="44" t="s">
        <v>43</v>
      </c>
      <c r="O256" s="29">
        <v>88217.84</v>
      </c>
      <c r="P256" s="29">
        <v>78691.92</v>
      </c>
      <c r="Q256" s="29">
        <v>31900</v>
      </c>
      <c r="R256" s="29">
        <v>7819.84</v>
      </c>
      <c r="S256" s="11" t="s">
        <v>44</v>
      </c>
      <c r="T256" s="11" t="s">
        <v>45</v>
      </c>
      <c r="U256" s="11">
        <v>0</v>
      </c>
      <c r="V256" s="29">
        <f>Table1[[#This Row],[STAB]]-Table1[[#This Row],[AMOUNT]]</f>
        <v>7819.84</v>
      </c>
      <c r="W256" s="11">
        <v>0</v>
      </c>
      <c r="X256" s="11" t="s">
        <v>83</v>
      </c>
      <c r="Y256" s="11">
        <v>0</v>
      </c>
      <c r="Z256" s="12" t="s">
        <v>85</v>
      </c>
      <c r="AA256" s="12" t="s">
        <v>611</v>
      </c>
      <c r="AB256" s="11" t="s">
        <v>3139</v>
      </c>
      <c r="AC256" s="11" t="s">
        <v>1972</v>
      </c>
      <c r="AD256" s="11" t="s">
        <v>2069</v>
      </c>
      <c r="AE256" s="11" t="s">
        <v>1071</v>
      </c>
      <c r="AF256" s="11" t="s">
        <v>53</v>
      </c>
      <c r="AG256" s="11" t="s">
        <v>55</v>
      </c>
      <c r="AH256" s="11" t="s">
        <v>468</v>
      </c>
      <c r="AI256" s="11">
        <v>802030802</v>
      </c>
      <c r="AJ256" s="11" t="s">
        <v>458</v>
      </c>
      <c r="AK256" s="11"/>
      <c r="AL256" s="11"/>
      <c r="AM256" s="12" t="s">
        <v>64</v>
      </c>
      <c r="AN256" s="11" t="s">
        <v>221</v>
      </c>
      <c r="AO256" s="11" t="s">
        <v>3151</v>
      </c>
      <c r="AP256" s="11" t="s">
        <v>3129</v>
      </c>
      <c r="AQ256" s="3">
        <v>46081</v>
      </c>
      <c r="AR256" s="11">
        <v>17000</v>
      </c>
      <c r="AS256" s="11" t="s">
        <v>144</v>
      </c>
      <c r="AT256" s="12" t="s">
        <v>2152</v>
      </c>
      <c r="AU256" s="2">
        <v>46175</v>
      </c>
    </row>
    <row r="257" spans="1:47" x14ac:dyDescent="0.25">
      <c r="A257" s="45" t="s">
        <v>1710</v>
      </c>
      <c r="B257" s="12" t="s">
        <v>1807</v>
      </c>
      <c r="C257" s="11">
        <v>0</v>
      </c>
      <c r="D257" s="11" t="s">
        <v>108</v>
      </c>
      <c r="E257" s="12"/>
      <c r="F257" s="12"/>
      <c r="G257" s="11" t="s">
        <v>52</v>
      </c>
      <c r="H257" s="12">
        <v>16</v>
      </c>
      <c r="I257" s="12" t="s">
        <v>1904</v>
      </c>
      <c r="J257" s="12" t="s">
        <v>42</v>
      </c>
      <c r="K257" s="12">
        <f>Table1[[#This Row],[ENR]]-Table1[[#This Row],[CREDIT]]</f>
        <v>60852.430000000051</v>
      </c>
      <c r="L257" s="46">
        <v>570000</v>
      </c>
      <c r="M257" s="47">
        <v>630852.43000000005</v>
      </c>
      <c r="N257" s="48" t="s">
        <v>43</v>
      </c>
      <c r="O257" s="49">
        <v>630852.43000000005</v>
      </c>
      <c r="P257" s="49">
        <v>568909</v>
      </c>
      <c r="Q257" s="29">
        <v>147540</v>
      </c>
      <c r="R257" s="29">
        <v>66530</v>
      </c>
      <c r="S257" s="11" t="s">
        <v>44</v>
      </c>
      <c r="T257" s="11" t="s">
        <v>45</v>
      </c>
      <c r="U257" s="11">
        <v>0</v>
      </c>
      <c r="V257" s="49">
        <f>Table1[[#This Row],[STAB]]-Table1[[#This Row],[AMOUNT]]</f>
        <v>66530</v>
      </c>
      <c r="W257" s="11">
        <v>0</v>
      </c>
      <c r="X257" s="11" t="s">
        <v>83</v>
      </c>
      <c r="Y257" s="11">
        <v>0</v>
      </c>
      <c r="Z257" s="12" t="s">
        <v>88</v>
      </c>
      <c r="AA257" s="11" t="s">
        <v>91</v>
      </c>
      <c r="AB257" s="12" t="s">
        <v>3139</v>
      </c>
      <c r="AC257" s="12" t="s">
        <v>2001</v>
      </c>
      <c r="AD257" s="12" t="s">
        <v>2098</v>
      </c>
      <c r="AE257" s="12" t="s">
        <v>429</v>
      </c>
      <c r="AF257" s="12" t="s">
        <v>54</v>
      </c>
      <c r="AG257" s="11" t="s">
        <v>95</v>
      </c>
      <c r="AH257" s="11" t="s">
        <v>465</v>
      </c>
      <c r="AI257" s="11">
        <v>802823175</v>
      </c>
      <c r="AJ257" s="11" t="s">
        <v>191</v>
      </c>
      <c r="AK257" s="12"/>
      <c r="AL257" s="12"/>
      <c r="AM257" s="12" t="s">
        <v>46</v>
      </c>
      <c r="AN257" s="12"/>
      <c r="AO257" s="12"/>
      <c r="AP257" s="12"/>
      <c r="AQ257" s="50">
        <v>45872</v>
      </c>
      <c r="AR257" s="12">
        <v>166.46</v>
      </c>
      <c r="AS257" s="12" t="s">
        <v>430</v>
      </c>
      <c r="AT257" s="12" t="s">
        <v>2152</v>
      </c>
      <c r="AU257" s="51">
        <v>46176</v>
      </c>
    </row>
    <row r="258" spans="1:47" x14ac:dyDescent="0.25">
      <c r="A258" s="10" t="s">
        <v>2231</v>
      </c>
      <c r="B258" s="11" t="s">
        <v>2243</v>
      </c>
      <c r="C258" s="11">
        <v>0</v>
      </c>
      <c r="D258" s="11" t="s">
        <v>108</v>
      </c>
      <c r="E258" s="11"/>
      <c r="F258" s="11"/>
      <c r="G258" s="11" t="s">
        <v>52</v>
      </c>
      <c r="H258" s="11">
        <v>16</v>
      </c>
      <c r="I258" s="11" t="s">
        <v>2255</v>
      </c>
      <c r="J258" s="11" t="s">
        <v>42</v>
      </c>
      <c r="K258" s="11">
        <f>Table1[[#This Row],[ENR]]-Table1[[#This Row],[CREDIT]]</f>
        <v>60358.520000000019</v>
      </c>
      <c r="L258" s="43">
        <v>560000</v>
      </c>
      <c r="M258" s="30">
        <v>620358.52</v>
      </c>
      <c r="N258" s="44" t="s">
        <v>43</v>
      </c>
      <c r="O258" s="29">
        <v>620358.52</v>
      </c>
      <c r="P258" s="29">
        <v>558096</v>
      </c>
      <c r="Q258" s="29">
        <v>151620</v>
      </c>
      <c r="R258" s="29">
        <v>73080</v>
      </c>
      <c r="S258" s="11" t="s">
        <v>58</v>
      </c>
      <c r="T258" s="11" t="s">
        <v>14</v>
      </c>
      <c r="U258" s="29">
        <v>73100</v>
      </c>
      <c r="V258" s="29">
        <f>Table1[[#This Row],[STAB]]-Table1[[#This Row],[AMOUNT]]</f>
        <v>-20</v>
      </c>
      <c r="W258" s="11" t="s">
        <v>3238</v>
      </c>
      <c r="X258" s="11" t="s">
        <v>451</v>
      </c>
      <c r="Y258" s="11" t="s">
        <v>760</v>
      </c>
      <c r="Z258" s="11" t="s">
        <v>88</v>
      </c>
      <c r="AA258" s="11" t="s">
        <v>91</v>
      </c>
      <c r="AB258" s="11" t="s">
        <v>3139</v>
      </c>
      <c r="AC258" s="11" t="s">
        <v>2267</v>
      </c>
      <c r="AD258" s="11" t="s">
        <v>2279</v>
      </c>
      <c r="AE258" s="11" t="s">
        <v>103</v>
      </c>
      <c r="AF258" s="11" t="s">
        <v>53</v>
      </c>
      <c r="AG258" s="11" t="s">
        <v>188</v>
      </c>
      <c r="AH258" s="11" t="s">
        <v>194</v>
      </c>
      <c r="AI258" s="11">
        <v>802823180</v>
      </c>
      <c r="AJ258" s="11" t="s">
        <v>191</v>
      </c>
      <c r="AK258" s="11"/>
      <c r="AL258" s="11"/>
      <c r="AM258" s="12" t="s">
        <v>64</v>
      </c>
      <c r="AN258" s="11" t="s">
        <v>115</v>
      </c>
      <c r="AO258" s="11" t="s">
        <v>3186</v>
      </c>
      <c r="AP258" s="11" t="s">
        <v>3169</v>
      </c>
      <c r="AQ258" s="3">
        <v>45934</v>
      </c>
      <c r="AR258" s="11">
        <v>10474.65</v>
      </c>
      <c r="AS258" s="11" t="s">
        <v>430</v>
      </c>
      <c r="AT258" s="11" t="s">
        <v>2222</v>
      </c>
      <c r="AU258" s="2">
        <v>46176</v>
      </c>
    </row>
    <row r="259" spans="1:47" x14ac:dyDescent="0.25">
      <c r="A259" s="10" t="s">
        <v>1709</v>
      </c>
      <c r="B259" s="11" t="s">
        <v>1806</v>
      </c>
      <c r="C259" s="11">
        <v>0</v>
      </c>
      <c r="D259" s="11" t="s">
        <v>108</v>
      </c>
      <c r="E259" s="11"/>
      <c r="F259" s="11"/>
      <c r="G259" s="11" t="s">
        <v>52</v>
      </c>
      <c r="H259" s="11">
        <v>16</v>
      </c>
      <c r="I259" s="11" t="s">
        <v>1903</v>
      </c>
      <c r="J259" s="11" t="s">
        <v>42</v>
      </c>
      <c r="K259" s="11">
        <f>Table1[[#This Row],[ENR]]-Table1[[#This Row],[CREDIT]]</f>
        <v>-132367.15000000002</v>
      </c>
      <c r="L259" s="43">
        <v>700000</v>
      </c>
      <c r="M259" s="52">
        <v>567632.85</v>
      </c>
      <c r="N259" s="44" t="s">
        <v>43</v>
      </c>
      <c r="O259" s="29">
        <v>567632.85</v>
      </c>
      <c r="P259" s="29">
        <v>517892.15</v>
      </c>
      <c r="Q259" s="29">
        <v>81280</v>
      </c>
      <c r="R259" s="29">
        <v>31020</v>
      </c>
      <c r="S259" s="11" t="s">
        <v>58</v>
      </c>
      <c r="T259" s="11" t="s">
        <v>14</v>
      </c>
      <c r="U259" s="29">
        <v>31020</v>
      </c>
      <c r="V259" s="29">
        <f>Table1[[#This Row],[STAB]]-Table1[[#This Row],[AMOUNT]]</f>
        <v>0</v>
      </c>
      <c r="W259" s="11">
        <v>0</v>
      </c>
      <c r="X259" s="11" t="s">
        <v>1526</v>
      </c>
      <c r="Y259" s="11" t="s">
        <v>760</v>
      </c>
      <c r="Z259" s="11" t="s">
        <v>88</v>
      </c>
      <c r="AA259" s="11" t="s">
        <v>91</v>
      </c>
      <c r="AB259" s="11" t="s">
        <v>3139</v>
      </c>
      <c r="AC259" s="11" t="s">
        <v>2000</v>
      </c>
      <c r="AD259" s="11" t="s">
        <v>2097</v>
      </c>
      <c r="AE259" s="11" t="s">
        <v>104</v>
      </c>
      <c r="AF259" s="11" t="s">
        <v>54</v>
      </c>
      <c r="AG259" s="11" t="s">
        <v>109</v>
      </c>
      <c r="AH259" s="11" t="s">
        <v>196</v>
      </c>
      <c r="AI259" s="11">
        <v>802555024</v>
      </c>
      <c r="AJ259" s="11" t="s">
        <v>99</v>
      </c>
      <c r="AK259" s="11"/>
      <c r="AL259" s="11"/>
      <c r="AM259" s="12" t="s">
        <v>64</v>
      </c>
      <c r="AN259" s="11" t="s">
        <v>221</v>
      </c>
      <c r="AO259" s="11" t="s">
        <v>2472</v>
      </c>
      <c r="AP259" s="11" t="s">
        <v>2296</v>
      </c>
      <c r="AQ259" s="3">
        <v>45242</v>
      </c>
      <c r="AR259" s="11">
        <v>5000</v>
      </c>
      <c r="AS259" s="11" t="s">
        <v>430</v>
      </c>
      <c r="AT259" s="11" t="s">
        <v>2152</v>
      </c>
      <c r="AU259" s="2">
        <v>46176</v>
      </c>
    </row>
    <row r="260" spans="1:47" x14ac:dyDescent="0.25">
      <c r="A260" s="10" t="s">
        <v>1708</v>
      </c>
      <c r="B260" s="11" t="s">
        <v>1805</v>
      </c>
      <c r="C260" s="11">
        <v>0</v>
      </c>
      <c r="D260" s="11" t="s">
        <v>108</v>
      </c>
      <c r="E260" s="11"/>
      <c r="F260" s="11"/>
      <c r="G260" s="11" t="s">
        <v>52</v>
      </c>
      <c r="H260" s="11">
        <v>16</v>
      </c>
      <c r="I260" s="11" t="s">
        <v>1902</v>
      </c>
      <c r="J260" s="11" t="s">
        <v>42</v>
      </c>
      <c r="K260" s="11">
        <f>Table1[[#This Row],[ENR]]-Table1[[#This Row],[CREDIT]]</f>
        <v>107170.55000000005</v>
      </c>
      <c r="L260" s="43">
        <v>460000</v>
      </c>
      <c r="M260" s="30">
        <v>567170.55000000005</v>
      </c>
      <c r="N260" s="44" t="s">
        <v>43</v>
      </c>
      <c r="O260" s="29">
        <v>567170.55000000005</v>
      </c>
      <c r="P260" s="29">
        <v>528902</v>
      </c>
      <c r="Q260" s="29">
        <v>152030</v>
      </c>
      <c r="R260" s="29">
        <v>91910</v>
      </c>
      <c r="S260" s="11" t="s">
        <v>44</v>
      </c>
      <c r="T260" s="11" t="s">
        <v>45</v>
      </c>
      <c r="U260" s="11">
        <v>0</v>
      </c>
      <c r="V260" s="29">
        <f>Table1[[#This Row],[STAB]]-Table1[[#This Row],[AMOUNT]]</f>
        <v>91910</v>
      </c>
      <c r="W260" s="11">
        <v>0</v>
      </c>
      <c r="X260" s="11" t="s">
        <v>83</v>
      </c>
      <c r="Y260" s="11">
        <v>0</v>
      </c>
      <c r="Z260" s="11" t="s">
        <v>88</v>
      </c>
      <c r="AA260" s="11" t="s">
        <v>91</v>
      </c>
      <c r="AB260" s="11" t="s">
        <v>3139</v>
      </c>
      <c r="AC260" s="11" t="s">
        <v>1999</v>
      </c>
      <c r="AD260" s="11" t="s">
        <v>2096</v>
      </c>
      <c r="AE260" s="11" t="s">
        <v>104</v>
      </c>
      <c r="AF260" s="11" t="s">
        <v>54</v>
      </c>
      <c r="AG260" s="11" t="s">
        <v>109</v>
      </c>
      <c r="AH260" s="11" t="s">
        <v>196</v>
      </c>
      <c r="AI260" s="11">
        <v>802555024</v>
      </c>
      <c r="AJ260" s="11" t="s">
        <v>99</v>
      </c>
      <c r="AK260" s="11"/>
      <c r="AL260" s="11"/>
      <c r="AM260" s="12" t="s">
        <v>64</v>
      </c>
      <c r="AN260" s="11" t="s">
        <v>446</v>
      </c>
      <c r="AO260" s="11" t="s">
        <v>2435</v>
      </c>
      <c r="AP260" s="11" t="s">
        <v>2294</v>
      </c>
      <c r="AQ260" s="3">
        <v>46067</v>
      </c>
      <c r="AR260" s="11">
        <v>20000</v>
      </c>
      <c r="AS260" s="11" t="s">
        <v>430</v>
      </c>
      <c r="AT260" s="11" t="s">
        <v>2152</v>
      </c>
      <c r="AU260" s="2">
        <v>46176</v>
      </c>
    </row>
    <row r="261" spans="1:47" x14ac:dyDescent="0.25">
      <c r="A261" s="10" t="s">
        <v>2225</v>
      </c>
      <c r="B261" s="11" t="s">
        <v>2237</v>
      </c>
      <c r="C261" s="11">
        <v>0</v>
      </c>
      <c r="D261" s="11" t="s">
        <v>108</v>
      </c>
      <c r="E261" s="11"/>
      <c r="F261" s="11"/>
      <c r="G261" s="11" t="s">
        <v>52</v>
      </c>
      <c r="H261" s="11">
        <v>16</v>
      </c>
      <c r="I261" s="11" t="s">
        <v>2249</v>
      </c>
      <c r="J261" s="11" t="s">
        <v>42</v>
      </c>
      <c r="K261" s="11">
        <f>Table1[[#This Row],[ENR]]-Table1[[#This Row],[CREDIT]]</f>
        <v>26374.199999999953</v>
      </c>
      <c r="L261" s="43">
        <v>520000</v>
      </c>
      <c r="M261" s="30">
        <v>546374.19999999995</v>
      </c>
      <c r="N261" s="44">
        <v>446470.55</v>
      </c>
      <c r="O261" s="29">
        <v>99903.65</v>
      </c>
      <c r="P261" s="29">
        <v>71825.06</v>
      </c>
      <c r="Q261" s="29">
        <v>95280</v>
      </c>
      <c r="R261" s="29">
        <v>45090</v>
      </c>
      <c r="S261" s="11" t="s">
        <v>58</v>
      </c>
      <c r="T261" s="11" t="s">
        <v>13</v>
      </c>
      <c r="U261" s="11">
        <v>106407</v>
      </c>
      <c r="V261" s="29">
        <f>Table1[[#This Row],[STAB]]-Table1[[#This Row],[AMOUNT]]</f>
        <v>-61317</v>
      </c>
      <c r="W261" s="11" t="s">
        <v>3206</v>
      </c>
      <c r="X261" s="11" t="s">
        <v>451</v>
      </c>
      <c r="Y261" s="11" t="s">
        <v>759</v>
      </c>
      <c r="Z261" s="11" t="s">
        <v>88</v>
      </c>
      <c r="AA261" s="11" t="s">
        <v>91</v>
      </c>
      <c r="AB261" s="11" t="s">
        <v>3139</v>
      </c>
      <c r="AC261" s="11" t="s">
        <v>2261</v>
      </c>
      <c r="AD261" s="11" t="s">
        <v>2273</v>
      </c>
      <c r="AE261" s="11" t="s">
        <v>103</v>
      </c>
      <c r="AF261" s="11" t="s">
        <v>53</v>
      </c>
      <c r="AG261" s="11" t="s">
        <v>188</v>
      </c>
      <c r="AH261" s="11" t="s">
        <v>194</v>
      </c>
      <c r="AI261" s="11">
        <v>802823180</v>
      </c>
      <c r="AJ261" s="11" t="s">
        <v>191</v>
      </c>
      <c r="AK261" s="11"/>
      <c r="AL261" s="11"/>
      <c r="AM261" s="12" t="s">
        <v>64</v>
      </c>
      <c r="AN261" s="11" t="s">
        <v>221</v>
      </c>
      <c r="AO261" s="11" t="s">
        <v>3237</v>
      </c>
      <c r="AP261" s="11" t="s">
        <v>3238</v>
      </c>
      <c r="AQ261" s="3">
        <v>46117</v>
      </c>
      <c r="AR261" s="11">
        <v>45208.49</v>
      </c>
      <c r="AS261" s="11" t="s">
        <v>1493</v>
      </c>
      <c r="AT261" s="11" t="s">
        <v>2222</v>
      </c>
      <c r="AU261" s="2">
        <v>46176</v>
      </c>
    </row>
    <row r="262" spans="1:47" x14ac:dyDescent="0.25">
      <c r="A262" s="10" t="s">
        <v>1705</v>
      </c>
      <c r="B262" s="11" t="s">
        <v>1802</v>
      </c>
      <c r="C262" s="11">
        <v>0</v>
      </c>
      <c r="D262" s="11" t="s">
        <v>108</v>
      </c>
      <c r="E262" s="11"/>
      <c r="F262" s="11"/>
      <c r="G262" s="11" t="s">
        <v>52</v>
      </c>
      <c r="H262" s="11">
        <v>16</v>
      </c>
      <c r="I262" s="11" t="s">
        <v>1899</v>
      </c>
      <c r="J262" s="11" t="s">
        <v>42</v>
      </c>
      <c r="K262" s="11">
        <f>Table1[[#This Row],[ENR]]-Table1[[#This Row],[CREDIT]]</f>
        <v>21930.159999999974</v>
      </c>
      <c r="L262" s="43">
        <v>500000</v>
      </c>
      <c r="M262" s="30">
        <v>521930.16</v>
      </c>
      <c r="N262" s="44" t="s">
        <v>43</v>
      </c>
      <c r="O262" s="29">
        <v>521930.16</v>
      </c>
      <c r="P262" s="29">
        <v>486119.41</v>
      </c>
      <c r="Q262" s="29">
        <v>97410</v>
      </c>
      <c r="R262" s="29">
        <v>35990</v>
      </c>
      <c r="S262" s="11" t="s">
        <v>58</v>
      </c>
      <c r="T262" s="11" t="s">
        <v>14</v>
      </c>
      <c r="U262" s="29">
        <v>36000</v>
      </c>
      <c r="V262" s="29">
        <f>Table1[[#This Row],[STAB]]-Table1[[#This Row],[AMOUNT]]</f>
        <v>-10</v>
      </c>
      <c r="W262" s="11" t="s">
        <v>3169</v>
      </c>
      <c r="X262" s="11" t="s">
        <v>444</v>
      </c>
      <c r="Y262" s="11" t="s">
        <v>760</v>
      </c>
      <c r="Z262" s="11" t="s">
        <v>88</v>
      </c>
      <c r="AA262" s="11" t="s">
        <v>91</v>
      </c>
      <c r="AB262" s="11" t="s">
        <v>3141</v>
      </c>
      <c r="AC262" s="11" t="s">
        <v>1996</v>
      </c>
      <c r="AD262" s="11" t="s">
        <v>2093</v>
      </c>
      <c r="AE262" s="11" t="s">
        <v>414</v>
      </c>
      <c r="AF262" s="11" t="s">
        <v>84</v>
      </c>
      <c r="AG262" s="11" t="s">
        <v>749</v>
      </c>
      <c r="AH262" s="11" t="s">
        <v>88</v>
      </c>
      <c r="AI262" s="11">
        <v>801723195</v>
      </c>
      <c r="AJ262" s="11" t="s">
        <v>191</v>
      </c>
      <c r="AK262" s="11"/>
      <c r="AL262" s="11"/>
      <c r="AM262" s="12" t="s">
        <v>64</v>
      </c>
      <c r="AN262" s="11" t="s">
        <v>115</v>
      </c>
      <c r="AO262" s="11" t="s">
        <v>3172</v>
      </c>
      <c r="AP262" s="11" t="s">
        <v>3169</v>
      </c>
      <c r="AQ262" s="3">
        <v>46128</v>
      </c>
      <c r="AR262" s="11">
        <v>0.44</v>
      </c>
      <c r="AS262" s="11" t="s">
        <v>47</v>
      </c>
      <c r="AT262" s="11" t="s">
        <v>2152</v>
      </c>
      <c r="AU262" s="2">
        <v>46176</v>
      </c>
    </row>
    <row r="263" spans="1:47" x14ac:dyDescent="0.25">
      <c r="A263" s="10" t="s">
        <v>1746</v>
      </c>
      <c r="B263" s="11" t="s">
        <v>1843</v>
      </c>
      <c r="C263" s="11">
        <v>0</v>
      </c>
      <c r="D263" s="11" t="s">
        <v>108</v>
      </c>
      <c r="E263" s="11"/>
      <c r="F263" s="11"/>
      <c r="G263" s="11" t="s">
        <v>52</v>
      </c>
      <c r="H263" s="11">
        <v>16</v>
      </c>
      <c r="I263" s="11" t="s">
        <v>1940</v>
      </c>
      <c r="J263" s="11" t="s">
        <v>42</v>
      </c>
      <c r="K263" s="11">
        <f>Table1[[#This Row],[ENR]]-Table1[[#This Row],[CREDIT]]</f>
        <v>253986.95</v>
      </c>
      <c r="L263" s="43">
        <v>240000</v>
      </c>
      <c r="M263" s="52">
        <v>493986.95</v>
      </c>
      <c r="N263" s="44">
        <v>423003.58</v>
      </c>
      <c r="O263" s="29">
        <v>70983.37</v>
      </c>
      <c r="P263" s="29">
        <v>50972.38</v>
      </c>
      <c r="Q263" s="29">
        <v>70610</v>
      </c>
      <c r="R263" s="29">
        <v>33240</v>
      </c>
      <c r="S263" s="11" t="s">
        <v>58</v>
      </c>
      <c r="T263" s="11" t="s">
        <v>14</v>
      </c>
      <c r="U263" s="29">
        <v>33240</v>
      </c>
      <c r="V263" s="29">
        <f>Table1[[#This Row],[STAB]]-Table1[[#This Row],[AMOUNT]]</f>
        <v>0</v>
      </c>
      <c r="W263" s="11">
        <v>0</v>
      </c>
      <c r="X263" s="11" t="s">
        <v>1526</v>
      </c>
      <c r="Y263" s="11" t="s">
        <v>760</v>
      </c>
      <c r="Z263" s="11" t="s">
        <v>88</v>
      </c>
      <c r="AA263" s="11" t="s">
        <v>91</v>
      </c>
      <c r="AB263" s="11" t="s">
        <v>3139</v>
      </c>
      <c r="AC263" s="11" t="s">
        <v>2037</v>
      </c>
      <c r="AD263" s="11" t="s">
        <v>2126</v>
      </c>
      <c r="AE263" s="11" t="s">
        <v>125</v>
      </c>
      <c r="AF263" s="11" t="s">
        <v>127</v>
      </c>
      <c r="AG263" s="11" t="s">
        <v>56</v>
      </c>
      <c r="AH263" s="11" t="s">
        <v>462</v>
      </c>
      <c r="AI263" s="11">
        <v>801448854</v>
      </c>
      <c r="AJ263" s="11" t="s">
        <v>191</v>
      </c>
      <c r="AK263" s="11"/>
      <c r="AL263" s="11"/>
      <c r="AM263" s="12" t="s">
        <v>64</v>
      </c>
      <c r="AN263" s="11" t="s">
        <v>221</v>
      </c>
      <c r="AO263" s="11" t="s">
        <v>3189</v>
      </c>
      <c r="AP263" s="11" t="s">
        <v>3169</v>
      </c>
      <c r="AQ263" s="3">
        <v>45632</v>
      </c>
      <c r="AR263" s="11">
        <v>100</v>
      </c>
      <c r="AS263" s="11" t="s">
        <v>47</v>
      </c>
      <c r="AT263" s="11" t="s">
        <v>2152</v>
      </c>
      <c r="AU263" s="2">
        <v>46176</v>
      </c>
    </row>
    <row r="264" spans="1:47" x14ac:dyDescent="0.25">
      <c r="A264" s="10" t="s">
        <v>1718</v>
      </c>
      <c r="B264" s="11" t="s">
        <v>1815</v>
      </c>
      <c r="C264" s="11">
        <v>0</v>
      </c>
      <c r="D264" s="11" t="s">
        <v>108</v>
      </c>
      <c r="E264" s="11"/>
      <c r="F264" s="11"/>
      <c r="G264" s="11" t="s">
        <v>52</v>
      </c>
      <c r="H264" s="11">
        <v>16</v>
      </c>
      <c r="I264" s="11" t="s">
        <v>1912</v>
      </c>
      <c r="J264" s="11" t="s">
        <v>42</v>
      </c>
      <c r="K264" s="11">
        <f>Table1[[#This Row],[ENR]]-Table1[[#This Row],[CREDIT]]</f>
        <v>27697.130000000005</v>
      </c>
      <c r="L264" s="43">
        <v>400000</v>
      </c>
      <c r="M264" s="30">
        <v>427697.13</v>
      </c>
      <c r="N264" s="44">
        <v>18855.22</v>
      </c>
      <c r="O264" s="29">
        <v>408841.91</v>
      </c>
      <c r="P264" s="29">
        <v>370598.63</v>
      </c>
      <c r="Q264" s="29">
        <v>74430</v>
      </c>
      <c r="R264" s="29">
        <v>27380</v>
      </c>
      <c r="S264" s="11" t="s">
        <v>58</v>
      </c>
      <c r="T264" s="11" t="s">
        <v>13</v>
      </c>
      <c r="U264" s="11">
        <v>408841.91</v>
      </c>
      <c r="V264" s="29">
        <f>Table1[[#This Row],[STAB]]-Table1[[#This Row],[AMOUNT]]</f>
        <v>-381461.91</v>
      </c>
      <c r="W264" s="11" t="s">
        <v>3206</v>
      </c>
      <c r="X264" s="11" t="s">
        <v>444</v>
      </c>
      <c r="Y264" s="11" t="s">
        <v>760</v>
      </c>
      <c r="Z264" s="11" t="s">
        <v>88</v>
      </c>
      <c r="AA264" s="11" t="s">
        <v>91</v>
      </c>
      <c r="AB264" s="11" t="s">
        <v>3140</v>
      </c>
      <c r="AC264" s="11" t="s">
        <v>2009</v>
      </c>
      <c r="AD264" s="11" t="s">
        <v>2105</v>
      </c>
      <c r="AE264" s="11" t="s">
        <v>418</v>
      </c>
      <c r="AF264" s="11" t="s">
        <v>54</v>
      </c>
      <c r="AG264" s="11" t="s">
        <v>1658</v>
      </c>
      <c r="AH264" s="11" t="s">
        <v>85</v>
      </c>
      <c r="AI264" s="11">
        <v>801772794</v>
      </c>
      <c r="AJ264" s="11" t="s">
        <v>192</v>
      </c>
      <c r="AK264" s="11"/>
      <c r="AL264" s="11"/>
      <c r="AM264" s="12" t="s">
        <v>64</v>
      </c>
      <c r="AN264" s="11"/>
      <c r="AO264" s="11"/>
      <c r="AP264" s="11"/>
      <c r="AQ264" s="3" t="s">
        <v>43</v>
      </c>
      <c r="AR264" s="11">
        <v>0</v>
      </c>
      <c r="AS264" s="11" t="s">
        <v>430</v>
      </c>
      <c r="AT264" s="11" t="s">
        <v>2152</v>
      </c>
      <c r="AU264" s="2">
        <v>46176</v>
      </c>
    </row>
    <row r="265" spans="1:47" x14ac:dyDescent="0.25">
      <c r="A265" s="10" t="s">
        <v>1674</v>
      </c>
      <c r="B265" s="11" t="s">
        <v>1771</v>
      </c>
      <c r="C265" s="11">
        <v>0</v>
      </c>
      <c r="D265" s="11" t="s">
        <v>108</v>
      </c>
      <c r="E265" s="11"/>
      <c r="F265" s="11"/>
      <c r="G265" s="11" t="s">
        <v>52</v>
      </c>
      <c r="H265" s="11">
        <v>16</v>
      </c>
      <c r="I265" s="11" t="s">
        <v>1868</v>
      </c>
      <c r="J265" s="11" t="s">
        <v>42</v>
      </c>
      <c r="K265" s="11">
        <f>Table1[[#This Row],[ENR]]-Table1[[#This Row],[CREDIT]]</f>
        <v>-140298.97999999998</v>
      </c>
      <c r="L265" s="43">
        <v>560000</v>
      </c>
      <c r="M265" s="30">
        <v>419701.02</v>
      </c>
      <c r="N265" s="44">
        <v>347173.87</v>
      </c>
      <c r="O265" s="29">
        <v>72527.149999999994</v>
      </c>
      <c r="P265" s="29">
        <v>33772.339999999997</v>
      </c>
      <c r="Q265" s="29">
        <v>65770</v>
      </c>
      <c r="R265" s="29">
        <v>41620</v>
      </c>
      <c r="S265" s="11" t="s">
        <v>58</v>
      </c>
      <c r="T265" s="11" t="s">
        <v>14</v>
      </c>
      <c r="U265" s="29">
        <v>41700</v>
      </c>
      <c r="V265" s="29">
        <f>Table1[[#This Row],[STAB]]-Table1[[#This Row],[AMOUNT]]</f>
        <v>-80</v>
      </c>
      <c r="W265" s="11" t="s">
        <v>3206</v>
      </c>
      <c r="X265" s="11" t="s">
        <v>444</v>
      </c>
      <c r="Y265" s="11" t="s">
        <v>760</v>
      </c>
      <c r="Z265" s="11" t="s">
        <v>88</v>
      </c>
      <c r="AA265" s="11" t="s">
        <v>91</v>
      </c>
      <c r="AB265" s="11" t="s">
        <v>3139</v>
      </c>
      <c r="AC265" s="11" t="s">
        <v>1965</v>
      </c>
      <c r="AD265" s="11" t="s">
        <v>2062</v>
      </c>
      <c r="AE265" s="11" t="s">
        <v>133</v>
      </c>
      <c r="AF265" s="11" t="s">
        <v>54</v>
      </c>
      <c r="AG265" s="11" t="s">
        <v>1658</v>
      </c>
      <c r="AH265" s="11" t="s">
        <v>85</v>
      </c>
      <c r="AI265" s="11">
        <v>801772794</v>
      </c>
      <c r="AJ265" s="11" t="s">
        <v>192</v>
      </c>
      <c r="AK265" s="11"/>
      <c r="AL265" s="11"/>
      <c r="AM265" s="12" t="s">
        <v>64</v>
      </c>
      <c r="AN265" s="11"/>
      <c r="AO265" s="11"/>
      <c r="AP265" s="11"/>
      <c r="AQ265" s="3">
        <v>46092</v>
      </c>
      <c r="AR265" s="11">
        <v>3546.59</v>
      </c>
      <c r="AS265" s="11" t="s">
        <v>430</v>
      </c>
      <c r="AT265" s="11" t="s">
        <v>2152</v>
      </c>
      <c r="AU265" s="2">
        <v>46176</v>
      </c>
    </row>
    <row r="266" spans="1:47" x14ac:dyDescent="0.25">
      <c r="A266" s="10" t="s">
        <v>1720</v>
      </c>
      <c r="B266" s="11" t="s">
        <v>1817</v>
      </c>
      <c r="C266" s="11">
        <v>0</v>
      </c>
      <c r="D266" s="11" t="s">
        <v>108</v>
      </c>
      <c r="E266" s="11"/>
      <c r="F266" s="11"/>
      <c r="G266" s="11" t="s">
        <v>52</v>
      </c>
      <c r="H266" s="11">
        <v>16</v>
      </c>
      <c r="I266" s="11" t="s">
        <v>1914</v>
      </c>
      <c r="J266" s="11" t="s">
        <v>42</v>
      </c>
      <c r="K266" s="11">
        <f>Table1[[#This Row],[ENR]]-Table1[[#This Row],[CREDIT]]</f>
        <v>21020.729999999981</v>
      </c>
      <c r="L266" s="43">
        <v>300000</v>
      </c>
      <c r="M266" s="30">
        <v>321020.73</v>
      </c>
      <c r="N266" s="44" t="s">
        <v>43</v>
      </c>
      <c r="O266" s="29">
        <v>321020.73</v>
      </c>
      <c r="P266" s="29">
        <v>299097.96000000002</v>
      </c>
      <c r="Q266" s="29">
        <v>123740</v>
      </c>
      <c r="R266" s="29">
        <v>63590</v>
      </c>
      <c r="S266" s="11" t="s">
        <v>44</v>
      </c>
      <c r="T266" s="11" t="s">
        <v>45</v>
      </c>
      <c r="U266" s="11">
        <v>0</v>
      </c>
      <c r="V266" s="29">
        <f>Table1[[#This Row],[STAB]]-Table1[[#This Row],[AMOUNT]]</f>
        <v>63590</v>
      </c>
      <c r="W266" s="11">
        <v>0</v>
      </c>
      <c r="X266" s="11" t="s">
        <v>83</v>
      </c>
      <c r="Y266" s="11">
        <v>0</v>
      </c>
      <c r="Z266" s="11" t="s">
        <v>88</v>
      </c>
      <c r="AA266" s="11" t="s">
        <v>91</v>
      </c>
      <c r="AB266" s="11" t="s">
        <v>3139</v>
      </c>
      <c r="AC266" s="11" t="s">
        <v>2011</v>
      </c>
      <c r="AD266" s="11" t="s">
        <v>2107</v>
      </c>
      <c r="AE266" s="11" t="s">
        <v>103</v>
      </c>
      <c r="AF266" s="11" t="s">
        <v>53</v>
      </c>
      <c r="AG266" s="11" t="s">
        <v>89</v>
      </c>
      <c r="AH266" s="11" t="s">
        <v>194</v>
      </c>
      <c r="AI266" s="11">
        <v>802823180</v>
      </c>
      <c r="AJ266" s="11" t="s">
        <v>191</v>
      </c>
      <c r="AK266" s="11"/>
      <c r="AL266" s="11"/>
      <c r="AM266" s="12" t="s">
        <v>46</v>
      </c>
      <c r="AN266" s="11"/>
      <c r="AO266" s="11"/>
      <c r="AP266" s="11"/>
      <c r="AQ266" s="3">
        <v>46129</v>
      </c>
      <c r="AR266" s="11">
        <v>41200</v>
      </c>
      <c r="AS266" s="11" t="s">
        <v>430</v>
      </c>
      <c r="AT266" s="11" t="s">
        <v>2152</v>
      </c>
      <c r="AU266" s="2">
        <v>46176</v>
      </c>
    </row>
    <row r="267" spans="1:47" x14ac:dyDescent="0.25">
      <c r="A267" s="10" t="s">
        <v>1742</v>
      </c>
      <c r="B267" s="11" t="s">
        <v>1839</v>
      </c>
      <c r="C267" s="11">
        <v>0</v>
      </c>
      <c r="D267" s="11" t="s">
        <v>108</v>
      </c>
      <c r="E267" s="11"/>
      <c r="F267" s="11"/>
      <c r="G267" s="11" t="s">
        <v>52</v>
      </c>
      <c r="H267" s="11">
        <v>16</v>
      </c>
      <c r="I267" s="11" t="s">
        <v>1936</v>
      </c>
      <c r="J267" s="11" t="s">
        <v>42</v>
      </c>
      <c r="K267" s="11">
        <f>Table1[[#This Row],[ENR]]-Table1[[#This Row],[CREDIT]]</f>
        <v>14255.869999999995</v>
      </c>
      <c r="L267" s="43">
        <v>300000</v>
      </c>
      <c r="M267" s="30">
        <v>314255.87</v>
      </c>
      <c r="N267" s="44" t="s">
        <v>43</v>
      </c>
      <c r="O267" s="29">
        <v>314255.87</v>
      </c>
      <c r="P267" s="29">
        <v>284329.78999999998</v>
      </c>
      <c r="Q267" s="29">
        <v>60490</v>
      </c>
      <c r="R267" s="29">
        <v>18410</v>
      </c>
      <c r="S267" s="11" t="s">
        <v>58</v>
      </c>
      <c r="T267" s="11" t="s">
        <v>14</v>
      </c>
      <c r="U267" s="29">
        <v>18500</v>
      </c>
      <c r="V267" s="29">
        <f>Table1[[#This Row],[STAB]]-Table1[[#This Row],[AMOUNT]]</f>
        <v>-90</v>
      </c>
      <c r="W267" s="11" t="s">
        <v>3238</v>
      </c>
      <c r="X267" s="11" t="s">
        <v>444</v>
      </c>
      <c r="Y267" s="11" t="s">
        <v>760</v>
      </c>
      <c r="Z267" s="11" t="s">
        <v>88</v>
      </c>
      <c r="AA267" s="11" t="s">
        <v>91</v>
      </c>
      <c r="AB267" s="11" t="s">
        <v>3139</v>
      </c>
      <c r="AC267" s="11" t="s">
        <v>2033</v>
      </c>
      <c r="AD267" s="11" t="s">
        <v>2033</v>
      </c>
      <c r="AE267" s="11" t="s">
        <v>123</v>
      </c>
      <c r="AF267" s="11" t="s">
        <v>127</v>
      </c>
      <c r="AG267" s="11" t="s">
        <v>96</v>
      </c>
      <c r="AH267" s="11" t="s">
        <v>461</v>
      </c>
      <c r="AI267" s="11">
        <v>801436997</v>
      </c>
      <c r="AJ267" s="11" t="s">
        <v>190</v>
      </c>
      <c r="AK267" s="11"/>
      <c r="AL267" s="11"/>
      <c r="AM267" s="12" t="s">
        <v>64</v>
      </c>
      <c r="AN267" s="11" t="s">
        <v>221</v>
      </c>
      <c r="AO267" s="11" t="s">
        <v>3158</v>
      </c>
      <c r="AP267" s="11" t="s">
        <v>3129</v>
      </c>
      <c r="AQ267" s="3">
        <v>45988</v>
      </c>
      <c r="AR267" s="11">
        <v>84820</v>
      </c>
      <c r="AS267" s="11" t="s">
        <v>2151</v>
      </c>
      <c r="AT267" s="11" t="s">
        <v>2152</v>
      </c>
      <c r="AU267" s="2">
        <v>46176</v>
      </c>
    </row>
    <row r="268" spans="1:47" x14ac:dyDescent="0.25">
      <c r="A268" s="10" t="s">
        <v>1744</v>
      </c>
      <c r="B268" s="11" t="s">
        <v>1841</v>
      </c>
      <c r="C268" s="11">
        <v>0</v>
      </c>
      <c r="D268" s="11" t="s">
        <v>108</v>
      </c>
      <c r="E268" s="11"/>
      <c r="F268" s="11"/>
      <c r="G268" s="11" t="s">
        <v>52</v>
      </c>
      <c r="H268" s="11">
        <v>16</v>
      </c>
      <c r="I268" s="11" t="s">
        <v>1938</v>
      </c>
      <c r="J268" s="11" t="s">
        <v>42</v>
      </c>
      <c r="K268" s="11">
        <f>Table1[[#This Row],[ENR]]-Table1[[#This Row],[CREDIT]]</f>
        <v>-3609.3699999999953</v>
      </c>
      <c r="L268" s="43">
        <v>300000</v>
      </c>
      <c r="M268" s="30">
        <v>296390.63</v>
      </c>
      <c r="N268" s="44" t="s">
        <v>43</v>
      </c>
      <c r="O268" s="29">
        <v>296390.63</v>
      </c>
      <c r="P268" s="29">
        <v>270579.23</v>
      </c>
      <c r="Q268" s="29">
        <v>42130</v>
      </c>
      <c r="R268" s="29">
        <v>14180</v>
      </c>
      <c r="S268" s="11" t="s">
        <v>58</v>
      </c>
      <c r="T268" s="11" t="s">
        <v>14</v>
      </c>
      <c r="U268" s="29">
        <v>14200</v>
      </c>
      <c r="V268" s="29">
        <f>Table1[[#This Row],[STAB]]-Table1[[#This Row],[AMOUNT]]</f>
        <v>-20</v>
      </c>
      <c r="W268" s="11" t="s">
        <v>3206</v>
      </c>
      <c r="X268" s="11" t="s">
        <v>451</v>
      </c>
      <c r="Y268" s="11" t="s">
        <v>760</v>
      </c>
      <c r="Z268" s="11" t="s">
        <v>88</v>
      </c>
      <c r="AA268" s="11" t="s">
        <v>91</v>
      </c>
      <c r="AB268" s="11" t="s">
        <v>3139</v>
      </c>
      <c r="AC268" s="11" t="s">
        <v>2035</v>
      </c>
      <c r="AD268" s="11" t="s">
        <v>2124</v>
      </c>
      <c r="AE268" s="11" t="s">
        <v>218</v>
      </c>
      <c r="AF268" s="11" t="s">
        <v>84</v>
      </c>
      <c r="AG268" s="11" t="s">
        <v>93</v>
      </c>
      <c r="AH268" s="11" t="s">
        <v>88</v>
      </c>
      <c r="AI268" s="11">
        <v>801723195</v>
      </c>
      <c r="AJ268" s="11" t="s">
        <v>191</v>
      </c>
      <c r="AK268" s="11"/>
      <c r="AL268" s="11"/>
      <c r="AM268" s="12" t="s">
        <v>64</v>
      </c>
      <c r="AN268" s="11" t="s">
        <v>219</v>
      </c>
      <c r="AO268" s="11" t="s">
        <v>3234</v>
      </c>
      <c r="AP268" s="11" t="s">
        <v>3206</v>
      </c>
      <c r="AQ268" s="3">
        <v>46101</v>
      </c>
      <c r="AR268" s="11">
        <v>64254.68</v>
      </c>
      <c r="AS268" s="11" t="s">
        <v>2151</v>
      </c>
      <c r="AT268" s="11" t="s">
        <v>2152</v>
      </c>
      <c r="AU268" s="2">
        <v>46176</v>
      </c>
    </row>
    <row r="269" spans="1:47" x14ac:dyDescent="0.25">
      <c r="A269" s="10" t="s">
        <v>1741</v>
      </c>
      <c r="B269" s="11" t="s">
        <v>1838</v>
      </c>
      <c r="C269" s="11">
        <v>0</v>
      </c>
      <c r="D269" s="11" t="s">
        <v>108</v>
      </c>
      <c r="E269" s="11"/>
      <c r="F269" s="11"/>
      <c r="G269" s="11" t="s">
        <v>52</v>
      </c>
      <c r="H269" s="11">
        <v>16</v>
      </c>
      <c r="I269" s="11" t="s">
        <v>1935</v>
      </c>
      <c r="J269" s="11" t="s">
        <v>42</v>
      </c>
      <c r="K269" s="11">
        <f>Table1[[#This Row],[ENR]]-Table1[[#This Row],[CREDIT]]</f>
        <v>-13889.340000000026</v>
      </c>
      <c r="L269" s="43">
        <v>300000</v>
      </c>
      <c r="M269" s="30">
        <v>286110.65999999997</v>
      </c>
      <c r="N269" s="44" t="s">
        <v>43</v>
      </c>
      <c r="O269" s="29">
        <v>286110.65999999997</v>
      </c>
      <c r="P269" s="29">
        <v>259934.07</v>
      </c>
      <c r="Q269" s="29">
        <v>42590</v>
      </c>
      <c r="R269" s="29">
        <v>15860</v>
      </c>
      <c r="S269" s="11" t="s">
        <v>58</v>
      </c>
      <c r="T269" s="11" t="s">
        <v>14</v>
      </c>
      <c r="U269" s="29">
        <v>15860</v>
      </c>
      <c r="V269" s="29">
        <f>Table1[[#This Row],[STAB]]-Table1[[#This Row],[AMOUNT]]</f>
        <v>0</v>
      </c>
      <c r="W269" s="11" t="s">
        <v>3206</v>
      </c>
      <c r="X269" s="11" t="s">
        <v>444</v>
      </c>
      <c r="Y269" s="11" t="s">
        <v>760</v>
      </c>
      <c r="Z269" s="12" t="s">
        <v>88</v>
      </c>
      <c r="AA269" s="11" t="s">
        <v>91</v>
      </c>
      <c r="AB269" s="11" t="s">
        <v>3139</v>
      </c>
      <c r="AC269" s="11" t="s">
        <v>2032</v>
      </c>
      <c r="AD269" s="11" t="s">
        <v>2123</v>
      </c>
      <c r="AE269" s="11" t="s">
        <v>417</v>
      </c>
      <c r="AF269" s="11" t="s">
        <v>127</v>
      </c>
      <c r="AG269" s="11" t="s">
        <v>128</v>
      </c>
      <c r="AH269" s="11" t="s">
        <v>462</v>
      </c>
      <c r="AI269" s="11">
        <v>801448854</v>
      </c>
      <c r="AJ269" s="11" t="s">
        <v>191</v>
      </c>
      <c r="AK269" s="11"/>
      <c r="AL269" s="11"/>
      <c r="AM269" s="12" t="s">
        <v>64</v>
      </c>
      <c r="AN269" s="11" t="s">
        <v>219</v>
      </c>
      <c r="AO269" s="11" t="s">
        <v>3217</v>
      </c>
      <c r="AP269" s="11" t="s">
        <v>3206</v>
      </c>
      <c r="AQ269" s="3">
        <v>46107</v>
      </c>
      <c r="AR269" s="11">
        <v>30000</v>
      </c>
      <c r="AS269" s="11" t="s">
        <v>2151</v>
      </c>
      <c r="AT269" s="11" t="s">
        <v>2152</v>
      </c>
      <c r="AU269" s="2">
        <v>46176</v>
      </c>
    </row>
    <row r="270" spans="1:47" x14ac:dyDescent="0.25">
      <c r="A270" s="10" t="s">
        <v>2230</v>
      </c>
      <c r="B270" s="11" t="s">
        <v>2242</v>
      </c>
      <c r="C270" s="11">
        <v>0</v>
      </c>
      <c r="D270" s="11" t="s">
        <v>108</v>
      </c>
      <c r="E270" s="11"/>
      <c r="F270" s="11"/>
      <c r="G270" s="11" t="s">
        <v>52</v>
      </c>
      <c r="H270" s="11">
        <v>16</v>
      </c>
      <c r="I270" s="11" t="s">
        <v>2254</v>
      </c>
      <c r="J270" s="11" t="s">
        <v>42</v>
      </c>
      <c r="K270" s="11">
        <f>Table1[[#This Row],[ENR]]-Table1[[#This Row],[CREDIT]]</f>
        <v>-24057.469999999972</v>
      </c>
      <c r="L270" s="43">
        <v>310000</v>
      </c>
      <c r="M270" s="30">
        <v>285942.53000000003</v>
      </c>
      <c r="N270" s="44" t="s">
        <v>43</v>
      </c>
      <c r="O270" s="29">
        <v>285942.53000000003</v>
      </c>
      <c r="P270" s="29">
        <v>271943.65000000002</v>
      </c>
      <c r="Q270" s="29">
        <v>43680</v>
      </c>
      <c r="R270" s="29">
        <v>27490</v>
      </c>
      <c r="S270" s="11" t="s">
        <v>58</v>
      </c>
      <c r="T270" s="11" t="s">
        <v>14</v>
      </c>
      <c r="U270" s="29">
        <v>27500</v>
      </c>
      <c r="V270" s="29">
        <f>Table1[[#This Row],[STAB]]-Table1[[#This Row],[AMOUNT]]</f>
        <v>-10</v>
      </c>
      <c r="W270" s="11" t="s">
        <v>3191</v>
      </c>
      <c r="X270" s="11" t="s">
        <v>444</v>
      </c>
      <c r="Y270" s="11" t="s">
        <v>760</v>
      </c>
      <c r="Z270" s="11" t="s">
        <v>88</v>
      </c>
      <c r="AA270" s="11" t="s">
        <v>91</v>
      </c>
      <c r="AB270" s="11" t="s">
        <v>3139</v>
      </c>
      <c r="AC270" s="11" t="s">
        <v>2266</v>
      </c>
      <c r="AD270" s="11" t="s">
        <v>2278</v>
      </c>
      <c r="AE270" s="11" t="s">
        <v>423</v>
      </c>
      <c r="AF270" s="11" t="s">
        <v>54</v>
      </c>
      <c r="AG270" s="11" t="s">
        <v>1500</v>
      </c>
      <c r="AH270" s="11" t="s">
        <v>88</v>
      </c>
      <c r="AI270" s="11">
        <v>801723195</v>
      </c>
      <c r="AJ270" s="11" t="s">
        <v>191</v>
      </c>
      <c r="AK270" s="11"/>
      <c r="AL270" s="11"/>
      <c r="AM270" s="12" t="s">
        <v>64</v>
      </c>
      <c r="AN270" s="11" t="s">
        <v>115</v>
      </c>
      <c r="AO270" s="11" t="s">
        <v>3182</v>
      </c>
      <c r="AP270" s="11" t="s">
        <v>3169</v>
      </c>
      <c r="AQ270" s="3">
        <v>45626</v>
      </c>
      <c r="AR270" s="11">
        <v>15000</v>
      </c>
      <c r="AS270" s="11" t="s">
        <v>430</v>
      </c>
      <c r="AT270" s="11" t="s">
        <v>2222</v>
      </c>
      <c r="AU270" s="2">
        <v>46176</v>
      </c>
    </row>
    <row r="271" spans="1:47" x14ac:dyDescent="0.25">
      <c r="A271" s="10" t="s">
        <v>2232</v>
      </c>
      <c r="B271" s="11" t="s">
        <v>2244</v>
      </c>
      <c r="C271" s="11">
        <v>0</v>
      </c>
      <c r="D271" s="11" t="s">
        <v>108</v>
      </c>
      <c r="E271" s="11"/>
      <c r="F271" s="11"/>
      <c r="G271" s="11" t="s">
        <v>52</v>
      </c>
      <c r="H271" s="11">
        <v>16</v>
      </c>
      <c r="I271" s="11" t="s">
        <v>2256</v>
      </c>
      <c r="J271" s="11" t="s">
        <v>42</v>
      </c>
      <c r="K271" s="11">
        <f>Table1[[#This Row],[ENR]]-Table1[[#This Row],[CREDIT]]</f>
        <v>12590.469999999972</v>
      </c>
      <c r="L271" s="43">
        <v>270000</v>
      </c>
      <c r="M271" s="30">
        <v>282590.46999999997</v>
      </c>
      <c r="N271" s="44" t="s">
        <v>43</v>
      </c>
      <c r="O271" s="29">
        <v>282590.46999999997</v>
      </c>
      <c r="P271" s="29">
        <v>265571.46999999997</v>
      </c>
      <c r="Q271" s="29">
        <v>67240</v>
      </c>
      <c r="R271" s="29">
        <v>39920</v>
      </c>
      <c r="S271" s="11" t="s">
        <v>44</v>
      </c>
      <c r="T271" s="11" t="s">
        <v>45</v>
      </c>
      <c r="U271" s="11">
        <v>0</v>
      </c>
      <c r="V271" s="29">
        <f>Table1[[#This Row],[STAB]]-Table1[[#This Row],[AMOUNT]]</f>
        <v>39920</v>
      </c>
      <c r="W271" s="11">
        <v>0</v>
      </c>
      <c r="X271" s="11" t="s">
        <v>83</v>
      </c>
      <c r="Y271" s="11">
        <v>0</v>
      </c>
      <c r="Z271" s="11" t="s">
        <v>88</v>
      </c>
      <c r="AA271" s="11" t="s">
        <v>91</v>
      </c>
      <c r="AB271" s="11" t="s">
        <v>3139</v>
      </c>
      <c r="AC271" s="11" t="s">
        <v>2268</v>
      </c>
      <c r="AD271" s="11" t="s">
        <v>2280</v>
      </c>
      <c r="AE271" s="11" t="s">
        <v>123</v>
      </c>
      <c r="AF271" s="11" t="s">
        <v>127</v>
      </c>
      <c r="AG271" s="11" t="s">
        <v>56</v>
      </c>
      <c r="AH271" s="11" t="s">
        <v>462</v>
      </c>
      <c r="AI271" s="11">
        <v>801448854</v>
      </c>
      <c r="AJ271" s="11" t="s">
        <v>191</v>
      </c>
      <c r="AK271" s="11"/>
      <c r="AL271" s="11"/>
      <c r="AM271" s="12" t="s">
        <v>64</v>
      </c>
      <c r="AN271" s="11" t="s">
        <v>219</v>
      </c>
      <c r="AO271" s="11" t="s">
        <v>3207</v>
      </c>
      <c r="AP271" s="11" t="s">
        <v>3206</v>
      </c>
      <c r="AQ271" s="3">
        <v>46147</v>
      </c>
      <c r="AR271" s="11">
        <v>21300</v>
      </c>
      <c r="AS271" s="11" t="s">
        <v>430</v>
      </c>
      <c r="AT271" s="11" t="s">
        <v>2222</v>
      </c>
      <c r="AU271" s="2">
        <v>46176</v>
      </c>
    </row>
    <row r="272" spans="1:47" x14ac:dyDescent="0.25">
      <c r="A272" s="10" t="s">
        <v>1692</v>
      </c>
      <c r="B272" s="11" t="s">
        <v>1789</v>
      </c>
      <c r="C272" s="11">
        <v>0</v>
      </c>
      <c r="D272" s="11" t="s">
        <v>108</v>
      </c>
      <c r="E272" s="11"/>
      <c r="F272" s="11"/>
      <c r="G272" s="11" t="s">
        <v>52</v>
      </c>
      <c r="H272" s="11">
        <v>16</v>
      </c>
      <c r="I272" s="11" t="s">
        <v>1886</v>
      </c>
      <c r="J272" s="11" t="s">
        <v>42</v>
      </c>
      <c r="K272" s="11">
        <f>Table1[[#This Row],[ENR]]-Table1[[#This Row],[CREDIT]]</f>
        <v>14814.719999999972</v>
      </c>
      <c r="L272" s="43">
        <v>260000</v>
      </c>
      <c r="M272" s="30">
        <v>274814.71999999997</v>
      </c>
      <c r="N272" s="44">
        <v>130706.56</v>
      </c>
      <c r="O272" s="29">
        <v>144108.16</v>
      </c>
      <c r="P272" s="29">
        <v>126558.75</v>
      </c>
      <c r="Q272" s="29">
        <v>57340</v>
      </c>
      <c r="R272" s="29">
        <v>26560</v>
      </c>
      <c r="S272" s="11" t="s">
        <v>44</v>
      </c>
      <c r="T272" s="11" t="s">
        <v>45</v>
      </c>
      <c r="U272" s="11">
        <v>0</v>
      </c>
      <c r="V272" s="29">
        <f>Table1[[#This Row],[STAB]]-Table1[[#This Row],[AMOUNT]]</f>
        <v>26560</v>
      </c>
      <c r="W272" s="11">
        <v>0</v>
      </c>
      <c r="X272" s="11" t="s">
        <v>83</v>
      </c>
      <c r="Y272" s="11">
        <v>0</v>
      </c>
      <c r="Z272" s="11" t="s">
        <v>88</v>
      </c>
      <c r="AA272" s="11" t="s">
        <v>91</v>
      </c>
      <c r="AB272" s="11" t="s">
        <v>3139</v>
      </c>
      <c r="AC272" s="11" t="s">
        <v>1983</v>
      </c>
      <c r="AD272" s="11" t="s">
        <v>2080</v>
      </c>
      <c r="AE272" s="11" t="s">
        <v>415</v>
      </c>
      <c r="AF272" s="11" t="s">
        <v>53</v>
      </c>
      <c r="AG272" s="11" t="s">
        <v>105</v>
      </c>
      <c r="AH272" s="11" t="s">
        <v>85</v>
      </c>
      <c r="AI272" s="11">
        <v>801772794</v>
      </c>
      <c r="AJ272" s="11" t="s">
        <v>192</v>
      </c>
      <c r="AK272" s="11"/>
      <c r="AL272" s="11"/>
      <c r="AM272" s="12" t="s">
        <v>64</v>
      </c>
      <c r="AN272" s="11" t="s">
        <v>115</v>
      </c>
      <c r="AO272" s="11" t="s">
        <v>2466</v>
      </c>
      <c r="AP272" s="11" t="s">
        <v>2296</v>
      </c>
      <c r="AQ272" s="3">
        <v>45748</v>
      </c>
      <c r="AR272" s="11">
        <v>38030</v>
      </c>
      <c r="AS272" s="11" t="s">
        <v>434</v>
      </c>
      <c r="AT272" s="11" t="s">
        <v>2152</v>
      </c>
      <c r="AU272" s="2">
        <v>46176</v>
      </c>
    </row>
    <row r="273" spans="1:47" x14ac:dyDescent="0.25">
      <c r="A273" s="10" t="s">
        <v>1672</v>
      </c>
      <c r="B273" s="11" t="s">
        <v>1769</v>
      </c>
      <c r="C273" s="11">
        <v>0</v>
      </c>
      <c r="D273" s="11" t="s">
        <v>108</v>
      </c>
      <c r="E273" s="11"/>
      <c r="F273" s="11"/>
      <c r="G273" s="11" t="s">
        <v>52</v>
      </c>
      <c r="H273" s="11">
        <v>16</v>
      </c>
      <c r="I273" s="11" t="s">
        <v>1866</v>
      </c>
      <c r="J273" s="11" t="s">
        <v>42</v>
      </c>
      <c r="K273" s="11">
        <f>Table1[[#This Row],[ENR]]-Table1[[#This Row],[CREDIT]]</f>
        <v>8775.3800000000047</v>
      </c>
      <c r="L273" s="43">
        <v>260000</v>
      </c>
      <c r="M273" s="30">
        <v>268775.38</v>
      </c>
      <c r="N273" s="44">
        <v>204306.85</v>
      </c>
      <c r="O273" s="29">
        <v>64468.53</v>
      </c>
      <c r="P273" s="29">
        <v>53134.64</v>
      </c>
      <c r="Q273" s="29">
        <v>38660</v>
      </c>
      <c r="R273" s="29">
        <v>16100</v>
      </c>
      <c r="S273" s="11" t="s">
        <v>44</v>
      </c>
      <c r="T273" s="11" t="s">
        <v>45</v>
      </c>
      <c r="U273" s="11">
        <v>0</v>
      </c>
      <c r="V273" s="29">
        <f>Table1[[#This Row],[STAB]]-Table1[[#This Row],[AMOUNT]]</f>
        <v>16100</v>
      </c>
      <c r="W273" s="11">
        <v>0</v>
      </c>
      <c r="X273" s="11" t="s">
        <v>83</v>
      </c>
      <c r="Y273" s="11">
        <v>0</v>
      </c>
      <c r="Z273" s="11" t="s">
        <v>88</v>
      </c>
      <c r="AA273" s="11" t="s">
        <v>91</v>
      </c>
      <c r="AB273" s="11" t="s">
        <v>3139</v>
      </c>
      <c r="AC273" s="11" t="s">
        <v>1963</v>
      </c>
      <c r="AD273" s="11" t="s">
        <v>2060</v>
      </c>
      <c r="AE273" s="11" t="s">
        <v>415</v>
      </c>
      <c r="AF273" s="11" t="s">
        <v>53</v>
      </c>
      <c r="AG273" s="11" t="s">
        <v>117</v>
      </c>
      <c r="AH273" s="11" t="s">
        <v>466</v>
      </c>
      <c r="AI273" s="11">
        <v>802388289</v>
      </c>
      <c r="AJ273" s="11" t="s">
        <v>190</v>
      </c>
      <c r="AK273" s="11"/>
      <c r="AL273" s="11"/>
      <c r="AM273" s="12" t="s">
        <v>64</v>
      </c>
      <c r="AN273" s="11" t="s">
        <v>446</v>
      </c>
      <c r="AO273" s="11" t="s">
        <v>3225</v>
      </c>
      <c r="AP273" s="11" t="s">
        <v>3206</v>
      </c>
      <c r="AQ273" s="3">
        <v>45976</v>
      </c>
      <c r="AR273" s="11">
        <v>31380</v>
      </c>
      <c r="AS273" s="11" t="s">
        <v>47</v>
      </c>
      <c r="AT273" s="11" t="s">
        <v>2152</v>
      </c>
      <c r="AU273" s="2">
        <v>46176</v>
      </c>
    </row>
    <row r="274" spans="1:47" x14ac:dyDescent="0.25">
      <c r="A274" s="10" t="s">
        <v>1712</v>
      </c>
      <c r="B274" s="11" t="s">
        <v>1809</v>
      </c>
      <c r="C274" s="11">
        <v>0</v>
      </c>
      <c r="D274" s="11" t="s">
        <v>108</v>
      </c>
      <c r="E274" s="11"/>
      <c r="F274" s="11"/>
      <c r="G274" s="11" t="s">
        <v>52</v>
      </c>
      <c r="H274" s="11">
        <v>16</v>
      </c>
      <c r="I274" s="11" t="s">
        <v>1906</v>
      </c>
      <c r="J274" s="11" t="s">
        <v>42</v>
      </c>
      <c r="K274" s="11">
        <f>Table1[[#This Row],[ENR]]-Table1[[#This Row],[CREDIT]]</f>
        <v>-642947.82000000007</v>
      </c>
      <c r="L274" s="43">
        <v>910000</v>
      </c>
      <c r="M274" s="30">
        <v>267052.18</v>
      </c>
      <c r="N274" s="44" t="s">
        <v>43</v>
      </c>
      <c r="O274" s="29">
        <v>267052.18</v>
      </c>
      <c r="P274" s="29">
        <v>226970.09</v>
      </c>
      <c r="Q274" s="29">
        <v>73320</v>
      </c>
      <c r="R274" s="29">
        <v>45730.25</v>
      </c>
      <c r="S274" s="11" t="s">
        <v>44</v>
      </c>
      <c r="T274" s="11" t="s">
        <v>45</v>
      </c>
      <c r="U274" s="11">
        <v>0</v>
      </c>
      <c r="V274" s="29">
        <f>Table1[[#This Row],[STAB]]-Table1[[#This Row],[AMOUNT]]</f>
        <v>45730.25</v>
      </c>
      <c r="W274" s="11">
        <v>0</v>
      </c>
      <c r="X274" s="11" t="s">
        <v>83</v>
      </c>
      <c r="Y274" s="11">
        <v>0</v>
      </c>
      <c r="Z274" s="11" t="s">
        <v>88</v>
      </c>
      <c r="AA274" s="11" t="s">
        <v>91</v>
      </c>
      <c r="AB274" s="11" t="s">
        <v>3139</v>
      </c>
      <c r="AC274" s="11" t="s">
        <v>2003</v>
      </c>
      <c r="AD274" s="11" t="s">
        <v>2099</v>
      </c>
      <c r="AE274" s="11" t="s">
        <v>218</v>
      </c>
      <c r="AF274" s="11" t="s">
        <v>53</v>
      </c>
      <c r="AG274" s="11" t="s">
        <v>3469</v>
      </c>
      <c r="AH274" s="11" t="s">
        <v>752</v>
      </c>
      <c r="AI274" s="11">
        <v>802241455</v>
      </c>
      <c r="AJ274" s="11" t="s">
        <v>191</v>
      </c>
      <c r="AK274" s="11"/>
      <c r="AL274" s="11"/>
      <c r="AM274" s="12" t="s">
        <v>64</v>
      </c>
      <c r="AN274" s="11" t="s">
        <v>221</v>
      </c>
      <c r="AO274" s="11" t="s">
        <v>3243</v>
      </c>
      <c r="AP274" s="11" t="s">
        <v>3238</v>
      </c>
      <c r="AQ274" s="3">
        <v>46121</v>
      </c>
      <c r="AR274" s="11">
        <v>116120</v>
      </c>
      <c r="AS274" s="11" t="s">
        <v>144</v>
      </c>
      <c r="AT274" s="11" t="s">
        <v>2152</v>
      </c>
      <c r="AU274" s="2">
        <v>46176</v>
      </c>
    </row>
    <row r="275" spans="1:47" x14ac:dyDescent="0.25">
      <c r="A275" s="10" t="s">
        <v>1704</v>
      </c>
      <c r="B275" s="11" t="s">
        <v>1801</v>
      </c>
      <c r="C275" s="11">
        <v>0</v>
      </c>
      <c r="D275" s="11" t="s">
        <v>108</v>
      </c>
      <c r="E275" s="11"/>
      <c r="F275" s="11"/>
      <c r="G275" s="11" t="s">
        <v>52</v>
      </c>
      <c r="H275" s="11">
        <v>16</v>
      </c>
      <c r="I275" s="11" t="s">
        <v>1898</v>
      </c>
      <c r="J275" s="11" t="s">
        <v>42</v>
      </c>
      <c r="K275" s="11">
        <f>Table1[[#This Row],[ENR]]-Table1[[#This Row],[CREDIT]]</f>
        <v>15552.330000000016</v>
      </c>
      <c r="L275" s="43">
        <v>250000</v>
      </c>
      <c r="M275" s="30">
        <v>265552.33</v>
      </c>
      <c r="N275" s="44" t="s">
        <v>43</v>
      </c>
      <c r="O275" s="29">
        <v>265552.33</v>
      </c>
      <c r="P275" s="29">
        <v>248740.51</v>
      </c>
      <c r="Q275" s="29">
        <v>43550</v>
      </c>
      <c r="R275" s="29">
        <v>12461</v>
      </c>
      <c r="S275" s="11" t="s">
        <v>44</v>
      </c>
      <c r="T275" s="11" t="s">
        <v>45</v>
      </c>
      <c r="U275" s="11">
        <v>0</v>
      </c>
      <c r="V275" s="29">
        <f>Table1[[#This Row],[STAB]]-Table1[[#This Row],[AMOUNT]]</f>
        <v>12461</v>
      </c>
      <c r="W275" s="11">
        <v>0</v>
      </c>
      <c r="X275" s="11" t="s">
        <v>83</v>
      </c>
      <c r="Y275" s="11">
        <v>0</v>
      </c>
      <c r="Z275" s="11" t="s">
        <v>88</v>
      </c>
      <c r="AA275" s="11" t="s">
        <v>91</v>
      </c>
      <c r="AB275" s="11" t="s">
        <v>3139</v>
      </c>
      <c r="AC275" s="11" t="s">
        <v>1995</v>
      </c>
      <c r="AD275" s="11" t="s">
        <v>2092</v>
      </c>
      <c r="AE275" s="11" t="s">
        <v>426</v>
      </c>
      <c r="AF275" s="11" t="s">
        <v>439</v>
      </c>
      <c r="AG275" s="11" t="s">
        <v>63</v>
      </c>
      <c r="AH275" s="11" t="s">
        <v>467</v>
      </c>
      <c r="AI275" s="11">
        <v>801570488</v>
      </c>
      <c r="AJ275" s="11" t="s">
        <v>190</v>
      </c>
      <c r="AK275" s="11"/>
      <c r="AL275" s="11"/>
      <c r="AM275" s="12" t="s">
        <v>64</v>
      </c>
      <c r="AN275" s="11" t="s">
        <v>446</v>
      </c>
      <c r="AO275" s="11" t="s">
        <v>2437</v>
      </c>
      <c r="AP275" s="11" t="s">
        <v>2294</v>
      </c>
      <c r="AQ275" s="3">
        <v>45688</v>
      </c>
      <c r="AR275" s="11">
        <v>25001</v>
      </c>
      <c r="AS275" s="11" t="s">
        <v>48</v>
      </c>
      <c r="AT275" s="11" t="s">
        <v>2152</v>
      </c>
      <c r="AU275" s="2">
        <v>46176</v>
      </c>
    </row>
    <row r="276" spans="1:47" x14ac:dyDescent="0.25">
      <c r="A276" s="10" t="s">
        <v>1703</v>
      </c>
      <c r="B276" s="11" t="s">
        <v>1800</v>
      </c>
      <c r="C276" s="11">
        <v>0</v>
      </c>
      <c r="D276" s="11" t="s">
        <v>108</v>
      </c>
      <c r="E276" s="11"/>
      <c r="F276" s="11"/>
      <c r="G276" s="11" t="s">
        <v>52</v>
      </c>
      <c r="H276" s="11">
        <v>16</v>
      </c>
      <c r="I276" s="11" t="s">
        <v>1897</v>
      </c>
      <c r="J276" s="11" t="s">
        <v>42</v>
      </c>
      <c r="K276" s="11">
        <f>Table1[[#This Row],[ENR]]-Table1[[#This Row],[CREDIT]]</f>
        <v>25611.209999999992</v>
      </c>
      <c r="L276" s="43">
        <v>230000</v>
      </c>
      <c r="M276" s="30">
        <v>255611.21</v>
      </c>
      <c r="N276" s="44" t="s">
        <v>43</v>
      </c>
      <c r="O276" s="29">
        <v>255611.21</v>
      </c>
      <c r="P276" s="29">
        <v>229156.73</v>
      </c>
      <c r="Q276" s="29">
        <v>72490</v>
      </c>
      <c r="R276" s="29">
        <v>38680</v>
      </c>
      <c r="S276" s="11" t="s">
        <v>44</v>
      </c>
      <c r="T276" s="11" t="s">
        <v>45</v>
      </c>
      <c r="U276" s="11">
        <v>0</v>
      </c>
      <c r="V276" s="29">
        <f>Table1[[#This Row],[STAB]]-Table1[[#This Row],[AMOUNT]]</f>
        <v>38680</v>
      </c>
      <c r="W276" s="11">
        <v>0</v>
      </c>
      <c r="X276" s="11" t="s">
        <v>83</v>
      </c>
      <c r="Y276" s="11">
        <v>0</v>
      </c>
      <c r="Z276" s="11" t="s">
        <v>88</v>
      </c>
      <c r="AA276" s="11" t="s">
        <v>91</v>
      </c>
      <c r="AB276" s="11" t="s">
        <v>3139</v>
      </c>
      <c r="AC276" s="11" t="s">
        <v>1994</v>
      </c>
      <c r="AD276" s="11" t="s">
        <v>2091</v>
      </c>
      <c r="AE276" s="11" t="s">
        <v>746</v>
      </c>
      <c r="AF276" s="11" t="s">
        <v>53</v>
      </c>
      <c r="AG276" s="11" t="s">
        <v>3469</v>
      </c>
      <c r="AH276" s="11" t="s">
        <v>752</v>
      </c>
      <c r="AI276" s="11">
        <v>802241455</v>
      </c>
      <c r="AJ276" s="11" t="s">
        <v>191</v>
      </c>
      <c r="AK276" s="11"/>
      <c r="AL276" s="11"/>
      <c r="AM276" s="12" t="s">
        <v>46</v>
      </c>
      <c r="AN276" s="11"/>
      <c r="AO276" s="11"/>
      <c r="AP276" s="11"/>
      <c r="AQ276" s="3">
        <v>46127</v>
      </c>
      <c r="AR276" s="11">
        <v>1000</v>
      </c>
      <c r="AS276" s="11" t="s">
        <v>430</v>
      </c>
      <c r="AT276" s="11" t="s">
        <v>2152</v>
      </c>
      <c r="AU276" s="2">
        <v>46176</v>
      </c>
    </row>
    <row r="277" spans="1:47" x14ac:dyDescent="0.25">
      <c r="A277" s="10" t="s">
        <v>1717</v>
      </c>
      <c r="B277" s="11" t="s">
        <v>1814</v>
      </c>
      <c r="C277" s="11">
        <v>0</v>
      </c>
      <c r="D277" s="11" t="s">
        <v>108</v>
      </c>
      <c r="E277" s="11"/>
      <c r="F277" s="11"/>
      <c r="G277" s="11" t="s">
        <v>52</v>
      </c>
      <c r="H277" s="11">
        <v>16</v>
      </c>
      <c r="I277" s="11" t="s">
        <v>1911</v>
      </c>
      <c r="J277" s="11" t="s">
        <v>42</v>
      </c>
      <c r="K277" s="11">
        <f>Table1[[#This Row],[ENR]]-Table1[[#This Row],[CREDIT]]</f>
        <v>20273.309999999998</v>
      </c>
      <c r="L277" s="43">
        <v>230000</v>
      </c>
      <c r="M277" s="30">
        <v>250273.31</v>
      </c>
      <c r="N277" s="44" t="s">
        <v>43</v>
      </c>
      <c r="O277" s="29">
        <v>250273.31</v>
      </c>
      <c r="P277" s="29">
        <v>229727.18</v>
      </c>
      <c r="Q277" s="29">
        <v>71640</v>
      </c>
      <c r="R277" s="29">
        <v>49489</v>
      </c>
      <c r="S277" s="11" t="s">
        <v>44</v>
      </c>
      <c r="T277" s="11" t="s">
        <v>45</v>
      </c>
      <c r="U277" s="11">
        <v>0</v>
      </c>
      <c r="V277" s="29">
        <f>Table1[[#This Row],[STAB]]-Table1[[#This Row],[AMOUNT]]</f>
        <v>49489</v>
      </c>
      <c r="W277" s="11">
        <v>0</v>
      </c>
      <c r="X277" s="11" t="s">
        <v>83</v>
      </c>
      <c r="Y277" s="11">
        <v>0</v>
      </c>
      <c r="Z277" s="11" t="s">
        <v>88</v>
      </c>
      <c r="AA277" s="11" t="s">
        <v>91</v>
      </c>
      <c r="AB277" s="11" t="s">
        <v>3139</v>
      </c>
      <c r="AC277" s="11" t="s">
        <v>2008</v>
      </c>
      <c r="AD277" s="11" t="s">
        <v>2104</v>
      </c>
      <c r="AE277" s="11" t="s">
        <v>103</v>
      </c>
      <c r="AF277" s="11" t="s">
        <v>53</v>
      </c>
      <c r="AG277" s="11" t="s">
        <v>188</v>
      </c>
      <c r="AH277" s="11" t="s">
        <v>194</v>
      </c>
      <c r="AI277" s="11">
        <v>802823180</v>
      </c>
      <c r="AJ277" s="11" t="s">
        <v>191</v>
      </c>
      <c r="AK277" s="11"/>
      <c r="AL277" s="11"/>
      <c r="AM277" s="12" t="s">
        <v>64</v>
      </c>
      <c r="AN277" s="11" t="s">
        <v>115</v>
      </c>
      <c r="AO277" s="11" t="s">
        <v>3220</v>
      </c>
      <c r="AP277" s="11" t="s">
        <v>3206</v>
      </c>
      <c r="AQ277" s="3">
        <v>45904</v>
      </c>
      <c r="AR277" s="11">
        <v>17950</v>
      </c>
      <c r="AS277" s="11" t="s">
        <v>436</v>
      </c>
      <c r="AT277" s="11" t="s">
        <v>2152</v>
      </c>
      <c r="AU277" s="2">
        <v>46176</v>
      </c>
    </row>
    <row r="278" spans="1:47" x14ac:dyDescent="0.25">
      <c r="A278" s="10" t="s">
        <v>1702</v>
      </c>
      <c r="B278" s="11" t="s">
        <v>1799</v>
      </c>
      <c r="C278" s="11">
        <v>0</v>
      </c>
      <c r="D278" s="11" t="s">
        <v>108</v>
      </c>
      <c r="E278" s="11"/>
      <c r="F278" s="11"/>
      <c r="G278" s="11" t="s">
        <v>52</v>
      </c>
      <c r="H278" s="11">
        <v>16</v>
      </c>
      <c r="I278" s="11" t="s">
        <v>1896</v>
      </c>
      <c r="J278" s="11" t="s">
        <v>42</v>
      </c>
      <c r="K278" s="11">
        <f>Table1[[#This Row],[ENR]]-Table1[[#This Row],[CREDIT]]</f>
        <v>-10315.579999999987</v>
      </c>
      <c r="L278" s="43">
        <v>250000</v>
      </c>
      <c r="M278" s="30">
        <v>239684.42</v>
      </c>
      <c r="N278" s="44" t="s">
        <v>43</v>
      </c>
      <c r="O278" s="29">
        <v>239684.42</v>
      </c>
      <c r="P278" s="29">
        <v>217149.87</v>
      </c>
      <c r="Q278" s="29">
        <v>32360</v>
      </c>
      <c r="R278" s="29">
        <v>13350</v>
      </c>
      <c r="S278" s="11" t="s">
        <v>44</v>
      </c>
      <c r="T278" s="11" t="s">
        <v>45</v>
      </c>
      <c r="U278" s="11">
        <v>0</v>
      </c>
      <c r="V278" s="29">
        <f>Table1[[#This Row],[STAB]]-Table1[[#This Row],[AMOUNT]]</f>
        <v>13350</v>
      </c>
      <c r="W278" s="11">
        <v>0</v>
      </c>
      <c r="X278" s="11" t="s">
        <v>83</v>
      </c>
      <c r="Y278" s="11">
        <v>0</v>
      </c>
      <c r="Z278" s="11" t="s">
        <v>88</v>
      </c>
      <c r="AA278" s="11" t="s">
        <v>91</v>
      </c>
      <c r="AB278" s="11" t="s">
        <v>3139</v>
      </c>
      <c r="AC278" s="11" t="s">
        <v>1993</v>
      </c>
      <c r="AD278" s="11" t="s">
        <v>2090</v>
      </c>
      <c r="AE278" s="11" t="s">
        <v>104</v>
      </c>
      <c r="AF278" s="11" t="s">
        <v>54</v>
      </c>
      <c r="AG278" s="11" t="s">
        <v>109</v>
      </c>
      <c r="AH278" s="11" t="s">
        <v>196</v>
      </c>
      <c r="AI278" s="11">
        <v>802555024</v>
      </c>
      <c r="AJ278" s="11" t="s">
        <v>99</v>
      </c>
      <c r="AK278" s="11"/>
      <c r="AL278" s="11"/>
      <c r="AM278" s="12" t="s">
        <v>64</v>
      </c>
      <c r="AN278" s="11" t="s">
        <v>115</v>
      </c>
      <c r="AO278" s="11" t="s">
        <v>3248</v>
      </c>
      <c r="AP278" s="11" t="s">
        <v>3238</v>
      </c>
      <c r="AQ278" s="3">
        <v>46083</v>
      </c>
      <c r="AR278" s="11">
        <v>10000</v>
      </c>
      <c r="AS278" s="11" t="s">
        <v>48</v>
      </c>
      <c r="AT278" s="11" t="s">
        <v>2152</v>
      </c>
      <c r="AU278" s="2">
        <v>46176</v>
      </c>
    </row>
    <row r="279" spans="1:47" x14ac:dyDescent="0.25">
      <c r="A279" s="10" t="s">
        <v>1700</v>
      </c>
      <c r="B279" s="11" t="s">
        <v>1797</v>
      </c>
      <c r="C279" s="11">
        <v>0</v>
      </c>
      <c r="D279" s="11" t="s">
        <v>108</v>
      </c>
      <c r="E279" s="11"/>
      <c r="F279" s="11"/>
      <c r="G279" s="11" t="s">
        <v>52</v>
      </c>
      <c r="H279" s="11">
        <v>16</v>
      </c>
      <c r="I279" s="11" t="s">
        <v>1894</v>
      </c>
      <c r="J279" s="11" t="s">
        <v>42</v>
      </c>
      <c r="K279" s="11">
        <f>Table1[[#This Row],[ENR]]-Table1[[#This Row],[CREDIT]]</f>
        <v>26786.579999999987</v>
      </c>
      <c r="L279" s="43">
        <v>200000</v>
      </c>
      <c r="M279" s="30">
        <v>226786.58</v>
      </c>
      <c r="N279" s="44" t="s">
        <v>43</v>
      </c>
      <c r="O279" s="29">
        <v>226786.58</v>
      </c>
      <c r="P279" s="29">
        <v>195266.79</v>
      </c>
      <c r="Q279" s="29">
        <v>66860</v>
      </c>
      <c r="R279" s="29">
        <v>27490</v>
      </c>
      <c r="S279" s="11" t="s">
        <v>44</v>
      </c>
      <c r="T279" s="11" t="s">
        <v>45</v>
      </c>
      <c r="U279" s="11">
        <v>0</v>
      </c>
      <c r="V279" s="29">
        <f>Table1[[#This Row],[STAB]]-Table1[[#This Row],[AMOUNT]]</f>
        <v>27490</v>
      </c>
      <c r="W279" s="11">
        <v>0</v>
      </c>
      <c r="X279" s="11" t="s">
        <v>83</v>
      </c>
      <c r="Y279" s="11">
        <v>0</v>
      </c>
      <c r="Z279" s="11" t="s">
        <v>88</v>
      </c>
      <c r="AA279" s="11" t="s">
        <v>91</v>
      </c>
      <c r="AB279" s="11" t="s">
        <v>3139</v>
      </c>
      <c r="AC279" s="11" t="s">
        <v>1991</v>
      </c>
      <c r="AD279" s="11" t="s">
        <v>2088</v>
      </c>
      <c r="AE279" s="11" t="s">
        <v>746</v>
      </c>
      <c r="AF279" s="11" t="s">
        <v>53</v>
      </c>
      <c r="AG279" s="11" t="s">
        <v>3469</v>
      </c>
      <c r="AH279" s="11" t="s">
        <v>752</v>
      </c>
      <c r="AI279" s="11">
        <v>802241455</v>
      </c>
      <c r="AJ279" s="11" t="s">
        <v>191</v>
      </c>
      <c r="AK279" s="11"/>
      <c r="AL279" s="11"/>
      <c r="AM279" s="12" t="s">
        <v>46</v>
      </c>
      <c r="AN279" s="11"/>
      <c r="AO279" s="11"/>
      <c r="AP279" s="11"/>
      <c r="AQ279" s="3">
        <v>45981</v>
      </c>
      <c r="AR279" s="11">
        <v>8000</v>
      </c>
      <c r="AS279" s="11" t="s">
        <v>1073</v>
      </c>
      <c r="AT279" s="11" t="s">
        <v>2152</v>
      </c>
      <c r="AU279" s="2">
        <v>46176</v>
      </c>
    </row>
    <row r="280" spans="1:47" x14ac:dyDescent="0.25">
      <c r="A280" s="10" t="s">
        <v>1701</v>
      </c>
      <c r="B280" s="11" t="s">
        <v>1798</v>
      </c>
      <c r="C280" s="11">
        <v>0</v>
      </c>
      <c r="D280" s="11" t="s">
        <v>108</v>
      </c>
      <c r="E280" s="11"/>
      <c r="F280" s="11"/>
      <c r="G280" s="11" t="s">
        <v>52</v>
      </c>
      <c r="H280" s="11">
        <v>16</v>
      </c>
      <c r="I280" s="11" t="s">
        <v>1895</v>
      </c>
      <c r="J280" s="11" t="s">
        <v>42</v>
      </c>
      <c r="K280" s="11">
        <f>Table1[[#This Row],[ENR]]-Table1[[#This Row],[CREDIT]]</f>
        <v>22402.03</v>
      </c>
      <c r="L280" s="43">
        <v>200000</v>
      </c>
      <c r="M280" s="30">
        <v>222402.03</v>
      </c>
      <c r="N280" s="44" t="s">
        <v>43</v>
      </c>
      <c r="O280" s="29">
        <v>222402.03</v>
      </c>
      <c r="P280" s="29">
        <v>199351.82</v>
      </c>
      <c r="Q280" s="29">
        <v>54220</v>
      </c>
      <c r="R280" s="29">
        <v>23990</v>
      </c>
      <c r="S280" s="11" t="s">
        <v>44</v>
      </c>
      <c r="T280" s="11" t="s">
        <v>45</v>
      </c>
      <c r="U280" s="11">
        <v>0</v>
      </c>
      <c r="V280" s="29">
        <f>Table1[[#This Row],[STAB]]-Table1[[#This Row],[AMOUNT]]</f>
        <v>23990</v>
      </c>
      <c r="W280" s="11">
        <v>0</v>
      </c>
      <c r="X280" s="11" t="s">
        <v>83</v>
      </c>
      <c r="Y280" s="11">
        <v>0</v>
      </c>
      <c r="Z280" s="11" t="s">
        <v>88</v>
      </c>
      <c r="AA280" s="11" t="s">
        <v>91</v>
      </c>
      <c r="AB280" s="11" t="s">
        <v>3139</v>
      </c>
      <c r="AC280" s="11" t="s">
        <v>1992</v>
      </c>
      <c r="AD280" s="11" t="s">
        <v>2089</v>
      </c>
      <c r="AE280" s="11" t="s">
        <v>423</v>
      </c>
      <c r="AF280" s="11" t="s">
        <v>54</v>
      </c>
      <c r="AG280" s="11" t="s">
        <v>95</v>
      </c>
      <c r="AH280" s="11" t="s">
        <v>465</v>
      </c>
      <c r="AI280" s="11">
        <v>802823175</v>
      </c>
      <c r="AJ280" s="11" t="s">
        <v>191</v>
      </c>
      <c r="AK280" s="11"/>
      <c r="AL280" s="11"/>
      <c r="AM280" s="12" t="s">
        <v>64</v>
      </c>
      <c r="AN280" s="11" t="s">
        <v>219</v>
      </c>
      <c r="AO280" s="11" t="s">
        <v>2458</v>
      </c>
      <c r="AP280" s="11" t="s">
        <v>2296</v>
      </c>
      <c r="AQ280" s="3">
        <v>45571</v>
      </c>
      <c r="AR280" s="11">
        <v>84000</v>
      </c>
      <c r="AS280" s="11" t="s">
        <v>430</v>
      </c>
      <c r="AT280" s="11" t="s">
        <v>2152</v>
      </c>
      <c r="AU280" s="2">
        <v>46176</v>
      </c>
    </row>
    <row r="281" spans="1:47" x14ac:dyDescent="0.25">
      <c r="A281" s="10" t="s">
        <v>1699</v>
      </c>
      <c r="B281" s="11" t="s">
        <v>1796</v>
      </c>
      <c r="C281" s="11">
        <v>0</v>
      </c>
      <c r="D281" s="11" t="s">
        <v>108</v>
      </c>
      <c r="E281" s="11"/>
      <c r="F281" s="11"/>
      <c r="G281" s="11" t="s">
        <v>52</v>
      </c>
      <c r="H281" s="11">
        <v>16</v>
      </c>
      <c r="I281" s="11" t="s">
        <v>1893</v>
      </c>
      <c r="J281" s="11" t="s">
        <v>42</v>
      </c>
      <c r="K281" s="11">
        <f>Table1[[#This Row],[ENR]]-Table1[[#This Row],[CREDIT]]</f>
        <v>18561.73000000001</v>
      </c>
      <c r="L281" s="43">
        <v>200000</v>
      </c>
      <c r="M281" s="30">
        <v>218561.73</v>
      </c>
      <c r="N281" s="44" t="s">
        <v>43</v>
      </c>
      <c r="O281" s="29">
        <v>218561.73</v>
      </c>
      <c r="P281" s="29">
        <v>197722</v>
      </c>
      <c r="Q281" s="29">
        <v>50710</v>
      </c>
      <c r="R281" s="29">
        <v>20880</v>
      </c>
      <c r="S281" s="11" t="s">
        <v>44</v>
      </c>
      <c r="T281" s="11" t="s">
        <v>45</v>
      </c>
      <c r="U281" s="11">
        <v>0</v>
      </c>
      <c r="V281" s="29">
        <f>Table1[[#This Row],[STAB]]-Table1[[#This Row],[AMOUNT]]</f>
        <v>20880</v>
      </c>
      <c r="W281" s="11">
        <v>0</v>
      </c>
      <c r="X281" s="11" t="s">
        <v>83</v>
      </c>
      <c r="Y281" s="11">
        <v>0</v>
      </c>
      <c r="Z281" s="11" t="s">
        <v>88</v>
      </c>
      <c r="AA281" s="11" t="s">
        <v>91</v>
      </c>
      <c r="AB281" s="11" t="s">
        <v>3139</v>
      </c>
      <c r="AC281" s="11" t="s">
        <v>1990</v>
      </c>
      <c r="AD281" s="11" t="s">
        <v>2087</v>
      </c>
      <c r="AE281" s="11" t="s">
        <v>104</v>
      </c>
      <c r="AF281" s="11" t="s">
        <v>54</v>
      </c>
      <c r="AG281" s="11" t="s">
        <v>130</v>
      </c>
      <c r="AH281" s="11" t="s">
        <v>469</v>
      </c>
      <c r="AI281" s="11">
        <v>802835406</v>
      </c>
      <c r="AJ281" s="11" t="s">
        <v>99</v>
      </c>
      <c r="AK281" s="11"/>
      <c r="AL281" s="11"/>
      <c r="AM281" s="12" t="s">
        <v>64</v>
      </c>
      <c r="AN281" s="11" t="s">
        <v>219</v>
      </c>
      <c r="AO281" s="11" t="s">
        <v>3121</v>
      </c>
      <c r="AP281" s="11" t="s">
        <v>3119</v>
      </c>
      <c r="AQ281" s="3">
        <v>46120</v>
      </c>
      <c r="AR281" s="11">
        <v>40200</v>
      </c>
      <c r="AS281" s="11" t="s">
        <v>430</v>
      </c>
      <c r="AT281" s="11" t="s">
        <v>2152</v>
      </c>
      <c r="AU281" s="2">
        <v>46176</v>
      </c>
    </row>
    <row r="282" spans="1:47" x14ac:dyDescent="0.25">
      <c r="A282" s="10" t="s">
        <v>1736</v>
      </c>
      <c r="B282" s="11" t="s">
        <v>1833</v>
      </c>
      <c r="C282" s="11">
        <v>0</v>
      </c>
      <c r="D282" s="11" t="s">
        <v>108</v>
      </c>
      <c r="E282" s="11"/>
      <c r="F282" s="11"/>
      <c r="G282" s="11" t="s">
        <v>52</v>
      </c>
      <c r="H282" s="11">
        <v>16</v>
      </c>
      <c r="I282" s="11" t="s">
        <v>1930</v>
      </c>
      <c r="J282" s="11" t="s">
        <v>336</v>
      </c>
      <c r="K282" s="11">
        <f>Table1[[#This Row],[ENR]]-Table1[[#This Row],[CREDIT]]</f>
        <v>-131906.34</v>
      </c>
      <c r="L282" s="43">
        <v>350000</v>
      </c>
      <c r="M282" s="30">
        <v>218093.66</v>
      </c>
      <c r="N282" s="44" t="s">
        <v>43</v>
      </c>
      <c r="O282" s="29">
        <v>218093.66</v>
      </c>
      <c r="P282" s="29">
        <v>199550.05</v>
      </c>
      <c r="Q282" s="29">
        <v>30770</v>
      </c>
      <c r="R282" s="29">
        <v>11830</v>
      </c>
      <c r="S282" s="11" t="s">
        <v>58</v>
      </c>
      <c r="T282" s="11" t="s">
        <v>13</v>
      </c>
      <c r="U282" s="11">
        <v>30770</v>
      </c>
      <c r="V282" s="29">
        <f>Table1[[#This Row],[STAB]]-Table1[[#This Row],[AMOUNT]]</f>
        <v>-18940</v>
      </c>
      <c r="W282" s="11">
        <v>0</v>
      </c>
      <c r="X282" s="11" t="s">
        <v>761</v>
      </c>
      <c r="Y282" s="11" t="s">
        <v>760</v>
      </c>
      <c r="Z282" s="11" t="s">
        <v>88</v>
      </c>
      <c r="AA282" s="11" t="s">
        <v>91</v>
      </c>
      <c r="AB282" s="11" t="s">
        <v>3139</v>
      </c>
      <c r="AC282" s="11" t="s">
        <v>2027</v>
      </c>
      <c r="AD282" s="11" t="s">
        <v>2027</v>
      </c>
      <c r="AE282" s="11" t="s">
        <v>603</v>
      </c>
      <c r="AF282" s="11" t="s">
        <v>53</v>
      </c>
      <c r="AG282" s="11" t="s">
        <v>2164</v>
      </c>
      <c r="AH282" s="11" t="s">
        <v>193</v>
      </c>
      <c r="AI282" s="11">
        <v>802824019</v>
      </c>
      <c r="AJ282" s="11" t="s">
        <v>189</v>
      </c>
      <c r="AK282" s="11"/>
      <c r="AL282" s="11"/>
      <c r="AM282" s="12" t="s">
        <v>64</v>
      </c>
      <c r="AN282" s="11"/>
      <c r="AO282" s="11"/>
      <c r="AP282" s="11"/>
      <c r="AQ282" s="3">
        <v>46077</v>
      </c>
      <c r="AR282" s="11">
        <v>11600</v>
      </c>
      <c r="AS282" s="11" t="s">
        <v>2151</v>
      </c>
      <c r="AT282" s="11" t="s">
        <v>2152</v>
      </c>
      <c r="AU282" s="2">
        <v>46176</v>
      </c>
    </row>
    <row r="283" spans="1:47" x14ac:dyDescent="0.25">
      <c r="A283" s="10" t="s">
        <v>2235</v>
      </c>
      <c r="B283" s="11" t="s">
        <v>2247</v>
      </c>
      <c r="C283" s="11">
        <v>0</v>
      </c>
      <c r="D283" s="11" t="s">
        <v>108</v>
      </c>
      <c r="E283" s="11"/>
      <c r="F283" s="11"/>
      <c r="G283" s="11" t="s">
        <v>52</v>
      </c>
      <c r="H283" s="11">
        <v>16</v>
      </c>
      <c r="I283" s="11" t="s">
        <v>2259</v>
      </c>
      <c r="J283" s="11" t="s">
        <v>42</v>
      </c>
      <c r="K283" s="11">
        <f>Table1[[#This Row],[ENR]]-Table1[[#This Row],[CREDIT]]</f>
        <v>3280.359999999986</v>
      </c>
      <c r="L283" s="43">
        <v>210000</v>
      </c>
      <c r="M283" s="30">
        <v>213280.36</v>
      </c>
      <c r="N283" s="44" t="s">
        <v>43</v>
      </c>
      <c r="O283" s="29">
        <v>213280.36</v>
      </c>
      <c r="P283" s="29">
        <v>191377.49</v>
      </c>
      <c r="Q283" s="29">
        <v>38880</v>
      </c>
      <c r="R283" s="29">
        <v>16160</v>
      </c>
      <c r="S283" s="11" t="s">
        <v>58</v>
      </c>
      <c r="T283" s="11" t="s">
        <v>14</v>
      </c>
      <c r="U283" s="29">
        <v>17000</v>
      </c>
      <c r="V283" s="29">
        <f>Table1[[#This Row],[STAB]]-Table1[[#This Row],[AMOUNT]]</f>
        <v>-840</v>
      </c>
      <c r="W283" s="11" t="s">
        <v>3204</v>
      </c>
      <c r="X283" s="11" t="s">
        <v>451</v>
      </c>
      <c r="Y283" s="11" t="s">
        <v>760</v>
      </c>
      <c r="Z283" s="12" t="s">
        <v>88</v>
      </c>
      <c r="AA283" s="11" t="s">
        <v>91</v>
      </c>
      <c r="AB283" s="11" t="s">
        <v>3139</v>
      </c>
      <c r="AC283" s="11" t="s">
        <v>2271</v>
      </c>
      <c r="AD283" s="11" t="s">
        <v>2283</v>
      </c>
      <c r="AE283" s="11" t="s">
        <v>429</v>
      </c>
      <c r="AF283" s="11" t="s">
        <v>54</v>
      </c>
      <c r="AG283" s="11" t="s">
        <v>95</v>
      </c>
      <c r="AH283" s="11" t="s">
        <v>465</v>
      </c>
      <c r="AI283" s="11">
        <v>802823175</v>
      </c>
      <c r="AJ283" s="11" t="s">
        <v>191</v>
      </c>
      <c r="AK283" s="11"/>
      <c r="AL283" s="11"/>
      <c r="AM283" s="12" t="s">
        <v>64</v>
      </c>
      <c r="AN283" s="11" t="s">
        <v>115</v>
      </c>
      <c r="AO283" s="11" t="s">
        <v>2469</v>
      </c>
      <c r="AP283" s="11" t="s">
        <v>2296</v>
      </c>
      <c r="AQ283" s="3">
        <v>46128</v>
      </c>
      <c r="AR283" s="11">
        <v>4720.51</v>
      </c>
      <c r="AS283" s="11" t="s">
        <v>2151</v>
      </c>
      <c r="AT283" s="11" t="s">
        <v>2222</v>
      </c>
      <c r="AU283" s="2">
        <v>46176</v>
      </c>
    </row>
    <row r="284" spans="1:47" x14ac:dyDescent="0.25">
      <c r="A284" s="10" t="s">
        <v>1748</v>
      </c>
      <c r="B284" s="11" t="s">
        <v>1845</v>
      </c>
      <c r="C284" s="11">
        <v>0</v>
      </c>
      <c r="D284" s="11" t="s">
        <v>108</v>
      </c>
      <c r="E284" s="11"/>
      <c r="F284" s="11"/>
      <c r="G284" s="11" t="s">
        <v>52</v>
      </c>
      <c r="H284" s="11">
        <v>16</v>
      </c>
      <c r="I284" s="11" t="s">
        <v>1942</v>
      </c>
      <c r="J284" s="11" t="s">
        <v>336</v>
      </c>
      <c r="K284" s="11">
        <f>Table1[[#This Row],[ENR]]-Table1[[#This Row],[CREDIT]]</f>
        <v>-187926.33</v>
      </c>
      <c r="L284" s="43">
        <v>400000</v>
      </c>
      <c r="M284" s="30">
        <v>212073.67</v>
      </c>
      <c r="N284" s="44" t="s">
        <v>43</v>
      </c>
      <c r="O284" s="29">
        <v>212073.67</v>
      </c>
      <c r="P284" s="29">
        <v>193874.03</v>
      </c>
      <c r="Q284" s="29">
        <v>29940</v>
      </c>
      <c r="R284" s="29">
        <v>11530</v>
      </c>
      <c r="S284" s="11" t="s">
        <v>58</v>
      </c>
      <c r="T284" s="11" t="s">
        <v>14</v>
      </c>
      <c r="U284" s="29">
        <v>12000</v>
      </c>
      <c r="V284" s="29">
        <f>Table1[[#This Row],[STAB]]-Table1[[#This Row],[AMOUNT]]</f>
        <v>-470</v>
      </c>
      <c r="W284" s="11" t="s">
        <v>3206</v>
      </c>
      <c r="X284" s="11" t="s">
        <v>444</v>
      </c>
      <c r="Y284" s="11" t="s">
        <v>1085</v>
      </c>
      <c r="Z284" s="11" t="s">
        <v>88</v>
      </c>
      <c r="AA284" s="11" t="s">
        <v>91</v>
      </c>
      <c r="AB284" s="11" t="s">
        <v>3141</v>
      </c>
      <c r="AC284" s="11" t="s">
        <v>2039</v>
      </c>
      <c r="AD284" s="11" t="s">
        <v>2128</v>
      </c>
      <c r="AE284" s="11" t="s">
        <v>414</v>
      </c>
      <c r="AF284" s="11" t="s">
        <v>127</v>
      </c>
      <c r="AG284" s="11" t="s">
        <v>106</v>
      </c>
      <c r="AH284" s="11" t="s">
        <v>460</v>
      </c>
      <c r="AI284" s="11">
        <v>802913252</v>
      </c>
      <c r="AJ284" s="11" t="s">
        <v>190</v>
      </c>
      <c r="AK284" s="11"/>
      <c r="AL284" s="11"/>
      <c r="AM284" s="12" t="s">
        <v>64</v>
      </c>
      <c r="AN284" s="11" t="s">
        <v>219</v>
      </c>
      <c r="AO284" s="11" t="s">
        <v>3156</v>
      </c>
      <c r="AP284" s="11" t="s">
        <v>3238</v>
      </c>
      <c r="AQ284" s="3">
        <v>46121</v>
      </c>
      <c r="AR284" s="11">
        <v>20000</v>
      </c>
      <c r="AS284" s="11" t="s">
        <v>430</v>
      </c>
      <c r="AT284" s="11" t="s">
        <v>2152</v>
      </c>
      <c r="AU284" s="2">
        <v>46176</v>
      </c>
    </row>
    <row r="285" spans="1:47" x14ac:dyDescent="0.25">
      <c r="A285" s="10" t="s">
        <v>1698</v>
      </c>
      <c r="B285" s="11" t="s">
        <v>1795</v>
      </c>
      <c r="C285" s="11">
        <v>0</v>
      </c>
      <c r="D285" s="11" t="s">
        <v>108</v>
      </c>
      <c r="E285" s="11"/>
      <c r="F285" s="11"/>
      <c r="G285" s="11" t="s">
        <v>52</v>
      </c>
      <c r="H285" s="11">
        <v>16</v>
      </c>
      <c r="I285" s="11" t="s">
        <v>1892</v>
      </c>
      <c r="J285" s="11" t="s">
        <v>42</v>
      </c>
      <c r="K285" s="11">
        <f>Table1[[#This Row],[ENR]]-Table1[[#This Row],[CREDIT]]</f>
        <v>6821.0199999999895</v>
      </c>
      <c r="L285" s="43">
        <v>200000</v>
      </c>
      <c r="M285" s="30">
        <v>206821.02</v>
      </c>
      <c r="N285" s="44" t="s">
        <v>43</v>
      </c>
      <c r="O285" s="29">
        <v>206821.02</v>
      </c>
      <c r="P285" s="29">
        <v>186556.46</v>
      </c>
      <c r="Q285" s="29">
        <v>38280</v>
      </c>
      <c r="R285" s="29">
        <v>12570</v>
      </c>
      <c r="S285" s="11" t="s">
        <v>44</v>
      </c>
      <c r="T285" s="11" t="s">
        <v>45</v>
      </c>
      <c r="U285" s="11">
        <v>0</v>
      </c>
      <c r="V285" s="29">
        <f>Table1[[#This Row],[STAB]]-Table1[[#This Row],[AMOUNT]]</f>
        <v>12570</v>
      </c>
      <c r="W285" s="11">
        <v>0</v>
      </c>
      <c r="X285" s="11" t="s">
        <v>83</v>
      </c>
      <c r="Y285" s="11" t="s">
        <v>760</v>
      </c>
      <c r="Z285" s="11" t="s">
        <v>88</v>
      </c>
      <c r="AA285" s="11" t="s">
        <v>91</v>
      </c>
      <c r="AB285" s="11" t="s">
        <v>3139</v>
      </c>
      <c r="AC285" s="11" t="s">
        <v>1989</v>
      </c>
      <c r="AD285" s="11" t="s">
        <v>2086</v>
      </c>
      <c r="AE285" s="11" t="s">
        <v>92</v>
      </c>
      <c r="AF285" s="11" t="s">
        <v>54</v>
      </c>
      <c r="AG285" s="11" t="s">
        <v>149</v>
      </c>
      <c r="AH285" s="11" t="s">
        <v>624</v>
      </c>
      <c r="AI285" s="11">
        <v>801174030</v>
      </c>
      <c r="AJ285" s="11" t="s">
        <v>458</v>
      </c>
      <c r="AK285" s="11"/>
      <c r="AL285" s="11"/>
      <c r="AM285" s="12" t="s">
        <v>64</v>
      </c>
      <c r="AN285" s="11" t="s">
        <v>219</v>
      </c>
      <c r="AO285" s="11" t="s">
        <v>2438</v>
      </c>
      <c r="AP285" s="11" t="s">
        <v>2294</v>
      </c>
      <c r="AQ285" s="3">
        <v>45633</v>
      </c>
      <c r="AR285" s="11">
        <v>103000</v>
      </c>
      <c r="AS285" s="11" t="s">
        <v>430</v>
      </c>
      <c r="AT285" s="11" t="s">
        <v>2152</v>
      </c>
      <c r="AU285" s="2">
        <v>46176</v>
      </c>
    </row>
    <row r="286" spans="1:47" x14ac:dyDescent="0.25">
      <c r="A286" s="10" t="s">
        <v>1697</v>
      </c>
      <c r="B286" s="11" t="s">
        <v>1794</v>
      </c>
      <c r="C286" s="11">
        <v>0</v>
      </c>
      <c r="D286" s="11" t="s">
        <v>108</v>
      </c>
      <c r="E286" s="11"/>
      <c r="F286" s="11"/>
      <c r="G286" s="11" t="s">
        <v>52</v>
      </c>
      <c r="H286" s="11">
        <v>16</v>
      </c>
      <c r="I286" s="11" t="s">
        <v>1891</v>
      </c>
      <c r="J286" s="11" t="s">
        <v>42</v>
      </c>
      <c r="K286" s="11">
        <f>Table1[[#This Row],[ENR]]-Table1[[#This Row],[CREDIT]]</f>
        <v>6669.5</v>
      </c>
      <c r="L286" s="43">
        <v>192500</v>
      </c>
      <c r="M286" s="30">
        <v>199169.5</v>
      </c>
      <c r="N286" s="44" t="s">
        <v>43</v>
      </c>
      <c r="O286" s="29">
        <v>199169.5</v>
      </c>
      <c r="P286" s="29">
        <v>179488.96</v>
      </c>
      <c r="Q286" s="29">
        <v>37750</v>
      </c>
      <c r="R286" s="29">
        <v>12920</v>
      </c>
      <c r="S286" s="11" t="s">
        <v>58</v>
      </c>
      <c r="T286" s="11" t="s">
        <v>13</v>
      </c>
      <c r="U286" s="11">
        <v>100000</v>
      </c>
      <c r="V286" s="29">
        <f>Table1[[#This Row],[STAB]]-Table1[[#This Row],[AMOUNT]]</f>
        <v>-87080</v>
      </c>
      <c r="W286" s="11" t="s">
        <v>2172</v>
      </c>
      <c r="X286" s="11" t="s">
        <v>451</v>
      </c>
      <c r="Y286" s="11" t="s">
        <v>760</v>
      </c>
      <c r="Z286" s="11" t="s">
        <v>88</v>
      </c>
      <c r="AA286" s="11" t="s">
        <v>91</v>
      </c>
      <c r="AB286" s="11" t="s">
        <v>3139</v>
      </c>
      <c r="AC286" s="11" t="s">
        <v>1988</v>
      </c>
      <c r="AD286" s="11" t="s">
        <v>2085</v>
      </c>
      <c r="AE286" s="11" t="s">
        <v>100</v>
      </c>
      <c r="AF286" s="11" t="s">
        <v>54</v>
      </c>
      <c r="AG286" s="11" t="s">
        <v>59</v>
      </c>
      <c r="AH286" s="11" t="s">
        <v>193</v>
      </c>
      <c r="AI286" s="11">
        <v>802824019</v>
      </c>
      <c r="AJ286" s="11" t="s">
        <v>189</v>
      </c>
      <c r="AK286" s="11"/>
      <c r="AL286" s="11"/>
      <c r="AM286" s="12" t="s">
        <v>64</v>
      </c>
      <c r="AN286" s="11" t="s">
        <v>115</v>
      </c>
      <c r="AO286" s="11" t="s">
        <v>2174</v>
      </c>
      <c r="AP286" s="11" t="s">
        <v>2172</v>
      </c>
      <c r="AQ286" s="3">
        <v>46020</v>
      </c>
      <c r="AR286" s="11">
        <v>3900</v>
      </c>
      <c r="AS286" s="11" t="s">
        <v>430</v>
      </c>
      <c r="AT286" s="11" t="s">
        <v>2152</v>
      </c>
      <c r="AU286" s="2">
        <v>46176</v>
      </c>
    </row>
    <row r="287" spans="1:47" x14ac:dyDescent="0.25">
      <c r="A287" s="10" t="s">
        <v>1696</v>
      </c>
      <c r="B287" s="11" t="s">
        <v>1793</v>
      </c>
      <c r="C287" s="11">
        <v>0</v>
      </c>
      <c r="D287" s="11" t="s">
        <v>108</v>
      </c>
      <c r="E287" s="11"/>
      <c r="F287" s="11"/>
      <c r="G287" s="11" t="s">
        <v>52</v>
      </c>
      <c r="H287" s="11">
        <v>16</v>
      </c>
      <c r="I287" s="11" t="s">
        <v>1890</v>
      </c>
      <c r="J287" s="11" t="s">
        <v>42</v>
      </c>
      <c r="K287" s="11">
        <f>Table1[[#This Row],[ENR]]-Table1[[#This Row],[CREDIT]]</f>
        <v>17521.380000000005</v>
      </c>
      <c r="L287" s="43">
        <v>180000</v>
      </c>
      <c r="M287" s="30">
        <v>197521.38</v>
      </c>
      <c r="N287" s="44" t="s">
        <v>43</v>
      </c>
      <c r="O287" s="29">
        <v>197521.38</v>
      </c>
      <c r="P287" s="29">
        <v>177089.86</v>
      </c>
      <c r="Q287" s="29">
        <v>45750</v>
      </c>
      <c r="R287" s="29">
        <v>18410</v>
      </c>
      <c r="S287" s="11" t="s">
        <v>44</v>
      </c>
      <c r="T287" s="11" t="s">
        <v>45</v>
      </c>
      <c r="U287" s="11">
        <v>0</v>
      </c>
      <c r="V287" s="29">
        <f>Table1[[#This Row],[STAB]]-Table1[[#This Row],[AMOUNT]]</f>
        <v>18410</v>
      </c>
      <c r="W287" s="11">
        <v>0</v>
      </c>
      <c r="X287" s="11" t="s">
        <v>83</v>
      </c>
      <c r="Y287" s="11" t="s">
        <v>759</v>
      </c>
      <c r="Z287" s="11" t="s">
        <v>88</v>
      </c>
      <c r="AA287" s="11" t="s">
        <v>91</v>
      </c>
      <c r="AB287" s="11" t="s">
        <v>3139</v>
      </c>
      <c r="AC287" s="11" t="s">
        <v>1987</v>
      </c>
      <c r="AD287" s="11" t="s">
        <v>2084</v>
      </c>
      <c r="AE287" s="11" t="s">
        <v>746</v>
      </c>
      <c r="AF287" s="11" t="s">
        <v>53</v>
      </c>
      <c r="AG287" s="11" t="s">
        <v>3469</v>
      </c>
      <c r="AH287" s="11" t="s">
        <v>752</v>
      </c>
      <c r="AI287" s="11">
        <v>802241455</v>
      </c>
      <c r="AJ287" s="11" t="s">
        <v>191</v>
      </c>
      <c r="AK287" s="11"/>
      <c r="AL287" s="11"/>
      <c r="AM287" s="12" t="s">
        <v>46</v>
      </c>
      <c r="AN287" s="11"/>
      <c r="AO287" s="11"/>
      <c r="AP287" s="11"/>
      <c r="AQ287" s="3">
        <v>46114</v>
      </c>
      <c r="AR287" s="11">
        <v>47000</v>
      </c>
      <c r="AS287" s="11" t="s">
        <v>430</v>
      </c>
      <c r="AT287" s="11" t="s">
        <v>2152</v>
      </c>
      <c r="AU287" s="2">
        <v>46176</v>
      </c>
    </row>
    <row r="288" spans="1:47" x14ac:dyDescent="0.25">
      <c r="A288" s="10" t="s">
        <v>1740</v>
      </c>
      <c r="B288" s="11" t="s">
        <v>1837</v>
      </c>
      <c r="C288" s="11">
        <v>0</v>
      </c>
      <c r="D288" s="11" t="s">
        <v>108</v>
      </c>
      <c r="E288" s="11"/>
      <c r="F288" s="11"/>
      <c r="G288" s="11" t="s">
        <v>52</v>
      </c>
      <c r="H288" s="11">
        <v>16</v>
      </c>
      <c r="I288" s="11" t="s">
        <v>1934</v>
      </c>
      <c r="J288" s="11" t="s">
        <v>550</v>
      </c>
      <c r="K288" s="11">
        <f>Table1[[#This Row],[ENR]]-Table1[[#This Row],[CREDIT]]</f>
        <v>-121711.66</v>
      </c>
      <c r="L288" s="43">
        <v>300000</v>
      </c>
      <c r="M288" s="52">
        <v>178288.34</v>
      </c>
      <c r="N288" s="44" t="s">
        <v>43</v>
      </c>
      <c r="O288" s="29">
        <v>178288.34</v>
      </c>
      <c r="P288" s="29">
        <v>163131.39000000001</v>
      </c>
      <c r="Q288" s="29">
        <v>25150</v>
      </c>
      <c r="R288" s="29">
        <v>9670</v>
      </c>
      <c r="S288" s="11" t="s">
        <v>58</v>
      </c>
      <c r="T288" s="11" t="s">
        <v>14</v>
      </c>
      <c r="U288" s="29">
        <v>9670</v>
      </c>
      <c r="V288" s="29">
        <f>Table1[[#This Row],[STAB]]-Table1[[#This Row],[AMOUNT]]</f>
        <v>0</v>
      </c>
      <c r="W288" s="11">
        <v>0</v>
      </c>
      <c r="X288" s="11" t="s">
        <v>1526</v>
      </c>
      <c r="Y288" s="11" t="s">
        <v>2163</v>
      </c>
      <c r="Z288" s="11" t="s">
        <v>88</v>
      </c>
      <c r="AA288" s="11" t="s">
        <v>91</v>
      </c>
      <c r="AB288" s="11" t="s">
        <v>3139</v>
      </c>
      <c r="AC288" s="11" t="s">
        <v>2031</v>
      </c>
      <c r="AD288" s="11" t="s">
        <v>2122</v>
      </c>
      <c r="AE288" s="11" t="s">
        <v>125</v>
      </c>
      <c r="AF288" s="11" t="s">
        <v>127</v>
      </c>
      <c r="AG288" s="11" t="s">
        <v>56</v>
      </c>
      <c r="AH288" s="11" t="s">
        <v>462</v>
      </c>
      <c r="AI288" s="11">
        <v>801448854</v>
      </c>
      <c r="AJ288" s="11" t="s">
        <v>191</v>
      </c>
      <c r="AK288" s="11"/>
      <c r="AL288" s="11"/>
      <c r="AM288" s="12" t="s">
        <v>64</v>
      </c>
      <c r="AN288" s="11"/>
      <c r="AO288" s="11"/>
      <c r="AP288" s="11"/>
      <c r="AQ288" s="3">
        <v>45869</v>
      </c>
      <c r="AR288" s="11">
        <v>11000</v>
      </c>
      <c r="AS288" s="11" t="s">
        <v>2151</v>
      </c>
      <c r="AT288" s="11" t="s">
        <v>2152</v>
      </c>
      <c r="AU288" s="2">
        <v>46176</v>
      </c>
    </row>
    <row r="289" spans="1:47" x14ac:dyDescent="0.25">
      <c r="A289" s="10" t="s">
        <v>1690</v>
      </c>
      <c r="B289" s="11" t="s">
        <v>1787</v>
      </c>
      <c r="C289" s="11">
        <v>0</v>
      </c>
      <c r="D289" s="11" t="s">
        <v>108</v>
      </c>
      <c r="E289" s="11"/>
      <c r="F289" s="11"/>
      <c r="G289" s="11" t="s">
        <v>52</v>
      </c>
      <c r="H289" s="11">
        <v>16</v>
      </c>
      <c r="I289" s="11" t="s">
        <v>1884</v>
      </c>
      <c r="J289" s="11" t="s">
        <v>42</v>
      </c>
      <c r="K289" s="11">
        <f>Table1[[#This Row],[ENR]]-Table1[[#This Row],[CREDIT]]</f>
        <v>55978.859999999986</v>
      </c>
      <c r="L289" s="43">
        <v>110000</v>
      </c>
      <c r="M289" s="30">
        <v>165978.85999999999</v>
      </c>
      <c r="N289" s="44">
        <v>38540.949999999997</v>
      </c>
      <c r="O289" s="29">
        <v>127437.91</v>
      </c>
      <c r="P289" s="29">
        <v>117966.64</v>
      </c>
      <c r="Q289" s="29">
        <v>71850</v>
      </c>
      <c r="R289" s="29">
        <v>36535.89</v>
      </c>
      <c r="S289" s="11" t="s">
        <v>58</v>
      </c>
      <c r="T289" s="11" t="s">
        <v>14</v>
      </c>
      <c r="U289" s="29">
        <v>38059</v>
      </c>
      <c r="V289" s="29">
        <f>Table1[[#This Row],[STAB]]-Table1[[#This Row],[AMOUNT]]</f>
        <v>-1523.1100000000006</v>
      </c>
      <c r="W289" s="11">
        <v>0</v>
      </c>
      <c r="X289" s="11" t="s">
        <v>761</v>
      </c>
      <c r="Y289" s="11" t="s">
        <v>759</v>
      </c>
      <c r="Z289" s="11" t="s">
        <v>88</v>
      </c>
      <c r="AA289" s="11" t="s">
        <v>91</v>
      </c>
      <c r="AB289" s="11" t="s">
        <v>3139</v>
      </c>
      <c r="AC289" s="11" t="s">
        <v>1981</v>
      </c>
      <c r="AD289" s="11" t="s">
        <v>2078</v>
      </c>
      <c r="AE289" s="11" t="s">
        <v>604</v>
      </c>
      <c r="AF289" s="11" t="s">
        <v>439</v>
      </c>
      <c r="AG289" s="11" t="s">
        <v>63</v>
      </c>
      <c r="AH289" s="11" t="s">
        <v>467</v>
      </c>
      <c r="AI289" s="11">
        <v>801570488</v>
      </c>
      <c r="AJ289" s="11" t="s">
        <v>190</v>
      </c>
      <c r="AK289" s="11"/>
      <c r="AL289" s="11"/>
      <c r="AM289" s="12" t="s">
        <v>64</v>
      </c>
      <c r="AN289" s="11"/>
      <c r="AO289" s="11"/>
      <c r="AP289" s="11"/>
      <c r="AQ289" s="3">
        <v>46139</v>
      </c>
      <c r="AR289" s="11">
        <v>17020</v>
      </c>
      <c r="AS289" s="11" t="s">
        <v>430</v>
      </c>
      <c r="AT289" s="11" t="s">
        <v>2152</v>
      </c>
      <c r="AU289" s="2">
        <v>46176</v>
      </c>
    </row>
    <row r="290" spans="1:47" x14ac:dyDescent="0.25">
      <c r="A290" s="10" t="s">
        <v>1719</v>
      </c>
      <c r="B290" s="11" t="s">
        <v>1816</v>
      </c>
      <c r="C290" s="11">
        <v>0</v>
      </c>
      <c r="D290" s="11" t="s">
        <v>108</v>
      </c>
      <c r="E290" s="11"/>
      <c r="F290" s="11"/>
      <c r="G290" s="11" t="s">
        <v>52</v>
      </c>
      <c r="H290" s="11">
        <v>16</v>
      </c>
      <c r="I290" s="11" t="s">
        <v>1913</v>
      </c>
      <c r="J290" s="11" t="s">
        <v>42</v>
      </c>
      <c r="K290" s="11">
        <f>Table1[[#This Row],[ENR]]-Table1[[#This Row],[CREDIT]]</f>
        <v>14728.459999999992</v>
      </c>
      <c r="L290" s="43">
        <v>150000</v>
      </c>
      <c r="M290" s="30">
        <v>164728.46</v>
      </c>
      <c r="N290" s="44" t="s">
        <v>43</v>
      </c>
      <c r="O290" s="29">
        <v>164728.46</v>
      </c>
      <c r="P290" s="29">
        <v>148438.43</v>
      </c>
      <c r="Q290" s="29">
        <v>39490</v>
      </c>
      <c r="R290" s="29">
        <v>16370</v>
      </c>
      <c r="S290" s="11" t="s">
        <v>58</v>
      </c>
      <c r="T290" s="11" t="s">
        <v>14</v>
      </c>
      <c r="U290" s="29">
        <v>16500</v>
      </c>
      <c r="V290" s="29">
        <f>Table1[[#This Row],[STAB]]-Table1[[#This Row],[AMOUNT]]</f>
        <v>-130</v>
      </c>
      <c r="W290" s="11" t="s">
        <v>3238</v>
      </c>
      <c r="X290" s="11" t="s">
        <v>451</v>
      </c>
      <c r="Y290" s="11" t="s">
        <v>760</v>
      </c>
      <c r="Z290" s="11" t="s">
        <v>88</v>
      </c>
      <c r="AA290" s="11" t="s">
        <v>91</v>
      </c>
      <c r="AB290" s="11" t="s">
        <v>3139</v>
      </c>
      <c r="AC290" s="11" t="s">
        <v>2010</v>
      </c>
      <c r="AD290" s="11" t="s">
        <v>2106</v>
      </c>
      <c r="AE290" s="11" t="s">
        <v>103</v>
      </c>
      <c r="AF290" s="11" t="s">
        <v>53</v>
      </c>
      <c r="AG290" s="11" t="s">
        <v>188</v>
      </c>
      <c r="AH290" s="11" t="s">
        <v>194</v>
      </c>
      <c r="AI290" s="11">
        <v>802823180</v>
      </c>
      <c r="AJ290" s="11" t="s">
        <v>191</v>
      </c>
      <c r="AK290" s="11"/>
      <c r="AL290" s="11"/>
      <c r="AM290" s="12" t="s">
        <v>64</v>
      </c>
      <c r="AN290" s="11" t="s">
        <v>221</v>
      </c>
      <c r="AO290" s="11" t="s">
        <v>3236</v>
      </c>
      <c r="AP290" s="11" t="s">
        <v>3238</v>
      </c>
      <c r="AQ290" s="3">
        <v>46097</v>
      </c>
      <c r="AR290" s="11">
        <v>9020</v>
      </c>
      <c r="AS290" s="11" t="s">
        <v>430</v>
      </c>
      <c r="AT290" s="11" t="s">
        <v>2152</v>
      </c>
      <c r="AU290" s="2">
        <v>46176</v>
      </c>
    </row>
    <row r="291" spans="1:47" x14ac:dyDescent="0.25">
      <c r="A291" s="10" t="s">
        <v>1694</v>
      </c>
      <c r="B291" s="11" t="s">
        <v>1791</v>
      </c>
      <c r="C291" s="11">
        <v>0</v>
      </c>
      <c r="D291" s="11" t="s">
        <v>108</v>
      </c>
      <c r="E291" s="11"/>
      <c r="F291" s="11"/>
      <c r="G291" s="11" t="s">
        <v>52</v>
      </c>
      <c r="H291" s="11">
        <v>16</v>
      </c>
      <c r="I291" s="11" t="s">
        <v>1888</v>
      </c>
      <c r="J291" s="11" t="s">
        <v>42</v>
      </c>
      <c r="K291" s="11">
        <f>Table1[[#This Row],[ENR]]-Table1[[#This Row],[CREDIT]]</f>
        <v>-95693.829999999987</v>
      </c>
      <c r="L291" s="43">
        <v>260000</v>
      </c>
      <c r="M291" s="30">
        <v>164306.17000000001</v>
      </c>
      <c r="N291" s="44" t="s">
        <v>43</v>
      </c>
      <c r="O291" s="29">
        <v>164306.17000000001</v>
      </c>
      <c r="P291" s="29">
        <v>148696.16</v>
      </c>
      <c r="Q291" s="29">
        <v>24430</v>
      </c>
      <c r="R291" s="29">
        <v>8370</v>
      </c>
      <c r="S291" s="11" t="s">
        <v>58</v>
      </c>
      <c r="T291" s="11" t="s">
        <v>13</v>
      </c>
      <c r="U291" s="11">
        <v>24430</v>
      </c>
      <c r="V291" s="29">
        <f>Table1[[#This Row],[STAB]]-Table1[[#This Row],[AMOUNT]]</f>
        <v>-16060</v>
      </c>
      <c r="W291" s="11">
        <v>0</v>
      </c>
      <c r="X291" s="11" t="s">
        <v>761</v>
      </c>
      <c r="Y291" s="11" t="s">
        <v>759</v>
      </c>
      <c r="Z291" s="11" t="s">
        <v>88</v>
      </c>
      <c r="AA291" s="11" t="s">
        <v>91</v>
      </c>
      <c r="AB291" s="11" t="s">
        <v>3139</v>
      </c>
      <c r="AC291" s="11" t="s">
        <v>1985</v>
      </c>
      <c r="AD291" s="11" t="s">
        <v>2082</v>
      </c>
      <c r="AE291" s="11" t="s">
        <v>218</v>
      </c>
      <c r="AF291" s="11" t="s">
        <v>84</v>
      </c>
      <c r="AG291" s="11" t="s">
        <v>97</v>
      </c>
      <c r="AH291" s="11" t="s">
        <v>88</v>
      </c>
      <c r="AI291" s="11">
        <v>801723195</v>
      </c>
      <c r="AJ291" s="11" t="s">
        <v>191</v>
      </c>
      <c r="AK291" s="11"/>
      <c r="AL291" s="11"/>
      <c r="AM291" s="12" t="s">
        <v>64</v>
      </c>
      <c r="AN291" s="11" t="s">
        <v>446</v>
      </c>
      <c r="AO291" s="11" t="s">
        <v>3123</v>
      </c>
      <c r="AP291" s="11" t="s">
        <v>3119</v>
      </c>
      <c r="AQ291" s="3">
        <v>46115</v>
      </c>
      <c r="AR291" s="11">
        <v>1000</v>
      </c>
      <c r="AS291" s="11" t="s">
        <v>430</v>
      </c>
      <c r="AT291" s="11" t="s">
        <v>2152</v>
      </c>
      <c r="AU291" s="2">
        <v>46176</v>
      </c>
    </row>
    <row r="292" spans="1:47" x14ac:dyDescent="0.25">
      <c r="A292" s="10" t="s">
        <v>2226</v>
      </c>
      <c r="B292" s="11" t="s">
        <v>2238</v>
      </c>
      <c r="C292" s="11">
        <v>0</v>
      </c>
      <c r="D292" s="11" t="s">
        <v>108</v>
      </c>
      <c r="E292" s="11"/>
      <c r="F292" s="11"/>
      <c r="G292" s="11" t="s">
        <v>52</v>
      </c>
      <c r="H292" s="11">
        <v>16</v>
      </c>
      <c r="I292" s="11" t="s">
        <v>2250</v>
      </c>
      <c r="J292" s="11" t="s">
        <v>42</v>
      </c>
      <c r="K292" s="11">
        <f>Table1[[#This Row],[ENR]]-Table1[[#This Row],[CREDIT]]</f>
        <v>-37598.359999999986</v>
      </c>
      <c r="L292" s="43">
        <v>200000</v>
      </c>
      <c r="M292" s="30">
        <v>162401.64000000001</v>
      </c>
      <c r="N292" s="44">
        <v>57389.75</v>
      </c>
      <c r="O292" s="29">
        <v>105011.89</v>
      </c>
      <c r="P292" s="29">
        <v>91525.7</v>
      </c>
      <c r="Q292" s="29">
        <v>96670</v>
      </c>
      <c r="R292" s="29">
        <v>18780</v>
      </c>
      <c r="S292" s="11" t="s">
        <v>44</v>
      </c>
      <c r="T292" s="11" t="s">
        <v>45</v>
      </c>
      <c r="U292" s="11">
        <v>0</v>
      </c>
      <c r="V292" s="29">
        <f>Table1[[#This Row],[STAB]]-Table1[[#This Row],[AMOUNT]]</f>
        <v>18780</v>
      </c>
      <c r="W292" s="11">
        <v>0</v>
      </c>
      <c r="X292" s="11" t="s">
        <v>83</v>
      </c>
      <c r="Y292" s="11">
        <v>0</v>
      </c>
      <c r="Z292" s="11" t="s">
        <v>88</v>
      </c>
      <c r="AA292" s="11" t="s">
        <v>91</v>
      </c>
      <c r="AB292" s="11" t="s">
        <v>3139</v>
      </c>
      <c r="AC292" s="11" t="s">
        <v>2262</v>
      </c>
      <c r="AD292" s="11" t="s">
        <v>2274</v>
      </c>
      <c r="AE292" s="11" t="s">
        <v>428</v>
      </c>
      <c r="AF292" s="11" t="s">
        <v>53</v>
      </c>
      <c r="AG292" s="11" t="s">
        <v>55</v>
      </c>
      <c r="AH292" s="11" t="s">
        <v>468</v>
      </c>
      <c r="AI292" s="11">
        <v>802030802</v>
      </c>
      <c r="AJ292" s="11" t="s">
        <v>458</v>
      </c>
      <c r="AK292" s="11"/>
      <c r="AL292" s="11"/>
      <c r="AM292" s="12" t="s">
        <v>64</v>
      </c>
      <c r="AN292" s="11" t="s">
        <v>221</v>
      </c>
      <c r="AO292" s="11" t="s">
        <v>3155</v>
      </c>
      <c r="AP292" s="11" t="s">
        <v>3129</v>
      </c>
      <c r="AQ292" s="3">
        <v>45747</v>
      </c>
      <c r="AR292" s="11">
        <v>27743.93</v>
      </c>
      <c r="AS292" s="11" t="s">
        <v>433</v>
      </c>
      <c r="AT292" s="11" t="s">
        <v>2222</v>
      </c>
      <c r="AU292" s="2">
        <v>46176</v>
      </c>
    </row>
    <row r="293" spans="1:47" x14ac:dyDescent="0.25">
      <c r="A293" s="10" t="s">
        <v>1733</v>
      </c>
      <c r="B293" s="11" t="s">
        <v>1830</v>
      </c>
      <c r="C293" s="11">
        <v>0</v>
      </c>
      <c r="D293" s="11" t="s">
        <v>108</v>
      </c>
      <c r="E293" s="11"/>
      <c r="F293" s="11"/>
      <c r="G293" s="11" t="s">
        <v>52</v>
      </c>
      <c r="H293" s="11">
        <v>16</v>
      </c>
      <c r="I293" s="11" t="s">
        <v>1927</v>
      </c>
      <c r="J293" s="11" t="s">
        <v>42</v>
      </c>
      <c r="K293" s="11">
        <f>Table1[[#This Row],[ENR]]-Table1[[#This Row],[CREDIT]]</f>
        <v>8963.7000000000116</v>
      </c>
      <c r="L293" s="43">
        <v>150000</v>
      </c>
      <c r="M293" s="30">
        <v>158963.70000000001</v>
      </c>
      <c r="N293" s="44" t="s">
        <v>43</v>
      </c>
      <c r="O293" s="29">
        <v>158963.70000000001</v>
      </c>
      <c r="P293" s="29">
        <v>141711.25</v>
      </c>
      <c r="Q293" s="29">
        <v>34550</v>
      </c>
      <c r="R293" s="29">
        <v>10880</v>
      </c>
      <c r="S293" s="11" t="s">
        <v>58</v>
      </c>
      <c r="T293" s="11" t="s">
        <v>13</v>
      </c>
      <c r="U293" s="11">
        <v>158963.70000000001</v>
      </c>
      <c r="V293" s="29">
        <f>Table1[[#This Row],[STAB]]-Table1[[#This Row],[AMOUNT]]</f>
        <v>-148083.70000000001</v>
      </c>
      <c r="W293" s="11">
        <v>0</v>
      </c>
      <c r="X293" s="11" t="s">
        <v>761</v>
      </c>
      <c r="Y293" s="11" t="s">
        <v>1085</v>
      </c>
      <c r="Z293" s="11" t="s">
        <v>88</v>
      </c>
      <c r="AA293" s="11" t="s">
        <v>91</v>
      </c>
      <c r="AB293" s="11" t="s">
        <v>3139</v>
      </c>
      <c r="AC293" s="11" t="s">
        <v>2024</v>
      </c>
      <c r="AD293" s="11" t="s">
        <v>2119</v>
      </c>
      <c r="AE293" s="11" t="s">
        <v>123</v>
      </c>
      <c r="AF293" s="11" t="s">
        <v>127</v>
      </c>
      <c r="AG293" s="11" t="s">
        <v>2155</v>
      </c>
      <c r="AH293" s="11" t="s">
        <v>193</v>
      </c>
      <c r="AI293" s="11">
        <v>802824019</v>
      </c>
      <c r="AJ293" s="11" t="s">
        <v>189</v>
      </c>
      <c r="AK293" s="11"/>
      <c r="AL293" s="11"/>
      <c r="AM293" s="12" t="s">
        <v>64</v>
      </c>
      <c r="AN293" s="11"/>
      <c r="AO293" s="11"/>
      <c r="AP293" s="11"/>
      <c r="AQ293" s="3">
        <v>46125</v>
      </c>
      <c r="AR293" s="11">
        <v>6300</v>
      </c>
      <c r="AS293" s="11" t="s">
        <v>2151</v>
      </c>
      <c r="AT293" s="11" t="s">
        <v>2152</v>
      </c>
      <c r="AU293" s="2">
        <v>46176</v>
      </c>
    </row>
    <row r="294" spans="1:47" x14ac:dyDescent="0.25">
      <c r="A294" s="10" t="s">
        <v>1693</v>
      </c>
      <c r="B294" s="11" t="s">
        <v>1790</v>
      </c>
      <c r="C294" s="11">
        <v>0</v>
      </c>
      <c r="D294" s="11" t="s">
        <v>108</v>
      </c>
      <c r="E294" s="11"/>
      <c r="F294" s="11"/>
      <c r="G294" s="11" t="s">
        <v>52</v>
      </c>
      <c r="H294" s="11">
        <v>16</v>
      </c>
      <c r="I294" s="11" t="s">
        <v>1887</v>
      </c>
      <c r="J294" s="11" t="s">
        <v>42</v>
      </c>
      <c r="K294" s="11">
        <f>Table1[[#This Row],[ENR]]-Table1[[#This Row],[CREDIT]]</f>
        <v>13961.190000000002</v>
      </c>
      <c r="L294" s="43">
        <v>140000</v>
      </c>
      <c r="M294" s="30">
        <v>153961.19</v>
      </c>
      <c r="N294" s="44" t="s">
        <v>43</v>
      </c>
      <c r="O294" s="29">
        <v>153961.19</v>
      </c>
      <c r="P294" s="29">
        <v>139961.42000000001</v>
      </c>
      <c r="Q294" s="29">
        <v>40920</v>
      </c>
      <c r="R294" s="29">
        <v>7000</v>
      </c>
      <c r="S294" s="11" t="s">
        <v>58</v>
      </c>
      <c r="T294" s="11" t="s">
        <v>14</v>
      </c>
      <c r="U294" s="29">
        <v>7000</v>
      </c>
      <c r="V294" s="29">
        <f>Table1[[#This Row],[STAB]]-Table1[[#This Row],[AMOUNT]]</f>
        <v>0</v>
      </c>
      <c r="W294" s="11" t="s">
        <v>3238</v>
      </c>
      <c r="X294" s="11" t="s">
        <v>451</v>
      </c>
      <c r="Y294" s="11" t="s">
        <v>760</v>
      </c>
      <c r="Z294" s="12" t="s">
        <v>88</v>
      </c>
      <c r="AA294" s="11" t="s">
        <v>91</v>
      </c>
      <c r="AB294" s="11" t="s">
        <v>3139</v>
      </c>
      <c r="AC294" s="11" t="s">
        <v>1984</v>
      </c>
      <c r="AD294" s="11" t="s">
        <v>2081</v>
      </c>
      <c r="AE294" s="11" t="s">
        <v>218</v>
      </c>
      <c r="AF294" s="11" t="s">
        <v>84</v>
      </c>
      <c r="AG294" s="11" t="s">
        <v>749</v>
      </c>
      <c r="AH294" s="11" t="s">
        <v>88</v>
      </c>
      <c r="AI294" s="11">
        <v>801723195</v>
      </c>
      <c r="AJ294" s="11" t="s">
        <v>191</v>
      </c>
      <c r="AK294" s="11"/>
      <c r="AL294" s="11"/>
      <c r="AM294" s="12" t="s">
        <v>64</v>
      </c>
      <c r="AN294" s="11" t="s">
        <v>221</v>
      </c>
      <c r="AO294" s="11" t="s">
        <v>3214</v>
      </c>
      <c r="AP294" s="11" t="s">
        <v>3206</v>
      </c>
      <c r="AQ294" s="3">
        <v>46087</v>
      </c>
      <c r="AR294" s="11">
        <v>250</v>
      </c>
      <c r="AS294" s="11" t="s">
        <v>430</v>
      </c>
      <c r="AT294" s="11" t="s">
        <v>2152</v>
      </c>
      <c r="AU294" s="2">
        <v>46176</v>
      </c>
    </row>
    <row r="295" spans="1:47" x14ac:dyDescent="0.25">
      <c r="A295" s="10" t="s">
        <v>1725</v>
      </c>
      <c r="B295" s="11" t="s">
        <v>1822</v>
      </c>
      <c r="C295" s="11">
        <v>0</v>
      </c>
      <c r="D295" s="11" t="s">
        <v>108</v>
      </c>
      <c r="E295" s="11"/>
      <c r="F295" s="11"/>
      <c r="G295" s="11" t="s">
        <v>52</v>
      </c>
      <c r="H295" s="11">
        <v>16</v>
      </c>
      <c r="I295" s="11" t="s">
        <v>1919</v>
      </c>
      <c r="J295" s="11" t="s">
        <v>42</v>
      </c>
      <c r="K295" s="11">
        <f>Table1[[#This Row],[ENR]]-Table1[[#This Row],[CREDIT]]</f>
        <v>11767.640000000014</v>
      </c>
      <c r="L295" s="43">
        <v>140000</v>
      </c>
      <c r="M295" s="30">
        <v>151767.64000000001</v>
      </c>
      <c r="N295" s="44" t="s">
        <v>43</v>
      </c>
      <c r="O295" s="29">
        <v>151767.64000000001</v>
      </c>
      <c r="P295" s="29">
        <v>139517.39000000001</v>
      </c>
      <c r="Q295" s="29">
        <v>51820</v>
      </c>
      <c r="R295" s="29">
        <v>14460</v>
      </c>
      <c r="S295" s="11" t="s">
        <v>58</v>
      </c>
      <c r="T295" s="11" t="s">
        <v>14</v>
      </c>
      <c r="U295" s="29">
        <v>20000</v>
      </c>
      <c r="V295" s="29">
        <f>Table1[[#This Row],[STAB]]-Table1[[#This Row],[AMOUNT]]</f>
        <v>-5540</v>
      </c>
      <c r="W295" s="11" t="s">
        <v>3206</v>
      </c>
      <c r="X295" s="11" t="s">
        <v>761</v>
      </c>
      <c r="Y295" s="11" t="s">
        <v>760</v>
      </c>
      <c r="Z295" s="12" t="s">
        <v>88</v>
      </c>
      <c r="AA295" s="11" t="s">
        <v>91</v>
      </c>
      <c r="AB295" s="11" t="s">
        <v>3139</v>
      </c>
      <c r="AC295" s="11" t="s">
        <v>2016</v>
      </c>
      <c r="AD295" s="11" t="s">
        <v>2112</v>
      </c>
      <c r="AE295" s="11" t="s">
        <v>92</v>
      </c>
      <c r="AF295" s="11" t="s">
        <v>54</v>
      </c>
      <c r="AG295" s="11" t="s">
        <v>119</v>
      </c>
      <c r="AH295" s="11" t="s">
        <v>626</v>
      </c>
      <c r="AI295" s="11">
        <v>802663344</v>
      </c>
      <c r="AJ295" s="11" t="s">
        <v>191</v>
      </c>
      <c r="AK295" s="11"/>
      <c r="AL295" s="11"/>
      <c r="AM295" s="12" t="s">
        <v>64</v>
      </c>
      <c r="AN295" s="11" t="s">
        <v>115</v>
      </c>
      <c r="AO295" s="11" t="s">
        <v>3224</v>
      </c>
      <c r="AP295" s="11" t="s">
        <v>3206</v>
      </c>
      <c r="AQ295" s="3">
        <v>45508</v>
      </c>
      <c r="AR295" s="11">
        <v>10000</v>
      </c>
      <c r="AS295" s="11" t="s">
        <v>608</v>
      </c>
      <c r="AT295" s="11" t="s">
        <v>2152</v>
      </c>
      <c r="AU295" s="2">
        <v>46176</v>
      </c>
    </row>
    <row r="296" spans="1:47" x14ac:dyDescent="0.25">
      <c r="A296" s="10" t="s">
        <v>1724</v>
      </c>
      <c r="B296" s="11" t="s">
        <v>1821</v>
      </c>
      <c r="C296" s="11">
        <v>0</v>
      </c>
      <c r="D296" s="11" t="s">
        <v>108</v>
      </c>
      <c r="E296" s="11"/>
      <c r="F296" s="11"/>
      <c r="G296" s="11" t="s">
        <v>52</v>
      </c>
      <c r="H296" s="11">
        <v>16</v>
      </c>
      <c r="I296" s="11" t="s">
        <v>1918</v>
      </c>
      <c r="J296" s="11" t="s">
        <v>42</v>
      </c>
      <c r="K296" s="11">
        <f>Table1[[#This Row],[ENR]]-Table1[[#This Row],[CREDIT]]</f>
        <v>9197.3399999999965</v>
      </c>
      <c r="L296" s="43">
        <v>140000</v>
      </c>
      <c r="M296" s="52">
        <v>149197.34</v>
      </c>
      <c r="N296" s="44" t="s">
        <v>43</v>
      </c>
      <c r="O296" s="29">
        <v>149197.34</v>
      </c>
      <c r="P296" s="29">
        <v>134371.4</v>
      </c>
      <c r="Q296" s="29">
        <v>30950</v>
      </c>
      <c r="R296" s="29">
        <v>7870</v>
      </c>
      <c r="S296" s="11" t="s">
        <v>58</v>
      </c>
      <c r="T296" s="11" t="s">
        <v>14</v>
      </c>
      <c r="U296" s="29">
        <v>7870</v>
      </c>
      <c r="V296" s="29">
        <f>Table1[[#This Row],[STAB]]-Table1[[#This Row],[AMOUNT]]</f>
        <v>0</v>
      </c>
      <c r="W296" s="11">
        <v>0</v>
      </c>
      <c r="X296" s="11" t="s">
        <v>1526</v>
      </c>
      <c r="Y296" s="11" t="s">
        <v>760</v>
      </c>
      <c r="Z296" s="11" t="s">
        <v>88</v>
      </c>
      <c r="AA296" s="11" t="s">
        <v>91</v>
      </c>
      <c r="AB296" s="11" t="s">
        <v>3140</v>
      </c>
      <c r="AC296" s="11" t="s">
        <v>2015</v>
      </c>
      <c r="AD296" s="11" t="s">
        <v>2111</v>
      </c>
      <c r="AE296" s="11" t="s">
        <v>421</v>
      </c>
      <c r="AF296" s="11" t="s">
        <v>54</v>
      </c>
      <c r="AG296" s="11" t="s">
        <v>119</v>
      </c>
      <c r="AH296" s="11" t="s">
        <v>626</v>
      </c>
      <c r="AI296" s="11">
        <v>802663344</v>
      </c>
      <c r="AJ296" s="11" t="s">
        <v>191</v>
      </c>
      <c r="AK296" s="11"/>
      <c r="AL296" s="11"/>
      <c r="AM296" s="12" t="s">
        <v>64</v>
      </c>
      <c r="AN296" s="11" t="s">
        <v>115</v>
      </c>
      <c r="AO296" s="11" t="s">
        <v>3126</v>
      </c>
      <c r="AP296" s="11" t="s">
        <v>3119</v>
      </c>
      <c r="AQ296" s="3">
        <v>45885</v>
      </c>
      <c r="AR296" s="11">
        <v>2590</v>
      </c>
      <c r="AS296" s="11" t="s">
        <v>430</v>
      </c>
      <c r="AT296" s="11" t="s">
        <v>2152</v>
      </c>
      <c r="AU296" s="2">
        <v>46176</v>
      </c>
    </row>
    <row r="297" spans="1:47" x14ac:dyDescent="0.25">
      <c r="A297" s="10" t="s">
        <v>1737</v>
      </c>
      <c r="B297" s="11" t="s">
        <v>1834</v>
      </c>
      <c r="C297" s="11">
        <v>0</v>
      </c>
      <c r="D297" s="11" t="s">
        <v>108</v>
      </c>
      <c r="E297" s="11"/>
      <c r="F297" s="11"/>
      <c r="G297" s="11" t="s">
        <v>52</v>
      </c>
      <c r="H297" s="11">
        <v>16</v>
      </c>
      <c r="I297" s="11" t="s">
        <v>1931</v>
      </c>
      <c r="J297" s="11" t="s">
        <v>42</v>
      </c>
      <c r="K297" s="11">
        <f>Table1[[#This Row],[ENR]]-Table1[[#This Row],[CREDIT]]</f>
        <v>-3293.9500000000116</v>
      </c>
      <c r="L297" s="43">
        <v>150000</v>
      </c>
      <c r="M297" s="30">
        <v>146706.04999999999</v>
      </c>
      <c r="N297" s="44" t="s">
        <v>43</v>
      </c>
      <c r="O297" s="29">
        <v>146706.04999999999</v>
      </c>
      <c r="P297" s="29">
        <v>130454.72</v>
      </c>
      <c r="Q297" s="29">
        <v>24340</v>
      </c>
      <c r="R297" s="29">
        <v>9840</v>
      </c>
      <c r="S297" s="11" t="s">
        <v>58</v>
      </c>
      <c r="T297" s="11" t="s">
        <v>13</v>
      </c>
      <c r="U297" s="11">
        <v>146706.04999999999</v>
      </c>
      <c r="V297" s="29">
        <f>Table1[[#This Row],[STAB]]-Table1[[#This Row],[AMOUNT]]</f>
        <v>-136866.04999999999</v>
      </c>
      <c r="W297" s="11" t="s">
        <v>3119</v>
      </c>
      <c r="X297" s="11" t="s">
        <v>451</v>
      </c>
      <c r="Y297" s="11" t="s">
        <v>1085</v>
      </c>
      <c r="Z297" s="11" t="s">
        <v>88</v>
      </c>
      <c r="AA297" s="11" t="s">
        <v>91</v>
      </c>
      <c r="AB297" s="11" t="s">
        <v>3139</v>
      </c>
      <c r="AC297" s="11" t="s">
        <v>2028</v>
      </c>
      <c r="AD297" s="11" t="s">
        <v>2028</v>
      </c>
      <c r="AE297" s="11" t="s">
        <v>218</v>
      </c>
      <c r="AF297" s="11" t="s">
        <v>84</v>
      </c>
      <c r="AG297" s="11" t="s">
        <v>97</v>
      </c>
      <c r="AH297" s="11" t="s">
        <v>88</v>
      </c>
      <c r="AI297" s="11">
        <v>801723195</v>
      </c>
      <c r="AJ297" s="11" t="s">
        <v>191</v>
      </c>
      <c r="AK297" s="11"/>
      <c r="AL297" s="11"/>
      <c r="AM297" s="12" t="s">
        <v>64</v>
      </c>
      <c r="AN297" s="11" t="s">
        <v>115</v>
      </c>
      <c r="AO297" s="11" t="s">
        <v>3120</v>
      </c>
      <c r="AP297" s="11" t="s">
        <v>3119</v>
      </c>
      <c r="AQ297" s="3">
        <v>46125</v>
      </c>
      <c r="AR297" s="11">
        <v>-9920</v>
      </c>
      <c r="AS297" s="11" t="s">
        <v>2151</v>
      </c>
      <c r="AT297" s="11" t="s">
        <v>2152</v>
      </c>
      <c r="AU297" s="2">
        <v>46176</v>
      </c>
    </row>
    <row r="298" spans="1:47" x14ac:dyDescent="0.25">
      <c r="A298" s="10" t="s">
        <v>2229</v>
      </c>
      <c r="B298" s="11" t="s">
        <v>2241</v>
      </c>
      <c r="C298" s="11">
        <v>0</v>
      </c>
      <c r="D298" s="11" t="s">
        <v>108</v>
      </c>
      <c r="E298" s="11"/>
      <c r="F298" s="11"/>
      <c r="G298" s="11" t="s">
        <v>52</v>
      </c>
      <c r="H298" s="11">
        <v>16</v>
      </c>
      <c r="I298" s="11" t="s">
        <v>2253</v>
      </c>
      <c r="J298" s="11" t="s">
        <v>42</v>
      </c>
      <c r="K298" s="11">
        <f>Table1[[#This Row],[ENR]]-Table1[[#This Row],[CREDIT]]</f>
        <v>-4482.6499999999942</v>
      </c>
      <c r="L298" s="43">
        <v>150000</v>
      </c>
      <c r="M298" s="30">
        <v>145517.35</v>
      </c>
      <c r="N298" s="44" t="s">
        <v>43</v>
      </c>
      <c r="O298" s="29">
        <v>145517.35</v>
      </c>
      <c r="P298" s="29">
        <v>135000</v>
      </c>
      <c r="Q298" s="29">
        <v>23680</v>
      </c>
      <c r="R298" s="29">
        <v>6750</v>
      </c>
      <c r="S298" s="11" t="s">
        <v>44</v>
      </c>
      <c r="T298" s="11" t="s">
        <v>45</v>
      </c>
      <c r="U298" s="11">
        <v>0</v>
      </c>
      <c r="V298" s="29">
        <f>Table1[[#This Row],[STAB]]-Table1[[#This Row],[AMOUNT]]</f>
        <v>6750</v>
      </c>
      <c r="W298" s="11">
        <v>0</v>
      </c>
      <c r="X298" s="11" t="s">
        <v>83</v>
      </c>
      <c r="Y298" s="11">
        <v>0</v>
      </c>
      <c r="Z298" s="11" t="s">
        <v>88</v>
      </c>
      <c r="AA298" s="11" t="s">
        <v>91</v>
      </c>
      <c r="AB298" s="11" t="s">
        <v>3141</v>
      </c>
      <c r="AC298" s="11" t="s">
        <v>2265</v>
      </c>
      <c r="AD298" s="11" t="s">
        <v>2277</v>
      </c>
      <c r="AE298" s="11" t="s">
        <v>414</v>
      </c>
      <c r="AF298" s="11" t="s">
        <v>127</v>
      </c>
      <c r="AG298" s="11" t="s">
        <v>106</v>
      </c>
      <c r="AH298" s="11" t="s">
        <v>460</v>
      </c>
      <c r="AI298" s="11">
        <v>802913252</v>
      </c>
      <c r="AJ298" s="11" t="s">
        <v>190</v>
      </c>
      <c r="AK298" s="11"/>
      <c r="AL298" s="11"/>
      <c r="AM298" s="12" t="s">
        <v>64</v>
      </c>
      <c r="AN298" s="11" t="s">
        <v>221</v>
      </c>
      <c r="AO298" s="11" t="s">
        <v>3183</v>
      </c>
      <c r="AP298" s="11" t="s">
        <v>3169</v>
      </c>
      <c r="AQ298" s="3" t="s">
        <v>43</v>
      </c>
      <c r="AR298" s="11">
        <v>0</v>
      </c>
      <c r="AS298" s="11" t="s">
        <v>48</v>
      </c>
      <c r="AT298" s="11" t="s">
        <v>2222</v>
      </c>
      <c r="AU298" s="2">
        <v>46176</v>
      </c>
    </row>
    <row r="299" spans="1:47" x14ac:dyDescent="0.25">
      <c r="A299" s="10" t="s">
        <v>2224</v>
      </c>
      <c r="B299" s="11" t="s">
        <v>2236</v>
      </c>
      <c r="C299" s="11">
        <v>0</v>
      </c>
      <c r="D299" s="11" t="s">
        <v>108</v>
      </c>
      <c r="E299" s="11"/>
      <c r="F299" s="11"/>
      <c r="G299" s="11" t="s">
        <v>52</v>
      </c>
      <c r="H299" s="11">
        <v>16</v>
      </c>
      <c r="I299" s="11" t="s">
        <v>2248</v>
      </c>
      <c r="J299" s="11" t="s">
        <v>42</v>
      </c>
      <c r="K299" s="11">
        <f>Table1[[#This Row],[ENR]]-Table1[[#This Row],[CREDIT]]</f>
        <v>11334.320000000007</v>
      </c>
      <c r="L299" s="43">
        <v>130000</v>
      </c>
      <c r="M299" s="30">
        <v>141334.32</v>
      </c>
      <c r="N299" s="44">
        <v>84947</v>
      </c>
      <c r="O299" s="29">
        <v>56387.32</v>
      </c>
      <c r="P299" s="29">
        <v>44972.78</v>
      </c>
      <c r="Q299" s="29">
        <v>33720</v>
      </c>
      <c r="R299" s="29">
        <v>17100</v>
      </c>
      <c r="S299" s="11" t="s">
        <v>44</v>
      </c>
      <c r="T299" s="11" t="s">
        <v>45</v>
      </c>
      <c r="U299" s="11">
        <v>0</v>
      </c>
      <c r="V299" s="29">
        <f>Table1[[#This Row],[STAB]]-Table1[[#This Row],[AMOUNT]]</f>
        <v>17100</v>
      </c>
      <c r="W299" s="11">
        <v>0</v>
      </c>
      <c r="X299" s="11" t="s">
        <v>83</v>
      </c>
      <c r="Y299" s="11" t="s">
        <v>759</v>
      </c>
      <c r="Z299" s="12" t="s">
        <v>88</v>
      </c>
      <c r="AA299" s="11" t="s">
        <v>91</v>
      </c>
      <c r="AB299" s="11" t="s">
        <v>3140</v>
      </c>
      <c r="AC299" s="11" t="s">
        <v>2260</v>
      </c>
      <c r="AD299" s="11" t="s">
        <v>2272</v>
      </c>
      <c r="AE299" s="11" t="s">
        <v>418</v>
      </c>
      <c r="AF299" s="11" t="s">
        <v>54</v>
      </c>
      <c r="AG299" s="11" t="s">
        <v>1658</v>
      </c>
      <c r="AH299" s="11" t="s">
        <v>85</v>
      </c>
      <c r="AI299" s="11">
        <v>801772794</v>
      </c>
      <c r="AJ299" s="11" t="s">
        <v>192</v>
      </c>
      <c r="AK299" s="11"/>
      <c r="AL299" s="11"/>
      <c r="AM299" s="12" t="s">
        <v>46</v>
      </c>
      <c r="AN299" s="11"/>
      <c r="AO299" s="11"/>
      <c r="AP299" s="11"/>
      <c r="AQ299" s="3">
        <v>45471</v>
      </c>
      <c r="AR299" s="11">
        <v>36246.89</v>
      </c>
      <c r="AS299" s="11" t="s">
        <v>608</v>
      </c>
      <c r="AT299" s="11" t="s">
        <v>2222</v>
      </c>
      <c r="AU299" s="2">
        <v>46176</v>
      </c>
    </row>
    <row r="300" spans="1:47" x14ac:dyDescent="0.25">
      <c r="A300" s="10" t="s">
        <v>2228</v>
      </c>
      <c r="B300" s="11" t="s">
        <v>2240</v>
      </c>
      <c r="C300" s="11">
        <v>0</v>
      </c>
      <c r="D300" s="11" t="s">
        <v>108</v>
      </c>
      <c r="E300" s="11"/>
      <c r="F300" s="11"/>
      <c r="G300" s="11" t="s">
        <v>52</v>
      </c>
      <c r="H300" s="11">
        <v>16</v>
      </c>
      <c r="I300" s="11" t="s">
        <v>2252</v>
      </c>
      <c r="J300" s="11" t="s">
        <v>42</v>
      </c>
      <c r="K300" s="11">
        <f>Table1[[#This Row],[ENR]]-Table1[[#This Row],[CREDIT]]</f>
        <v>13167.619999999995</v>
      </c>
      <c r="L300" s="43">
        <v>120000</v>
      </c>
      <c r="M300" s="30">
        <v>133167.62</v>
      </c>
      <c r="N300" s="44" t="s">
        <v>43</v>
      </c>
      <c r="O300" s="29">
        <v>133167.62</v>
      </c>
      <c r="P300" s="29">
        <v>117999</v>
      </c>
      <c r="Q300" s="29">
        <v>33710</v>
      </c>
      <c r="R300" s="29">
        <v>14580</v>
      </c>
      <c r="S300" s="11" t="s">
        <v>44</v>
      </c>
      <c r="T300" s="11" t="s">
        <v>45</v>
      </c>
      <c r="U300" s="11">
        <v>0</v>
      </c>
      <c r="V300" s="29">
        <f>Table1[[#This Row],[STAB]]-Table1[[#This Row],[AMOUNT]]</f>
        <v>14580</v>
      </c>
      <c r="W300" s="11">
        <v>0</v>
      </c>
      <c r="X300" s="11" t="s">
        <v>83</v>
      </c>
      <c r="Y300" s="11">
        <v>0</v>
      </c>
      <c r="Z300" s="11" t="s">
        <v>88</v>
      </c>
      <c r="AA300" s="11" t="s">
        <v>91</v>
      </c>
      <c r="AB300" s="11" t="s">
        <v>3139</v>
      </c>
      <c r="AC300" s="11" t="s">
        <v>2264</v>
      </c>
      <c r="AD300" s="11" t="s">
        <v>2276</v>
      </c>
      <c r="AE300" s="11" t="s">
        <v>604</v>
      </c>
      <c r="AF300" s="11" t="s">
        <v>439</v>
      </c>
      <c r="AG300" s="11" t="s">
        <v>63</v>
      </c>
      <c r="AH300" s="11" t="s">
        <v>467</v>
      </c>
      <c r="AI300" s="11">
        <v>801570488</v>
      </c>
      <c r="AJ300" s="11" t="s">
        <v>190</v>
      </c>
      <c r="AK300" s="11"/>
      <c r="AL300" s="11"/>
      <c r="AM300" s="12" t="s">
        <v>64</v>
      </c>
      <c r="AN300" s="11" t="s">
        <v>446</v>
      </c>
      <c r="AO300" s="11" t="s">
        <v>3253</v>
      </c>
      <c r="AP300" s="11" t="s">
        <v>3238</v>
      </c>
      <c r="AQ300" s="3">
        <v>45635</v>
      </c>
      <c r="AR300" s="11">
        <v>1202</v>
      </c>
      <c r="AS300" s="11" t="s">
        <v>430</v>
      </c>
      <c r="AT300" s="11" t="s">
        <v>2222</v>
      </c>
      <c r="AU300" s="2">
        <v>46176</v>
      </c>
    </row>
    <row r="301" spans="1:47" x14ac:dyDescent="0.25">
      <c r="A301" s="10" t="s">
        <v>1734</v>
      </c>
      <c r="B301" s="11" t="s">
        <v>1831</v>
      </c>
      <c r="C301" s="11">
        <v>0</v>
      </c>
      <c r="D301" s="11" t="s">
        <v>108</v>
      </c>
      <c r="E301" s="11"/>
      <c r="F301" s="11"/>
      <c r="G301" s="11" t="s">
        <v>52</v>
      </c>
      <c r="H301" s="11">
        <v>16</v>
      </c>
      <c r="I301" s="11" t="s">
        <v>1928</v>
      </c>
      <c r="J301" s="11" t="s">
        <v>550</v>
      </c>
      <c r="K301" s="11">
        <f>Table1[[#This Row],[ENR]]-Table1[[#This Row],[CREDIT]]</f>
        <v>-168980.75</v>
      </c>
      <c r="L301" s="43">
        <v>300000</v>
      </c>
      <c r="M301" s="52">
        <v>131019.25</v>
      </c>
      <c r="N301" s="44" t="s">
        <v>43</v>
      </c>
      <c r="O301" s="29">
        <v>131019.25</v>
      </c>
      <c r="P301" s="29">
        <v>120000</v>
      </c>
      <c r="Q301" s="29">
        <v>18470</v>
      </c>
      <c r="R301" s="29">
        <v>7090</v>
      </c>
      <c r="S301" s="11" t="s">
        <v>58</v>
      </c>
      <c r="T301" s="11" t="s">
        <v>14</v>
      </c>
      <c r="U301" s="29">
        <v>14190</v>
      </c>
      <c r="V301" s="29">
        <f>Table1[[#This Row],[STAB]]-Table1[[#This Row],[AMOUNT]]</f>
        <v>-7100</v>
      </c>
      <c r="W301" s="11">
        <v>0</v>
      </c>
      <c r="X301" s="11" t="s">
        <v>1526</v>
      </c>
      <c r="Y301" s="11" t="s">
        <v>760</v>
      </c>
      <c r="Z301" s="11" t="s">
        <v>88</v>
      </c>
      <c r="AA301" s="11" t="s">
        <v>91</v>
      </c>
      <c r="AB301" s="11" t="s">
        <v>3139</v>
      </c>
      <c r="AC301" s="11" t="s">
        <v>2025</v>
      </c>
      <c r="AD301" s="11" t="s">
        <v>2120</v>
      </c>
      <c r="AE301" s="11" t="s">
        <v>148</v>
      </c>
      <c r="AF301" s="11" t="s">
        <v>2153</v>
      </c>
      <c r="AG301" s="11" t="s">
        <v>2154</v>
      </c>
      <c r="AH301" s="11" t="s">
        <v>459</v>
      </c>
      <c r="AI301" s="11">
        <v>802789320</v>
      </c>
      <c r="AJ301" s="11" t="s">
        <v>190</v>
      </c>
      <c r="AK301" s="11"/>
      <c r="AL301" s="11"/>
      <c r="AM301" s="12" t="s">
        <v>64</v>
      </c>
      <c r="AN301" s="11" t="s">
        <v>115</v>
      </c>
      <c r="AO301" s="11" t="s">
        <v>3131</v>
      </c>
      <c r="AP301" s="11" t="s">
        <v>3119</v>
      </c>
      <c r="AQ301" s="3">
        <v>46051</v>
      </c>
      <c r="AR301" s="11">
        <v>18000</v>
      </c>
      <c r="AS301" s="11" t="s">
        <v>2151</v>
      </c>
      <c r="AT301" s="11" t="s">
        <v>2152</v>
      </c>
      <c r="AU301" s="2">
        <v>46176</v>
      </c>
    </row>
    <row r="302" spans="1:47" x14ac:dyDescent="0.25">
      <c r="A302" s="10" t="s">
        <v>2233</v>
      </c>
      <c r="B302" s="11" t="s">
        <v>2245</v>
      </c>
      <c r="C302" s="11">
        <v>0</v>
      </c>
      <c r="D302" s="11" t="s">
        <v>108</v>
      </c>
      <c r="E302" s="11"/>
      <c r="F302" s="11"/>
      <c r="G302" s="11" t="s">
        <v>52</v>
      </c>
      <c r="H302" s="11">
        <v>16</v>
      </c>
      <c r="I302" s="11" t="s">
        <v>2257</v>
      </c>
      <c r="J302" s="11" t="s">
        <v>42</v>
      </c>
      <c r="K302" s="11">
        <f>Table1[[#This Row],[ENR]]-Table1[[#This Row],[CREDIT]]</f>
        <v>-120399.83</v>
      </c>
      <c r="L302" s="43">
        <v>250000</v>
      </c>
      <c r="M302" s="30">
        <v>129600.17</v>
      </c>
      <c r="N302" s="44" t="s">
        <v>43</v>
      </c>
      <c r="O302" s="29">
        <v>129600.17</v>
      </c>
      <c r="P302" s="29">
        <v>115276.82</v>
      </c>
      <c r="Q302" s="29">
        <v>20990</v>
      </c>
      <c r="R302" s="29">
        <v>8470</v>
      </c>
      <c r="S302" s="11" t="s">
        <v>58</v>
      </c>
      <c r="T302" s="11" t="s">
        <v>13</v>
      </c>
      <c r="U302" s="11">
        <v>80000</v>
      </c>
      <c r="V302" s="29">
        <f>Table1[[#This Row],[STAB]]-Table1[[#This Row],[AMOUNT]]</f>
        <v>-71530</v>
      </c>
      <c r="W302" s="11" t="s">
        <v>2294</v>
      </c>
      <c r="X302" s="11" t="s">
        <v>451</v>
      </c>
      <c r="Y302" s="11" t="s">
        <v>1085</v>
      </c>
      <c r="Z302" s="11" t="s">
        <v>88</v>
      </c>
      <c r="AA302" s="11" t="s">
        <v>91</v>
      </c>
      <c r="AB302" s="11" t="s">
        <v>3139</v>
      </c>
      <c r="AC302" s="11" t="s">
        <v>2269</v>
      </c>
      <c r="AD302" s="11" t="s">
        <v>2281</v>
      </c>
      <c r="AE302" s="11" t="s">
        <v>1071</v>
      </c>
      <c r="AF302" s="11" t="s">
        <v>53</v>
      </c>
      <c r="AG302" s="11" t="s">
        <v>55</v>
      </c>
      <c r="AH302" s="11" t="s">
        <v>468</v>
      </c>
      <c r="AI302" s="11">
        <v>802030802</v>
      </c>
      <c r="AJ302" s="11" t="s">
        <v>458</v>
      </c>
      <c r="AK302" s="11"/>
      <c r="AL302" s="11"/>
      <c r="AM302" s="12" t="s">
        <v>64</v>
      </c>
      <c r="AN302" s="11"/>
      <c r="AO302" s="11"/>
      <c r="AP302" s="11"/>
      <c r="AQ302" s="3">
        <v>46123</v>
      </c>
      <c r="AR302" s="11">
        <v>21350</v>
      </c>
      <c r="AS302" s="11" t="s">
        <v>2284</v>
      </c>
      <c r="AT302" s="11" t="s">
        <v>2222</v>
      </c>
      <c r="AU302" s="2">
        <v>46176</v>
      </c>
    </row>
    <row r="303" spans="1:47" x14ac:dyDescent="0.25">
      <c r="A303" s="10" t="s">
        <v>1716</v>
      </c>
      <c r="B303" s="11" t="s">
        <v>1813</v>
      </c>
      <c r="C303" s="11">
        <v>0</v>
      </c>
      <c r="D303" s="11" t="s">
        <v>108</v>
      </c>
      <c r="E303" s="11"/>
      <c r="F303" s="11"/>
      <c r="G303" s="11" t="s">
        <v>52</v>
      </c>
      <c r="H303" s="11">
        <v>16</v>
      </c>
      <c r="I303" s="11" t="s">
        <v>1910</v>
      </c>
      <c r="J303" s="11" t="s">
        <v>42</v>
      </c>
      <c r="K303" s="11">
        <f>Table1[[#This Row],[ENR]]-Table1[[#This Row],[CREDIT]]</f>
        <v>-182018.25</v>
      </c>
      <c r="L303" s="43">
        <v>310000</v>
      </c>
      <c r="M303" s="30">
        <v>127981.75</v>
      </c>
      <c r="N303" s="44">
        <v>63242.720000000001</v>
      </c>
      <c r="O303" s="29">
        <v>64739.03</v>
      </c>
      <c r="P303" s="29">
        <v>47617.53</v>
      </c>
      <c r="Q303" s="29">
        <v>55200</v>
      </c>
      <c r="R303" s="29">
        <v>36800</v>
      </c>
      <c r="S303" s="11" t="s">
        <v>58</v>
      </c>
      <c r="T303" s="11" t="s">
        <v>13</v>
      </c>
      <c r="U303" s="11">
        <v>55200</v>
      </c>
      <c r="V303" s="29">
        <f>Table1[[#This Row],[STAB]]-Table1[[#This Row],[AMOUNT]]</f>
        <v>-18400</v>
      </c>
      <c r="W303" s="11" t="s">
        <v>3238</v>
      </c>
      <c r="X303" s="11" t="s">
        <v>451</v>
      </c>
      <c r="Y303" s="11" t="s">
        <v>760</v>
      </c>
      <c r="Z303" s="11" t="s">
        <v>88</v>
      </c>
      <c r="AA303" s="11" t="s">
        <v>91</v>
      </c>
      <c r="AB303" s="11" t="s">
        <v>3139</v>
      </c>
      <c r="AC303" s="11" t="s">
        <v>2007</v>
      </c>
      <c r="AD303" s="11" t="s">
        <v>2103</v>
      </c>
      <c r="AE303" s="11" t="s">
        <v>428</v>
      </c>
      <c r="AF303" s="11" t="s">
        <v>53</v>
      </c>
      <c r="AG303" s="11" t="s">
        <v>55</v>
      </c>
      <c r="AH303" s="11" t="s">
        <v>468</v>
      </c>
      <c r="AI303" s="11">
        <v>802030802</v>
      </c>
      <c r="AJ303" s="11" t="s">
        <v>458</v>
      </c>
      <c r="AK303" s="11"/>
      <c r="AL303" s="11"/>
      <c r="AM303" s="12" t="s">
        <v>64</v>
      </c>
      <c r="AN303" s="11" t="s">
        <v>219</v>
      </c>
      <c r="AO303" s="11" t="s">
        <v>3124</v>
      </c>
      <c r="AP303" s="11" t="s">
        <v>3119</v>
      </c>
      <c r="AQ303" s="3">
        <v>46066</v>
      </c>
      <c r="AR303" s="11">
        <v>3</v>
      </c>
      <c r="AS303" s="11" t="s">
        <v>430</v>
      </c>
      <c r="AT303" s="11" t="s">
        <v>2152</v>
      </c>
      <c r="AU303" s="2">
        <v>46176</v>
      </c>
    </row>
    <row r="304" spans="1:47" x14ac:dyDescent="0.25">
      <c r="A304" s="10" t="s">
        <v>2227</v>
      </c>
      <c r="B304" s="11" t="s">
        <v>2239</v>
      </c>
      <c r="C304" s="11">
        <v>0</v>
      </c>
      <c r="D304" s="11" t="s">
        <v>108</v>
      </c>
      <c r="E304" s="11"/>
      <c r="F304" s="11"/>
      <c r="G304" s="11" t="s">
        <v>52</v>
      </c>
      <c r="H304" s="11">
        <v>16</v>
      </c>
      <c r="I304" s="11" t="s">
        <v>2251</v>
      </c>
      <c r="J304" s="11" t="s">
        <v>42</v>
      </c>
      <c r="K304" s="11">
        <f>Table1[[#This Row],[ENR]]-Table1[[#This Row],[CREDIT]]</f>
        <v>5690.6399999999994</v>
      </c>
      <c r="L304" s="43">
        <v>120000</v>
      </c>
      <c r="M304" s="30">
        <v>125690.64</v>
      </c>
      <c r="N304" s="44" t="s">
        <v>43</v>
      </c>
      <c r="O304" s="29">
        <v>125690.64</v>
      </c>
      <c r="P304" s="29">
        <v>111298</v>
      </c>
      <c r="Q304" s="29">
        <v>26770</v>
      </c>
      <c r="R304" s="29">
        <v>9280</v>
      </c>
      <c r="S304" s="11" t="s">
        <v>58</v>
      </c>
      <c r="T304" s="11" t="s">
        <v>13</v>
      </c>
      <c r="U304" s="11">
        <v>125690.64</v>
      </c>
      <c r="V304" s="29">
        <f>Table1[[#This Row],[STAB]]-Table1[[#This Row],[AMOUNT]]</f>
        <v>-116410.64</v>
      </c>
      <c r="W304" s="11" t="s">
        <v>3204</v>
      </c>
      <c r="X304" s="11" t="s">
        <v>451</v>
      </c>
      <c r="Y304" s="11" t="s">
        <v>760</v>
      </c>
      <c r="Z304" s="11" t="s">
        <v>88</v>
      </c>
      <c r="AA304" s="11" t="s">
        <v>91</v>
      </c>
      <c r="AB304" s="11" t="s">
        <v>3139</v>
      </c>
      <c r="AC304" s="11" t="s">
        <v>2263</v>
      </c>
      <c r="AD304" s="11" t="s">
        <v>2275</v>
      </c>
      <c r="AE304" s="11" t="s">
        <v>428</v>
      </c>
      <c r="AF304" s="11" t="s">
        <v>53</v>
      </c>
      <c r="AG304" s="11" t="s">
        <v>55</v>
      </c>
      <c r="AH304" s="11" t="s">
        <v>468</v>
      </c>
      <c r="AI304" s="11">
        <v>802030802</v>
      </c>
      <c r="AJ304" s="11" t="s">
        <v>458</v>
      </c>
      <c r="AK304" s="11"/>
      <c r="AL304" s="11"/>
      <c r="AM304" s="12" t="s">
        <v>64</v>
      </c>
      <c r="AN304" s="11" t="s">
        <v>219</v>
      </c>
      <c r="AO304" s="11" t="s">
        <v>3226</v>
      </c>
      <c r="AP304" s="11" t="s">
        <v>3206</v>
      </c>
      <c r="AQ304" s="3">
        <v>45635</v>
      </c>
      <c r="AR304" s="11">
        <v>9400</v>
      </c>
      <c r="AS304" s="11" t="s">
        <v>430</v>
      </c>
      <c r="AT304" s="11" t="s">
        <v>2222</v>
      </c>
      <c r="AU304" s="2">
        <v>46176</v>
      </c>
    </row>
    <row r="305" spans="1:47" x14ac:dyDescent="0.25">
      <c r="A305" s="10" t="s">
        <v>1670</v>
      </c>
      <c r="B305" s="11" t="s">
        <v>1767</v>
      </c>
      <c r="C305" s="11">
        <v>0</v>
      </c>
      <c r="D305" s="11" t="s">
        <v>108</v>
      </c>
      <c r="E305" s="11"/>
      <c r="F305" s="11"/>
      <c r="G305" s="11" t="s">
        <v>52</v>
      </c>
      <c r="H305" s="11">
        <v>16</v>
      </c>
      <c r="I305" s="11" t="s">
        <v>1864</v>
      </c>
      <c r="J305" s="11" t="s">
        <v>42</v>
      </c>
      <c r="K305" s="11">
        <f>Table1[[#This Row],[ENR]]-Table1[[#This Row],[CREDIT]]</f>
        <v>3569.5800000000017</v>
      </c>
      <c r="L305" s="43">
        <v>120000</v>
      </c>
      <c r="M305" s="30">
        <v>123569.58</v>
      </c>
      <c r="N305" s="44">
        <v>90609.32</v>
      </c>
      <c r="O305" s="29">
        <v>32960.26</v>
      </c>
      <c r="P305" s="29">
        <v>26567.439999999999</v>
      </c>
      <c r="Q305" s="29">
        <v>18060</v>
      </c>
      <c r="R305" s="29">
        <v>7599.99</v>
      </c>
      <c r="S305" s="11" t="s">
        <v>44</v>
      </c>
      <c r="T305" s="11" t="s">
        <v>45</v>
      </c>
      <c r="U305" s="11">
        <v>0</v>
      </c>
      <c r="V305" s="29">
        <f>Table1[[#This Row],[STAB]]-Table1[[#This Row],[AMOUNT]]</f>
        <v>7599.99</v>
      </c>
      <c r="W305" s="11">
        <v>0</v>
      </c>
      <c r="X305" s="11" t="s">
        <v>83</v>
      </c>
      <c r="Y305" s="11">
        <v>0</v>
      </c>
      <c r="Z305" s="11" t="s">
        <v>88</v>
      </c>
      <c r="AA305" s="11" t="s">
        <v>91</v>
      </c>
      <c r="AB305" s="11" t="s">
        <v>3139</v>
      </c>
      <c r="AC305" s="11" t="s">
        <v>1961</v>
      </c>
      <c r="AD305" s="11" t="s">
        <v>2058</v>
      </c>
      <c r="AE305" s="11" t="s">
        <v>417</v>
      </c>
      <c r="AF305" s="11" t="s">
        <v>127</v>
      </c>
      <c r="AG305" s="11" t="s">
        <v>128</v>
      </c>
      <c r="AH305" s="11" t="s">
        <v>462</v>
      </c>
      <c r="AI305" s="11">
        <v>801448854</v>
      </c>
      <c r="AJ305" s="11" t="s">
        <v>191</v>
      </c>
      <c r="AK305" s="11"/>
      <c r="AL305" s="11"/>
      <c r="AM305" s="12" t="s">
        <v>64</v>
      </c>
      <c r="AN305" s="11" t="s">
        <v>446</v>
      </c>
      <c r="AO305" s="11" t="s">
        <v>3127</v>
      </c>
      <c r="AP305" s="11" t="s">
        <v>3119</v>
      </c>
      <c r="AQ305" s="3">
        <v>46116</v>
      </c>
      <c r="AR305" s="11">
        <v>0.7</v>
      </c>
      <c r="AS305" s="11" t="s">
        <v>430</v>
      </c>
      <c r="AT305" s="11" t="s">
        <v>2152</v>
      </c>
      <c r="AU305" s="2">
        <v>46176</v>
      </c>
    </row>
    <row r="306" spans="1:47" x14ac:dyDescent="0.25">
      <c r="A306" s="10" t="s">
        <v>2234</v>
      </c>
      <c r="B306" s="11" t="s">
        <v>2246</v>
      </c>
      <c r="C306" s="11">
        <v>0</v>
      </c>
      <c r="D306" s="11" t="s">
        <v>108</v>
      </c>
      <c r="E306" s="11"/>
      <c r="F306" s="11"/>
      <c r="G306" s="11" t="s">
        <v>52</v>
      </c>
      <c r="H306" s="11">
        <v>16</v>
      </c>
      <c r="I306" s="11" t="s">
        <v>2258</v>
      </c>
      <c r="J306" s="11" t="s">
        <v>42</v>
      </c>
      <c r="K306" s="11">
        <f>Table1[[#This Row],[ENR]]-Table1[[#This Row],[CREDIT]]</f>
        <v>-29562.869999999995</v>
      </c>
      <c r="L306" s="43">
        <v>150000</v>
      </c>
      <c r="M306" s="30">
        <v>120437.13</v>
      </c>
      <c r="N306" s="44" t="s">
        <v>43</v>
      </c>
      <c r="O306" s="29">
        <v>120437.13</v>
      </c>
      <c r="P306" s="29">
        <v>106183.95</v>
      </c>
      <c r="Q306" s="29">
        <v>20660</v>
      </c>
      <c r="R306" s="29">
        <v>8450</v>
      </c>
      <c r="S306" s="11" t="s">
        <v>44</v>
      </c>
      <c r="T306" s="11" t="s">
        <v>45</v>
      </c>
      <c r="U306" s="11">
        <v>0</v>
      </c>
      <c r="V306" s="29">
        <f>Table1[[#This Row],[STAB]]-Table1[[#This Row],[AMOUNT]]</f>
        <v>8450</v>
      </c>
      <c r="W306" s="11">
        <v>0</v>
      </c>
      <c r="X306" s="11" t="s">
        <v>83</v>
      </c>
      <c r="Y306" s="11">
        <v>0</v>
      </c>
      <c r="Z306" s="11" t="s">
        <v>88</v>
      </c>
      <c r="AA306" s="11" t="s">
        <v>91</v>
      </c>
      <c r="AB306" s="11" t="s">
        <v>3139</v>
      </c>
      <c r="AC306" s="11" t="s">
        <v>2270</v>
      </c>
      <c r="AD306" s="11" t="s">
        <v>2282</v>
      </c>
      <c r="AE306" s="11" t="s">
        <v>746</v>
      </c>
      <c r="AF306" s="11" t="s">
        <v>53</v>
      </c>
      <c r="AG306" s="11" t="s">
        <v>3469</v>
      </c>
      <c r="AH306" s="11" t="s">
        <v>752</v>
      </c>
      <c r="AI306" s="11">
        <v>802241455</v>
      </c>
      <c r="AJ306" s="11" t="s">
        <v>191</v>
      </c>
      <c r="AK306" s="11"/>
      <c r="AL306" s="11"/>
      <c r="AM306" s="12" t="s">
        <v>46</v>
      </c>
      <c r="AN306" s="11"/>
      <c r="AO306" s="11"/>
      <c r="AP306" s="11"/>
      <c r="AQ306" s="3">
        <v>46121</v>
      </c>
      <c r="AR306" s="11">
        <v>13600</v>
      </c>
      <c r="AS306" s="11" t="s">
        <v>2151</v>
      </c>
      <c r="AT306" s="11" t="s">
        <v>2222</v>
      </c>
      <c r="AU306" s="2">
        <v>46176</v>
      </c>
    </row>
    <row r="307" spans="1:47" x14ac:dyDescent="0.25">
      <c r="A307" s="10" t="s">
        <v>1691</v>
      </c>
      <c r="B307" s="11" t="s">
        <v>1788</v>
      </c>
      <c r="C307" s="11">
        <v>0</v>
      </c>
      <c r="D307" s="11" t="s">
        <v>108</v>
      </c>
      <c r="E307" s="11"/>
      <c r="F307" s="11"/>
      <c r="G307" s="11" t="s">
        <v>52</v>
      </c>
      <c r="H307" s="11">
        <v>16</v>
      </c>
      <c r="I307" s="11" t="s">
        <v>1885</v>
      </c>
      <c r="J307" s="11" t="s">
        <v>42</v>
      </c>
      <c r="K307" s="11">
        <f>Table1[[#This Row],[ENR]]-Table1[[#This Row],[CREDIT]]</f>
        <v>8838.9499999999971</v>
      </c>
      <c r="L307" s="43">
        <v>110000</v>
      </c>
      <c r="M307" s="30">
        <v>118838.95</v>
      </c>
      <c r="N307" s="44" t="s">
        <v>43</v>
      </c>
      <c r="O307" s="29">
        <v>118838.95</v>
      </c>
      <c r="P307" s="29">
        <v>109742</v>
      </c>
      <c r="Q307" s="29">
        <v>28200</v>
      </c>
      <c r="R307" s="29">
        <v>6070</v>
      </c>
      <c r="S307" s="11" t="s">
        <v>44</v>
      </c>
      <c r="T307" s="11" t="s">
        <v>45</v>
      </c>
      <c r="U307" s="11">
        <v>0</v>
      </c>
      <c r="V307" s="29">
        <f>Table1[[#This Row],[STAB]]-Table1[[#This Row],[AMOUNT]]</f>
        <v>6070</v>
      </c>
      <c r="W307" s="11">
        <v>0</v>
      </c>
      <c r="X307" s="11" t="s">
        <v>83</v>
      </c>
      <c r="Y307" s="11">
        <v>0</v>
      </c>
      <c r="Z307" s="11" t="s">
        <v>88</v>
      </c>
      <c r="AA307" s="11" t="s">
        <v>91</v>
      </c>
      <c r="AB307" s="11" t="s">
        <v>3139</v>
      </c>
      <c r="AC307" s="11" t="s">
        <v>1982</v>
      </c>
      <c r="AD307" s="11" t="s">
        <v>2079</v>
      </c>
      <c r="AE307" s="11" t="s">
        <v>133</v>
      </c>
      <c r="AF307" s="11" t="s">
        <v>54</v>
      </c>
      <c r="AG307" s="11" t="s">
        <v>1658</v>
      </c>
      <c r="AH307" s="11" t="s">
        <v>85</v>
      </c>
      <c r="AI307" s="11">
        <v>801772794</v>
      </c>
      <c r="AJ307" s="11" t="s">
        <v>192</v>
      </c>
      <c r="AK307" s="11"/>
      <c r="AL307" s="11"/>
      <c r="AM307" s="12" t="s">
        <v>46</v>
      </c>
      <c r="AN307" s="11"/>
      <c r="AO307" s="11"/>
      <c r="AP307" s="11"/>
      <c r="AQ307" s="3">
        <v>45491</v>
      </c>
      <c r="AR307" s="11">
        <v>4074.21</v>
      </c>
      <c r="AS307" s="11" t="s">
        <v>430</v>
      </c>
      <c r="AT307" s="11" t="s">
        <v>2152</v>
      </c>
      <c r="AU307" s="2">
        <v>46176</v>
      </c>
    </row>
    <row r="308" spans="1:47" x14ac:dyDescent="0.25">
      <c r="A308" s="10" t="s">
        <v>1682</v>
      </c>
      <c r="B308" s="11" t="s">
        <v>1779</v>
      </c>
      <c r="C308" s="11">
        <v>0</v>
      </c>
      <c r="D308" s="11" t="s">
        <v>108</v>
      </c>
      <c r="E308" s="11"/>
      <c r="F308" s="11"/>
      <c r="G308" s="11" t="s">
        <v>52</v>
      </c>
      <c r="H308" s="11">
        <v>16</v>
      </c>
      <c r="I308" s="11" t="s">
        <v>1876</v>
      </c>
      <c r="J308" s="11" t="s">
        <v>42</v>
      </c>
      <c r="K308" s="11">
        <f>Table1[[#This Row],[ENR]]-Table1[[#This Row],[CREDIT]]</f>
        <v>-1750.6999999999971</v>
      </c>
      <c r="L308" s="43">
        <v>120000</v>
      </c>
      <c r="M308" s="30">
        <v>118249.3</v>
      </c>
      <c r="N308" s="44">
        <v>30014.080000000002</v>
      </c>
      <c r="O308" s="29">
        <v>88235.22</v>
      </c>
      <c r="P308" s="29">
        <v>77208.97</v>
      </c>
      <c r="Q308" s="29">
        <v>28670</v>
      </c>
      <c r="R308" s="29">
        <v>12990</v>
      </c>
      <c r="S308" s="11" t="s">
        <v>58</v>
      </c>
      <c r="T308" s="11" t="s">
        <v>13</v>
      </c>
      <c r="U308" s="11">
        <v>54863</v>
      </c>
      <c r="V308" s="29">
        <f>Table1[[#This Row],[STAB]]-Table1[[#This Row],[AMOUNT]]</f>
        <v>-41873</v>
      </c>
      <c r="W308" s="11" t="s">
        <v>3206</v>
      </c>
      <c r="X308" s="11" t="s">
        <v>451</v>
      </c>
      <c r="Y308" s="11" t="s">
        <v>759</v>
      </c>
      <c r="Z308" s="11" t="s">
        <v>88</v>
      </c>
      <c r="AA308" s="11" t="s">
        <v>91</v>
      </c>
      <c r="AB308" s="11" t="s">
        <v>3139</v>
      </c>
      <c r="AC308" s="11" t="s">
        <v>1973</v>
      </c>
      <c r="AD308" s="11" t="s">
        <v>2070</v>
      </c>
      <c r="AE308" s="11" t="s">
        <v>415</v>
      </c>
      <c r="AF308" s="11" t="s">
        <v>53</v>
      </c>
      <c r="AG308" s="11" t="s">
        <v>105</v>
      </c>
      <c r="AH308" s="11" t="s">
        <v>85</v>
      </c>
      <c r="AI308" s="11">
        <v>801772794</v>
      </c>
      <c r="AJ308" s="11" t="s">
        <v>192</v>
      </c>
      <c r="AK308" s="11"/>
      <c r="AL308" s="11"/>
      <c r="AM308" s="12" t="s">
        <v>64</v>
      </c>
      <c r="AN308" s="11" t="s">
        <v>115</v>
      </c>
      <c r="AO308" s="11" t="s">
        <v>2179</v>
      </c>
      <c r="AP308" s="11" t="s">
        <v>2172</v>
      </c>
      <c r="AQ308" s="3">
        <v>46084</v>
      </c>
      <c r="AR308" s="11">
        <v>12000</v>
      </c>
      <c r="AS308" s="11" t="s">
        <v>430</v>
      </c>
      <c r="AT308" s="11" t="s">
        <v>2152</v>
      </c>
      <c r="AU308" s="2">
        <v>46176</v>
      </c>
    </row>
    <row r="309" spans="1:47" x14ac:dyDescent="0.25">
      <c r="A309" s="10" t="s">
        <v>1745</v>
      </c>
      <c r="B309" s="11" t="s">
        <v>1842</v>
      </c>
      <c r="C309" s="11">
        <v>0</v>
      </c>
      <c r="D309" s="11" t="s">
        <v>108</v>
      </c>
      <c r="E309" s="11"/>
      <c r="F309" s="11"/>
      <c r="G309" s="11" t="s">
        <v>52</v>
      </c>
      <c r="H309" s="11">
        <v>16</v>
      </c>
      <c r="I309" s="11" t="s">
        <v>1939</v>
      </c>
      <c r="J309" s="11" t="s">
        <v>42</v>
      </c>
      <c r="K309" s="11">
        <f>Table1[[#This Row],[ENR]]-Table1[[#This Row],[CREDIT]]</f>
        <v>-165442.87</v>
      </c>
      <c r="L309" s="43">
        <v>280000</v>
      </c>
      <c r="M309" s="30">
        <v>114557.13</v>
      </c>
      <c r="N309" s="44" t="s">
        <v>43</v>
      </c>
      <c r="O309" s="29">
        <v>114557.13</v>
      </c>
      <c r="P309" s="29">
        <v>101395.45</v>
      </c>
      <c r="Q309" s="29">
        <v>19600</v>
      </c>
      <c r="R309" s="29">
        <v>5960</v>
      </c>
      <c r="S309" s="11" t="s">
        <v>58</v>
      </c>
      <c r="T309" s="11" t="s">
        <v>14</v>
      </c>
      <c r="U309" s="29">
        <v>6000</v>
      </c>
      <c r="V309" s="29">
        <f>Table1[[#This Row],[STAB]]-Table1[[#This Row],[AMOUNT]]</f>
        <v>-40</v>
      </c>
      <c r="W309" s="11" t="s">
        <v>3191</v>
      </c>
      <c r="X309" s="11" t="s">
        <v>444</v>
      </c>
      <c r="Y309" s="11" t="s">
        <v>760</v>
      </c>
      <c r="Z309" s="11" t="s">
        <v>88</v>
      </c>
      <c r="AA309" s="11" t="s">
        <v>91</v>
      </c>
      <c r="AB309" s="11" t="s">
        <v>3139</v>
      </c>
      <c r="AC309" s="11" t="s">
        <v>2036</v>
      </c>
      <c r="AD309" s="11" t="s">
        <v>2125</v>
      </c>
      <c r="AE309" s="11" t="s">
        <v>747</v>
      </c>
      <c r="AF309" s="11" t="s">
        <v>84</v>
      </c>
      <c r="AG309" s="11" t="s">
        <v>750</v>
      </c>
      <c r="AH309" s="11" t="s">
        <v>459</v>
      </c>
      <c r="AI309" s="11">
        <v>802789320</v>
      </c>
      <c r="AJ309" s="11" t="s">
        <v>190</v>
      </c>
      <c r="AK309" s="11"/>
      <c r="AL309" s="11"/>
      <c r="AM309" s="12" t="s">
        <v>64</v>
      </c>
      <c r="AN309" s="11"/>
      <c r="AO309" s="11"/>
      <c r="AP309" s="11"/>
      <c r="AQ309" s="3">
        <v>46097</v>
      </c>
      <c r="AR309" s="11">
        <v>96.79</v>
      </c>
      <c r="AS309" s="11" t="s">
        <v>47</v>
      </c>
      <c r="AT309" s="11" t="s">
        <v>2152</v>
      </c>
      <c r="AU309" s="2">
        <v>46176</v>
      </c>
    </row>
    <row r="310" spans="1:47" x14ac:dyDescent="0.25">
      <c r="A310" s="10" t="s">
        <v>1729</v>
      </c>
      <c r="B310" s="11" t="s">
        <v>1826</v>
      </c>
      <c r="C310" s="11">
        <v>0</v>
      </c>
      <c r="D310" s="11" t="s">
        <v>108</v>
      </c>
      <c r="E310" s="11"/>
      <c r="F310" s="11"/>
      <c r="G310" s="11" t="s">
        <v>52</v>
      </c>
      <c r="H310" s="11">
        <v>16</v>
      </c>
      <c r="I310" s="11" t="s">
        <v>1923</v>
      </c>
      <c r="J310" s="11" t="s">
        <v>42</v>
      </c>
      <c r="K310" s="11">
        <f>Table1[[#This Row],[ENR]]-Table1[[#This Row],[CREDIT]]</f>
        <v>3132.9700000000012</v>
      </c>
      <c r="L310" s="43">
        <v>110000</v>
      </c>
      <c r="M310" s="30">
        <v>113132.97</v>
      </c>
      <c r="N310" s="44">
        <v>90017.46</v>
      </c>
      <c r="O310" s="29">
        <v>23115.51</v>
      </c>
      <c r="P310" s="29">
        <v>17169.689999999999</v>
      </c>
      <c r="Q310" s="29">
        <v>16000</v>
      </c>
      <c r="R310" s="29">
        <v>6610</v>
      </c>
      <c r="S310" s="11" t="s">
        <v>44</v>
      </c>
      <c r="T310" s="11" t="s">
        <v>45</v>
      </c>
      <c r="U310" s="11">
        <v>0</v>
      </c>
      <c r="V310" s="29">
        <f>Table1[[#This Row],[STAB]]-Table1[[#This Row],[AMOUNT]]</f>
        <v>6610</v>
      </c>
      <c r="W310" s="11">
        <v>0</v>
      </c>
      <c r="X310" s="11" t="s">
        <v>83</v>
      </c>
      <c r="Y310" s="11">
        <v>0</v>
      </c>
      <c r="Z310" s="11" t="s">
        <v>88</v>
      </c>
      <c r="AA310" s="11" t="s">
        <v>91</v>
      </c>
      <c r="AB310" s="11" t="s">
        <v>3139</v>
      </c>
      <c r="AC310" s="11" t="s">
        <v>2020</v>
      </c>
      <c r="AD310" s="11" t="s">
        <v>2116</v>
      </c>
      <c r="AE310" s="11" t="s">
        <v>426</v>
      </c>
      <c r="AF310" s="11" t="s">
        <v>439</v>
      </c>
      <c r="AG310" s="11" t="s">
        <v>63</v>
      </c>
      <c r="AH310" s="11" t="s">
        <v>467</v>
      </c>
      <c r="AI310" s="11">
        <v>801570488</v>
      </c>
      <c r="AJ310" s="11" t="s">
        <v>190</v>
      </c>
      <c r="AK310" s="11"/>
      <c r="AL310" s="11"/>
      <c r="AM310" s="12" t="s">
        <v>64</v>
      </c>
      <c r="AN310" s="11" t="s">
        <v>219</v>
      </c>
      <c r="AO310" s="11" t="s">
        <v>3143</v>
      </c>
      <c r="AP310" s="11" t="s">
        <v>3119</v>
      </c>
      <c r="AQ310" s="3">
        <v>46058</v>
      </c>
      <c r="AR310" s="11">
        <v>2450</v>
      </c>
      <c r="AS310" s="11" t="s">
        <v>144</v>
      </c>
      <c r="AT310" s="11" t="s">
        <v>2152</v>
      </c>
      <c r="AU310" s="2">
        <v>46176</v>
      </c>
    </row>
    <row r="311" spans="1:47" x14ac:dyDescent="0.25">
      <c r="A311" s="10" t="s">
        <v>1731</v>
      </c>
      <c r="B311" s="11" t="s">
        <v>1828</v>
      </c>
      <c r="C311" s="11">
        <v>0</v>
      </c>
      <c r="D311" s="11" t="s">
        <v>108</v>
      </c>
      <c r="E311" s="11"/>
      <c r="F311" s="11"/>
      <c r="G311" s="11" t="s">
        <v>52</v>
      </c>
      <c r="H311" s="11">
        <v>16</v>
      </c>
      <c r="I311" s="11" t="s">
        <v>1925</v>
      </c>
      <c r="J311" s="11" t="s">
        <v>42</v>
      </c>
      <c r="K311" s="11">
        <f>Table1[[#This Row],[ENR]]-Table1[[#This Row],[CREDIT]]</f>
        <v>10586.61</v>
      </c>
      <c r="L311" s="43">
        <v>100000</v>
      </c>
      <c r="M311" s="30">
        <v>110586.61</v>
      </c>
      <c r="N311" s="44" t="s">
        <v>43</v>
      </c>
      <c r="O311" s="29">
        <v>110586.61</v>
      </c>
      <c r="P311" s="29">
        <v>98095</v>
      </c>
      <c r="Q311" s="29">
        <v>31910</v>
      </c>
      <c r="R311" s="29">
        <v>15650</v>
      </c>
      <c r="S311" s="11" t="s">
        <v>58</v>
      </c>
      <c r="T311" s="11" t="s">
        <v>13</v>
      </c>
      <c r="U311" s="11">
        <v>110586.61</v>
      </c>
      <c r="V311" s="29">
        <f>Table1[[#This Row],[STAB]]-Table1[[#This Row],[AMOUNT]]</f>
        <v>-94936.61</v>
      </c>
      <c r="W311" s="11">
        <v>0</v>
      </c>
      <c r="X311" s="11" t="s">
        <v>761</v>
      </c>
      <c r="Y311" s="11" t="s">
        <v>760</v>
      </c>
      <c r="Z311" s="11" t="s">
        <v>88</v>
      </c>
      <c r="AA311" s="11" t="s">
        <v>91</v>
      </c>
      <c r="AB311" s="11" t="s">
        <v>3139</v>
      </c>
      <c r="AC311" s="11" t="s">
        <v>2022</v>
      </c>
      <c r="AD311" s="11" t="s">
        <v>1026</v>
      </c>
      <c r="AE311" s="11" t="s">
        <v>92</v>
      </c>
      <c r="AF311" s="11" t="s">
        <v>54</v>
      </c>
      <c r="AG311" s="11" t="s">
        <v>149</v>
      </c>
      <c r="AH311" s="11" t="s">
        <v>624</v>
      </c>
      <c r="AI311" s="11">
        <v>801174030</v>
      </c>
      <c r="AJ311" s="11" t="s">
        <v>458</v>
      </c>
      <c r="AK311" s="11"/>
      <c r="AL311" s="11"/>
      <c r="AM311" s="12" t="s">
        <v>64</v>
      </c>
      <c r="AN311" s="11" t="s">
        <v>115</v>
      </c>
      <c r="AO311" s="11" t="s">
        <v>2291</v>
      </c>
      <c r="AP311" s="11" t="s">
        <v>2172</v>
      </c>
      <c r="AQ311" s="3">
        <v>46127</v>
      </c>
      <c r="AR311" s="11">
        <v>80</v>
      </c>
      <c r="AS311" s="11" t="s">
        <v>430</v>
      </c>
      <c r="AT311" s="11" t="s">
        <v>2152</v>
      </c>
      <c r="AU311" s="2">
        <v>46176</v>
      </c>
    </row>
    <row r="312" spans="1:47" x14ac:dyDescent="0.25">
      <c r="A312" s="10" t="s">
        <v>1739</v>
      </c>
      <c r="B312" s="11" t="s">
        <v>1836</v>
      </c>
      <c r="C312" s="11">
        <v>0</v>
      </c>
      <c r="D312" s="11" t="s">
        <v>108</v>
      </c>
      <c r="E312" s="11"/>
      <c r="F312" s="11"/>
      <c r="G312" s="11" t="s">
        <v>52</v>
      </c>
      <c r="H312" s="11">
        <v>16</v>
      </c>
      <c r="I312" s="11" t="s">
        <v>1933</v>
      </c>
      <c r="J312" s="11" t="s">
        <v>42</v>
      </c>
      <c r="K312" s="11">
        <f>Table1[[#This Row],[ENR]]-Table1[[#This Row],[CREDIT]]</f>
        <v>10049.619999999995</v>
      </c>
      <c r="L312" s="43">
        <v>100000</v>
      </c>
      <c r="M312" s="30">
        <v>110049.62</v>
      </c>
      <c r="N312" s="44" t="s">
        <v>43</v>
      </c>
      <c r="O312" s="29">
        <v>110049.62</v>
      </c>
      <c r="P312" s="29">
        <v>98531.66</v>
      </c>
      <c r="Q312" s="29">
        <v>27200</v>
      </c>
      <c r="R312" s="29">
        <v>9650</v>
      </c>
      <c r="S312" s="11" t="s">
        <v>58</v>
      </c>
      <c r="T312" s="11" t="s">
        <v>13</v>
      </c>
      <c r="U312" s="11">
        <v>30000</v>
      </c>
      <c r="V312" s="29">
        <f>Table1[[#This Row],[STAB]]-Table1[[#This Row],[AMOUNT]]</f>
        <v>-20350</v>
      </c>
      <c r="W312" s="11" t="s">
        <v>3129</v>
      </c>
      <c r="X312" s="11" t="s">
        <v>451</v>
      </c>
      <c r="Y312" s="11" t="s">
        <v>760</v>
      </c>
      <c r="Z312" s="11" t="s">
        <v>88</v>
      </c>
      <c r="AA312" s="11" t="s">
        <v>91</v>
      </c>
      <c r="AB312" s="11" t="s">
        <v>3139</v>
      </c>
      <c r="AC312" s="11" t="s">
        <v>2030</v>
      </c>
      <c r="AD312" s="11" t="s">
        <v>2121</v>
      </c>
      <c r="AE312" s="11" t="s">
        <v>419</v>
      </c>
      <c r="AF312" s="11" t="s">
        <v>127</v>
      </c>
      <c r="AG312" s="11" t="s">
        <v>96</v>
      </c>
      <c r="AH312" s="11" t="s">
        <v>461</v>
      </c>
      <c r="AI312" s="11">
        <v>801436997</v>
      </c>
      <c r="AJ312" s="11" t="s">
        <v>190</v>
      </c>
      <c r="AK312" s="11"/>
      <c r="AL312" s="11"/>
      <c r="AM312" s="12" t="s">
        <v>64</v>
      </c>
      <c r="AN312" s="11"/>
      <c r="AO312" s="11"/>
      <c r="AP312" s="11"/>
      <c r="AQ312" s="3">
        <v>46098</v>
      </c>
      <c r="AR312" s="11">
        <v>16540</v>
      </c>
      <c r="AS312" s="11" t="s">
        <v>2151</v>
      </c>
      <c r="AT312" s="11" t="s">
        <v>2152</v>
      </c>
      <c r="AU312" s="2">
        <v>46176</v>
      </c>
    </row>
    <row r="313" spans="1:47" x14ac:dyDescent="0.25">
      <c r="A313" s="10" t="s">
        <v>1689</v>
      </c>
      <c r="B313" s="11" t="s">
        <v>1786</v>
      </c>
      <c r="C313" s="11">
        <v>0</v>
      </c>
      <c r="D313" s="11" t="s">
        <v>108</v>
      </c>
      <c r="E313" s="11"/>
      <c r="F313" s="11"/>
      <c r="G313" s="11" t="s">
        <v>52</v>
      </c>
      <c r="H313" s="11">
        <v>16</v>
      </c>
      <c r="I313" s="11" t="s">
        <v>1883</v>
      </c>
      <c r="J313" s="11" t="s">
        <v>42</v>
      </c>
      <c r="K313" s="11">
        <f>Table1[[#This Row],[ENR]]-Table1[[#This Row],[CREDIT]]</f>
        <v>8928.4199999999983</v>
      </c>
      <c r="L313" s="43">
        <v>100000</v>
      </c>
      <c r="M313" s="30">
        <v>108928.42</v>
      </c>
      <c r="N313" s="44" t="s">
        <v>43</v>
      </c>
      <c r="O313" s="29">
        <v>108928.42</v>
      </c>
      <c r="P313" s="29">
        <v>98521.2</v>
      </c>
      <c r="Q313" s="29">
        <v>25000</v>
      </c>
      <c r="R313" s="29">
        <v>8570</v>
      </c>
      <c r="S313" s="11" t="s">
        <v>58</v>
      </c>
      <c r="T313" s="11" t="s">
        <v>14</v>
      </c>
      <c r="U313" s="29">
        <v>10000</v>
      </c>
      <c r="V313" s="29">
        <f>Table1[[#This Row],[STAB]]-Table1[[#This Row],[AMOUNT]]</f>
        <v>-1430</v>
      </c>
      <c r="W313" s="11" t="s">
        <v>3206</v>
      </c>
      <c r="X313" s="11" t="s">
        <v>451</v>
      </c>
      <c r="Y313" s="11" t="s">
        <v>760</v>
      </c>
      <c r="Z313" s="11" t="s">
        <v>88</v>
      </c>
      <c r="AA313" s="11" t="s">
        <v>91</v>
      </c>
      <c r="AB313" s="11" t="s">
        <v>3139</v>
      </c>
      <c r="AC313" s="11" t="s">
        <v>1980</v>
      </c>
      <c r="AD313" s="11" t="s">
        <v>2077</v>
      </c>
      <c r="AE313" s="11" t="s">
        <v>148</v>
      </c>
      <c r="AF313" s="11" t="s">
        <v>54</v>
      </c>
      <c r="AG313" s="11" t="s">
        <v>95</v>
      </c>
      <c r="AH313" s="11" t="s">
        <v>465</v>
      </c>
      <c r="AI313" s="11">
        <v>802823175</v>
      </c>
      <c r="AJ313" s="11" t="s">
        <v>191</v>
      </c>
      <c r="AK313" s="11"/>
      <c r="AL313" s="11"/>
      <c r="AM313" s="12" t="s">
        <v>64</v>
      </c>
      <c r="AN313" s="11" t="s">
        <v>221</v>
      </c>
      <c r="AO313" s="11" t="s">
        <v>2455</v>
      </c>
      <c r="AP313" s="11" t="s">
        <v>2296</v>
      </c>
      <c r="AQ313" s="3">
        <v>45477</v>
      </c>
      <c r="AR313" s="11">
        <v>5480</v>
      </c>
      <c r="AS313" s="11" t="s">
        <v>430</v>
      </c>
      <c r="AT313" s="11" t="s">
        <v>2152</v>
      </c>
      <c r="AU313" s="2">
        <v>46176</v>
      </c>
    </row>
    <row r="314" spans="1:47" x14ac:dyDescent="0.25">
      <c r="A314" s="10" t="s">
        <v>1688</v>
      </c>
      <c r="B314" s="11" t="s">
        <v>1785</v>
      </c>
      <c r="C314" s="11">
        <v>0</v>
      </c>
      <c r="D314" s="11" t="s">
        <v>108</v>
      </c>
      <c r="E314" s="11"/>
      <c r="F314" s="11"/>
      <c r="G314" s="11" t="s">
        <v>52</v>
      </c>
      <c r="H314" s="11">
        <v>16</v>
      </c>
      <c r="I314" s="11" t="s">
        <v>1882</v>
      </c>
      <c r="J314" s="11" t="s">
        <v>42</v>
      </c>
      <c r="K314" s="11">
        <f>Table1[[#This Row],[ENR]]-Table1[[#This Row],[CREDIT]]</f>
        <v>8604.4600000000064</v>
      </c>
      <c r="L314" s="43">
        <v>100000</v>
      </c>
      <c r="M314" s="30">
        <v>108604.46</v>
      </c>
      <c r="N314" s="44" t="s">
        <v>43</v>
      </c>
      <c r="O314" s="29">
        <v>108604.46</v>
      </c>
      <c r="P314" s="29">
        <v>99409.56</v>
      </c>
      <c r="Q314" s="29">
        <v>27080</v>
      </c>
      <c r="R314" s="29">
        <v>5570</v>
      </c>
      <c r="S314" s="11" t="s">
        <v>44</v>
      </c>
      <c r="T314" s="11" t="s">
        <v>45</v>
      </c>
      <c r="U314" s="11">
        <v>0</v>
      </c>
      <c r="V314" s="29">
        <f>Table1[[#This Row],[STAB]]-Table1[[#This Row],[AMOUNT]]</f>
        <v>5570</v>
      </c>
      <c r="W314" s="11">
        <v>0</v>
      </c>
      <c r="X314" s="11" t="s">
        <v>83</v>
      </c>
      <c r="Y314" s="11" t="s">
        <v>759</v>
      </c>
      <c r="Z314" s="11" t="s">
        <v>88</v>
      </c>
      <c r="AA314" s="11" t="s">
        <v>91</v>
      </c>
      <c r="AB314" s="11" t="s">
        <v>3139</v>
      </c>
      <c r="AC314" s="11" t="s">
        <v>1979</v>
      </c>
      <c r="AD314" s="11" t="s">
        <v>2076</v>
      </c>
      <c r="AE314" s="11" t="s">
        <v>425</v>
      </c>
      <c r="AF314" s="11" t="s">
        <v>53</v>
      </c>
      <c r="AG314" s="11" t="s">
        <v>750</v>
      </c>
      <c r="AH314" s="11" t="s">
        <v>459</v>
      </c>
      <c r="AI314" s="11">
        <v>802789320</v>
      </c>
      <c r="AJ314" s="11" t="s">
        <v>190</v>
      </c>
      <c r="AK314" s="11"/>
      <c r="AL314" s="11"/>
      <c r="AM314" s="12" t="s">
        <v>46</v>
      </c>
      <c r="AN314" s="11"/>
      <c r="AO314" s="11"/>
      <c r="AP314" s="11"/>
      <c r="AQ314" s="3">
        <v>45948</v>
      </c>
      <c r="AR314" s="11">
        <v>25990.01</v>
      </c>
      <c r="AS314" s="11" t="s">
        <v>430</v>
      </c>
      <c r="AT314" s="11" t="s">
        <v>2152</v>
      </c>
      <c r="AU314" s="2">
        <v>46176</v>
      </c>
    </row>
    <row r="315" spans="1:47" x14ac:dyDescent="0.25">
      <c r="A315" s="10" t="s">
        <v>1735</v>
      </c>
      <c r="B315" s="11" t="s">
        <v>1832</v>
      </c>
      <c r="C315" s="11">
        <v>0</v>
      </c>
      <c r="D315" s="11" t="s">
        <v>108</v>
      </c>
      <c r="E315" s="11"/>
      <c r="F315" s="11"/>
      <c r="G315" s="11" t="s">
        <v>52</v>
      </c>
      <c r="H315" s="11">
        <v>16</v>
      </c>
      <c r="I315" s="11" t="s">
        <v>1929</v>
      </c>
      <c r="J315" s="11" t="s">
        <v>42</v>
      </c>
      <c r="K315" s="11">
        <f>Table1[[#This Row],[ENR]]-Table1[[#This Row],[CREDIT]]</f>
        <v>5984.1199999999953</v>
      </c>
      <c r="L315" s="43">
        <v>100000</v>
      </c>
      <c r="M315" s="30">
        <v>105984.12</v>
      </c>
      <c r="N315" s="44" t="s">
        <v>43</v>
      </c>
      <c r="O315" s="29">
        <v>105984.12</v>
      </c>
      <c r="P315" s="29">
        <v>93526.89</v>
      </c>
      <c r="Q315" s="29">
        <v>23200</v>
      </c>
      <c r="R315" s="29">
        <v>6550</v>
      </c>
      <c r="S315" s="11" t="s">
        <v>58</v>
      </c>
      <c r="T315" s="11" t="s">
        <v>13</v>
      </c>
      <c r="U315" s="11">
        <v>23501</v>
      </c>
      <c r="V315" s="29">
        <f>Table1[[#This Row],[STAB]]-Table1[[#This Row],[AMOUNT]]</f>
        <v>-16951</v>
      </c>
      <c r="W315" s="11" t="s">
        <v>3206</v>
      </c>
      <c r="X315" s="11" t="s">
        <v>451</v>
      </c>
      <c r="Y315" s="11" t="s">
        <v>1084</v>
      </c>
      <c r="Z315" s="11" t="s">
        <v>88</v>
      </c>
      <c r="AA315" s="11" t="s">
        <v>91</v>
      </c>
      <c r="AB315" s="11" t="s">
        <v>3140</v>
      </c>
      <c r="AC315" s="11" t="s">
        <v>2026</v>
      </c>
      <c r="AD315" s="11" t="s">
        <v>2026</v>
      </c>
      <c r="AE315" s="11" t="s">
        <v>421</v>
      </c>
      <c r="AF315" s="11" t="s">
        <v>54</v>
      </c>
      <c r="AG315" s="11" t="s">
        <v>119</v>
      </c>
      <c r="AH315" s="11" t="s">
        <v>626</v>
      </c>
      <c r="AI315" s="11">
        <v>802663344</v>
      </c>
      <c r="AJ315" s="11" t="s">
        <v>191</v>
      </c>
      <c r="AK315" s="11"/>
      <c r="AL315" s="11"/>
      <c r="AM315" s="12" t="s">
        <v>64</v>
      </c>
      <c r="AN315" s="11" t="s">
        <v>115</v>
      </c>
      <c r="AO315" s="11" t="s">
        <v>3185</v>
      </c>
      <c r="AP315" s="11" t="s">
        <v>3169</v>
      </c>
      <c r="AQ315" s="3">
        <v>46128</v>
      </c>
      <c r="AR315" s="11">
        <v>20000</v>
      </c>
      <c r="AS315" s="11" t="s">
        <v>2151</v>
      </c>
      <c r="AT315" s="11" t="s">
        <v>2152</v>
      </c>
      <c r="AU315" s="2">
        <v>46176</v>
      </c>
    </row>
    <row r="316" spans="1:47" x14ac:dyDescent="0.25">
      <c r="A316" s="10" t="s">
        <v>1687</v>
      </c>
      <c r="B316" s="11" t="s">
        <v>1784</v>
      </c>
      <c r="C316" s="11">
        <v>0</v>
      </c>
      <c r="D316" s="11" t="s">
        <v>108</v>
      </c>
      <c r="E316" s="11"/>
      <c r="F316" s="11"/>
      <c r="G316" s="11" t="s">
        <v>52</v>
      </c>
      <c r="H316" s="11">
        <v>16</v>
      </c>
      <c r="I316" s="11" t="s">
        <v>1881</v>
      </c>
      <c r="J316" s="11" t="s">
        <v>42</v>
      </c>
      <c r="K316" s="11">
        <f>Table1[[#This Row],[ENR]]-Table1[[#This Row],[CREDIT]]</f>
        <v>5681.5200000000041</v>
      </c>
      <c r="L316" s="43">
        <v>100000</v>
      </c>
      <c r="M316" s="30">
        <v>105681.52</v>
      </c>
      <c r="N316" s="44" t="s">
        <v>43</v>
      </c>
      <c r="O316" s="29">
        <v>105681.52</v>
      </c>
      <c r="P316" s="29">
        <v>94322.33</v>
      </c>
      <c r="Q316" s="29">
        <v>21750</v>
      </c>
      <c r="R316" s="29">
        <v>5830</v>
      </c>
      <c r="S316" s="11" t="s">
        <v>58</v>
      </c>
      <c r="T316" s="11" t="s">
        <v>14</v>
      </c>
      <c r="U316" s="29">
        <v>5830</v>
      </c>
      <c r="V316" s="29">
        <f>Table1[[#This Row],[STAB]]-Table1[[#This Row],[AMOUNT]]</f>
        <v>0</v>
      </c>
      <c r="W316" s="11" t="s">
        <v>2294</v>
      </c>
      <c r="X316" s="11" t="s">
        <v>451</v>
      </c>
      <c r="Y316" s="11" t="s">
        <v>1085</v>
      </c>
      <c r="Z316" s="11" t="s">
        <v>88</v>
      </c>
      <c r="AA316" s="11" t="s">
        <v>91</v>
      </c>
      <c r="AB316" s="11" t="s">
        <v>3139</v>
      </c>
      <c r="AC316" s="11" t="s">
        <v>1978</v>
      </c>
      <c r="AD316" s="11" t="s">
        <v>2075</v>
      </c>
      <c r="AE316" s="11" t="s">
        <v>413</v>
      </c>
      <c r="AF316" s="11" t="s">
        <v>54</v>
      </c>
      <c r="AG316" s="11" t="s">
        <v>129</v>
      </c>
      <c r="AH316" s="11" t="s">
        <v>753</v>
      </c>
      <c r="AI316" s="11">
        <v>802794852</v>
      </c>
      <c r="AJ316" s="11" t="s">
        <v>190</v>
      </c>
      <c r="AK316" s="11"/>
      <c r="AL316" s="11"/>
      <c r="AM316" s="12" t="s">
        <v>64</v>
      </c>
      <c r="AN316" s="11"/>
      <c r="AO316" s="11"/>
      <c r="AP316" s="11"/>
      <c r="AQ316" s="3">
        <v>45821</v>
      </c>
      <c r="AR316" s="11">
        <v>10710</v>
      </c>
      <c r="AS316" s="11" t="s">
        <v>430</v>
      </c>
      <c r="AT316" s="11" t="s">
        <v>2152</v>
      </c>
      <c r="AU316" s="2">
        <v>46176</v>
      </c>
    </row>
    <row r="317" spans="1:47" x14ac:dyDescent="0.25">
      <c r="A317" s="10" t="s">
        <v>1730</v>
      </c>
      <c r="B317" s="11" t="s">
        <v>1827</v>
      </c>
      <c r="C317" s="11">
        <v>0</v>
      </c>
      <c r="D317" s="11" t="s">
        <v>108</v>
      </c>
      <c r="E317" s="11"/>
      <c r="F317" s="11"/>
      <c r="G317" s="11" t="s">
        <v>52</v>
      </c>
      <c r="H317" s="11">
        <v>16</v>
      </c>
      <c r="I317" s="11" t="s">
        <v>1924</v>
      </c>
      <c r="J317" s="11" t="s">
        <v>42</v>
      </c>
      <c r="K317" s="11">
        <f>Table1[[#This Row],[ENR]]-Table1[[#This Row],[CREDIT]]</f>
        <v>10793.270000000004</v>
      </c>
      <c r="L317" s="43">
        <v>90000</v>
      </c>
      <c r="M317" s="30">
        <v>100793.27</v>
      </c>
      <c r="N317" s="44">
        <v>8725.67</v>
      </c>
      <c r="O317" s="29">
        <v>92067.6</v>
      </c>
      <c r="P317" s="29">
        <v>80806.87</v>
      </c>
      <c r="Q317" s="29">
        <v>33980</v>
      </c>
      <c r="R317" s="29">
        <v>13040</v>
      </c>
      <c r="S317" s="11" t="s">
        <v>58</v>
      </c>
      <c r="T317" s="11" t="s">
        <v>13</v>
      </c>
      <c r="U317" s="11">
        <v>33980</v>
      </c>
      <c r="V317" s="29">
        <f>Table1[[#This Row],[STAB]]-Table1[[#This Row],[AMOUNT]]</f>
        <v>-20940</v>
      </c>
      <c r="W317" s="11" t="s">
        <v>2294</v>
      </c>
      <c r="X317" s="11" t="s">
        <v>451</v>
      </c>
      <c r="Y317" s="11" t="s">
        <v>759</v>
      </c>
      <c r="Z317" s="11" t="s">
        <v>88</v>
      </c>
      <c r="AA317" s="11" t="s">
        <v>91</v>
      </c>
      <c r="AB317" s="11" t="s">
        <v>3139</v>
      </c>
      <c r="AC317" s="11" t="s">
        <v>2021</v>
      </c>
      <c r="AD317" s="11" t="s">
        <v>2117</v>
      </c>
      <c r="AE317" s="11" t="s">
        <v>104</v>
      </c>
      <c r="AF317" s="11" t="s">
        <v>54</v>
      </c>
      <c r="AG317" s="11" t="s">
        <v>109</v>
      </c>
      <c r="AH317" s="11" t="s">
        <v>196</v>
      </c>
      <c r="AI317" s="11">
        <v>802555024</v>
      </c>
      <c r="AJ317" s="11" t="s">
        <v>99</v>
      </c>
      <c r="AK317" s="11"/>
      <c r="AL317" s="11"/>
      <c r="AM317" s="12" t="s">
        <v>64</v>
      </c>
      <c r="AN317" s="11"/>
      <c r="AO317" s="11"/>
      <c r="AP317" s="11"/>
      <c r="AQ317" s="3">
        <v>46112</v>
      </c>
      <c r="AR317" s="11">
        <v>28970</v>
      </c>
      <c r="AS317" s="11" t="s">
        <v>430</v>
      </c>
      <c r="AT317" s="11" t="s">
        <v>2152</v>
      </c>
      <c r="AU317" s="2">
        <v>46176</v>
      </c>
    </row>
    <row r="318" spans="1:47" x14ac:dyDescent="0.25">
      <c r="A318" s="10" t="s">
        <v>1723</v>
      </c>
      <c r="B318" s="11" t="s">
        <v>1820</v>
      </c>
      <c r="C318" s="11">
        <v>0</v>
      </c>
      <c r="D318" s="11" t="s">
        <v>108</v>
      </c>
      <c r="E318" s="11"/>
      <c r="F318" s="11"/>
      <c r="G318" s="11" t="s">
        <v>52</v>
      </c>
      <c r="H318" s="11">
        <v>16</v>
      </c>
      <c r="I318" s="11" t="s">
        <v>1917</v>
      </c>
      <c r="J318" s="11" t="s">
        <v>550</v>
      </c>
      <c r="K318" s="11">
        <f>Table1[[#This Row],[ENR]]-Table1[[#This Row],[CREDIT]]</f>
        <v>-119515.18</v>
      </c>
      <c r="L318" s="43">
        <v>220000</v>
      </c>
      <c r="M318" s="30">
        <v>100484.82</v>
      </c>
      <c r="N318" s="44" t="s">
        <v>43</v>
      </c>
      <c r="O318" s="29">
        <v>100484.82</v>
      </c>
      <c r="P318" s="29">
        <v>92042.2</v>
      </c>
      <c r="Q318" s="29">
        <v>13800</v>
      </c>
      <c r="R318" s="29">
        <v>5030</v>
      </c>
      <c r="S318" s="11" t="s">
        <v>58</v>
      </c>
      <c r="T318" s="11" t="s">
        <v>14</v>
      </c>
      <c r="U318" s="29">
        <v>5030</v>
      </c>
      <c r="V318" s="29">
        <f>Table1[[#This Row],[STAB]]-Table1[[#This Row],[AMOUNT]]</f>
        <v>0</v>
      </c>
      <c r="W318" s="11" t="s">
        <v>2294</v>
      </c>
      <c r="X318" s="11" t="s">
        <v>451</v>
      </c>
      <c r="Y318" s="11" t="s">
        <v>1085</v>
      </c>
      <c r="Z318" s="11" t="s">
        <v>88</v>
      </c>
      <c r="AA318" s="11" t="s">
        <v>91</v>
      </c>
      <c r="AB318" s="11" t="s">
        <v>3139</v>
      </c>
      <c r="AC318" s="11" t="s">
        <v>2014</v>
      </c>
      <c r="AD318" s="11" t="s">
        <v>2110</v>
      </c>
      <c r="AE318" s="11" t="s">
        <v>413</v>
      </c>
      <c r="AF318" s="11" t="s">
        <v>54</v>
      </c>
      <c r="AG318" s="11" t="s">
        <v>129</v>
      </c>
      <c r="AH318" s="11" t="s">
        <v>753</v>
      </c>
      <c r="AI318" s="11">
        <v>802794852</v>
      </c>
      <c r="AJ318" s="11" t="s">
        <v>190</v>
      </c>
      <c r="AK318" s="11"/>
      <c r="AL318" s="11"/>
      <c r="AM318" s="12" t="s">
        <v>64</v>
      </c>
      <c r="AN318" s="11" t="s">
        <v>115</v>
      </c>
      <c r="AO318" s="11" t="s">
        <v>2168</v>
      </c>
      <c r="AP318" s="11" t="s">
        <v>1667</v>
      </c>
      <c r="AQ318" s="3">
        <v>46140</v>
      </c>
      <c r="AR318" s="11">
        <v>500</v>
      </c>
      <c r="AS318" s="11" t="s">
        <v>430</v>
      </c>
      <c r="AT318" s="11" t="s">
        <v>2152</v>
      </c>
      <c r="AU318" s="2">
        <v>46176</v>
      </c>
    </row>
    <row r="319" spans="1:47" x14ac:dyDescent="0.25">
      <c r="A319" s="10" t="s">
        <v>1743</v>
      </c>
      <c r="B319" s="11" t="s">
        <v>1840</v>
      </c>
      <c r="C319" s="11">
        <v>0</v>
      </c>
      <c r="D319" s="11" t="s">
        <v>108</v>
      </c>
      <c r="E319" s="11"/>
      <c r="F319" s="11"/>
      <c r="G319" s="11" t="s">
        <v>52</v>
      </c>
      <c r="H319" s="11">
        <v>16</v>
      </c>
      <c r="I319" s="11" t="s">
        <v>1937</v>
      </c>
      <c r="J319" s="11" t="s">
        <v>42</v>
      </c>
      <c r="K319" s="11">
        <f>Table1[[#This Row],[ENR]]-Table1[[#This Row],[CREDIT]]</f>
        <v>9504.1699999999983</v>
      </c>
      <c r="L319" s="43">
        <v>90000</v>
      </c>
      <c r="M319" s="30">
        <v>99504.17</v>
      </c>
      <c r="N319" s="44" t="s">
        <v>43</v>
      </c>
      <c r="O319" s="29">
        <v>99504.17</v>
      </c>
      <c r="P319" s="29">
        <v>89637.72</v>
      </c>
      <c r="Q319" s="29">
        <v>24420</v>
      </c>
      <c r="R319" s="29">
        <v>7560.99</v>
      </c>
      <c r="S319" s="11" t="s">
        <v>58</v>
      </c>
      <c r="T319" s="11" t="s">
        <v>14</v>
      </c>
      <c r="U319" s="29">
        <v>7566</v>
      </c>
      <c r="V319" s="29">
        <f>Table1[[#This Row],[STAB]]-Table1[[#This Row],[AMOUNT]]</f>
        <v>-5.0100000000002183</v>
      </c>
      <c r="W319" s="11" t="s">
        <v>3206</v>
      </c>
      <c r="X319" s="11" t="s">
        <v>444</v>
      </c>
      <c r="Y319" s="11" t="s">
        <v>1085</v>
      </c>
      <c r="Z319" s="11" t="s">
        <v>88</v>
      </c>
      <c r="AA319" s="11" t="s">
        <v>91</v>
      </c>
      <c r="AB319" s="11" t="s">
        <v>3139</v>
      </c>
      <c r="AC319" s="11" t="s">
        <v>2034</v>
      </c>
      <c r="AD319" s="11" t="s">
        <v>2034</v>
      </c>
      <c r="AE319" s="11" t="s">
        <v>604</v>
      </c>
      <c r="AF319" s="11" t="s">
        <v>439</v>
      </c>
      <c r="AG319" s="11" t="s">
        <v>63</v>
      </c>
      <c r="AH319" s="11" t="s">
        <v>467</v>
      </c>
      <c r="AI319" s="11">
        <v>801570488</v>
      </c>
      <c r="AJ319" s="11" t="s">
        <v>190</v>
      </c>
      <c r="AK319" s="11"/>
      <c r="AL319" s="11"/>
      <c r="AM319" s="12" t="s">
        <v>64</v>
      </c>
      <c r="AN319" s="11" t="s">
        <v>219</v>
      </c>
      <c r="AO319" s="11" t="s">
        <v>2285</v>
      </c>
      <c r="AP319" s="11" t="s">
        <v>2172</v>
      </c>
      <c r="AQ319" s="3">
        <v>46120</v>
      </c>
      <c r="AR319" s="11">
        <v>94400</v>
      </c>
      <c r="AS319" s="11" t="s">
        <v>2151</v>
      </c>
      <c r="AT319" s="11" t="s">
        <v>2152</v>
      </c>
      <c r="AU319" s="2">
        <v>46176</v>
      </c>
    </row>
    <row r="320" spans="1:47" x14ac:dyDescent="0.25">
      <c r="A320" s="10" t="s">
        <v>1685</v>
      </c>
      <c r="B320" s="11" t="s">
        <v>1782</v>
      </c>
      <c r="C320" s="11">
        <v>0</v>
      </c>
      <c r="D320" s="11" t="s">
        <v>108</v>
      </c>
      <c r="E320" s="11"/>
      <c r="F320" s="11"/>
      <c r="G320" s="11" t="s">
        <v>52</v>
      </c>
      <c r="H320" s="11">
        <v>16</v>
      </c>
      <c r="I320" s="11" t="s">
        <v>1879</v>
      </c>
      <c r="J320" s="11" t="s">
        <v>42</v>
      </c>
      <c r="K320" s="11">
        <f>Table1[[#This Row],[ENR]]-Table1[[#This Row],[CREDIT]]</f>
        <v>5763.0200000000041</v>
      </c>
      <c r="L320" s="43">
        <v>90000</v>
      </c>
      <c r="M320" s="30">
        <v>95763.02</v>
      </c>
      <c r="N320" s="44" t="s">
        <v>43</v>
      </c>
      <c r="O320" s="29">
        <v>95763.02</v>
      </c>
      <c r="P320" s="29">
        <v>84438.59</v>
      </c>
      <c r="Q320" s="29">
        <v>21620</v>
      </c>
      <c r="R320" s="29">
        <v>5560</v>
      </c>
      <c r="S320" s="11" t="s">
        <v>58</v>
      </c>
      <c r="T320" s="11" t="s">
        <v>13</v>
      </c>
      <c r="U320" s="11">
        <v>21620</v>
      </c>
      <c r="V320" s="29">
        <f>Table1[[#This Row],[STAB]]-Table1[[#This Row],[AMOUNT]]</f>
        <v>-16060</v>
      </c>
      <c r="W320" s="11" t="s">
        <v>3238</v>
      </c>
      <c r="X320" s="11" t="s">
        <v>451</v>
      </c>
      <c r="Y320" s="11" t="s">
        <v>760</v>
      </c>
      <c r="Z320" s="11" t="s">
        <v>88</v>
      </c>
      <c r="AA320" s="11" t="s">
        <v>91</v>
      </c>
      <c r="AB320" s="11" t="s">
        <v>3139</v>
      </c>
      <c r="AC320" s="11" t="s">
        <v>1976</v>
      </c>
      <c r="AD320" s="11" t="s">
        <v>2073</v>
      </c>
      <c r="AE320" s="11" t="s">
        <v>100</v>
      </c>
      <c r="AF320" s="11" t="s">
        <v>54</v>
      </c>
      <c r="AG320" s="11" t="s">
        <v>60</v>
      </c>
      <c r="AH320" s="11" t="s">
        <v>193</v>
      </c>
      <c r="AI320" s="11">
        <v>802824019</v>
      </c>
      <c r="AJ320" s="11" t="s">
        <v>189</v>
      </c>
      <c r="AK320" s="11"/>
      <c r="AL320" s="11"/>
      <c r="AM320" s="12" t="s">
        <v>64</v>
      </c>
      <c r="AN320" s="11"/>
      <c r="AO320" s="11"/>
      <c r="AP320" s="11"/>
      <c r="AQ320" s="3">
        <v>46112</v>
      </c>
      <c r="AR320" s="11">
        <v>1728.3</v>
      </c>
      <c r="AS320" s="11" t="s">
        <v>430</v>
      </c>
      <c r="AT320" s="11" t="s">
        <v>2152</v>
      </c>
      <c r="AU320" s="2">
        <v>46176</v>
      </c>
    </row>
    <row r="321" spans="1:47" x14ac:dyDescent="0.25">
      <c r="A321" s="10" t="s">
        <v>1715</v>
      </c>
      <c r="B321" s="11" t="s">
        <v>1812</v>
      </c>
      <c r="C321" s="11">
        <v>0</v>
      </c>
      <c r="D321" s="11" t="s">
        <v>108</v>
      </c>
      <c r="E321" s="11"/>
      <c r="F321" s="11"/>
      <c r="G321" s="11" t="s">
        <v>52</v>
      </c>
      <c r="H321" s="11">
        <v>16</v>
      </c>
      <c r="I321" s="11" t="s">
        <v>1909</v>
      </c>
      <c r="J321" s="11" t="s">
        <v>42</v>
      </c>
      <c r="K321" s="11">
        <f>Table1[[#This Row],[ENR]]-Table1[[#This Row],[CREDIT]]</f>
        <v>5416.8699999999953</v>
      </c>
      <c r="L321" s="43">
        <v>89512</v>
      </c>
      <c r="M321" s="30">
        <v>94928.87</v>
      </c>
      <c r="N321" s="44">
        <v>14472.96</v>
      </c>
      <c r="O321" s="29">
        <v>80455.91</v>
      </c>
      <c r="P321" s="29">
        <v>70316.570000000007</v>
      </c>
      <c r="Q321" s="29">
        <v>21020</v>
      </c>
      <c r="R321" s="29">
        <v>7650</v>
      </c>
      <c r="S321" s="11" t="s">
        <v>44</v>
      </c>
      <c r="T321" s="11" t="s">
        <v>45</v>
      </c>
      <c r="U321" s="11">
        <v>0</v>
      </c>
      <c r="V321" s="29">
        <f>Table1[[#This Row],[STAB]]-Table1[[#This Row],[AMOUNT]]</f>
        <v>7650</v>
      </c>
      <c r="W321" s="11">
        <v>0</v>
      </c>
      <c r="X321" s="11" t="s">
        <v>83</v>
      </c>
      <c r="Y321" s="11">
        <v>0</v>
      </c>
      <c r="Z321" s="11" t="s">
        <v>88</v>
      </c>
      <c r="AA321" s="11" t="s">
        <v>91</v>
      </c>
      <c r="AB321" s="11" t="s">
        <v>3139</v>
      </c>
      <c r="AC321" s="11" t="s">
        <v>2006</v>
      </c>
      <c r="AD321" s="11" t="s">
        <v>2102</v>
      </c>
      <c r="AE321" s="11" t="s">
        <v>413</v>
      </c>
      <c r="AF321" s="11" t="s">
        <v>54</v>
      </c>
      <c r="AG321" s="11" t="s">
        <v>129</v>
      </c>
      <c r="AH321" s="11" t="s">
        <v>753</v>
      </c>
      <c r="AI321" s="11">
        <v>802794852</v>
      </c>
      <c r="AJ321" s="11" t="s">
        <v>190</v>
      </c>
      <c r="AK321" s="11"/>
      <c r="AL321" s="11"/>
      <c r="AM321" s="12" t="s">
        <v>64</v>
      </c>
      <c r="AN321" s="11" t="s">
        <v>219</v>
      </c>
      <c r="AO321" s="11" t="s">
        <v>2166</v>
      </c>
      <c r="AP321" s="11" t="s">
        <v>1667</v>
      </c>
      <c r="AQ321" s="3">
        <v>45704</v>
      </c>
      <c r="AR321" s="11">
        <v>9300</v>
      </c>
      <c r="AS321" s="11" t="s">
        <v>430</v>
      </c>
      <c r="AT321" s="11" t="s">
        <v>2152</v>
      </c>
      <c r="AU321" s="2">
        <v>46176</v>
      </c>
    </row>
    <row r="322" spans="1:47" x14ac:dyDescent="0.25">
      <c r="A322" s="10" t="s">
        <v>1686</v>
      </c>
      <c r="B322" s="11" t="s">
        <v>1783</v>
      </c>
      <c r="C322" s="11">
        <v>0</v>
      </c>
      <c r="D322" s="11" t="s">
        <v>108</v>
      </c>
      <c r="E322" s="11"/>
      <c r="F322" s="11"/>
      <c r="G322" s="11" t="s">
        <v>52</v>
      </c>
      <c r="H322" s="11">
        <v>16</v>
      </c>
      <c r="I322" s="11" t="s">
        <v>1880</v>
      </c>
      <c r="J322" s="11" t="s">
        <v>42</v>
      </c>
      <c r="K322" s="11">
        <f>Table1[[#This Row],[ENR]]-Table1[[#This Row],[CREDIT]]</f>
        <v>-17411.050000000003</v>
      </c>
      <c r="L322" s="43">
        <v>110000</v>
      </c>
      <c r="M322" s="30">
        <v>92588.95</v>
      </c>
      <c r="N322" s="44" t="s">
        <v>43</v>
      </c>
      <c r="O322" s="29">
        <v>92588.95</v>
      </c>
      <c r="P322" s="29">
        <v>83104.55</v>
      </c>
      <c r="Q322" s="29">
        <v>18830</v>
      </c>
      <c r="R322" s="29">
        <v>9509.6200000000008</v>
      </c>
      <c r="S322" s="11" t="s">
        <v>44</v>
      </c>
      <c r="T322" s="11" t="s">
        <v>45</v>
      </c>
      <c r="U322" s="11">
        <v>0</v>
      </c>
      <c r="V322" s="29">
        <f>Table1[[#This Row],[STAB]]-Table1[[#This Row],[AMOUNT]]</f>
        <v>9509.6200000000008</v>
      </c>
      <c r="W322" s="11">
        <v>0</v>
      </c>
      <c r="X322" s="11" t="s">
        <v>83</v>
      </c>
      <c r="Y322" s="11">
        <v>0</v>
      </c>
      <c r="Z322" s="11" t="s">
        <v>88</v>
      </c>
      <c r="AA322" s="11" t="s">
        <v>91</v>
      </c>
      <c r="AB322" s="11" t="s">
        <v>3140</v>
      </c>
      <c r="AC322" s="11" t="s">
        <v>1977</v>
      </c>
      <c r="AD322" s="11" t="s">
        <v>2074</v>
      </c>
      <c r="AE322" s="11" t="s">
        <v>418</v>
      </c>
      <c r="AF322" s="11" t="s">
        <v>54</v>
      </c>
      <c r="AG322" s="11" t="s">
        <v>1658</v>
      </c>
      <c r="AH322" s="11" t="s">
        <v>85</v>
      </c>
      <c r="AI322" s="11">
        <v>801772794</v>
      </c>
      <c r="AJ322" s="11" t="s">
        <v>192</v>
      </c>
      <c r="AK322" s="11"/>
      <c r="AL322" s="11"/>
      <c r="AM322" s="12" t="s">
        <v>64</v>
      </c>
      <c r="AN322" s="11" t="s">
        <v>221</v>
      </c>
      <c r="AO322" s="11" t="s">
        <v>2467</v>
      </c>
      <c r="AP322" s="11" t="s">
        <v>2296</v>
      </c>
      <c r="AQ322" s="3">
        <v>46148</v>
      </c>
      <c r="AR322" s="11">
        <v>2780.38</v>
      </c>
      <c r="AS322" s="11" t="s">
        <v>430</v>
      </c>
      <c r="AT322" s="11" t="s">
        <v>2152</v>
      </c>
      <c r="AU322" s="2">
        <v>46176</v>
      </c>
    </row>
    <row r="323" spans="1:47" x14ac:dyDescent="0.25">
      <c r="A323" s="10" t="s">
        <v>1714</v>
      </c>
      <c r="B323" s="11" t="s">
        <v>1811</v>
      </c>
      <c r="C323" s="11">
        <v>0</v>
      </c>
      <c r="D323" s="11" t="s">
        <v>108</v>
      </c>
      <c r="E323" s="11"/>
      <c r="F323" s="11"/>
      <c r="G323" s="11" t="s">
        <v>52</v>
      </c>
      <c r="H323" s="11">
        <v>16</v>
      </c>
      <c r="I323" s="11" t="s">
        <v>1908</v>
      </c>
      <c r="J323" s="11" t="s">
        <v>42</v>
      </c>
      <c r="K323" s="11">
        <f>Table1[[#This Row],[ENR]]-Table1[[#This Row],[CREDIT]]</f>
        <v>-8019.1999999999971</v>
      </c>
      <c r="L323" s="43">
        <v>100000</v>
      </c>
      <c r="M323" s="30">
        <v>91980.800000000003</v>
      </c>
      <c r="N323" s="44" t="s">
        <v>43</v>
      </c>
      <c r="O323" s="29">
        <v>91980.800000000003</v>
      </c>
      <c r="P323" s="29">
        <v>84366.2</v>
      </c>
      <c r="Q323" s="29">
        <v>16500</v>
      </c>
      <c r="R323" s="29">
        <v>8170</v>
      </c>
      <c r="S323" s="11" t="s">
        <v>58</v>
      </c>
      <c r="T323" s="11" t="s">
        <v>14</v>
      </c>
      <c r="U323" s="29">
        <v>8170</v>
      </c>
      <c r="V323" s="29">
        <f>Table1[[#This Row],[STAB]]-Table1[[#This Row],[AMOUNT]]</f>
        <v>0</v>
      </c>
      <c r="W323" s="11" t="s">
        <v>3238</v>
      </c>
      <c r="X323" s="11" t="s">
        <v>444</v>
      </c>
      <c r="Y323" s="11" t="s">
        <v>760</v>
      </c>
      <c r="Z323" s="11" t="s">
        <v>88</v>
      </c>
      <c r="AA323" s="11" t="s">
        <v>91</v>
      </c>
      <c r="AB323" s="11" t="s">
        <v>3139</v>
      </c>
      <c r="AC323" s="11" t="s">
        <v>2005</v>
      </c>
      <c r="AD323" s="11" t="s">
        <v>2101</v>
      </c>
      <c r="AE323" s="11" t="s">
        <v>2147</v>
      </c>
      <c r="AF323" s="11" t="s">
        <v>127</v>
      </c>
      <c r="AG323" s="11" t="s">
        <v>57</v>
      </c>
      <c r="AH323" s="11" t="s">
        <v>464</v>
      </c>
      <c r="AI323" s="11">
        <v>802852449</v>
      </c>
      <c r="AJ323" s="11" t="s">
        <v>190</v>
      </c>
      <c r="AK323" s="11"/>
      <c r="AL323" s="11"/>
      <c r="AM323" s="12" t="s">
        <v>64</v>
      </c>
      <c r="AN323" s="11" t="s">
        <v>219</v>
      </c>
      <c r="AO323" s="11" t="s">
        <v>3249</v>
      </c>
      <c r="AP323" s="11" t="s">
        <v>3238</v>
      </c>
      <c r="AQ323" s="3">
        <v>46150</v>
      </c>
      <c r="AR323" s="11">
        <v>10000</v>
      </c>
      <c r="AS323" s="11" t="s">
        <v>430</v>
      </c>
      <c r="AT323" s="11" t="s">
        <v>2152</v>
      </c>
      <c r="AU323" s="2">
        <v>46176</v>
      </c>
    </row>
    <row r="324" spans="1:47" x14ac:dyDescent="0.25">
      <c r="A324" s="10" t="s">
        <v>1684</v>
      </c>
      <c r="B324" s="11" t="s">
        <v>1781</v>
      </c>
      <c r="C324" s="11">
        <v>0</v>
      </c>
      <c r="D324" s="11" t="s">
        <v>108</v>
      </c>
      <c r="E324" s="11"/>
      <c r="F324" s="11"/>
      <c r="G324" s="11" t="s">
        <v>52</v>
      </c>
      <c r="H324" s="11">
        <v>16</v>
      </c>
      <c r="I324" s="11" t="s">
        <v>1878</v>
      </c>
      <c r="J324" s="11" t="s">
        <v>42</v>
      </c>
      <c r="K324" s="11">
        <f>Table1[[#This Row],[ENR]]-Table1[[#This Row],[CREDIT]]</f>
        <v>10378.649999999994</v>
      </c>
      <c r="L324" s="43">
        <v>80000</v>
      </c>
      <c r="M324" s="30">
        <v>90378.65</v>
      </c>
      <c r="N324" s="44" t="s">
        <v>43</v>
      </c>
      <c r="O324" s="29">
        <v>90378.65</v>
      </c>
      <c r="P324" s="29">
        <v>76498</v>
      </c>
      <c r="Q324" s="29">
        <v>28430</v>
      </c>
      <c r="R324" s="29">
        <v>11224.6</v>
      </c>
      <c r="S324" s="11" t="s">
        <v>58</v>
      </c>
      <c r="T324" s="11" t="s">
        <v>13</v>
      </c>
      <c r="U324" s="11">
        <v>90378.65</v>
      </c>
      <c r="V324" s="29">
        <f>Table1[[#This Row],[STAB]]-Table1[[#This Row],[AMOUNT]]</f>
        <v>-79154.049999999988</v>
      </c>
      <c r="W324" s="11">
        <v>0</v>
      </c>
      <c r="X324" s="11" t="s">
        <v>761</v>
      </c>
      <c r="Y324" s="11" t="s">
        <v>759</v>
      </c>
      <c r="Z324" s="11" t="s">
        <v>88</v>
      </c>
      <c r="AA324" s="11" t="s">
        <v>91</v>
      </c>
      <c r="AB324" s="11" t="s">
        <v>3139</v>
      </c>
      <c r="AC324" s="11" t="s">
        <v>1975</v>
      </c>
      <c r="AD324" s="11" t="s">
        <v>2072</v>
      </c>
      <c r="AE324" s="11" t="s">
        <v>104</v>
      </c>
      <c r="AF324" s="11" t="s">
        <v>54</v>
      </c>
      <c r="AG324" s="11" t="s">
        <v>130</v>
      </c>
      <c r="AH324" s="11" t="s">
        <v>469</v>
      </c>
      <c r="AI324" s="11">
        <v>802835406</v>
      </c>
      <c r="AJ324" s="11" t="s">
        <v>99</v>
      </c>
      <c r="AK324" s="11"/>
      <c r="AL324" s="11"/>
      <c r="AM324" s="12" t="s">
        <v>64</v>
      </c>
      <c r="AN324" s="11"/>
      <c r="AO324" s="11"/>
      <c r="AP324" s="11"/>
      <c r="AQ324" s="3">
        <v>46093</v>
      </c>
      <c r="AR324" s="11">
        <v>85035.01</v>
      </c>
      <c r="AS324" s="11" t="s">
        <v>430</v>
      </c>
      <c r="AT324" s="11" t="s">
        <v>2152</v>
      </c>
      <c r="AU324" s="2">
        <v>46176</v>
      </c>
    </row>
    <row r="325" spans="1:47" x14ac:dyDescent="0.25">
      <c r="A325" s="10" t="s">
        <v>1683</v>
      </c>
      <c r="B325" s="11" t="s">
        <v>1780</v>
      </c>
      <c r="C325" s="11">
        <v>0</v>
      </c>
      <c r="D325" s="11" t="s">
        <v>108</v>
      </c>
      <c r="E325" s="11"/>
      <c r="F325" s="11"/>
      <c r="G325" s="11" t="s">
        <v>52</v>
      </c>
      <c r="H325" s="11">
        <v>16</v>
      </c>
      <c r="I325" s="11" t="s">
        <v>1877</v>
      </c>
      <c r="J325" s="11" t="s">
        <v>42</v>
      </c>
      <c r="K325" s="11">
        <f>Table1[[#This Row],[ENR]]-Table1[[#This Row],[CREDIT]]</f>
        <v>9813.4700000000012</v>
      </c>
      <c r="L325" s="43">
        <v>80000</v>
      </c>
      <c r="M325" s="30">
        <v>89813.47</v>
      </c>
      <c r="N325" s="44" t="s">
        <v>43</v>
      </c>
      <c r="O325" s="29">
        <v>89813.47</v>
      </c>
      <c r="P325" s="29">
        <v>79750.58</v>
      </c>
      <c r="Q325" s="29">
        <v>27020</v>
      </c>
      <c r="R325" s="29">
        <v>10660</v>
      </c>
      <c r="S325" s="11" t="s">
        <v>44</v>
      </c>
      <c r="T325" s="11" t="s">
        <v>45</v>
      </c>
      <c r="U325" s="11">
        <v>0</v>
      </c>
      <c r="V325" s="29">
        <f>Table1[[#This Row],[STAB]]-Table1[[#This Row],[AMOUNT]]</f>
        <v>10660</v>
      </c>
      <c r="W325" s="11">
        <v>0</v>
      </c>
      <c r="X325" s="11" t="s">
        <v>83</v>
      </c>
      <c r="Y325" s="11">
        <v>0</v>
      </c>
      <c r="Z325" s="11" t="s">
        <v>88</v>
      </c>
      <c r="AA325" s="11" t="s">
        <v>91</v>
      </c>
      <c r="AB325" s="11" t="s">
        <v>3139</v>
      </c>
      <c r="AC325" s="11" t="s">
        <v>1974</v>
      </c>
      <c r="AD325" s="11" t="s">
        <v>2071</v>
      </c>
      <c r="AE325" s="11" t="s">
        <v>746</v>
      </c>
      <c r="AF325" s="11" t="s">
        <v>53</v>
      </c>
      <c r="AG325" s="11" t="s">
        <v>3469</v>
      </c>
      <c r="AH325" s="11" t="s">
        <v>752</v>
      </c>
      <c r="AI325" s="11">
        <v>802241455</v>
      </c>
      <c r="AJ325" s="11" t="s">
        <v>191</v>
      </c>
      <c r="AK325" s="11"/>
      <c r="AL325" s="11"/>
      <c r="AM325" s="12" t="s">
        <v>46</v>
      </c>
      <c r="AN325" s="11"/>
      <c r="AO325" s="11"/>
      <c r="AP325" s="11"/>
      <c r="AQ325" s="3">
        <v>45968</v>
      </c>
      <c r="AR325" s="11">
        <v>16600</v>
      </c>
      <c r="AS325" s="11" t="s">
        <v>430</v>
      </c>
      <c r="AT325" s="11" t="s">
        <v>2152</v>
      </c>
      <c r="AU325" s="2">
        <v>46176</v>
      </c>
    </row>
    <row r="326" spans="1:47" x14ac:dyDescent="0.25">
      <c r="A326" s="10" t="s">
        <v>1721</v>
      </c>
      <c r="B326" s="11" t="s">
        <v>1818</v>
      </c>
      <c r="C326" s="11">
        <v>0</v>
      </c>
      <c r="D326" s="11" t="s">
        <v>108</v>
      </c>
      <c r="E326" s="11"/>
      <c r="F326" s="11"/>
      <c r="G326" s="11" t="s">
        <v>52</v>
      </c>
      <c r="H326" s="11">
        <v>16</v>
      </c>
      <c r="I326" s="11" t="s">
        <v>1915</v>
      </c>
      <c r="J326" s="11" t="s">
        <v>42</v>
      </c>
      <c r="K326" s="11">
        <f>Table1[[#This Row],[ENR]]-Table1[[#This Row],[CREDIT]]</f>
        <v>9669.5399999999936</v>
      </c>
      <c r="L326" s="43">
        <v>80000</v>
      </c>
      <c r="M326" s="30">
        <v>89669.54</v>
      </c>
      <c r="N326" s="44" t="s">
        <v>43</v>
      </c>
      <c r="O326" s="29">
        <v>89669.54</v>
      </c>
      <c r="P326" s="29">
        <v>79961.960000000006</v>
      </c>
      <c r="Q326" s="29">
        <v>42820</v>
      </c>
      <c r="R326" s="29">
        <v>19580</v>
      </c>
      <c r="S326" s="11" t="s">
        <v>44</v>
      </c>
      <c r="T326" s="11" t="s">
        <v>45</v>
      </c>
      <c r="U326" s="11">
        <v>0</v>
      </c>
      <c r="V326" s="29">
        <f>Table1[[#This Row],[STAB]]-Table1[[#This Row],[AMOUNT]]</f>
        <v>19580</v>
      </c>
      <c r="W326" s="11">
        <v>0</v>
      </c>
      <c r="X326" s="11" t="s">
        <v>83</v>
      </c>
      <c r="Y326" s="11">
        <v>0</v>
      </c>
      <c r="Z326" s="11" t="s">
        <v>88</v>
      </c>
      <c r="AA326" s="11" t="s">
        <v>91</v>
      </c>
      <c r="AB326" s="11" t="s">
        <v>3139</v>
      </c>
      <c r="AC326" s="11" t="s">
        <v>2012</v>
      </c>
      <c r="AD326" s="11" t="s">
        <v>2108</v>
      </c>
      <c r="AE326" s="11" t="s">
        <v>104</v>
      </c>
      <c r="AF326" s="11" t="s">
        <v>54</v>
      </c>
      <c r="AG326" s="11" t="s">
        <v>109</v>
      </c>
      <c r="AH326" s="11" t="s">
        <v>196</v>
      </c>
      <c r="AI326" s="11">
        <v>802555024</v>
      </c>
      <c r="AJ326" s="11" t="s">
        <v>99</v>
      </c>
      <c r="AK326" s="11"/>
      <c r="AL326" s="11"/>
      <c r="AM326" s="12" t="s">
        <v>64</v>
      </c>
      <c r="AN326" s="11" t="s">
        <v>221</v>
      </c>
      <c r="AO326" s="11" t="s">
        <v>2456</v>
      </c>
      <c r="AP326" s="11" t="s">
        <v>2296</v>
      </c>
      <c r="AQ326" s="3">
        <v>46025</v>
      </c>
      <c r="AR326" s="11">
        <v>17150</v>
      </c>
      <c r="AS326" s="11" t="s">
        <v>430</v>
      </c>
      <c r="AT326" s="11" t="s">
        <v>2152</v>
      </c>
      <c r="AU326" s="2">
        <v>46176</v>
      </c>
    </row>
    <row r="327" spans="1:47" x14ac:dyDescent="0.25">
      <c r="A327" s="10" t="s">
        <v>1732</v>
      </c>
      <c r="B327" s="11" t="s">
        <v>1829</v>
      </c>
      <c r="C327" s="11">
        <v>0</v>
      </c>
      <c r="D327" s="11" t="s">
        <v>108</v>
      </c>
      <c r="E327" s="11"/>
      <c r="F327" s="11"/>
      <c r="G327" s="11" t="s">
        <v>52</v>
      </c>
      <c r="H327" s="11">
        <v>16</v>
      </c>
      <c r="I327" s="11" t="s">
        <v>1926</v>
      </c>
      <c r="J327" s="11" t="s">
        <v>42</v>
      </c>
      <c r="K327" s="11">
        <f>Table1[[#This Row],[ENR]]-Table1[[#This Row],[CREDIT]]</f>
        <v>-10765.029999999999</v>
      </c>
      <c r="L327" s="43">
        <v>100000</v>
      </c>
      <c r="M327" s="30">
        <v>89234.97</v>
      </c>
      <c r="N327" s="44" t="s">
        <v>43</v>
      </c>
      <c r="O327" s="29">
        <v>89234.97</v>
      </c>
      <c r="P327" s="29">
        <v>79047.33</v>
      </c>
      <c r="Q327" s="29">
        <v>14890</v>
      </c>
      <c r="R327" s="29">
        <v>5970</v>
      </c>
      <c r="S327" s="11" t="s">
        <v>58</v>
      </c>
      <c r="T327" s="11" t="s">
        <v>13</v>
      </c>
      <c r="U327" s="11">
        <v>14890</v>
      </c>
      <c r="V327" s="29">
        <f>Table1[[#This Row],[STAB]]-Table1[[#This Row],[AMOUNT]]</f>
        <v>-8920</v>
      </c>
      <c r="W327" s="11">
        <v>0</v>
      </c>
      <c r="X327" s="11" t="s">
        <v>761</v>
      </c>
      <c r="Y327" s="11" t="s">
        <v>759</v>
      </c>
      <c r="Z327" s="11" t="s">
        <v>88</v>
      </c>
      <c r="AA327" s="11" t="s">
        <v>91</v>
      </c>
      <c r="AB327" s="11" t="s">
        <v>3139</v>
      </c>
      <c r="AC327" s="11" t="s">
        <v>2023</v>
      </c>
      <c r="AD327" s="11" t="s">
        <v>2118</v>
      </c>
      <c r="AE327" s="11" t="s">
        <v>133</v>
      </c>
      <c r="AF327" s="11" t="s">
        <v>54</v>
      </c>
      <c r="AG327" s="11" t="s">
        <v>1658</v>
      </c>
      <c r="AH327" s="11" t="s">
        <v>85</v>
      </c>
      <c r="AI327" s="11">
        <v>801772794</v>
      </c>
      <c r="AJ327" s="11" t="s">
        <v>192</v>
      </c>
      <c r="AK327" s="11"/>
      <c r="AL327" s="11"/>
      <c r="AM327" s="12" t="s">
        <v>64</v>
      </c>
      <c r="AN327" s="11"/>
      <c r="AO327" s="11"/>
      <c r="AP327" s="11"/>
      <c r="AQ327" s="3">
        <v>46122</v>
      </c>
      <c r="AR327" s="11">
        <v>13160</v>
      </c>
      <c r="AS327" s="11" t="s">
        <v>430</v>
      </c>
      <c r="AT327" s="11" t="s">
        <v>2152</v>
      </c>
      <c r="AU327" s="2">
        <v>46176</v>
      </c>
    </row>
    <row r="328" spans="1:47" x14ac:dyDescent="0.25">
      <c r="A328" s="10" t="s">
        <v>1727</v>
      </c>
      <c r="B328" s="11" t="s">
        <v>1824</v>
      </c>
      <c r="C328" s="11">
        <v>0</v>
      </c>
      <c r="D328" s="11" t="s">
        <v>108</v>
      </c>
      <c r="E328" s="11"/>
      <c r="F328" s="11"/>
      <c r="G328" s="11" t="s">
        <v>52</v>
      </c>
      <c r="H328" s="11">
        <v>16</v>
      </c>
      <c r="I328" s="11" t="s">
        <v>1921</v>
      </c>
      <c r="J328" s="11" t="s">
        <v>42</v>
      </c>
      <c r="K328" s="11">
        <f>Table1[[#This Row],[ENR]]-Table1[[#This Row],[CREDIT]]</f>
        <v>-10984.600000000006</v>
      </c>
      <c r="L328" s="43">
        <v>100000</v>
      </c>
      <c r="M328" s="30">
        <v>89015.4</v>
      </c>
      <c r="N328" s="44" t="s">
        <v>43</v>
      </c>
      <c r="O328" s="29">
        <v>89015.4</v>
      </c>
      <c r="P328" s="29">
        <v>79785.820000000007</v>
      </c>
      <c r="Q328" s="29">
        <v>29540</v>
      </c>
      <c r="R328" s="29">
        <v>12610</v>
      </c>
      <c r="S328" s="11" t="s">
        <v>58</v>
      </c>
      <c r="T328" s="11" t="s">
        <v>14</v>
      </c>
      <c r="U328" s="29">
        <v>12700</v>
      </c>
      <c r="V328" s="29">
        <f>Table1[[#This Row],[STAB]]-Table1[[#This Row],[AMOUNT]]</f>
        <v>-90</v>
      </c>
      <c r="W328" s="11" t="s">
        <v>3191</v>
      </c>
      <c r="X328" s="11" t="s">
        <v>451</v>
      </c>
      <c r="Y328" s="11" t="s">
        <v>760</v>
      </c>
      <c r="Z328" s="11" t="s">
        <v>88</v>
      </c>
      <c r="AA328" s="11" t="s">
        <v>91</v>
      </c>
      <c r="AB328" s="11" t="s">
        <v>3139</v>
      </c>
      <c r="AC328" s="11" t="s">
        <v>2018</v>
      </c>
      <c r="AD328" s="11" t="s">
        <v>2114</v>
      </c>
      <c r="AE328" s="11" t="s">
        <v>218</v>
      </c>
      <c r="AF328" s="11" t="s">
        <v>84</v>
      </c>
      <c r="AG328" s="11" t="s">
        <v>97</v>
      </c>
      <c r="AH328" s="11" t="s">
        <v>88</v>
      </c>
      <c r="AI328" s="11">
        <v>801723195</v>
      </c>
      <c r="AJ328" s="11" t="s">
        <v>191</v>
      </c>
      <c r="AK328" s="11"/>
      <c r="AL328" s="11"/>
      <c r="AM328" s="12" t="s">
        <v>64</v>
      </c>
      <c r="AN328" s="11" t="s">
        <v>115</v>
      </c>
      <c r="AO328" s="11" t="s">
        <v>3198</v>
      </c>
      <c r="AP328" s="11" t="s">
        <v>3191</v>
      </c>
      <c r="AQ328" s="3">
        <v>46112</v>
      </c>
      <c r="AR328" s="11">
        <v>24320</v>
      </c>
      <c r="AS328" s="11" t="s">
        <v>430</v>
      </c>
      <c r="AT328" s="11" t="s">
        <v>2152</v>
      </c>
      <c r="AU328" s="2">
        <v>46176</v>
      </c>
    </row>
    <row r="329" spans="1:47" x14ac:dyDescent="0.25">
      <c r="A329" s="10" t="s">
        <v>1728</v>
      </c>
      <c r="B329" s="11" t="s">
        <v>1825</v>
      </c>
      <c r="C329" s="11">
        <v>0</v>
      </c>
      <c r="D329" s="11" t="s">
        <v>108</v>
      </c>
      <c r="E329" s="11"/>
      <c r="F329" s="11" t="s">
        <v>440</v>
      </c>
      <c r="G329" s="11" t="s">
        <v>52</v>
      </c>
      <c r="H329" s="11">
        <v>16</v>
      </c>
      <c r="I329" s="11" t="s">
        <v>1922</v>
      </c>
      <c r="J329" s="11" t="s">
        <v>42</v>
      </c>
      <c r="K329" s="11">
        <f>Table1[[#This Row],[ENR]]-Table1[[#This Row],[CREDIT]]</f>
        <v>8681.1999999999971</v>
      </c>
      <c r="L329" s="43">
        <v>80000</v>
      </c>
      <c r="M329" s="30">
        <v>88681.2</v>
      </c>
      <c r="N329" s="44">
        <v>44717.760000000002</v>
      </c>
      <c r="O329" s="29">
        <v>43963.44</v>
      </c>
      <c r="P329" s="29">
        <v>35278.239999999998</v>
      </c>
      <c r="Q329" s="29">
        <v>13600</v>
      </c>
      <c r="R329" s="29">
        <v>5400</v>
      </c>
      <c r="S329" s="11" t="s">
        <v>58</v>
      </c>
      <c r="T329" s="11" t="s">
        <v>13</v>
      </c>
      <c r="U329" s="11">
        <v>43963.44</v>
      </c>
      <c r="V329" s="29">
        <f>Table1[[#This Row],[STAB]]-Table1[[#This Row],[AMOUNT]]</f>
        <v>-38563.440000000002</v>
      </c>
      <c r="W329" s="11">
        <v>0</v>
      </c>
      <c r="X329" s="11" t="s">
        <v>761</v>
      </c>
      <c r="Y329" s="11" t="s">
        <v>1084</v>
      </c>
      <c r="Z329" s="11" t="s">
        <v>88</v>
      </c>
      <c r="AA329" s="11" t="s">
        <v>91</v>
      </c>
      <c r="AB329" s="11" t="s">
        <v>3139</v>
      </c>
      <c r="AC329" s="11" t="s">
        <v>2019</v>
      </c>
      <c r="AD329" s="11" t="s">
        <v>2115</v>
      </c>
      <c r="AE329" s="11" t="s">
        <v>125</v>
      </c>
      <c r="AF329" s="11" t="s">
        <v>127</v>
      </c>
      <c r="AG329" s="11" t="s">
        <v>2164</v>
      </c>
      <c r="AH329" s="11" t="s">
        <v>193</v>
      </c>
      <c r="AI329" s="11">
        <v>802824019</v>
      </c>
      <c r="AJ329" s="11" t="s">
        <v>189</v>
      </c>
      <c r="AK329" s="11"/>
      <c r="AL329" s="11"/>
      <c r="AM329" s="12" t="s">
        <v>64</v>
      </c>
      <c r="AN329" s="11"/>
      <c r="AO329" s="11"/>
      <c r="AP329" s="11"/>
      <c r="AQ329" s="3">
        <v>46120</v>
      </c>
      <c r="AR329" s="11">
        <v>33648</v>
      </c>
      <c r="AS329" s="11" t="s">
        <v>430</v>
      </c>
      <c r="AT329" s="11" t="s">
        <v>2152</v>
      </c>
      <c r="AU329" s="2">
        <v>46176</v>
      </c>
    </row>
    <row r="330" spans="1:47" x14ac:dyDescent="0.25">
      <c r="A330" s="10" t="s">
        <v>1713</v>
      </c>
      <c r="B330" s="11" t="s">
        <v>1810</v>
      </c>
      <c r="C330" s="11">
        <v>0</v>
      </c>
      <c r="D330" s="11" t="s">
        <v>108</v>
      </c>
      <c r="E330" s="11"/>
      <c r="F330" s="11"/>
      <c r="G330" s="11" t="s">
        <v>52</v>
      </c>
      <c r="H330" s="11">
        <v>16</v>
      </c>
      <c r="I330" s="11" t="s">
        <v>1907</v>
      </c>
      <c r="J330" s="11" t="s">
        <v>42</v>
      </c>
      <c r="K330" s="11">
        <f>Table1[[#This Row],[ENR]]-Table1[[#This Row],[CREDIT]]</f>
        <v>8369.1699999999983</v>
      </c>
      <c r="L330" s="43">
        <v>80000</v>
      </c>
      <c r="M330" s="30">
        <v>88369.17</v>
      </c>
      <c r="N330" s="44" t="s">
        <v>43</v>
      </c>
      <c r="O330" s="29">
        <v>88369.17</v>
      </c>
      <c r="P330" s="29">
        <v>79562.89</v>
      </c>
      <c r="Q330" s="29">
        <v>21570</v>
      </c>
      <c r="R330" s="29">
        <v>7760</v>
      </c>
      <c r="S330" s="11" t="s">
        <v>44</v>
      </c>
      <c r="T330" s="11" t="s">
        <v>45</v>
      </c>
      <c r="U330" s="11">
        <v>0</v>
      </c>
      <c r="V330" s="29">
        <f>Table1[[#This Row],[STAB]]-Table1[[#This Row],[AMOUNT]]</f>
        <v>7760</v>
      </c>
      <c r="W330" s="11">
        <v>0</v>
      </c>
      <c r="X330" s="11" t="s">
        <v>83</v>
      </c>
      <c r="Y330" s="11">
        <v>0</v>
      </c>
      <c r="Z330" s="11" t="s">
        <v>88</v>
      </c>
      <c r="AA330" s="11" t="s">
        <v>91</v>
      </c>
      <c r="AB330" s="11" t="s">
        <v>3140</v>
      </c>
      <c r="AC330" s="11" t="s">
        <v>2004</v>
      </c>
      <c r="AD330" s="11" t="s">
        <v>2100</v>
      </c>
      <c r="AE330" s="11" t="s">
        <v>418</v>
      </c>
      <c r="AF330" s="11" t="s">
        <v>53</v>
      </c>
      <c r="AG330" s="11" t="s">
        <v>1658</v>
      </c>
      <c r="AH330" s="11" t="s">
        <v>85</v>
      </c>
      <c r="AI330" s="11">
        <v>801772794</v>
      </c>
      <c r="AJ330" s="11" t="s">
        <v>192</v>
      </c>
      <c r="AK330" s="11"/>
      <c r="AL330" s="11"/>
      <c r="AM330" s="12" t="s">
        <v>46</v>
      </c>
      <c r="AN330" s="11"/>
      <c r="AO330" s="11"/>
      <c r="AP330" s="11"/>
      <c r="AQ330" s="3">
        <v>45909</v>
      </c>
      <c r="AR330" s="11">
        <v>7620</v>
      </c>
      <c r="AS330" s="11" t="s">
        <v>430</v>
      </c>
      <c r="AT330" s="11" t="s">
        <v>2152</v>
      </c>
      <c r="AU330" s="2">
        <v>46176</v>
      </c>
    </row>
    <row r="331" spans="1:47" x14ac:dyDescent="0.25">
      <c r="A331" s="10" t="s">
        <v>1671</v>
      </c>
      <c r="B331" s="11" t="s">
        <v>1768</v>
      </c>
      <c r="C331" s="11">
        <v>0</v>
      </c>
      <c r="D331" s="11" t="s">
        <v>108</v>
      </c>
      <c r="E331" s="11"/>
      <c r="F331" s="11"/>
      <c r="G331" s="11" t="s">
        <v>52</v>
      </c>
      <c r="H331" s="11">
        <v>16</v>
      </c>
      <c r="I331" s="11" t="s">
        <v>1865</v>
      </c>
      <c r="J331" s="11" t="s">
        <v>42</v>
      </c>
      <c r="K331" s="11">
        <f>Table1[[#This Row],[ENR]]-Table1[[#This Row],[CREDIT]]</f>
        <v>-1744.1000000000058</v>
      </c>
      <c r="L331" s="43">
        <v>90000</v>
      </c>
      <c r="M331" s="30">
        <v>88255.9</v>
      </c>
      <c r="N331" s="44">
        <v>44765.99</v>
      </c>
      <c r="O331" s="29">
        <v>43489.91</v>
      </c>
      <c r="P331" s="29">
        <v>37431.980000000003</v>
      </c>
      <c r="Q331" s="29">
        <v>18740</v>
      </c>
      <c r="R331" s="29">
        <v>8060</v>
      </c>
      <c r="S331" s="11" t="s">
        <v>58</v>
      </c>
      <c r="T331" s="11" t="s">
        <v>13</v>
      </c>
      <c r="U331" s="11">
        <v>43489.91</v>
      </c>
      <c r="V331" s="29">
        <f>Table1[[#This Row],[STAB]]-Table1[[#This Row],[AMOUNT]]</f>
        <v>-35429.910000000003</v>
      </c>
      <c r="W331" s="11" t="s">
        <v>3206</v>
      </c>
      <c r="X331" s="11" t="s">
        <v>444</v>
      </c>
      <c r="Y331" s="11" t="s">
        <v>760</v>
      </c>
      <c r="Z331" s="11" t="s">
        <v>88</v>
      </c>
      <c r="AA331" s="11" t="s">
        <v>91</v>
      </c>
      <c r="AB331" s="11" t="s">
        <v>3139</v>
      </c>
      <c r="AC331" s="11" t="s">
        <v>1962</v>
      </c>
      <c r="AD331" s="11" t="s">
        <v>2059</v>
      </c>
      <c r="AE331" s="11" t="s">
        <v>428</v>
      </c>
      <c r="AF331" s="11" t="s">
        <v>53</v>
      </c>
      <c r="AG331" s="11" t="s">
        <v>55</v>
      </c>
      <c r="AH331" s="11" t="s">
        <v>468</v>
      </c>
      <c r="AI331" s="11">
        <v>802030802</v>
      </c>
      <c r="AJ331" s="11" t="s">
        <v>458</v>
      </c>
      <c r="AK331" s="11"/>
      <c r="AL331" s="11"/>
      <c r="AM331" s="12" t="s">
        <v>64</v>
      </c>
      <c r="AN331" s="11" t="s">
        <v>115</v>
      </c>
      <c r="AO331" s="11" t="s">
        <v>3125</v>
      </c>
      <c r="AP331" s="11" t="s">
        <v>3119</v>
      </c>
      <c r="AQ331" s="3">
        <v>45048</v>
      </c>
      <c r="AR331" s="11">
        <v>76590.77</v>
      </c>
      <c r="AS331" s="11" t="s">
        <v>430</v>
      </c>
      <c r="AT331" s="11" t="s">
        <v>2152</v>
      </c>
      <c r="AU331" s="2">
        <v>46176</v>
      </c>
    </row>
    <row r="332" spans="1:47" x14ac:dyDescent="0.25">
      <c r="A332" s="10" t="s">
        <v>1679</v>
      </c>
      <c r="B332" s="11" t="s">
        <v>1776</v>
      </c>
      <c r="C332" s="11">
        <v>0</v>
      </c>
      <c r="D332" s="11" t="s">
        <v>108</v>
      </c>
      <c r="E332" s="11"/>
      <c r="F332" s="11"/>
      <c r="G332" s="11" t="s">
        <v>52</v>
      </c>
      <c r="H332" s="11">
        <v>16</v>
      </c>
      <c r="I332" s="11" t="s">
        <v>1873</v>
      </c>
      <c r="J332" s="11" t="s">
        <v>42</v>
      </c>
      <c r="K332" s="11">
        <f>Table1[[#This Row],[ENR]]-Table1[[#This Row],[CREDIT]]</f>
        <v>-56811.94</v>
      </c>
      <c r="L332" s="43">
        <v>140000</v>
      </c>
      <c r="M332" s="30">
        <v>83188.06</v>
      </c>
      <c r="N332" s="44">
        <v>3416.23</v>
      </c>
      <c r="O332" s="29">
        <v>79771.83</v>
      </c>
      <c r="P332" s="29">
        <v>74665.58</v>
      </c>
      <c r="Q332" s="29">
        <v>16250</v>
      </c>
      <c r="R332" s="29">
        <v>9071</v>
      </c>
      <c r="S332" s="11" t="s">
        <v>58</v>
      </c>
      <c r="T332" s="11" t="s">
        <v>14</v>
      </c>
      <c r="U332" s="29">
        <v>9071</v>
      </c>
      <c r="V332" s="29">
        <f>Table1[[#This Row],[STAB]]-Table1[[#This Row],[AMOUNT]]</f>
        <v>0</v>
      </c>
      <c r="W332" s="11">
        <v>0</v>
      </c>
      <c r="X332" s="11" t="s">
        <v>761</v>
      </c>
      <c r="Y332" s="11" t="s">
        <v>760</v>
      </c>
      <c r="Z332" s="11" t="s">
        <v>88</v>
      </c>
      <c r="AA332" s="11" t="s">
        <v>91</v>
      </c>
      <c r="AB332" s="11" t="s">
        <v>3139</v>
      </c>
      <c r="AC332" s="11" t="s">
        <v>1970</v>
      </c>
      <c r="AD332" s="11" t="s">
        <v>2067</v>
      </c>
      <c r="AE332" s="11" t="s">
        <v>604</v>
      </c>
      <c r="AF332" s="11" t="s">
        <v>439</v>
      </c>
      <c r="AG332" s="11" t="s">
        <v>63</v>
      </c>
      <c r="AH332" s="11" t="s">
        <v>467</v>
      </c>
      <c r="AI332" s="11">
        <v>801570488</v>
      </c>
      <c r="AJ332" s="11" t="s">
        <v>190</v>
      </c>
      <c r="AK332" s="11"/>
      <c r="AL332" s="11"/>
      <c r="AM332" s="12" t="s">
        <v>64</v>
      </c>
      <c r="AN332" s="11"/>
      <c r="AO332" s="11"/>
      <c r="AP332" s="11"/>
      <c r="AQ332" s="3">
        <v>45953</v>
      </c>
      <c r="AR332" s="11">
        <v>5273</v>
      </c>
      <c r="AS332" s="11" t="s">
        <v>430</v>
      </c>
      <c r="AT332" s="11" t="s">
        <v>2152</v>
      </c>
      <c r="AU332" s="2">
        <v>46176</v>
      </c>
    </row>
    <row r="333" spans="1:47" x14ac:dyDescent="0.25">
      <c r="A333" s="10" t="s">
        <v>1680</v>
      </c>
      <c r="B333" s="11" t="s">
        <v>1777</v>
      </c>
      <c r="C333" s="11">
        <v>0</v>
      </c>
      <c r="D333" s="11" t="s">
        <v>108</v>
      </c>
      <c r="E333" s="11"/>
      <c r="F333" s="11"/>
      <c r="G333" s="11" t="s">
        <v>52</v>
      </c>
      <c r="H333" s="11">
        <v>16</v>
      </c>
      <c r="I333" s="11" t="s">
        <v>1874</v>
      </c>
      <c r="J333" s="11" t="s">
        <v>42</v>
      </c>
      <c r="K333" s="11">
        <f>Table1[[#This Row],[ENR]]-Table1[[#This Row],[CREDIT]]</f>
        <v>-1056</v>
      </c>
      <c r="L333" s="43">
        <v>80000</v>
      </c>
      <c r="M333" s="30">
        <v>78944</v>
      </c>
      <c r="N333" s="44" t="s">
        <v>43</v>
      </c>
      <c r="O333" s="29">
        <v>78944</v>
      </c>
      <c r="P333" s="29">
        <v>69572.600000000006</v>
      </c>
      <c r="Q333" s="29">
        <v>13070</v>
      </c>
      <c r="R333" s="29">
        <v>4870</v>
      </c>
      <c r="S333" s="11" t="s">
        <v>44</v>
      </c>
      <c r="T333" s="11" t="s">
        <v>45</v>
      </c>
      <c r="U333" s="11">
        <v>0</v>
      </c>
      <c r="V333" s="29">
        <f>Table1[[#This Row],[STAB]]-Table1[[#This Row],[AMOUNT]]</f>
        <v>4870</v>
      </c>
      <c r="W333" s="11">
        <v>0</v>
      </c>
      <c r="X333" s="11" t="s">
        <v>83</v>
      </c>
      <c r="Y333" s="11">
        <v>0</v>
      </c>
      <c r="Z333" s="11" t="s">
        <v>88</v>
      </c>
      <c r="AA333" s="11" t="s">
        <v>91</v>
      </c>
      <c r="AB333" s="11" t="s">
        <v>3139</v>
      </c>
      <c r="AC333" s="11" t="s">
        <v>1971</v>
      </c>
      <c r="AD333" s="11" t="s">
        <v>2068</v>
      </c>
      <c r="AE333" s="11" t="s">
        <v>104</v>
      </c>
      <c r="AF333" s="11" t="s">
        <v>54</v>
      </c>
      <c r="AG333" s="11" t="s">
        <v>109</v>
      </c>
      <c r="AH333" s="11" t="s">
        <v>196</v>
      </c>
      <c r="AI333" s="11">
        <v>802555024</v>
      </c>
      <c r="AJ333" s="11" t="s">
        <v>99</v>
      </c>
      <c r="AK333" s="11"/>
      <c r="AL333" s="11"/>
      <c r="AM333" s="12" t="s">
        <v>64</v>
      </c>
      <c r="AN333" s="11" t="s">
        <v>219</v>
      </c>
      <c r="AO333" s="11" t="s">
        <v>2431</v>
      </c>
      <c r="AP333" s="11" t="s">
        <v>2294</v>
      </c>
      <c r="AQ333" s="3">
        <v>46081</v>
      </c>
      <c r="AR333" s="11">
        <v>26.18</v>
      </c>
      <c r="AS333" s="11" t="s">
        <v>430</v>
      </c>
      <c r="AT333" s="11" t="s">
        <v>2152</v>
      </c>
      <c r="AU333" s="2">
        <v>46176</v>
      </c>
    </row>
    <row r="334" spans="1:47" x14ac:dyDescent="0.25">
      <c r="A334" s="10" t="s">
        <v>1678</v>
      </c>
      <c r="B334" s="11" t="s">
        <v>1775</v>
      </c>
      <c r="C334" s="11">
        <v>0</v>
      </c>
      <c r="D334" s="11" t="s">
        <v>108</v>
      </c>
      <c r="E334" s="11"/>
      <c r="F334" s="11"/>
      <c r="G334" s="11" t="s">
        <v>52</v>
      </c>
      <c r="H334" s="11">
        <v>16</v>
      </c>
      <c r="I334" s="11" t="s">
        <v>1872</v>
      </c>
      <c r="J334" s="11" t="s">
        <v>42</v>
      </c>
      <c r="K334" s="11">
        <f>Table1[[#This Row],[ENR]]-Table1[[#This Row],[CREDIT]]</f>
        <v>-12701.759999999995</v>
      </c>
      <c r="L334" s="43">
        <v>90000</v>
      </c>
      <c r="M334" s="30">
        <v>77298.240000000005</v>
      </c>
      <c r="N334" s="44" t="s">
        <v>43</v>
      </c>
      <c r="O334" s="29">
        <v>77298.240000000005</v>
      </c>
      <c r="P334" s="29">
        <v>67747.59</v>
      </c>
      <c r="Q334" s="29">
        <v>13570</v>
      </c>
      <c r="R334" s="29">
        <v>5590</v>
      </c>
      <c r="S334" s="11" t="s">
        <v>58</v>
      </c>
      <c r="T334" s="11" t="s">
        <v>14</v>
      </c>
      <c r="U334" s="29">
        <v>6550</v>
      </c>
      <c r="V334" s="29">
        <f>Table1[[#This Row],[STAB]]-Table1[[#This Row],[AMOUNT]]</f>
        <v>-960</v>
      </c>
      <c r="W334" s="11" t="s">
        <v>3206</v>
      </c>
      <c r="X334" s="11" t="s">
        <v>451</v>
      </c>
      <c r="Y334" s="11" t="s">
        <v>760</v>
      </c>
      <c r="Z334" s="11" t="s">
        <v>88</v>
      </c>
      <c r="AA334" s="11" t="s">
        <v>91</v>
      </c>
      <c r="AB334" s="11" t="s">
        <v>3139</v>
      </c>
      <c r="AC334" s="11" t="s">
        <v>1969</v>
      </c>
      <c r="AD334" s="11" t="s">
        <v>2066</v>
      </c>
      <c r="AE334" s="11" t="s">
        <v>429</v>
      </c>
      <c r="AF334" s="11" t="s">
        <v>54</v>
      </c>
      <c r="AG334" s="11" t="s">
        <v>95</v>
      </c>
      <c r="AH334" s="11" t="s">
        <v>465</v>
      </c>
      <c r="AI334" s="11">
        <v>802823175</v>
      </c>
      <c r="AJ334" s="11" t="s">
        <v>191</v>
      </c>
      <c r="AK334" s="11"/>
      <c r="AL334" s="11"/>
      <c r="AM334" s="12" t="s">
        <v>64</v>
      </c>
      <c r="AN334" s="11" t="s">
        <v>115</v>
      </c>
      <c r="AO334" s="11" t="s">
        <v>3223</v>
      </c>
      <c r="AP334" s="11" t="s">
        <v>3206</v>
      </c>
      <c r="AQ334" s="3">
        <v>45371</v>
      </c>
      <c r="AR334" s="11">
        <v>3065</v>
      </c>
      <c r="AS334" s="11" t="s">
        <v>430</v>
      </c>
      <c r="AT334" s="11" t="s">
        <v>2152</v>
      </c>
      <c r="AU334" s="2">
        <v>46176</v>
      </c>
    </row>
    <row r="335" spans="1:47" x14ac:dyDescent="0.25">
      <c r="A335" s="10" t="s">
        <v>1677</v>
      </c>
      <c r="B335" s="11" t="s">
        <v>1774</v>
      </c>
      <c r="C335" s="11">
        <v>0</v>
      </c>
      <c r="D335" s="11" t="s">
        <v>108</v>
      </c>
      <c r="E335" s="11"/>
      <c r="F335" s="11"/>
      <c r="G335" s="11" t="s">
        <v>52</v>
      </c>
      <c r="H335" s="11">
        <v>16</v>
      </c>
      <c r="I335" s="11" t="s">
        <v>1871</v>
      </c>
      <c r="J335" s="11" t="s">
        <v>42</v>
      </c>
      <c r="K335" s="11">
        <f>Table1[[#This Row],[ENR]]-Table1[[#This Row],[CREDIT]]</f>
        <v>10241.779999999999</v>
      </c>
      <c r="L335" s="43">
        <v>64000</v>
      </c>
      <c r="M335" s="52">
        <v>74241.78</v>
      </c>
      <c r="N335" s="44" t="s">
        <v>43</v>
      </c>
      <c r="O335" s="29">
        <v>74241.78</v>
      </c>
      <c r="P335" s="29">
        <v>64042.63</v>
      </c>
      <c r="Q335" s="29">
        <v>25910</v>
      </c>
      <c r="R335" s="29">
        <v>14310</v>
      </c>
      <c r="S335" s="11" t="s">
        <v>58</v>
      </c>
      <c r="T335" s="11" t="s">
        <v>14</v>
      </c>
      <c r="U335" s="29">
        <v>14310</v>
      </c>
      <c r="V335" s="29">
        <f>Table1[[#This Row],[STAB]]-Table1[[#This Row],[AMOUNT]]</f>
        <v>0</v>
      </c>
      <c r="W335" s="11">
        <v>0</v>
      </c>
      <c r="X335" s="11" t="s">
        <v>1526</v>
      </c>
      <c r="Y335" s="11" t="s">
        <v>1085</v>
      </c>
      <c r="Z335" s="11" t="s">
        <v>88</v>
      </c>
      <c r="AA335" s="11" t="s">
        <v>91</v>
      </c>
      <c r="AB335" s="11" t="s">
        <v>3139</v>
      </c>
      <c r="AC335" s="11" t="s">
        <v>1968</v>
      </c>
      <c r="AD335" s="11" t="s">
        <v>2065</v>
      </c>
      <c r="AE335" s="11" t="s">
        <v>429</v>
      </c>
      <c r="AF335" s="11" t="s">
        <v>54</v>
      </c>
      <c r="AG335" s="11" t="s">
        <v>95</v>
      </c>
      <c r="AH335" s="11" t="s">
        <v>465</v>
      </c>
      <c r="AI335" s="11">
        <v>802823175</v>
      </c>
      <c r="AJ335" s="11" t="s">
        <v>191</v>
      </c>
      <c r="AK335" s="11"/>
      <c r="AL335" s="11"/>
      <c r="AM335" s="12" t="s">
        <v>64</v>
      </c>
      <c r="AN335" s="11" t="s">
        <v>115</v>
      </c>
      <c r="AO335" s="11" t="s">
        <v>2474</v>
      </c>
      <c r="AP335" s="11" t="s">
        <v>2296</v>
      </c>
      <c r="AQ335" s="3">
        <v>45940</v>
      </c>
      <c r="AR335" s="11">
        <v>2900</v>
      </c>
      <c r="AS335" s="11" t="s">
        <v>430</v>
      </c>
      <c r="AT335" s="11" t="s">
        <v>2152</v>
      </c>
      <c r="AU335" s="2">
        <v>46176</v>
      </c>
    </row>
    <row r="336" spans="1:47" x14ac:dyDescent="0.25">
      <c r="A336" s="10" t="s">
        <v>1749</v>
      </c>
      <c r="B336" s="11" t="s">
        <v>1846</v>
      </c>
      <c r="C336" s="11">
        <v>0</v>
      </c>
      <c r="D336" s="11" t="s">
        <v>108</v>
      </c>
      <c r="E336" s="11"/>
      <c r="F336" s="11"/>
      <c r="G336" s="11" t="s">
        <v>52</v>
      </c>
      <c r="H336" s="11">
        <v>16</v>
      </c>
      <c r="I336" s="11" t="s">
        <v>1943</v>
      </c>
      <c r="J336" s="11" t="s">
        <v>42</v>
      </c>
      <c r="K336" s="11">
        <f>Table1[[#This Row],[ENR]]-Table1[[#This Row],[CREDIT]]</f>
        <v>3451.820000000007</v>
      </c>
      <c r="L336" s="43">
        <v>65000</v>
      </c>
      <c r="M336" s="30">
        <v>68451.820000000007</v>
      </c>
      <c r="N336" s="44">
        <v>54440.18</v>
      </c>
      <c r="O336" s="29">
        <v>14011.64</v>
      </c>
      <c r="P336" s="29">
        <v>10049.700000000001</v>
      </c>
      <c r="Q336" s="29">
        <v>14011.64</v>
      </c>
      <c r="R336" s="29">
        <v>6358.42</v>
      </c>
      <c r="S336" s="11" t="s">
        <v>58</v>
      </c>
      <c r="T336" s="11" t="s">
        <v>13</v>
      </c>
      <c r="U336" s="11">
        <v>14011.64</v>
      </c>
      <c r="V336" s="29">
        <f>Table1[[#This Row],[STAB]]-Table1[[#This Row],[AMOUNT]]</f>
        <v>-7653.2199999999993</v>
      </c>
      <c r="W336" s="11" t="s">
        <v>3191</v>
      </c>
      <c r="X336" s="11" t="s">
        <v>444</v>
      </c>
      <c r="Y336" s="11" t="s">
        <v>760</v>
      </c>
      <c r="Z336" s="11" t="s">
        <v>88</v>
      </c>
      <c r="AA336" s="11" t="s">
        <v>91</v>
      </c>
      <c r="AB336" s="11" t="s">
        <v>3140</v>
      </c>
      <c r="AC336" s="11" t="s">
        <v>2040</v>
      </c>
      <c r="AD336" s="11" t="s">
        <v>2129</v>
      </c>
      <c r="AE336" s="11" t="s">
        <v>421</v>
      </c>
      <c r="AF336" s="11" t="s">
        <v>54</v>
      </c>
      <c r="AG336" s="11" t="s">
        <v>119</v>
      </c>
      <c r="AH336" s="11" t="s">
        <v>626</v>
      </c>
      <c r="AI336" s="11">
        <v>802663344</v>
      </c>
      <c r="AJ336" s="11" t="s">
        <v>191</v>
      </c>
      <c r="AK336" s="11"/>
      <c r="AL336" s="11"/>
      <c r="AM336" s="12" t="s">
        <v>64</v>
      </c>
      <c r="AN336" s="11" t="s">
        <v>115</v>
      </c>
      <c r="AO336" s="11" t="s">
        <v>3137</v>
      </c>
      <c r="AP336" s="11" t="s">
        <v>3119</v>
      </c>
      <c r="AQ336" s="3">
        <v>45869</v>
      </c>
      <c r="AR336" s="11">
        <v>13300</v>
      </c>
      <c r="AS336" s="11" t="s">
        <v>430</v>
      </c>
      <c r="AT336" s="11" t="s">
        <v>2152</v>
      </c>
      <c r="AU336" s="2">
        <v>46176</v>
      </c>
    </row>
    <row r="337" spans="1:47" x14ac:dyDescent="0.25">
      <c r="A337" s="10" t="s">
        <v>1676</v>
      </c>
      <c r="B337" s="11" t="s">
        <v>1773</v>
      </c>
      <c r="C337" s="11">
        <v>0</v>
      </c>
      <c r="D337" s="11" t="s">
        <v>108</v>
      </c>
      <c r="E337" s="11"/>
      <c r="F337" s="11"/>
      <c r="G337" s="11" t="s">
        <v>52</v>
      </c>
      <c r="H337" s="11">
        <v>16</v>
      </c>
      <c r="I337" s="11" t="s">
        <v>1870</v>
      </c>
      <c r="J337" s="11" t="s">
        <v>42</v>
      </c>
      <c r="K337" s="11">
        <f>Table1[[#This Row],[ENR]]-Table1[[#This Row],[CREDIT]]</f>
        <v>7810.8000000000029</v>
      </c>
      <c r="L337" s="43">
        <v>60000</v>
      </c>
      <c r="M337" s="30">
        <v>67810.8</v>
      </c>
      <c r="N337" s="44" t="s">
        <v>43</v>
      </c>
      <c r="O337" s="29">
        <v>67810.8</v>
      </c>
      <c r="P337" s="29">
        <v>55928.44</v>
      </c>
      <c r="Q337" s="29">
        <v>24620</v>
      </c>
      <c r="R337" s="29">
        <v>11999.63</v>
      </c>
      <c r="S337" s="11" t="s">
        <v>58</v>
      </c>
      <c r="T337" s="11" t="s">
        <v>13</v>
      </c>
      <c r="U337" s="11">
        <v>40485</v>
      </c>
      <c r="V337" s="29">
        <f>Table1[[#This Row],[STAB]]-Table1[[#This Row],[AMOUNT]]</f>
        <v>-28485.370000000003</v>
      </c>
      <c r="W337" s="11" t="s">
        <v>2172</v>
      </c>
      <c r="X337" s="11" t="s">
        <v>444</v>
      </c>
      <c r="Y337" s="11" t="s">
        <v>759</v>
      </c>
      <c r="Z337" s="11" t="s">
        <v>88</v>
      </c>
      <c r="AA337" s="11" t="s">
        <v>91</v>
      </c>
      <c r="AB337" s="11" t="s">
        <v>3139</v>
      </c>
      <c r="AC337" s="11" t="s">
        <v>1967</v>
      </c>
      <c r="AD337" s="11" t="s">
        <v>2064</v>
      </c>
      <c r="AE337" s="11" t="s">
        <v>133</v>
      </c>
      <c r="AF337" s="11" t="s">
        <v>54</v>
      </c>
      <c r="AG337" s="11" t="s">
        <v>1658</v>
      </c>
      <c r="AH337" s="11" t="s">
        <v>85</v>
      </c>
      <c r="AI337" s="11">
        <v>801772794</v>
      </c>
      <c r="AJ337" s="11" t="s">
        <v>192</v>
      </c>
      <c r="AK337" s="11"/>
      <c r="AL337" s="11"/>
      <c r="AM337" s="12" t="s">
        <v>64</v>
      </c>
      <c r="AN337" s="11"/>
      <c r="AO337" s="11"/>
      <c r="AP337" s="11"/>
      <c r="AQ337" s="3">
        <v>46087</v>
      </c>
      <c r="AR337" s="11">
        <v>709.67</v>
      </c>
      <c r="AS337" s="11" t="s">
        <v>144</v>
      </c>
      <c r="AT337" s="11" t="s">
        <v>2152</v>
      </c>
      <c r="AU337" s="2">
        <v>46176</v>
      </c>
    </row>
    <row r="338" spans="1:47" x14ac:dyDescent="0.25">
      <c r="A338" s="10" t="s">
        <v>1726</v>
      </c>
      <c r="B338" s="11" t="s">
        <v>1823</v>
      </c>
      <c r="C338" s="11">
        <v>0</v>
      </c>
      <c r="D338" s="11" t="s">
        <v>108</v>
      </c>
      <c r="E338" s="11"/>
      <c r="F338" s="11"/>
      <c r="G338" s="11" t="s">
        <v>52</v>
      </c>
      <c r="H338" s="11">
        <v>16</v>
      </c>
      <c r="I338" s="11" t="s">
        <v>1920</v>
      </c>
      <c r="J338" s="11" t="s">
        <v>42</v>
      </c>
      <c r="K338" s="11">
        <f>Table1[[#This Row],[ENR]]-Table1[[#This Row],[CREDIT]]</f>
        <v>6929.3300000000017</v>
      </c>
      <c r="L338" s="43">
        <v>60000</v>
      </c>
      <c r="M338" s="30">
        <v>66929.33</v>
      </c>
      <c r="N338" s="44" t="s">
        <v>43</v>
      </c>
      <c r="O338" s="29">
        <v>66929.33</v>
      </c>
      <c r="P338" s="29">
        <v>59993.52</v>
      </c>
      <c r="Q338" s="29">
        <v>21280</v>
      </c>
      <c r="R338" s="29">
        <v>6020</v>
      </c>
      <c r="S338" s="11" t="s">
        <v>58</v>
      </c>
      <c r="T338" s="11" t="s">
        <v>13</v>
      </c>
      <c r="U338" s="11">
        <v>21280</v>
      </c>
      <c r="V338" s="29">
        <f>Table1[[#This Row],[STAB]]-Table1[[#This Row],[AMOUNT]]</f>
        <v>-15260</v>
      </c>
      <c r="W338" s="11" t="s">
        <v>3119</v>
      </c>
      <c r="X338" s="11" t="s">
        <v>451</v>
      </c>
      <c r="Y338" s="11" t="s">
        <v>760</v>
      </c>
      <c r="Z338" s="11" t="s">
        <v>88</v>
      </c>
      <c r="AA338" s="11" t="s">
        <v>91</v>
      </c>
      <c r="AB338" s="11" t="s">
        <v>3139</v>
      </c>
      <c r="AC338" s="11" t="s">
        <v>2017</v>
      </c>
      <c r="AD338" s="11" t="s">
        <v>2113</v>
      </c>
      <c r="AE338" s="11" t="s">
        <v>429</v>
      </c>
      <c r="AF338" s="11" t="s">
        <v>54</v>
      </c>
      <c r="AG338" s="11" t="s">
        <v>95</v>
      </c>
      <c r="AH338" s="11" t="s">
        <v>465</v>
      </c>
      <c r="AI338" s="11">
        <v>802823175</v>
      </c>
      <c r="AJ338" s="11" t="s">
        <v>191</v>
      </c>
      <c r="AK338" s="11"/>
      <c r="AL338" s="11"/>
      <c r="AM338" s="12" t="s">
        <v>64</v>
      </c>
      <c r="AN338" s="11"/>
      <c r="AO338" s="11"/>
      <c r="AP338" s="11"/>
      <c r="AQ338" s="3">
        <v>45483</v>
      </c>
      <c r="AR338" s="11">
        <v>8000</v>
      </c>
      <c r="AS338" s="11" t="s">
        <v>430</v>
      </c>
      <c r="AT338" s="11" t="s">
        <v>2152</v>
      </c>
      <c r="AU338" s="2">
        <v>46176</v>
      </c>
    </row>
    <row r="339" spans="1:47" x14ac:dyDescent="0.25">
      <c r="A339" s="10" t="s">
        <v>1747</v>
      </c>
      <c r="B339" s="11" t="s">
        <v>1844</v>
      </c>
      <c r="C339" s="11">
        <v>0</v>
      </c>
      <c r="D339" s="11" t="s">
        <v>108</v>
      </c>
      <c r="E339" s="11"/>
      <c r="F339" s="11"/>
      <c r="G339" s="11" t="s">
        <v>52</v>
      </c>
      <c r="H339" s="11">
        <v>16</v>
      </c>
      <c r="I339" s="11" t="s">
        <v>1941</v>
      </c>
      <c r="J339" s="11" t="s">
        <v>42</v>
      </c>
      <c r="K339" s="11">
        <f>Table1[[#This Row],[ENR]]-Table1[[#This Row],[CREDIT]]</f>
        <v>6895.6900000000023</v>
      </c>
      <c r="L339" s="43">
        <v>60000</v>
      </c>
      <c r="M339" s="30">
        <v>66895.69</v>
      </c>
      <c r="N339" s="44" t="s">
        <v>43</v>
      </c>
      <c r="O339" s="29">
        <v>66895.69</v>
      </c>
      <c r="P339" s="29">
        <v>57574.879999999997</v>
      </c>
      <c r="Q339" s="29">
        <v>26400</v>
      </c>
      <c r="R339" s="29">
        <v>15890</v>
      </c>
      <c r="S339" s="11" t="s">
        <v>44</v>
      </c>
      <c r="T339" s="11" t="s">
        <v>45</v>
      </c>
      <c r="U339" s="11">
        <v>0</v>
      </c>
      <c r="V339" s="29">
        <f>Table1[[#This Row],[STAB]]-Table1[[#This Row],[AMOUNT]]</f>
        <v>15890</v>
      </c>
      <c r="W339" s="11">
        <v>0</v>
      </c>
      <c r="X339" s="11" t="s">
        <v>83</v>
      </c>
      <c r="Y339" s="11">
        <v>0</v>
      </c>
      <c r="Z339" s="11" t="s">
        <v>88</v>
      </c>
      <c r="AA339" s="11" t="s">
        <v>91</v>
      </c>
      <c r="AB339" s="11" t="s">
        <v>3139</v>
      </c>
      <c r="AC339" s="11" t="s">
        <v>2038</v>
      </c>
      <c r="AD339" s="11" t="s">
        <v>2127</v>
      </c>
      <c r="AE339" s="11" t="s">
        <v>123</v>
      </c>
      <c r="AF339" s="11" t="s">
        <v>127</v>
      </c>
      <c r="AG339" s="11" t="s">
        <v>96</v>
      </c>
      <c r="AH339" s="11" t="s">
        <v>461</v>
      </c>
      <c r="AI339" s="11">
        <v>801436997</v>
      </c>
      <c r="AJ339" s="11" t="s">
        <v>190</v>
      </c>
      <c r="AK339" s="11"/>
      <c r="AL339" s="11"/>
      <c r="AM339" s="12" t="s">
        <v>64</v>
      </c>
      <c r="AN339" s="11" t="s">
        <v>446</v>
      </c>
      <c r="AO339" s="11" t="s">
        <v>3208</v>
      </c>
      <c r="AP339" s="11" t="s">
        <v>3206</v>
      </c>
      <c r="AQ339" s="3">
        <v>45477</v>
      </c>
      <c r="AR339" s="11">
        <v>62463.02</v>
      </c>
      <c r="AS339" s="11" t="s">
        <v>430</v>
      </c>
      <c r="AT339" s="11" t="s">
        <v>2152</v>
      </c>
      <c r="AU339" s="2">
        <v>46176</v>
      </c>
    </row>
    <row r="340" spans="1:47" x14ac:dyDescent="0.25">
      <c r="A340" s="10" t="s">
        <v>1738</v>
      </c>
      <c r="B340" s="11" t="s">
        <v>1835</v>
      </c>
      <c r="C340" s="11">
        <v>0</v>
      </c>
      <c r="D340" s="11" t="s">
        <v>108</v>
      </c>
      <c r="E340" s="11"/>
      <c r="F340" s="11"/>
      <c r="G340" s="11" t="s">
        <v>52</v>
      </c>
      <c r="H340" s="11">
        <v>16</v>
      </c>
      <c r="I340" s="11" t="s">
        <v>1932</v>
      </c>
      <c r="J340" s="11" t="s">
        <v>42</v>
      </c>
      <c r="K340" s="11">
        <f>Table1[[#This Row],[ENR]]-Table1[[#This Row],[CREDIT]]</f>
        <v>6277.0199999999968</v>
      </c>
      <c r="L340" s="43">
        <v>50000</v>
      </c>
      <c r="M340" s="30">
        <v>56277.02</v>
      </c>
      <c r="N340" s="44" t="s">
        <v>43</v>
      </c>
      <c r="O340" s="29">
        <v>56277.02</v>
      </c>
      <c r="P340" s="29">
        <v>47002.400000000001</v>
      </c>
      <c r="Q340" s="29">
        <v>19740</v>
      </c>
      <c r="R340" s="29">
        <v>9220</v>
      </c>
      <c r="S340" s="11" t="s">
        <v>58</v>
      </c>
      <c r="T340" s="11" t="s">
        <v>14</v>
      </c>
      <c r="U340" s="29">
        <v>9300</v>
      </c>
      <c r="V340" s="29">
        <f>Table1[[#This Row],[STAB]]-Table1[[#This Row],[AMOUNT]]</f>
        <v>-80</v>
      </c>
      <c r="W340" s="11" t="s">
        <v>3206</v>
      </c>
      <c r="X340" s="11" t="s">
        <v>444</v>
      </c>
      <c r="Y340" s="11" t="s">
        <v>1085</v>
      </c>
      <c r="Z340" s="11" t="s">
        <v>88</v>
      </c>
      <c r="AA340" s="11" t="s">
        <v>91</v>
      </c>
      <c r="AB340" s="11" t="s">
        <v>3139</v>
      </c>
      <c r="AC340" s="11" t="s">
        <v>2029</v>
      </c>
      <c r="AD340" s="11" t="s">
        <v>2029</v>
      </c>
      <c r="AE340" s="11" t="s">
        <v>2148</v>
      </c>
      <c r="AF340" s="11" t="s">
        <v>53</v>
      </c>
      <c r="AG340" s="11" t="s">
        <v>55</v>
      </c>
      <c r="AH340" s="11" t="s">
        <v>468</v>
      </c>
      <c r="AI340" s="11">
        <v>802030802</v>
      </c>
      <c r="AJ340" s="11" t="s">
        <v>458</v>
      </c>
      <c r="AK340" s="11"/>
      <c r="AL340" s="11"/>
      <c r="AM340" s="12" t="s">
        <v>64</v>
      </c>
      <c r="AN340" s="11" t="s">
        <v>115</v>
      </c>
      <c r="AO340" s="11" t="s">
        <v>3176</v>
      </c>
      <c r="AP340" s="11" t="s">
        <v>3169</v>
      </c>
      <c r="AQ340" s="3">
        <v>46128</v>
      </c>
      <c r="AR340" s="11">
        <v>2500</v>
      </c>
      <c r="AS340" s="11" t="s">
        <v>2151</v>
      </c>
      <c r="AT340" s="11" t="s">
        <v>2152</v>
      </c>
      <c r="AU340" s="2">
        <v>46176</v>
      </c>
    </row>
    <row r="341" spans="1:47" x14ac:dyDescent="0.25">
      <c r="A341" s="10" t="s">
        <v>1675</v>
      </c>
      <c r="B341" s="11" t="s">
        <v>1772</v>
      </c>
      <c r="C341" s="11">
        <v>0</v>
      </c>
      <c r="D341" s="11" t="s">
        <v>108</v>
      </c>
      <c r="E341" s="11"/>
      <c r="F341" s="11"/>
      <c r="G341" s="11" t="s">
        <v>52</v>
      </c>
      <c r="H341" s="11">
        <v>16</v>
      </c>
      <c r="I341" s="11" t="s">
        <v>1869</v>
      </c>
      <c r="J341" s="11" t="s">
        <v>42</v>
      </c>
      <c r="K341" s="11">
        <f>Table1[[#This Row],[ENR]]-Table1[[#This Row],[CREDIT]]</f>
        <v>6251.6900000000023</v>
      </c>
      <c r="L341" s="43">
        <v>50000</v>
      </c>
      <c r="M341" s="30">
        <v>56251.69</v>
      </c>
      <c r="N341" s="44" t="s">
        <v>43</v>
      </c>
      <c r="O341" s="29">
        <v>56251.69</v>
      </c>
      <c r="P341" s="29">
        <v>49579.35</v>
      </c>
      <c r="Q341" s="29">
        <v>32070</v>
      </c>
      <c r="R341" s="29">
        <v>19809.29</v>
      </c>
      <c r="S341" s="11" t="s">
        <v>44</v>
      </c>
      <c r="T341" s="11" t="s">
        <v>45</v>
      </c>
      <c r="U341" s="11">
        <v>0</v>
      </c>
      <c r="V341" s="29">
        <f>Table1[[#This Row],[STAB]]-Table1[[#This Row],[AMOUNT]]</f>
        <v>19809.29</v>
      </c>
      <c r="W341" s="11">
        <v>0</v>
      </c>
      <c r="X341" s="11" t="s">
        <v>83</v>
      </c>
      <c r="Y341" s="11">
        <v>0</v>
      </c>
      <c r="Z341" s="11" t="s">
        <v>88</v>
      </c>
      <c r="AA341" s="11" t="s">
        <v>91</v>
      </c>
      <c r="AB341" s="11" t="s">
        <v>3139</v>
      </c>
      <c r="AC341" s="11" t="s">
        <v>1966</v>
      </c>
      <c r="AD341" s="11" t="s">
        <v>2063</v>
      </c>
      <c r="AE341" s="11" t="s">
        <v>218</v>
      </c>
      <c r="AF341" s="11" t="s">
        <v>84</v>
      </c>
      <c r="AG341" s="11" t="s">
        <v>97</v>
      </c>
      <c r="AH341" s="11" t="s">
        <v>88</v>
      </c>
      <c r="AI341" s="11">
        <v>801723195</v>
      </c>
      <c r="AJ341" s="11" t="s">
        <v>191</v>
      </c>
      <c r="AK341" s="11"/>
      <c r="AL341" s="11"/>
      <c r="AM341" s="12" t="s">
        <v>64</v>
      </c>
      <c r="AN341" s="11" t="s">
        <v>115</v>
      </c>
      <c r="AO341" s="11" t="s">
        <v>3247</v>
      </c>
      <c r="AP341" s="11" t="s">
        <v>3238</v>
      </c>
      <c r="AQ341" s="3">
        <v>46119</v>
      </c>
      <c r="AR341" s="11">
        <v>267</v>
      </c>
      <c r="AS341" s="11" t="s">
        <v>430</v>
      </c>
      <c r="AT341" s="11" t="s">
        <v>2152</v>
      </c>
      <c r="AU341" s="2">
        <v>46176</v>
      </c>
    </row>
    <row r="342" spans="1:47" x14ac:dyDescent="0.25">
      <c r="A342" s="10" t="s">
        <v>1722</v>
      </c>
      <c r="B342" s="11" t="s">
        <v>1819</v>
      </c>
      <c r="C342" s="11">
        <v>0</v>
      </c>
      <c r="D342" s="11" t="s">
        <v>108</v>
      </c>
      <c r="E342" s="11"/>
      <c r="F342" s="11"/>
      <c r="G342" s="11" t="s">
        <v>52</v>
      </c>
      <c r="H342" s="11">
        <v>16</v>
      </c>
      <c r="I342" s="11" t="s">
        <v>1916</v>
      </c>
      <c r="J342" s="11" t="s">
        <v>42</v>
      </c>
      <c r="K342" s="11">
        <f>Table1[[#This Row],[ENR]]-Table1[[#This Row],[CREDIT]]</f>
        <v>5742.2200000000012</v>
      </c>
      <c r="L342" s="43">
        <v>50000</v>
      </c>
      <c r="M342" s="30">
        <v>55742.22</v>
      </c>
      <c r="N342" s="44" t="s">
        <v>43</v>
      </c>
      <c r="O342" s="29">
        <v>55742.22</v>
      </c>
      <c r="P342" s="29">
        <v>49560.959999999999</v>
      </c>
      <c r="Q342" s="29">
        <v>14660</v>
      </c>
      <c r="R342" s="29">
        <v>4920</v>
      </c>
      <c r="S342" s="11" t="s">
        <v>44</v>
      </c>
      <c r="T342" s="11" t="s">
        <v>45</v>
      </c>
      <c r="U342" s="11">
        <v>0</v>
      </c>
      <c r="V342" s="29">
        <f>Table1[[#This Row],[STAB]]-Table1[[#This Row],[AMOUNT]]</f>
        <v>4920</v>
      </c>
      <c r="W342" s="11">
        <v>0</v>
      </c>
      <c r="X342" s="11" t="s">
        <v>83</v>
      </c>
      <c r="Y342" s="11">
        <v>0</v>
      </c>
      <c r="Z342" s="11" t="s">
        <v>88</v>
      </c>
      <c r="AA342" s="11" t="s">
        <v>91</v>
      </c>
      <c r="AB342" s="11" t="s">
        <v>3139</v>
      </c>
      <c r="AC342" s="11" t="s">
        <v>2013</v>
      </c>
      <c r="AD342" s="11" t="s">
        <v>2109</v>
      </c>
      <c r="AE342" s="11" t="s">
        <v>104</v>
      </c>
      <c r="AF342" s="11" t="s">
        <v>54</v>
      </c>
      <c r="AG342" s="11" t="s">
        <v>109</v>
      </c>
      <c r="AH342" s="11" t="s">
        <v>196</v>
      </c>
      <c r="AI342" s="11">
        <v>802555024</v>
      </c>
      <c r="AJ342" s="11" t="s">
        <v>99</v>
      </c>
      <c r="AK342" s="11"/>
      <c r="AL342" s="11"/>
      <c r="AM342" s="12" t="s">
        <v>46</v>
      </c>
      <c r="AN342" s="11"/>
      <c r="AO342" s="11"/>
      <c r="AP342" s="11"/>
      <c r="AQ342" s="3">
        <v>46112</v>
      </c>
      <c r="AR342" s="11">
        <v>15010</v>
      </c>
      <c r="AS342" s="11" t="s">
        <v>430</v>
      </c>
      <c r="AT342" s="11" t="s">
        <v>2152</v>
      </c>
      <c r="AU342" s="2">
        <v>46176</v>
      </c>
    </row>
    <row r="343" spans="1:47" x14ac:dyDescent="0.25">
      <c r="A343" s="10" t="s">
        <v>1673</v>
      </c>
      <c r="B343" s="11" t="s">
        <v>1770</v>
      </c>
      <c r="C343" s="11">
        <v>0</v>
      </c>
      <c r="D343" s="11" t="s">
        <v>108</v>
      </c>
      <c r="E343" s="11"/>
      <c r="F343" s="11"/>
      <c r="G343" s="11" t="s">
        <v>52</v>
      </c>
      <c r="H343" s="11">
        <v>16</v>
      </c>
      <c r="I343" s="11" t="s">
        <v>1867</v>
      </c>
      <c r="J343" s="11" t="s">
        <v>42</v>
      </c>
      <c r="K343" s="11">
        <f>Table1[[#This Row],[ENR]]-Table1[[#This Row],[CREDIT]]</f>
        <v>-47448.59</v>
      </c>
      <c r="L343" s="43">
        <v>100000</v>
      </c>
      <c r="M343" s="30">
        <v>52551.41</v>
      </c>
      <c r="N343" s="44">
        <v>1202.5999999999999</v>
      </c>
      <c r="O343" s="29">
        <v>51348.81</v>
      </c>
      <c r="P343" s="29">
        <v>34588.58</v>
      </c>
      <c r="Q343" s="29">
        <v>27360</v>
      </c>
      <c r="R343" s="29">
        <v>21610</v>
      </c>
      <c r="S343" s="11" t="s">
        <v>44</v>
      </c>
      <c r="T343" s="11" t="s">
        <v>45</v>
      </c>
      <c r="U343" s="11">
        <v>0</v>
      </c>
      <c r="V343" s="29">
        <f>Table1[[#This Row],[STAB]]-Table1[[#This Row],[AMOUNT]]</f>
        <v>21610</v>
      </c>
      <c r="W343" s="11">
        <v>0</v>
      </c>
      <c r="X343" s="11" t="s">
        <v>83</v>
      </c>
      <c r="Y343" s="11">
        <v>0</v>
      </c>
      <c r="Z343" s="11" t="s">
        <v>88</v>
      </c>
      <c r="AA343" s="11" t="s">
        <v>91</v>
      </c>
      <c r="AB343" s="11" t="s">
        <v>3139</v>
      </c>
      <c r="AC343" s="11" t="s">
        <v>1964</v>
      </c>
      <c r="AD343" s="11" t="s">
        <v>2061</v>
      </c>
      <c r="AE343" s="11" t="s">
        <v>100</v>
      </c>
      <c r="AF343" s="11" t="s">
        <v>54</v>
      </c>
      <c r="AG343" s="11" t="s">
        <v>147</v>
      </c>
      <c r="AH343" s="11" t="s">
        <v>460</v>
      </c>
      <c r="AI343" s="11">
        <v>802913252</v>
      </c>
      <c r="AJ343" s="11" t="s">
        <v>190</v>
      </c>
      <c r="AK343" s="11"/>
      <c r="AL343" s="11"/>
      <c r="AM343" s="12" t="s">
        <v>64</v>
      </c>
      <c r="AN343" s="11" t="s">
        <v>115</v>
      </c>
      <c r="AO343" s="11" t="s">
        <v>3130</v>
      </c>
      <c r="AP343" s="11" t="s">
        <v>3119</v>
      </c>
      <c r="AQ343" s="3">
        <v>45903</v>
      </c>
      <c r="AR343" s="11">
        <v>1246.8399999999999</v>
      </c>
      <c r="AS343" s="11" t="s">
        <v>2149</v>
      </c>
      <c r="AT343" s="11" t="s">
        <v>2152</v>
      </c>
      <c r="AU343" s="2">
        <v>46176</v>
      </c>
    </row>
    <row r="344" spans="1:47" x14ac:dyDescent="0.25">
      <c r="A344" s="10" t="s">
        <v>3446</v>
      </c>
      <c r="B344" s="11" t="s">
        <v>3452</v>
      </c>
      <c r="C344" s="11">
        <v>0</v>
      </c>
      <c r="D344" s="11" t="s">
        <v>3451</v>
      </c>
      <c r="E344" s="11"/>
      <c r="F344" s="11"/>
      <c r="G344" s="11" t="s">
        <v>52</v>
      </c>
      <c r="H344" s="11">
        <v>17</v>
      </c>
      <c r="I344" s="11" t="s">
        <v>3457</v>
      </c>
      <c r="J344" s="11"/>
      <c r="K344" s="11">
        <f>Table1[[#This Row],[ENR]]-Table1[[#This Row],[CREDIT]]</f>
        <v>134252.70000000001</v>
      </c>
      <c r="L344" s="43"/>
      <c r="M344" s="30">
        <v>134252.70000000001</v>
      </c>
      <c r="N344" s="44"/>
      <c r="O344" s="29"/>
      <c r="P344" s="29"/>
      <c r="Q344" s="11">
        <v>39880</v>
      </c>
      <c r="R344" s="29">
        <v>15530</v>
      </c>
      <c r="S344" s="11" t="s">
        <v>44</v>
      </c>
      <c r="T344" s="11" t="s">
        <v>45</v>
      </c>
      <c r="U344" s="11">
        <v>0</v>
      </c>
      <c r="V344" s="29">
        <f>Table1[[#This Row],[STAB]]-Table1[[#This Row],[AMOUNT]]</f>
        <v>15530</v>
      </c>
      <c r="W344" s="11">
        <v>0</v>
      </c>
      <c r="X344" s="11" t="s">
        <v>83</v>
      </c>
      <c r="Y344" s="11">
        <v>0</v>
      </c>
      <c r="Z344" s="11" t="s">
        <v>85</v>
      </c>
      <c r="AA344" s="11"/>
      <c r="AB344" s="11"/>
      <c r="AC344" s="11"/>
      <c r="AD344" s="11"/>
      <c r="AE344" s="11" t="s">
        <v>429</v>
      </c>
      <c r="AF344" s="11" t="s">
        <v>54</v>
      </c>
      <c r="AG344" s="11" t="s">
        <v>83</v>
      </c>
      <c r="AH344" s="11" t="s">
        <v>193</v>
      </c>
      <c r="AI344" s="11">
        <v>802824019</v>
      </c>
      <c r="AJ344" s="11" t="s">
        <v>189</v>
      </c>
      <c r="AK344" s="11"/>
      <c r="AL344" s="11"/>
      <c r="AM344" s="12" t="s">
        <v>46</v>
      </c>
      <c r="AN344" s="11"/>
      <c r="AO344" s="11"/>
      <c r="AP344" s="11"/>
      <c r="AQ344" s="3"/>
      <c r="AR344" s="11"/>
      <c r="AS344" s="11"/>
      <c r="AT344" s="11" t="s">
        <v>3445</v>
      </c>
      <c r="AU344" s="2"/>
    </row>
    <row r="345" spans="1:47" x14ac:dyDescent="0.25">
      <c r="A345" s="10" t="s">
        <v>1610</v>
      </c>
      <c r="B345" s="11" t="s">
        <v>1616</v>
      </c>
      <c r="C345" s="11">
        <v>0</v>
      </c>
      <c r="D345" s="11" t="s">
        <v>108</v>
      </c>
      <c r="E345" s="11"/>
      <c r="F345" s="11"/>
      <c r="G345" s="11" t="s">
        <v>52</v>
      </c>
      <c r="H345" s="11">
        <v>18</v>
      </c>
      <c r="I345" s="11" t="s">
        <v>1622</v>
      </c>
      <c r="J345" s="11" t="s">
        <v>42</v>
      </c>
      <c r="K345" s="11">
        <f>Table1[[#This Row],[ENR]]-Table1[[#This Row],[CREDIT]]</f>
        <v>89762.189999999944</v>
      </c>
      <c r="L345" s="43">
        <v>953000</v>
      </c>
      <c r="M345" s="30">
        <v>1042762.19</v>
      </c>
      <c r="N345" s="44" t="s">
        <v>43</v>
      </c>
      <c r="O345" s="29">
        <v>1042762.19</v>
      </c>
      <c r="P345" s="29">
        <v>947000.82</v>
      </c>
      <c r="Q345" s="29">
        <v>271540</v>
      </c>
      <c r="R345" s="29">
        <v>45423</v>
      </c>
      <c r="S345" s="11" t="s">
        <v>44</v>
      </c>
      <c r="T345" s="11" t="s">
        <v>45</v>
      </c>
      <c r="U345" s="11">
        <v>0</v>
      </c>
      <c r="V345" s="29">
        <f>Table1[[#This Row],[STAB]]-Table1[[#This Row],[AMOUNT]]</f>
        <v>45423</v>
      </c>
      <c r="W345" s="11">
        <v>0</v>
      </c>
      <c r="X345" s="11" t="s">
        <v>83</v>
      </c>
      <c r="Y345" s="11">
        <v>0</v>
      </c>
      <c r="Z345" s="12" t="s">
        <v>85</v>
      </c>
      <c r="AA345" s="12" t="s">
        <v>613</v>
      </c>
      <c r="AB345" s="11" t="s">
        <v>3139</v>
      </c>
      <c r="AC345" s="11" t="s">
        <v>1628</v>
      </c>
      <c r="AD345" s="11" t="s">
        <v>1634</v>
      </c>
      <c r="AE345" s="11" t="s">
        <v>427</v>
      </c>
      <c r="AF345" s="11" t="s">
        <v>53</v>
      </c>
      <c r="AG345" s="11" t="s">
        <v>55</v>
      </c>
      <c r="AH345" s="11" t="s">
        <v>468</v>
      </c>
      <c r="AI345" s="11">
        <v>802030802</v>
      </c>
      <c r="AJ345" s="11" t="s">
        <v>458</v>
      </c>
      <c r="AK345" s="11"/>
      <c r="AL345" s="11"/>
      <c r="AM345" s="12" t="s">
        <v>64</v>
      </c>
      <c r="AN345" s="11" t="s">
        <v>221</v>
      </c>
      <c r="AO345" s="11" t="s">
        <v>3481</v>
      </c>
      <c r="AP345" s="11" t="s">
        <v>3473</v>
      </c>
      <c r="AQ345" s="3">
        <v>46146</v>
      </c>
      <c r="AR345" s="11">
        <v>497</v>
      </c>
      <c r="AS345" s="11" t="s">
        <v>1639</v>
      </c>
      <c r="AT345" s="11" t="s">
        <v>1602</v>
      </c>
      <c r="AU345" s="2">
        <v>46178</v>
      </c>
    </row>
    <row r="346" spans="1:47" x14ac:dyDescent="0.25">
      <c r="A346" s="10" t="s">
        <v>1614</v>
      </c>
      <c r="B346" s="11" t="s">
        <v>1620</v>
      </c>
      <c r="C346" s="11">
        <v>0</v>
      </c>
      <c r="D346" s="11" t="s">
        <v>108</v>
      </c>
      <c r="E346" s="11">
        <v>1</v>
      </c>
      <c r="F346" s="11"/>
      <c r="G346" s="11" t="s">
        <v>52</v>
      </c>
      <c r="H346" s="11">
        <v>18</v>
      </c>
      <c r="I346" s="11" t="s">
        <v>1626</v>
      </c>
      <c r="J346" s="11" t="s">
        <v>42</v>
      </c>
      <c r="K346" s="11">
        <f>Table1[[#This Row],[ENR]]-Table1[[#This Row],[CREDIT]]</f>
        <v>74250.760000000009</v>
      </c>
      <c r="L346" s="43">
        <v>730000</v>
      </c>
      <c r="M346" s="30">
        <v>804250.76</v>
      </c>
      <c r="N346" s="44" t="s">
        <v>43</v>
      </c>
      <c r="O346" s="29">
        <v>804250.76</v>
      </c>
      <c r="P346" s="29">
        <v>725880.16</v>
      </c>
      <c r="Q346" s="29">
        <v>190960</v>
      </c>
      <c r="R346" s="29">
        <v>89570</v>
      </c>
      <c r="S346" s="11" t="s">
        <v>44</v>
      </c>
      <c r="T346" s="11" t="s">
        <v>45</v>
      </c>
      <c r="U346" s="11">
        <v>0</v>
      </c>
      <c r="V346" s="29">
        <f>Table1[[#This Row],[STAB]]-Table1[[#This Row],[AMOUNT]]</f>
        <v>89570</v>
      </c>
      <c r="W346" s="11">
        <v>0</v>
      </c>
      <c r="X346" s="11" t="s">
        <v>83</v>
      </c>
      <c r="Y346" s="11">
        <v>0</v>
      </c>
      <c r="Z346" s="12" t="s">
        <v>85</v>
      </c>
      <c r="AA346" s="12" t="s">
        <v>611</v>
      </c>
      <c r="AB346" s="11" t="s">
        <v>3139</v>
      </c>
      <c r="AC346" s="11" t="s">
        <v>1632</v>
      </c>
      <c r="AD346" s="11" t="s">
        <v>1638</v>
      </c>
      <c r="AE346" s="11" t="s">
        <v>603</v>
      </c>
      <c r="AF346" s="11" t="s">
        <v>53</v>
      </c>
      <c r="AG346" s="11" t="s">
        <v>89</v>
      </c>
      <c r="AH346" s="11" t="s">
        <v>193</v>
      </c>
      <c r="AI346" s="11">
        <v>802824019</v>
      </c>
      <c r="AJ346" s="11" t="s">
        <v>189</v>
      </c>
      <c r="AK346" s="11"/>
      <c r="AL346" s="11"/>
      <c r="AM346" s="12" t="s">
        <v>46</v>
      </c>
      <c r="AN346" s="11"/>
      <c r="AO346" s="11"/>
      <c r="AP346" s="11"/>
      <c r="AQ346" s="3">
        <v>46126</v>
      </c>
      <c r="AR346" s="11">
        <v>30000</v>
      </c>
      <c r="AS346" s="11" t="s">
        <v>608</v>
      </c>
      <c r="AT346" s="11" t="s">
        <v>1602</v>
      </c>
      <c r="AU346" s="2">
        <v>46178</v>
      </c>
    </row>
    <row r="347" spans="1:47" x14ac:dyDescent="0.25">
      <c r="A347" s="10" t="s">
        <v>1609</v>
      </c>
      <c r="B347" s="11" t="s">
        <v>1615</v>
      </c>
      <c r="C347" s="11">
        <v>0</v>
      </c>
      <c r="D347" s="11" t="s">
        <v>108</v>
      </c>
      <c r="E347" s="11"/>
      <c r="F347" s="11"/>
      <c r="G347" s="11" t="s">
        <v>52</v>
      </c>
      <c r="H347" s="11">
        <v>18</v>
      </c>
      <c r="I347" s="11" t="s">
        <v>1621</v>
      </c>
      <c r="J347" s="11" t="s">
        <v>42</v>
      </c>
      <c r="K347" s="11">
        <f>Table1[[#This Row],[ENR]]-Table1[[#This Row],[CREDIT]]</f>
        <v>25387.010000000009</v>
      </c>
      <c r="L347" s="43">
        <v>710000</v>
      </c>
      <c r="M347" s="30">
        <v>735387.01</v>
      </c>
      <c r="N347" s="44">
        <v>88504.18</v>
      </c>
      <c r="O347" s="29">
        <v>646882.82999999996</v>
      </c>
      <c r="P347" s="29">
        <v>597907.97</v>
      </c>
      <c r="Q347" s="29">
        <v>231380</v>
      </c>
      <c r="R347" s="29">
        <v>101590</v>
      </c>
      <c r="S347" s="11" t="s">
        <v>58</v>
      </c>
      <c r="T347" s="11" t="s">
        <v>13</v>
      </c>
      <c r="U347" s="11">
        <v>646882.82999999996</v>
      </c>
      <c r="V347" s="29">
        <f>Table1[[#This Row],[STAB]]-Table1[[#This Row],[AMOUNT]]</f>
        <v>-545292.82999999996</v>
      </c>
      <c r="W347" s="11" t="s">
        <v>3463</v>
      </c>
      <c r="X347" s="11" t="s">
        <v>444</v>
      </c>
      <c r="Y347" s="11" t="s">
        <v>759</v>
      </c>
      <c r="Z347" s="12" t="s">
        <v>85</v>
      </c>
      <c r="AA347" s="12" t="s">
        <v>612</v>
      </c>
      <c r="AB347" s="11" t="s">
        <v>3139</v>
      </c>
      <c r="AC347" s="11" t="s">
        <v>1627</v>
      </c>
      <c r="AD347" s="11" t="s">
        <v>1633</v>
      </c>
      <c r="AE347" s="11" t="s">
        <v>1071</v>
      </c>
      <c r="AF347" s="11" t="s">
        <v>53</v>
      </c>
      <c r="AG347" s="11" t="s">
        <v>55</v>
      </c>
      <c r="AH347" s="11" t="s">
        <v>468</v>
      </c>
      <c r="AI347" s="11">
        <v>802030802</v>
      </c>
      <c r="AJ347" s="11" t="s">
        <v>458</v>
      </c>
      <c r="AK347" s="11"/>
      <c r="AL347" s="11"/>
      <c r="AM347" s="12" t="s">
        <v>64</v>
      </c>
      <c r="AN347" s="11" t="s">
        <v>115</v>
      </c>
      <c r="AO347" s="11" t="s">
        <v>3160</v>
      </c>
      <c r="AP347" s="11" t="s">
        <v>3129</v>
      </c>
      <c r="AQ347" s="3">
        <v>45977</v>
      </c>
      <c r="AR347" s="11">
        <v>74750</v>
      </c>
      <c r="AS347" s="11" t="s">
        <v>1493</v>
      </c>
      <c r="AT347" s="11" t="s">
        <v>1602</v>
      </c>
      <c r="AU347" s="2">
        <v>46178</v>
      </c>
    </row>
    <row r="348" spans="1:47" x14ac:dyDescent="0.25">
      <c r="A348" s="10" t="s">
        <v>2298</v>
      </c>
      <c r="B348" s="11" t="s">
        <v>2324</v>
      </c>
      <c r="C348" s="11">
        <v>0</v>
      </c>
      <c r="D348" s="11" t="s">
        <v>108</v>
      </c>
      <c r="E348" s="11"/>
      <c r="F348" s="11"/>
      <c r="G348" s="11" t="s">
        <v>52</v>
      </c>
      <c r="H348" s="11">
        <v>18</v>
      </c>
      <c r="I348" s="11" t="s">
        <v>2349</v>
      </c>
      <c r="J348" s="11" t="s">
        <v>42</v>
      </c>
      <c r="K348" s="11">
        <f>Table1[[#This Row],[ENR]]-Table1[[#This Row],[CREDIT]]</f>
        <v>22133.989999999991</v>
      </c>
      <c r="L348" s="43">
        <v>480000</v>
      </c>
      <c r="M348" s="30">
        <v>502133.99</v>
      </c>
      <c r="N348" s="44">
        <v>274734.65000000002</v>
      </c>
      <c r="O348" s="29">
        <v>227399.34</v>
      </c>
      <c r="P348" s="29">
        <v>203368.58</v>
      </c>
      <c r="Q348" s="29">
        <v>227399.34</v>
      </c>
      <c r="R348" s="29">
        <v>49080</v>
      </c>
      <c r="S348" s="11" t="s">
        <v>44</v>
      </c>
      <c r="T348" s="11" t="s">
        <v>45</v>
      </c>
      <c r="U348" s="11">
        <v>0</v>
      </c>
      <c r="V348" s="29">
        <f>Table1[[#This Row],[STAB]]-Table1[[#This Row],[AMOUNT]]</f>
        <v>49080</v>
      </c>
      <c r="W348" s="11">
        <v>0</v>
      </c>
      <c r="X348" s="11" t="s">
        <v>83</v>
      </c>
      <c r="Y348" s="11" t="s">
        <v>759</v>
      </c>
      <c r="Z348" s="11" t="s">
        <v>85</v>
      </c>
      <c r="AA348" s="11" t="s">
        <v>612</v>
      </c>
      <c r="AB348" s="11" t="s">
        <v>3139</v>
      </c>
      <c r="AC348" s="11" t="s">
        <v>2375</v>
      </c>
      <c r="AD348" s="11" t="s">
        <v>2401</v>
      </c>
      <c r="AE348" s="11" t="s">
        <v>133</v>
      </c>
      <c r="AF348" s="11" t="s">
        <v>54</v>
      </c>
      <c r="AG348" s="11" t="s">
        <v>1658</v>
      </c>
      <c r="AH348" s="11" t="s">
        <v>85</v>
      </c>
      <c r="AI348" s="11">
        <v>801772794</v>
      </c>
      <c r="AJ348" s="11" t="s">
        <v>192</v>
      </c>
      <c r="AK348" s="11"/>
      <c r="AL348" s="11"/>
      <c r="AM348" s="12" t="s">
        <v>64</v>
      </c>
      <c r="AN348" s="11" t="s">
        <v>115</v>
      </c>
      <c r="AO348" s="11" t="s">
        <v>3231</v>
      </c>
      <c r="AP348" s="11" t="s">
        <v>3206</v>
      </c>
      <c r="AQ348" s="3">
        <v>46118</v>
      </c>
      <c r="AR348" s="11">
        <v>49300</v>
      </c>
      <c r="AS348" s="11" t="s">
        <v>47</v>
      </c>
      <c r="AT348" s="11" t="s">
        <v>2426</v>
      </c>
      <c r="AU348" s="2">
        <v>46178</v>
      </c>
    </row>
    <row r="349" spans="1:47" x14ac:dyDescent="0.25">
      <c r="A349" s="10" t="s">
        <v>1612</v>
      </c>
      <c r="B349" s="11" t="s">
        <v>1618</v>
      </c>
      <c r="C349" s="11">
        <v>0</v>
      </c>
      <c r="D349" s="11" t="s">
        <v>108</v>
      </c>
      <c r="E349" s="11"/>
      <c r="F349" s="11"/>
      <c r="G349" s="11" t="s">
        <v>52</v>
      </c>
      <c r="H349" s="11">
        <v>18</v>
      </c>
      <c r="I349" s="11" t="s">
        <v>1624</v>
      </c>
      <c r="J349" s="11" t="s">
        <v>42</v>
      </c>
      <c r="K349" s="11">
        <f>Table1[[#This Row],[ENR]]-Table1[[#This Row],[CREDIT]]</f>
        <v>-73394.989999999991</v>
      </c>
      <c r="L349" s="43">
        <v>500000</v>
      </c>
      <c r="M349" s="30">
        <v>426605.01</v>
      </c>
      <c r="N349" s="44" t="s">
        <v>43</v>
      </c>
      <c r="O349" s="29">
        <v>426605.01</v>
      </c>
      <c r="P349" s="29">
        <v>370000.41</v>
      </c>
      <c r="Q349" s="29">
        <v>78690</v>
      </c>
      <c r="R349" s="29">
        <v>32580</v>
      </c>
      <c r="S349" s="11" t="s">
        <v>58</v>
      </c>
      <c r="T349" s="11" t="s">
        <v>13</v>
      </c>
      <c r="U349" s="11">
        <v>226605</v>
      </c>
      <c r="V349" s="29">
        <f>Table1[[#This Row],[STAB]]-Table1[[#This Row],[AMOUNT]]</f>
        <v>-194025</v>
      </c>
      <c r="W349" s="11" t="s">
        <v>3169</v>
      </c>
      <c r="X349" s="11" t="s">
        <v>444</v>
      </c>
      <c r="Y349" s="11" t="s">
        <v>760</v>
      </c>
      <c r="Z349" s="11" t="s">
        <v>85</v>
      </c>
      <c r="AA349" s="11" t="s">
        <v>447</v>
      </c>
      <c r="AB349" s="11" t="s">
        <v>3141</v>
      </c>
      <c r="AC349" s="11" t="s">
        <v>1630</v>
      </c>
      <c r="AD349" s="11" t="s">
        <v>1636</v>
      </c>
      <c r="AE349" s="11" t="s">
        <v>414</v>
      </c>
      <c r="AF349" s="11" t="s">
        <v>54</v>
      </c>
      <c r="AG349" s="11" t="s">
        <v>147</v>
      </c>
      <c r="AH349" s="11" t="s">
        <v>460</v>
      </c>
      <c r="AI349" s="11">
        <v>802913252</v>
      </c>
      <c r="AJ349" s="11" t="s">
        <v>190</v>
      </c>
      <c r="AK349" s="11"/>
      <c r="AL349" s="11"/>
      <c r="AM349" s="12" t="s">
        <v>64</v>
      </c>
      <c r="AN349" s="11" t="s">
        <v>219</v>
      </c>
      <c r="AO349" s="11" t="s">
        <v>2171</v>
      </c>
      <c r="AP349" s="11" t="s">
        <v>2172</v>
      </c>
      <c r="AQ349" s="3">
        <v>45915</v>
      </c>
      <c r="AR349" s="11">
        <v>10</v>
      </c>
      <c r="AS349" s="11" t="s">
        <v>608</v>
      </c>
      <c r="AT349" s="11" t="s">
        <v>1602</v>
      </c>
      <c r="AU349" s="2">
        <v>46178</v>
      </c>
    </row>
    <row r="350" spans="1:47" x14ac:dyDescent="0.25">
      <c r="A350" s="10" t="s">
        <v>2302</v>
      </c>
      <c r="B350" s="11" t="s">
        <v>2328</v>
      </c>
      <c r="C350" s="11">
        <v>0</v>
      </c>
      <c r="D350" s="11" t="s">
        <v>108</v>
      </c>
      <c r="E350" s="11"/>
      <c r="F350" s="11"/>
      <c r="G350" s="11" t="s">
        <v>52</v>
      </c>
      <c r="H350" s="11">
        <v>18</v>
      </c>
      <c r="I350" s="11" t="s">
        <v>2353</v>
      </c>
      <c r="J350" s="11" t="s">
        <v>42</v>
      </c>
      <c r="K350" s="11">
        <f>Table1[[#This Row],[ENR]]-Table1[[#This Row],[CREDIT]]</f>
        <v>19701.260000000009</v>
      </c>
      <c r="L350" s="43">
        <v>340000</v>
      </c>
      <c r="M350" s="30">
        <v>359701.26</v>
      </c>
      <c r="N350" s="44">
        <v>166519.51</v>
      </c>
      <c r="O350" s="29">
        <v>193181.75</v>
      </c>
      <c r="P350" s="29">
        <v>173356.15</v>
      </c>
      <c r="Q350" s="29">
        <v>98140</v>
      </c>
      <c r="R350" s="29">
        <v>43190</v>
      </c>
      <c r="S350" s="11" t="s">
        <v>58</v>
      </c>
      <c r="T350" s="11" t="s">
        <v>13</v>
      </c>
      <c r="U350" s="29">
        <v>193181.75</v>
      </c>
      <c r="V350" s="29">
        <f>Table1[[#This Row],[STAB]]-Table1[[#This Row],[AMOUNT]]</f>
        <v>-149991.75</v>
      </c>
      <c r="W350" s="11" t="s">
        <v>3169</v>
      </c>
      <c r="X350" s="11" t="s">
        <v>444</v>
      </c>
      <c r="Y350" s="11" t="s">
        <v>760</v>
      </c>
      <c r="Z350" s="12" t="s">
        <v>85</v>
      </c>
      <c r="AA350" s="12" t="s">
        <v>613</v>
      </c>
      <c r="AB350" s="11" t="s">
        <v>3139</v>
      </c>
      <c r="AC350" s="11" t="s">
        <v>2379</v>
      </c>
      <c r="AD350" s="11" t="s">
        <v>2405</v>
      </c>
      <c r="AE350" s="11" t="s">
        <v>103</v>
      </c>
      <c r="AF350" s="11" t="s">
        <v>53</v>
      </c>
      <c r="AG350" s="11" t="s">
        <v>188</v>
      </c>
      <c r="AH350" s="11" t="s">
        <v>194</v>
      </c>
      <c r="AI350" s="11">
        <v>802823180</v>
      </c>
      <c r="AJ350" s="11" t="s">
        <v>191</v>
      </c>
      <c r="AK350" s="11"/>
      <c r="AL350" s="11"/>
      <c r="AM350" s="12" t="s">
        <v>64</v>
      </c>
      <c r="AN350" s="11"/>
      <c r="AO350" s="11"/>
      <c r="AP350" s="11"/>
      <c r="AQ350" s="3">
        <v>45752</v>
      </c>
      <c r="AR350" s="11">
        <v>42510.75</v>
      </c>
      <c r="AS350" s="11" t="s">
        <v>762</v>
      </c>
      <c r="AT350" s="11" t="s">
        <v>2426</v>
      </c>
      <c r="AU350" s="2">
        <v>46178</v>
      </c>
    </row>
    <row r="351" spans="1:47" x14ac:dyDescent="0.25">
      <c r="A351" s="10" t="s">
        <v>1613</v>
      </c>
      <c r="B351" s="11" t="s">
        <v>1619</v>
      </c>
      <c r="C351" s="11">
        <v>0</v>
      </c>
      <c r="D351" s="11" t="s">
        <v>108</v>
      </c>
      <c r="E351" s="11"/>
      <c r="F351" s="11"/>
      <c r="G351" s="11" t="s">
        <v>52</v>
      </c>
      <c r="H351" s="11">
        <v>18</v>
      </c>
      <c r="I351" s="11" t="s">
        <v>1625</v>
      </c>
      <c r="J351" s="11" t="s">
        <v>42</v>
      </c>
      <c r="K351" s="11">
        <f>Table1[[#This Row],[ENR]]-Table1[[#This Row],[CREDIT]]</f>
        <v>24801.659999999974</v>
      </c>
      <c r="L351" s="43">
        <v>320000</v>
      </c>
      <c r="M351" s="30">
        <v>344801.66</v>
      </c>
      <c r="N351" s="44" t="s">
        <v>43</v>
      </c>
      <c r="O351" s="29">
        <v>344801.66</v>
      </c>
      <c r="P351" s="29">
        <v>316187.5</v>
      </c>
      <c r="Q351" s="29">
        <v>83020</v>
      </c>
      <c r="R351" s="29">
        <v>19500</v>
      </c>
      <c r="S351" s="11" t="s">
        <v>58</v>
      </c>
      <c r="T351" s="11" t="s">
        <v>13</v>
      </c>
      <c r="U351" s="11">
        <v>344801.66</v>
      </c>
      <c r="V351" s="29">
        <f>Table1[[#This Row],[STAB]]-Table1[[#This Row],[AMOUNT]]</f>
        <v>-325301.65999999997</v>
      </c>
      <c r="W351" s="11" t="s">
        <v>1667</v>
      </c>
      <c r="X351" s="11" t="s">
        <v>444</v>
      </c>
      <c r="Y351" s="11" t="s">
        <v>760</v>
      </c>
      <c r="Z351" s="11" t="s">
        <v>85</v>
      </c>
      <c r="AA351" s="11" t="s">
        <v>612</v>
      </c>
      <c r="AB351" s="11" t="s">
        <v>3139</v>
      </c>
      <c r="AC351" s="11" t="s">
        <v>1631</v>
      </c>
      <c r="AD351" s="11" t="s">
        <v>1637</v>
      </c>
      <c r="AE351" s="11" t="s">
        <v>429</v>
      </c>
      <c r="AF351" s="11" t="s">
        <v>54</v>
      </c>
      <c r="AG351" s="11" t="s">
        <v>95</v>
      </c>
      <c r="AH351" s="11" t="s">
        <v>465</v>
      </c>
      <c r="AI351" s="11">
        <v>802823175</v>
      </c>
      <c r="AJ351" s="11" t="s">
        <v>191</v>
      </c>
      <c r="AK351" s="11"/>
      <c r="AL351" s="11"/>
      <c r="AM351" s="12" t="s">
        <v>64</v>
      </c>
      <c r="AN351" s="11"/>
      <c r="AO351" s="11"/>
      <c r="AP351" s="11"/>
      <c r="AQ351" s="3">
        <v>46155</v>
      </c>
      <c r="AR351" s="11">
        <v>10</v>
      </c>
      <c r="AS351" s="11" t="s">
        <v>608</v>
      </c>
      <c r="AT351" s="11" t="s">
        <v>1602</v>
      </c>
      <c r="AU351" s="2">
        <v>46178</v>
      </c>
    </row>
    <row r="352" spans="1:47" x14ac:dyDescent="0.25">
      <c r="A352" s="10" t="s">
        <v>2319</v>
      </c>
      <c r="B352" s="11" t="s">
        <v>2344</v>
      </c>
      <c r="C352" s="11">
        <v>0</v>
      </c>
      <c r="D352" s="11" t="s">
        <v>108</v>
      </c>
      <c r="E352" s="11"/>
      <c r="F352" s="11"/>
      <c r="G352" s="11" t="s">
        <v>52</v>
      </c>
      <c r="H352" s="11">
        <v>18</v>
      </c>
      <c r="I352" s="11" t="s">
        <v>2370</v>
      </c>
      <c r="J352" s="11" t="s">
        <v>42</v>
      </c>
      <c r="K352" s="11">
        <f>Table1[[#This Row],[ENR]]-Table1[[#This Row],[CREDIT]]</f>
        <v>94479.039999999979</v>
      </c>
      <c r="L352" s="43">
        <v>230000</v>
      </c>
      <c r="M352" s="30">
        <v>324479.03999999998</v>
      </c>
      <c r="N352" s="44">
        <v>177312.13</v>
      </c>
      <c r="O352" s="29">
        <v>147166.91</v>
      </c>
      <c r="P352" s="29">
        <v>136931.85999999999</v>
      </c>
      <c r="Q352" s="29">
        <v>37790</v>
      </c>
      <c r="R352" s="29">
        <v>16500</v>
      </c>
      <c r="S352" s="11" t="s">
        <v>58</v>
      </c>
      <c r="T352" s="11" t="s">
        <v>13</v>
      </c>
      <c r="U352" s="11">
        <v>147166.91</v>
      </c>
      <c r="V352" s="29">
        <f>Table1[[#This Row],[STAB]]-Table1[[#This Row],[AMOUNT]]</f>
        <v>-130666.91</v>
      </c>
      <c r="W352" s="11" t="s">
        <v>3191</v>
      </c>
      <c r="X352" s="11" t="s">
        <v>444</v>
      </c>
      <c r="Y352" s="11" t="s">
        <v>760</v>
      </c>
      <c r="Z352" s="11" t="s">
        <v>85</v>
      </c>
      <c r="AA352" s="11" t="s">
        <v>447</v>
      </c>
      <c r="AB352" s="11" t="s">
        <v>3139</v>
      </c>
      <c r="AC352" s="11" t="s">
        <v>2396</v>
      </c>
      <c r="AD352" s="11" t="s">
        <v>2422</v>
      </c>
      <c r="AE352" s="11" t="s">
        <v>413</v>
      </c>
      <c r="AF352" s="11" t="s">
        <v>54</v>
      </c>
      <c r="AG352" s="11" t="s">
        <v>146</v>
      </c>
      <c r="AH352" s="11" t="s">
        <v>625</v>
      </c>
      <c r="AI352" s="11">
        <v>801217009</v>
      </c>
      <c r="AJ352" s="11" t="s">
        <v>190</v>
      </c>
      <c r="AK352" s="11"/>
      <c r="AL352" s="11"/>
      <c r="AM352" s="12" t="s">
        <v>64</v>
      </c>
      <c r="AN352" s="11" t="s">
        <v>219</v>
      </c>
      <c r="AO352" s="11" t="s">
        <v>3195</v>
      </c>
      <c r="AP352" s="11" t="s">
        <v>3191</v>
      </c>
      <c r="AQ352" s="3">
        <v>45762</v>
      </c>
      <c r="AR352" s="11">
        <v>16000</v>
      </c>
      <c r="AS352" s="11" t="s">
        <v>762</v>
      </c>
      <c r="AT352" s="11" t="s">
        <v>2426</v>
      </c>
      <c r="AU352" s="2">
        <v>46178</v>
      </c>
    </row>
    <row r="353" spans="1:47" x14ac:dyDescent="0.25">
      <c r="A353" s="10" t="s">
        <v>1611</v>
      </c>
      <c r="B353" s="11" t="s">
        <v>1617</v>
      </c>
      <c r="C353" s="11">
        <v>0</v>
      </c>
      <c r="D353" s="11" t="s">
        <v>108</v>
      </c>
      <c r="E353" s="11"/>
      <c r="F353" s="11"/>
      <c r="G353" s="11" t="s">
        <v>52</v>
      </c>
      <c r="H353" s="11">
        <v>18</v>
      </c>
      <c r="I353" s="11" t="s">
        <v>1623</v>
      </c>
      <c r="J353" s="11" t="s">
        <v>42</v>
      </c>
      <c r="K353" s="11">
        <f>Table1[[#This Row],[ENR]]-Table1[[#This Row],[CREDIT]]</f>
        <v>22980.929999999993</v>
      </c>
      <c r="L353" s="43">
        <v>300000</v>
      </c>
      <c r="M353" s="30">
        <v>322980.93</v>
      </c>
      <c r="N353" s="44">
        <v>73350.13</v>
      </c>
      <c r="O353" s="29">
        <v>249630.8</v>
      </c>
      <c r="P353" s="29">
        <v>225363.17</v>
      </c>
      <c r="Q353" s="29">
        <v>102100</v>
      </c>
      <c r="R353" s="29">
        <v>52950</v>
      </c>
      <c r="S353" s="11" t="s">
        <v>44</v>
      </c>
      <c r="T353" s="11" t="s">
        <v>45</v>
      </c>
      <c r="U353" s="11">
        <v>0</v>
      </c>
      <c r="V353" s="29">
        <f>Table1[[#This Row],[STAB]]-Table1[[#This Row],[AMOUNT]]</f>
        <v>52950</v>
      </c>
      <c r="W353" s="11">
        <v>0</v>
      </c>
      <c r="X353" s="11" t="s">
        <v>83</v>
      </c>
      <c r="Y353" s="11">
        <v>0</v>
      </c>
      <c r="Z353" s="12" t="s">
        <v>85</v>
      </c>
      <c r="AA353" s="12" t="s">
        <v>613</v>
      </c>
      <c r="AB353" s="11" t="s">
        <v>3139</v>
      </c>
      <c r="AC353" s="11" t="s">
        <v>1629</v>
      </c>
      <c r="AD353" s="11" t="s">
        <v>1635</v>
      </c>
      <c r="AE353" s="11" t="s">
        <v>746</v>
      </c>
      <c r="AF353" s="11" t="s">
        <v>53</v>
      </c>
      <c r="AG353" s="11" t="s">
        <v>3469</v>
      </c>
      <c r="AH353" s="11" t="s">
        <v>752</v>
      </c>
      <c r="AI353" s="11">
        <v>802241455</v>
      </c>
      <c r="AJ353" s="11" t="s">
        <v>191</v>
      </c>
      <c r="AK353" s="11"/>
      <c r="AL353" s="11"/>
      <c r="AM353" s="12" t="s">
        <v>46</v>
      </c>
      <c r="AN353" s="11"/>
      <c r="AO353" s="11"/>
      <c r="AP353" s="11"/>
      <c r="AQ353" s="3">
        <v>46027</v>
      </c>
      <c r="AR353" s="11">
        <v>46638.46</v>
      </c>
      <c r="AS353" s="11" t="s">
        <v>608</v>
      </c>
      <c r="AT353" s="11" t="s">
        <v>1602</v>
      </c>
      <c r="AU353" s="2">
        <v>46178</v>
      </c>
    </row>
    <row r="354" spans="1:47" x14ac:dyDescent="0.25">
      <c r="A354" s="45" t="s">
        <v>2306</v>
      </c>
      <c r="B354" s="12" t="s">
        <v>2332</v>
      </c>
      <c r="C354" s="11">
        <v>0</v>
      </c>
      <c r="D354" s="11" t="s">
        <v>108</v>
      </c>
      <c r="E354" s="12"/>
      <c r="F354" s="12"/>
      <c r="G354" s="11" t="s">
        <v>52</v>
      </c>
      <c r="H354" s="12">
        <v>18</v>
      </c>
      <c r="I354" s="12" t="s">
        <v>2357</v>
      </c>
      <c r="J354" s="12" t="s">
        <v>42</v>
      </c>
      <c r="K354" s="12">
        <f>Table1[[#This Row],[ENR]]-Table1[[#This Row],[CREDIT]]</f>
        <v>-145.36999999999534</v>
      </c>
      <c r="L354" s="46">
        <v>300000</v>
      </c>
      <c r="M354" s="47">
        <v>299854.63</v>
      </c>
      <c r="N354" s="48">
        <v>254980.28</v>
      </c>
      <c r="O354" s="49">
        <v>44874.35</v>
      </c>
      <c r="P354" s="49">
        <v>37392.480000000003</v>
      </c>
      <c r="Q354" s="29">
        <v>44874.35</v>
      </c>
      <c r="R354" s="29">
        <v>21873.06</v>
      </c>
      <c r="S354" s="11" t="s">
        <v>58</v>
      </c>
      <c r="T354" s="11" t="s">
        <v>13</v>
      </c>
      <c r="U354" s="29">
        <v>44874.35</v>
      </c>
      <c r="V354" s="49">
        <f>Table1[[#This Row],[STAB]]-Table1[[#This Row],[AMOUNT]]</f>
        <v>-23001.289999999997</v>
      </c>
      <c r="W354" s="11">
        <v>0</v>
      </c>
      <c r="X354" s="11" t="s">
        <v>761</v>
      </c>
      <c r="Y354" s="11" t="s">
        <v>760</v>
      </c>
      <c r="Z354" s="11" t="s">
        <v>85</v>
      </c>
      <c r="AA354" s="11" t="s">
        <v>611</v>
      </c>
      <c r="AB354" s="12" t="s">
        <v>3139</v>
      </c>
      <c r="AC354" s="12" t="s">
        <v>2383</v>
      </c>
      <c r="AD354" s="12" t="s">
        <v>2409</v>
      </c>
      <c r="AE354" s="12" t="s">
        <v>426</v>
      </c>
      <c r="AF354" s="12" t="s">
        <v>439</v>
      </c>
      <c r="AG354" s="11" t="s">
        <v>63</v>
      </c>
      <c r="AH354" s="11" t="s">
        <v>467</v>
      </c>
      <c r="AI354" s="12">
        <v>801570488</v>
      </c>
      <c r="AJ354" s="12" t="s">
        <v>190</v>
      </c>
      <c r="AK354" s="12"/>
      <c r="AL354" s="12"/>
      <c r="AM354" s="12" t="s">
        <v>64</v>
      </c>
      <c r="AN354" s="12"/>
      <c r="AO354" s="12"/>
      <c r="AP354" s="12"/>
      <c r="AQ354" s="50">
        <v>46069</v>
      </c>
      <c r="AR354" s="12">
        <v>10000</v>
      </c>
      <c r="AS354" s="12" t="s">
        <v>762</v>
      </c>
      <c r="AT354" s="11" t="s">
        <v>2426</v>
      </c>
      <c r="AU354" s="51">
        <v>46178</v>
      </c>
    </row>
    <row r="355" spans="1:47" x14ac:dyDescent="0.25">
      <c r="A355" s="10" t="s">
        <v>2303</v>
      </c>
      <c r="B355" s="11" t="s">
        <v>2329</v>
      </c>
      <c r="C355" s="11">
        <v>0</v>
      </c>
      <c r="D355" s="11" t="s">
        <v>108</v>
      </c>
      <c r="E355" s="11"/>
      <c r="F355" s="11"/>
      <c r="G355" s="11" t="s">
        <v>52</v>
      </c>
      <c r="H355" s="11">
        <v>18</v>
      </c>
      <c r="I355" s="11" t="s">
        <v>2354</v>
      </c>
      <c r="J355" s="11" t="s">
        <v>42</v>
      </c>
      <c r="K355" s="11">
        <f>Table1[[#This Row],[ENR]]-Table1[[#This Row],[CREDIT]]</f>
        <v>-74212.460000000021</v>
      </c>
      <c r="L355" s="43">
        <v>360000</v>
      </c>
      <c r="M355" s="30">
        <v>285787.53999999998</v>
      </c>
      <c r="N355" s="44" t="s">
        <v>43</v>
      </c>
      <c r="O355" s="29">
        <v>285787.53999999998</v>
      </c>
      <c r="P355" s="29">
        <v>259769.64</v>
      </c>
      <c r="Q355" s="29">
        <v>42010</v>
      </c>
      <c r="R355" s="29">
        <v>15840</v>
      </c>
      <c r="S355" s="11" t="s">
        <v>44</v>
      </c>
      <c r="T355" s="11" t="s">
        <v>45</v>
      </c>
      <c r="U355" s="11">
        <v>0</v>
      </c>
      <c r="V355" s="29">
        <f>Table1[[#This Row],[STAB]]-Table1[[#This Row],[AMOUNT]]</f>
        <v>15840</v>
      </c>
      <c r="W355" s="11">
        <v>0</v>
      </c>
      <c r="X355" s="11" t="s">
        <v>83</v>
      </c>
      <c r="Y355" s="11">
        <v>0</v>
      </c>
      <c r="Z355" s="12" t="s">
        <v>88</v>
      </c>
      <c r="AA355" s="12" t="s">
        <v>91</v>
      </c>
      <c r="AB355" s="11" t="s">
        <v>3139</v>
      </c>
      <c r="AC355" s="11" t="s">
        <v>2380</v>
      </c>
      <c r="AD355" s="11" t="s">
        <v>2406</v>
      </c>
      <c r="AE355" s="11" t="s">
        <v>747</v>
      </c>
      <c r="AF355" s="11" t="s">
        <v>84</v>
      </c>
      <c r="AG355" s="11" t="s">
        <v>97</v>
      </c>
      <c r="AH355" s="11" t="s">
        <v>459</v>
      </c>
      <c r="AI355" s="11">
        <v>802789320</v>
      </c>
      <c r="AJ355" s="11" t="s">
        <v>190</v>
      </c>
      <c r="AK355" s="11"/>
      <c r="AL355" s="11"/>
      <c r="AM355" s="12" t="s">
        <v>64</v>
      </c>
      <c r="AN355" s="11" t="s">
        <v>446</v>
      </c>
      <c r="AO355" s="11" t="s">
        <v>3193</v>
      </c>
      <c r="AP355" s="11" t="s">
        <v>3191</v>
      </c>
      <c r="AQ355" s="3">
        <v>46112</v>
      </c>
      <c r="AR355" s="11">
        <v>31330</v>
      </c>
      <c r="AS355" s="11" t="s">
        <v>762</v>
      </c>
      <c r="AT355" s="11" t="s">
        <v>2426</v>
      </c>
      <c r="AU355" s="2">
        <v>46178</v>
      </c>
    </row>
    <row r="356" spans="1:47" x14ac:dyDescent="0.25">
      <c r="A356" s="10" t="s">
        <v>2313</v>
      </c>
      <c r="B356" s="11" t="s">
        <v>2338</v>
      </c>
      <c r="C356" s="11">
        <v>0</v>
      </c>
      <c r="D356" s="11" t="s">
        <v>108</v>
      </c>
      <c r="E356" s="11"/>
      <c r="F356" s="11"/>
      <c r="G356" s="11" t="s">
        <v>52</v>
      </c>
      <c r="H356" s="11">
        <v>18</v>
      </c>
      <c r="I356" s="11" t="s">
        <v>2364</v>
      </c>
      <c r="J356" s="11" t="s">
        <v>42</v>
      </c>
      <c r="K356" s="11">
        <f>Table1[[#This Row],[ENR]]-Table1[[#This Row],[CREDIT]]</f>
        <v>12741.5</v>
      </c>
      <c r="L356" s="43">
        <v>270000</v>
      </c>
      <c r="M356" s="30">
        <v>282741.5</v>
      </c>
      <c r="N356" s="44">
        <v>187256.36</v>
      </c>
      <c r="O356" s="29">
        <v>95485.14</v>
      </c>
      <c r="P356" s="29">
        <v>82023.820000000007</v>
      </c>
      <c r="Q356" s="29">
        <v>46690</v>
      </c>
      <c r="R356" s="29">
        <v>17890</v>
      </c>
      <c r="S356" s="11" t="s">
        <v>44</v>
      </c>
      <c r="T356" s="11" t="s">
        <v>45</v>
      </c>
      <c r="U356" s="11">
        <v>0</v>
      </c>
      <c r="V356" s="29">
        <f>Table1[[#This Row],[STAB]]-Table1[[#This Row],[AMOUNT]]</f>
        <v>17890</v>
      </c>
      <c r="W356" s="11">
        <v>0</v>
      </c>
      <c r="X356" s="11" t="s">
        <v>83</v>
      </c>
      <c r="Y356" s="11">
        <v>0</v>
      </c>
      <c r="Z356" s="11" t="s">
        <v>85</v>
      </c>
      <c r="AA356" s="11" t="s">
        <v>612</v>
      </c>
      <c r="AB356" s="11" t="s">
        <v>3139</v>
      </c>
      <c r="AC356" s="11" t="s">
        <v>2390</v>
      </c>
      <c r="AD356" s="11" t="s">
        <v>2416</v>
      </c>
      <c r="AE356" s="11" t="s">
        <v>133</v>
      </c>
      <c r="AF356" s="11" t="s">
        <v>54</v>
      </c>
      <c r="AG356" s="11" t="s">
        <v>1658</v>
      </c>
      <c r="AH356" s="11" t="s">
        <v>85</v>
      </c>
      <c r="AI356" s="11">
        <v>801772794</v>
      </c>
      <c r="AJ356" s="11" t="s">
        <v>192</v>
      </c>
      <c r="AK356" s="11"/>
      <c r="AL356" s="11"/>
      <c r="AM356" s="12" t="s">
        <v>46</v>
      </c>
      <c r="AN356" s="11"/>
      <c r="AO356" s="11"/>
      <c r="AP356" s="11"/>
      <c r="AQ356" s="3">
        <v>45707</v>
      </c>
      <c r="AR356" s="11">
        <v>100000</v>
      </c>
      <c r="AS356" s="11" t="s">
        <v>762</v>
      </c>
      <c r="AT356" s="11" t="s">
        <v>2426</v>
      </c>
      <c r="AU356" s="2">
        <v>46178</v>
      </c>
    </row>
    <row r="357" spans="1:47" x14ac:dyDescent="0.25">
      <c r="A357" s="10" t="s">
        <v>2322</v>
      </c>
      <c r="B357" s="11" t="s">
        <v>2347</v>
      </c>
      <c r="C357" s="11">
        <v>0</v>
      </c>
      <c r="D357" s="11" t="s">
        <v>108</v>
      </c>
      <c r="E357" s="11"/>
      <c r="F357" s="11"/>
      <c r="G357" s="11" t="s">
        <v>52</v>
      </c>
      <c r="H357" s="11">
        <v>18</v>
      </c>
      <c r="I357" s="11" t="s">
        <v>2373</v>
      </c>
      <c r="J357" s="11" t="s">
        <v>42</v>
      </c>
      <c r="K357" s="11">
        <f>Table1[[#This Row],[ENR]]-Table1[[#This Row],[CREDIT]]</f>
        <v>22165.359999999986</v>
      </c>
      <c r="L357" s="43">
        <v>250000</v>
      </c>
      <c r="M357" s="30">
        <v>272165.36</v>
      </c>
      <c r="N357" s="44" t="s">
        <v>43</v>
      </c>
      <c r="O357" s="29">
        <v>272165.36</v>
      </c>
      <c r="P357" s="29">
        <v>247300.49</v>
      </c>
      <c r="Q357" s="29">
        <v>61910</v>
      </c>
      <c r="R357" s="29">
        <v>25420</v>
      </c>
      <c r="S357" s="11" t="s">
        <v>58</v>
      </c>
      <c r="T357" s="11" t="s">
        <v>14</v>
      </c>
      <c r="U357" s="29">
        <v>25420</v>
      </c>
      <c r="V357" s="29">
        <f>Table1[[#This Row],[STAB]]-Table1[[#This Row],[AMOUNT]]</f>
        <v>0</v>
      </c>
      <c r="W357" s="11" t="s">
        <v>3463</v>
      </c>
      <c r="X357" s="11" t="s">
        <v>444</v>
      </c>
      <c r="Y357" s="11" t="s">
        <v>760</v>
      </c>
      <c r="Z357" s="12" t="s">
        <v>85</v>
      </c>
      <c r="AA357" s="11" t="s">
        <v>613</v>
      </c>
      <c r="AB357" s="11" t="s">
        <v>3139</v>
      </c>
      <c r="AC357" s="11" t="s">
        <v>2399</v>
      </c>
      <c r="AD357" s="11" t="s">
        <v>2425</v>
      </c>
      <c r="AE357" s="11" t="s">
        <v>415</v>
      </c>
      <c r="AF357" s="11" t="s">
        <v>53</v>
      </c>
      <c r="AG357" s="11" t="s">
        <v>105</v>
      </c>
      <c r="AH357" s="11" t="s">
        <v>85</v>
      </c>
      <c r="AI357" s="12">
        <v>801772794</v>
      </c>
      <c r="AJ357" s="12" t="s">
        <v>192</v>
      </c>
      <c r="AK357" s="11"/>
      <c r="AL357" s="11"/>
      <c r="AM357" s="12" t="s">
        <v>64</v>
      </c>
      <c r="AN357" s="11" t="s">
        <v>219</v>
      </c>
      <c r="AO357" s="11" t="s">
        <v>3138</v>
      </c>
      <c r="AP357" s="11" t="s">
        <v>3119</v>
      </c>
      <c r="AQ357" s="3">
        <v>45489</v>
      </c>
      <c r="AR357" s="11">
        <v>29700</v>
      </c>
      <c r="AS357" s="11" t="s">
        <v>48</v>
      </c>
      <c r="AT357" s="11" t="s">
        <v>2426</v>
      </c>
      <c r="AU357" s="2">
        <v>46178</v>
      </c>
    </row>
    <row r="358" spans="1:47" x14ac:dyDescent="0.25">
      <c r="A358" s="10" t="s">
        <v>2314</v>
      </c>
      <c r="B358" s="11" t="s">
        <v>2339</v>
      </c>
      <c r="C358" s="11">
        <v>0</v>
      </c>
      <c r="D358" s="11" t="s">
        <v>108</v>
      </c>
      <c r="E358" s="11"/>
      <c r="F358" s="11"/>
      <c r="G358" s="11" t="s">
        <v>52</v>
      </c>
      <c r="H358" s="11">
        <v>18</v>
      </c>
      <c r="I358" s="11" t="s">
        <v>2365</v>
      </c>
      <c r="J358" s="11" t="s">
        <v>42</v>
      </c>
      <c r="K358" s="11">
        <f>Table1[[#This Row],[ENR]]-Table1[[#This Row],[CREDIT]]</f>
        <v>18495.030000000028</v>
      </c>
      <c r="L358" s="43">
        <v>250000</v>
      </c>
      <c r="M358" s="30">
        <v>268495.03000000003</v>
      </c>
      <c r="N358" s="44" t="s">
        <v>43</v>
      </c>
      <c r="O358" s="29">
        <v>268495.03000000003</v>
      </c>
      <c r="P358" s="29">
        <v>248689.72</v>
      </c>
      <c r="Q358" s="29">
        <v>61600</v>
      </c>
      <c r="R358" s="29">
        <v>15080</v>
      </c>
      <c r="S358" s="11" t="s">
        <v>58</v>
      </c>
      <c r="T358" s="11" t="s">
        <v>14</v>
      </c>
      <c r="U358" s="29">
        <v>15100</v>
      </c>
      <c r="V358" s="29">
        <f>Table1[[#This Row],[STAB]]-Table1[[#This Row],[AMOUNT]]</f>
        <v>-20</v>
      </c>
      <c r="W358" s="11" t="s">
        <v>3473</v>
      </c>
      <c r="X358" s="11" t="s">
        <v>451</v>
      </c>
      <c r="Y358" s="11" t="s">
        <v>1085</v>
      </c>
      <c r="Z358" s="12" t="s">
        <v>85</v>
      </c>
      <c r="AA358" s="11" t="s">
        <v>447</v>
      </c>
      <c r="AB358" s="11" t="s">
        <v>3139</v>
      </c>
      <c r="AC358" s="11" t="s">
        <v>2391</v>
      </c>
      <c r="AD358" s="11" t="s">
        <v>2417</v>
      </c>
      <c r="AE358" s="11" t="s">
        <v>104</v>
      </c>
      <c r="AF358" s="11" t="s">
        <v>54</v>
      </c>
      <c r="AG358" s="11" t="s">
        <v>610</v>
      </c>
      <c r="AH358" s="11" t="s">
        <v>627</v>
      </c>
      <c r="AI358" s="11">
        <v>801772792</v>
      </c>
      <c r="AJ358" s="11" t="s">
        <v>191</v>
      </c>
      <c r="AK358" s="11"/>
      <c r="AL358" s="11"/>
      <c r="AM358" s="12" t="s">
        <v>64</v>
      </c>
      <c r="AN358" s="11" t="s">
        <v>219</v>
      </c>
      <c r="AO358" s="11" t="s">
        <v>3476</v>
      </c>
      <c r="AP358" s="11" t="s">
        <v>3473</v>
      </c>
      <c r="AQ358" s="3">
        <v>46099</v>
      </c>
      <c r="AR358" s="11">
        <v>9000</v>
      </c>
      <c r="AS358" s="11" t="s">
        <v>762</v>
      </c>
      <c r="AT358" s="11" t="s">
        <v>2426</v>
      </c>
      <c r="AU358" s="2">
        <v>46178</v>
      </c>
    </row>
    <row r="359" spans="1:47" x14ac:dyDescent="0.25">
      <c r="A359" s="10" t="s">
        <v>2299</v>
      </c>
      <c r="B359" s="11" t="s">
        <v>2325</v>
      </c>
      <c r="C359" s="11">
        <v>0</v>
      </c>
      <c r="D359" s="11" t="s">
        <v>108</v>
      </c>
      <c r="E359" s="11"/>
      <c r="F359" s="11"/>
      <c r="G359" s="11" t="s">
        <v>52</v>
      </c>
      <c r="H359" s="11">
        <v>18</v>
      </c>
      <c r="I359" s="11" t="s">
        <v>2350</v>
      </c>
      <c r="J359" s="11" t="s">
        <v>42</v>
      </c>
      <c r="K359" s="11">
        <f>Table1[[#This Row],[ENR]]-Table1[[#This Row],[CREDIT]]</f>
        <v>-161339.89000000001</v>
      </c>
      <c r="L359" s="43">
        <v>420000</v>
      </c>
      <c r="M359" s="30">
        <v>258660.11</v>
      </c>
      <c r="N359" s="44" t="s">
        <v>43</v>
      </c>
      <c r="O359" s="29">
        <v>258660.11</v>
      </c>
      <c r="P359" s="29">
        <v>235717.5</v>
      </c>
      <c r="Q359" s="29">
        <v>37740</v>
      </c>
      <c r="R359" s="29">
        <v>13880</v>
      </c>
      <c r="S359" s="11" t="s">
        <v>44</v>
      </c>
      <c r="T359" s="11" t="s">
        <v>45</v>
      </c>
      <c r="U359" s="11">
        <v>0</v>
      </c>
      <c r="V359" s="29">
        <f>Table1[[#This Row],[STAB]]-Table1[[#This Row],[AMOUNT]]</f>
        <v>13880</v>
      </c>
      <c r="W359" s="11">
        <v>0</v>
      </c>
      <c r="X359" s="11" t="s">
        <v>83</v>
      </c>
      <c r="Y359" s="11">
        <v>0</v>
      </c>
      <c r="Z359" s="12" t="s">
        <v>88</v>
      </c>
      <c r="AA359" s="12" t="s">
        <v>91</v>
      </c>
      <c r="AB359" s="11" t="s">
        <v>3139</v>
      </c>
      <c r="AC359" s="11" t="s">
        <v>2376</v>
      </c>
      <c r="AD359" s="11" t="s">
        <v>2402</v>
      </c>
      <c r="AE359" s="11" t="s">
        <v>218</v>
      </c>
      <c r="AF359" s="11" t="s">
        <v>84</v>
      </c>
      <c r="AG359" s="11" t="s">
        <v>2445</v>
      </c>
      <c r="AH359" s="11" t="s">
        <v>88</v>
      </c>
      <c r="AI359" s="11">
        <v>801723195</v>
      </c>
      <c r="AJ359" s="11" t="s">
        <v>191</v>
      </c>
      <c r="AK359" s="11"/>
      <c r="AL359" s="11"/>
      <c r="AM359" s="12" t="s">
        <v>64</v>
      </c>
      <c r="AN359" s="11" t="s">
        <v>219</v>
      </c>
      <c r="AO359" s="11" t="s">
        <v>3644</v>
      </c>
      <c r="AP359" s="11" t="s">
        <v>3484</v>
      </c>
      <c r="AQ359" s="3">
        <v>45901</v>
      </c>
      <c r="AR359" s="11">
        <v>47160</v>
      </c>
      <c r="AS359" s="11" t="s">
        <v>47</v>
      </c>
      <c r="AT359" s="11" t="s">
        <v>2426</v>
      </c>
      <c r="AU359" s="2">
        <v>46178</v>
      </c>
    </row>
    <row r="360" spans="1:47" x14ac:dyDescent="0.25">
      <c r="A360" s="10" t="s">
        <v>2321</v>
      </c>
      <c r="B360" s="11" t="s">
        <v>2346</v>
      </c>
      <c r="C360" s="11">
        <v>0</v>
      </c>
      <c r="D360" s="11" t="s">
        <v>108</v>
      </c>
      <c r="E360" s="11"/>
      <c r="F360" s="11"/>
      <c r="G360" s="11" t="s">
        <v>52</v>
      </c>
      <c r="H360" s="11">
        <v>18</v>
      </c>
      <c r="I360" s="11" t="s">
        <v>2372</v>
      </c>
      <c r="J360" s="11" t="s">
        <v>42</v>
      </c>
      <c r="K360" s="11">
        <f>Table1[[#This Row],[ENR]]-Table1[[#This Row],[CREDIT]]</f>
        <v>-40512.600000000006</v>
      </c>
      <c r="L360" s="43">
        <v>280000</v>
      </c>
      <c r="M360" s="30">
        <v>239487.4</v>
      </c>
      <c r="N360" s="44" t="s">
        <v>43</v>
      </c>
      <c r="O360" s="29">
        <v>239487.4</v>
      </c>
      <c r="P360" s="29">
        <v>210398</v>
      </c>
      <c r="Q360" s="29">
        <v>53310</v>
      </c>
      <c r="R360" s="29">
        <v>26910</v>
      </c>
      <c r="S360" s="11" t="s">
        <v>58</v>
      </c>
      <c r="T360" s="11" t="s">
        <v>13</v>
      </c>
      <c r="U360" s="29">
        <v>239487.4</v>
      </c>
      <c r="V360" s="29">
        <f>Table1[[#This Row],[STAB]]-Table1[[#This Row],[AMOUNT]]</f>
        <v>-212577.4</v>
      </c>
      <c r="W360" s="11" t="s">
        <v>3129</v>
      </c>
      <c r="X360" s="11" t="s">
        <v>451</v>
      </c>
      <c r="Y360" s="11" t="s">
        <v>760</v>
      </c>
      <c r="Z360" s="12" t="s">
        <v>85</v>
      </c>
      <c r="AA360" s="12" t="s">
        <v>612</v>
      </c>
      <c r="AB360" s="11" t="s">
        <v>3139</v>
      </c>
      <c r="AC360" s="11" t="s">
        <v>2398</v>
      </c>
      <c r="AD360" s="11" t="s">
        <v>2424</v>
      </c>
      <c r="AE360" s="11" t="s">
        <v>92</v>
      </c>
      <c r="AF360" s="11" t="s">
        <v>54</v>
      </c>
      <c r="AG360" s="11" t="s">
        <v>101</v>
      </c>
      <c r="AH360" s="11" t="s">
        <v>197</v>
      </c>
      <c r="AI360" s="11">
        <v>802370852</v>
      </c>
      <c r="AJ360" s="11" t="s">
        <v>191</v>
      </c>
      <c r="AK360" s="11"/>
      <c r="AL360" s="11"/>
      <c r="AM360" s="12" t="s">
        <v>64</v>
      </c>
      <c r="AN360" s="11"/>
      <c r="AO360" s="11"/>
      <c r="AP360" s="11"/>
      <c r="AQ360" s="3">
        <v>45995</v>
      </c>
      <c r="AR360" s="11">
        <v>16000</v>
      </c>
      <c r="AS360" s="11" t="s">
        <v>1076</v>
      </c>
      <c r="AT360" s="11" t="s">
        <v>2426</v>
      </c>
      <c r="AU360" s="2">
        <v>46178</v>
      </c>
    </row>
    <row r="361" spans="1:47" x14ac:dyDescent="0.25">
      <c r="A361" s="10" t="s">
        <v>2309</v>
      </c>
      <c r="B361" s="11" t="s">
        <v>2335</v>
      </c>
      <c r="C361" s="11">
        <v>0</v>
      </c>
      <c r="D361" s="11" t="s">
        <v>108</v>
      </c>
      <c r="E361" s="11"/>
      <c r="F361" s="11"/>
      <c r="G361" s="11" t="s">
        <v>52</v>
      </c>
      <c r="H361" s="11">
        <v>18</v>
      </c>
      <c r="I361" s="11" t="s">
        <v>2360</v>
      </c>
      <c r="J361" s="11" t="s">
        <v>42</v>
      </c>
      <c r="K361" s="11">
        <f>Table1[[#This Row],[ENR]]-Table1[[#This Row],[CREDIT]]</f>
        <v>25474.160000000003</v>
      </c>
      <c r="L361" s="43">
        <v>210000</v>
      </c>
      <c r="M361" s="30">
        <v>235474.16</v>
      </c>
      <c r="N361" s="44">
        <v>140683.44</v>
      </c>
      <c r="O361" s="29">
        <v>94790.720000000001</v>
      </c>
      <c r="P361" s="29">
        <v>69261.56</v>
      </c>
      <c r="Q361" s="29">
        <v>93000</v>
      </c>
      <c r="R361" s="29">
        <v>51110</v>
      </c>
      <c r="S361" s="11" t="s">
        <v>58</v>
      </c>
      <c r="T361" s="11" t="s">
        <v>13</v>
      </c>
      <c r="U361" s="11">
        <v>93000</v>
      </c>
      <c r="V361" s="29">
        <f>Table1[[#This Row],[STAB]]-Table1[[#This Row],[AMOUNT]]</f>
        <v>-41890</v>
      </c>
      <c r="W361" s="11" t="s">
        <v>3206</v>
      </c>
      <c r="X361" s="11" t="s">
        <v>451</v>
      </c>
      <c r="Y361" s="11" t="s">
        <v>760</v>
      </c>
      <c r="Z361" s="12" t="s">
        <v>85</v>
      </c>
      <c r="AA361" s="12" t="s">
        <v>611</v>
      </c>
      <c r="AB361" s="11" t="s">
        <v>3139</v>
      </c>
      <c r="AC361" s="11" t="s">
        <v>2386</v>
      </c>
      <c r="AD361" s="11" t="s">
        <v>2412</v>
      </c>
      <c r="AE361" s="11" t="s">
        <v>428</v>
      </c>
      <c r="AF361" s="11" t="s">
        <v>53</v>
      </c>
      <c r="AG361" s="11" t="s">
        <v>55</v>
      </c>
      <c r="AH361" s="11" t="s">
        <v>468</v>
      </c>
      <c r="AI361" s="11">
        <v>802030802</v>
      </c>
      <c r="AJ361" s="11" t="s">
        <v>458</v>
      </c>
      <c r="AK361" s="11"/>
      <c r="AL361" s="11"/>
      <c r="AM361" s="12" t="s">
        <v>64</v>
      </c>
      <c r="AN361" s="11" t="s">
        <v>115</v>
      </c>
      <c r="AO361" s="11" t="s">
        <v>3133</v>
      </c>
      <c r="AP361" s="11" t="s">
        <v>3119</v>
      </c>
      <c r="AQ361" s="3">
        <v>45557</v>
      </c>
      <c r="AR361" s="11">
        <v>0.01</v>
      </c>
      <c r="AS361" s="11" t="s">
        <v>762</v>
      </c>
      <c r="AT361" s="11" t="s">
        <v>2426</v>
      </c>
      <c r="AU361" s="2">
        <v>46178</v>
      </c>
    </row>
    <row r="362" spans="1:47" x14ac:dyDescent="0.25">
      <c r="A362" s="45" t="s">
        <v>2311</v>
      </c>
      <c r="B362" s="12" t="s">
        <v>1558</v>
      </c>
      <c r="C362" s="11">
        <v>0</v>
      </c>
      <c r="D362" s="11" t="s">
        <v>108</v>
      </c>
      <c r="E362" s="12"/>
      <c r="F362" s="12"/>
      <c r="G362" s="11" t="s">
        <v>52</v>
      </c>
      <c r="H362" s="12">
        <v>18</v>
      </c>
      <c r="I362" s="12" t="s">
        <v>2362</v>
      </c>
      <c r="J362" s="12" t="s">
        <v>42</v>
      </c>
      <c r="K362" s="12">
        <f>Table1[[#This Row],[ENR]]-Table1[[#This Row],[CREDIT]]</f>
        <v>17701.059999999998</v>
      </c>
      <c r="L362" s="46">
        <v>200000</v>
      </c>
      <c r="M362" s="47">
        <v>217701.06</v>
      </c>
      <c r="N362" s="48" t="s">
        <v>43</v>
      </c>
      <c r="O362" s="49">
        <v>217701.06</v>
      </c>
      <c r="P362" s="49">
        <v>190021</v>
      </c>
      <c r="Q362" s="29">
        <v>62690</v>
      </c>
      <c r="R362" s="29">
        <v>33560</v>
      </c>
      <c r="S362" s="11" t="s">
        <v>44</v>
      </c>
      <c r="T362" s="11" t="s">
        <v>45</v>
      </c>
      <c r="U362" s="11">
        <v>0</v>
      </c>
      <c r="V362" s="49">
        <f>Table1[[#This Row],[STAB]]-Table1[[#This Row],[AMOUNT]]</f>
        <v>33560</v>
      </c>
      <c r="W362" s="11">
        <v>0</v>
      </c>
      <c r="X362" s="11" t="s">
        <v>83</v>
      </c>
      <c r="Y362" s="11">
        <v>0</v>
      </c>
      <c r="Z362" s="11" t="s">
        <v>85</v>
      </c>
      <c r="AA362" s="11" t="s">
        <v>612</v>
      </c>
      <c r="AB362" s="12" t="s">
        <v>3139</v>
      </c>
      <c r="AC362" s="12" t="s">
        <v>2388</v>
      </c>
      <c r="AD362" s="12" t="s">
        <v>2414</v>
      </c>
      <c r="AE362" s="12" t="s">
        <v>1071</v>
      </c>
      <c r="AF362" s="12" t="s">
        <v>53</v>
      </c>
      <c r="AG362" s="12" t="s">
        <v>55</v>
      </c>
      <c r="AH362" s="11" t="s">
        <v>468</v>
      </c>
      <c r="AI362" s="11">
        <v>802030802</v>
      </c>
      <c r="AJ362" s="11" t="s">
        <v>458</v>
      </c>
      <c r="AK362" s="12"/>
      <c r="AL362" s="12"/>
      <c r="AM362" s="12" t="s">
        <v>46</v>
      </c>
      <c r="AN362" s="12"/>
      <c r="AO362" s="12"/>
      <c r="AP362" s="12"/>
      <c r="AQ362" s="50">
        <v>46070</v>
      </c>
      <c r="AR362" s="12">
        <v>30000</v>
      </c>
      <c r="AS362" s="12" t="s">
        <v>762</v>
      </c>
      <c r="AT362" s="11" t="s">
        <v>2426</v>
      </c>
      <c r="AU362" s="51">
        <v>46178</v>
      </c>
    </row>
    <row r="363" spans="1:47" x14ac:dyDescent="0.25">
      <c r="A363" s="10" t="s">
        <v>2310</v>
      </c>
      <c r="B363" s="11" t="s">
        <v>2336</v>
      </c>
      <c r="C363" s="11">
        <v>0</v>
      </c>
      <c r="D363" s="11" t="s">
        <v>108</v>
      </c>
      <c r="E363" s="11"/>
      <c r="F363" s="11"/>
      <c r="G363" s="11" t="s">
        <v>52</v>
      </c>
      <c r="H363" s="11">
        <v>18</v>
      </c>
      <c r="I363" s="11" t="s">
        <v>2361</v>
      </c>
      <c r="J363" s="11" t="s">
        <v>42</v>
      </c>
      <c r="K363" s="11">
        <f>Table1[[#This Row],[ENR]]-Table1[[#This Row],[CREDIT]]</f>
        <v>-185636.99</v>
      </c>
      <c r="L363" s="43">
        <v>400000</v>
      </c>
      <c r="M363" s="30">
        <v>214363.01</v>
      </c>
      <c r="N363" s="44" t="s">
        <v>43</v>
      </c>
      <c r="O363" s="29">
        <v>214363.01</v>
      </c>
      <c r="P363" s="29">
        <v>194111.49</v>
      </c>
      <c r="Q363" s="29">
        <v>39190</v>
      </c>
      <c r="R363" s="29">
        <v>9710</v>
      </c>
      <c r="S363" s="11" t="s">
        <v>58</v>
      </c>
      <c r="T363" s="11" t="s">
        <v>13</v>
      </c>
      <c r="U363" s="11">
        <v>214363.01</v>
      </c>
      <c r="V363" s="29">
        <f>Table1[[#This Row],[STAB]]-Table1[[#This Row],[AMOUNT]]</f>
        <v>-204653.01</v>
      </c>
      <c r="W363" s="11" t="s">
        <v>3473</v>
      </c>
      <c r="X363" s="11" t="s">
        <v>451</v>
      </c>
      <c r="Y363" s="11" t="s">
        <v>760</v>
      </c>
      <c r="Z363" s="12" t="s">
        <v>85</v>
      </c>
      <c r="AA363" s="12" t="s">
        <v>613</v>
      </c>
      <c r="AB363" s="11" t="s">
        <v>3140</v>
      </c>
      <c r="AC363" s="11" t="s">
        <v>2387</v>
      </c>
      <c r="AD363" s="11" t="s">
        <v>2413</v>
      </c>
      <c r="AE363" s="11" t="s">
        <v>421</v>
      </c>
      <c r="AF363" s="11" t="s">
        <v>54</v>
      </c>
      <c r="AG363" s="11" t="s">
        <v>119</v>
      </c>
      <c r="AH363" s="11" t="s">
        <v>626</v>
      </c>
      <c r="AI363" s="11">
        <v>802663344</v>
      </c>
      <c r="AJ363" s="11" t="s">
        <v>191</v>
      </c>
      <c r="AK363" s="11"/>
      <c r="AL363" s="11"/>
      <c r="AM363" s="12" t="s">
        <v>64</v>
      </c>
      <c r="AN363" s="11"/>
      <c r="AO363" s="11"/>
      <c r="AP363" s="11"/>
      <c r="AQ363" s="3">
        <v>46098</v>
      </c>
      <c r="AR363" s="11">
        <v>236954.98</v>
      </c>
      <c r="AS363" s="11" t="s">
        <v>762</v>
      </c>
      <c r="AT363" s="11" t="s">
        <v>2426</v>
      </c>
      <c r="AU363" s="2">
        <v>46178</v>
      </c>
    </row>
    <row r="364" spans="1:47" x14ac:dyDescent="0.25">
      <c r="A364" s="10" t="s">
        <v>2297</v>
      </c>
      <c r="B364" s="11" t="s">
        <v>2323</v>
      </c>
      <c r="C364" s="11">
        <v>0</v>
      </c>
      <c r="D364" s="11" t="s">
        <v>108</v>
      </c>
      <c r="E364" s="11"/>
      <c r="F364" s="11"/>
      <c r="G364" s="11" t="s">
        <v>52</v>
      </c>
      <c r="H364" s="11">
        <v>18</v>
      </c>
      <c r="I364" s="11" t="s">
        <v>2348</v>
      </c>
      <c r="J364" s="11" t="s">
        <v>42</v>
      </c>
      <c r="K364" s="11">
        <f>Table1[[#This Row],[ENR]]-Table1[[#This Row],[CREDIT]]</f>
        <v>140919.5</v>
      </c>
      <c r="L364" s="43">
        <v>72000</v>
      </c>
      <c r="M364" s="30">
        <v>212919.5</v>
      </c>
      <c r="N364" s="44" t="s">
        <v>43</v>
      </c>
      <c r="O364" s="29">
        <v>212919.5</v>
      </c>
      <c r="P364" s="29">
        <v>194814.61</v>
      </c>
      <c r="Q364" s="29">
        <v>155510</v>
      </c>
      <c r="R364" s="29">
        <v>126420</v>
      </c>
      <c r="S364" s="11" t="s">
        <v>44</v>
      </c>
      <c r="T364" s="11" t="s">
        <v>45</v>
      </c>
      <c r="U364" s="11">
        <v>0</v>
      </c>
      <c r="V364" s="29">
        <f>Table1[[#This Row],[STAB]]-Table1[[#This Row],[AMOUNT]]</f>
        <v>126420</v>
      </c>
      <c r="W364" s="11">
        <v>0</v>
      </c>
      <c r="X364" s="11" t="s">
        <v>83</v>
      </c>
      <c r="Y364" s="11" t="s">
        <v>759</v>
      </c>
      <c r="Z364" s="12" t="s">
        <v>85</v>
      </c>
      <c r="AA364" s="12" t="s">
        <v>611</v>
      </c>
      <c r="AB364" s="11" t="s">
        <v>3139</v>
      </c>
      <c r="AC364" s="11" t="s">
        <v>2374</v>
      </c>
      <c r="AD364" s="11" t="s">
        <v>2400</v>
      </c>
      <c r="AE364" s="11" t="s">
        <v>423</v>
      </c>
      <c r="AF364" s="11" t="s">
        <v>54</v>
      </c>
      <c r="AG364" s="11" t="s">
        <v>95</v>
      </c>
      <c r="AH364" s="11" t="s">
        <v>465</v>
      </c>
      <c r="AI364" s="11">
        <v>802823175</v>
      </c>
      <c r="AJ364" s="11" t="s">
        <v>191</v>
      </c>
      <c r="AK364" s="11"/>
      <c r="AL364" s="11"/>
      <c r="AM364" s="12" t="s">
        <v>64</v>
      </c>
      <c r="AN364" s="11" t="s">
        <v>115</v>
      </c>
      <c r="AO364" s="11" t="s">
        <v>2453</v>
      </c>
      <c r="AP364" s="11" t="s">
        <v>2296</v>
      </c>
      <c r="AQ364" s="3">
        <v>46119</v>
      </c>
      <c r="AR364" s="11">
        <v>1900</v>
      </c>
      <c r="AS364" s="11" t="s">
        <v>47</v>
      </c>
      <c r="AT364" s="11" t="s">
        <v>2426</v>
      </c>
      <c r="AU364" s="2">
        <v>46178</v>
      </c>
    </row>
    <row r="365" spans="1:47" x14ac:dyDescent="0.25">
      <c r="A365" s="10" t="s">
        <v>2305</v>
      </c>
      <c r="B365" s="11" t="s">
        <v>2331</v>
      </c>
      <c r="C365" s="11">
        <v>0</v>
      </c>
      <c r="D365" s="11" t="s">
        <v>108</v>
      </c>
      <c r="E365" s="11"/>
      <c r="F365" s="11"/>
      <c r="G365" s="11" t="s">
        <v>52</v>
      </c>
      <c r="H365" s="11">
        <v>18</v>
      </c>
      <c r="I365" s="11" t="s">
        <v>2356</v>
      </c>
      <c r="J365" s="11" t="s">
        <v>42</v>
      </c>
      <c r="K365" s="11">
        <f>Table1[[#This Row],[ENR]]-Table1[[#This Row],[CREDIT]]</f>
        <v>10542.570000000007</v>
      </c>
      <c r="L365" s="43">
        <v>200000</v>
      </c>
      <c r="M365" s="30">
        <v>210542.57</v>
      </c>
      <c r="N365" s="44" t="s">
        <v>43</v>
      </c>
      <c r="O365" s="29">
        <v>210542.57</v>
      </c>
      <c r="P365" s="29">
        <v>199988.78</v>
      </c>
      <c r="Q365" s="29">
        <v>50830</v>
      </c>
      <c r="R365" s="29">
        <v>28963.98</v>
      </c>
      <c r="S365" s="11" t="s">
        <v>58</v>
      </c>
      <c r="T365" s="11" t="s">
        <v>13</v>
      </c>
      <c r="U365" s="11">
        <v>210542.57</v>
      </c>
      <c r="V365" s="29">
        <f>Table1[[#This Row],[STAB]]-Table1[[#This Row],[AMOUNT]]</f>
        <v>-181578.59</v>
      </c>
      <c r="W365" s="11" t="s">
        <v>3206</v>
      </c>
      <c r="X365" s="11" t="s">
        <v>444</v>
      </c>
      <c r="Y365" s="11" t="s">
        <v>760</v>
      </c>
      <c r="Z365" s="11" t="s">
        <v>85</v>
      </c>
      <c r="AA365" s="11" t="s">
        <v>612</v>
      </c>
      <c r="AB365" s="11" t="s">
        <v>3139</v>
      </c>
      <c r="AC365" s="11" t="s">
        <v>2382</v>
      </c>
      <c r="AD365" s="11" t="s">
        <v>2408</v>
      </c>
      <c r="AE365" s="11" t="s">
        <v>604</v>
      </c>
      <c r="AF365" s="11" t="s">
        <v>439</v>
      </c>
      <c r="AG365" s="11" t="s">
        <v>63</v>
      </c>
      <c r="AH365" s="11" t="s">
        <v>467</v>
      </c>
      <c r="AI365" s="11">
        <v>801570488</v>
      </c>
      <c r="AJ365" s="11" t="s">
        <v>190</v>
      </c>
      <c r="AK365" s="11"/>
      <c r="AL365" s="11"/>
      <c r="AM365" s="12" t="s">
        <v>64</v>
      </c>
      <c r="AN365" s="11" t="s">
        <v>115</v>
      </c>
      <c r="AO365" s="11" t="s">
        <v>2473</v>
      </c>
      <c r="AP365" s="11" t="s">
        <v>2296</v>
      </c>
      <c r="AQ365" s="3">
        <v>45764</v>
      </c>
      <c r="AR365" s="11">
        <v>23100</v>
      </c>
      <c r="AS365" s="11" t="s">
        <v>762</v>
      </c>
      <c r="AT365" s="11" t="s">
        <v>2426</v>
      </c>
      <c r="AU365" s="2">
        <v>46178</v>
      </c>
    </row>
    <row r="366" spans="1:47" x14ac:dyDescent="0.25">
      <c r="A366" s="10" t="s">
        <v>2312</v>
      </c>
      <c r="B366" s="11" t="s">
        <v>2337</v>
      </c>
      <c r="C366" s="11">
        <v>0</v>
      </c>
      <c r="D366" s="11" t="s">
        <v>108</v>
      </c>
      <c r="E366" s="11"/>
      <c r="F366" s="11"/>
      <c r="G366" s="11" t="s">
        <v>90</v>
      </c>
      <c r="H366" s="11">
        <v>18</v>
      </c>
      <c r="I366" s="11" t="s">
        <v>2363</v>
      </c>
      <c r="J366" s="11" t="s">
        <v>42</v>
      </c>
      <c r="K366" s="11">
        <f>Table1[[#This Row],[ENR]]-Table1[[#This Row],[CREDIT]]</f>
        <v>7054.6300000000047</v>
      </c>
      <c r="L366" s="43">
        <v>200000</v>
      </c>
      <c r="M366" s="30">
        <v>207054.63</v>
      </c>
      <c r="N366" s="44">
        <v>87477.75</v>
      </c>
      <c r="O366" s="29">
        <v>119576.88</v>
      </c>
      <c r="P366" s="29">
        <v>108280.87</v>
      </c>
      <c r="Q366" s="29">
        <v>109670</v>
      </c>
      <c r="R366" s="29">
        <v>22620</v>
      </c>
      <c r="S366" s="11" t="s">
        <v>44</v>
      </c>
      <c r="T366" s="11" t="s">
        <v>45</v>
      </c>
      <c r="U366" s="11">
        <v>0</v>
      </c>
      <c r="V366" s="29">
        <f>Table1[[#This Row],[STAB]]-Table1[[#This Row],[AMOUNT]]</f>
        <v>22620</v>
      </c>
      <c r="W366" s="11">
        <v>0</v>
      </c>
      <c r="X366" s="11" t="s">
        <v>83</v>
      </c>
      <c r="Y366" s="11">
        <v>0</v>
      </c>
      <c r="Z366" s="11" t="s">
        <v>85</v>
      </c>
      <c r="AA366" s="11" t="s">
        <v>447</v>
      </c>
      <c r="AB366" s="11" t="s">
        <v>3139</v>
      </c>
      <c r="AC366" s="11" t="s">
        <v>2389</v>
      </c>
      <c r="AD366" s="11" t="s">
        <v>2415</v>
      </c>
      <c r="AE366" s="11" t="s">
        <v>429</v>
      </c>
      <c r="AF366" s="11" t="s">
        <v>54</v>
      </c>
      <c r="AG366" s="11" t="s">
        <v>95</v>
      </c>
      <c r="AH366" s="11" t="s">
        <v>465</v>
      </c>
      <c r="AI366" s="11">
        <v>802823175</v>
      </c>
      <c r="AJ366" s="11" t="s">
        <v>191</v>
      </c>
      <c r="AK366" s="11"/>
      <c r="AL366" s="11"/>
      <c r="AM366" s="12" t="s">
        <v>64</v>
      </c>
      <c r="AN366" s="11" t="s">
        <v>219</v>
      </c>
      <c r="AO366" s="11" t="s">
        <v>3179</v>
      </c>
      <c r="AP366" s="11" t="s">
        <v>3169</v>
      </c>
      <c r="AQ366" s="3">
        <v>46071</v>
      </c>
      <c r="AR366" s="11">
        <v>95016.6</v>
      </c>
      <c r="AS366" s="11" t="s">
        <v>762</v>
      </c>
      <c r="AT366" s="11" t="s">
        <v>2426</v>
      </c>
      <c r="AU366" s="2">
        <v>46178</v>
      </c>
    </row>
    <row r="367" spans="1:47" x14ac:dyDescent="0.25">
      <c r="A367" s="10" t="s">
        <v>2307</v>
      </c>
      <c r="B367" s="11" t="s">
        <v>2333</v>
      </c>
      <c r="C367" s="11">
        <v>0</v>
      </c>
      <c r="D367" s="11" t="s">
        <v>108</v>
      </c>
      <c r="E367" s="11"/>
      <c r="F367" s="11"/>
      <c r="G367" s="11" t="s">
        <v>52</v>
      </c>
      <c r="H367" s="11">
        <v>18</v>
      </c>
      <c r="I367" s="11" t="s">
        <v>2358</v>
      </c>
      <c r="J367" s="11" t="s">
        <v>42</v>
      </c>
      <c r="K367" s="11">
        <f>Table1[[#This Row],[ENR]]-Table1[[#This Row],[CREDIT]]</f>
        <v>-8848.5400000000081</v>
      </c>
      <c r="L367" s="43">
        <v>210000</v>
      </c>
      <c r="M367" s="30">
        <v>201151.46</v>
      </c>
      <c r="N367" s="44" t="s">
        <v>43</v>
      </c>
      <c r="O367" s="29">
        <v>201151.46</v>
      </c>
      <c r="P367" s="29">
        <v>183842.48</v>
      </c>
      <c r="Q367" s="29">
        <v>57490</v>
      </c>
      <c r="R367" s="29">
        <v>40950</v>
      </c>
      <c r="S367" s="11" t="s">
        <v>58</v>
      </c>
      <c r="T367" s="11" t="s">
        <v>13</v>
      </c>
      <c r="U367" s="11">
        <v>201151.46</v>
      </c>
      <c r="V367" s="29">
        <f>Table1[[#This Row],[STAB]]-Table1[[#This Row],[AMOUNT]]</f>
        <v>-160201.46</v>
      </c>
      <c r="W367" s="11" t="s">
        <v>3463</v>
      </c>
      <c r="X367" s="11" t="s">
        <v>451</v>
      </c>
      <c r="Y367" s="11" t="s">
        <v>759</v>
      </c>
      <c r="Z367" s="12" t="s">
        <v>85</v>
      </c>
      <c r="AA367" s="12" t="s">
        <v>613</v>
      </c>
      <c r="AB367" s="11" t="s">
        <v>3139</v>
      </c>
      <c r="AC367" s="11" t="s">
        <v>2384</v>
      </c>
      <c r="AD367" s="11" t="s">
        <v>2410</v>
      </c>
      <c r="AE367" s="11" t="s">
        <v>429</v>
      </c>
      <c r="AF367" s="11" t="s">
        <v>54</v>
      </c>
      <c r="AG367" s="11" t="s">
        <v>95</v>
      </c>
      <c r="AH367" s="11" t="s">
        <v>193</v>
      </c>
      <c r="AI367" s="11">
        <v>802824019</v>
      </c>
      <c r="AJ367" s="11" t="s">
        <v>189</v>
      </c>
      <c r="AK367" s="11"/>
      <c r="AL367" s="11"/>
      <c r="AM367" s="12" t="s">
        <v>64</v>
      </c>
      <c r="AN367" s="11" t="s">
        <v>115</v>
      </c>
      <c r="AO367" s="11" t="s">
        <v>3213</v>
      </c>
      <c r="AP367" s="11" t="s">
        <v>3206</v>
      </c>
      <c r="AQ367" s="3">
        <v>45999</v>
      </c>
      <c r="AR367" s="11">
        <v>48879.93</v>
      </c>
      <c r="AS367" s="11" t="s">
        <v>762</v>
      </c>
      <c r="AT367" s="11" t="s">
        <v>2426</v>
      </c>
      <c r="AU367" s="2">
        <v>46178</v>
      </c>
    </row>
    <row r="368" spans="1:47" x14ac:dyDescent="0.25">
      <c r="A368" s="10" t="s">
        <v>2320</v>
      </c>
      <c r="B368" s="11" t="s">
        <v>2345</v>
      </c>
      <c r="C368" s="11">
        <v>0</v>
      </c>
      <c r="D368" s="11" t="s">
        <v>108</v>
      </c>
      <c r="E368" s="11"/>
      <c r="F368" s="11"/>
      <c r="G368" s="11" t="s">
        <v>90</v>
      </c>
      <c r="H368" s="11">
        <v>18</v>
      </c>
      <c r="I368" s="11" t="s">
        <v>2371</v>
      </c>
      <c r="J368" s="11" t="s">
        <v>42</v>
      </c>
      <c r="K368" s="11">
        <f>Table1[[#This Row],[ENR]]-Table1[[#This Row],[CREDIT]]</f>
        <v>-22301.940000000002</v>
      </c>
      <c r="L368" s="43">
        <v>220000</v>
      </c>
      <c r="M368" s="30">
        <v>197698.06</v>
      </c>
      <c r="N368" s="44">
        <v>94650.78</v>
      </c>
      <c r="O368" s="29">
        <v>103047.28</v>
      </c>
      <c r="P368" s="29">
        <v>96692.57</v>
      </c>
      <c r="Q368" s="29">
        <v>30150</v>
      </c>
      <c r="R368" s="29">
        <v>16860</v>
      </c>
      <c r="S368" s="11" t="s">
        <v>58</v>
      </c>
      <c r="T368" s="11" t="s">
        <v>13</v>
      </c>
      <c r="U368" s="11">
        <v>103047.28</v>
      </c>
      <c r="V368" s="29">
        <f>Table1[[#This Row],[STAB]]-Table1[[#This Row],[AMOUNT]]</f>
        <v>-86187.28</v>
      </c>
      <c r="W368" s="11" t="s">
        <v>3206</v>
      </c>
      <c r="X368" s="11" t="s">
        <v>451</v>
      </c>
      <c r="Y368" s="11" t="s">
        <v>760</v>
      </c>
      <c r="Z368" s="11" t="s">
        <v>85</v>
      </c>
      <c r="AA368" s="11" t="s">
        <v>611</v>
      </c>
      <c r="AB368" s="11" t="s">
        <v>3139</v>
      </c>
      <c r="AC368" s="11" t="s">
        <v>2397</v>
      </c>
      <c r="AD368" s="11" t="s">
        <v>2423</v>
      </c>
      <c r="AE368" s="11" t="s">
        <v>100</v>
      </c>
      <c r="AF368" s="11" t="s">
        <v>54</v>
      </c>
      <c r="AG368" s="11" t="s">
        <v>60</v>
      </c>
      <c r="AH368" s="11" t="s">
        <v>193</v>
      </c>
      <c r="AI368" s="11">
        <v>802824019</v>
      </c>
      <c r="AJ368" s="11" t="s">
        <v>189</v>
      </c>
      <c r="AK368" s="11"/>
      <c r="AL368" s="11"/>
      <c r="AM368" s="12" t="s">
        <v>64</v>
      </c>
      <c r="AN368" s="11" t="s">
        <v>115</v>
      </c>
      <c r="AO368" s="11" t="s">
        <v>3233</v>
      </c>
      <c r="AP368" s="11" t="s">
        <v>3206</v>
      </c>
      <c r="AQ368" s="3">
        <v>46056</v>
      </c>
      <c r="AR368" s="11">
        <v>14100</v>
      </c>
      <c r="AS368" s="11" t="s">
        <v>762</v>
      </c>
      <c r="AT368" s="11" t="s">
        <v>2426</v>
      </c>
      <c r="AU368" s="2">
        <v>46178</v>
      </c>
    </row>
    <row r="369" spans="1:47" x14ac:dyDescent="0.25">
      <c r="A369" s="10" t="s">
        <v>2308</v>
      </c>
      <c r="B369" s="11" t="s">
        <v>2334</v>
      </c>
      <c r="C369" s="11">
        <v>0</v>
      </c>
      <c r="D369" s="11" t="s">
        <v>108</v>
      </c>
      <c r="E369" s="11"/>
      <c r="F369" s="11"/>
      <c r="G369" s="11" t="s">
        <v>52</v>
      </c>
      <c r="H369" s="11">
        <v>18</v>
      </c>
      <c r="I369" s="11" t="s">
        <v>2359</v>
      </c>
      <c r="J369" s="11" t="s">
        <v>550</v>
      </c>
      <c r="K369" s="11">
        <f>Table1[[#This Row],[ENR]]-Table1[[#This Row],[CREDIT]]</f>
        <v>-51556.48000000001</v>
      </c>
      <c r="L369" s="43">
        <v>200000</v>
      </c>
      <c r="M369" s="30">
        <v>148443.51999999999</v>
      </c>
      <c r="N369" s="44" t="s">
        <v>43</v>
      </c>
      <c r="O369" s="29">
        <v>148443.51999999999</v>
      </c>
      <c r="P369" s="29">
        <v>134926.28</v>
      </c>
      <c r="Q369" s="29">
        <v>21060</v>
      </c>
      <c r="R369" s="29">
        <v>8180</v>
      </c>
      <c r="S369" s="11" t="s">
        <v>44</v>
      </c>
      <c r="T369" s="11" t="s">
        <v>45</v>
      </c>
      <c r="U369" s="11">
        <v>0</v>
      </c>
      <c r="V369" s="29">
        <f>Table1[[#This Row],[STAB]]-Table1[[#This Row],[AMOUNT]]</f>
        <v>8180</v>
      </c>
      <c r="W369" s="11">
        <v>0</v>
      </c>
      <c r="X369" s="11" t="s">
        <v>83</v>
      </c>
      <c r="Y369" s="11">
        <v>0</v>
      </c>
      <c r="Z369" s="12" t="s">
        <v>88</v>
      </c>
      <c r="AA369" s="12" t="s">
        <v>91</v>
      </c>
      <c r="AB369" s="11" t="s">
        <v>3139</v>
      </c>
      <c r="AC369" s="11" t="s">
        <v>2385</v>
      </c>
      <c r="AD369" s="11" t="s">
        <v>2411</v>
      </c>
      <c r="AE369" s="11" t="s">
        <v>218</v>
      </c>
      <c r="AF369" s="11" t="s">
        <v>84</v>
      </c>
      <c r="AG369" s="11" t="s">
        <v>97</v>
      </c>
      <c r="AH369" s="11" t="s">
        <v>88</v>
      </c>
      <c r="AI369" s="11">
        <v>801723195</v>
      </c>
      <c r="AJ369" s="11" t="s">
        <v>191</v>
      </c>
      <c r="AK369" s="11"/>
      <c r="AL369" s="11"/>
      <c r="AM369" s="12" t="s">
        <v>64</v>
      </c>
      <c r="AN369" s="11" t="s">
        <v>219</v>
      </c>
      <c r="AO369" s="11" t="s">
        <v>3210</v>
      </c>
      <c r="AP369" s="11" t="s">
        <v>3206</v>
      </c>
      <c r="AQ369" s="3">
        <v>45758</v>
      </c>
      <c r="AR369" s="11">
        <v>740</v>
      </c>
      <c r="AS369" s="11" t="s">
        <v>762</v>
      </c>
      <c r="AT369" s="11" t="s">
        <v>2426</v>
      </c>
      <c r="AU369" s="2">
        <v>46178</v>
      </c>
    </row>
    <row r="370" spans="1:47" x14ac:dyDescent="0.25">
      <c r="A370" s="10" t="s">
        <v>2316</v>
      </c>
      <c r="B370" s="11" t="s">
        <v>2341</v>
      </c>
      <c r="C370" s="11">
        <v>0</v>
      </c>
      <c r="D370" s="11" t="s">
        <v>108</v>
      </c>
      <c r="E370" s="11"/>
      <c r="F370" s="11"/>
      <c r="G370" s="11" t="s">
        <v>52</v>
      </c>
      <c r="H370" s="11">
        <v>18</v>
      </c>
      <c r="I370" s="11" t="s">
        <v>2367</v>
      </c>
      <c r="J370" s="11" t="s">
        <v>42</v>
      </c>
      <c r="K370" s="11">
        <f>Table1[[#This Row],[ENR]]-Table1[[#This Row],[CREDIT]]</f>
        <v>10625.589999999997</v>
      </c>
      <c r="L370" s="43">
        <v>120000</v>
      </c>
      <c r="M370" s="30">
        <v>130625.59</v>
      </c>
      <c r="N370" s="44" t="s">
        <v>43</v>
      </c>
      <c r="O370" s="29">
        <v>130625.59</v>
      </c>
      <c r="P370" s="29">
        <v>118663.73</v>
      </c>
      <c r="Q370" s="29">
        <v>29590</v>
      </c>
      <c r="R370" s="29">
        <v>10460</v>
      </c>
      <c r="S370" s="11" t="s">
        <v>44</v>
      </c>
      <c r="T370" s="11" t="s">
        <v>45</v>
      </c>
      <c r="U370" s="11">
        <v>0</v>
      </c>
      <c r="V370" s="29">
        <f>Table1[[#This Row],[STAB]]-Table1[[#This Row],[AMOUNT]]</f>
        <v>10460</v>
      </c>
      <c r="W370" s="11">
        <v>0</v>
      </c>
      <c r="X370" s="11" t="s">
        <v>83</v>
      </c>
      <c r="Y370" s="11">
        <v>0</v>
      </c>
      <c r="Z370" s="12" t="s">
        <v>85</v>
      </c>
      <c r="AA370" s="12" t="s">
        <v>611</v>
      </c>
      <c r="AB370" s="11" t="s">
        <v>3140</v>
      </c>
      <c r="AC370" s="11" t="s">
        <v>2393</v>
      </c>
      <c r="AD370" s="11" t="s">
        <v>2419</v>
      </c>
      <c r="AE370" s="11" t="s">
        <v>421</v>
      </c>
      <c r="AF370" s="11" t="s">
        <v>54</v>
      </c>
      <c r="AG370" s="11" t="s">
        <v>61</v>
      </c>
      <c r="AH370" s="11" t="s">
        <v>195</v>
      </c>
      <c r="AI370" s="11">
        <v>802551967</v>
      </c>
      <c r="AJ370" s="11" t="s">
        <v>99</v>
      </c>
      <c r="AK370" s="11"/>
      <c r="AL370" s="11"/>
      <c r="AM370" s="12" t="s">
        <v>64</v>
      </c>
      <c r="AN370" s="11" t="s">
        <v>219</v>
      </c>
      <c r="AO370" s="11" t="s">
        <v>3134</v>
      </c>
      <c r="AP370" s="11" t="s">
        <v>3119</v>
      </c>
      <c r="AQ370" s="3">
        <v>45476</v>
      </c>
      <c r="AR370" s="11">
        <v>4844.01</v>
      </c>
      <c r="AS370" s="11" t="s">
        <v>762</v>
      </c>
      <c r="AT370" s="11" t="s">
        <v>2426</v>
      </c>
      <c r="AU370" s="2">
        <v>46178</v>
      </c>
    </row>
    <row r="371" spans="1:47" x14ac:dyDescent="0.25">
      <c r="A371" s="10" t="s">
        <v>2301</v>
      </c>
      <c r="B371" s="11" t="s">
        <v>2327</v>
      </c>
      <c r="C371" s="11">
        <v>0</v>
      </c>
      <c r="D371" s="11" t="s">
        <v>108</v>
      </c>
      <c r="E371" s="11"/>
      <c r="F371" s="11"/>
      <c r="G371" s="11" t="s">
        <v>52</v>
      </c>
      <c r="H371" s="11">
        <v>18</v>
      </c>
      <c r="I371" s="11" t="s">
        <v>2352</v>
      </c>
      <c r="J371" s="11" t="s">
        <v>42</v>
      </c>
      <c r="K371" s="11">
        <f>Table1[[#This Row],[ENR]]-Table1[[#This Row],[CREDIT]]</f>
        <v>10391.460000000006</v>
      </c>
      <c r="L371" s="43">
        <v>110000</v>
      </c>
      <c r="M371" s="30">
        <v>120391.46</v>
      </c>
      <c r="N371" s="44">
        <v>101439.26</v>
      </c>
      <c r="O371" s="29">
        <v>18952.2</v>
      </c>
      <c r="P371" s="29">
        <v>15507.32</v>
      </c>
      <c r="Q371" s="29">
        <v>18952.2</v>
      </c>
      <c r="R371" s="29">
        <v>7943.25</v>
      </c>
      <c r="S371" s="11" t="s">
        <v>44</v>
      </c>
      <c r="T371" s="11" t="s">
        <v>45</v>
      </c>
      <c r="U371" s="11">
        <v>0</v>
      </c>
      <c r="V371" s="29">
        <f>Table1[[#This Row],[STAB]]-Table1[[#This Row],[AMOUNT]]</f>
        <v>7943.25</v>
      </c>
      <c r="W371" s="11">
        <v>0</v>
      </c>
      <c r="X371" s="11" t="s">
        <v>83</v>
      </c>
      <c r="Y371" s="11">
        <v>0</v>
      </c>
      <c r="Z371" s="11" t="s">
        <v>85</v>
      </c>
      <c r="AA371" s="11" t="s">
        <v>612</v>
      </c>
      <c r="AB371" s="11" t="s">
        <v>3139</v>
      </c>
      <c r="AC371" s="11" t="s">
        <v>2378</v>
      </c>
      <c r="AD371" s="11" t="s">
        <v>2404</v>
      </c>
      <c r="AE371" s="11" t="s">
        <v>413</v>
      </c>
      <c r="AF371" s="11" t="s">
        <v>54</v>
      </c>
      <c r="AG371" s="11" t="s">
        <v>129</v>
      </c>
      <c r="AH371" s="11" t="s">
        <v>753</v>
      </c>
      <c r="AI371" s="11">
        <v>802794852</v>
      </c>
      <c r="AJ371" s="11" t="s">
        <v>190</v>
      </c>
      <c r="AK371" s="11"/>
      <c r="AL371" s="11"/>
      <c r="AM371" s="12" t="s">
        <v>64</v>
      </c>
      <c r="AN371" s="11" t="s">
        <v>115</v>
      </c>
      <c r="AO371" s="11" t="s">
        <v>2448</v>
      </c>
      <c r="AP371" s="11" t="s">
        <v>2296</v>
      </c>
      <c r="AQ371" s="3">
        <v>45967</v>
      </c>
      <c r="AR371" s="11">
        <v>7007.51</v>
      </c>
      <c r="AS371" s="11" t="s">
        <v>1493</v>
      </c>
      <c r="AT371" s="11" t="s">
        <v>2426</v>
      </c>
      <c r="AU371" s="2">
        <v>46178</v>
      </c>
    </row>
    <row r="372" spans="1:47" x14ac:dyDescent="0.25">
      <c r="A372" s="10" t="s">
        <v>2315</v>
      </c>
      <c r="B372" s="11" t="s">
        <v>2340</v>
      </c>
      <c r="C372" s="11">
        <v>0</v>
      </c>
      <c r="D372" s="11" t="s">
        <v>108</v>
      </c>
      <c r="E372" s="11"/>
      <c r="F372" s="11"/>
      <c r="G372" s="11" t="s">
        <v>52</v>
      </c>
      <c r="H372" s="11">
        <v>18</v>
      </c>
      <c r="I372" s="11" t="s">
        <v>2366</v>
      </c>
      <c r="J372" s="11" t="s">
        <v>42</v>
      </c>
      <c r="K372" s="11">
        <f>Table1[[#This Row],[ENR]]-Table1[[#This Row],[CREDIT]]</f>
        <v>10722.580000000002</v>
      </c>
      <c r="L372" s="43">
        <v>90000</v>
      </c>
      <c r="M372" s="30">
        <v>100722.58</v>
      </c>
      <c r="N372" s="44" t="s">
        <v>43</v>
      </c>
      <c r="O372" s="29">
        <v>100722.58</v>
      </c>
      <c r="P372" s="29">
        <v>88000</v>
      </c>
      <c r="Q372" s="29">
        <v>31260</v>
      </c>
      <c r="R372" s="29">
        <v>16420</v>
      </c>
      <c r="S372" s="11" t="s">
        <v>58</v>
      </c>
      <c r="T372" s="11" t="s">
        <v>14</v>
      </c>
      <c r="U372" s="29">
        <v>16500</v>
      </c>
      <c r="V372" s="29">
        <f>Table1[[#This Row],[STAB]]-Table1[[#This Row],[AMOUNT]]</f>
        <v>-80</v>
      </c>
      <c r="W372" s="11" t="s">
        <v>3473</v>
      </c>
      <c r="X372" s="11" t="s">
        <v>444</v>
      </c>
      <c r="Y372" s="11" t="s">
        <v>1085</v>
      </c>
      <c r="Z372" s="12" t="s">
        <v>85</v>
      </c>
      <c r="AA372" s="12" t="s">
        <v>613</v>
      </c>
      <c r="AB372" s="11" t="s">
        <v>3139</v>
      </c>
      <c r="AC372" s="11" t="s">
        <v>2392</v>
      </c>
      <c r="AD372" s="11" t="s">
        <v>2418</v>
      </c>
      <c r="AE372" s="11" t="s">
        <v>104</v>
      </c>
      <c r="AF372" s="11" t="s">
        <v>54</v>
      </c>
      <c r="AG372" s="11" t="s">
        <v>610</v>
      </c>
      <c r="AH372" s="11" t="s">
        <v>627</v>
      </c>
      <c r="AI372" s="11">
        <v>801772792</v>
      </c>
      <c r="AJ372" s="11" t="s">
        <v>191</v>
      </c>
      <c r="AK372" s="11"/>
      <c r="AL372" s="11"/>
      <c r="AM372" s="12" t="s">
        <v>64</v>
      </c>
      <c r="AN372" s="11" t="s">
        <v>219</v>
      </c>
      <c r="AO372" s="11" t="s">
        <v>3136</v>
      </c>
      <c r="AP372" s="11" t="s">
        <v>3119</v>
      </c>
      <c r="AQ372" s="3">
        <v>45439</v>
      </c>
      <c r="AR372" s="11">
        <v>14910</v>
      </c>
      <c r="AS372" s="11" t="s">
        <v>762</v>
      </c>
      <c r="AT372" s="11" t="s">
        <v>2426</v>
      </c>
      <c r="AU372" s="2">
        <v>46178</v>
      </c>
    </row>
    <row r="373" spans="1:47" x14ac:dyDescent="0.25">
      <c r="A373" s="10" t="s">
        <v>2318</v>
      </c>
      <c r="B373" s="11" t="s">
        <v>2343</v>
      </c>
      <c r="C373" s="11">
        <v>0</v>
      </c>
      <c r="D373" s="11" t="s">
        <v>108</v>
      </c>
      <c r="E373" s="11"/>
      <c r="F373" s="11"/>
      <c r="G373" s="11" t="s">
        <v>52</v>
      </c>
      <c r="H373" s="11">
        <v>18</v>
      </c>
      <c r="I373" s="11" t="s">
        <v>2369</v>
      </c>
      <c r="J373" s="11" t="s">
        <v>336</v>
      </c>
      <c r="K373" s="11">
        <f>Table1[[#This Row],[ENR]]-Table1[[#This Row],[CREDIT]]</f>
        <v>-55671.820000000007</v>
      </c>
      <c r="L373" s="43">
        <v>150000</v>
      </c>
      <c r="M373" s="30">
        <v>94328.18</v>
      </c>
      <c r="N373" s="44" t="s">
        <v>43</v>
      </c>
      <c r="O373" s="29">
        <v>94328.18</v>
      </c>
      <c r="P373" s="29">
        <v>90127.7</v>
      </c>
      <c r="Q373" s="29">
        <v>10960</v>
      </c>
      <c r="R373" s="29">
        <v>5960</v>
      </c>
      <c r="S373" s="11" t="s">
        <v>58</v>
      </c>
      <c r="T373" s="11" t="s">
        <v>13</v>
      </c>
      <c r="U373" s="11">
        <v>11000</v>
      </c>
      <c r="V373" s="29">
        <f>Table1[[#This Row],[STAB]]-Table1[[#This Row],[AMOUNT]]</f>
        <v>-5040</v>
      </c>
      <c r="W373" s="11" t="s">
        <v>3463</v>
      </c>
      <c r="X373" s="11" t="s">
        <v>451</v>
      </c>
      <c r="Y373" s="11" t="s">
        <v>1085</v>
      </c>
      <c r="Z373" s="11" t="s">
        <v>85</v>
      </c>
      <c r="AA373" s="11" t="s">
        <v>611</v>
      </c>
      <c r="AB373" s="11" t="s">
        <v>3140</v>
      </c>
      <c r="AC373" s="11" t="s">
        <v>2395</v>
      </c>
      <c r="AD373" s="11" t="s">
        <v>2421</v>
      </c>
      <c r="AE373" s="11" t="s">
        <v>421</v>
      </c>
      <c r="AF373" s="11" t="s">
        <v>54</v>
      </c>
      <c r="AG373" s="11" t="s">
        <v>119</v>
      </c>
      <c r="AH373" s="11" t="s">
        <v>626</v>
      </c>
      <c r="AI373" s="11">
        <v>802663344</v>
      </c>
      <c r="AJ373" s="11" t="s">
        <v>191</v>
      </c>
      <c r="AK373" s="11"/>
      <c r="AL373" s="11"/>
      <c r="AM373" s="12" t="s">
        <v>64</v>
      </c>
      <c r="AN373" s="11"/>
      <c r="AO373" s="11"/>
      <c r="AP373" s="11"/>
      <c r="AQ373" s="3">
        <v>46137</v>
      </c>
      <c r="AR373" s="11">
        <v>8000</v>
      </c>
      <c r="AS373" s="11" t="s">
        <v>762</v>
      </c>
      <c r="AT373" s="11" t="s">
        <v>2426</v>
      </c>
      <c r="AU373" s="2">
        <v>46178</v>
      </c>
    </row>
    <row r="374" spans="1:47" x14ac:dyDescent="0.25">
      <c r="A374" s="45" t="s">
        <v>2317</v>
      </c>
      <c r="B374" s="12" t="s">
        <v>2342</v>
      </c>
      <c r="C374" s="11">
        <v>0</v>
      </c>
      <c r="D374" s="11" t="s">
        <v>108</v>
      </c>
      <c r="E374" s="12"/>
      <c r="F374" s="12"/>
      <c r="G374" s="11" t="s">
        <v>52</v>
      </c>
      <c r="H374" s="12">
        <v>18</v>
      </c>
      <c r="I374" s="12" t="s">
        <v>2368</v>
      </c>
      <c r="J374" s="12" t="s">
        <v>42</v>
      </c>
      <c r="K374" s="12">
        <f>Table1[[#This Row],[ENR]]-Table1[[#This Row],[CREDIT]]</f>
        <v>9083.14</v>
      </c>
      <c r="L374" s="46">
        <v>70000</v>
      </c>
      <c r="M374" s="47">
        <v>79083.14</v>
      </c>
      <c r="N374" s="48" t="s">
        <v>43</v>
      </c>
      <c r="O374" s="49">
        <v>79083.14</v>
      </c>
      <c r="P374" s="49">
        <v>69999.17</v>
      </c>
      <c r="Q374" s="29">
        <v>21030</v>
      </c>
      <c r="R374" s="29">
        <v>8460</v>
      </c>
      <c r="S374" s="11" t="s">
        <v>58</v>
      </c>
      <c r="T374" s="11" t="s">
        <v>14</v>
      </c>
      <c r="U374" s="29">
        <v>8500</v>
      </c>
      <c r="V374" s="49">
        <f>Table1[[#This Row],[STAB]]-Table1[[#This Row],[AMOUNT]]</f>
        <v>-40</v>
      </c>
      <c r="W374" s="11" t="s">
        <v>3473</v>
      </c>
      <c r="X374" s="11" t="s">
        <v>451</v>
      </c>
      <c r="Y374" s="11" t="s">
        <v>1085</v>
      </c>
      <c r="Z374" s="12" t="s">
        <v>85</v>
      </c>
      <c r="AA374" s="12" t="s">
        <v>447</v>
      </c>
      <c r="AB374" s="12" t="s">
        <v>3139</v>
      </c>
      <c r="AC374" s="12" t="s">
        <v>2394</v>
      </c>
      <c r="AD374" s="12" t="s">
        <v>2420</v>
      </c>
      <c r="AE374" s="12" t="s">
        <v>104</v>
      </c>
      <c r="AF374" s="12" t="s">
        <v>54</v>
      </c>
      <c r="AG374" s="12" t="s">
        <v>610</v>
      </c>
      <c r="AH374" s="12" t="s">
        <v>627</v>
      </c>
      <c r="AI374" s="12">
        <v>801772792</v>
      </c>
      <c r="AJ374" s="11" t="s">
        <v>191</v>
      </c>
      <c r="AK374" s="12"/>
      <c r="AL374" s="12"/>
      <c r="AM374" s="12" t="s">
        <v>64</v>
      </c>
      <c r="AN374" s="12" t="s">
        <v>221</v>
      </c>
      <c r="AO374" s="12" t="s">
        <v>3216</v>
      </c>
      <c r="AP374" s="12" t="s">
        <v>3206</v>
      </c>
      <c r="AQ374" s="50">
        <v>46039</v>
      </c>
      <c r="AR374" s="12">
        <v>5780</v>
      </c>
      <c r="AS374" s="12" t="s">
        <v>762</v>
      </c>
      <c r="AT374" s="11" t="s">
        <v>2426</v>
      </c>
      <c r="AU374" s="51">
        <v>46178</v>
      </c>
    </row>
    <row r="375" spans="1:47" x14ac:dyDescent="0.25">
      <c r="A375" s="10" t="s">
        <v>2304</v>
      </c>
      <c r="B375" s="11" t="s">
        <v>2330</v>
      </c>
      <c r="C375" s="11">
        <v>0</v>
      </c>
      <c r="D375" s="11" t="s">
        <v>108</v>
      </c>
      <c r="E375" s="11"/>
      <c r="F375" s="11"/>
      <c r="G375" s="11" t="s">
        <v>90</v>
      </c>
      <c r="H375" s="11">
        <v>18</v>
      </c>
      <c r="I375" s="11" t="s">
        <v>2355</v>
      </c>
      <c r="J375" s="11" t="s">
        <v>42</v>
      </c>
      <c r="K375" s="11">
        <f>Table1[[#This Row],[ENR]]-Table1[[#This Row],[CREDIT]]</f>
        <v>-28051.539999999994</v>
      </c>
      <c r="L375" s="43">
        <v>103000</v>
      </c>
      <c r="M375" s="30">
        <v>74948.460000000006</v>
      </c>
      <c r="N375" s="44">
        <v>1934.56</v>
      </c>
      <c r="O375" s="29">
        <v>73013.899999999994</v>
      </c>
      <c r="P375" s="29">
        <v>68220.149999999994</v>
      </c>
      <c r="Q375" s="29">
        <v>20090</v>
      </c>
      <c r="R375" s="29">
        <v>10250</v>
      </c>
      <c r="S375" s="11" t="s">
        <v>58</v>
      </c>
      <c r="T375" s="11" t="s">
        <v>14</v>
      </c>
      <c r="U375" s="29">
        <v>10251</v>
      </c>
      <c r="V375" s="29">
        <f>Table1[[#This Row],[STAB]]-Table1[[#This Row],[AMOUNT]]</f>
        <v>-1</v>
      </c>
      <c r="W375" s="11" t="s">
        <v>3473</v>
      </c>
      <c r="X375" s="11" t="s">
        <v>444</v>
      </c>
      <c r="Y375" s="11" t="s">
        <v>1085</v>
      </c>
      <c r="Z375" s="11" t="s">
        <v>85</v>
      </c>
      <c r="AA375" s="11" t="s">
        <v>611</v>
      </c>
      <c r="AB375" s="11" t="s">
        <v>3139</v>
      </c>
      <c r="AC375" s="11" t="s">
        <v>2381</v>
      </c>
      <c r="AD375" s="11" t="s">
        <v>2407</v>
      </c>
      <c r="AE375" s="11" t="s">
        <v>125</v>
      </c>
      <c r="AF375" s="11" t="s">
        <v>127</v>
      </c>
      <c r="AG375" s="11" t="s">
        <v>56</v>
      </c>
      <c r="AH375" s="11" t="s">
        <v>462</v>
      </c>
      <c r="AI375" s="11">
        <v>801448854</v>
      </c>
      <c r="AJ375" s="11" t="s">
        <v>191</v>
      </c>
      <c r="AK375" s="11"/>
      <c r="AL375" s="11"/>
      <c r="AM375" s="12" t="s">
        <v>64</v>
      </c>
      <c r="AN375" s="11" t="s">
        <v>115</v>
      </c>
      <c r="AO375" s="11" t="s">
        <v>3232</v>
      </c>
      <c r="AP375" s="11" t="s">
        <v>3206</v>
      </c>
      <c r="AQ375" s="3">
        <v>46153</v>
      </c>
      <c r="AR375" s="11">
        <v>12030</v>
      </c>
      <c r="AS375" s="11" t="s">
        <v>762</v>
      </c>
      <c r="AT375" s="11" t="s">
        <v>2426</v>
      </c>
      <c r="AU375" s="2">
        <v>46178</v>
      </c>
    </row>
    <row r="376" spans="1:47" x14ac:dyDescent="0.25">
      <c r="A376" s="10" t="s">
        <v>2300</v>
      </c>
      <c r="B376" s="11" t="s">
        <v>2326</v>
      </c>
      <c r="C376" s="11">
        <v>0</v>
      </c>
      <c r="D376" s="11" t="s">
        <v>108</v>
      </c>
      <c r="E376" s="11"/>
      <c r="F376" s="11"/>
      <c r="G376" s="11" t="s">
        <v>52</v>
      </c>
      <c r="H376" s="11">
        <v>18</v>
      </c>
      <c r="I376" s="11" t="s">
        <v>2351</v>
      </c>
      <c r="J376" s="11" t="s">
        <v>42</v>
      </c>
      <c r="K376" s="11">
        <f>Table1[[#This Row],[ENR]]-Table1[[#This Row],[CREDIT]]</f>
        <v>7811.8899999999994</v>
      </c>
      <c r="L376" s="43">
        <v>60000</v>
      </c>
      <c r="M376" s="30">
        <v>67811.89</v>
      </c>
      <c r="N376" s="44" t="s">
        <v>43</v>
      </c>
      <c r="O376" s="29">
        <v>67811.89</v>
      </c>
      <c r="P376" s="29">
        <v>56738.77</v>
      </c>
      <c r="Q376" s="29">
        <v>21990</v>
      </c>
      <c r="R376" s="29">
        <v>8420</v>
      </c>
      <c r="S376" s="11" t="s">
        <v>58</v>
      </c>
      <c r="T376" s="11" t="s">
        <v>14</v>
      </c>
      <c r="U376" s="29">
        <v>10000</v>
      </c>
      <c r="V376" s="29">
        <f>Table1[[#This Row],[STAB]]-Table1[[#This Row],[AMOUNT]]</f>
        <v>-1580</v>
      </c>
      <c r="W376" s="11" t="s">
        <v>3238</v>
      </c>
      <c r="X376" s="11" t="s">
        <v>444</v>
      </c>
      <c r="Y376" s="11" t="s">
        <v>760</v>
      </c>
      <c r="Z376" s="11" t="s">
        <v>85</v>
      </c>
      <c r="AA376" s="11" t="s">
        <v>613</v>
      </c>
      <c r="AB376" s="11" t="s">
        <v>3139</v>
      </c>
      <c r="AC376" s="11" t="s">
        <v>2377</v>
      </c>
      <c r="AD376" s="11" t="s">
        <v>2403</v>
      </c>
      <c r="AE376" s="11" t="s">
        <v>104</v>
      </c>
      <c r="AF376" s="11" t="s">
        <v>54</v>
      </c>
      <c r="AG376" s="11" t="s">
        <v>610</v>
      </c>
      <c r="AH376" s="11" t="s">
        <v>627</v>
      </c>
      <c r="AI376" s="11">
        <v>801772792</v>
      </c>
      <c r="AJ376" s="11" t="s">
        <v>191</v>
      </c>
      <c r="AK376" s="11"/>
      <c r="AL376" s="11"/>
      <c r="AM376" s="12" t="s">
        <v>64</v>
      </c>
      <c r="AN376" s="11" t="s">
        <v>221</v>
      </c>
      <c r="AO376" s="11" t="s">
        <v>3178</v>
      </c>
      <c r="AP376" s="11" t="s">
        <v>3169</v>
      </c>
      <c r="AQ376" s="3">
        <v>46125</v>
      </c>
      <c r="AR376" s="11">
        <v>16850</v>
      </c>
      <c r="AS376" s="11" t="s">
        <v>1493</v>
      </c>
      <c r="AT376" s="11" t="s">
        <v>2426</v>
      </c>
      <c r="AU376" s="2">
        <v>46178</v>
      </c>
    </row>
    <row r="377" spans="1:47" x14ac:dyDescent="0.25">
      <c r="A377" s="10" t="s">
        <v>1763</v>
      </c>
      <c r="B377" s="11" t="s">
        <v>1860</v>
      </c>
      <c r="C377" s="11">
        <v>0</v>
      </c>
      <c r="D377" s="11" t="s">
        <v>108</v>
      </c>
      <c r="E377" s="11"/>
      <c r="F377" s="11"/>
      <c r="G377" s="11" t="s">
        <v>90</v>
      </c>
      <c r="H377" s="11">
        <v>20</v>
      </c>
      <c r="I377" s="11" t="s">
        <v>1957</v>
      </c>
      <c r="J377" s="11" t="s">
        <v>42</v>
      </c>
      <c r="K377" s="11">
        <f>Table1[[#This Row],[ENR]]-Table1[[#This Row],[CREDIT]]</f>
        <v>-39824.160000000033</v>
      </c>
      <c r="L377" s="43">
        <v>740000</v>
      </c>
      <c r="M377" s="30">
        <v>700175.84</v>
      </c>
      <c r="N377" s="44">
        <v>228692.34</v>
      </c>
      <c r="O377" s="29">
        <v>471483.5</v>
      </c>
      <c r="P377" s="29">
        <v>431887.27</v>
      </c>
      <c r="Q377" s="29">
        <v>181460</v>
      </c>
      <c r="R377" s="29">
        <v>91050</v>
      </c>
      <c r="S377" s="11" t="s">
        <v>58</v>
      </c>
      <c r="T377" s="11" t="s">
        <v>14</v>
      </c>
      <c r="U377" s="29">
        <v>91050</v>
      </c>
      <c r="V377" s="29">
        <f>Table1[[#This Row],[STAB]]-Table1[[#This Row],[AMOUNT]]</f>
        <v>0</v>
      </c>
      <c r="W377" s="11" t="s">
        <v>3473</v>
      </c>
      <c r="X377" s="11" t="s">
        <v>451</v>
      </c>
      <c r="Y377" s="11" t="s">
        <v>760</v>
      </c>
      <c r="Z377" s="11" t="s">
        <v>88</v>
      </c>
      <c r="AA377" s="11" t="s">
        <v>91</v>
      </c>
      <c r="AB377" s="11" t="s">
        <v>3139</v>
      </c>
      <c r="AC377" s="11" t="s">
        <v>2054</v>
      </c>
      <c r="AD377" s="11" t="s">
        <v>2143</v>
      </c>
      <c r="AE377" s="11" t="s">
        <v>1071</v>
      </c>
      <c r="AF377" s="11" t="s">
        <v>53</v>
      </c>
      <c r="AG377" s="11" t="s">
        <v>55</v>
      </c>
      <c r="AH377" s="11" t="s">
        <v>468</v>
      </c>
      <c r="AI377" s="11">
        <v>802030802</v>
      </c>
      <c r="AJ377" s="11" t="s">
        <v>458</v>
      </c>
      <c r="AK377" s="11"/>
      <c r="AL377" s="11"/>
      <c r="AM377" s="12" t="s">
        <v>64</v>
      </c>
      <c r="AN377" s="11" t="s">
        <v>115</v>
      </c>
      <c r="AO377" s="11" t="s">
        <v>3478</v>
      </c>
      <c r="AP377" s="11" t="s">
        <v>3473</v>
      </c>
      <c r="AQ377" s="3">
        <v>46099</v>
      </c>
      <c r="AR377" s="11">
        <v>13492</v>
      </c>
      <c r="AS377" s="11" t="s">
        <v>435</v>
      </c>
      <c r="AT377" s="11" t="s">
        <v>2152</v>
      </c>
      <c r="AU377" s="2">
        <v>46180</v>
      </c>
    </row>
    <row r="378" spans="1:47" x14ac:dyDescent="0.25">
      <c r="A378" s="10" t="s">
        <v>1766</v>
      </c>
      <c r="B378" s="11" t="s">
        <v>1863</v>
      </c>
      <c r="C378" s="11">
        <v>0</v>
      </c>
      <c r="D378" s="11" t="s">
        <v>108</v>
      </c>
      <c r="E378" s="11"/>
      <c r="F378" s="11"/>
      <c r="G378" s="11" t="s">
        <v>52</v>
      </c>
      <c r="H378" s="11">
        <v>20</v>
      </c>
      <c r="I378" s="11" t="s">
        <v>1960</v>
      </c>
      <c r="J378" s="11" t="s">
        <v>42</v>
      </c>
      <c r="K378" s="11">
        <f>Table1[[#This Row],[ENR]]-Table1[[#This Row],[CREDIT]]</f>
        <v>198081.55000000005</v>
      </c>
      <c r="L378" s="43">
        <v>373000</v>
      </c>
      <c r="M378" s="30">
        <v>571081.55000000005</v>
      </c>
      <c r="N378" s="44" t="s">
        <v>43</v>
      </c>
      <c r="O378" s="29">
        <v>571081.55000000005</v>
      </c>
      <c r="P378" s="29">
        <v>535986.64</v>
      </c>
      <c r="Q378" s="29">
        <v>267790</v>
      </c>
      <c r="R378" s="29">
        <v>181830</v>
      </c>
      <c r="S378" s="11" t="s">
        <v>44</v>
      </c>
      <c r="T378" s="11" t="s">
        <v>45</v>
      </c>
      <c r="U378" s="11">
        <v>0</v>
      </c>
      <c r="V378" s="29">
        <f>Table1[[#This Row],[STAB]]-Table1[[#This Row],[AMOUNT]]</f>
        <v>181830</v>
      </c>
      <c r="W378" s="11">
        <v>0</v>
      </c>
      <c r="X378" s="11" t="s">
        <v>83</v>
      </c>
      <c r="Y378" s="11">
        <v>0</v>
      </c>
      <c r="Z378" s="11" t="s">
        <v>88</v>
      </c>
      <c r="AA378" s="11" t="s">
        <v>86</v>
      </c>
      <c r="AB378" s="11" t="s">
        <v>3139</v>
      </c>
      <c r="AC378" s="11" t="s">
        <v>2057</v>
      </c>
      <c r="AD378" s="11" t="s">
        <v>2146</v>
      </c>
      <c r="AE378" s="11" t="s">
        <v>604</v>
      </c>
      <c r="AF378" s="11" t="s">
        <v>439</v>
      </c>
      <c r="AG378" s="11" t="s">
        <v>63</v>
      </c>
      <c r="AH378" s="11" t="s">
        <v>467</v>
      </c>
      <c r="AI378" s="11">
        <v>801570488</v>
      </c>
      <c r="AJ378" s="11" t="s">
        <v>190</v>
      </c>
      <c r="AK378" s="11"/>
      <c r="AL378" s="11"/>
      <c r="AM378" s="12" t="s">
        <v>64</v>
      </c>
      <c r="AN378" s="11" t="s">
        <v>219</v>
      </c>
      <c r="AO378" s="11" t="s">
        <v>2443</v>
      </c>
      <c r="AP378" s="11" t="s">
        <v>2294</v>
      </c>
      <c r="AQ378" s="3">
        <v>45481</v>
      </c>
      <c r="AR378" s="11">
        <v>76956.11</v>
      </c>
      <c r="AS378" s="11" t="s">
        <v>47</v>
      </c>
      <c r="AT378" s="11" t="s">
        <v>2152</v>
      </c>
      <c r="AU378" s="2">
        <v>46180</v>
      </c>
    </row>
    <row r="379" spans="1:47" x14ac:dyDescent="0.25">
      <c r="A379" s="10" t="s">
        <v>3494</v>
      </c>
      <c r="B379" s="11" t="s">
        <v>3522</v>
      </c>
      <c r="C379" s="11">
        <v>0</v>
      </c>
      <c r="D379" s="11" t="s">
        <v>3451</v>
      </c>
      <c r="E379" s="11"/>
      <c r="F379" s="11"/>
      <c r="G379" s="11" t="s">
        <v>52</v>
      </c>
      <c r="H379" s="11">
        <v>20</v>
      </c>
      <c r="I379" s="11" t="s">
        <v>3550</v>
      </c>
      <c r="J379" s="11" t="s">
        <v>42</v>
      </c>
      <c r="K379" s="11">
        <f>Table1[[#This Row],[ENR]]-Table1[[#This Row],[CREDIT]]</f>
        <v>-28818.689999999944</v>
      </c>
      <c r="L379" s="43">
        <v>560000</v>
      </c>
      <c r="M379" s="30">
        <v>531181.31000000006</v>
      </c>
      <c r="N379" s="44" t="s">
        <v>43</v>
      </c>
      <c r="O379" s="29">
        <v>531181.31000000006</v>
      </c>
      <c r="P379" s="29">
        <v>503871.97</v>
      </c>
      <c r="Q379" s="11">
        <v>92040</v>
      </c>
      <c r="R379" s="29">
        <v>43103.3</v>
      </c>
      <c r="S379" s="11" t="s">
        <v>44</v>
      </c>
      <c r="T379" s="11" t="s">
        <v>45</v>
      </c>
      <c r="U379" s="11">
        <v>0</v>
      </c>
      <c r="V379" s="29">
        <f>Table1[[#This Row],[STAB]]-Table1[[#This Row],[AMOUNT]]</f>
        <v>43103.3</v>
      </c>
      <c r="W379" s="11">
        <v>0</v>
      </c>
      <c r="X379" s="11" t="s">
        <v>83</v>
      </c>
      <c r="Y379" s="11">
        <v>0</v>
      </c>
      <c r="Z379" s="11" t="s">
        <v>88</v>
      </c>
      <c r="AA379" s="11" t="s">
        <v>91</v>
      </c>
      <c r="AB379" s="11"/>
      <c r="AC379" s="11" t="s">
        <v>3578</v>
      </c>
      <c r="AD379" s="11" t="s">
        <v>3606</v>
      </c>
      <c r="AE379" s="11" t="s">
        <v>123</v>
      </c>
      <c r="AF379" s="11" t="s">
        <v>127</v>
      </c>
      <c r="AG379" s="11" t="s">
        <v>96</v>
      </c>
      <c r="AH379" s="11" t="s">
        <v>461</v>
      </c>
      <c r="AI379" s="11">
        <v>801436997</v>
      </c>
      <c r="AJ379" s="11" t="s">
        <v>190</v>
      </c>
      <c r="AK379" s="11"/>
      <c r="AL379" s="11"/>
      <c r="AM379" s="12" t="s">
        <v>46</v>
      </c>
      <c r="AN379" s="11"/>
      <c r="AO379" s="11"/>
      <c r="AP379" s="11"/>
      <c r="AQ379" s="3">
        <v>46142</v>
      </c>
      <c r="AR379" s="11">
        <v>68296.7</v>
      </c>
      <c r="AS379" s="11" t="s">
        <v>430</v>
      </c>
      <c r="AT379" s="11" t="s">
        <v>3631</v>
      </c>
      <c r="AU379" s="2">
        <v>46180</v>
      </c>
    </row>
    <row r="380" spans="1:47" x14ac:dyDescent="0.25">
      <c r="A380" s="10" t="s">
        <v>3496</v>
      </c>
      <c r="B380" s="11" t="s">
        <v>3524</v>
      </c>
      <c r="C380" s="11">
        <v>0</v>
      </c>
      <c r="D380" s="11" t="s">
        <v>3451</v>
      </c>
      <c r="E380" s="11"/>
      <c r="F380" s="11"/>
      <c r="G380" s="11" t="s">
        <v>52</v>
      </c>
      <c r="H380" s="11">
        <v>20</v>
      </c>
      <c r="I380" s="11" t="s">
        <v>3552</v>
      </c>
      <c r="J380" s="11" t="s">
        <v>42</v>
      </c>
      <c r="K380" s="11">
        <f>Table1[[#This Row],[ENR]]-Table1[[#This Row],[CREDIT]]</f>
        <v>26792.390000000014</v>
      </c>
      <c r="L380" s="43">
        <v>470000</v>
      </c>
      <c r="M380" s="30">
        <v>496792.39</v>
      </c>
      <c r="N380" s="44">
        <v>421036.89</v>
      </c>
      <c r="O380" s="29">
        <v>75755.5</v>
      </c>
      <c r="P380" s="29">
        <v>48958.64</v>
      </c>
      <c r="Q380" s="11">
        <v>75755.5</v>
      </c>
      <c r="R380" s="29">
        <v>10054.950000000001</v>
      </c>
      <c r="S380" s="11" t="s">
        <v>58</v>
      </c>
      <c r="T380" s="11" t="s">
        <v>14</v>
      </c>
      <c r="U380" s="29">
        <v>10122</v>
      </c>
      <c r="V380" s="29">
        <f>Table1[[#This Row],[STAB]]-Table1[[#This Row],[AMOUNT]]</f>
        <v>-67.049999999999272</v>
      </c>
      <c r="W380" s="11" t="s">
        <v>3642</v>
      </c>
      <c r="X380" s="11" t="s">
        <v>444</v>
      </c>
      <c r="Y380" s="11" t="s">
        <v>760</v>
      </c>
      <c r="Z380" s="11" t="s">
        <v>88</v>
      </c>
      <c r="AA380" s="11" t="s">
        <v>86</v>
      </c>
      <c r="AB380" s="11"/>
      <c r="AC380" s="11" t="s">
        <v>3580</v>
      </c>
      <c r="AD380" s="11" t="s">
        <v>3608</v>
      </c>
      <c r="AE380" s="11" t="s">
        <v>418</v>
      </c>
      <c r="AF380" s="11" t="s">
        <v>54</v>
      </c>
      <c r="AG380" s="11" t="s">
        <v>1086</v>
      </c>
      <c r="AH380" s="11" t="s">
        <v>85</v>
      </c>
      <c r="AI380" s="11">
        <v>801772794</v>
      </c>
      <c r="AJ380" s="11" t="s">
        <v>192</v>
      </c>
      <c r="AK380" s="11"/>
      <c r="AL380" s="11"/>
      <c r="AM380" s="12" t="s">
        <v>64</v>
      </c>
      <c r="AN380" s="11"/>
      <c r="AO380" s="11"/>
      <c r="AP380" s="11"/>
      <c r="AQ380" s="3">
        <v>46108</v>
      </c>
      <c r="AR380" s="11">
        <v>332</v>
      </c>
      <c r="AS380" s="11" t="s">
        <v>435</v>
      </c>
      <c r="AT380" s="11" t="s">
        <v>3631</v>
      </c>
      <c r="AU380" s="2">
        <v>46180</v>
      </c>
    </row>
    <row r="381" spans="1:47" x14ac:dyDescent="0.25">
      <c r="A381" s="10" t="s">
        <v>2477</v>
      </c>
      <c r="B381" s="11" t="s">
        <v>2607</v>
      </c>
      <c r="C381" s="11">
        <v>0</v>
      </c>
      <c r="D381" s="11" t="s">
        <v>108</v>
      </c>
      <c r="E381" s="11"/>
      <c r="F381" s="11"/>
      <c r="G381" s="11" t="s">
        <v>52</v>
      </c>
      <c r="H381" s="11">
        <v>20</v>
      </c>
      <c r="I381" s="11" t="s">
        <v>2735</v>
      </c>
      <c r="J381" s="11" t="s">
        <v>42</v>
      </c>
      <c r="K381" s="11">
        <f>Table1[[#This Row],[ENR]]-Table1[[#This Row],[CREDIT]]</f>
        <v>374106.52</v>
      </c>
      <c r="L381" s="43">
        <v>120000</v>
      </c>
      <c r="M381" s="30">
        <v>494106.52</v>
      </c>
      <c r="N381" s="44">
        <v>334299.84000000003</v>
      </c>
      <c r="O381" s="29">
        <v>159806.68</v>
      </c>
      <c r="P381" s="29">
        <v>144866.47</v>
      </c>
      <c r="Q381" s="29">
        <v>92830</v>
      </c>
      <c r="R381" s="29">
        <v>38170</v>
      </c>
      <c r="S381" s="11" t="s">
        <v>58</v>
      </c>
      <c r="T381" s="11" t="s">
        <v>14</v>
      </c>
      <c r="U381" s="29">
        <v>38170</v>
      </c>
      <c r="V381" s="29">
        <f>Table1[[#This Row],[STAB]]-Table1[[#This Row],[AMOUNT]]</f>
        <v>0</v>
      </c>
      <c r="W381" s="11" t="s">
        <v>3642</v>
      </c>
      <c r="X381" s="11" t="s">
        <v>451</v>
      </c>
      <c r="Y381" s="11" t="s">
        <v>1085</v>
      </c>
      <c r="Z381" s="11" t="s">
        <v>88</v>
      </c>
      <c r="AA381" s="11" t="s">
        <v>91</v>
      </c>
      <c r="AB381" s="11" t="s">
        <v>3139</v>
      </c>
      <c r="AC381" s="11" t="s">
        <v>2863</v>
      </c>
      <c r="AD381" s="11" t="s">
        <v>2992</v>
      </c>
      <c r="AE381" s="11" t="s">
        <v>422</v>
      </c>
      <c r="AF381" s="11" t="s">
        <v>127</v>
      </c>
      <c r="AG381" s="11" t="s">
        <v>57</v>
      </c>
      <c r="AH381" s="11" t="s">
        <v>464</v>
      </c>
      <c r="AI381" s="11">
        <v>802852449</v>
      </c>
      <c r="AJ381" s="11" t="s">
        <v>190</v>
      </c>
      <c r="AK381" s="11"/>
      <c r="AL381" s="11"/>
      <c r="AM381" s="12" t="s">
        <v>64</v>
      </c>
      <c r="AN381" s="11" t="s">
        <v>115</v>
      </c>
      <c r="AO381" s="11" t="s">
        <v>3202</v>
      </c>
      <c r="AP381" s="11" t="s">
        <v>3191</v>
      </c>
      <c r="AQ381" s="3">
        <v>45859</v>
      </c>
      <c r="AR381" s="11">
        <v>23660</v>
      </c>
      <c r="AS381" s="11" t="s">
        <v>48</v>
      </c>
      <c r="AT381" s="11" t="s">
        <v>3118</v>
      </c>
      <c r="AU381" s="2">
        <v>46180</v>
      </c>
    </row>
    <row r="382" spans="1:47" x14ac:dyDescent="0.25">
      <c r="A382" s="10" t="s">
        <v>2523</v>
      </c>
      <c r="B382" s="11" t="s">
        <v>2652</v>
      </c>
      <c r="C382" s="11">
        <v>0</v>
      </c>
      <c r="D382" s="11" t="s">
        <v>108</v>
      </c>
      <c r="E382" s="11"/>
      <c r="F382" s="11"/>
      <c r="G382" s="11" t="s">
        <v>52</v>
      </c>
      <c r="H382" s="11">
        <v>20</v>
      </c>
      <c r="I382" s="11" t="s">
        <v>2780</v>
      </c>
      <c r="J382" s="11" t="s">
        <v>42</v>
      </c>
      <c r="K382" s="11">
        <f>Table1[[#This Row],[ENR]]-Table1[[#This Row],[CREDIT]]</f>
        <v>46001.590000000026</v>
      </c>
      <c r="L382" s="43">
        <v>430000</v>
      </c>
      <c r="M382" s="30">
        <v>476001.59</v>
      </c>
      <c r="N382" s="44" t="s">
        <v>43</v>
      </c>
      <c r="O382" s="29">
        <v>476001.59</v>
      </c>
      <c r="P382" s="29">
        <v>428257.87</v>
      </c>
      <c r="Q382" s="29">
        <v>116270</v>
      </c>
      <c r="R382" s="29">
        <v>55310</v>
      </c>
      <c r="S382" s="11" t="s">
        <v>58</v>
      </c>
      <c r="T382" s="11" t="s">
        <v>14</v>
      </c>
      <c r="U382" s="29">
        <v>55500</v>
      </c>
      <c r="V382" s="29">
        <f>Table1[[#This Row],[STAB]]-Table1[[#This Row],[AMOUNT]]</f>
        <v>-190</v>
      </c>
      <c r="W382" s="11" t="s">
        <v>3473</v>
      </c>
      <c r="X382" s="11" t="s">
        <v>444</v>
      </c>
      <c r="Y382" s="11" t="s">
        <v>760</v>
      </c>
      <c r="Z382" s="11" t="s">
        <v>88</v>
      </c>
      <c r="AA382" s="12" t="s">
        <v>91</v>
      </c>
      <c r="AB382" s="11" t="s">
        <v>3139</v>
      </c>
      <c r="AC382" s="11" t="s">
        <v>2909</v>
      </c>
      <c r="AD382" s="11" t="s">
        <v>3037</v>
      </c>
      <c r="AE382" s="11" t="s">
        <v>417</v>
      </c>
      <c r="AF382" s="11" t="s">
        <v>127</v>
      </c>
      <c r="AG382" s="11" t="s">
        <v>128</v>
      </c>
      <c r="AH382" s="11" t="s">
        <v>462</v>
      </c>
      <c r="AI382" s="11">
        <v>801448854</v>
      </c>
      <c r="AJ382" s="11" t="s">
        <v>191</v>
      </c>
      <c r="AK382" s="11"/>
      <c r="AL382" s="11"/>
      <c r="AM382" s="12" t="s">
        <v>64</v>
      </c>
      <c r="AN382" s="11" t="s">
        <v>221</v>
      </c>
      <c r="AO382" s="11" t="s">
        <v>3482</v>
      </c>
      <c r="AP382" s="11" t="s">
        <v>3473</v>
      </c>
      <c r="AQ382" s="3">
        <v>45451</v>
      </c>
      <c r="AR382" s="11">
        <v>60000</v>
      </c>
      <c r="AS382" s="11" t="s">
        <v>435</v>
      </c>
      <c r="AT382" s="11" t="s">
        <v>3118</v>
      </c>
      <c r="AU382" s="2">
        <v>46180</v>
      </c>
    </row>
    <row r="383" spans="1:47" x14ac:dyDescent="0.25">
      <c r="A383" s="10" t="s">
        <v>1762</v>
      </c>
      <c r="B383" s="11" t="s">
        <v>1859</v>
      </c>
      <c r="C383" s="11">
        <v>0</v>
      </c>
      <c r="D383" s="11" t="s">
        <v>108</v>
      </c>
      <c r="E383" s="11"/>
      <c r="F383" s="11"/>
      <c r="G383" s="11" t="s">
        <v>52</v>
      </c>
      <c r="H383" s="11">
        <v>20</v>
      </c>
      <c r="I383" s="11" t="s">
        <v>1956</v>
      </c>
      <c r="J383" s="11" t="s">
        <v>42</v>
      </c>
      <c r="K383" s="11">
        <f>Table1[[#This Row],[ENR]]-Table1[[#This Row],[CREDIT]]</f>
        <v>28390.510000000009</v>
      </c>
      <c r="L383" s="43">
        <v>420000</v>
      </c>
      <c r="M383" s="30">
        <v>448390.51</v>
      </c>
      <c r="N383" s="44" t="s">
        <v>43</v>
      </c>
      <c r="O383" s="29">
        <v>448390.51</v>
      </c>
      <c r="P383" s="29">
        <v>419848</v>
      </c>
      <c r="Q383" s="29">
        <v>96450</v>
      </c>
      <c r="R383" s="29">
        <v>21010</v>
      </c>
      <c r="S383" s="11" t="s">
        <v>44</v>
      </c>
      <c r="T383" s="11" t="s">
        <v>45</v>
      </c>
      <c r="U383" s="11">
        <v>0</v>
      </c>
      <c r="V383" s="29">
        <f>Table1[[#This Row],[STAB]]-Table1[[#This Row],[AMOUNT]]</f>
        <v>21010</v>
      </c>
      <c r="W383" s="11">
        <v>0</v>
      </c>
      <c r="X383" s="11" t="s">
        <v>83</v>
      </c>
      <c r="Y383" s="11">
        <v>0</v>
      </c>
      <c r="Z383" s="11" t="s">
        <v>88</v>
      </c>
      <c r="AA383" s="11" t="s">
        <v>86</v>
      </c>
      <c r="AB383" s="11" t="s">
        <v>3139</v>
      </c>
      <c r="AC383" s="11" t="s">
        <v>2053</v>
      </c>
      <c r="AD383" s="11" t="s">
        <v>2142</v>
      </c>
      <c r="AE383" s="11" t="s">
        <v>104</v>
      </c>
      <c r="AF383" s="11" t="s">
        <v>54</v>
      </c>
      <c r="AG383" s="11" t="s">
        <v>109</v>
      </c>
      <c r="AH383" s="11" t="s">
        <v>196</v>
      </c>
      <c r="AI383" s="11">
        <v>802555024</v>
      </c>
      <c r="AJ383" s="11" t="s">
        <v>99</v>
      </c>
      <c r="AK383" s="11"/>
      <c r="AL383" s="11"/>
      <c r="AM383" s="12" t="s">
        <v>64</v>
      </c>
      <c r="AN383" s="11" t="s">
        <v>115</v>
      </c>
      <c r="AO383" s="11" t="s">
        <v>3485</v>
      </c>
      <c r="AP383" s="11" t="s">
        <v>3484</v>
      </c>
      <c r="AQ383" s="3">
        <v>45907</v>
      </c>
      <c r="AR383" s="11">
        <v>50000</v>
      </c>
      <c r="AS383" s="11" t="s">
        <v>144</v>
      </c>
      <c r="AT383" s="11" t="s">
        <v>2152</v>
      </c>
      <c r="AU383" s="2">
        <v>46180</v>
      </c>
    </row>
    <row r="384" spans="1:47" x14ac:dyDescent="0.25">
      <c r="A384" s="10" t="s">
        <v>1765</v>
      </c>
      <c r="B384" s="11" t="s">
        <v>1862</v>
      </c>
      <c r="C384" s="11">
        <v>0</v>
      </c>
      <c r="D384" s="11" t="s">
        <v>108</v>
      </c>
      <c r="E384" s="11"/>
      <c r="F384" s="11"/>
      <c r="G384" s="11" t="s">
        <v>52</v>
      </c>
      <c r="H384" s="11">
        <v>20</v>
      </c>
      <c r="I384" s="11" t="s">
        <v>1959</v>
      </c>
      <c r="J384" s="11" t="s">
        <v>42</v>
      </c>
      <c r="K384" s="11">
        <f>Table1[[#This Row],[ENR]]-Table1[[#This Row],[CREDIT]]</f>
        <v>25223.260000000009</v>
      </c>
      <c r="L384" s="43">
        <v>400000</v>
      </c>
      <c r="M384" s="30">
        <v>425223.26</v>
      </c>
      <c r="N384" s="44">
        <v>152574.74</v>
      </c>
      <c r="O384" s="29">
        <v>272648.52</v>
      </c>
      <c r="P384" s="29">
        <v>242663.26</v>
      </c>
      <c r="Q384" s="29">
        <v>71250</v>
      </c>
      <c r="R384" s="29">
        <v>30700</v>
      </c>
      <c r="S384" s="11" t="s">
        <v>44</v>
      </c>
      <c r="T384" s="11" t="s">
        <v>45</v>
      </c>
      <c r="U384" s="11">
        <v>0</v>
      </c>
      <c r="V384" s="29">
        <f>Table1[[#This Row],[STAB]]-Table1[[#This Row],[AMOUNT]]</f>
        <v>30700</v>
      </c>
      <c r="W384" s="11">
        <v>0</v>
      </c>
      <c r="X384" s="11" t="s">
        <v>83</v>
      </c>
      <c r="Y384" s="11" t="s">
        <v>759</v>
      </c>
      <c r="Z384" s="11" t="s">
        <v>88</v>
      </c>
      <c r="AA384" s="12" t="s">
        <v>91</v>
      </c>
      <c r="AB384" s="11" t="s">
        <v>3139</v>
      </c>
      <c r="AC384" s="11" t="s">
        <v>2056</v>
      </c>
      <c r="AD384" s="11" t="s">
        <v>2145</v>
      </c>
      <c r="AE384" s="11" t="s">
        <v>417</v>
      </c>
      <c r="AF384" s="11" t="s">
        <v>127</v>
      </c>
      <c r="AG384" s="11" t="s">
        <v>128</v>
      </c>
      <c r="AH384" s="11" t="s">
        <v>462</v>
      </c>
      <c r="AI384" s="11">
        <v>801448854</v>
      </c>
      <c r="AJ384" s="11" t="s">
        <v>191</v>
      </c>
      <c r="AK384" s="11"/>
      <c r="AL384" s="11"/>
      <c r="AM384" s="12" t="s">
        <v>64</v>
      </c>
      <c r="AN384" s="11" t="s">
        <v>446</v>
      </c>
      <c r="AO384" s="11" t="s">
        <v>3196</v>
      </c>
      <c r="AP384" s="11" t="s">
        <v>3191</v>
      </c>
      <c r="AQ384" s="3">
        <v>46128</v>
      </c>
      <c r="AR384" s="11">
        <v>16838</v>
      </c>
      <c r="AS384" s="11" t="s">
        <v>1075</v>
      </c>
      <c r="AT384" s="11" t="s">
        <v>2152</v>
      </c>
      <c r="AU384" s="2">
        <v>46180</v>
      </c>
    </row>
    <row r="385" spans="1:47" x14ac:dyDescent="0.25">
      <c r="A385" s="10" t="s">
        <v>2491</v>
      </c>
      <c r="B385" s="11" t="s">
        <v>2621</v>
      </c>
      <c r="C385" s="11">
        <v>0</v>
      </c>
      <c r="D385" s="11" t="s">
        <v>108</v>
      </c>
      <c r="E385" s="11"/>
      <c r="F385" s="11"/>
      <c r="G385" s="11" t="s">
        <v>52</v>
      </c>
      <c r="H385" s="11">
        <v>20</v>
      </c>
      <c r="I385" s="11" t="s">
        <v>2749</v>
      </c>
      <c r="J385" s="11" t="s">
        <v>42</v>
      </c>
      <c r="K385" s="11">
        <f>Table1[[#This Row],[ENR]]-Table1[[#This Row],[CREDIT]]</f>
        <v>31081.429999999993</v>
      </c>
      <c r="L385" s="43">
        <v>330000</v>
      </c>
      <c r="M385" s="30">
        <v>361081.43</v>
      </c>
      <c r="N385" s="44">
        <v>25941.62</v>
      </c>
      <c r="O385" s="29">
        <v>335139.81</v>
      </c>
      <c r="P385" s="29">
        <v>297134.67</v>
      </c>
      <c r="Q385" s="29">
        <v>86250</v>
      </c>
      <c r="R385" s="29">
        <v>40720</v>
      </c>
      <c r="S385" s="11" t="s">
        <v>58</v>
      </c>
      <c r="T385" s="11" t="s">
        <v>14</v>
      </c>
      <c r="U385" s="29">
        <v>41000</v>
      </c>
      <c r="V385" s="29">
        <f>Table1[[#This Row],[STAB]]-Table1[[#This Row],[AMOUNT]]</f>
        <v>-280</v>
      </c>
      <c r="W385" s="11" t="s">
        <v>3473</v>
      </c>
      <c r="X385" s="11" t="s">
        <v>444</v>
      </c>
      <c r="Y385" s="11" t="s">
        <v>760</v>
      </c>
      <c r="Z385" s="11" t="s">
        <v>88</v>
      </c>
      <c r="AA385" s="11" t="s">
        <v>86</v>
      </c>
      <c r="AB385" s="11" t="s">
        <v>3139</v>
      </c>
      <c r="AC385" s="11" t="s">
        <v>2877</v>
      </c>
      <c r="AD385" s="11" t="s">
        <v>3006</v>
      </c>
      <c r="AE385" s="11" t="s">
        <v>426</v>
      </c>
      <c r="AF385" s="11" t="s">
        <v>439</v>
      </c>
      <c r="AG385" s="11" t="s">
        <v>63</v>
      </c>
      <c r="AH385" s="11" t="s">
        <v>467</v>
      </c>
      <c r="AI385" s="11">
        <v>801570488</v>
      </c>
      <c r="AJ385" s="11" t="s">
        <v>190</v>
      </c>
      <c r="AK385" s="11"/>
      <c r="AL385" s="11"/>
      <c r="AM385" s="12" t="s">
        <v>64</v>
      </c>
      <c r="AN385" s="11" t="s">
        <v>115</v>
      </c>
      <c r="AO385" s="11" t="s">
        <v>3218</v>
      </c>
      <c r="AP385" s="11" t="s">
        <v>3206</v>
      </c>
      <c r="AQ385" s="3">
        <v>46153</v>
      </c>
      <c r="AR385" s="11">
        <v>16080</v>
      </c>
      <c r="AS385" s="11" t="s">
        <v>430</v>
      </c>
      <c r="AT385" s="11" t="s">
        <v>3118</v>
      </c>
      <c r="AU385" s="2">
        <v>46180</v>
      </c>
    </row>
    <row r="386" spans="1:47" x14ac:dyDescent="0.25">
      <c r="A386" s="10" t="s">
        <v>3497</v>
      </c>
      <c r="B386" s="11" t="s">
        <v>3525</v>
      </c>
      <c r="C386" s="11">
        <v>0</v>
      </c>
      <c r="D386" s="11" t="s">
        <v>3451</v>
      </c>
      <c r="E386" s="11"/>
      <c r="F386" s="11"/>
      <c r="G386" s="11" t="s">
        <v>52</v>
      </c>
      <c r="H386" s="11">
        <v>20</v>
      </c>
      <c r="I386" s="11" t="s">
        <v>3553</v>
      </c>
      <c r="J386" s="11" t="s">
        <v>42</v>
      </c>
      <c r="K386" s="11">
        <f>Table1[[#This Row],[ENR]]-Table1[[#This Row],[CREDIT]]</f>
        <v>-193497.15999999997</v>
      </c>
      <c r="L386" s="43">
        <v>535000</v>
      </c>
      <c r="M386" s="30">
        <v>341502.84</v>
      </c>
      <c r="N386" s="44" t="s">
        <v>43</v>
      </c>
      <c r="O386" s="29">
        <v>341502.84</v>
      </c>
      <c r="P386" s="29">
        <v>308590.03000000003</v>
      </c>
      <c r="Q386" s="11">
        <v>50940</v>
      </c>
      <c r="R386" s="29">
        <v>20040</v>
      </c>
      <c r="S386" s="11" t="s">
        <v>44</v>
      </c>
      <c r="T386" s="11" t="s">
        <v>45</v>
      </c>
      <c r="U386" s="11">
        <v>0</v>
      </c>
      <c r="V386" s="29">
        <f>Table1[[#This Row],[STAB]]-Table1[[#This Row],[AMOUNT]]</f>
        <v>20040</v>
      </c>
      <c r="W386" s="11">
        <v>0</v>
      </c>
      <c r="X386" s="11" t="s">
        <v>83</v>
      </c>
      <c r="Y386" s="11">
        <v>0</v>
      </c>
      <c r="Z386" s="11" t="s">
        <v>88</v>
      </c>
      <c r="AA386" s="11" t="s">
        <v>91</v>
      </c>
      <c r="AB386" s="11"/>
      <c r="AC386" s="11" t="s">
        <v>3581</v>
      </c>
      <c r="AD386" s="11" t="s">
        <v>3609</v>
      </c>
      <c r="AE386" s="11" t="s">
        <v>2147</v>
      </c>
      <c r="AF386" s="11" t="s">
        <v>127</v>
      </c>
      <c r="AG386" s="11" t="s">
        <v>57</v>
      </c>
      <c r="AH386" s="11" t="s">
        <v>464</v>
      </c>
      <c r="AI386" s="11">
        <v>802852449</v>
      </c>
      <c r="AJ386" s="11" t="s">
        <v>190</v>
      </c>
      <c r="AK386" s="11"/>
      <c r="AL386" s="11"/>
      <c r="AM386" s="12" t="s">
        <v>64</v>
      </c>
      <c r="AN386" s="11" t="s">
        <v>219</v>
      </c>
      <c r="AO386" s="11" t="s">
        <v>3656</v>
      </c>
      <c r="AP386" s="11" t="s">
        <v>3642</v>
      </c>
      <c r="AQ386" s="3">
        <v>46130</v>
      </c>
      <c r="AR386" s="11">
        <v>50690</v>
      </c>
      <c r="AS386" s="11" t="s">
        <v>430</v>
      </c>
      <c r="AT386" s="11" t="s">
        <v>3631</v>
      </c>
      <c r="AU386" s="2">
        <v>46180</v>
      </c>
    </row>
    <row r="387" spans="1:47" x14ac:dyDescent="0.25">
      <c r="A387" s="10" t="s">
        <v>2488</v>
      </c>
      <c r="B387" s="11" t="s">
        <v>2618</v>
      </c>
      <c r="C387" s="11">
        <v>0</v>
      </c>
      <c r="D387" s="11" t="s">
        <v>108</v>
      </c>
      <c r="E387" s="11"/>
      <c r="F387" s="11"/>
      <c r="G387" s="11" t="s">
        <v>52</v>
      </c>
      <c r="H387" s="11">
        <v>20</v>
      </c>
      <c r="I387" s="11" t="s">
        <v>2746</v>
      </c>
      <c r="J387" s="11" t="s">
        <v>42</v>
      </c>
      <c r="K387" s="11">
        <f>Table1[[#This Row],[ENR]]-Table1[[#This Row],[CREDIT]]</f>
        <v>-22217.770000000019</v>
      </c>
      <c r="L387" s="43">
        <v>350000</v>
      </c>
      <c r="M387" s="30">
        <v>327782.23</v>
      </c>
      <c r="N387" s="44" t="s">
        <v>43</v>
      </c>
      <c r="O387" s="29">
        <v>327782.23</v>
      </c>
      <c r="P387" s="29">
        <v>293600</v>
      </c>
      <c r="Q387" s="29">
        <v>62810</v>
      </c>
      <c r="R387" s="29">
        <v>33560</v>
      </c>
      <c r="S387" s="11" t="s">
        <v>44</v>
      </c>
      <c r="T387" s="11" t="s">
        <v>45</v>
      </c>
      <c r="U387" s="11">
        <v>0</v>
      </c>
      <c r="V387" s="29">
        <f>Table1[[#This Row],[STAB]]-Table1[[#This Row],[AMOUNT]]</f>
        <v>33560</v>
      </c>
      <c r="W387" s="11">
        <v>0</v>
      </c>
      <c r="X387" s="11" t="s">
        <v>83</v>
      </c>
      <c r="Y387" s="11">
        <v>0</v>
      </c>
      <c r="Z387" s="11" t="s">
        <v>88</v>
      </c>
      <c r="AA387" s="12" t="s">
        <v>91</v>
      </c>
      <c r="AB387" s="11" t="s">
        <v>3139</v>
      </c>
      <c r="AC387" s="11" t="s">
        <v>2874</v>
      </c>
      <c r="AD387" s="11" t="s">
        <v>3003</v>
      </c>
      <c r="AE387" s="11" t="s">
        <v>218</v>
      </c>
      <c r="AF387" s="11" t="s">
        <v>84</v>
      </c>
      <c r="AG387" s="11" t="s">
        <v>2445</v>
      </c>
      <c r="AH387" s="11" t="s">
        <v>88</v>
      </c>
      <c r="AI387" s="11">
        <v>801723195</v>
      </c>
      <c r="AJ387" s="11" t="s">
        <v>191</v>
      </c>
      <c r="AK387" s="11"/>
      <c r="AL387" s="11"/>
      <c r="AM387" s="12" t="s">
        <v>64</v>
      </c>
      <c r="AN387" s="11" t="s">
        <v>219</v>
      </c>
      <c r="AO387" s="11" t="s">
        <v>3212</v>
      </c>
      <c r="AP387" s="11" t="s">
        <v>3206</v>
      </c>
      <c r="AQ387" s="3">
        <v>46119</v>
      </c>
      <c r="AR387" s="11">
        <v>50000</v>
      </c>
      <c r="AS387" s="11" t="s">
        <v>433</v>
      </c>
      <c r="AT387" s="11" t="s">
        <v>3118</v>
      </c>
      <c r="AU387" s="2">
        <v>46180</v>
      </c>
    </row>
    <row r="388" spans="1:47" x14ac:dyDescent="0.25">
      <c r="A388" s="10" t="s">
        <v>3447</v>
      </c>
      <c r="B388" s="11" t="s">
        <v>3453</v>
      </c>
      <c r="C388" s="11">
        <v>0</v>
      </c>
      <c r="D388" s="11" t="s">
        <v>3451</v>
      </c>
      <c r="E388" s="11"/>
      <c r="F388" s="11"/>
      <c r="G388" s="11" t="s">
        <v>52</v>
      </c>
      <c r="H388" s="11">
        <v>20</v>
      </c>
      <c r="I388" s="11" t="s">
        <v>3458</v>
      </c>
      <c r="J388" s="11" t="s">
        <v>42</v>
      </c>
      <c r="K388" s="11">
        <f>Table1[[#This Row],[ENR]]-Table1[[#This Row],[CREDIT]]</f>
        <v>20282.609999999986</v>
      </c>
      <c r="L388" s="43">
        <v>300000</v>
      </c>
      <c r="M388" s="30">
        <v>320282.61</v>
      </c>
      <c r="N388" s="44" t="s">
        <v>43</v>
      </c>
      <c r="O388" s="29">
        <v>320282.61</v>
      </c>
      <c r="P388" s="29">
        <v>299709</v>
      </c>
      <c r="Q388" s="11">
        <v>69070</v>
      </c>
      <c r="R388" s="29">
        <v>14990</v>
      </c>
      <c r="S388" s="11" t="s">
        <v>44</v>
      </c>
      <c r="T388" s="11" t="s">
        <v>45</v>
      </c>
      <c r="U388" s="11">
        <v>0</v>
      </c>
      <c r="V388" s="29">
        <f>Table1[[#This Row],[STAB]]-Table1[[#This Row],[AMOUNT]]</f>
        <v>14990</v>
      </c>
      <c r="W388" s="11">
        <v>0</v>
      </c>
      <c r="X388" s="11" t="s">
        <v>83</v>
      </c>
      <c r="Y388" s="11">
        <v>0</v>
      </c>
      <c r="Z388" s="11" t="s">
        <v>88</v>
      </c>
      <c r="AA388" s="11" t="s">
        <v>86</v>
      </c>
      <c r="AB388" s="11"/>
      <c r="AC388" s="11" t="s">
        <v>3635</v>
      </c>
      <c r="AD388" s="11" t="s">
        <v>3639</v>
      </c>
      <c r="AE388" s="11" t="s">
        <v>103</v>
      </c>
      <c r="AF388" s="11" t="s">
        <v>54</v>
      </c>
      <c r="AG388" s="11" t="s">
        <v>60</v>
      </c>
      <c r="AH388" s="11" t="s">
        <v>193</v>
      </c>
      <c r="AI388" s="11">
        <v>802824019</v>
      </c>
      <c r="AJ388" s="11" t="s">
        <v>189</v>
      </c>
      <c r="AK388" s="11"/>
      <c r="AL388" s="11"/>
      <c r="AM388" s="12" t="s">
        <v>64</v>
      </c>
      <c r="AN388" s="11" t="s">
        <v>115</v>
      </c>
      <c r="AO388" s="11" t="s">
        <v>3655</v>
      </c>
      <c r="AP388" s="11" t="s">
        <v>3642</v>
      </c>
      <c r="AQ388" s="3">
        <v>46091</v>
      </c>
      <c r="AR388" s="11">
        <v>49100</v>
      </c>
      <c r="AS388" s="11" t="s">
        <v>47</v>
      </c>
      <c r="AT388" s="11" t="s">
        <v>3445</v>
      </c>
      <c r="AU388" s="2">
        <v>46180</v>
      </c>
    </row>
    <row r="389" spans="1:47" x14ac:dyDescent="0.25">
      <c r="A389" s="10" t="s">
        <v>3499</v>
      </c>
      <c r="B389" s="11" t="s">
        <v>3527</v>
      </c>
      <c r="C389" s="11">
        <v>0</v>
      </c>
      <c r="D389" s="11" t="s">
        <v>3451</v>
      </c>
      <c r="E389" s="11"/>
      <c r="F389" s="11"/>
      <c r="G389" s="11" t="s">
        <v>52</v>
      </c>
      <c r="H389" s="11">
        <v>20</v>
      </c>
      <c r="I389" s="11" t="s">
        <v>3555</v>
      </c>
      <c r="J389" s="11" t="s">
        <v>42</v>
      </c>
      <c r="K389" s="11">
        <f>Table1[[#This Row],[ENR]]-Table1[[#This Row],[CREDIT]]</f>
        <v>18535.659999999974</v>
      </c>
      <c r="L389" s="43">
        <v>300000</v>
      </c>
      <c r="M389" s="30">
        <v>318535.65999999997</v>
      </c>
      <c r="N389" s="44" t="s">
        <v>43</v>
      </c>
      <c r="O389" s="29">
        <v>318535.65999999997</v>
      </c>
      <c r="P389" s="29">
        <v>299968.37</v>
      </c>
      <c r="Q389" s="11">
        <v>51230</v>
      </c>
      <c r="R389" s="29">
        <v>14490</v>
      </c>
      <c r="S389" s="11" t="s">
        <v>44</v>
      </c>
      <c r="T389" s="11" t="s">
        <v>45</v>
      </c>
      <c r="U389" s="11">
        <v>0</v>
      </c>
      <c r="V389" s="29">
        <f>Table1[[#This Row],[STAB]]-Table1[[#This Row],[AMOUNT]]</f>
        <v>14490</v>
      </c>
      <c r="W389" s="11">
        <v>0</v>
      </c>
      <c r="X389" s="11" t="s">
        <v>83</v>
      </c>
      <c r="Y389" s="11">
        <v>0</v>
      </c>
      <c r="Z389" s="11" t="s">
        <v>88</v>
      </c>
      <c r="AA389" s="11" t="s">
        <v>86</v>
      </c>
      <c r="AB389" s="11"/>
      <c r="AC389" s="11" t="s">
        <v>3583</v>
      </c>
      <c r="AD389" s="11" t="s">
        <v>3611</v>
      </c>
      <c r="AE389" s="11" t="s">
        <v>416</v>
      </c>
      <c r="AF389" s="11" t="s">
        <v>54</v>
      </c>
      <c r="AG389" s="11" t="s">
        <v>101</v>
      </c>
      <c r="AH389" s="11" t="s">
        <v>197</v>
      </c>
      <c r="AI389" s="11">
        <v>802370852</v>
      </c>
      <c r="AJ389" s="11" t="s">
        <v>191</v>
      </c>
      <c r="AK389" s="11"/>
      <c r="AL389" s="11"/>
      <c r="AM389" s="12" t="s">
        <v>46</v>
      </c>
      <c r="AN389" s="11"/>
      <c r="AO389" s="11"/>
      <c r="AP389" s="11"/>
      <c r="AQ389" s="3">
        <v>45538</v>
      </c>
      <c r="AR389" s="11">
        <v>921</v>
      </c>
      <c r="AS389" s="11" t="s">
        <v>1075</v>
      </c>
      <c r="AT389" s="11" t="s">
        <v>3631</v>
      </c>
      <c r="AU389" s="2">
        <v>46180</v>
      </c>
    </row>
    <row r="390" spans="1:47" x14ac:dyDescent="0.25">
      <c r="A390" s="10" t="s">
        <v>3495</v>
      </c>
      <c r="B390" s="11" t="s">
        <v>3523</v>
      </c>
      <c r="C390" s="11">
        <v>0</v>
      </c>
      <c r="D390" s="11" t="s">
        <v>3451</v>
      </c>
      <c r="E390" s="11"/>
      <c r="F390" s="11"/>
      <c r="G390" s="11" t="s">
        <v>52</v>
      </c>
      <c r="H390" s="11">
        <v>20</v>
      </c>
      <c r="I390" s="11" t="s">
        <v>3551</v>
      </c>
      <c r="J390" s="11" t="s">
        <v>42</v>
      </c>
      <c r="K390" s="11">
        <f>Table1[[#This Row],[ENR]]-Table1[[#This Row],[CREDIT]]</f>
        <v>-105377.43</v>
      </c>
      <c r="L390" s="43">
        <v>420000</v>
      </c>
      <c r="M390" s="30">
        <v>314622.57</v>
      </c>
      <c r="N390" s="44" t="s">
        <v>43</v>
      </c>
      <c r="O390" s="29">
        <v>314622.57</v>
      </c>
      <c r="P390" s="29">
        <v>295060</v>
      </c>
      <c r="Q390" s="11">
        <v>33830</v>
      </c>
      <c r="R390" s="29">
        <v>14760</v>
      </c>
      <c r="S390" s="11" t="s">
        <v>44</v>
      </c>
      <c r="T390" s="11" t="s">
        <v>45</v>
      </c>
      <c r="U390" s="11">
        <v>0</v>
      </c>
      <c r="V390" s="29">
        <f>Table1[[#This Row],[STAB]]-Table1[[#This Row],[AMOUNT]]</f>
        <v>14760</v>
      </c>
      <c r="W390" s="11">
        <v>0</v>
      </c>
      <c r="X390" s="11" t="s">
        <v>83</v>
      </c>
      <c r="Y390" s="11">
        <v>0</v>
      </c>
      <c r="Z390" s="11" t="s">
        <v>88</v>
      </c>
      <c r="AA390" s="11" t="s">
        <v>86</v>
      </c>
      <c r="AB390" s="11"/>
      <c r="AC390" s="11" t="s">
        <v>3579</v>
      </c>
      <c r="AD390" s="11" t="s">
        <v>3607</v>
      </c>
      <c r="AE390" s="11" t="s">
        <v>92</v>
      </c>
      <c r="AF390" s="11" t="s">
        <v>54</v>
      </c>
      <c r="AG390" s="11" t="s">
        <v>61</v>
      </c>
      <c r="AH390" s="11" t="s">
        <v>195</v>
      </c>
      <c r="AI390" s="11">
        <v>802551967</v>
      </c>
      <c r="AJ390" s="11" t="s">
        <v>99</v>
      </c>
      <c r="AK390" s="11"/>
      <c r="AL390" s="11"/>
      <c r="AM390" s="12" t="s">
        <v>46</v>
      </c>
      <c r="AN390" s="11"/>
      <c r="AO390" s="11"/>
      <c r="AP390" s="11"/>
      <c r="AQ390" s="3">
        <v>45931</v>
      </c>
      <c r="AR390" s="11">
        <v>19501</v>
      </c>
      <c r="AS390" s="11" t="s">
        <v>1493</v>
      </c>
      <c r="AT390" s="11" t="s">
        <v>3631</v>
      </c>
      <c r="AU390" s="2">
        <v>46180</v>
      </c>
    </row>
    <row r="391" spans="1:47" x14ac:dyDescent="0.25">
      <c r="A391" s="10" t="s">
        <v>2481</v>
      </c>
      <c r="B391" s="11" t="s">
        <v>2611</v>
      </c>
      <c r="C391" s="11">
        <v>0</v>
      </c>
      <c r="D391" s="11" t="s">
        <v>108</v>
      </c>
      <c r="E391" s="11"/>
      <c r="F391" s="11"/>
      <c r="G391" s="11" t="s">
        <v>52</v>
      </c>
      <c r="H391" s="11">
        <v>20</v>
      </c>
      <c r="I391" s="11" t="s">
        <v>2739</v>
      </c>
      <c r="J391" s="11" t="s">
        <v>42</v>
      </c>
      <c r="K391" s="11">
        <f>Table1[[#This Row],[ENR]]-Table1[[#This Row],[CREDIT]]</f>
        <v>24612.590000000026</v>
      </c>
      <c r="L391" s="43">
        <v>290000</v>
      </c>
      <c r="M391" s="30">
        <v>314612.59000000003</v>
      </c>
      <c r="N391" s="44">
        <v>24522.69</v>
      </c>
      <c r="O391" s="29">
        <v>290089.90000000002</v>
      </c>
      <c r="P391" s="29">
        <v>264282.48</v>
      </c>
      <c r="Q391" s="29">
        <v>76290</v>
      </c>
      <c r="R391" s="29">
        <v>26420</v>
      </c>
      <c r="S391" s="11" t="s">
        <v>58</v>
      </c>
      <c r="T391" s="11" t="s">
        <v>14</v>
      </c>
      <c r="U391" s="29">
        <v>33400</v>
      </c>
      <c r="V391" s="29">
        <f>Table1[[#This Row],[STAB]]-Table1[[#This Row],[AMOUNT]]</f>
        <v>-6980</v>
      </c>
      <c r="W391" s="11" t="s">
        <v>3463</v>
      </c>
      <c r="X391" s="11" t="s">
        <v>444</v>
      </c>
      <c r="Y391" s="11" t="s">
        <v>760</v>
      </c>
      <c r="Z391" s="11" t="s">
        <v>88</v>
      </c>
      <c r="AA391" s="11" t="s">
        <v>91</v>
      </c>
      <c r="AB391" s="11" t="s">
        <v>3139</v>
      </c>
      <c r="AC391" s="11" t="s">
        <v>2867</v>
      </c>
      <c r="AD391" s="11" t="s">
        <v>2996</v>
      </c>
      <c r="AE391" s="11" t="s">
        <v>218</v>
      </c>
      <c r="AF391" s="11" t="s">
        <v>84</v>
      </c>
      <c r="AG391" s="11" t="s">
        <v>97</v>
      </c>
      <c r="AH391" s="11" t="s">
        <v>88</v>
      </c>
      <c r="AI391" s="11">
        <v>801723195</v>
      </c>
      <c r="AJ391" s="11" t="s">
        <v>191</v>
      </c>
      <c r="AK391" s="11"/>
      <c r="AL391" s="11"/>
      <c r="AM391" s="12" t="s">
        <v>64</v>
      </c>
      <c r="AN391" s="11" t="s">
        <v>115</v>
      </c>
      <c r="AO391" s="11" t="s">
        <v>3245</v>
      </c>
      <c r="AP391" s="11" t="s">
        <v>3238</v>
      </c>
      <c r="AQ391" s="3">
        <v>45797</v>
      </c>
      <c r="AR391" s="11">
        <v>13000</v>
      </c>
      <c r="AS391" s="11" t="s">
        <v>430</v>
      </c>
      <c r="AT391" s="11" t="s">
        <v>3118</v>
      </c>
      <c r="AU391" s="2">
        <v>46180</v>
      </c>
    </row>
    <row r="392" spans="1:47" x14ac:dyDescent="0.25">
      <c r="A392" s="10" t="s">
        <v>1750</v>
      </c>
      <c r="B392" s="11" t="s">
        <v>1847</v>
      </c>
      <c r="C392" s="11">
        <v>0</v>
      </c>
      <c r="D392" s="11" t="s">
        <v>108</v>
      </c>
      <c r="E392" s="11"/>
      <c r="F392" s="11"/>
      <c r="G392" s="11" t="s">
        <v>52</v>
      </c>
      <c r="H392" s="11">
        <v>20</v>
      </c>
      <c r="I392" s="11" t="s">
        <v>1944</v>
      </c>
      <c r="J392" s="11" t="s">
        <v>42</v>
      </c>
      <c r="K392" s="11">
        <f>Table1[[#This Row],[ENR]]-Table1[[#This Row],[CREDIT]]</f>
        <v>349.1699999999837</v>
      </c>
      <c r="L392" s="43">
        <v>300000</v>
      </c>
      <c r="M392" s="30">
        <v>300349.17</v>
      </c>
      <c r="N392" s="44">
        <v>20931.759999999998</v>
      </c>
      <c r="O392" s="29">
        <v>279417.40999999997</v>
      </c>
      <c r="P392" s="29">
        <v>239144.68</v>
      </c>
      <c r="Q392" s="29">
        <v>69530</v>
      </c>
      <c r="R392" s="29">
        <v>36170</v>
      </c>
      <c r="S392" s="11" t="s">
        <v>44</v>
      </c>
      <c r="T392" s="11" t="s">
        <v>45</v>
      </c>
      <c r="U392" s="11">
        <v>0</v>
      </c>
      <c r="V392" s="29">
        <f>Table1[[#This Row],[STAB]]-Table1[[#This Row],[AMOUNT]]</f>
        <v>36170</v>
      </c>
      <c r="W392" s="11">
        <v>0</v>
      </c>
      <c r="X392" s="11" t="s">
        <v>83</v>
      </c>
      <c r="Y392" s="11">
        <v>0</v>
      </c>
      <c r="Z392" s="11" t="s">
        <v>88</v>
      </c>
      <c r="AA392" s="11" t="s">
        <v>91</v>
      </c>
      <c r="AB392" s="11" t="s">
        <v>3140</v>
      </c>
      <c r="AC392" s="11" t="s">
        <v>2041</v>
      </c>
      <c r="AD392" s="11" t="s">
        <v>2130</v>
      </c>
      <c r="AE392" s="11" t="s">
        <v>418</v>
      </c>
      <c r="AF392" s="11" t="s">
        <v>53</v>
      </c>
      <c r="AG392" s="11" t="s">
        <v>1086</v>
      </c>
      <c r="AH392" s="11" t="s">
        <v>85</v>
      </c>
      <c r="AI392" s="11">
        <v>801772794</v>
      </c>
      <c r="AJ392" s="11" t="s">
        <v>192</v>
      </c>
      <c r="AK392" s="11"/>
      <c r="AL392" s="11"/>
      <c r="AM392" s="12" t="s">
        <v>46</v>
      </c>
      <c r="AN392" s="11"/>
      <c r="AO392" s="11"/>
      <c r="AP392" s="11"/>
      <c r="AQ392" s="3">
        <v>45975</v>
      </c>
      <c r="AR392" s="11">
        <v>667.1</v>
      </c>
      <c r="AS392" s="11" t="s">
        <v>1076</v>
      </c>
      <c r="AT392" s="11" t="s">
        <v>2152</v>
      </c>
      <c r="AU392" s="2">
        <v>46180</v>
      </c>
    </row>
    <row r="393" spans="1:47" x14ac:dyDescent="0.25">
      <c r="A393" s="10" t="s">
        <v>2486</v>
      </c>
      <c r="B393" s="11" t="s">
        <v>2616</v>
      </c>
      <c r="C393" s="11">
        <v>0</v>
      </c>
      <c r="D393" s="11" t="s">
        <v>108</v>
      </c>
      <c r="E393" s="11"/>
      <c r="F393" s="11"/>
      <c r="G393" s="11" t="s">
        <v>52</v>
      </c>
      <c r="H393" s="11">
        <v>20</v>
      </c>
      <c r="I393" s="11" t="s">
        <v>2744</v>
      </c>
      <c r="J393" s="11" t="s">
        <v>42</v>
      </c>
      <c r="K393" s="11">
        <f>Table1[[#This Row],[ENR]]-Table1[[#This Row],[CREDIT]]</f>
        <v>-68003.780000000028</v>
      </c>
      <c r="L393" s="43">
        <v>360000</v>
      </c>
      <c r="M393" s="52">
        <v>291996.21999999997</v>
      </c>
      <c r="N393" s="44" t="s">
        <v>43</v>
      </c>
      <c r="O393" s="29">
        <v>291996.21999999997</v>
      </c>
      <c r="P393" s="29">
        <v>266044.81</v>
      </c>
      <c r="Q393" s="29">
        <v>42650</v>
      </c>
      <c r="R393" s="29">
        <v>15910</v>
      </c>
      <c r="S393" s="11" t="s">
        <v>58</v>
      </c>
      <c r="T393" s="11" t="s">
        <v>14</v>
      </c>
      <c r="U393" s="29">
        <v>15910</v>
      </c>
      <c r="V393" s="29">
        <f>Table1[[#This Row],[STAB]]-Table1[[#This Row],[AMOUNT]]</f>
        <v>0</v>
      </c>
      <c r="W393" s="11">
        <v>0</v>
      </c>
      <c r="X393" s="11" t="s">
        <v>1526</v>
      </c>
      <c r="Y393" s="11" t="s">
        <v>1084</v>
      </c>
      <c r="Z393" s="11" t="s">
        <v>88</v>
      </c>
      <c r="AA393" s="11" t="s">
        <v>86</v>
      </c>
      <c r="AB393" s="11" t="s">
        <v>3139</v>
      </c>
      <c r="AC393" s="11" t="s">
        <v>2872</v>
      </c>
      <c r="AD393" s="11" t="s">
        <v>3001</v>
      </c>
      <c r="AE393" s="11" t="s">
        <v>133</v>
      </c>
      <c r="AF393" s="11" t="s">
        <v>54</v>
      </c>
      <c r="AG393" s="11" t="s">
        <v>1086</v>
      </c>
      <c r="AH393" s="11" t="s">
        <v>85</v>
      </c>
      <c r="AI393" s="11">
        <v>801772794</v>
      </c>
      <c r="AJ393" s="11" t="s">
        <v>192</v>
      </c>
      <c r="AK393" s="11"/>
      <c r="AL393" s="11"/>
      <c r="AM393" s="12" t="s">
        <v>64</v>
      </c>
      <c r="AN393" s="11"/>
      <c r="AO393" s="11"/>
      <c r="AP393" s="11"/>
      <c r="AQ393" s="3">
        <v>45473</v>
      </c>
      <c r="AR393" s="11">
        <v>81931.05</v>
      </c>
      <c r="AS393" s="11" t="s">
        <v>1493</v>
      </c>
      <c r="AT393" s="11" t="s">
        <v>3118</v>
      </c>
      <c r="AU393" s="2">
        <v>46180</v>
      </c>
    </row>
    <row r="394" spans="1:47" x14ac:dyDescent="0.25">
      <c r="A394" s="10" t="s">
        <v>2480</v>
      </c>
      <c r="B394" s="11" t="s">
        <v>2610</v>
      </c>
      <c r="C394" s="11">
        <v>0</v>
      </c>
      <c r="D394" s="11" t="s">
        <v>108</v>
      </c>
      <c r="E394" s="11"/>
      <c r="F394" s="11"/>
      <c r="G394" s="11" t="s">
        <v>52</v>
      </c>
      <c r="H394" s="11">
        <v>20</v>
      </c>
      <c r="I394" s="11" t="s">
        <v>2738</v>
      </c>
      <c r="J394" s="11" t="s">
        <v>42</v>
      </c>
      <c r="K394" s="11">
        <f>Table1[[#This Row],[ENR]]-Table1[[#This Row],[CREDIT]]</f>
        <v>26805.609999999986</v>
      </c>
      <c r="L394" s="43">
        <v>262500</v>
      </c>
      <c r="M394" s="30">
        <v>289305.61</v>
      </c>
      <c r="N394" s="44" t="s">
        <v>43</v>
      </c>
      <c r="O394" s="29">
        <v>289305.61</v>
      </c>
      <c r="P394" s="29">
        <v>259601.77</v>
      </c>
      <c r="Q394" s="29">
        <v>70820</v>
      </c>
      <c r="R394" s="29">
        <v>32690</v>
      </c>
      <c r="S394" s="11" t="s">
        <v>44</v>
      </c>
      <c r="T394" s="11" t="s">
        <v>45</v>
      </c>
      <c r="U394" s="11">
        <v>0</v>
      </c>
      <c r="V394" s="29">
        <f>Table1[[#This Row],[STAB]]-Table1[[#This Row],[AMOUNT]]</f>
        <v>32690</v>
      </c>
      <c r="W394" s="11">
        <v>0</v>
      </c>
      <c r="X394" s="11" t="s">
        <v>83</v>
      </c>
      <c r="Y394" s="11" t="s">
        <v>759</v>
      </c>
      <c r="Z394" s="11" t="s">
        <v>88</v>
      </c>
      <c r="AA394" s="12" t="s">
        <v>86</v>
      </c>
      <c r="AB394" s="11" t="s">
        <v>3139</v>
      </c>
      <c r="AC394" s="11" t="s">
        <v>2866</v>
      </c>
      <c r="AD394" s="11" t="s">
        <v>2995</v>
      </c>
      <c r="AE394" s="11" t="s">
        <v>426</v>
      </c>
      <c r="AF394" s="11" t="s">
        <v>439</v>
      </c>
      <c r="AG394" s="11" t="s">
        <v>63</v>
      </c>
      <c r="AH394" s="11" t="s">
        <v>467</v>
      </c>
      <c r="AI394" s="11">
        <v>801570488</v>
      </c>
      <c r="AJ394" s="11" t="s">
        <v>190</v>
      </c>
      <c r="AK394" s="11"/>
      <c r="AL394" s="11"/>
      <c r="AM394" s="12" t="s">
        <v>64</v>
      </c>
      <c r="AN394" s="11" t="s">
        <v>219</v>
      </c>
      <c r="AO394" s="11" t="s">
        <v>3252</v>
      </c>
      <c r="AP394" s="11" t="s">
        <v>3238</v>
      </c>
      <c r="AQ394" s="3">
        <v>45814</v>
      </c>
      <c r="AR394" s="11">
        <v>13676.26</v>
      </c>
      <c r="AS394" s="11" t="s">
        <v>1493</v>
      </c>
      <c r="AT394" s="11" t="s">
        <v>3118</v>
      </c>
      <c r="AU394" s="2">
        <v>46180</v>
      </c>
    </row>
    <row r="395" spans="1:47" x14ac:dyDescent="0.25">
      <c r="A395" s="10" t="s">
        <v>2518</v>
      </c>
      <c r="B395" s="11" t="s">
        <v>2647</v>
      </c>
      <c r="C395" s="11">
        <v>0</v>
      </c>
      <c r="D395" s="11" t="s">
        <v>108</v>
      </c>
      <c r="E395" s="11"/>
      <c r="F395" s="11"/>
      <c r="G395" s="11" t="s">
        <v>52</v>
      </c>
      <c r="H395" s="11">
        <v>20</v>
      </c>
      <c r="I395" s="11" t="s">
        <v>2775</v>
      </c>
      <c r="J395" s="11" t="s">
        <v>42</v>
      </c>
      <c r="K395" s="11">
        <f>Table1[[#This Row],[ENR]]-Table1[[#This Row],[CREDIT]]</f>
        <v>26528.900000000023</v>
      </c>
      <c r="L395" s="43">
        <v>260000</v>
      </c>
      <c r="M395" s="30">
        <v>286528.90000000002</v>
      </c>
      <c r="N395" s="44">
        <v>190238.85</v>
      </c>
      <c r="O395" s="29">
        <v>96290.05</v>
      </c>
      <c r="P395" s="29">
        <v>68199.91</v>
      </c>
      <c r="Q395" s="29">
        <v>43560</v>
      </c>
      <c r="R395" s="29">
        <v>17620</v>
      </c>
      <c r="S395" s="11" t="s">
        <v>58</v>
      </c>
      <c r="T395" s="11" t="s">
        <v>13</v>
      </c>
      <c r="U395" s="11">
        <v>43560</v>
      </c>
      <c r="V395" s="29">
        <f>Table1[[#This Row],[STAB]]-Table1[[#This Row],[AMOUNT]]</f>
        <v>-25940</v>
      </c>
      <c r="W395" s="11">
        <v>0</v>
      </c>
      <c r="X395" s="11" t="s">
        <v>761</v>
      </c>
      <c r="Y395" s="11" t="s">
        <v>759</v>
      </c>
      <c r="Z395" s="11" t="s">
        <v>88</v>
      </c>
      <c r="AA395" s="11" t="s">
        <v>86</v>
      </c>
      <c r="AB395" s="11" t="s">
        <v>3139</v>
      </c>
      <c r="AC395" s="11" t="s">
        <v>2904</v>
      </c>
      <c r="AD395" s="11" t="s">
        <v>3032</v>
      </c>
      <c r="AE395" s="11" t="s">
        <v>423</v>
      </c>
      <c r="AF395" s="11" t="s">
        <v>54</v>
      </c>
      <c r="AG395" s="11" t="s">
        <v>60</v>
      </c>
      <c r="AH395" s="11" t="s">
        <v>193</v>
      </c>
      <c r="AI395" s="11">
        <v>802824019</v>
      </c>
      <c r="AJ395" s="11" t="s">
        <v>189</v>
      </c>
      <c r="AK395" s="11"/>
      <c r="AL395" s="11"/>
      <c r="AM395" s="12" t="s">
        <v>64</v>
      </c>
      <c r="AN395" s="11"/>
      <c r="AO395" s="11"/>
      <c r="AP395" s="11"/>
      <c r="AQ395" s="3">
        <v>46034</v>
      </c>
      <c r="AR395" s="11">
        <v>4434.21</v>
      </c>
      <c r="AS395" s="11" t="s">
        <v>436</v>
      </c>
      <c r="AT395" s="11" t="s">
        <v>3118</v>
      </c>
      <c r="AU395" s="2">
        <v>46180</v>
      </c>
    </row>
    <row r="396" spans="1:47" x14ac:dyDescent="0.25">
      <c r="A396" s="10" t="s">
        <v>2479</v>
      </c>
      <c r="B396" s="11" t="s">
        <v>2609</v>
      </c>
      <c r="C396" s="11">
        <v>0</v>
      </c>
      <c r="D396" s="11" t="s">
        <v>108</v>
      </c>
      <c r="E396" s="11"/>
      <c r="F396" s="11"/>
      <c r="G396" s="11" t="s">
        <v>52</v>
      </c>
      <c r="H396" s="11">
        <v>20</v>
      </c>
      <c r="I396" s="11" t="s">
        <v>2737</v>
      </c>
      <c r="J396" s="11" t="s">
        <v>42</v>
      </c>
      <c r="K396" s="11">
        <f>Table1[[#This Row],[ENR]]-Table1[[#This Row],[CREDIT]]</f>
        <v>29936.270000000019</v>
      </c>
      <c r="L396" s="43">
        <v>250000</v>
      </c>
      <c r="M396" s="30">
        <v>279936.27</v>
      </c>
      <c r="N396" s="44" t="s">
        <v>43</v>
      </c>
      <c r="O396" s="29">
        <v>279936.27</v>
      </c>
      <c r="P396" s="29">
        <v>244258.73</v>
      </c>
      <c r="Q396" s="29">
        <v>78700</v>
      </c>
      <c r="R396" s="29">
        <v>30520</v>
      </c>
      <c r="S396" s="11" t="s">
        <v>58</v>
      </c>
      <c r="T396" s="11" t="s">
        <v>14</v>
      </c>
      <c r="U396" s="29">
        <v>38100.550000000003</v>
      </c>
      <c r="V396" s="29">
        <f>Table1[[#This Row],[STAB]]-Table1[[#This Row],[AMOUNT]]</f>
        <v>-7580.5500000000029</v>
      </c>
      <c r="W396" s="11" t="s">
        <v>3484</v>
      </c>
      <c r="X396" s="11" t="s">
        <v>444</v>
      </c>
      <c r="Y396" s="11" t="s">
        <v>760</v>
      </c>
      <c r="Z396" s="11" t="s">
        <v>88</v>
      </c>
      <c r="AA396" s="12" t="s">
        <v>86</v>
      </c>
      <c r="AB396" s="11" t="s">
        <v>3140</v>
      </c>
      <c r="AC396" s="11" t="s">
        <v>2865</v>
      </c>
      <c r="AD396" s="11" t="s">
        <v>2994</v>
      </c>
      <c r="AE396" s="11" t="s">
        <v>421</v>
      </c>
      <c r="AF396" s="11" t="s">
        <v>54</v>
      </c>
      <c r="AG396" s="11" t="s">
        <v>61</v>
      </c>
      <c r="AH396" s="11" t="s">
        <v>195</v>
      </c>
      <c r="AI396" s="11">
        <v>802551967</v>
      </c>
      <c r="AJ396" s="11" t="s">
        <v>99</v>
      </c>
      <c r="AK396" s="11"/>
      <c r="AL396" s="11"/>
      <c r="AM396" s="12" t="s">
        <v>64</v>
      </c>
      <c r="AN396" s="11" t="s">
        <v>219</v>
      </c>
      <c r="AO396" s="11" t="s">
        <v>3147</v>
      </c>
      <c r="AP396" s="11" t="s">
        <v>3129</v>
      </c>
      <c r="AQ396" s="3">
        <v>46000</v>
      </c>
      <c r="AR396" s="11">
        <v>45000</v>
      </c>
      <c r="AS396" s="11" t="s">
        <v>1493</v>
      </c>
      <c r="AT396" s="11" t="s">
        <v>3118</v>
      </c>
      <c r="AU396" s="2">
        <v>46180</v>
      </c>
    </row>
    <row r="397" spans="1:47" x14ac:dyDescent="0.25">
      <c r="A397" s="10" t="s">
        <v>2509</v>
      </c>
      <c r="B397" s="11" t="s">
        <v>2638</v>
      </c>
      <c r="C397" s="11">
        <v>0</v>
      </c>
      <c r="D397" s="11" t="s">
        <v>108</v>
      </c>
      <c r="E397" s="11"/>
      <c r="F397" s="11"/>
      <c r="G397" s="11" t="s">
        <v>90</v>
      </c>
      <c r="H397" s="11">
        <v>20</v>
      </c>
      <c r="I397" s="11" t="s">
        <v>2766</v>
      </c>
      <c r="J397" s="11" t="s">
        <v>42</v>
      </c>
      <c r="K397" s="11">
        <f>Table1[[#This Row],[ENR]]-Table1[[#This Row],[CREDIT]]</f>
        <v>49012.280000000028</v>
      </c>
      <c r="L397" s="43">
        <v>220000</v>
      </c>
      <c r="M397" s="30">
        <v>269012.28000000003</v>
      </c>
      <c r="N397" s="44">
        <v>132485.34</v>
      </c>
      <c r="O397" s="29">
        <v>136526.94</v>
      </c>
      <c r="P397" s="29">
        <v>128386.79</v>
      </c>
      <c r="Q397" s="29">
        <v>46900</v>
      </c>
      <c r="R397" s="29">
        <v>26120</v>
      </c>
      <c r="S397" s="11" t="s">
        <v>58</v>
      </c>
      <c r="T397" s="11" t="s">
        <v>14</v>
      </c>
      <c r="U397" s="29">
        <v>26200</v>
      </c>
      <c r="V397" s="29">
        <f>Table1[[#This Row],[STAB]]-Table1[[#This Row],[AMOUNT]]</f>
        <v>-80</v>
      </c>
      <c r="W397" s="11" t="s">
        <v>3169</v>
      </c>
      <c r="X397" s="11" t="s">
        <v>444</v>
      </c>
      <c r="Y397" s="11" t="s">
        <v>1085</v>
      </c>
      <c r="Z397" s="11" t="s">
        <v>88</v>
      </c>
      <c r="AA397" s="11" t="s">
        <v>91</v>
      </c>
      <c r="AB397" s="11" t="s">
        <v>3139</v>
      </c>
      <c r="AC397" s="11" t="s">
        <v>2895</v>
      </c>
      <c r="AD397" s="11" t="s">
        <v>3023</v>
      </c>
      <c r="AE397" s="11" t="s">
        <v>1071</v>
      </c>
      <c r="AF397" s="11" t="s">
        <v>53</v>
      </c>
      <c r="AG397" s="11" t="s">
        <v>55</v>
      </c>
      <c r="AH397" s="11" t="s">
        <v>468</v>
      </c>
      <c r="AI397" s="11">
        <v>802030802</v>
      </c>
      <c r="AJ397" s="11" t="s">
        <v>458</v>
      </c>
      <c r="AK397" s="11"/>
      <c r="AL397" s="11"/>
      <c r="AM397" s="12" t="s">
        <v>64</v>
      </c>
      <c r="AN397" s="11"/>
      <c r="AO397" s="11"/>
      <c r="AP397" s="11"/>
      <c r="AQ397" s="3">
        <v>46158</v>
      </c>
      <c r="AR397" s="11">
        <v>23000</v>
      </c>
      <c r="AS397" s="11" t="s">
        <v>47</v>
      </c>
      <c r="AT397" s="11" t="s">
        <v>3118</v>
      </c>
      <c r="AU397" s="2">
        <v>46180</v>
      </c>
    </row>
    <row r="398" spans="1:47" x14ac:dyDescent="0.25">
      <c r="A398" s="10" t="s">
        <v>3448</v>
      </c>
      <c r="B398" s="11" t="s">
        <v>3454</v>
      </c>
      <c r="C398" s="11">
        <v>0</v>
      </c>
      <c r="D398" s="11" t="s">
        <v>3451</v>
      </c>
      <c r="E398" s="11"/>
      <c r="F398" s="11"/>
      <c r="G398" s="11" t="s">
        <v>52</v>
      </c>
      <c r="H398" s="11">
        <v>20</v>
      </c>
      <c r="I398" s="11" t="s">
        <v>3459</v>
      </c>
      <c r="J398" s="11" t="s">
        <v>42</v>
      </c>
      <c r="K398" s="11">
        <f>Table1[[#This Row],[ENR]]-Table1[[#This Row],[CREDIT]]</f>
        <v>18727.380000000005</v>
      </c>
      <c r="L398" s="43">
        <v>250000</v>
      </c>
      <c r="M398" s="30">
        <v>268727.38</v>
      </c>
      <c r="N398" s="44" t="s">
        <v>43</v>
      </c>
      <c r="O398" s="29">
        <v>268727.38</v>
      </c>
      <c r="P398" s="29">
        <v>248036</v>
      </c>
      <c r="Q398" s="11">
        <v>62290</v>
      </c>
      <c r="R398" s="29">
        <v>12120</v>
      </c>
      <c r="S398" s="11" t="s">
        <v>44</v>
      </c>
      <c r="T398" s="11" t="s">
        <v>45</v>
      </c>
      <c r="U398" s="11">
        <v>0</v>
      </c>
      <c r="V398" s="29">
        <f>Table1[[#This Row],[STAB]]-Table1[[#This Row],[AMOUNT]]</f>
        <v>12120</v>
      </c>
      <c r="W398" s="11">
        <v>0</v>
      </c>
      <c r="X398" s="11" t="s">
        <v>83</v>
      </c>
      <c r="Y398" s="11">
        <v>0</v>
      </c>
      <c r="Z398" s="11" t="s">
        <v>88</v>
      </c>
      <c r="AA398" s="12" t="s">
        <v>86</v>
      </c>
      <c r="AB398" s="11"/>
      <c r="AC398" s="11" t="s">
        <v>3633</v>
      </c>
      <c r="AD398" s="11" t="s">
        <v>3637</v>
      </c>
      <c r="AE398" s="11" t="s">
        <v>416</v>
      </c>
      <c r="AF398" s="11" t="s">
        <v>54</v>
      </c>
      <c r="AG398" s="11" t="s">
        <v>130</v>
      </c>
      <c r="AH398" s="11" t="s">
        <v>469</v>
      </c>
      <c r="AI398" s="11">
        <v>802835406</v>
      </c>
      <c r="AJ398" s="11" t="s">
        <v>99</v>
      </c>
      <c r="AK398" s="11"/>
      <c r="AL398" s="11"/>
      <c r="AM398" s="12" t="s">
        <v>46</v>
      </c>
      <c r="AN398" s="11"/>
      <c r="AO398" s="11"/>
      <c r="AP398" s="11"/>
      <c r="AQ398" s="3">
        <v>45472</v>
      </c>
      <c r="AR398" s="11">
        <v>428</v>
      </c>
      <c r="AS398" s="11" t="s">
        <v>1493</v>
      </c>
      <c r="AT398" s="11" t="s">
        <v>3445</v>
      </c>
      <c r="AU398" s="2">
        <v>46180</v>
      </c>
    </row>
    <row r="399" spans="1:47" x14ac:dyDescent="0.25">
      <c r="A399" s="10" t="s">
        <v>3492</v>
      </c>
      <c r="B399" s="11" t="s">
        <v>3520</v>
      </c>
      <c r="C399" s="11">
        <v>0</v>
      </c>
      <c r="D399" s="11" t="s">
        <v>3451</v>
      </c>
      <c r="E399" s="11"/>
      <c r="F399" s="11"/>
      <c r="G399" s="11" t="s">
        <v>52</v>
      </c>
      <c r="H399" s="11">
        <v>20</v>
      </c>
      <c r="I399" s="11" t="s">
        <v>3548</v>
      </c>
      <c r="J399" s="11" t="s">
        <v>42</v>
      </c>
      <c r="K399" s="11">
        <f>Table1[[#This Row],[ENR]]-Table1[[#This Row],[CREDIT]]</f>
        <v>16782.489999999991</v>
      </c>
      <c r="L399" s="43">
        <v>250000</v>
      </c>
      <c r="M399" s="30">
        <v>266782.49</v>
      </c>
      <c r="N399" s="44" t="s">
        <v>43</v>
      </c>
      <c r="O399" s="29">
        <v>266782.49</v>
      </c>
      <c r="P399" s="29">
        <v>230116.21</v>
      </c>
      <c r="Q399" s="11">
        <v>64590</v>
      </c>
      <c r="R399" s="29">
        <v>19700</v>
      </c>
      <c r="S399" s="11" t="s">
        <v>44</v>
      </c>
      <c r="T399" s="11" t="s">
        <v>45</v>
      </c>
      <c r="U399" s="11">
        <v>0</v>
      </c>
      <c r="V399" s="29">
        <f>Table1[[#This Row],[STAB]]-Table1[[#This Row],[AMOUNT]]</f>
        <v>19700</v>
      </c>
      <c r="W399" s="11">
        <v>0</v>
      </c>
      <c r="X399" s="11" t="s">
        <v>83</v>
      </c>
      <c r="Y399" s="11" t="s">
        <v>759</v>
      </c>
      <c r="Z399" s="11" t="s">
        <v>88</v>
      </c>
      <c r="AA399" s="11" t="s">
        <v>91</v>
      </c>
      <c r="AB399" s="11"/>
      <c r="AC399" s="11" t="s">
        <v>3576</v>
      </c>
      <c r="AD399" s="11" t="s">
        <v>3604</v>
      </c>
      <c r="AE399" s="11" t="s">
        <v>417</v>
      </c>
      <c r="AF399" s="11" t="s">
        <v>127</v>
      </c>
      <c r="AG399" s="11" t="s">
        <v>128</v>
      </c>
      <c r="AH399" s="11" t="s">
        <v>462</v>
      </c>
      <c r="AI399" s="11">
        <v>801448854</v>
      </c>
      <c r="AJ399" s="11" t="s">
        <v>191</v>
      </c>
      <c r="AK399" s="11"/>
      <c r="AL399" s="11"/>
      <c r="AM399" s="12" t="s">
        <v>46</v>
      </c>
      <c r="AN399" s="11"/>
      <c r="AO399" s="11"/>
      <c r="AP399" s="11"/>
      <c r="AQ399" s="3">
        <v>46104</v>
      </c>
      <c r="AR399" s="11">
        <v>520</v>
      </c>
      <c r="AS399" s="11" t="s">
        <v>608</v>
      </c>
      <c r="AT399" s="11" t="s">
        <v>3631</v>
      </c>
      <c r="AU399" s="2">
        <v>46180</v>
      </c>
    </row>
    <row r="400" spans="1:47" x14ac:dyDescent="0.25">
      <c r="A400" s="45" t="s">
        <v>2525</v>
      </c>
      <c r="B400" s="12" t="s">
        <v>2654</v>
      </c>
      <c r="C400" s="11">
        <v>0</v>
      </c>
      <c r="D400" s="11" t="s">
        <v>108</v>
      </c>
      <c r="E400" s="12"/>
      <c r="F400" s="12"/>
      <c r="G400" s="11" t="s">
        <v>52</v>
      </c>
      <c r="H400" s="12">
        <v>20</v>
      </c>
      <c r="I400" s="12" t="s">
        <v>2782</v>
      </c>
      <c r="J400" s="12" t="s">
        <v>42</v>
      </c>
      <c r="K400" s="12">
        <f>Table1[[#This Row],[ENR]]-Table1[[#This Row],[CREDIT]]</f>
        <v>15821.630000000005</v>
      </c>
      <c r="L400" s="46">
        <v>240000</v>
      </c>
      <c r="M400" s="47">
        <v>255821.63</v>
      </c>
      <c r="N400" s="48">
        <v>69258.13</v>
      </c>
      <c r="O400" s="49">
        <v>186563.5</v>
      </c>
      <c r="P400" s="49">
        <v>165378.71</v>
      </c>
      <c r="Q400" s="29">
        <v>51750</v>
      </c>
      <c r="R400" s="29">
        <v>26090</v>
      </c>
      <c r="S400" s="11" t="s">
        <v>44</v>
      </c>
      <c r="T400" s="11" t="s">
        <v>45</v>
      </c>
      <c r="U400" s="11">
        <v>0</v>
      </c>
      <c r="V400" s="49">
        <f>Table1[[#This Row],[STAB]]-Table1[[#This Row],[AMOUNT]]</f>
        <v>26090</v>
      </c>
      <c r="W400" s="11">
        <v>0</v>
      </c>
      <c r="X400" s="11" t="s">
        <v>83</v>
      </c>
      <c r="Y400" s="11">
        <v>0</v>
      </c>
      <c r="Z400" s="11" t="s">
        <v>88</v>
      </c>
      <c r="AA400" s="11" t="s">
        <v>91</v>
      </c>
      <c r="AB400" s="12" t="s">
        <v>3139</v>
      </c>
      <c r="AC400" s="12" t="s">
        <v>2911</v>
      </c>
      <c r="AD400" s="12" t="s">
        <v>3039</v>
      </c>
      <c r="AE400" s="12" t="s">
        <v>422</v>
      </c>
      <c r="AF400" s="12" t="s">
        <v>127</v>
      </c>
      <c r="AG400" s="12" t="s">
        <v>57</v>
      </c>
      <c r="AH400" s="11" t="s">
        <v>464</v>
      </c>
      <c r="AI400" s="12">
        <v>802852449</v>
      </c>
      <c r="AJ400" s="12" t="s">
        <v>190</v>
      </c>
      <c r="AK400" s="12"/>
      <c r="AL400" s="12"/>
      <c r="AM400" s="12" t="s">
        <v>46</v>
      </c>
      <c r="AN400" s="12"/>
      <c r="AO400" s="12"/>
      <c r="AP400" s="12"/>
      <c r="AQ400" s="50">
        <v>46101</v>
      </c>
      <c r="AR400" s="12">
        <v>7300</v>
      </c>
      <c r="AS400" s="12" t="s">
        <v>436</v>
      </c>
      <c r="AT400" s="11" t="s">
        <v>3118</v>
      </c>
      <c r="AU400" s="51">
        <v>46180</v>
      </c>
    </row>
    <row r="401" spans="1:47" x14ac:dyDescent="0.25">
      <c r="A401" s="10" t="s">
        <v>1755</v>
      </c>
      <c r="B401" s="11" t="s">
        <v>1852</v>
      </c>
      <c r="C401" s="11">
        <v>0</v>
      </c>
      <c r="D401" s="11" t="s">
        <v>108</v>
      </c>
      <c r="E401" s="11"/>
      <c r="F401" s="11"/>
      <c r="G401" s="11" t="s">
        <v>90</v>
      </c>
      <c r="H401" s="11">
        <v>20</v>
      </c>
      <c r="I401" s="11" t="s">
        <v>1949</v>
      </c>
      <c r="J401" s="11" t="s">
        <v>42</v>
      </c>
      <c r="K401" s="11">
        <f>Table1[[#This Row],[ENR]]-Table1[[#This Row],[CREDIT]]</f>
        <v>3218.2399999999907</v>
      </c>
      <c r="L401" s="43">
        <v>250000</v>
      </c>
      <c r="M401" s="30">
        <v>253218.24</v>
      </c>
      <c r="N401" s="44">
        <v>94016.75</v>
      </c>
      <c r="O401" s="29">
        <v>159201.49</v>
      </c>
      <c r="P401" s="29">
        <v>148147.29999999999</v>
      </c>
      <c r="Q401" s="29">
        <v>53770</v>
      </c>
      <c r="R401" s="29">
        <v>30700</v>
      </c>
      <c r="S401" s="11" t="s">
        <v>58</v>
      </c>
      <c r="T401" s="11" t="s">
        <v>13</v>
      </c>
      <c r="U401" s="29">
        <v>159201.49</v>
      </c>
      <c r="V401" s="29">
        <f>Table1[[#This Row],[STAB]]-Table1[[#This Row],[AMOUNT]]</f>
        <v>-128501.48999999999</v>
      </c>
      <c r="W401" s="11" t="s">
        <v>3484</v>
      </c>
      <c r="X401" s="11" t="s">
        <v>451</v>
      </c>
      <c r="Y401" s="11" t="s">
        <v>760</v>
      </c>
      <c r="Z401" s="11" t="s">
        <v>88</v>
      </c>
      <c r="AA401" s="11" t="s">
        <v>86</v>
      </c>
      <c r="AB401" s="11" t="s">
        <v>3139</v>
      </c>
      <c r="AC401" s="11" t="s">
        <v>2046</v>
      </c>
      <c r="AD401" s="11" t="s">
        <v>2135</v>
      </c>
      <c r="AE401" s="11" t="s">
        <v>104</v>
      </c>
      <c r="AF401" s="11" t="s">
        <v>54</v>
      </c>
      <c r="AG401" s="11" t="s">
        <v>109</v>
      </c>
      <c r="AH401" s="11" t="s">
        <v>196</v>
      </c>
      <c r="AI401" s="11">
        <v>802555024</v>
      </c>
      <c r="AJ401" s="11" t="s">
        <v>99</v>
      </c>
      <c r="AK401" s="11"/>
      <c r="AL401" s="11"/>
      <c r="AM401" s="12" t="s">
        <v>64</v>
      </c>
      <c r="AN401" s="11" t="s">
        <v>115</v>
      </c>
      <c r="AO401" s="11" t="s">
        <v>3465</v>
      </c>
      <c r="AP401" s="11" t="s">
        <v>3463</v>
      </c>
      <c r="AQ401" s="3" t="s">
        <v>43</v>
      </c>
      <c r="AR401" s="11">
        <v>0</v>
      </c>
      <c r="AS401" s="11" t="s">
        <v>1493</v>
      </c>
      <c r="AT401" s="11" t="s">
        <v>2152</v>
      </c>
      <c r="AU401" s="2">
        <v>46180</v>
      </c>
    </row>
    <row r="402" spans="1:47" x14ac:dyDescent="0.25">
      <c r="A402" s="10" t="s">
        <v>1752</v>
      </c>
      <c r="B402" s="11" t="s">
        <v>1849</v>
      </c>
      <c r="C402" s="11">
        <v>0</v>
      </c>
      <c r="D402" s="11" t="s">
        <v>108</v>
      </c>
      <c r="E402" s="11"/>
      <c r="F402" s="11"/>
      <c r="G402" s="11" t="s">
        <v>90</v>
      </c>
      <c r="H402" s="11">
        <v>20</v>
      </c>
      <c r="I402" s="11" t="s">
        <v>1946</v>
      </c>
      <c r="J402" s="11" t="s">
        <v>42</v>
      </c>
      <c r="K402" s="11">
        <f>Table1[[#This Row],[ENR]]-Table1[[#This Row],[CREDIT]]</f>
        <v>-13933.899999999994</v>
      </c>
      <c r="L402" s="43">
        <v>260000</v>
      </c>
      <c r="M402" s="30">
        <v>246066.1</v>
      </c>
      <c r="N402" s="44">
        <v>212802.75</v>
      </c>
      <c r="O402" s="29">
        <v>33263.35</v>
      </c>
      <c r="P402" s="29">
        <v>26672.15</v>
      </c>
      <c r="Q402" s="29">
        <v>32530</v>
      </c>
      <c r="R402" s="29">
        <v>16280</v>
      </c>
      <c r="S402" s="11" t="s">
        <v>58</v>
      </c>
      <c r="T402" s="11" t="s">
        <v>14</v>
      </c>
      <c r="U402" s="29">
        <v>16300</v>
      </c>
      <c r="V402" s="29">
        <f>Table1[[#This Row],[STAB]]-Table1[[#This Row],[AMOUNT]]</f>
        <v>-20</v>
      </c>
      <c r="W402" s="11">
        <v>0</v>
      </c>
      <c r="X402" s="11" t="s">
        <v>761</v>
      </c>
      <c r="Y402" s="11" t="s">
        <v>760</v>
      </c>
      <c r="Z402" s="11" t="s">
        <v>88</v>
      </c>
      <c r="AA402" s="11" t="s">
        <v>91</v>
      </c>
      <c r="AB402" s="11" t="s">
        <v>3139</v>
      </c>
      <c r="AC402" s="11" t="s">
        <v>2043</v>
      </c>
      <c r="AD402" s="11" t="s">
        <v>2132</v>
      </c>
      <c r="AE402" s="11" t="s">
        <v>124</v>
      </c>
      <c r="AF402" s="11" t="s">
        <v>127</v>
      </c>
      <c r="AG402" s="11" t="s">
        <v>57</v>
      </c>
      <c r="AH402" s="11" t="s">
        <v>464</v>
      </c>
      <c r="AI402" s="11">
        <v>802852449</v>
      </c>
      <c r="AJ402" s="11" t="s">
        <v>190</v>
      </c>
      <c r="AK402" s="11"/>
      <c r="AL402" s="11"/>
      <c r="AM402" s="12" t="s">
        <v>64</v>
      </c>
      <c r="AN402" s="11" t="s">
        <v>115</v>
      </c>
      <c r="AO402" s="11" t="s">
        <v>2464</v>
      </c>
      <c r="AP402" s="11" t="s">
        <v>2296</v>
      </c>
      <c r="AQ402" s="3">
        <v>45827</v>
      </c>
      <c r="AR402" s="11">
        <v>76700</v>
      </c>
      <c r="AS402" s="11" t="s">
        <v>1493</v>
      </c>
      <c r="AT402" s="11" t="s">
        <v>2152</v>
      </c>
      <c r="AU402" s="2">
        <v>46180</v>
      </c>
    </row>
    <row r="403" spans="1:47" x14ac:dyDescent="0.25">
      <c r="A403" s="10" t="s">
        <v>1764</v>
      </c>
      <c r="B403" s="11" t="s">
        <v>1861</v>
      </c>
      <c r="C403" s="11">
        <v>0</v>
      </c>
      <c r="D403" s="11" t="s">
        <v>108</v>
      </c>
      <c r="E403" s="11"/>
      <c r="F403" s="11"/>
      <c r="G403" s="11" t="s">
        <v>52</v>
      </c>
      <c r="H403" s="11">
        <v>20</v>
      </c>
      <c r="I403" s="11" t="s">
        <v>1958</v>
      </c>
      <c r="J403" s="11" t="s">
        <v>42</v>
      </c>
      <c r="K403" s="11">
        <f>Table1[[#This Row],[ENR]]-Table1[[#This Row],[CREDIT]]</f>
        <v>25284.399999999994</v>
      </c>
      <c r="L403" s="43">
        <v>220000</v>
      </c>
      <c r="M403" s="30">
        <v>245284.4</v>
      </c>
      <c r="N403" s="44" t="s">
        <v>43</v>
      </c>
      <c r="O403" s="29">
        <v>245284.4</v>
      </c>
      <c r="P403" s="29">
        <v>219894.48</v>
      </c>
      <c r="Q403" s="29">
        <v>59890</v>
      </c>
      <c r="R403" s="29">
        <v>26370</v>
      </c>
      <c r="S403" s="11" t="s">
        <v>44</v>
      </c>
      <c r="T403" s="11" t="s">
        <v>45</v>
      </c>
      <c r="U403" s="11">
        <v>0</v>
      </c>
      <c r="V403" s="29">
        <f>Table1[[#This Row],[STAB]]-Table1[[#This Row],[AMOUNT]]</f>
        <v>26370</v>
      </c>
      <c r="W403" s="11">
        <v>0</v>
      </c>
      <c r="X403" s="11" t="s">
        <v>83</v>
      </c>
      <c r="Y403" s="11">
        <v>0</v>
      </c>
      <c r="Z403" s="11" t="s">
        <v>88</v>
      </c>
      <c r="AA403" s="11" t="s">
        <v>91</v>
      </c>
      <c r="AB403" s="11" t="s">
        <v>3141</v>
      </c>
      <c r="AC403" s="11" t="s">
        <v>2055</v>
      </c>
      <c r="AD403" s="11" t="s">
        <v>2144</v>
      </c>
      <c r="AE403" s="11" t="s">
        <v>414</v>
      </c>
      <c r="AF403" s="11" t="s">
        <v>127</v>
      </c>
      <c r="AG403" s="11" t="s">
        <v>106</v>
      </c>
      <c r="AH403" s="11" t="s">
        <v>460</v>
      </c>
      <c r="AI403" s="11">
        <v>802913252</v>
      </c>
      <c r="AJ403" s="11" t="s">
        <v>190</v>
      </c>
      <c r="AK403" s="11"/>
      <c r="AL403" s="11"/>
      <c r="AM403" s="12" t="s">
        <v>64</v>
      </c>
      <c r="AN403" s="11" t="s">
        <v>219</v>
      </c>
      <c r="AO403" s="11" t="s">
        <v>2450</v>
      </c>
      <c r="AP403" s="11" t="s">
        <v>2296</v>
      </c>
      <c r="AQ403" s="3">
        <v>46029</v>
      </c>
      <c r="AR403" s="11">
        <v>50000</v>
      </c>
      <c r="AS403" s="11" t="s">
        <v>608</v>
      </c>
      <c r="AT403" s="11" t="s">
        <v>2152</v>
      </c>
      <c r="AU403" s="2">
        <v>46180</v>
      </c>
    </row>
    <row r="404" spans="1:47" x14ac:dyDescent="0.25">
      <c r="A404" s="10" t="s">
        <v>3498</v>
      </c>
      <c r="B404" s="11" t="s">
        <v>3526</v>
      </c>
      <c r="C404" s="11">
        <v>0</v>
      </c>
      <c r="D404" s="11" t="s">
        <v>3451</v>
      </c>
      <c r="E404" s="11"/>
      <c r="F404" s="11"/>
      <c r="G404" s="11" t="s">
        <v>52</v>
      </c>
      <c r="H404" s="11">
        <v>20</v>
      </c>
      <c r="I404" s="11" t="s">
        <v>3554</v>
      </c>
      <c r="J404" s="11" t="s">
        <v>42</v>
      </c>
      <c r="K404" s="11">
        <f>Table1[[#This Row],[ENR]]-Table1[[#This Row],[CREDIT]]</f>
        <v>11421.850000000006</v>
      </c>
      <c r="L404" s="43">
        <v>230000</v>
      </c>
      <c r="M404" s="30">
        <v>241421.85</v>
      </c>
      <c r="N404" s="44">
        <v>85833.82</v>
      </c>
      <c r="O404" s="29">
        <v>155588.03</v>
      </c>
      <c r="P404" s="29">
        <v>141915.85999999999</v>
      </c>
      <c r="Q404" s="11">
        <v>47980</v>
      </c>
      <c r="R404" s="29">
        <v>17390</v>
      </c>
      <c r="S404" s="11" t="s">
        <v>58</v>
      </c>
      <c r="T404" s="11" t="s">
        <v>14</v>
      </c>
      <c r="U404" s="29">
        <v>17390</v>
      </c>
      <c r="V404" s="29">
        <f>Table1[[#This Row],[STAB]]-Table1[[#This Row],[AMOUNT]]</f>
        <v>0</v>
      </c>
      <c r="W404" s="11" t="s">
        <v>3642</v>
      </c>
      <c r="X404" s="11" t="s">
        <v>444</v>
      </c>
      <c r="Y404" s="11" t="s">
        <v>760</v>
      </c>
      <c r="Z404" s="11" t="s">
        <v>88</v>
      </c>
      <c r="AA404" s="11" t="s">
        <v>86</v>
      </c>
      <c r="AB404" s="11"/>
      <c r="AC404" s="11" t="s">
        <v>3582</v>
      </c>
      <c r="AD404" s="11" t="s">
        <v>3610</v>
      </c>
      <c r="AE404" s="11" t="s">
        <v>418</v>
      </c>
      <c r="AF404" s="11" t="s">
        <v>54</v>
      </c>
      <c r="AG404" s="11" t="s">
        <v>1086</v>
      </c>
      <c r="AH404" s="11" t="s">
        <v>85</v>
      </c>
      <c r="AI404" s="11">
        <v>801772794</v>
      </c>
      <c r="AJ404" s="11" t="s">
        <v>192</v>
      </c>
      <c r="AK404" s="11"/>
      <c r="AL404" s="11"/>
      <c r="AM404" s="12" t="s">
        <v>64</v>
      </c>
      <c r="AN404" s="11"/>
      <c r="AO404" s="11"/>
      <c r="AP404" s="11"/>
      <c r="AQ404" s="3">
        <v>45736</v>
      </c>
      <c r="AR404" s="11">
        <v>5900</v>
      </c>
      <c r="AS404" s="11" t="s">
        <v>1073</v>
      </c>
      <c r="AT404" s="11" t="s">
        <v>3631</v>
      </c>
      <c r="AU404" s="2">
        <v>46180</v>
      </c>
    </row>
    <row r="405" spans="1:47" x14ac:dyDescent="0.25">
      <c r="A405" s="10" t="s">
        <v>2513</v>
      </c>
      <c r="B405" s="11" t="s">
        <v>2642</v>
      </c>
      <c r="C405" s="11">
        <v>0</v>
      </c>
      <c r="D405" s="11" t="s">
        <v>108</v>
      </c>
      <c r="E405" s="11"/>
      <c r="F405" s="11"/>
      <c r="G405" s="11" t="s">
        <v>52</v>
      </c>
      <c r="H405" s="11">
        <v>20</v>
      </c>
      <c r="I405" s="11" t="s">
        <v>2770</v>
      </c>
      <c r="J405" s="11" t="s">
        <v>42</v>
      </c>
      <c r="K405" s="11">
        <f>Table1[[#This Row],[ENR]]-Table1[[#This Row],[CREDIT]]</f>
        <v>-175265.86</v>
      </c>
      <c r="L405" s="43">
        <v>400000</v>
      </c>
      <c r="M405" s="30">
        <v>224734.14</v>
      </c>
      <c r="N405" s="44">
        <v>155249.81</v>
      </c>
      <c r="O405" s="29">
        <v>69484.33</v>
      </c>
      <c r="P405" s="29">
        <v>48511.32</v>
      </c>
      <c r="Q405" s="29">
        <v>41630</v>
      </c>
      <c r="R405" s="29">
        <v>24610</v>
      </c>
      <c r="S405" s="11" t="s">
        <v>44</v>
      </c>
      <c r="T405" s="11" t="s">
        <v>45</v>
      </c>
      <c r="U405" s="11">
        <v>0</v>
      </c>
      <c r="V405" s="29">
        <f>Table1[[#This Row],[STAB]]-Table1[[#This Row],[AMOUNT]]</f>
        <v>24610</v>
      </c>
      <c r="W405" s="11">
        <v>0</v>
      </c>
      <c r="X405" s="11" t="s">
        <v>83</v>
      </c>
      <c r="Y405" s="11" t="s">
        <v>759</v>
      </c>
      <c r="Z405" s="11" t="s">
        <v>88</v>
      </c>
      <c r="AA405" s="11" t="s">
        <v>86</v>
      </c>
      <c r="AB405" s="11" t="s">
        <v>3139</v>
      </c>
      <c r="AC405" s="11" t="s">
        <v>2899</v>
      </c>
      <c r="AD405" s="11" t="s">
        <v>3027</v>
      </c>
      <c r="AE405" s="11" t="s">
        <v>413</v>
      </c>
      <c r="AF405" s="11" t="s">
        <v>54</v>
      </c>
      <c r="AG405" s="11" t="s">
        <v>146</v>
      </c>
      <c r="AH405" s="11" t="s">
        <v>625</v>
      </c>
      <c r="AI405" s="11">
        <v>801217009</v>
      </c>
      <c r="AJ405" s="11" t="s">
        <v>190</v>
      </c>
      <c r="AK405" s="11"/>
      <c r="AL405" s="11"/>
      <c r="AM405" s="12" t="s">
        <v>64</v>
      </c>
      <c r="AN405" s="11" t="s">
        <v>219</v>
      </c>
      <c r="AO405" s="11" t="s">
        <v>3166</v>
      </c>
      <c r="AP405" s="11" t="s">
        <v>3129</v>
      </c>
      <c r="AQ405" s="3">
        <v>45996</v>
      </c>
      <c r="AR405" s="11">
        <v>12860</v>
      </c>
      <c r="AS405" s="11" t="s">
        <v>430</v>
      </c>
      <c r="AT405" s="11" t="s">
        <v>3118</v>
      </c>
      <c r="AU405" s="2">
        <v>46180</v>
      </c>
    </row>
    <row r="406" spans="1:47" x14ac:dyDescent="0.25">
      <c r="A406" s="10" t="s">
        <v>1757</v>
      </c>
      <c r="B406" s="11" t="s">
        <v>1854</v>
      </c>
      <c r="C406" s="11">
        <v>0</v>
      </c>
      <c r="D406" s="11" t="s">
        <v>108</v>
      </c>
      <c r="E406" s="11"/>
      <c r="F406" s="11" t="s">
        <v>440</v>
      </c>
      <c r="G406" s="11" t="s">
        <v>52</v>
      </c>
      <c r="H406" s="11">
        <v>20</v>
      </c>
      <c r="I406" s="11" t="s">
        <v>1951</v>
      </c>
      <c r="J406" s="11" t="s">
        <v>42</v>
      </c>
      <c r="K406" s="11">
        <f>Table1[[#This Row],[ENR]]-Table1[[#This Row],[CREDIT]]</f>
        <v>-12640.609999999986</v>
      </c>
      <c r="L406" s="43">
        <v>231000</v>
      </c>
      <c r="M406" s="30">
        <v>218359.39</v>
      </c>
      <c r="N406" s="44" t="s">
        <v>43</v>
      </c>
      <c r="O406" s="29">
        <v>218359.39</v>
      </c>
      <c r="P406" s="29">
        <v>200966</v>
      </c>
      <c r="Q406" s="29">
        <v>36980</v>
      </c>
      <c r="R406" s="29">
        <v>10040</v>
      </c>
      <c r="S406" s="11" t="s">
        <v>44</v>
      </c>
      <c r="T406" s="11" t="s">
        <v>45</v>
      </c>
      <c r="U406" s="11">
        <v>0</v>
      </c>
      <c r="V406" s="29">
        <f>Table1[[#This Row],[STAB]]-Table1[[#This Row],[AMOUNT]]</f>
        <v>10040</v>
      </c>
      <c r="W406" s="11">
        <v>0</v>
      </c>
      <c r="X406" s="11" t="s">
        <v>83</v>
      </c>
      <c r="Y406" s="11">
        <v>0</v>
      </c>
      <c r="Z406" s="11" t="s">
        <v>88</v>
      </c>
      <c r="AA406" s="11" t="s">
        <v>86</v>
      </c>
      <c r="AB406" s="11" t="s">
        <v>3139</v>
      </c>
      <c r="AC406" s="11" t="s">
        <v>2048</v>
      </c>
      <c r="AD406" s="11" t="s">
        <v>2137</v>
      </c>
      <c r="AE406" s="11" t="s">
        <v>104</v>
      </c>
      <c r="AF406" s="11" t="s">
        <v>54</v>
      </c>
      <c r="AG406" s="11" t="s">
        <v>109</v>
      </c>
      <c r="AH406" s="11" t="s">
        <v>196</v>
      </c>
      <c r="AI406" s="11">
        <v>802555024</v>
      </c>
      <c r="AJ406" s="11" t="s">
        <v>99</v>
      </c>
      <c r="AK406" s="11"/>
      <c r="AL406" s="11"/>
      <c r="AM406" s="12" t="s">
        <v>64</v>
      </c>
      <c r="AN406" s="11" t="s">
        <v>115</v>
      </c>
      <c r="AO406" s="11" t="s">
        <v>3128</v>
      </c>
      <c r="AP406" s="11" t="s">
        <v>3119</v>
      </c>
      <c r="AQ406" s="3">
        <v>45633</v>
      </c>
      <c r="AR406" s="11">
        <v>59055</v>
      </c>
      <c r="AS406" s="11" t="s">
        <v>47</v>
      </c>
      <c r="AT406" s="11" t="s">
        <v>2152</v>
      </c>
      <c r="AU406" s="2">
        <v>46180</v>
      </c>
    </row>
    <row r="407" spans="1:47" x14ac:dyDescent="0.25">
      <c r="A407" s="10" t="s">
        <v>3491</v>
      </c>
      <c r="B407" s="11" t="s">
        <v>3519</v>
      </c>
      <c r="C407" s="11">
        <v>0</v>
      </c>
      <c r="D407" s="11" t="s">
        <v>3451</v>
      </c>
      <c r="E407" s="11"/>
      <c r="F407" s="11"/>
      <c r="G407" s="11" t="s">
        <v>52</v>
      </c>
      <c r="H407" s="11">
        <v>20</v>
      </c>
      <c r="I407" s="11" t="s">
        <v>3547</v>
      </c>
      <c r="J407" s="11" t="s">
        <v>42</v>
      </c>
      <c r="K407" s="11">
        <f>Table1[[#This Row],[ENR]]-Table1[[#This Row],[CREDIT]]</f>
        <v>16910.709999999992</v>
      </c>
      <c r="L407" s="43">
        <v>200000</v>
      </c>
      <c r="M407" s="30">
        <v>216910.71</v>
      </c>
      <c r="N407" s="44" t="s">
        <v>43</v>
      </c>
      <c r="O407" s="29">
        <v>216910.71</v>
      </c>
      <c r="P407" s="29">
        <v>197062.35</v>
      </c>
      <c r="Q407" s="11">
        <v>55030</v>
      </c>
      <c r="R407" s="29">
        <v>12560</v>
      </c>
      <c r="S407" s="11" t="s">
        <v>44</v>
      </c>
      <c r="T407" s="11" t="s">
        <v>45</v>
      </c>
      <c r="U407" s="11">
        <v>0</v>
      </c>
      <c r="V407" s="29">
        <f>Table1[[#This Row],[STAB]]-Table1[[#This Row],[AMOUNT]]</f>
        <v>12560</v>
      </c>
      <c r="W407" s="11">
        <v>0</v>
      </c>
      <c r="X407" s="11" t="s">
        <v>83</v>
      </c>
      <c r="Y407" s="11">
        <v>0</v>
      </c>
      <c r="Z407" s="11" t="s">
        <v>88</v>
      </c>
      <c r="AA407" s="11" t="s">
        <v>86</v>
      </c>
      <c r="AB407" s="11"/>
      <c r="AC407" s="11" t="s">
        <v>3575</v>
      </c>
      <c r="AD407" s="11" t="s">
        <v>3603</v>
      </c>
      <c r="AE407" s="11" t="s">
        <v>92</v>
      </c>
      <c r="AF407" s="11" t="s">
        <v>54</v>
      </c>
      <c r="AG407" s="11" t="s">
        <v>101</v>
      </c>
      <c r="AH407" s="11" t="s">
        <v>197</v>
      </c>
      <c r="AI407" s="11">
        <v>802370852</v>
      </c>
      <c r="AJ407" s="11" t="s">
        <v>191</v>
      </c>
      <c r="AK407" s="11"/>
      <c r="AL407" s="11"/>
      <c r="AM407" s="12" t="s">
        <v>46</v>
      </c>
      <c r="AN407" s="11"/>
      <c r="AO407" s="11"/>
      <c r="AP407" s="11"/>
      <c r="AQ407" s="3" t="s">
        <v>43</v>
      </c>
      <c r="AR407" s="11">
        <v>0</v>
      </c>
      <c r="AS407" s="11" t="s">
        <v>1073</v>
      </c>
      <c r="AT407" s="11" t="s">
        <v>3631</v>
      </c>
      <c r="AU407" s="2">
        <v>46180</v>
      </c>
    </row>
    <row r="408" spans="1:47" x14ac:dyDescent="0.25">
      <c r="A408" s="10" t="s">
        <v>2493</v>
      </c>
      <c r="B408" s="11" t="s">
        <v>2623</v>
      </c>
      <c r="C408" s="11">
        <v>0</v>
      </c>
      <c r="D408" s="11" t="s">
        <v>108</v>
      </c>
      <c r="E408" s="11"/>
      <c r="F408" s="11"/>
      <c r="G408" s="11" t="s">
        <v>52</v>
      </c>
      <c r="H408" s="11">
        <v>20</v>
      </c>
      <c r="I408" s="11" t="s">
        <v>2751</v>
      </c>
      <c r="J408" s="11" t="s">
        <v>550</v>
      </c>
      <c r="K408" s="11">
        <f>Table1[[#This Row],[ENR]]-Table1[[#This Row],[CREDIT]]</f>
        <v>-67062.859999999986</v>
      </c>
      <c r="L408" s="43">
        <v>280000</v>
      </c>
      <c r="M408" s="30">
        <v>212937.14</v>
      </c>
      <c r="N408" s="44" t="s">
        <v>43</v>
      </c>
      <c r="O408" s="29">
        <v>212937.14</v>
      </c>
      <c r="P408" s="29">
        <v>192495.73</v>
      </c>
      <c r="Q408" s="29">
        <v>30350</v>
      </c>
      <c r="R408" s="29">
        <v>11890</v>
      </c>
      <c r="S408" s="11" t="s">
        <v>44</v>
      </c>
      <c r="T408" s="11" t="s">
        <v>45</v>
      </c>
      <c r="U408" s="11">
        <v>0</v>
      </c>
      <c r="V408" s="29">
        <f>Table1[[#This Row],[STAB]]-Table1[[#This Row],[AMOUNT]]</f>
        <v>11890</v>
      </c>
      <c r="W408" s="11">
        <v>0</v>
      </c>
      <c r="X408" s="11" t="s">
        <v>83</v>
      </c>
      <c r="Y408" s="11">
        <v>0</v>
      </c>
      <c r="Z408" s="11" t="s">
        <v>88</v>
      </c>
      <c r="AA408" s="11" t="s">
        <v>91</v>
      </c>
      <c r="AB408" s="11" t="s">
        <v>3139</v>
      </c>
      <c r="AC408" s="11" t="s">
        <v>2879</v>
      </c>
      <c r="AD408" s="11" t="s">
        <v>3008</v>
      </c>
      <c r="AE408" s="11" t="s">
        <v>417</v>
      </c>
      <c r="AF408" s="11" t="s">
        <v>127</v>
      </c>
      <c r="AG408" s="11" t="s">
        <v>128</v>
      </c>
      <c r="AH408" s="11" t="s">
        <v>462</v>
      </c>
      <c r="AI408" s="11">
        <v>801448854</v>
      </c>
      <c r="AJ408" s="11" t="s">
        <v>191</v>
      </c>
      <c r="AK408" s="11"/>
      <c r="AL408" s="11"/>
      <c r="AM408" s="12" t="s">
        <v>46</v>
      </c>
      <c r="AN408" s="11"/>
      <c r="AO408" s="11"/>
      <c r="AP408" s="11"/>
      <c r="AQ408" s="3">
        <v>45726</v>
      </c>
      <c r="AR408" s="11">
        <v>500</v>
      </c>
      <c r="AS408" s="11" t="s">
        <v>144</v>
      </c>
      <c r="AT408" s="11" t="s">
        <v>3118</v>
      </c>
      <c r="AU408" s="2">
        <v>46180</v>
      </c>
    </row>
    <row r="409" spans="1:47" x14ac:dyDescent="0.25">
      <c r="A409" s="10" t="s">
        <v>2501</v>
      </c>
      <c r="B409" s="11" t="s">
        <v>2631</v>
      </c>
      <c r="C409" s="11">
        <v>0</v>
      </c>
      <c r="D409" s="11" t="s">
        <v>108</v>
      </c>
      <c r="E409" s="11"/>
      <c r="F409" s="11"/>
      <c r="G409" s="11" t="s">
        <v>52</v>
      </c>
      <c r="H409" s="11">
        <v>20</v>
      </c>
      <c r="I409" s="11" t="s">
        <v>2759</v>
      </c>
      <c r="J409" s="11" t="s">
        <v>42</v>
      </c>
      <c r="K409" s="11">
        <f>Table1[[#This Row],[ENR]]-Table1[[#This Row],[CREDIT]]</f>
        <v>-397758.36</v>
      </c>
      <c r="L409" s="43">
        <v>610000</v>
      </c>
      <c r="M409" s="30">
        <v>212241.64</v>
      </c>
      <c r="N409" s="44">
        <v>13261.57</v>
      </c>
      <c r="O409" s="29">
        <v>198980.07</v>
      </c>
      <c r="P409" s="29">
        <v>175233.5</v>
      </c>
      <c r="Q409" s="29">
        <v>49760</v>
      </c>
      <c r="R409" s="29">
        <v>18760</v>
      </c>
      <c r="S409" s="11" t="s">
        <v>58</v>
      </c>
      <c r="T409" s="11" t="s">
        <v>14</v>
      </c>
      <c r="U409" s="29">
        <v>18760</v>
      </c>
      <c r="V409" s="29">
        <f>Table1[[#This Row],[STAB]]-Table1[[#This Row],[AMOUNT]]</f>
        <v>0</v>
      </c>
      <c r="W409" s="11" t="s">
        <v>3484</v>
      </c>
      <c r="X409" s="11" t="s">
        <v>444</v>
      </c>
      <c r="Y409" s="11" t="s">
        <v>760</v>
      </c>
      <c r="Z409" s="11" t="s">
        <v>88</v>
      </c>
      <c r="AA409" s="11" t="s">
        <v>91</v>
      </c>
      <c r="AB409" s="11" t="s">
        <v>3139</v>
      </c>
      <c r="AC409" s="11" t="s">
        <v>2887</v>
      </c>
      <c r="AD409" s="11" t="s">
        <v>3016</v>
      </c>
      <c r="AE409" s="11" t="s">
        <v>603</v>
      </c>
      <c r="AF409" s="11" t="s">
        <v>53</v>
      </c>
      <c r="AG409" s="11" t="s">
        <v>89</v>
      </c>
      <c r="AH409" s="11" t="s">
        <v>193</v>
      </c>
      <c r="AI409" s="11">
        <v>802824019</v>
      </c>
      <c r="AJ409" s="11" t="s">
        <v>189</v>
      </c>
      <c r="AK409" s="11"/>
      <c r="AL409" s="11"/>
      <c r="AM409" s="12" t="s">
        <v>64</v>
      </c>
      <c r="AN409" s="11"/>
      <c r="AO409" s="11"/>
      <c r="AP409" s="11"/>
      <c r="AQ409" s="3">
        <v>46112</v>
      </c>
      <c r="AR409" s="11">
        <v>40000</v>
      </c>
      <c r="AS409" s="11" t="s">
        <v>48</v>
      </c>
      <c r="AT409" s="11" t="s">
        <v>3118</v>
      </c>
      <c r="AU409" s="2">
        <v>46180</v>
      </c>
    </row>
    <row r="410" spans="1:47" x14ac:dyDescent="0.25">
      <c r="A410" s="10" t="s">
        <v>1758</v>
      </c>
      <c r="B410" s="11" t="s">
        <v>1855</v>
      </c>
      <c r="C410" s="11">
        <v>0</v>
      </c>
      <c r="D410" s="11" t="s">
        <v>108</v>
      </c>
      <c r="E410" s="11"/>
      <c r="F410" s="11"/>
      <c r="G410" s="11" t="s">
        <v>90</v>
      </c>
      <c r="H410" s="11">
        <v>20</v>
      </c>
      <c r="I410" s="11" t="s">
        <v>1952</v>
      </c>
      <c r="J410" s="11" t="s">
        <v>42</v>
      </c>
      <c r="K410" s="11">
        <f>Table1[[#This Row],[ENR]]-Table1[[#This Row],[CREDIT]]</f>
        <v>-14172.140000000014</v>
      </c>
      <c r="L410" s="43">
        <v>220000</v>
      </c>
      <c r="M410" s="30">
        <v>205827.86</v>
      </c>
      <c r="N410" s="44">
        <v>127138.24000000001</v>
      </c>
      <c r="O410" s="29">
        <v>78689.62</v>
      </c>
      <c r="P410" s="29">
        <v>71041.17</v>
      </c>
      <c r="Q410" s="29">
        <v>31040</v>
      </c>
      <c r="R410" s="29">
        <v>10190</v>
      </c>
      <c r="S410" s="11" t="s">
        <v>58</v>
      </c>
      <c r="T410" s="11" t="s">
        <v>14</v>
      </c>
      <c r="U410" s="29">
        <v>10200</v>
      </c>
      <c r="V410" s="29">
        <f>Table1[[#This Row],[STAB]]-Table1[[#This Row],[AMOUNT]]</f>
        <v>-10</v>
      </c>
      <c r="W410" s="11" t="s">
        <v>3642</v>
      </c>
      <c r="X410" s="11" t="s">
        <v>444</v>
      </c>
      <c r="Y410" s="11" t="s">
        <v>760</v>
      </c>
      <c r="Z410" s="11" t="s">
        <v>88</v>
      </c>
      <c r="AA410" s="11" t="s">
        <v>86</v>
      </c>
      <c r="AB410" s="11" t="s">
        <v>3139</v>
      </c>
      <c r="AC410" s="11" t="s">
        <v>2049</v>
      </c>
      <c r="AD410" s="11" t="s">
        <v>2138</v>
      </c>
      <c r="AE410" s="11" t="s">
        <v>92</v>
      </c>
      <c r="AF410" s="11" t="s">
        <v>54</v>
      </c>
      <c r="AG410" s="11" t="s">
        <v>101</v>
      </c>
      <c r="AH410" s="11" t="s">
        <v>197</v>
      </c>
      <c r="AI410" s="11">
        <v>802370852</v>
      </c>
      <c r="AJ410" s="11" t="s">
        <v>191</v>
      </c>
      <c r="AK410" s="11"/>
      <c r="AL410" s="11"/>
      <c r="AM410" s="12" t="s">
        <v>64</v>
      </c>
      <c r="AN410" s="11" t="s">
        <v>219</v>
      </c>
      <c r="AO410" s="11" t="s">
        <v>3222</v>
      </c>
      <c r="AP410" s="11" t="s">
        <v>3206</v>
      </c>
      <c r="AQ410" s="3">
        <v>45920</v>
      </c>
      <c r="AR410" s="11">
        <v>2530</v>
      </c>
      <c r="AS410" s="11" t="s">
        <v>47</v>
      </c>
      <c r="AT410" s="11" t="s">
        <v>2152</v>
      </c>
      <c r="AU410" s="2">
        <v>46180</v>
      </c>
    </row>
    <row r="411" spans="1:47" x14ac:dyDescent="0.25">
      <c r="A411" s="10" t="s">
        <v>3493</v>
      </c>
      <c r="B411" s="11" t="s">
        <v>3521</v>
      </c>
      <c r="C411" s="11">
        <v>0</v>
      </c>
      <c r="D411" s="11" t="s">
        <v>3451</v>
      </c>
      <c r="E411" s="11"/>
      <c r="F411" s="11"/>
      <c r="G411" s="11" t="s">
        <v>52</v>
      </c>
      <c r="H411" s="11">
        <v>20</v>
      </c>
      <c r="I411" s="11" t="s">
        <v>3549</v>
      </c>
      <c r="J411" s="11" t="s">
        <v>42</v>
      </c>
      <c r="K411" s="11">
        <f>Table1[[#This Row],[ENR]]-Table1[[#This Row],[CREDIT]]</f>
        <v>1223.3399999999965</v>
      </c>
      <c r="L411" s="43">
        <v>190000</v>
      </c>
      <c r="M411" s="30">
        <v>191223.34</v>
      </c>
      <c r="N411" s="44">
        <v>55381.43</v>
      </c>
      <c r="O411" s="29">
        <v>135841.91</v>
      </c>
      <c r="P411" s="29">
        <v>123884.48</v>
      </c>
      <c r="Q411" s="11">
        <v>30940</v>
      </c>
      <c r="R411" s="29">
        <v>13606</v>
      </c>
      <c r="S411" s="11" t="s">
        <v>58</v>
      </c>
      <c r="T411" s="11" t="s">
        <v>13</v>
      </c>
      <c r="U411" s="11">
        <v>132000</v>
      </c>
      <c r="V411" s="29">
        <f>Table1[[#This Row],[STAB]]-Table1[[#This Row],[AMOUNT]]</f>
        <v>-118394</v>
      </c>
      <c r="W411" s="11">
        <v>0</v>
      </c>
      <c r="X411" s="11" t="s">
        <v>761</v>
      </c>
      <c r="Y411" s="11" t="s">
        <v>760</v>
      </c>
      <c r="Z411" s="11" t="s">
        <v>88</v>
      </c>
      <c r="AA411" s="11" t="s">
        <v>86</v>
      </c>
      <c r="AB411" s="11"/>
      <c r="AC411" s="11" t="s">
        <v>3577</v>
      </c>
      <c r="AD411" s="11" t="s">
        <v>3605</v>
      </c>
      <c r="AE411" s="11" t="s">
        <v>100</v>
      </c>
      <c r="AF411" s="11" t="s">
        <v>54</v>
      </c>
      <c r="AG411" s="11" t="s">
        <v>2164</v>
      </c>
      <c r="AH411" s="11" t="s">
        <v>193</v>
      </c>
      <c r="AI411" s="11">
        <v>802824019</v>
      </c>
      <c r="AJ411" s="11" t="s">
        <v>189</v>
      </c>
      <c r="AK411" s="11"/>
      <c r="AL411" s="11"/>
      <c r="AM411" s="12" t="s">
        <v>64</v>
      </c>
      <c r="AN411" s="11"/>
      <c r="AO411" s="11"/>
      <c r="AP411" s="11"/>
      <c r="AQ411" s="3">
        <v>45621</v>
      </c>
      <c r="AR411" s="11">
        <v>196.4</v>
      </c>
      <c r="AS411" s="11" t="s">
        <v>47</v>
      </c>
      <c r="AT411" s="11" t="s">
        <v>3631</v>
      </c>
      <c r="AU411" s="2">
        <v>46180</v>
      </c>
    </row>
    <row r="412" spans="1:47" x14ac:dyDescent="0.25">
      <c r="A412" s="10" t="s">
        <v>1759</v>
      </c>
      <c r="B412" s="11" t="s">
        <v>1856</v>
      </c>
      <c r="C412" s="11">
        <v>0</v>
      </c>
      <c r="D412" s="11" t="s">
        <v>108</v>
      </c>
      <c r="E412" s="11"/>
      <c r="F412" s="11" t="s">
        <v>440</v>
      </c>
      <c r="G412" s="11" t="s">
        <v>52</v>
      </c>
      <c r="H412" s="11">
        <v>20</v>
      </c>
      <c r="I412" s="11" t="s">
        <v>1953</v>
      </c>
      <c r="J412" s="11" t="s">
        <v>42</v>
      </c>
      <c r="K412" s="11">
        <f>Table1[[#This Row],[ENR]]-Table1[[#This Row],[CREDIT]]</f>
        <v>-140134.73000000001</v>
      </c>
      <c r="L412" s="43">
        <v>330000</v>
      </c>
      <c r="M412" s="30">
        <v>189865.27</v>
      </c>
      <c r="N412" s="44">
        <v>158204.25</v>
      </c>
      <c r="O412" s="29">
        <v>31661.02</v>
      </c>
      <c r="P412" s="29">
        <v>28669.7</v>
      </c>
      <c r="Q412" s="29">
        <v>31030</v>
      </c>
      <c r="R412" s="29">
        <v>14320</v>
      </c>
      <c r="S412" s="11" t="s">
        <v>44</v>
      </c>
      <c r="T412" s="11" t="s">
        <v>45</v>
      </c>
      <c r="U412" s="11">
        <v>0</v>
      </c>
      <c r="V412" s="29">
        <f>Table1[[#This Row],[STAB]]-Table1[[#This Row],[AMOUNT]]</f>
        <v>14320</v>
      </c>
      <c r="W412" s="11">
        <v>0</v>
      </c>
      <c r="X412" s="11" t="s">
        <v>83</v>
      </c>
      <c r="Y412" s="11">
        <v>0</v>
      </c>
      <c r="Z412" s="11" t="s">
        <v>88</v>
      </c>
      <c r="AA412" s="11" t="s">
        <v>91</v>
      </c>
      <c r="AB412" s="11" t="s">
        <v>3139</v>
      </c>
      <c r="AC412" s="11" t="s">
        <v>2050</v>
      </c>
      <c r="AD412" s="11" t="s">
        <v>2139</v>
      </c>
      <c r="AE412" s="11" t="s">
        <v>428</v>
      </c>
      <c r="AF412" s="11" t="s">
        <v>53</v>
      </c>
      <c r="AG412" s="11" t="s">
        <v>55</v>
      </c>
      <c r="AH412" s="11" t="s">
        <v>468</v>
      </c>
      <c r="AI412" s="11">
        <v>802030802</v>
      </c>
      <c r="AJ412" s="11" t="s">
        <v>458</v>
      </c>
      <c r="AK412" s="11"/>
      <c r="AL412" s="11"/>
      <c r="AM412" s="12" t="s">
        <v>64</v>
      </c>
      <c r="AN412" s="11" t="s">
        <v>115</v>
      </c>
      <c r="AO412" s="11" t="s">
        <v>3479</v>
      </c>
      <c r="AP412" s="11" t="s">
        <v>3473</v>
      </c>
      <c r="AQ412" s="3">
        <v>45472</v>
      </c>
      <c r="AR412" s="11">
        <v>8228.61</v>
      </c>
      <c r="AS412" s="11" t="s">
        <v>47</v>
      </c>
      <c r="AT412" s="11" t="s">
        <v>2152</v>
      </c>
      <c r="AU412" s="2">
        <v>46180</v>
      </c>
    </row>
    <row r="413" spans="1:47" x14ac:dyDescent="0.25">
      <c r="A413" s="10" t="s">
        <v>3449</v>
      </c>
      <c r="B413" s="11" t="s">
        <v>3455</v>
      </c>
      <c r="C413" s="11">
        <v>0</v>
      </c>
      <c r="D413" s="11" t="s">
        <v>3451</v>
      </c>
      <c r="E413" s="11"/>
      <c r="F413" s="11"/>
      <c r="G413" s="11" t="s">
        <v>52</v>
      </c>
      <c r="H413" s="11">
        <v>20</v>
      </c>
      <c r="I413" s="11" t="s">
        <v>3460</v>
      </c>
      <c r="J413" s="11" t="s">
        <v>42</v>
      </c>
      <c r="K413" s="11">
        <f>Table1[[#This Row],[ENR]]-Table1[[#This Row],[CREDIT]]</f>
        <v>12629.679999999993</v>
      </c>
      <c r="L413" s="43">
        <v>160000</v>
      </c>
      <c r="M413" s="30">
        <v>172629.68</v>
      </c>
      <c r="N413" s="44">
        <v>7622.42</v>
      </c>
      <c r="O413" s="29">
        <v>165007.26</v>
      </c>
      <c r="P413" s="29">
        <v>150312.13</v>
      </c>
      <c r="Q413" s="11">
        <v>50180</v>
      </c>
      <c r="R413" s="29">
        <v>22960</v>
      </c>
      <c r="S413" s="11" t="s">
        <v>44</v>
      </c>
      <c r="T413" s="11" t="s">
        <v>45</v>
      </c>
      <c r="U413" s="11">
        <v>0</v>
      </c>
      <c r="V413" s="29">
        <f>Table1[[#This Row],[STAB]]-Table1[[#This Row],[AMOUNT]]</f>
        <v>22960</v>
      </c>
      <c r="W413" s="11">
        <v>0</v>
      </c>
      <c r="X413" s="11" t="s">
        <v>83</v>
      </c>
      <c r="Y413" s="11">
        <v>0</v>
      </c>
      <c r="Z413" s="11" t="s">
        <v>88</v>
      </c>
      <c r="AA413" s="11" t="s">
        <v>91</v>
      </c>
      <c r="AB413" s="11"/>
      <c r="AC413" s="11" t="s">
        <v>3632</v>
      </c>
      <c r="AD413" s="11" t="s">
        <v>3636</v>
      </c>
      <c r="AE413" s="11" t="s">
        <v>100</v>
      </c>
      <c r="AF413" s="11" t="s">
        <v>53</v>
      </c>
      <c r="AG413" s="11" t="s">
        <v>89</v>
      </c>
      <c r="AH413" s="11" t="s">
        <v>193</v>
      </c>
      <c r="AI413" s="11">
        <v>802824019</v>
      </c>
      <c r="AJ413" s="11" t="s">
        <v>189</v>
      </c>
      <c r="AK413" s="11"/>
      <c r="AL413" s="11"/>
      <c r="AM413" s="12" t="s">
        <v>46</v>
      </c>
      <c r="AN413" s="11"/>
      <c r="AO413" s="11"/>
      <c r="AP413" s="11"/>
      <c r="AQ413" s="3">
        <v>46053</v>
      </c>
      <c r="AR413" s="11">
        <v>8000</v>
      </c>
      <c r="AS413" s="11" t="s">
        <v>430</v>
      </c>
      <c r="AT413" s="11" t="s">
        <v>3445</v>
      </c>
      <c r="AU413" s="2">
        <v>46180</v>
      </c>
    </row>
    <row r="414" spans="1:47" x14ac:dyDescent="0.25">
      <c r="A414" s="10" t="s">
        <v>2508</v>
      </c>
      <c r="B414" s="11" t="s">
        <v>2637</v>
      </c>
      <c r="C414" s="11">
        <v>0</v>
      </c>
      <c r="D414" s="11" t="s">
        <v>108</v>
      </c>
      <c r="E414" s="11"/>
      <c r="F414" s="11"/>
      <c r="G414" s="11" t="s">
        <v>52</v>
      </c>
      <c r="H414" s="11">
        <v>20</v>
      </c>
      <c r="I414" s="11" t="s">
        <v>2765</v>
      </c>
      <c r="J414" s="11" t="s">
        <v>42</v>
      </c>
      <c r="K414" s="11">
        <f>Table1[[#This Row],[ENR]]-Table1[[#This Row],[CREDIT]]</f>
        <v>91944.43</v>
      </c>
      <c r="L414" s="43">
        <v>80000</v>
      </c>
      <c r="M414" s="30">
        <v>171944.43</v>
      </c>
      <c r="N414" s="44">
        <v>100909.68</v>
      </c>
      <c r="O414" s="29">
        <v>71034.75</v>
      </c>
      <c r="P414" s="29">
        <v>65847.929999999993</v>
      </c>
      <c r="Q414" s="29">
        <v>41500</v>
      </c>
      <c r="R414" s="29">
        <v>20780</v>
      </c>
      <c r="S414" s="11" t="s">
        <v>58</v>
      </c>
      <c r="T414" s="11" t="s">
        <v>14</v>
      </c>
      <c r="U414" s="29">
        <v>21000</v>
      </c>
      <c r="V414" s="29">
        <f>Table1[[#This Row],[STAB]]-Table1[[#This Row],[AMOUNT]]</f>
        <v>-220</v>
      </c>
      <c r="W414" s="11" t="s">
        <v>3642</v>
      </c>
      <c r="X414" s="11" t="s">
        <v>83</v>
      </c>
      <c r="Y414" s="11" t="s">
        <v>1084</v>
      </c>
      <c r="Z414" s="11" t="s">
        <v>88</v>
      </c>
      <c r="AA414" s="11" t="s">
        <v>91</v>
      </c>
      <c r="AB414" s="11" t="s">
        <v>3139</v>
      </c>
      <c r="AC414" s="11" t="s">
        <v>2894</v>
      </c>
      <c r="AD414" s="11" t="s">
        <v>3022</v>
      </c>
      <c r="AE414" s="11" t="s">
        <v>425</v>
      </c>
      <c r="AF414" s="11" t="s">
        <v>53</v>
      </c>
      <c r="AG414" s="11" t="s">
        <v>117</v>
      </c>
      <c r="AH414" s="11" t="s">
        <v>466</v>
      </c>
      <c r="AI414" s="11">
        <v>802388289</v>
      </c>
      <c r="AJ414" s="11" t="s">
        <v>190</v>
      </c>
      <c r="AK414" s="11"/>
      <c r="AL414" s="11"/>
      <c r="AM414" s="12" t="s">
        <v>64</v>
      </c>
      <c r="AN414" s="11" t="s">
        <v>219</v>
      </c>
      <c r="AO414" s="11" t="s">
        <v>3654</v>
      </c>
      <c r="AP414" s="11" t="s">
        <v>3642</v>
      </c>
      <c r="AQ414" s="3">
        <v>45473</v>
      </c>
      <c r="AR414" s="11">
        <v>37504.67</v>
      </c>
      <c r="AS414" s="11" t="s">
        <v>47</v>
      </c>
      <c r="AT414" s="11" t="s">
        <v>3118</v>
      </c>
      <c r="AU414" s="2">
        <v>46180</v>
      </c>
    </row>
    <row r="415" spans="1:47" x14ac:dyDescent="0.25">
      <c r="A415" s="10" t="s">
        <v>2512</v>
      </c>
      <c r="B415" s="11" t="s">
        <v>2641</v>
      </c>
      <c r="C415" s="11">
        <v>0</v>
      </c>
      <c r="D415" s="11" t="s">
        <v>108</v>
      </c>
      <c r="E415" s="11"/>
      <c r="F415" s="11"/>
      <c r="G415" s="11" t="s">
        <v>52</v>
      </c>
      <c r="H415" s="11">
        <v>20</v>
      </c>
      <c r="I415" s="11" t="s">
        <v>2769</v>
      </c>
      <c r="J415" s="11" t="s">
        <v>42</v>
      </c>
      <c r="K415" s="11">
        <f>Table1[[#This Row],[ENR]]-Table1[[#This Row],[CREDIT]]</f>
        <v>21427.260000000009</v>
      </c>
      <c r="L415" s="43">
        <v>150000</v>
      </c>
      <c r="M415" s="30">
        <v>171427.26</v>
      </c>
      <c r="N415" s="44" t="s">
        <v>43</v>
      </c>
      <c r="O415" s="29">
        <v>171427.26</v>
      </c>
      <c r="P415" s="29">
        <v>145744.04999999999</v>
      </c>
      <c r="Q415" s="29">
        <v>61300</v>
      </c>
      <c r="R415" s="29">
        <v>33057.5</v>
      </c>
      <c r="S415" s="11" t="s">
        <v>58</v>
      </c>
      <c r="T415" s="11" t="s">
        <v>13</v>
      </c>
      <c r="U415" s="11">
        <v>145744.04999999999</v>
      </c>
      <c r="V415" s="29">
        <f>Table1[[#This Row],[STAB]]-Table1[[#This Row],[AMOUNT]]</f>
        <v>-112686.54999999999</v>
      </c>
      <c r="W415" s="11" t="s">
        <v>3473</v>
      </c>
      <c r="X415" s="11" t="s">
        <v>444</v>
      </c>
      <c r="Y415" s="11" t="s">
        <v>760</v>
      </c>
      <c r="Z415" s="11" t="s">
        <v>88</v>
      </c>
      <c r="AA415" s="11" t="s">
        <v>91</v>
      </c>
      <c r="AB415" s="11" t="s">
        <v>3139</v>
      </c>
      <c r="AC415" s="11" t="s">
        <v>2898</v>
      </c>
      <c r="AD415" s="11" t="s">
        <v>3026</v>
      </c>
      <c r="AE415" s="11" t="s">
        <v>415</v>
      </c>
      <c r="AF415" s="11" t="s">
        <v>53</v>
      </c>
      <c r="AG415" s="11" t="s">
        <v>105</v>
      </c>
      <c r="AH415" s="11" t="s">
        <v>85</v>
      </c>
      <c r="AI415" s="11">
        <v>801772794</v>
      </c>
      <c r="AJ415" s="11" t="s">
        <v>192</v>
      </c>
      <c r="AK415" s="11"/>
      <c r="AL415" s="11"/>
      <c r="AM415" s="12" t="s">
        <v>64</v>
      </c>
      <c r="AN415" s="11"/>
      <c r="AO415" s="11"/>
      <c r="AP415" s="11"/>
      <c r="AQ415" s="3">
        <v>45741</v>
      </c>
      <c r="AR415" s="11">
        <v>3914.48</v>
      </c>
      <c r="AS415" s="11" t="s">
        <v>430</v>
      </c>
      <c r="AT415" s="11" t="s">
        <v>3118</v>
      </c>
      <c r="AU415" s="2">
        <v>46180</v>
      </c>
    </row>
    <row r="416" spans="1:47" x14ac:dyDescent="0.25">
      <c r="A416" s="10" t="s">
        <v>2478</v>
      </c>
      <c r="B416" s="11" t="s">
        <v>2608</v>
      </c>
      <c r="C416" s="11">
        <v>0</v>
      </c>
      <c r="D416" s="11" t="s">
        <v>108</v>
      </c>
      <c r="E416" s="11"/>
      <c r="F416" s="11"/>
      <c r="G416" s="11" t="s">
        <v>52</v>
      </c>
      <c r="H416" s="11">
        <v>20</v>
      </c>
      <c r="I416" s="11" t="s">
        <v>2736</v>
      </c>
      <c r="J416" s="11" t="s">
        <v>42</v>
      </c>
      <c r="K416" s="11">
        <f>Table1[[#This Row],[ENR]]-Table1[[#This Row],[CREDIT]]</f>
        <v>10607.420000000013</v>
      </c>
      <c r="L416" s="43">
        <v>160000</v>
      </c>
      <c r="M416" s="30">
        <v>170607.42</v>
      </c>
      <c r="N416" s="44" t="s">
        <v>43</v>
      </c>
      <c r="O416" s="29">
        <v>170607.42</v>
      </c>
      <c r="P416" s="29">
        <v>158693.16</v>
      </c>
      <c r="Q416" s="29">
        <v>36900</v>
      </c>
      <c r="R416" s="29">
        <v>21050</v>
      </c>
      <c r="S416" s="11" t="s">
        <v>44</v>
      </c>
      <c r="T416" s="11" t="s">
        <v>45</v>
      </c>
      <c r="U416" s="11">
        <v>0</v>
      </c>
      <c r="V416" s="29">
        <f>Table1[[#This Row],[STAB]]-Table1[[#This Row],[AMOUNT]]</f>
        <v>21050</v>
      </c>
      <c r="W416" s="11">
        <v>0</v>
      </c>
      <c r="X416" s="11" t="s">
        <v>83</v>
      </c>
      <c r="Y416" s="11">
        <v>0</v>
      </c>
      <c r="Z416" s="11" t="s">
        <v>88</v>
      </c>
      <c r="AA416" s="11" t="s">
        <v>91</v>
      </c>
      <c r="AB416" s="11" t="s">
        <v>3139</v>
      </c>
      <c r="AC416" s="11" t="s">
        <v>2864</v>
      </c>
      <c r="AD416" s="11" t="s">
        <v>2993</v>
      </c>
      <c r="AE416" s="11" t="s">
        <v>218</v>
      </c>
      <c r="AF416" s="11" t="s">
        <v>84</v>
      </c>
      <c r="AG416" s="11" t="s">
        <v>749</v>
      </c>
      <c r="AH416" s="11" t="s">
        <v>88</v>
      </c>
      <c r="AI416" s="11">
        <v>801723195</v>
      </c>
      <c r="AJ416" s="11" t="s">
        <v>191</v>
      </c>
      <c r="AK416" s="11"/>
      <c r="AL416" s="11"/>
      <c r="AM416" s="12" t="s">
        <v>64</v>
      </c>
      <c r="AN416" s="11" t="s">
        <v>219</v>
      </c>
      <c r="AO416" s="11" t="s">
        <v>3477</v>
      </c>
      <c r="AP416" s="11" t="s">
        <v>3473</v>
      </c>
      <c r="AQ416" s="3">
        <v>46066</v>
      </c>
      <c r="AR416" s="11">
        <v>31023.119999999999</v>
      </c>
      <c r="AS416" s="11" t="s">
        <v>436</v>
      </c>
      <c r="AT416" s="11" t="s">
        <v>3118</v>
      </c>
      <c r="AU416" s="2">
        <v>46180</v>
      </c>
    </row>
    <row r="417" spans="1:47" x14ac:dyDescent="0.25">
      <c r="A417" s="10" t="s">
        <v>1754</v>
      </c>
      <c r="B417" s="11" t="s">
        <v>1851</v>
      </c>
      <c r="C417" s="11">
        <v>0</v>
      </c>
      <c r="D417" s="11" t="s">
        <v>108</v>
      </c>
      <c r="E417" s="11"/>
      <c r="F417" s="11"/>
      <c r="G417" s="11" t="s">
        <v>90</v>
      </c>
      <c r="H417" s="11">
        <v>20</v>
      </c>
      <c r="I417" s="11" t="s">
        <v>1948</v>
      </c>
      <c r="J417" s="11" t="s">
        <v>42</v>
      </c>
      <c r="K417" s="11">
        <f>Table1[[#This Row],[ENR]]-Table1[[#This Row],[CREDIT]]</f>
        <v>10116.73000000001</v>
      </c>
      <c r="L417" s="43">
        <v>150000</v>
      </c>
      <c r="M417" s="30">
        <v>160116.73000000001</v>
      </c>
      <c r="N417" s="44" t="s">
        <v>43</v>
      </c>
      <c r="O417" s="29">
        <v>160116.73000000001</v>
      </c>
      <c r="P417" s="29">
        <v>138223.35999999999</v>
      </c>
      <c r="Q417" s="29">
        <v>55640</v>
      </c>
      <c r="R417" s="29">
        <v>28189.99</v>
      </c>
      <c r="S417" s="11" t="s">
        <v>44</v>
      </c>
      <c r="T417" s="11" t="s">
        <v>45</v>
      </c>
      <c r="U417" s="11">
        <v>0</v>
      </c>
      <c r="V417" s="29">
        <f>Table1[[#This Row],[STAB]]-Table1[[#This Row],[AMOUNT]]</f>
        <v>28189.99</v>
      </c>
      <c r="W417" s="11">
        <v>0</v>
      </c>
      <c r="X417" s="11" t="s">
        <v>83</v>
      </c>
      <c r="Y417" s="11" t="s">
        <v>759</v>
      </c>
      <c r="Z417" s="11" t="s">
        <v>88</v>
      </c>
      <c r="AA417" s="11" t="s">
        <v>86</v>
      </c>
      <c r="AB417" s="11" t="s">
        <v>3139</v>
      </c>
      <c r="AC417" s="11" t="s">
        <v>2045</v>
      </c>
      <c r="AD417" s="11" t="s">
        <v>2134</v>
      </c>
      <c r="AE417" s="11" t="s">
        <v>133</v>
      </c>
      <c r="AF417" s="11" t="s">
        <v>54</v>
      </c>
      <c r="AG417" s="11" t="s">
        <v>1086</v>
      </c>
      <c r="AH417" s="11" t="s">
        <v>85</v>
      </c>
      <c r="AI417" s="11">
        <v>801772794</v>
      </c>
      <c r="AJ417" s="11" t="s">
        <v>192</v>
      </c>
      <c r="AK417" s="11"/>
      <c r="AL417" s="11"/>
      <c r="AM417" s="12" t="s">
        <v>46</v>
      </c>
      <c r="AN417" s="11"/>
      <c r="AO417" s="11"/>
      <c r="AP417" s="11"/>
      <c r="AQ417" s="3">
        <v>46101</v>
      </c>
      <c r="AR417" s="11">
        <v>36014</v>
      </c>
      <c r="AS417" s="11" t="s">
        <v>1493</v>
      </c>
      <c r="AT417" s="11" t="s">
        <v>2152</v>
      </c>
      <c r="AU417" s="2">
        <v>46180</v>
      </c>
    </row>
    <row r="418" spans="1:47" x14ac:dyDescent="0.25">
      <c r="A418" s="10" t="s">
        <v>1751</v>
      </c>
      <c r="B418" s="11" t="s">
        <v>1848</v>
      </c>
      <c r="C418" s="11">
        <v>0</v>
      </c>
      <c r="D418" s="11" t="s">
        <v>108</v>
      </c>
      <c r="E418" s="11"/>
      <c r="F418" s="11"/>
      <c r="G418" s="11" t="s">
        <v>90</v>
      </c>
      <c r="H418" s="11">
        <v>20</v>
      </c>
      <c r="I418" s="11" t="s">
        <v>1945</v>
      </c>
      <c r="J418" s="11" t="s">
        <v>42</v>
      </c>
      <c r="K418" s="11">
        <f>Table1[[#This Row],[ENR]]-Table1[[#This Row],[CREDIT]]</f>
        <v>-90231.950000000012</v>
      </c>
      <c r="L418" s="43">
        <v>250000</v>
      </c>
      <c r="M418" s="30">
        <v>159768.04999999999</v>
      </c>
      <c r="N418" s="44">
        <v>23545.11</v>
      </c>
      <c r="O418" s="29">
        <v>136222.94</v>
      </c>
      <c r="P418" s="29">
        <v>124923.05</v>
      </c>
      <c r="Q418" s="29">
        <v>39190</v>
      </c>
      <c r="R418" s="29">
        <v>21800</v>
      </c>
      <c r="S418" s="11" t="s">
        <v>44</v>
      </c>
      <c r="T418" s="11" t="s">
        <v>45</v>
      </c>
      <c r="U418" s="11">
        <v>0</v>
      </c>
      <c r="V418" s="29">
        <f>Table1[[#This Row],[STAB]]-Table1[[#This Row],[AMOUNT]]</f>
        <v>21800</v>
      </c>
      <c r="W418" s="11">
        <v>0</v>
      </c>
      <c r="X418" s="11" t="s">
        <v>83</v>
      </c>
      <c r="Y418" s="11">
        <v>0</v>
      </c>
      <c r="Z418" s="11" t="s">
        <v>88</v>
      </c>
      <c r="AA418" s="11" t="s">
        <v>91</v>
      </c>
      <c r="AB418" s="11" t="s">
        <v>3139</v>
      </c>
      <c r="AC418" s="11" t="s">
        <v>2042</v>
      </c>
      <c r="AD418" s="11" t="s">
        <v>2131</v>
      </c>
      <c r="AE418" s="11" t="s">
        <v>123</v>
      </c>
      <c r="AF418" s="11" t="s">
        <v>127</v>
      </c>
      <c r="AG418" s="11" t="s">
        <v>56</v>
      </c>
      <c r="AH418" s="11" t="s">
        <v>462</v>
      </c>
      <c r="AI418" s="11">
        <v>801448854</v>
      </c>
      <c r="AJ418" s="11" t="s">
        <v>191</v>
      </c>
      <c r="AK418" s="11"/>
      <c r="AL418" s="11"/>
      <c r="AM418" s="12" t="s">
        <v>64</v>
      </c>
      <c r="AN418" s="11" t="s">
        <v>115</v>
      </c>
      <c r="AO418" s="11" t="s">
        <v>2447</v>
      </c>
      <c r="AP418" s="11" t="s">
        <v>2296</v>
      </c>
      <c r="AQ418" s="3">
        <v>46099</v>
      </c>
      <c r="AR418" s="11">
        <v>41000</v>
      </c>
      <c r="AS418" s="11" t="s">
        <v>430</v>
      </c>
      <c r="AT418" s="11" t="s">
        <v>2152</v>
      </c>
      <c r="AU418" s="2">
        <v>46180</v>
      </c>
    </row>
    <row r="419" spans="1:47" x14ac:dyDescent="0.25">
      <c r="A419" s="10" t="s">
        <v>2495</v>
      </c>
      <c r="B419" s="11" t="s">
        <v>2625</v>
      </c>
      <c r="C419" s="11">
        <v>0</v>
      </c>
      <c r="D419" s="11" t="s">
        <v>108</v>
      </c>
      <c r="E419" s="11"/>
      <c r="F419" s="11"/>
      <c r="G419" s="11" t="s">
        <v>52</v>
      </c>
      <c r="H419" s="11">
        <v>20</v>
      </c>
      <c r="I419" s="11" t="s">
        <v>2753</v>
      </c>
      <c r="J419" s="11" t="s">
        <v>42</v>
      </c>
      <c r="K419" s="11">
        <f>Table1[[#This Row],[ENR]]-Table1[[#This Row],[CREDIT]]</f>
        <v>9554.8500000000058</v>
      </c>
      <c r="L419" s="43">
        <v>150000</v>
      </c>
      <c r="M419" s="30">
        <v>159554.85</v>
      </c>
      <c r="N419" s="44" t="s">
        <v>43</v>
      </c>
      <c r="O419" s="29">
        <v>159554.85</v>
      </c>
      <c r="P419" s="29">
        <v>149196.25</v>
      </c>
      <c r="Q419" s="29">
        <v>26860</v>
      </c>
      <c r="R419" s="29">
        <v>7440</v>
      </c>
      <c r="S419" s="11" t="s">
        <v>58</v>
      </c>
      <c r="T419" s="11" t="s">
        <v>13</v>
      </c>
      <c r="U419" s="11">
        <v>159554.85</v>
      </c>
      <c r="V419" s="29">
        <f>Table1[[#This Row],[STAB]]-Table1[[#This Row],[AMOUNT]]</f>
        <v>-152114.85</v>
      </c>
      <c r="W419" s="11" t="s">
        <v>3204</v>
      </c>
      <c r="X419" s="11" t="s">
        <v>451</v>
      </c>
      <c r="Y419" s="11" t="s">
        <v>760</v>
      </c>
      <c r="Z419" s="11" t="s">
        <v>88</v>
      </c>
      <c r="AA419" s="11" t="s">
        <v>91</v>
      </c>
      <c r="AB419" s="11" t="s">
        <v>3139</v>
      </c>
      <c r="AC419" s="11" t="s">
        <v>2881</v>
      </c>
      <c r="AD419" s="11" t="s">
        <v>3010</v>
      </c>
      <c r="AE419" s="11" t="s">
        <v>103</v>
      </c>
      <c r="AF419" s="11" t="s">
        <v>53</v>
      </c>
      <c r="AG419" s="11" t="s">
        <v>188</v>
      </c>
      <c r="AH419" s="11" t="s">
        <v>194</v>
      </c>
      <c r="AI419" s="11">
        <v>802823180</v>
      </c>
      <c r="AJ419" s="11" t="s">
        <v>191</v>
      </c>
      <c r="AK419" s="11"/>
      <c r="AL419" s="11"/>
      <c r="AM419" s="12" t="s">
        <v>64</v>
      </c>
      <c r="AN419" s="11"/>
      <c r="AO419" s="11"/>
      <c r="AP419" s="11"/>
      <c r="AQ419" s="3">
        <v>45476</v>
      </c>
      <c r="AR419" s="11">
        <v>198</v>
      </c>
      <c r="AS419" s="11" t="s">
        <v>1493</v>
      </c>
      <c r="AT419" s="11" t="s">
        <v>3118</v>
      </c>
      <c r="AU419" s="2">
        <v>46180</v>
      </c>
    </row>
    <row r="420" spans="1:47" x14ac:dyDescent="0.25">
      <c r="A420" s="10" t="s">
        <v>2485</v>
      </c>
      <c r="B420" s="11" t="s">
        <v>2615</v>
      </c>
      <c r="C420" s="11">
        <v>0</v>
      </c>
      <c r="D420" s="11" t="s">
        <v>108</v>
      </c>
      <c r="E420" s="11"/>
      <c r="F420" s="11"/>
      <c r="G420" s="11" t="s">
        <v>52</v>
      </c>
      <c r="H420" s="11">
        <v>20</v>
      </c>
      <c r="I420" s="11" t="s">
        <v>2743</v>
      </c>
      <c r="J420" s="11" t="s">
        <v>42</v>
      </c>
      <c r="K420" s="11">
        <f>Table1[[#This Row],[ENR]]-Table1[[#This Row],[CREDIT]]</f>
        <v>8383.8500000000058</v>
      </c>
      <c r="L420" s="43">
        <v>150000</v>
      </c>
      <c r="M420" s="30">
        <v>158383.85</v>
      </c>
      <c r="N420" s="44">
        <v>50873.48</v>
      </c>
      <c r="O420" s="29">
        <v>107510.37</v>
      </c>
      <c r="P420" s="29">
        <v>76998.960000000006</v>
      </c>
      <c r="Q420" s="29">
        <v>50330</v>
      </c>
      <c r="R420" s="29">
        <v>36260</v>
      </c>
      <c r="S420" s="11" t="s">
        <v>58</v>
      </c>
      <c r="T420" s="11" t="s">
        <v>13</v>
      </c>
      <c r="U420" s="11">
        <v>50330</v>
      </c>
      <c r="V420" s="29">
        <f>Table1[[#This Row],[STAB]]-Table1[[#This Row],[AMOUNT]]</f>
        <v>-14070</v>
      </c>
      <c r="W420" s="11" t="s">
        <v>3473</v>
      </c>
      <c r="X420" s="11" t="s">
        <v>444</v>
      </c>
      <c r="Y420" s="11" t="s">
        <v>760</v>
      </c>
      <c r="Z420" s="11" t="s">
        <v>88</v>
      </c>
      <c r="AA420" s="11" t="s">
        <v>86</v>
      </c>
      <c r="AB420" s="11" t="s">
        <v>3140</v>
      </c>
      <c r="AC420" s="11" t="s">
        <v>2871</v>
      </c>
      <c r="AD420" s="11" t="s">
        <v>3000</v>
      </c>
      <c r="AE420" s="11" t="s">
        <v>421</v>
      </c>
      <c r="AF420" s="11" t="s">
        <v>54</v>
      </c>
      <c r="AG420" s="11" t="s">
        <v>61</v>
      </c>
      <c r="AH420" s="11" t="s">
        <v>195</v>
      </c>
      <c r="AI420" s="11">
        <v>802551967</v>
      </c>
      <c r="AJ420" s="11" t="s">
        <v>99</v>
      </c>
      <c r="AK420" s="11"/>
      <c r="AL420" s="11"/>
      <c r="AM420" s="12" t="s">
        <v>64</v>
      </c>
      <c r="AN420" s="11" t="s">
        <v>115</v>
      </c>
      <c r="AO420" s="11" t="s">
        <v>3474</v>
      </c>
      <c r="AP420" s="11" t="s">
        <v>3473</v>
      </c>
      <c r="AQ420" s="3">
        <v>45875</v>
      </c>
      <c r="AR420" s="11">
        <v>0.01</v>
      </c>
      <c r="AS420" s="11" t="s">
        <v>48</v>
      </c>
      <c r="AT420" s="11" t="s">
        <v>3118</v>
      </c>
      <c r="AU420" s="2">
        <v>46180</v>
      </c>
    </row>
    <row r="421" spans="1:47" x14ac:dyDescent="0.25">
      <c r="A421" s="10" t="s">
        <v>2494</v>
      </c>
      <c r="B421" s="11" t="s">
        <v>2624</v>
      </c>
      <c r="C421" s="11">
        <v>0</v>
      </c>
      <c r="D421" s="11" t="s">
        <v>108</v>
      </c>
      <c r="E421" s="11"/>
      <c r="F421" s="11"/>
      <c r="G421" s="11" t="s">
        <v>52</v>
      </c>
      <c r="H421" s="11">
        <v>20</v>
      </c>
      <c r="I421" s="11" t="s">
        <v>2752</v>
      </c>
      <c r="J421" s="11" t="s">
        <v>42</v>
      </c>
      <c r="K421" s="11">
        <f>Table1[[#This Row],[ENR]]-Table1[[#This Row],[CREDIT]]</f>
        <v>6216.3099999999977</v>
      </c>
      <c r="L421" s="43">
        <v>150000</v>
      </c>
      <c r="M421" s="30">
        <v>156216.31</v>
      </c>
      <c r="N421" s="44">
        <v>54035.44</v>
      </c>
      <c r="O421" s="29">
        <v>102180.87</v>
      </c>
      <c r="P421" s="29">
        <v>91209.98</v>
      </c>
      <c r="Q421" s="29">
        <v>43300</v>
      </c>
      <c r="R421" s="29">
        <v>17770</v>
      </c>
      <c r="S421" s="11" t="s">
        <v>58</v>
      </c>
      <c r="T421" s="11" t="s">
        <v>13</v>
      </c>
      <c r="U421" s="29">
        <v>102180.87</v>
      </c>
      <c r="V421" s="29">
        <f>Table1[[#This Row],[STAB]]-Table1[[#This Row],[AMOUNT]]</f>
        <v>-84410.87</v>
      </c>
      <c r="W421" s="11" t="s">
        <v>3473</v>
      </c>
      <c r="X421" s="11" t="s">
        <v>451</v>
      </c>
      <c r="Y421" s="11" t="s">
        <v>760</v>
      </c>
      <c r="Z421" s="11" t="s">
        <v>88</v>
      </c>
      <c r="AA421" s="11" t="s">
        <v>86</v>
      </c>
      <c r="AB421" s="11" t="s">
        <v>3139</v>
      </c>
      <c r="AC421" s="11" t="s">
        <v>2880</v>
      </c>
      <c r="AD421" s="11" t="s">
        <v>3009</v>
      </c>
      <c r="AE421" s="11" t="s">
        <v>413</v>
      </c>
      <c r="AF421" s="11" t="s">
        <v>54</v>
      </c>
      <c r="AG421" s="11" t="s">
        <v>129</v>
      </c>
      <c r="AH421" s="11" t="s">
        <v>753</v>
      </c>
      <c r="AI421" s="11">
        <v>802794852</v>
      </c>
      <c r="AJ421" s="11" t="s">
        <v>190</v>
      </c>
      <c r="AK421" s="11"/>
      <c r="AL421" s="11"/>
      <c r="AM421" s="12" t="s">
        <v>64</v>
      </c>
      <c r="AN421" s="11" t="s">
        <v>115</v>
      </c>
      <c r="AO421" s="11" t="s">
        <v>3239</v>
      </c>
      <c r="AP421" s="11" t="s">
        <v>3238</v>
      </c>
      <c r="AQ421" s="3">
        <v>46088</v>
      </c>
      <c r="AR421" s="11">
        <v>10260</v>
      </c>
      <c r="AS421" s="11" t="s">
        <v>1493</v>
      </c>
      <c r="AT421" s="11" t="s">
        <v>3118</v>
      </c>
      <c r="AU421" s="2">
        <v>46180</v>
      </c>
    </row>
    <row r="422" spans="1:47" x14ac:dyDescent="0.25">
      <c r="A422" s="10" t="s">
        <v>2492</v>
      </c>
      <c r="B422" s="11" t="s">
        <v>2622</v>
      </c>
      <c r="C422" s="11">
        <v>0</v>
      </c>
      <c r="D422" s="11" t="s">
        <v>108</v>
      </c>
      <c r="E422" s="11"/>
      <c r="F422" s="11"/>
      <c r="G422" s="11" t="s">
        <v>52</v>
      </c>
      <c r="H422" s="11">
        <v>20</v>
      </c>
      <c r="I422" s="11" t="s">
        <v>2750</v>
      </c>
      <c r="J422" s="11" t="s">
        <v>42</v>
      </c>
      <c r="K422" s="11">
        <f>Table1[[#This Row],[ENR]]-Table1[[#This Row],[CREDIT]]</f>
        <v>-86356.73000000001</v>
      </c>
      <c r="L422" s="43">
        <v>230000</v>
      </c>
      <c r="M422" s="30">
        <v>143643.26999999999</v>
      </c>
      <c r="N422" s="44" t="s">
        <v>43</v>
      </c>
      <c r="O422" s="29">
        <v>143643.26999999999</v>
      </c>
      <c r="P422" s="29">
        <v>121695.39</v>
      </c>
      <c r="Q422" s="29">
        <v>33820</v>
      </c>
      <c r="R422" s="29">
        <v>17660</v>
      </c>
      <c r="S422" s="11" t="s">
        <v>58</v>
      </c>
      <c r="T422" s="11" t="s">
        <v>14</v>
      </c>
      <c r="U422" s="29">
        <v>18000</v>
      </c>
      <c r="V422" s="29">
        <f>Table1[[#This Row],[STAB]]-Table1[[#This Row],[AMOUNT]]</f>
        <v>-340</v>
      </c>
      <c r="W422" s="11" t="s">
        <v>3484</v>
      </c>
      <c r="X422" s="11" t="s">
        <v>444</v>
      </c>
      <c r="Y422" s="11" t="s">
        <v>760</v>
      </c>
      <c r="Z422" s="11" t="s">
        <v>88</v>
      </c>
      <c r="AA422" s="11" t="s">
        <v>86</v>
      </c>
      <c r="AB422" s="11" t="s">
        <v>3139</v>
      </c>
      <c r="AC422" s="11" t="s">
        <v>2878</v>
      </c>
      <c r="AD422" s="11" t="s">
        <v>3007</v>
      </c>
      <c r="AE422" s="11" t="s">
        <v>100</v>
      </c>
      <c r="AF422" s="11" t="s">
        <v>54</v>
      </c>
      <c r="AG422" s="11" t="s">
        <v>60</v>
      </c>
      <c r="AH422" s="11" t="s">
        <v>193</v>
      </c>
      <c r="AI422" s="11">
        <v>802824019</v>
      </c>
      <c r="AJ422" s="11" t="s">
        <v>189</v>
      </c>
      <c r="AK422" s="11"/>
      <c r="AL422" s="11"/>
      <c r="AM422" s="12" t="s">
        <v>64</v>
      </c>
      <c r="AN422" s="11"/>
      <c r="AO422" s="11"/>
      <c r="AP422" s="11"/>
      <c r="AQ422" s="3">
        <v>46120</v>
      </c>
      <c r="AR422" s="11">
        <v>25000</v>
      </c>
      <c r="AS422" s="11" t="s">
        <v>1493</v>
      </c>
      <c r="AT422" s="11" t="s">
        <v>3118</v>
      </c>
      <c r="AU422" s="2">
        <v>46180</v>
      </c>
    </row>
    <row r="423" spans="1:47" x14ac:dyDescent="0.25">
      <c r="A423" s="10" t="s">
        <v>2522</v>
      </c>
      <c r="B423" s="11" t="s">
        <v>2651</v>
      </c>
      <c r="C423" s="11">
        <v>0</v>
      </c>
      <c r="D423" s="11" t="s">
        <v>108</v>
      </c>
      <c r="E423" s="11"/>
      <c r="F423" s="11"/>
      <c r="G423" s="11" t="s">
        <v>52</v>
      </c>
      <c r="H423" s="11">
        <v>20</v>
      </c>
      <c r="I423" s="11" t="s">
        <v>2779</v>
      </c>
      <c r="J423" s="11" t="s">
        <v>42</v>
      </c>
      <c r="K423" s="11">
        <f>Table1[[#This Row],[ENR]]-Table1[[#This Row],[CREDIT]]</f>
        <v>90130.73000000001</v>
      </c>
      <c r="L423" s="43">
        <v>50000</v>
      </c>
      <c r="M423" s="30">
        <v>140130.73000000001</v>
      </c>
      <c r="N423" s="44">
        <v>105914.12</v>
      </c>
      <c r="O423" s="29">
        <v>34216.61</v>
      </c>
      <c r="P423" s="29">
        <v>30644.23</v>
      </c>
      <c r="Q423" s="29">
        <v>30100</v>
      </c>
      <c r="R423" s="29">
        <v>15049</v>
      </c>
      <c r="S423" s="11" t="s">
        <v>58</v>
      </c>
      <c r="T423" s="11" t="s">
        <v>14</v>
      </c>
      <c r="U423" s="29">
        <v>15049</v>
      </c>
      <c r="V423" s="29">
        <f>Table1[[#This Row],[STAB]]-Table1[[#This Row],[AMOUNT]]</f>
        <v>0</v>
      </c>
      <c r="W423" s="11" t="s">
        <v>3463</v>
      </c>
      <c r="X423" s="11" t="s">
        <v>451</v>
      </c>
      <c r="Y423" s="11" t="s">
        <v>1085</v>
      </c>
      <c r="Z423" s="11" t="s">
        <v>88</v>
      </c>
      <c r="AA423" s="11" t="s">
        <v>91</v>
      </c>
      <c r="AB423" s="11" t="s">
        <v>3141</v>
      </c>
      <c r="AC423" s="11" t="s">
        <v>2908</v>
      </c>
      <c r="AD423" s="11" t="s">
        <v>3036</v>
      </c>
      <c r="AE423" s="11" t="s">
        <v>414</v>
      </c>
      <c r="AF423" s="11" t="s">
        <v>127</v>
      </c>
      <c r="AG423" s="11" t="s">
        <v>106</v>
      </c>
      <c r="AH423" s="11" t="s">
        <v>460</v>
      </c>
      <c r="AI423" s="11">
        <v>802913252</v>
      </c>
      <c r="AJ423" s="11" t="s">
        <v>190</v>
      </c>
      <c r="AK423" s="11"/>
      <c r="AL423" s="11"/>
      <c r="AM423" s="12" t="s">
        <v>64</v>
      </c>
      <c r="AN423" s="11" t="s">
        <v>219</v>
      </c>
      <c r="AO423" s="11" t="s">
        <v>3175</v>
      </c>
      <c r="AP423" s="11" t="s">
        <v>3169</v>
      </c>
      <c r="AQ423" s="3">
        <v>46132</v>
      </c>
      <c r="AR423" s="11">
        <v>12510</v>
      </c>
      <c r="AS423" s="11" t="s">
        <v>435</v>
      </c>
      <c r="AT423" s="11" t="s">
        <v>3118</v>
      </c>
      <c r="AU423" s="2">
        <v>46180</v>
      </c>
    </row>
    <row r="424" spans="1:47" x14ac:dyDescent="0.25">
      <c r="A424" s="10" t="s">
        <v>2514</v>
      </c>
      <c r="B424" s="11" t="s">
        <v>2643</v>
      </c>
      <c r="C424" s="11">
        <v>0</v>
      </c>
      <c r="D424" s="11" t="s">
        <v>108</v>
      </c>
      <c r="E424" s="11"/>
      <c r="F424" s="11"/>
      <c r="G424" s="11" t="s">
        <v>52</v>
      </c>
      <c r="H424" s="11">
        <v>20</v>
      </c>
      <c r="I424" s="11" t="s">
        <v>2771</v>
      </c>
      <c r="J424" s="11" t="s">
        <v>42</v>
      </c>
      <c r="K424" s="11">
        <f>Table1[[#This Row],[ENR]]-Table1[[#This Row],[CREDIT]]</f>
        <v>1888.1300000000047</v>
      </c>
      <c r="L424" s="43">
        <v>130000</v>
      </c>
      <c r="M424" s="30">
        <v>131888.13</v>
      </c>
      <c r="N424" s="44" t="s">
        <v>43</v>
      </c>
      <c r="O424" s="29">
        <v>131888.13</v>
      </c>
      <c r="P424" s="29">
        <v>120628.16</v>
      </c>
      <c r="Q424" s="29">
        <v>20410</v>
      </c>
      <c r="R424" s="29">
        <v>7160</v>
      </c>
      <c r="S424" s="11" t="s">
        <v>58</v>
      </c>
      <c r="T424" s="11" t="s">
        <v>13</v>
      </c>
      <c r="U424" s="11">
        <v>20410</v>
      </c>
      <c r="V424" s="29">
        <f>Table1[[#This Row],[STAB]]-Table1[[#This Row],[AMOUNT]]</f>
        <v>-13250</v>
      </c>
      <c r="W424" s="11" t="s">
        <v>3463</v>
      </c>
      <c r="X424" s="11" t="s">
        <v>444</v>
      </c>
      <c r="Y424" s="11" t="s">
        <v>760</v>
      </c>
      <c r="Z424" s="11" t="s">
        <v>88</v>
      </c>
      <c r="AA424" s="11" t="s">
        <v>86</v>
      </c>
      <c r="AB424" s="11" t="s">
        <v>3139</v>
      </c>
      <c r="AC424" s="11" t="s">
        <v>2900</v>
      </c>
      <c r="AD424" s="11" t="s">
        <v>3028</v>
      </c>
      <c r="AE424" s="11" t="s">
        <v>92</v>
      </c>
      <c r="AF424" s="11" t="s">
        <v>54</v>
      </c>
      <c r="AG424" s="11" t="s">
        <v>120</v>
      </c>
      <c r="AH424" s="11" t="s">
        <v>463</v>
      </c>
      <c r="AI424" s="11">
        <v>802898520</v>
      </c>
      <c r="AJ424" s="11" t="s">
        <v>190</v>
      </c>
      <c r="AK424" s="11"/>
      <c r="AL424" s="11"/>
      <c r="AM424" s="12" t="s">
        <v>64</v>
      </c>
      <c r="AN424" s="11"/>
      <c r="AO424" s="11"/>
      <c r="AP424" s="11"/>
      <c r="AQ424" s="3">
        <v>45992</v>
      </c>
      <c r="AR424" s="11">
        <v>24499</v>
      </c>
      <c r="AS424" s="11" t="s">
        <v>437</v>
      </c>
      <c r="AT424" s="11" t="s">
        <v>3118</v>
      </c>
      <c r="AU424" s="2">
        <v>46180</v>
      </c>
    </row>
    <row r="425" spans="1:47" x14ac:dyDescent="0.25">
      <c r="A425" s="10" t="s">
        <v>1756</v>
      </c>
      <c r="B425" s="11" t="s">
        <v>1853</v>
      </c>
      <c r="C425" s="11">
        <v>0</v>
      </c>
      <c r="D425" s="11" t="s">
        <v>108</v>
      </c>
      <c r="E425" s="11"/>
      <c r="F425" s="11"/>
      <c r="G425" s="11" t="s">
        <v>90</v>
      </c>
      <c r="H425" s="11">
        <v>20</v>
      </c>
      <c r="I425" s="11" t="s">
        <v>1950</v>
      </c>
      <c r="J425" s="11" t="s">
        <v>42</v>
      </c>
      <c r="K425" s="11">
        <f>Table1[[#This Row],[ENR]]-Table1[[#This Row],[CREDIT]]</f>
        <v>7558</v>
      </c>
      <c r="L425" s="43">
        <v>120000</v>
      </c>
      <c r="M425" s="30">
        <v>127558</v>
      </c>
      <c r="N425" s="44" t="s">
        <v>43</v>
      </c>
      <c r="O425" s="29">
        <v>127558</v>
      </c>
      <c r="P425" s="29">
        <v>119868.85</v>
      </c>
      <c r="Q425" s="29">
        <v>27260</v>
      </c>
      <c r="R425" s="29">
        <v>19590</v>
      </c>
      <c r="S425" s="11" t="s">
        <v>58</v>
      </c>
      <c r="T425" s="11" t="s">
        <v>13</v>
      </c>
      <c r="U425" s="11">
        <v>126900</v>
      </c>
      <c r="V425" s="29">
        <f>Table1[[#This Row],[STAB]]-Table1[[#This Row],[AMOUNT]]</f>
        <v>-107310</v>
      </c>
      <c r="W425" s="11" t="s">
        <v>3238</v>
      </c>
      <c r="X425" s="11" t="s">
        <v>444</v>
      </c>
      <c r="Y425" s="11" t="s">
        <v>760</v>
      </c>
      <c r="Z425" s="11" t="s">
        <v>88</v>
      </c>
      <c r="AA425" s="11" t="s">
        <v>86</v>
      </c>
      <c r="AB425" s="11" t="s">
        <v>3139</v>
      </c>
      <c r="AC425" s="11" t="s">
        <v>2047</v>
      </c>
      <c r="AD425" s="11" t="s">
        <v>2136</v>
      </c>
      <c r="AE425" s="11" t="s">
        <v>413</v>
      </c>
      <c r="AF425" s="11" t="s">
        <v>54</v>
      </c>
      <c r="AG425" s="11" t="s">
        <v>146</v>
      </c>
      <c r="AH425" s="11" t="s">
        <v>625</v>
      </c>
      <c r="AI425" s="11">
        <v>801217009</v>
      </c>
      <c r="AJ425" s="11" t="s">
        <v>190</v>
      </c>
      <c r="AK425" s="11"/>
      <c r="AL425" s="11"/>
      <c r="AM425" s="12" t="s">
        <v>64</v>
      </c>
      <c r="AN425" s="11" t="s">
        <v>221</v>
      </c>
      <c r="AO425" s="11" t="s">
        <v>3142</v>
      </c>
      <c r="AP425" s="11" t="s">
        <v>3119</v>
      </c>
      <c r="AQ425" s="3">
        <v>45541</v>
      </c>
      <c r="AR425" s="11">
        <v>40000</v>
      </c>
      <c r="AS425" s="11" t="s">
        <v>435</v>
      </c>
      <c r="AT425" s="11" t="s">
        <v>2152</v>
      </c>
      <c r="AU425" s="2">
        <v>46180</v>
      </c>
    </row>
    <row r="426" spans="1:47" x14ac:dyDescent="0.25">
      <c r="A426" s="10" t="s">
        <v>2476</v>
      </c>
      <c r="B426" s="11" t="s">
        <v>2606</v>
      </c>
      <c r="C426" s="11">
        <v>0</v>
      </c>
      <c r="D426" s="11" t="s">
        <v>108</v>
      </c>
      <c r="E426" s="11"/>
      <c r="F426" s="11"/>
      <c r="G426" s="11" t="s">
        <v>52</v>
      </c>
      <c r="H426" s="11">
        <v>20</v>
      </c>
      <c r="I426" s="11" t="s">
        <v>2734</v>
      </c>
      <c r="J426" s="11" t="s">
        <v>42</v>
      </c>
      <c r="K426" s="11">
        <f>Table1[[#This Row],[ENR]]-Table1[[#This Row],[CREDIT]]</f>
        <v>5627.1499999999942</v>
      </c>
      <c r="L426" s="43">
        <v>120000</v>
      </c>
      <c r="M426" s="30">
        <v>125627.15</v>
      </c>
      <c r="N426" s="44" t="s">
        <v>43</v>
      </c>
      <c r="O426" s="29">
        <v>125627.15</v>
      </c>
      <c r="P426" s="29">
        <v>118181.15</v>
      </c>
      <c r="Q426" s="29">
        <v>32190</v>
      </c>
      <c r="R426" s="29">
        <v>19300</v>
      </c>
      <c r="S426" s="11" t="s">
        <v>58</v>
      </c>
      <c r="T426" s="11" t="s">
        <v>13</v>
      </c>
      <c r="U426" s="11">
        <v>32190</v>
      </c>
      <c r="V426" s="29">
        <f>Table1[[#This Row],[STAB]]-Table1[[#This Row],[AMOUNT]]</f>
        <v>-12890</v>
      </c>
      <c r="W426" s="11" t="s">
        <v>3191</v>
      </c>
      <c r="X426" s="11" t="s">
        <v>444</v>
      </c>
      <c r="Y426" s="11" t="s">
        <v>760</v>
      </c>
      <c r="Z426" s="11" t="s">
        <v>88</v>
      </c>
      <c r="AA426" s="11" t="s">
        <v>91</v>
      </c>
      <c r="AB426" s="11" t="s">
        <v>3139</v>
      </c>
      <c r="AC426" s="11" t="s">
        <v>2862</v>
      </c>
      <c r="AD426" s="11" t="s">
        <v>2991</v>
      </c>
      <c r="AE426" s="11" t="s">
        <v>1071</v>
      </c>
      <c r="AF426" s="11" t="s">
        <v>53</v>
      </c>
      <c r="AG426" s="11" t="s">
        <v>55</v>
      </c>
      <c r="AH426" s="11" t="s">
        <v>468</v>
      </c>
      <c r="AI426" s="11">
        <v>802030802</v>
      </c>
      <c r="AJ426" s="11" t="s">
        <v>458</v>
      </c>
      <c r="AK426" s="11"/>
      <c r="AL426" s="11"/>
      <c r="AM426" s="12" t="s">
        <v>64</v>
      </c>
      <c r="AN426" s="11"/>
      <c r="AO426" s="11"/>
      <c r="AP426" s="11"/>
      <c r="AQ426" s="3">
        <v>45652</v>
      </c>
      <c r="AR426" s="11">
        <v>15000</v>
      </c>
      <c r="AS426" s="11" t="s">
        <v>1639</v>
      </c>
      <c r="AT426" s="11" t="s">
        <v>3118</v>
      </c>
      <c r="AU426" s="2">
        <v>46180</v>
      </c>
    </row>
    <row r="427" spans="1:47" x14ac:dyDescent="0.25">
      <c r="A427" s="10" t="s">
        <v>2507</v>
      </c>
      <c r="B427" s="11" t="s">
        <v>2636</v>
      </c>
      <c r="C427" s="11">
        <v>0</v>
      </c>
      <c r="D427" s="11" t="s">
        <v>108</v>
      </c>
      <c r="E427" s="11"/>
      <c r="F427" s="11"/>
      <c r="G427" s="11" t="s">
        <v>90</v>
      </c>
      <c r="H427" s="11">
        <v>20</v>
      </c>
      <c r="I427" s="11" t="s">
        <v>2764</v>
      </c>
      <c r="J427" s="11" t="s">
        <v>42</v>
      </c>
      <c r="K427" s="11">
        <f>Table1[[#This Row],[ENR]]-Table1[[#This Row],[CREDIT]]</f>
        <v>737.11000000000058</v>
      </c>
      <c r="L427" s="43">
        <v>120000</v>
      </c>
      <c r="M427" s="30">
        <v>120737.11</v>
      </c>
      <c r="N427" s="44">
        <v>32751.27</v>
      </c>
      <c r="O427" s="29">
        <v>87985.84</v>
      </c>
      <c r="P427" s="29">
        <v>81975.350000000006</v>
      </c>
      <c r="Q427" s="29">
        <v>34410</v>
      </c>
      <c r="R427" s="29">
        <v>18380</v>
      </c>
      <c r="S427" s="11" t="s">
        <v>58</v>
      </c>
      <c r="T427" s="11" t="s">
        <v>14</v>
      </c>
      <c r="U427" s="29">
        <v>19000</v>
      </c>
      <c r="V427" s="29">
        <f>Table1[[#This Row],[STAB]]-Table1[[#This Row],[AMOUNT]]</f>
        <v>-620</v>
      </c>
      <c r="W427" s="11" t="s">
        <v>3204</v>
      </c>
      <c r="X427" s="11" t="s">
        <v>451</v>
      </c>
      <c r="Y427" s="11" t="s">
        <v>760</v>
      </c>
      <c r="Z427" s="11" t="s">
        <v>88</v>
      </c>
      <c r="AA427" s="11" t="s">
        <v>91</v>
      </c>
      <c r="AB427" s="11" t="s">
        <v>3141</v>
      </c>
      <c r="AC427" s="11" t="s">
        <v>2893</v>
      </c>
      <c r="AD427" s="11" t="s">
        <v>3021</v>
      </c>
      <c r="AE427" s="11" t="s">
        <v>414</v>
      </c>
      <c r="AF427" s="11" t="s">
        <v>127</v>
      </c>
      <c r="AG427" s="11" t="s">
        <v>106</v>
      </c>
      <c r="AH427" s="11" t="s">
        <v>460</v>
      </c>
      <c r="AI427" s="11">
        <v>802913252</v>
      </c>
      <c r="AJ427" s="11" t="s">
        <v>190</v>
      </c>
      <c r="AK427" s="11"/>
      <c r="AL427" s="11"/>
      <c r="AM427" s="12" t="s">
        <v>64</v>
      </c>
      <c r="AN427" s="11" t="s">
        <v>446</v>
      </c>
      <c r="AO427" s="11" t="s">
        <v>3211</v>
      </c>
      <c r="AP427" s="11" t="s">
        <v>3206</v>
      </c>
      <c r="AQ427" s="3">
        <v>45826</v>
      </c>
      <c r="AR427" s="11">
        <v>17620</v>
      </c>
      <c r="AS427" s="11" t="s">
        <v>47</v>
      </c>
      <c r="AT427" s="11" t="s">
        <v>3118</v>
      </c>
      <c r="AU427" s="2">
        <v>46180</v>
      </c>
    </row>
    <row r="428" spans="1:47" x14ac:dyDescent="0.25">
      <c r="A428" s="10" t="s">
        <v>2528</v>
      </c>
      <c r="B428" s="11" t="s">
        <v>2657</v>
      </c>
      <c r="C428" s="11">
        <v>0</v>
      </c>
      <c r="D428" s="11" t="s">
        <v>108</v>
      </c>
      <c r="E428" s="11"/>
      <c r="F428" s="11"/>
      <c r="G428" s="11" t="s">
        <v>52</v>
      </c>
      <c r="H428" s="11">
        <v>20</v>
      </c>
      <c r="I428" s="11" t="s">
        <v>2785</v>
      </c>
      <c r="J428" s="11" t="s">
        <v>42</v>
      </c>
      <c r="K428" s="11">
        <f>Table1[[#This Row],[ENR]]-Table1[[#This Row],[CREDIT]]</f>
        <v>-31017.320000000007</v>
      </c>
      <c r="L428" s="43">
        <v>150000</v>
      </c>
      <c r="M428" s="30">
        <v>118982.68</v>
      </c>
      <c r="N428" s="44">
        <v>18914.95</v>
      </c>
      <c r="O428" s="29">
        <v>100067.73</v>
      </c>
      <c r="P428" s="29">
        <v>87625.31</v>
      </c>
      <c r="Q428" s="29">
        <v>42570</v>
      </c>
      <c r="R428" s="29">
        <v>24270</v>
      </c>
      <c r="S428" s="11" t="s">
        <v>58</v>
      </c>
      <c r="T428" s="11" t="s">
        <v>14</v>
      </c>
      <c r="U428" s="29">
        <v>24300</v>
      </c>
      <c r="V428" s="29">
        <f>Table1[[#This Row],[STAB]]-Table1[[#This Row],[AMOUNT]]</f>
        <v>-30</v>
      </c>
      <c r="W428" s="11" t="s">
        <v>3463</v>
      </c>
      <c r="X428" s="11" t="s">
        <v>444</v>
      </c>
      <c r="Y428" s="11" t="s">
        <v>760</v>
      </c>
      <c r="Z428" s="11" t="s">
        <v>88</v>
      </c>
      <c r="AA428" s="11" t="s">
        <v>86</v>
      </c>
      <c r="AB428" s="11" t="s">
        <v>3139</v>
      </c>
      <c r="AC428" s="11" t="s">
        <v>2914</v>
      </c>
      <c r="AD428" s="11" t="s">
        <v>3042</v>
      </c>
      <c r="AE428" s="11" t="s">
        <v>604</v>
      </c>
      <c r="AF428" s="11" t="s">
        <v>439</v>
      </c>
      <c r="AG428" s="11" t="s">
        <v>63</v>
      </c>
      <c r="AH428" s="11" t="s">
        <v>467</v>
      </c>
      <c r="AI428" s="11">
        <v>801570488</v>
      </c>
      <c r="AJ428" s="11" t="s">
        <v>190</v>
      </c>
      <c r="AK428" s="11"/>
      <c r="AL428" s="11"/>
      <c r="AM428" s="12" t="s">
        <v>64</v>
      </c>
      <c r="AN428" s="11" t="s">
        <v>221</v>
      </c>
      <c r="AO428" s="11" t="s">
        <v>3170</v>
      </c>
      <c r="AP428" s="11" t="s">
        <v>3169</v>
      </c>
      <c r="AQ428" s="3">
        <v>45705</v>
      </c>
      <c r="AR428" s="11">
        <v>500</v>
      </c>
      <c r="AS428" s="11" t="s">
        <v>48</v>
      </c>
      <c r="AT428" s="11" t="s">
        <v>3118</v>
      </c>
      <c r="AU428" s="2">
        <v>46180</v>
      </c>
    </row>
    <row r="429" spans="1:47" x14ac:dyDescent="0.25">
      <c r="A429" s="10" t="s">
        <v>2484</v>
      </c>
      <c r="B429" s="11" t="s">
        <v>2614</v>
      </c>
      <c r="C429" s="11">
        <v>0</v>
      </c>
      <c r="D429" s="11" t="s">
        <v>108</v>
      </c>
      <c r="E429" s="11"/>
      <c r="F429" s="11"/>
      <c r="G429" s="11" t="s">
        <v>52</v>
      </c>
      <c r="H429" s="11">
        <v>20</v>
      </c>
      <c r="I429" s="11" t="s">
        <v>2742</v>
      </c>
      <c r="J429" s="11" t="s">
        <v>42</v>
      </c>
      <c r="K429" s="11">
        <f>Table1[[#This Row],[ENR]]-Table1[[#This Row],[CREDIT]]</f>
        <v>8634.3500000000058</v>
      </c>
      <c r="L429" s="43">
        <v>110000</v>
      </c>
      <c r="M429" s="30">
        <v>118634.35</v>
      </c>
      <c r="N429" s="44" t="s">
        <v>43</v>
      </c>
      <c r="O429" s="29">
        <v>118634.35</v>
      </c>
      <c r="P429" s="29">
        <v>109905.31</v>
      </c>
      <c r="Q429" s="29">
        <v>27660</v>
      </c>
      <c r="R429" s="29">
        <v>5500</v>
      </c>
      <c r="S429" s="11" t="s">
        <v>58</v>
      </c>
      <c r="T429" s="11" t="s">
        <v>14</v>
      </c>
      <c r="U429" s="29">
        <v>5500</v>
      </c>
      <c r="V429" s="29">
        <f>Table1[[#This Row],[STAB]]-Table1[[#This Row],[AMOUNT]]</f>
        <v>0</v>
      </c>
      <c r="W429" s="11" t="s">
        <v>3463</v>
      </c>
      <c r="X429" s="11" t="s">
        <v>451</v>
      </c>
      <c r="Y429" s="11" t="s">
        <v>760</v>
      </c>
      <c r="Z429" s="11" t="s">
        <v>88</v>
      </c>
      <c r="AA429" s="11" t="s">
        <v>86</v>
      </c>
      <c r="AB429" s="11" t="s">
        <v>3139</v>
      </c>
      <c r="AC429" s="11" t="s">
        <v>2870</v>
      </c>
      <c r="AD429" s="11" t="s">
        <v>2999</v>
      </c>
      <c r="AE429" s="11" t="s">
        <v>104</v>
      </c>
      <c r="AF429" s="11" t="s">
        <v>54</v>
      </c>
      <c r="AG429" s="11" t="s">
        <v>109</v>
      </c>
      <c r="AH429" s="11" t="s">
        <v>196</v>
      </c>
      <c r="AI429" s="11">
        <v>802555024</v>
      </c>
      <c r="AJ429" s="11" t="s">
        <v>99</v>
      </c>
      <c r="AK429" s="11"/>
      <c r="AL429" s="11"/>
      <c r="AM429" s="12" t="s">
        <v>64</v>
      </c>
      <c r="AN429" s="11" t="s">
        <v>446</v>
      </c>
      <c r="AO429" s="11" t="s">
        <v>3244</v>
      </c>
      <c r="AP429" s="11" t="s">
        <v>3238</v>
      </c>
      <c r="AQ429" s="3">
        <v>45859</v>
      </c>
      <c r="AR429" s="11">
        <v>17000</v>
      </c>
      <c r="AS429" s="11" t="s">
        <v>1493</v>
      </c>
      <c r="AT429" s="11" t="s">
        <v>3118</v>
      </c>
      <c r="AU429" s="2">
        <v>46180</v>
      </c>
    </row>
    <row r="430" spans="1:47" x14ac:dyDescent="0.25">
      <c r="A430" s="10" t="s">
        <v>2519</v>
      </c>
      <c r="B430" s="11" t="s">
        <v>2648</v>
      </c>
      <c r="C430" s="11">
        <v>0</v>
      </c>
      <c r="D430" s="11" t="s">
        <v>108</v>
      </c>
      <c r="E430" s="11"/>
      <c r="F430" s="11"/>
      <c r="G430" s="11" t="s">
        <v>52</v>
      </c>
      <c r="H430" s="11">
        <v>20</v>
      </c>
      <c r="I430" s="11" t="s">
        <v>2776</v>
      </c>
      <c r="J430" s="11" t="s">
        <v>42</v>
      </c>
      <c r="K430" s="11">
        <f>Table1[[#This Row],[ENR]]-Table1[[#This Row],[CREDIT]]</f>
        <v>9099.6999999999971</v>
      </c>
      <c r="L430" s="43">
        <v>100000</v>
      </c>
      <c r="M430" s="30">
        <v>109099.7</v>
      </c>
      <c r="N430" s="44" t="s">
        <v>43</v>
      </c>
      <c r="O430" s="29">
        <v>109099.7</v>
      </c>
      <c r="P430" s="29">
        <v>99921.49</v>
      </c>
      <c r="Q430" s="29">
        <v>27570</v>
      </c>
      <c r="R430" s="29">
        <v>5000</v>
      </c>
      <c r="S430" s="11" t="s">
        <v>44</v>
      </c>
      <c r="T430" s="11" t="s">
        <v>45</v>
      </c>
      <c r="U430" s="11">
        <v>0</v>
      </c>
      <c r="V430" s="29">
        <f>Table1[[#This Row],[STAB]]-Table1[[#This Row],[AMOUNT]]</f>
        <v>5000</v>
      </c>
      <c r="W430" s="11">
        <v>0</v>
      </c>
      <c r="X430" s="11" t="s">
        <v>83</v>
      </c>
      <c r="Y430" s="11">
        <v>0</v>
      </c>
      <c r="Z430" s="11" t="s">
        <v>88</v>
      </c>
      <c r="AA430" s="11" t="s">
        <v>91</v>
      </c>
      <c r="AB430" s="11" t="s">
        <v>3139</v>
      </c>
      <c r="AC430" s="11" t="s">
        <v>2905</v>
      </c>
      <c r="AD430" s="11" t="s">
        <v>3033</v>
      </c>
      <c r="AE430" s="11" t="s">
        <v>425</v>
      </c>
      <c r="AF430" s="11" t="s">
        <v>53</v>
      </c>
      <c r="AG430" s="11" t="s">
        <v>117</v>
      </c>
      <c r="AH430" s="11" t="s">
        <v>466</v>
      </c>
      <c r="AI430" s="11">
        <v>802388289</v>
      </c>
      <c r="AJ430" s="11" t="s">
        <v>190</v>
      </c>
      <c r="AK430" s="11"/>
      <c r="AL430" s="11"/>
      <c r="AM430" s="12" t="s">
        <v>46</v>
      </c>
      <c r="AN430" s="11"/>
      <c r="AO430" s="11"/>
      <c r="AP430" s="11"/>
      <c r="AQ430" s="3">
        <v>45946</v>
      </c>
      <c r="AR430" s="11">
        <v>18470</v>
      </c>
      <c r="AS430" s="11" t="s">
        <v>435</v>
      </c>
      <c r="AT430" s="11" t="s">
        <v>3118</v>
      </c>
      <c r="AU430" s="2">
        <v>46180</v>
      </c>
    </row>
    <row r="431" spans="1:47" x14ac:dyDescent="0.25">
      <c r="A431" s="10" t="s">
        <v>2475</v>
      </c>
      <c r="B431" s="11" t="s">
        <v>2605</v>
      </c>
      <c r="C431" s="11">
        <v>0</v>
      </c>
      <c r="D431" s="11" t="s">
        <v>108</v>
      </c>
      <c r="E431" s="11"/>
      <c r="F431" s="11"/>
      <c r="G431" s="11" t="s">
        <v>90</v>
      </c>
      <c r="H431" s="11">
        <v>20</v>
      </c>
      <c r="I431" s="11" t="s">
        <v>2733</v>
      </c>
      <c r="J431" s="11" t="s">
        <v>42</v>
      </c>
      <c r="K431" s="11">
        <f>Table1[[#This Row],[ENR]]-Table1[[#This Row],[CREDIT]]</f>
        <v>-34862.399999999994</v>
      </c>
      <c r="L431" s="43">
        <v>140000</v>
      </c>
      <c r="M431" s="30">
        <v>105137.60000000001</v>
      </c>
      <c r="N431" s="44" t="s">
        <v>43</v>
      </c>
      <c r="O431" s="29">
        <v>105137.60000000001</v>
      </c>
      <c r="P431" s="29">
        <v>89580.38</v>
      </c>
      <c r="Q431" s="29">
        <v>24870</v>
      </c>
      <c r="R431" s="29">
        <v>12440</v>
      </c>
      <c r="S431" s="11" t="s">
        <v>58</v>
      </c>
      <c r="T431" s="11" t="s">
        <v>14</v>
      </c>
      <c r="U431" s="29">
        <v>12440</v>
      </c>
      <c r="V431" s="29">
        <f>Table1[[#This Row],[STAB]]-Table1[[#This Row],[AMOUNT]]</f>
        <v>0</v>
      </c>
      <c r="W431" s="11" t="s">
        <v>3484</v>
      </c>
      <c r="X431" s="11" t="s">
        <v>444</v>
      </c>
      <c r="Y431" s="11" t="s">
        <v>760</v>
      </c>
      <c r="Z431" s="11" t="s">
        <v>88</v>
      </c>
      <c r="AA431" s="11" t="s">
        <v>86</v>
      </c>
      <c r="AB431" s="11" t="s">
        <v>3140</v>
      </c>
      <c r="AC431" s="11" t="s">
        <v>2861</v>
      </c>
      <c r="AD431" s="11" t="s">
        <v>2990</v>
      </c>
      <c r="AE431" s="11" t="s">
        <v>421</v>
      </c>
      <c r="AF431" s="11" t="s">
        <v>54</v>
      </c>
      <c r="AG431" s="11" t="s">
        <v>119</v>
      </c>
      <c r="AH431" s="11" t="s">
        <v>626</v>
      </c>
      <c r="AI431" s="11">
        <v>802663344</v>
      </c>
      <c r="AJ431" s="11" t="s">
        <v>191</v>
      </c>
      <c r="AK431" s="11"/>
      <c r="AL431" s="11"/>
      <c r="AM431" s="12" t="s">
        <v>64</v>
      </c>
      <c r="AN431" s="11"/>
      <c r="AO431" s="11"/>
      <c r="AP431" s="11"/>
      <c r="AQ431" s="3">
        <v>45966</v>
      </c>
      <c r="AR431" s="11">
        <v>6590</v>
      </c>
      <c r="AS431" s="11" t="s">
        <v>436</v>
      </c>
      <c r="AT431" s="11" t="s">
        <v>3118</v>
      </c>
      <c r="AU431" s="2">
        <v>46180</v>
      </c>
    </row>
    <row r="432" spans="1:47" x14ac:dyDescent="0.25">
      <c r="A432" s="10" t="s">
        <v>2520</v>
      </c>
      <c r="B432" s="11" t="s">
        <v>2649</v>
      </c>
      <c r="C432" s="11">
        <v>0</v>
      </c>
      <c r="D432" s="11" t="s">
        <v>108</v>
      </c>
      <c r="E432" s="11"/>
      <c r="F432" s="11"/>
      <c r="G432" s="11" t="s">
        <v>52</v>
      </c>
      <c r="H432" s="11">
        <v>20</v>
      </c>
      <c r="I432" s="11" t="s">
        <v>2777</v>
      </c>
      <c r="J432" s="11" t="s">
        <v>42</v>
      </c>
      <c r="K432" s="11">
        <f>Table1[[#This Row],[ENR]]-Table1[[#This Row],[CREDIT]]</f>
        <v>11942.039999999994</v>
      </c>
      <c r="L432" s="43">
        <v>90000</v>
      </c>
      <c r="M432" s="30">
        <v>101942.04</v>
      </c>
      <c r="N432" s="44" t="s">
        <v>43</v>
      </c>
      <c r="O432" s="29">
        <v>101942.04</v>
      </c>
      <c r="P432" s="29">
        <v>89996.3</v>
      </c>
      <c r="Q432" s="29">
        <v>28740</v>
      </c>
      <c r="R432" s="29">
        <v>9200</v>
      </c>
      <c r="S432" s="11" t="s">
        <v>44</v>
      </c>
      <c r="T432" s="11" t="s">
        <v>45</v>
      </c>
      <c r="U432" s="11">
        <v>0</v>
      </c>
      <c r="V432" s="29">
        <f>Table1[[#This Row],[STAB]]-Table1[[#This Row],[AMOUNT]]</f>
        <v>9200</v>
      </c>
      <c r="W432" s="11">
        <v>0</v>
      </c>
      <c r="X432" s="11" t="s">
        <v>83</v>
      </c>
      <c r="Y432" s="11">
        <v>0</v>
      </c>
      <c r="Z432" s="11" t="s">
        <v>88</v>
      </c>
      <c r="AA432" s="11" t="s">
        <v>86</v>
      </c>
      <c r="AB432" s="11" t="s">
        <v>3139</v>
      </c>
      <c r="AC432" s="11" t="s">
        <v>2906</v>
      </c>
      <c r="AD432" s="11" t="s">
        <v>3034</v>
      </c>
      <c r="AE432" s="11" t="s">
        <v>604</v>
      </c>
      <c r="AF432" s="11" t="s">
        <v>439</v>
      </c>
      <c r="AG432" s="11" t="s">
        <v>63</v>
      </c>
      <c r="AH432" s="11" t="s">
        <v>467</v>
      </c>
      <c r="AI432" s="11">
        <v>801570488</v>
      </c>
      <c r="AJ432" s="11" t="s">
        <v>190</v>
      </c>
      <c r="AK432" s="11"/>
      <c r="AL432" s="11"/>
      <c r="AM432" s="12" t="s">
        <v>64</v>
      </c>
      <c r="AN432" s="11" t="s">
        <v>219</v>
      </c>
      <c r="AO432" s="11" t="s">
        <v>1660</v>
      </c>
      <c r="AP432" s="11" t="s">
        <v>3169</v>
      </c>
      <c r="AQ432" s="3">
        <v>46112</v>
      </c>
      <c r="AR432" s="11">
        <v>29057.01</v>
      </c>
      <c r="AS432" s="11" t="s">
        <v>432</v>
      </c>
      <c r="AT432" s="11" t="s">
        <v>3118</v>
      </c>
      <c r="AU432" s="2">
        <v>46180</v>
      </c>
    </row>
    <row r="433" spans="1:47" x14ac:dyDescent="0.25">
      <c r="A433" s="10" t="s">
        <v>2527</v>
      </c>
      <c r="B433" s="11" t="s">
        <v>2656</v>
      </c>
      <c r="C433" s="11">
        <v>0</v>
      </c>
      <c r="D433" s="11" t="s">
        <v>108</v>
      </c>
      <c r="E433" s="11"/>
      <c r="F433" s="11"/>
      <c r="G433" s="11" t="s">
        <v>52</v>
      </c>
      <c r="H433" s="11">
        <v>20</v>
      </c>
      <c r="I433" s="11" t="s">
        <v>2784</v>
      </c>
      <c r="J433" s="11" t="s">
        <v>42</v>
      </c>
      <c r="K433" s="11">
        <f>Table1[[#This Row],[ENR]]-Table1[[#This Row],[CREDIT]]</f>
        <v>10485.940000000002</v>
      </c>
      <c r="L433" s="43">
        <v>90000</v>
      </c>
      <c r="M433" s="52">
        <v>100485.94</v>
      </c>
      <c r="N433" s="44" t="s">
        <v>43</v>
      </c>
      <c r="O433" s="29">
        <v>100485.94</v>
      </c>
      <c r="P433" s="29">
        <v>89995.42</v>
      </c>
      <c r="Q433" s="29">
        <v>26520</v>
      </c>
      <c r="R433" s="29">
        <v>12180</v>
      </c>
      <c r="S433" s="11" t="s">
        <v>58</v>
      </c>
      <c r="T433" s="11" t="s">
        <v>14</v>
      </c>
      <c r="U433" s="29">
        <v>12300</v>
      </c>
      <c r="V433" s="29">
        <f>Table1[[#This Row],[STAB]]-Table1[[#This Row],[AMOUNT]]</f>
        <v>-120</v>
      </c>
      <c r="W433" s="11">
        <v>0</v>
      </c>
      <c r="X433" s="11" t="s">
        <v>1526</v>
      </c>
      <c r="Y433" s="11" t="s">
        <v>760</v>
      </c>
      <c r="Z433" s="11" t="s">
        <v>88</v>
      </c>
      <c r="AA433" s="11" t="s">
        <v>91</v>
      </c>
      <c r="AB433" s="11" t="s">
        <v>3139</v>
      </c>
      <c r="AC433" s="11" t="s">
        <v>2913</v>
      </c>
      <c r="AD433" s="11" t="s">
        <v>3041</v>
      </c>
      <c r="AE433" s="11" t="s">
        <v>603</v>
      </c>
      <c r="AF433" s="11" t="s">
        <v>53</v>
      </c>
      <c r="AG433" s="11" t="s">
        <v>89</v>
      </c>
      <c r="AH433" s="11" t="s">
        <v>193</v>
      </c>
      <c r="AI433" s="11">
        <v>802824019</v>
      </c>
      <c r="AJ433" s="11" t="s">
        <v>189</v>
      </c>
      <c r="AK433" s="11"/>
      <c r="AL433" s="11"/>
      <c r="AM433" s="12" t="s">
        <v>64</v>
      </c>
      <c r="AN433" s="11" t="s">
        <v>115</v>
      </c>
      <c r="AO433" s="11" t="s">
        <v>3200</v>
      </c>
      <c r="AP433" s="11" t="s">
        <v>3191</v>
      </c>
      <c r="AQ433" s="3">
        <v>45847</v>
      </c>
      <c r="AR433" s="11">
        <v>8</v>
      </c>
      <c r="AS433" s="11" t="s">
        <v>1075</v>
      </c>
      <c r="AT433" s="11" t="s">
        <v>3118</v>
      </c>
      <c r="AU433" s="2">
        <v>46180</v>
      </c>
    </row>
    <row r="434" spans="1:47" x14ac:dyDescent="0.25">
      <c r="A434" s="10" t="s">
        <v>1753</v>
      </c>
      <c r="B434" s="11" t="s">
        <v>1850</v>
      </c>
      <c r="C434" s="11">
        <v>0</v>
      </c>
      <c r="D434" s="11" t="s">
        <v>108</v>
      </c>
      <c r="E434" s="11"/>
      <c r="F434" s="11"/>
      <c r="G434" s="11" t="s">
        <v>52</v>
      </c>
      <c r="H434" s="11">
        <v>20</v>
      </c>
      <c r="I434" s="11" t="s">
        <v>1947</v>
      </c>
      <c r="J434" s="11" t="s">
        <v>42</v>
      </c>
      <c r="K434" s="11">
        <f>Table1[[#This Row],[ENR]]-Table1[[#This Row],[CREDIT]]</f>
        <v>-20538</v>
      </c>
      <c r="L434" s="43">
        <v>120000</v>
      </c>
      <c r="M434" s="30">
        <v>99462</v>
      </c>
      <c r="N434" s="44" t="s">
        <v>43</v>
      </c>
      <c r="O434" s="29">
        <v>99462</v>
      </c>
      <c r="P434" s="29">
        <v>93114.57</v>
      </c>
      <c r="Q434" s="29">
        <v>8580</v>
      </c>
      <c r="R434" s="29">
        <v>1520</v>
      </c>
      <c r="S434" s="11" t="s">
        <v>58</v>
      </c>
      <c r="T434" s="11" t="s">
        <v>13</v>
      </c>
      <c r="U434" s="11">
        <v>8580</v>
      </c>
      <c r="V434" s="29">
        <f>Table1[[#This Row],[STAB]]-Table1[[#This Row],[AMOUNT]]</f>
        <v>-7060</v>
      </c>
      <c r="W434" s="11">
        <v>0</v>
      </c>
      <c r="X434" s="11" t="s">
        <v>761</v>
      </c>
      <c r="Y434" s="11" t="s">
        <v>760</v>
      </c>
      <c r="Z434" s="11" t="s">
        <v>88</v>
      </c>
      <c r="AA434" s="11" t="s">
        <v>86</v>
      </c>
      <c r="AB434" s="11" t="s">
        <v>3139</v>
      </c>
      <c r="AC434" s="11" t="s">
        <v>2044</v>
      </c>
      <c r="AD434" s="11" t="s">
        <v>2133</v>
      </c>
      <c r="AE434" s="11" t="s">
        <v>100</v>
      </c>
      <c r="AF434" s="11" t="s">
        <v>54</v>
      </c>
      <c r="AG434" s="11" t="s">
        <v>60</v>
      </c>
      <c r="AH434" s="11" t="s">
        <v>193</v>
      </c>
      <c r="AI434" s="11">
        <v>802824019</v>
      </c>
      <c r="AJ434" s="11" t="s">
        <v>189</v>
      </c>
      <c r="AK434" s="11"/>
      <c r="AL434" s="11"/>
      <c r="AM434" s="12" t="s">
        <v>64</v>
      </c>
      <c r="AN434" s="11"/>
      <c r="AO434" s="11"/>
      <c r="AP434" s="11"/>
      <c r="AQ434" s="3">
        <v>46042</v>
      </c>
      <c r="AR434" s="11">
        <v>7200</v>
      </c>
      <c r="AS434" s="11" t="s">
        <v>1493</v>
      </c>
      <c r="AT434" s="11" t="s">
        <v>2152</v>
      </c>
      <c r="AU434" s="2">
        <v>46180</v>
      </c>
    </row>
    <row r="435" spans="1:47" x14ac:dyDescent="0.25">
      <c r="A435" s="10" t="s">
        <v>2515</v>
      </c>
      <c r="B435" s="11" t="s">
        <v>2644</v>
      </c>
      <c r="C435" s="11">
        <v>0</v>
      </c>
      <c r="D435" s="11" t="s">
        <v>108</v>
      </c>
      <c r="E435" s="11"/>
      <c r="F435" s="11"/>
      <c r="G435" s="11" t="s">
        <v>52</v>
      </c>
      <c r="H435" s="11">
        <v>20</v>
      </c>
      <c r="I435" s="11" t="s">
        <v>2772</v>
      </c>
      <c r="J435" s="11" t="s">
        <v>42</v>
      </c>
      <c r="K435" s="11">
        <f>Table1[[#This Row],[ENR]]-Table1[[#This Row],[CREDIT]]</f>
        <v>4901.4600000000064</v>
      </c>
      <c r="L435" s="43">
        <v>90000</v>
      </c>
      <c r="M435" s="30">
        <v>94901.46</v>
      </c>
      <c r="N435" s="44" t="s">
        <v>43</v>
      </c>
      <c r="O435" s="29">
        <v>94901.46</v>
      </c>
      <c r="P435" s="29">
        <v>83979.95</v>
      </c>
      <c r="Q435" s="29">
        <v>31030</v>
      </c>
      <c r="R435" s="29">
        <v>13760</v>
      </c>
      <c r="S435" s="11" t="s">
        <v>58</v>
      </c>
      <c r="T435" s="11" t="s">
        <v>14</v>
      </c>
      <c r="U435" s="29">
        <v>15000</v>
      </c>
      <c r="V435" s="29">
        <f>Table1[[#This Row],[STAB]]-Table1[[#This Row],[AMOUNT]]</f>
        <v>-1240</v>
      </c>
      <c r="W435" s="11" t="s">
        <v>3473</v>
      </c>
      <c r="X435" s="11" t="s">
        <v>451</v>
      </c>
      <c r="Y435" s="11" t="s">
        <v>760</v>
      </c>
      <c r="Z435" s="11" t="s">
        <v>88</v>
      </c>
      <c r="AA435" s="11" t="s">
        <v>86</v>
      </c>
      <c r="AB435" s="11" t="s">
        <v>3139</v>
      </c>
      <c r="AC435" s="11" t="s">
        <v>2901</v>
      </c>
      <c r="AD435" s="11" t="s">
        <v>3029</v>
      </c>
      <c r="AE435" s="11" t="s">
        <v>104</v>
      </c>
      <c r="AF435" s="11" t="s">
        <v>54</v>
      </c>
      <c r="AG435" s="11" t="s">
        <v>109</v>
      </c>
      <c r="AH435" s="11" t="s">
        <v>196</v>
      </c>
      <c r="AI435" s="11">
        <v>802555024</v>
      </c>
      <c r="AJ435" s="11" t="s">
        <v>99</v>
      </c>
      <c r="AK435" s="11"/>
      <c r="AL435" s="11"/>
      <c r="AM435" s="12" t="s">
        <v>64</v>
      </c>
      <c r="AN435" s="11"/>
      <c r="AO435" s="11"/>
      <c r="AP435" s="11"/>
      <c r="AQ435" s="3">
        <v>45483</v>
      </c>
      <c r="AR435" s="11">
        <v>4693.96</v>
      </c>
      <c r="AS435" s="11" t="s">
        <v>606</v>
      </c>
      <c r="AT435" s="11" t="s">
        <v>3118</v>
      </c>
      <c r="AU435" s="2">
        <v>46180</v>
      </c>
    </row>
    <row r="436" spans="1:47" x14ac:dyDescent="0.25">
      <c r="A436" s="10" t="s">
        <v>2511</v>
      </c>
      <c r="B436" s="11" t="s">
        <v>2640</v>
      </c>
      <c r="C436" s="11">
        <v>0</v>
      </c>
      <c r="D436" s="11" t="s">
        <v>108</v>
      </c>
      <c r="E436" s="11"/>
      <c r="F436" s="11"/>
      <c r="G436" s="11" t="s">
        <v>52</v>
      </c>
      <c r="H436" s="11">
        <v>20</v>
      </c>
      <c r="I436" s="11" t="s">
        <v>2768</v>
      </c>
      <c r="J436" s="11" t="s">
        <v>42</v>
      </c>
      <c r="K436" s="11">
        <f>Table1[[#This Row],[ENR]]-Table1[[#This Row],[CREDIT]]</f>
        <v>8058.2299999999959</v>
      </c>
      <c r="L436" s="43">
        <v>84000</v>
      </c>
      <c r="M436" s="30">
        <v>92058.23</v>
      </c>
      <c r="N436" s="44" t="s">
        <v>43</v>
      </c>
      <c r="O436" s="29">
        <v>92058.23</v>
      </c>
      <c r="P436" s="29">
        <v>82920.56</v>
      </c>
      <c r="Q436" s="29">
        <v>24890</v>
      </c>
      <c r="R436" s="29">
        <v>4860</v>
      </c>
      <c r="S436" s="11" t="s">
        <v>44</v>
      </c>
      <c r="T436" s="11" t="s">
        <v>45</v>
      </c>
      <c r="U436" s="11">
        <v>0</v>
      </c>
      <c r="V436" s="29">
        <f>Table1[[#This Row],[STAB]]-Table1[[#This Row],[AMOUNT]]</f>
        <v>4860</v>
      </c>
      <c r="W436" s="11">
        <v>0</v>
      </c>
      <c r="X436" s="11" t="s">
        <v>83</v>
      </c>
      <c r="Y436" s="11">
        <v>0</v>
      </c>
      <c r="Z436" s="11" t="s">
        <v>88</v>
      </c>
      <c r="AA436" s="11" t="s">
        <v>86</v>
      </c>
      <c r="AB436" s="11" t="s">
        <v>3140</v>
      </c>
      <c r="AC436" s="11" t="s">
        <v>2897</v>
      </c>
      <c r="AD436" s="11" t="s">
        <v>3025</v>
      </c>
      <c r="AE436" s="11" t="s">
        <v>418</v>
      </c>
      <c r="AF436" s="11" t="s">
        <v>54</v>
      </c>
      <c r="AG436" s="11" t="s">
        <v>1086</v>
      </c>
      <c r="AH436" s="11" t="s">
        <v>85</v>
      </c>
      <c r="AI436" s="11">
        <v>801772794</v>
      </c>
      <c r="AJ436" s="11" t="s">
        <v>192</v>
      </c>
      <c r="AK436" s="11"/>
      <c r="AL436" s="11"/>
      <c r="AM436" s="12" t="s">
        <v>46</v>
      </c>
      <c r="AN436" s="11"/>
      <c r="AO436" s="11"/>
      <c r="AP436" s="11"/>
      <c r="AQ436" s="3">
        <v>45967</v>
      </c>
      <c r="AR436" s="11">
        <v>8537</v>
      </c>
      <c r="AS436" s="11" t="s">
        <v>436</v>
      </c>
      <c r="AT436" s="11" t="s">
        <v>3118</v>
      </c>
      <c r="AU436" s="2">
        <v>46180</v>
      </c>
    </row>
    <row r="437" spans="1:47" x14ac:dyDescent="0.25">
      <c r="A437" s="10" t="s">
        <v>2487</v>
      </c>
      <c r="B437" s="11" t="s">
        <v>2617</v>
      </c>
      <c r="C437" s="11">
        <v>0</v>
      </c>
      <c r="D437" s="11" t="s">
        <v>108</v>
      </c>
      <c r="E437" s="11"/>
      <c r="F437" s="11"/>
      <c r="G437" s="11" t="s">
        <v>52</v>
      </c>
      <c r="H437" s="11">
        <v>20</v>
      </c>
      <c r="I437" s="11" t="s">
        <v>2745</v>
      </c>
      <c r="J437" s="11" t="s">
        <v>42</v>
      </c>
      <c r="K437" s="11">
        <f>Table1[[#This Row],[ENR]]-Table1[[#This Row],[CREDIT]]</f>
        <v>-8555.14</v>
      </c>
      <c r="L437" s="43">
        <v>100000</v>
      </c>
      <c r="M437" s="30">
        <v>91444.86</v>
      </c>
      <c r="N437" s="44" t="s">
        <v>43</v>
      </c>
      <c r="O437" s="29">
        <v>91444.86</v>
      </c>
      <c r="P437" s="29">
        <v>80897.8</v>
      </c>
      <c r="Q437" s="29">
        <v>15710</v>
      </c>
      <c r="R437" s="29">
        <v>6520</v>
      </c>
      <c r="S437" s="11" t="s">
        <v>58</v>
      </c>
      <c r="T437" s="11" t="s">
        <v>14</v>
      </c>
      <c r="U437" s="29">
        <v>6520</v>
      </c>
      <c r="V437" s="29">
        <f>Table1[[#This Row],[STAB]]-Table1[[#This Row],[AMOUNT]]</f>
        <v>0</v>
      </c>
      <c r="W437" s="11" t="s">
        <v>3473</v>
      </c>
      <c r="X437" s="11" t="s">
        <v>444</v>
      </c>
      <c r="Y437" s="11" t="s">
        <v>760</v>
      </c>
      <c r="Z437" s="11" t="s">
        <v>88</v>
      </c>
      <c r="AA437" s="11" t="s">
        <v>86</v>
      </c>
      <c r="AB437" s="11" t="s">
        <v>3139</v>
      </c>
      <c r="AC437" s="11" t="s">
        <v>2873</v>
      </c>
      <c r="AD437" s="11" t="s">
        <v>3002</v>
      </c>
      <c r="AE437" s="11" t="s">
        <v>100</v>
      </c>
      <c r="AF437" s="11" t="s">
        <v>54</v>
      </c>
      <c r="AG437" s="11" t="s">
        <v>59</v>
      </c>
      <c r="AH437" s="11" t="s">
        <v>193</v>
      </c>
      <c r="AI437" s="11">
        <v>802824019</v>
      </c>
      <c r="AJ437" s="11" t="s">
        <v>189</v>
      </c>
      <c r="AK437" s="11"/>
      <c r="AL437" s="11"/>
      <c r="AM437" s="12" t="s">
        <v>64</v>
      </c>
      <c r="AN437" s="11"/>
      <c r="AO437" s="11"/>
      <c r="AP437" s="11"/>
      <c r="AQ437" s="3">
        <v>45635</v>
      </c>
      <c r="AR437" s="11">
        <v>40000</v>
      </c>
      <c r="AS437" s="11" t="s">
        <v>1493</v>
      </c>
      <c r="AT437" s="11" t="s">
        <v>3118</v>
      </c>
      <c r="AU437" s="2">
        <v>46180</v>
      </c>
    </row>
    <row r="438" spans="1:47" x14ac:dyDescent="0.25">
      <c r="A438" s="10" t="s">
        <v>2496</v>
      </c>
      <c r="B438" s="11" t="s">
        <v>2626</v>
      </c>
      <c r="C438" s="11">
        <v>0</v>
      </c>
      <c r="D438" s="11" t="s">
        <v>108</v>
      </c>
      <c r="E438" s="11"/>
      <c r="F438" s="11"/>
      <c r="G438" s="11" t="s">
        <v>52</v>
      </c>
      <c r="H438" s="11">
        <v>20</v>
      </c>
      <c r="I438" s="11" t="s">
        <v>2754</v>
      </c>
      <c r="J438" s="11" t="s">
        <v>42</v>
      </c>
      <c r="K438" s="11">
        <f>Table1[[#This Row],[ENR]]-Table1[[#This Row],[CREDIT]]</f>
        <v>8760.1600000000035</v>
      </c>
      <c r="L438" s="43">
        <v>80000</v>
      </c>
      <c r="M438" s="30">
        <v>88760.16</v>
      </c>
      <c r="N438" s="44" t="s">
        <v>43</v>
      </c>
      <c r="O438" s="29">
        <v>88760.16</v>
      </c>
      <c r="P438" s="29">
        <v>78456.17</v>
      </c>
      <c r="Q438" s="29">
        <v>23310</v>
      </c>
      <c r="R438" s="29">
        <v>9660</v>
      </c>
      <c r="S438" s="11" t="s">
        <v>44</v>
      </c>
      <c r="T438" s="11" t="s">
        <v>45</v>
      </c>
      <c r="U438" s="11">
        <v>0</v>
      </c>
      <c r="V438" s="29">
        <f>Table1[[#This Row],[STAB]]-Table1[[#This Row],[AMOUNT]]</f>
        <v>9660</v>
      </c>
      <c r="W438" s="11">
        <v>0</v>
      </c>
      <c r="X438" s="11" t="s">
        <v>83</v>
      </c>
      <c r="Y438" s="11">
        <v>0</v>
      </c>
      <c r="Z438" s="11" t="s">
        <v>88</v>
      </c>
      <c r="AA438" s="11" t="s">
        <v>86</v>
      </c>
      <c r="AB438" s="11" t="s">
        <v>3140</v>
      </c>
      <c r="AC438" s="11" t="s">
        <v>2882</v>
      </c>
      <c r="AD438" s="11" t="s">
        <v>3011</v>
      </c>
      <c r="AE438" s="11" t="s">
        <v>418</v>
      </c>
      <c r="AF438" s="11" t="s">
        <v>54</v>
      </c>
      <c r="AG438" s="11" t="s">
        <v>1086</v>
      </c>
      <c r="AH438" s="11" t="s">
        <v>85</v>
      </c>
      <c r="AI438" s="11">
        <v>801772794</v>
      </c>
      <c r="AJ438" s="11" t="s">
        <v>192</v>
      </c>
      <c r="AK438" s="11"/>
      <c r="AL438" s="11"/>
      <c r="AM438" s="12" t="s">
        <v>46</v>
      </c>
      <c r="AN438" s="11"/>
      <c r="AO438" s="11"/>
      <c r="AP438" s="11"/>
      <c r="AQ438" s="3">
        <v>45445</v>
      </c>
      <c r="AR438" s="11">
        <v>13970</v>
      </c>
      <c r="AS438" s="11" t="s">
        <v>1493</v>
      </c>
      <c r="AT438" s="11" t="s">
        <v>3118</v>
      </c>
      <c r="AU438" s="2">
        <v>46180</v>
      </c>
    </row>
    <row r="439" spans="1:47" x14ac:dyDescent="0.25">
      <c r="A439" s="10" t="s">
        <v>2516</v>
      </c>
      <c r="B439" s="11" t="s">
        <v>2645</v>
      </c>
      <c r="C439" s="11">
        <v>0</v>
      </c>
      <c r="D439" s="11" t="s">
        <v>108</v>
      </c>
      <c r="E439" s="11"/>
      <c r="F439" s="11"/>
      <c r="G439" s="11" t="s">
        <v>52</v>
      </c>
      <c r="H439" s="11">
        <v>20</v>
      </c>
      <c r="I439" s="11" t="s">
        <v>2773</v>
      </c>
      <c r="J439" s="11" t="s">
        <v>42</v>
      </c>
      <c r="K439" s="11">
        <f>Table1[[#This Row],[ENR]]-Table1[[#This Row],[CREDIT]]</f>
        <v>7275.6999999999971</v>
      </c>
      <c r="L439" s="43">
        <v>80000</v>
      </c>
      <c r="M439" s="30">
        <v>87275.7</v>
      </c>
      <c r="N439" s="44">
        <v>6955.01</v>
      </c>
      <c r="O439" s="29">
        <v>80320.69</v>
      </c>
      <c r="P439" s="29">
        <v>73299.44</v>
      </c>
      <c r="Q439" s="29">
        <v>26760</v>
      </c>
      <c r="R439" s="29">
        <v>10620</v>
      </c>
      <c r="S439" s="11" t="s">
        <v>58</v>
      </c>
      <c r="T439" s="11" t="s">
        <v>14</v>
      </c>
      <c r="U439" s="29">
        <v>10620</v>
      </c>
      <c r="V439" s="29">
        <f>Table1[[#This Row],[STAB]]-Table1[[#This Row],[AMOUNT]]</f>
        <v>0</v>
      </c>
      <c r="W439" s="11" t="s">
        <v>3642</v>
      </c>
      <c r="X439" s="11" t="s">
        <v>451</v>
      </c>
      <c r="Y439" s="11" t="s">
        <v>760</v>
      </c>
      <c r="Z439" s="11" t="s">
        <v>88</v>
      </c>
      <c r="AA439" s="11" t="s">
        <v>86</v>
      </c>
      <c r="AB439" s="11" t="s">
        <v>3140</v>
      </c>
      <c r="AC439" s="11" t="s">
        <v>2902</v>
      </c>
      <c r="AD439" s="11" t="s">
        <v>3030</v>
      </c>
      <c r="AE439" s="11" t="s">
        <v>421</v>
      </c>
      <c r="AF439" s="11" t="s">
        <v>54</v>
      </c>
      <c r="AG439" s="11" t="s">
        <v>119</v>
      </c>
      <c r="AH439" s="11" t="s">
        <v>626</v>
      </c>
      <c r="AI439" s="11">
        <v>802663344</v>
      </c>
      <c r="AJ439" s="11" t="s">
        <v>191</v>
      </c>
      <c r="AK439" s="11"/>
      <c r="AL439" s="11"/>
      <c r="AM439" s="12" t="s">
        <v>64</v>
      </c>
      <c r="AN439" s="11" t="s">
        <v>115</v>
      </c>
      <c r="AO439" s="11" t="s">
        <v>3203</v>
      </c>
      <c r="AP439" s="11" t="s">
        <v>3191</v>
      </c>
      <c r="AQ439" s="3">
        <v>45785</v>
      </c>
      <c r="AR439" s="11">
        <v>23000</v>
      </c>
      <c r="AS439" s="11" t="s">
        <v>1493</v>
      </c>
      <c r="AT439" s="11" t="s">
        <v>3118</v>
      </c>
      <c r="AU439" s="2">
        <v>46180</v>
      </c>
    </row>
    <row r="440" spans="1:47" x14ac:dyDescent="0.25">
      <c r="A440" s="10" t="s">
        <v>2490</v>
      </c>
      <c r="B440" s="11" t="s">
        <v>2620</v>
      </c>
      <c r="C440" s="11">
        <v>0</v>
      </c>
      <c r="D440" s="11" t="s">
        <v>108</v>
      </c>
      <c r="E440" s="11"/>
      <c r="F440" s="11"/>
      <c r="G440" s="11" t="s">
        <v>52</v>
      </c>
      <c r="H440" s="11">
        <v>20</v>
      </c>
      <c r="I440" s="11" t="s">
        <v>2748</v>
      </c>
      <c r="J440" s="11" t="s">
        <v>42</v>
      </c>
      <c r="K440" s="11">
        <f>Table1[[#This Row],[ENR]]-Table1[[#This Row],[CREDIT]]</f>
        <v>5233.9400000000023</v>
      </c>
      <c r="L440" s="43">
        <v>80000</v>
      </c>
      <c r="M440" s="30">
        <v>85233.94</v>
      </c>
      <c r="N440" s="44" t="s">
        <v>43</v>
      </c>
      <c r="O440" s="29">
        <v>85233.94</v>
      </c>
      <c r="P440" s="29">
        <v>77948.87</v>
      </c>
      <c r="Q440" s="29">
        <v>15840</v>
      </c>
      <c r="R440" s="29">
        <v>3240</v>
      </c>
      <c r="S440" s="11" t="s">
        <v>58</v>
      </c>
      <c r="T440" s="11" t="s">
        <v>14</v>
      </c>
      <c r="U440" s="29">
        <v>3250</v>
      </c>
      <c r="V440" s="29">
        <f>Table1[[#This Row],[STAB]]-Table1[[#This Row],[AMOUNT]]</f>
        <v>-10</v>
      </c>
      <c r="W440" s="11" t="s">
        <v>3642</v>
      </c>
      <c r="X440" s="11" t="s">
        <v>444</v>
      </c>
      <c r="Y440" s="11" t="s">
        <v>760</v>
      </c>
      <c r="Z440" s="11" t="s">
        <v>88</v>
      </c>
      <c r="AA440" s="11" t="s">
        <v>86</v>
      </c>
      <c r="AB440" s="11" t="s">
        <v>3139</v>
      </c>
      <c r="AC440" s="11" t="s">
        <v>2876</v>
      </c>
      <c r="AD440" s="11" t="s">
        <v>3005</v>
      </c>
      <c r="AE440" s="11" t="s">
        <v>420</v>
      </c>
      <c r="AF440" s="11" t="s">
        <v>54</v>
      </c>
      <c r="AG440" s="11" t="s">
        <v>120</v>
      </c>
      <c r="AH440" s="11" t="s">
        <v>463</v>
      </c>
      <c r="AI440" s="11">
        <v>802898520</v>
      </c>
      <c r="AJ440" s="11" t="s">
        <v>190</v>
      </c>
      <c r="AK440" s="11"/>
      <c r="AL440" s="11"/>
      <c r="AM440" s="12" t="s">
        <v>64</v>
      </c>
      <c r="AN440" s="11"/>
      <c r="AO440" s="11"/>
      <c r="AP440" s="11"/>
      <c r="AQ440" s="3">
        <v>46105</v>
      </c>
      <c r="AR440" s="11">
        <v>26033</v>
      </c>
      <c r="AS440" s="11" t="s">
        <v>1493</v>
      </c>
      <c r="AT440" s="11" t="s">
        <v>3118</v>
      </c>
      <c r="AU440" s="2">
        <v>46180</v>
      </c>
    </row>
    <row r="441" spans="1:47" x14ac:dyDescent="0.25">
      <c r="A441" s="10" t="s">
        <v>2506</v>
      </c>
      <c r="B441" s="11" t="s">
        <v>286</v>
      </c>
      <c r="C441" s="11">
        <v>0</v>
      </c>
      <c r="D441" s="11" t="s">
        <v>108</v>
      </c>
      <c r="E441" s="11"/>
      <c r="F441" s="11"/>
      <c r="G441" s="11" t="s">
        <v>52</v>
      </c>
      <c r="H441" s="11">
        <v>20</v>
      </c>
      <c r="I441" s="11" t="s">
        <v>324</v>
      </c>
      <c r="J441" s="11" t="s">
        <v>42</v>
      </c>
      <c r="K441" s="11">
        <f>Table1[[#This Row],[ENR]]-Table1[[#This Row],[CREDIT]]</f>
        <v>-526650.55000000005</v>
      </c>
      <c r="L441" s="43">
        <v>610000</v>
      </c>
      <c r="M441" s="30">
        <v>83349.45</v>
      </c>
      <c r="N441" s="44">
        <v>71551.259999999995</v>
      </c>
      <c r="O441" s="29">
        <v>11798.19</v>
      </c>
      <c r="P441" s="29">
        <v>6251.05</v>
      </c>
      <c r="Q441" s="29">
        <v>11610</v>
      </c>
      <c r="R441" s="29">
        <v>6095.5</v>
      </c>
      <c r="S441" s="11" t="s">
        <v>58</v>
      </c>
      <c r="T441" s="11" t="s">
        <v>13</v>
      </c>
      <c r="U441" s="11">
        <v>11798</v>
      </c>
      <c r="V441" s="29">
        <f>Table1[[#This Row],[STAB]]-Table1[[#This Row],[AMOUNT]]</f>
        <v>-5702.5</v>
      </c>
      <c r="W441" s="11" t="s">
        <v>3463</v>
      </c>
      <c r="X441" s="11" t="s">
        <v>451</v>
      </c>
      <c r="Y441" s="11" t="s">
        <v>760</v>
      </c>
      <c r="Z441" s="11" t="s">
        <v>88</v>
      </c>
      <c r="AA441" s="11" t="s">
        <v>86</v>
      </c>
      <c r="AB441" s="11" t="s">
        <v>3139</v>
      </c>
      <c r="AC441" s="11" t="s">
        <v>2892</v>
      </c>
      <c r="AD441" s="11" t="s">
        <v>3020</v>
      </c>
      <c r="AE441" s="11" t="s">
        <v>104</v>
      </c>
      <c r="AF441" s="11" t="s">
        <v>54</v>
      </c>
      <c r="AG441" s="11" t="s">
        <v>109</v>
      </c>
      <c r="AH441" s="11" t="s">
        <v>196</v>
      </c>
      <c r="AI441" s="11">
        <v>802555024</v>
      </c>
      <c r="AJ441" s="11" t="s">
        <v>99</v>
      </c>
      <c r="AK441" s="11"/>
      <c r="AL441" s="11"/>
      <c r="AM441" s="12" t="s">
        <v>64</v>
      </c>
      <c r="AN441" s="11" t="s">
        <v>115</v>
      </c>
      <c r="AO441" s="11" t="s">
        <v>3462</v>
      </c>
      <c r="AP441" s="11" t="s">
        <v>3463</v>
      </c>
      <c r="AQ441" s="3">
        <v>45481</v>
      </c>
      <c r="AR441" s="11">
        <v>7704.51</v>
      </c>
      <c r="AS441" s="11" t="s">
        <v>47</v>
      </c>
      <c r="AT441" s="11" t="s">
        <v>3118</v>
      </c>
      <c r="AU441" s="2">
        <v>46180</v>
      </c>
    </row>
    <row r="442" spans="1:47" x14ac:dyDescent="0.25">
      <c r="A442" s="10" t="s">
        <v>2504</v>
      </c>
      <c r="B442" s="11" t="s">
        <v>2634</v>
      </c>
      <c r="C442" s="11">
        <v>0</v>
      </c>
      <c r="D442" s="11" t="s">
        <v>108</v>
      </c>
      <c r="E442" s="11"/>
      <c r="F442" s="11"/>
      <c r="G442" s="11" t="s">
        <v>52</v>
      </c>
      <c r="H442" s="11">
        <v>20</v>
      </c>
      <c r="I442" s="11" t="s">
        <v>2762</v>
      </c>
      <c r="J442" s="11" t="s">
        <v>42</v>
      </c>
      <c r="K442" s="11">
        <f>Table1[[#This Row],[ENR]]-Table1[[#This Row],[CREDIT]]</f>
        <v>7891.7700000000041</v>
      </c>
      <c r="L442" s="43">
        <v>70000</v>
      </c>
      <c r="M442" s="30">
        <v>77891.77</v>
      </c>
      <c r="N442" s="44" t="s">
        <v>43</v>
      </c>
      <c r="O442" s="29">
        <v>77891.77</v>
      </c>
      <c r="P442" s="29">
        <v>69971.039999999994</v>
      </c>
      <c r="Q442" s="29">
        <v>19640</v>
      </c>
      <c r="R442" s="29">
        <v>7150</v>
      </c>
      <c r="S442" s="11" t="s">
        <v>58</v>
      </c>
      <c r="T442" s="11" t="s">
        <v>14</v>
      </c>
      <c r="U442" s="29">
        <v>7158</v>
      </c>
      <c r="V442" s="29">
        <f>Table1[[#This Row],[STAB]]-Table1[[#This Row],[AMOUNT]]</f>
        <v>-8</v>
      </c>
      <c r="W442" s="11" t="s">
        <v>3463</v>
      </c>
      <c r="X442" s="11" t="s">
        <v>444</v>
      </c>
      <c r="Y442" s="11" t="s">
        <v>1085</v>
      </c>
      <c r="Z442" s="11" t="s">
        <v>88</v>
      </c>
      <c r="AA442" s="11" t="s">
        <v>91</v>
      </c>
      <c r="AB442" s="11" t="s">
        <v>3139</v>
      </c>
      <c r="AC442" s="11" t="s">
        <v>2890</v>
      </c>
      <c r="AD442" s="11" t="s">
        <v>3019</v>
      </c>
      <c r="AE442" s="11" t="s">
        <v>428</v>
      </c>
      <c r="AF442" s="11" t="s">
        <v>53</v>
      </c>
      <c r="AG442" s="11" t="s">
        <v>55</v>
      </c>
      <c r="AH442" s="11" t="s">
        <v>468</v>
      </c>
      <c r="AI442" s="11">
        <v>802030802</v>
      </c>
      <c r="AJ442" s="11" t="s">
        <v>458</v>
      </c>
      <c r="AK442" s="11"/>
      <c r="AL442" s="11"/>
      <c r="AM442" s="12" t="s">
        <v>64</v>
      </c>
      <c r="AN442" s="11"/>
      <c r="AO442" s="11"/>
      <c r="AP442" s="11"/>
      <c r="AQ442" s="3">
        <v>46118</v>
      </c>
      <c r="AR442" s="11">
        <v>6780</v>
      </c>
      <c r="AS442" s="11" t="s">
        <v>435</v>
      </c>
      <c r="AT442" s="11" t="s">
        <v>3118</v>
      </c>
      <c r="AU442" s="2">
        <v>46180</v>
      </c>
    </row>
    <row r="443" spans="1:47" x14ac:dyDescent="0.25">
      <c r="A443" s="10" t="s">
        <v>1761</v>
      </c>
      <c r="B443" s="11" t="s">
        <v>1858</v>
      </c>
      <c r="C443" s="11">
        <v>0</v>
      </c>
      <c r="D443" s="11" t="s">
        <v>108</v>
      </c>
      <c r="E443" s="11"/>
      <c r="F443" s="11"/>
      <c r="G443" s="11" t="s">
        <v>52</v>
      </c>
      <c r="H443" s="11">
        <v>20</v>
      </c>
      <c r="I443" s="11" t="s">
        <v>1955</v>
      </c>
      <c r="J443" s="11" t="s">
        <v>42</v>
      </c>
      <c r="K443" s="11">
        <f>Table1[[#This Row],[ENR]]-Table1[[#This Row],[CREDIT]]</f>
        <v>-14219.779999999999</v>
      </c>
      <c r="L443" s="43">
        <v>90000</v>
      </c>
      <c r="M443" s="30">
        <v>75780.22</v>
      </c>
      <c r="N443" s="44" t="s">
        <v>43</v>
      </c>
      <c r="O443" s="29">
        <v>75780.22</v>
      </c>
      <c r="P443" s="29">
        <v>70693.91</v>
      </c>
      <c r="Q443" s="29">
        <v>11050</v>
      </c>
      <c r="R443" s="29">
        <v>5559</v>
      </c>
      <c r="S443" s="11" t="s">
        <v>58</v>
      </c>
      <c r="T443" s="11" t="s">
        <v>14</v>
      </c>
      <c r="U443" s="29">
        <v>5600</v>
      </c>
      <c r="V443" s="29">
        <f>Table1[[#This Row],[STAB]]-Table1[[#This Row],[AMOUNT]]</f>
        <v>-41</v>
      </c>
      <c r="W443" s="11" t="s">
        <v>3206</v>
      </c>
      <c r="X443" s="11" t="s">
        <v>451</v>
      </c>
      <c r="Y443" s="11" t="s">
        <v>760</v>
      </c>
      <c r="Z443" s="11" t="s">
        <v>88</v>
      </c>
      <c r="AA443" s="11" t="s">
        <v>86</v>
      </c>
      <c r="AB443" s="11" t="s">
        <v>3139</v>
      </c>
      <c r="AC443" s="11" t="s">
        <v>2052</v>
      </c>
      <c r="AD443" s="11" t="s">
        <v>2141</v>
      </c>
      <c r="AE443" s="11" t="s">
        <v>423</v>
      </c>
      <c r="AF443" s="11" t="s">
        <v>54</v>
      </c>
      <c r="AG443" s="11" t="s">
        <v>60</v>
      </c>
      <c r="AH443" s="11" t="s">
        <v>193</v>
      </c>
      <c r="AI443" s="11">
        <v>802824019</v>
      </c>
      <c r="AJ443" s="11" t="s">
        <v>189</v>
      </c>
      <c r="AK443" s="11"/>
      <c r="AL443" s="11"/>
      <c r="AM443" s="12" t="s">
        <v>64</v>
      </c>
      <c r="AN443" s="11"/>
      <c r="AO443" s="11"/>
      <c r="AP443" s="11"/>
      <c r="AQ443" s="3">
        <v>45483</v>
      </c>
      <c r="AR443" s="11">
        <v>76451.53</v>
      </c>
      <c r="AS443" s="11" t="s">
        <v>1493</v>
      </c>
      <c r="AT443" s="11" t="s">
        <v>2152</v>
      </c>
      <c r="AU443" s="2">
        <v>46180</v>
      </c>
    </row>
    <row r="444" spans="1:47" x14ac:dyDescent="0.25">
      <c r="A444" s="10" t="s">
        <v>2489</v>
      </c>
      <c r="B444" s="11" t="s">
        <v>2619</v>
      </c>
      <c r="C444" s="11">
        <v>0</v>
      </c>
      <c r="D444" s="11" t="s">
        <v>108</v>
      </c>
      <c r="E444" s="11"/>
      <c r="F444" s="11"/>
      <c r="G444" s="11" t="s">
        <v>52</v>
      </c>
      <c r="H444" s="11">
        <v>20</v>
      </c>
      <c r="I444" s="11" t="s">
        <v>2747</v>
      </c>
      <c r="J444" s="11" t="s">
        <v>42</v>
      </c>
      <c r="K444" s="11">
        <f>Table1[[#This Row],[ENR]]-Table1[[#This Row],[CREDIT]]</f>
        <v>-44330.09</v>
      </c>
      <c r="L444" s="43">
        <v>120000</v>
      </c>
      <c r="M444" s="30">
        <v>75669.91</v>
      </c>
      <c r="N444" s="44" t="s">
        <v>43</v>
      </c>
      <c r="O444" s="29">
        <v>75669.91</v>
      </c>
      <c r="P444" s="29">
        <v>68356.27</v>
      </c>
      <c r="Q444" s="29">
        <v>13950</v>
      </c>
      <c r="R444" s="29">
        <v>3380</v>
      </c>
      <c r="S444" s="11" t="s">
        <v>58</v>
      </c>
      <c r="T444" s="11" t="s">
        <v>13</v>
      </c>
      <c r="U444" s="11">
        <v>75669.91</v>
      </c>
      <c r="V444" s="29">
        <f>Table1[[#This Row],[STAB]]-Table1[[#This Row],[AMOUNT]]</f>
        <v>-72289.91</v>
      </c>
      <c r="W444" s="11" t="s">
        <v>3473</v>
      </c>
      <c r="X444" s="11" t="s">
        <v>451</v>
      </c>
      <c r="Y444" s="11" t="s">
        <v>760</v>
      </c>
      <c r="Z444" s="11" t="s">
        <v>88</v>
      </c>
      <c r="AA444" s="11" t="s">
        <v>86</v>
      </c>
      <c r="AB444" s="11" t="s">
        <v>3139</v>
      </c>
      <c r="AC444" s="11" t="s">
        <v>2875</v>
      </c>
      <c r="AD444" s="11" t="s">
        <v>3004</v>
      </c>
      <c r="AE444" s="11" t="s">
        <v>423</v>
      </c>
      <c r="AF444" s="11" t="s">
        <v>54</v>
      </c>
      <c r="AG444" s="11" t="s">
        <v>60</v>
      </c>
      <c r="AH444" s="11" t="s">
        <v>193</v>
      </c>
      <c r="AI444" s="11">
        <v>802824019</v>
      </c>
      <c r="AJ444" s="11" t="s">
        <v>189</v>
      </c>
      <c r="AK444" s="11"/>
      <c r="AL444" s="11"/>
      <c r="AM444" s="12" t="s">
        <v>64</v>
      </c>
      <c r="AN444" s="11" t="s">
        <v>221</v>
      </c>
      <c r="AO444" s="11" t="s">
        <v>3251</v>
      </c>
      <c r="AP444" s="11" t="s">
        <v>3238</v>
      </c>
      <c r="AQ444" s="3">
        <v>46017</v>
      </c>
      <c r="AR444" s="11">
        <v>49000</v>
      </c>
      <c r="AS444" s="11" t="s">
        <v>1493</v>
      </c>
      <c r="AT444" s="11" t="s">
        <v>3118</v>
      </c>
      <c r="AU444" s="2">
        <v>46180</v>
      </c>
    </row>
    <row r="445" spans="1:47" x14ac:dyDescent="0.25">
      <c r="A445" s="10" t="s">
        <v>2500</v>
      </c>
      <c r="B445" s="11" t="s">
        <v>2630</v>
      </c>
      <c r="C445" s="11">
        <v>0</v>
      </c>
      <c r="D445" s="11" t="s">
        <v>108</v>
      </c>
      <c r="E445" s="11"/>
      <c r="F445" s="11"/>
      <c r="G445" s="11" t="s">
        <v>52</v>
      </c>
      <c r="H445" s="11">
        <v>20</v>
      </c>
      <c r="I445" s="11" t="s">
        <v>2758</v>
      </c>
      <c r="J445" s="11" t="s">
        <v>42</v>
      </c>
      <c r="K445" s="11">
        <f>Table1[[#This Row],[ENR]]-Table1[[#This Row],[CREDIT]]</f>
        <v>3458.0599999999977</v>
      </c>
      <c r="L445" s="43">
        <v>70000</v>
      </c>
      <c r="M445" s="30">
        <v>73458.06</v>
      </c>
      <c r="N445" s="44" t="s">
        <v>43</v>
      </c>
      <c r="O445" s="29">
        <v>73458.06</v>
      </c>
      <c r="P445" s="29">
        <v>63354.01</v>
      </c>
      <c r="Q445" s="29">
        <v>16900</v>
      </c>
      <c r="R445" s="29">
        <v>6612.92</v>
      </c>
      <c r="S445" s="11" t="s">
        <v>58</v>
      </c>
      <c r="T445" s="11" t="s">
        <v>13</v>
      </c>
      <c r="U445" s="11">
        <v>16900</v>
      </c>
      <c r="V445" s="29">
        <f>Table1[[#This Row],[STAB]]-Table1[[#This Row],[AMOUNT]]</f>
        <v>-10287.08</v>
      </c>
      <c r="W445" s="11" t="s">
        <v>3206</v>
      </c>
      <c r="X445" s="11" t="s">
        <v>444</v>
      </c>
      <c r="Y445" s="11" t="s">
        <v>760</v>
      </c>
      <c r="Z445" s="11" t="s">
        <v>88</v>
      </c>
      <c r="AA445" s="11" t="s">
        <v>91</v>
      </c>
      <c r="AB445" s="11" t="s">
        <v>3139</v>
      </c>
      <c r="AC445" s="11" t="s">
        <v>2886</v>
      </c>
      <c r="AD445" s="11" t="s">
        <v>3015</v>
      </c>
      <c r="AE445" s="11" t="s">
        <v>425</v>
      </c>
      <c r="AF445" s="11" t="s">
        <v>53</v>
      </c>
      <c r="AG445" s="11" t="s">
        <v>117</v>
      </c>
      <c r="AH445" s="11" t="s">
        <v>466</v>
      </c>
      <c r="AI445" s="11">
        <v>802388289</v>
      </c>
      <c r="AJ445" s="11" t="s">
        <v>190</v>
      </c>
      <c r="AK445" s="11"/>
      <c r="AL445" s="11"/>
      <c r="AM445" s="12" t="s">
        <v>64</v>
      </c>
      <c r="AN445" s="11"/>
      <c r="AO445" s="11"/>
      <c r="AP445" s="11"/>
      <c r="AQ445" s="3">
        <v>45481</v>
      </c>
      <c r="AR445" s="11">
        <v>6341</v>
      </c>
      <c r="AS445" s="11" t="s">
        <v>48</v>
      </c>
      <c r="AT445" s="11" t="s">
        <v>3118</v>
      </c>
      <c r="AU445" s="2">
        <v>46180</v>
      </c>
    </row>
    <row r="446" spans="1:47" x14ac:dyDescent="0.25">
      <c r="A446" s="10" t="s">
        <v>1760</v>
      </c>
      <c r="B446" s="11" t="s">
        <v>1857</v>
      </c>
      <c r="C446" s="11">
        <v>0</v>
      </c>
      <c r="D446" s="11" t="s">
        <v>108</v>
      </c>
      <c r="E446" s="11"/>
      <c r="F446" s="11" t="s">
        <v>440</v>
      </c>
      <c r="G446" s="11" t="s">
        <v>52</v>
      </c>
      <c r="H446" s="11">
        <v>20</v>
      </c>
      <c r="I446" s="11" t="s">
        <v>1954</v>
      </c>
      <c r="J446" s="11" t="s">
        <v>42</v>
      </c>
      <c r="K446" s="11">
        <f>Table1[[#This Row],[ENR]]-Table1[[#This Row],[CREDIT]]</f>
        <v>1829.4499999999971</v>
      </c>
      <c r="L446" s="43">
        <v>70000</v>
      </c>
      <c r="M446" s="30">
        <v>71829.45</v>
      </c>
      <c r="N446" s="44" t="s">
        <v>43</v>
      </c>
      <c r="O446" s="29">
        <v>71829.45</v>
      </c>
      <c r="P446" s="29">
        <v>65000</v>
      </c>
      <c r="Q446" s="29">
        <v>14910</v>
      </c>
      <c r="R446" s="29">
        <v>3250</v>
      </c>
      <c r="S446" s="11" t="s">
        <v>44</v>
      </c>
      <c r="T446" s="11" t="s">
        <v>45</v>
      </c>
      <c r="U446" s="11">
        <v>0</v>
      </c>
      <c r="V446" s="29">
        <f>Table1[[#This Row],[STAB]]-Table1[[#This Row],[AMOUNT]]</f>
        <v>3250</v>
      </c>
      <c r="W446" s="11">
        <v>0</v>
      </c>
      <c r="X446" s="11" t="s">
        <v>83</v>
      </c>
      <c r="Y446" s="11">
        <v>0</v>
      </c>
      <c r="Z446" s="11" t="s">
        <v>88</v>
      </c>
      <c r="AA446" s="11" t="s">
        <v>91</v>
      </c>
      <c r="AB446" s="11" t="s">
        <v>3139</v>
      </c>
      <c r="AC446" s="11" t="s">
        <v>2051</v>
      </c>
      <c r="AD446" s="11" t="s">
        <v>2140</v>
      </c>
      <c r="AE446" s="11" t="s">
        <v>125</v>
      </c>
      <c r="AF446" s="11" t="s">
        <v>127</v>
      </c>
      <c r="AG446" s="11" t="s">
        <v>128</v>
      </c>
      <c r="AH446" s="11" t="s">
        <v>462</v>
      </c>
      <c r="AI446" s="11">
        <v>801448854</v>
      </c>
      <c r="AJ446" s="11" t="s">
        <v>191</v>
      </c>
      <c r="AK446" s="11"/>
      <c r="AL446" s="11"/>
      <c r="AM446" s="12" t="s">
        <v>64</v>
      </c>
      <c r="AN446" s="11" t="s">
        <v>115</v>
      </c>
      <c r="AO446" s="11" t="s">
        <v>3201</v>
      </c>
      <c r="AP446" s="11" t="s">
        <v>3191</v>
      </c>
      <c r="AQ446" s="3">
        <v>46107</v>
      </c>
      <c r="AR446" s="11">
        <v>48149</v>
      </c>
      <c r="AS446" s="11" t="s">
        <v>47</v>
      </c>
      <c r="AT446" s="11" t="s">
        <v>2152</v>
      </c>
      <c r="AU446" s="2">
        <v>46180</v>
      </c>
    </row>
    <row r="447" spans="1:47" x14ac:dyDescent="0.25">
      <c r="A447" s="10" t="s">
        <v>2505</v>
      </c>
      <c r="B447" s="11" t="s">
        <v>2635</v>
      </c>
      <c r="C447" s="11">
        <v>0</v>
      </c>
      <c r="D447" s="11" t="s">
        <v>108</v>
      </c>
      <c r="E447" s="11"/>
      <c r="F447" s="11"/>
      <c r="G447" s="11" t="s">
        <v>52</v>
      </c>
      <c r="H447" s="11">
        <v>20</v>
      </c>
      <c r="I447" s="11" t="s">
        <v>2763</v>
      </c>
      <c r="J447" s="11" t="s">
        <v>42</v>
      </c>
      <c r="K447" s="11">
        <f>Table1[[#This Row],[ENR]]-Table1[[#This Row],[CREDIT]]</f>
        <v>-509.30000000000291</v>
      </c>
      <c r="L447" s="43">
        <v>70000</v>
      </c>
      <c r="M447" s="30">
        <v>69490.7</v>
      </c>
      <c r="N447" s="44" t="s">
        <v>43</v>
      </c>
      <c r="O447" s="29">
        <v>69490.7</v>
      </c>
      <c r="P447" s="29">
        <v>64828.2</v>
      </c>
      <c r="Q447" s="29">
        <v>8430</v>
      </c>
      <c r="R447" s="29">
        <v>3199.19</v>
      </c>
      <c r="S447" s="11" t="s">
        <v>44</v>
      </c>
      <c r="T447" s="11" t="s">
        <v>45</v>
      </c>
      <c r="U447" s="11">
        <v>0</v>
      </c>
      <c r="V447" s="29">
        <f>Table1[[#This Row],[STAB]]-Table1[[#This Row],[AMOUNT]]</f>
        <v>3199.19</v>
      </c>
      <c r="W447" s="11">
        <v>0</v>
      </c>
      <c r="X447" s="11" t="s">
        <v>83</v>
      </c>
      <c r="Y447" s="11">
        <v>0</v>
      </c>
      <c r="Z447" s="11" t="s">
        <v>88</v>
      </c>
      <c r="AA447" s="11" t="s">
        <v>91</v>
      </c>
      <c r="AB447" s="11" t="s">
        <v>3139</v>
      </c>
      <c r="AC447" s="11" t="s">
        <v>2891</v>
      </c>
      <c r="AD447" s="11" t="s">
        <v>1026</v>
      </c>
      <c r="AE447" s="11" t="s">
        <v>218</v>
      </c>
      <c r="AF447" s="11" t="s">
        <v>84</v>
      </c>
      <c r="AG447" s="11" t="s">
        <v>97</v>
      </c>
      <c r="AH447" s="11" t="s">
        <v>88</v>
      </c>
      <c r="AI447" s="11">
        <v>801723195</v>
      </c>
      <c r="AJ447" s="11" t="s">
        <v>191</v>
      </c>
      <c r="AK447" s="11"/>
      <c r="AL447" s="11"/>
      <c r="AM447" s="12" t="s">
        <v>64</v>
      </c>
      <c r="AN447" s="11" t="s">
        <v>219</v>
      </c>
      <c r="AO447" s="11" t="s">
        <v>3153</v>
      </c>
      <c r="AP447" s="11" t="s">
        <v>3129</v>
      </c>
      <c r="AQ447" s="3">
        <v>46160</v>
      </c>
      <c r="AR447" s="11">
        <v>10000.81</v>
      </c>
      <c r="AS447" s="11" t="s">
        <v>435</v>
      </c>
      <c r="AT447" s="11" t="s">
        <v>3118</v>
      </c>
      <c r="AU447" s="2">
        <v>46180</v>
      </c>
    </row>
    <row r="448" spans="1:47" x14ac:dyDescent="0.25">
      <c r="A448" s="10" t="s">
        <v>2529</v>
      </c>
      <c r="B448" s="11" t="s">
        <v>1854</v>
      </c>
      <c r="C448" s="11">
        <v>0</v>
      </c>
      <c r="D448" s="11" t="s">
        <v>108</v>
      </c>
      <c r="E448" s="11"/>
      <c r="F448" s="11" t="s">
        <v>440</v>
      </c>
      <c r="G448" s="11" t="s">
        <v>52</v>
      </c>
      <c r="H448" s="11">
        <v>20</v>
      </c>
      <c r="I448" s="11" t="s">
        <v>1951</v>
      </c>
      <c r="J448" s="11" t="s">
        <v>42</v>
      </c>
      <c r="K448" s="11">
        <f>Table1[[#This Row],[ENR]]-Table1[[#This Row],[CREDIT]]</f>
        <v>-2668.4700000000012</v>
      </c>
      <c r="L448" s="43">
        <v>72000</v>
      </c>
      <c r="M448" s="30">
        <v>69331.53</v>
      </c>
      <c r="N448" s="44" t="s">
        <v>43</v>
      </c>
      <c r="O448" s="29">
        <v>69331.53</v>
      </c>
      <c r="P448" s="29">
        <v>62539.12</v>
      </c>
      <c r="Q448" s="29">
        <v>12900</v>
      </c>
      <c r="R448" s="29">
        <v>3130</v>
      </c>
      <c r="S448" s="11" t="s">
        <v>44</v>
      </c>
      <c r="T448" s="11" t="s">
        <v>45</v>
      </c>
      <c r="U448" s="11">
        <v>0</v>
      </c>
      <c r="V448" s="29">
        <f>Table1[[#This Row],[STAB]]-Table1[[#This Row],[AMOUNT]]</f>
        <v>3130</v>
      </c>
      <c r="W448" s="11">
        <v>0</v>
      </c>
      <c r="X448" s="11" t="s">
        <v>83</v>
      </c>
      <c r="Y448" s="11">
        <v>0</v>
      </c>
      <c r="Z448" s="12" t="s">
        <v>88</v>
      </c>
      <c r="AA448" s="12" t="s">
        <v>86</v>
      </c>
      <c r="AB448" s="11" t="s">
        <v>3139</v>
      </c>
      <c r="AC448" s="11" t="s">
        <v>2048</v>
      </c>
      <c r="AD448" s="11" t="s">
        <v>2137</v>
      </c>
      <c r="AE448" s="11" t="s">
        <v>104</v>
      </c>
      <c r="AF448" s="11" t="s">
        <v>54</v>
      </c>
      <c r="AG448" s="11" t="s">
        <v>109</v>
      </c>
      <c r="AH448" s="11" t="s">
        <v>196</v>
      </c>
      <c r="AI448" s="11">
        <v>802555024</v>
      </c>
      <c r="AJ448" s="11" t="s">
        <v>99</v>
      </c>
      <c r="AK448" s="11"/>
      <c r="AL448" s="11"/>
      <c r="AM448" s="12" t="s">
        <v>64</v>
      </c>
      <c r="AN448" s="11" t="s">
        <v>115</v>
      </c>
      <c r="AO448" s="11" t="s">
        <v>3152</v>
      </c>
      <c r="AP448" s="11" t="s">
        <v>3129</v>
      </c>
      <c r="AQ448" s="3">
        <v>45538</v>
      </c>
      <c r="AR448" s="11">
        <v>50000</v>
      </c>
      <c r="AS448" s="11" t="s">
        <v>48</v>
      </c>
      <c r="AT448" s="11" t="s">
        <v>3118</v>
      </c>
      <c r="AU448" s="2">
        <v>46180</v>
      </c>
    </row>
    <row r="449" spans="1:47" x14ac:dyDescent="0.25">
      <c r="A449" s="10" t="s">
        <v>2498</v>
      </c>
      <c r="B449" s="11" t="s">
        <v>2628</v>
      </c>
      <c r="C449" s="11">
        <v>0</v>
      </c>
      <c r="D449" s="11" t="s">
        <v>108</v>
      </c>
      <c r="E449" s="11"/>
      <c r="F449" s="11"/>
      <c r="G449" s="11" t="s">
        <v>52</v>
      </c>
      <c r="H449" s="11">
        <v>20</v>
      </c>
      <c r="I449" s="11" t="s">
        <v>2756</v>
      </c>
      <c r="J449" s="11" t="s">
        <v>42</v>
      </c>
      <c r="K449" s="11">
        <f>Table1[[#This Row],[ENR]]-Table1[[#This Row],[CREDIT]]</f>
        <v>7478.929999999993</v>
      </c>
      <c r="L449" s="43">
        <v>60000</v>
      </c>
      <c r="M449" s="30">
        <v>67478.929999999993</v>
      </c>
      <c r="N449" s="44" t="s">
        <v>43</v>
      </c>
      <c r="O449" s="29">
        <v>67478.929999999993</v>
      </c>
      <c r="P449" s="29">
        <v>59910.9</v>
      </c>
      <c r="Q449" s="29">
        <v>22930</v>
      </c>
      <c r="R449" s="29">
        <v>14930</v>
      </c>
      <c r="S449" s="11" t="s">
        <v>58</v>
      </c>
      <c r="T449" s="11" t="s">
        <v>14</v>
      </c>
      <c r="U449" s="29">
        <v>15000</v>
      </c>
      <c r="V449" s="29">
        <f>Table1[[#This Row],[STAB]]-Table1[[#This Row],[AMOUNT]]</f>
        <v>-70</v>
      </c>
      <c r="W449" s="11">
        <v>0</v>
      </c>
      <c r="X449" s="11" t="s">
        <v>761</v>
      </c>
      <c r="Y449" s="11" t="s">
        <v>760</v>
      </c>
      <c r="Z449" s="12" t="s">
        <v>88</v>
      </c>
      <c r="AA449" s="12" t="s">
        <v>86</v>
      </c>
      <c r="AB449" s="11" t="s">
        <v>3139</v>
      </c>
      <c r="AC449" s="11" t="s">
        <v>2884</v>
      </c>
      <c r="AD449" s="11" t="s">
        <v>3013</v>
      </c>
      <c r="AE449" s="11" t="s">
        <v>92</v>
      </c>
      <c r="AF449" s="11" t="s">
        <v>54</v>
      </c>
      <c r="AG449" s="11" t="s">
        <v>149</v>
      </c>
      <c r="AH449" s="11" t="s">
        <v>624</v>
      </c>
      <c r="AI449" s="11">
        <v>801174030</v>
      </c>
      <c r="AJ449" s="11" t="s">
        <v>458</v>
      </c>
      <c r="AK449" s="11"/>
      <c r="AL449" s="11"/>
      <c r="AM449" s="12" t="s">
        <v>64</v>
      </c>
      <c r="AN449" s="11"/>
      <c r="AO449" s="11"/>
      <c r="AP449" s="11"/>
      <c r="AQ449" s="3">
        <v>45777</v>
      </c>
      <c r="AR449" s="11">
        <v>10000</v>
      </c>
      <c r="AS449" s="11" t="s">
        <v>1493</v>
      </c>
      <c r="AT449" s="11" t="s">
        <v>3118</v>
      </c>
      <c r="AU449" s="2">
        <v>46180</v>
      </c>
    </row>
    <row r="450" spans="1:47" x14ac:dyDescent="0.25">
      <c r="A450" s="10" t="s">
        <v>2483</v>
      </c>
      <c r="B450" s="11" t="s">
        <v>2613</v>
      </c>
      <c r="C450" s="11">
        <v>0</v>
      </c>
      <c r="D450" s="11" t="s">
        <v>108</v>
      </c>
      <c r="E450" s="11"/>
      <c r="F450" s="11"/>
      <c r="G450" s="11" t="s">
        <v>52</v>
      </c>
      <c r="H450" s="11">
        <v>20</v>
      </c>
      <c r="I450" s="11" t="s">
        <v>2741</v>
      </c>
      <c r="J450" s="11" t="s">
        <v>42</v>
      </c>
      <c r="K450" s="11">
        <f>Table1[[#This Row],[ENR]]-Table1[[#This Row],[CREDIT]]</f>
        <v>6508.5399999999936</v>
      </c>
      <c r="L450" s="43">
        <v>60000</v>
      </c>
      <c r="M450" s="30">
        <v>66508.539999999994</v>
      </c>
      <c r="N450" s="44">
        <v>23537.119999999999</v>
      </c>
      <c r="O450" s="29">
        <v>42971.42</v>
      </c>
      <c r="P450" s="29">
        <v>36280.769999999997</v>
      </c>
      <c r="Q450" s="29">
        <v>11790</v>
      </c>
      <c r="R450" s="29">
        <v>5170</v>
      </c>
      <c r="S450" s="11" t="s">
        <v>44</v>
      </c>
      <c r="T450" s="11" t="s">
        <v>45</v>
      </c>
      <c r="U450" s="11">
        <v>0</v>
      </c>
      <c r="V450" s="29">
        <f>Table1[[#This Row],[STAB]]-Table1[[#This Row],[AMOUNT]]</f>
        <v>5170</v>
      </c>
      <c r="W450" s="11">
        <v>0</v>
      </c>
      <c r="X450" s="11" t="s">
        <v>83</v>
      </c>
      <c r="Y450" s="11">
        <v>0</v>
      </c>
      <c r="Z450" s="11" t="s">
        <v>88</v>
      </c>
      <c r="AA450" s="11" t="s">
        <v>91</v>
      </c>
      <c r="AB450" s="11" t="s">
        <v>3139</v>
      </c>
      <c r="AC450" s="11" t="s">
        <v>2869</v>
      </c>
      <c r="AD450" s="11" t="s">
        <v>2998</v>
      </c>
      <c r="AE450" s="11" t="s">
        <v>124</v>
      </c>
      <c r="AF450" s="11" t="s">
        <v>127</v>
      </c>
      <c r="AG450" s="11" t="s">
        <v>57</v>
      </c>
      <c r="AH450" s="11" t="s">
        <v>464</v>
      </c>
      <c r="AI450" s="11">
        <v>802852449</v>
      </c>
      <c r="AJ450" s="11" t="s">
        <v>190</v>
      </c>
      <c r="AK450" s="11"/>
      <c r="AL450" s="11"/>
      <c r="AM450" s="12" t="s">
        <v>64</v>
      </c>
      <c r="AN450" s="11" t="s">
        <v>219</v>
      </c>
      <c r="AO450" s="11" t="s">
        <v>3163</v>
      </c>
      <c r="AP450" s="11" t="s">
        <v>3129</v>
      </c>
      <c r="AQ450" s="3">
        <v>46112</v>
      </c>
      <c r="AR450" s="11">
        <v>19060</v>
      </c>
      <c r="AS450" s="11" t="s">
        <v>1493</v>
      </c>
      <c r="AT450" s="11" t="s">
        <v>3118</v>
      </c>
      <c r="AU450" s="2">
        <v>46180</v>
      </c>
    </row>
    <row r="451" spans="1:47" x14ac:dyDescent="0.25">
      <c r="A451" s="10" t="s">
        <v>2517</v>
      </c>
      <c r="B451" s="11" t="s">
        <v>2646</v>
      </c>
      <c r="C451" s="11">
        <v>0</v>
      </c>
      <c r="D451" s="11" t="s">
        <v>108</v>
      </c>
      <c r="E451" s="11"/>
      <c r="F451" s="11"/>
      <c r="G451" s="11" t="s">
        <v>52</v>
      </c>
      <c r="H451" s="11">
        <v>20</v>
      </c>
      <c r="I451" s="11" t="s">
        <v>2774</v>
      </c>
      <c r="J451" s="11" t="s">
        <v>42</v>
      </c>
      <c r="K451" s="11">
        <f>Table1[[#This Row],[ENR]]-Table1[[#This Row],[CREDIT]]</f>
        <v>-35895.519999999997</v>
      </c>
      <c r="L451" s="43">
        <v>100000</v>
      </c>
      <c r="M451" s="30">
        <v>64104.480000000003</v>
      </c>
      <c r="N451" s="44">
        <v>3733.42</v>
      </c>
      <c r="O451" s="29">
        <v>60371.06</v>
      </c>
      <c r="P451" s="29">
        <v>53512.14</v>
      </c>
      <c r="Q451" s="29">
        <v>11200</v>
      </c>
      <c r="R451" s="29">
        <v>5260</v>
      </c>
      <c r="S451" s="11" t="s">
        <v>44</v>
      </c>
      <c r="T451" s="11" t="s">
        <v>45</v>
      </c>
      <c r="U451" s="11">
        <v>0</v>
      </c>
      <c r="V451" s="29">
        <f>Table1[[#This Row],[STAB]]-Table1[[#This Row],[AMOUNT]]</f>
        <v>5260</v>
      </c>
      <c r="W451" s="11">
        <v>0</v>
      </c>
      <c r="X451" s="11" t="s">
        <v>83</v>
      </c>
      <c r="Y451" s="11">
        <v>0</v>
      </c>
      <c r="Z451" s="12" t="s">
        <v>88</v>
      </c>
      <c r="AA451" s="12" t="s">
        <v>91</v>
      </c>
      <c r="AB451" s="11" t="s">
        <v>3139</v>
      </c>
      <c r="AC451" s="11" t="s">
        <v>2903</v>
      </c>
      <c r="AD451" s="11" t="s">
        <v>3031</v>
      </c>
      <c r="AE451" s="11" t="s">
        <v>218</v>
      </c>
      <c r="AF451" s="11" t="s">
        <v>84</v>
      </c>
      <c r="AG451" s="11" t="s">
        <v>97</v>
      </c>
      <c r="AH451" s="11" t="s">
        <v>88</v>
      </c>
      <c r="AI451" s="11">
        <v>801723195</v>
      </c>
      <c r="AJ451" s="11" t="s">
        <v>191</v>
      </c>
      <c r="AK451" s="11"/>
      <c r="AL451" s="11"/>
      <c r="AM451" s="12" t="s">
        <v>64</v>
      </c>
      <c r="AN451" s="11" t="s">
        <v>219</v>
      </c>
      <c r="AO451" s="11" t="s">
        <v>3241</v>
      </c>
      <c r="AP451" s="11" t="s">
        <v>3238</v>
      </c>
      <c r="AQ451" s="3">
        <v>45889</v>
      </c>
      <c r="AR451" s="11">
        <v>49990</v>
      </c>
      <c r="AS451" s="11" t="s">
        <v>436</v>
      </c>
      <c r="AT451" s="11" t="s">
        <v>3118</v>
      </c>
      <c r="AU451" s="2">
        <v>46180</v>
      </c>
    </row>
    <row r="452" spans="1:47" x14ac:dyDescent="0.25">
      <c r="A452" s="10" t="s">
        <v>2521</v>
      </c>
      <c r="B452" s="11" t="s">
        <v>2650</v>
      </c>
      <c r="C452" s="11">
        <v>0</v>
      </c>
      <c r="D452" s="11" t="s">
        <v>108</v>
      </c>
      <c r="E452" s="11"/>
      <c r="F452" s="11"/>
      <c r="G452" s="11" t="s">
        <v>52</v>
      </c>
      <c r="H452" s="11">
        <v>20</v>
      </c>
      <c r="I452" s="11" t="s">
        <v>2778</v>
      </c>
      <c r="J452" s="11" t="s">
        <v>42</v>
      </c>
      <c r="K452" s="11">
        <f>Table1[[#This Row],[ENR]]-Table1[[#This Row],[CREDIT]]</f>
        <v>1926.4100000000035</v>
      </c>
      <c r="L452" s="43">
        <v>60000</v>
      </c>
      <c r="M452" s="30">
        <v>61926.41</v>
      </c>
      <c r="N452" s="44">
        <v>12657.27</v>
      </c>
      <c r="O452" s="29">
        <v>49269.14</v>
      </c>
      <c r="P452" s="29">
        <v>44790.87</v>
      </c>
      <c r="Q452" s="29">
        <v>31040</v>
      </c>
      <c r="R452" s="29">
        <v>15420</v>
      </c>
      <c r="S452" s="11" t="s">
        <v>44</v>
      </c>
      <c r="T452" s="11" t="s">
        <v>45</v>
      </c>
      <c r="U452" s="11">
        <v>0</v>
      </c>
      <c r="V452" s="29">
        <f>Table1[[#This Row],[STAB]]-Table1[[#This Row],[AMOUNT]]</f>
        <v>15420</v>
      </c>
      <c r="W452" s="11">
        <v>0</v>
      </c>
      <c r="X452" s="11" t="s">
        <v>83</v>
      </c>
      <c r="Y452" s="11" t="s">
        <v>759</v>
      </c>
      <c r="Z452" s="11" t="s">
        <v>88</v>
      </c>
      <c r="AA452" s="11" t="s">
        <v>91</v>
      </c>
      <c r="AB452" s="11" t="s">
        <v>3139</v>
      </c>
      <c r="AC452" s="11" t="s">
        <v>2907</v>
      </c>
      <c r="AD452" s="11" t="s">
        <v>3035</v>
      </c>
      <c r="AE452" s="11" t="s">
        <v>605</v>
      </c>
      <c r="AF452" s="11" t="s">
        <v>127</v>
      </c>
      <c r="AG452" s="11" t="s">
        <v>94</v>
      </c>
      <c r="AH452" s="11" t="s">
        <v>628</v>
      </c>
      <c r="AI452" s="11">
        <v>802631601</v>
      </c>
      <c r="AJ452" s="11" t="s">
        <v>99</v>
      </c>
      <c r="AK452" s="11"/>
      <c r="AL452" s="11"/>
      <c r="AM452" s="12" t="s">
        <v>46</v>
      </c>
      <c r="AN452" s="11"/>
      <c r="AO452" s="11"/>
      <c r="AP452" s="11"/>
      <c r="AQ452" s="3">
        <v>46126</v>
      </c>
      <c r="AR452" s="11">
        <v>9900</v>
      </c>
      <c r="AS452" s="11" t="s">
        <v>437</v>
      </c>
      <c r="AT452" s="11" t="s">
        <v>3118</v>
      </c>
      <c r="AU452" s="2">
        <v>46180</v>
      </c>
    </row>
    <row r="453" spans="1:47" x14ac:dyDescent="0.25">
      <c r="A453" s="10" t="s">
        <v>2499</v>
      </c>
      <c r="B453" s="11" t="s">
        <v>2629</v>
      </c>
      <c r="C453" s="11">
        <v>0</v>
      </c>
      <c r="D453" s="11" t="s">
        <v>108</v>
      </c>
      <c r="E453" s="11"/>
      <c r="F453" s="11"/>
      <c r="G453" s="11" t="s">
        <v>52</v>
      </c>
      <c r="H453" s="11">
        <v>20</v>
      </c>
      <c r="I453" s="11" t="s">
        <v>2757</v>
      </c>
      <c r="J453" s="11" t="s">
        <v>42</v>
      </c>
      <c r="K453" s="11">
        <f>Table1[[#This Row],[ENR]]-Table1[[#This Row],[CREDIT]]</f>
        <v>6150.4700000000012</v>
      </c>
      <c r="L453" s="43">
        <v>50000</v>
      </c>
      <c r="M453" s="30">
        <v>56150.47</v>
      </c>
      <c r="N453" s="44" t="s">
        <v>43</v>
      </c>
      <c r="O453" s="29">
        <v>56150.47</v>
      </c>
      <c r="P453" s="29">
        <v>50488.31</v>
      </c>
      <c r="Q453" s="29">
        <v>15280</v>
      </c>
      <c r="R453" s="29">
        <v>5550</v>
      </c>
      <c r="S453" s="11" t="s">
        <v>58</v>
      </c>
      <c r="T453" s="11" t="s">
        <v>13</v>
      </c>
      <c r="U453" s="11">
        <v>40323</v>
      </c>
      <c r="V453" s="29">
        <f>Table1[[#This Row],[STAB]]-Table1[[#This Row],[AMOUNT]]</f>
        <v>-34773</v>
      </c>
      <c r="W453" s="11" t="s">
        <v>3484</v>
      </c>
      <c r="X453" s="11" t="s">
        <v>451</v>
      </c>
      <c r="Y453" s="11" t="s">
        <v>759</v>
      </c>
      <c r="Z453" s="11" t="s">
        <v>88</v>
      </c>
      <c r="AA453" s="11" t="s">
        <v>86</v>
      </c>
      <c r="AB453" s="11" t="s">
        <v>3139</v>
      </c>
      <c r="AC453" s="11" t="s">
        <v>2885</v>
      </c>
      <c r="AD453" s="11" t="s">
        <v>3014</v>
      </c>
      <c r="AE453" s="11" t="s">
        <v>423</v>
      </c>
      <c r="AF453" s="11" t="s">
        <v>54</v>
      </c>
      <c r="AG453" s="11" t="s">
        <v>60</v>
      </c>
      <c r="AH453" s="11" t="s">
        <v>193</v>
      </c>
      <c r="AI453" s="11">
        <v>802824019</v>
      </c>
      <c r="AJ453" s="11" t="s">
        <v>189</v>
      </c>
      <c r="AK453" s="11"/>
      <c r="AL453" s="11"/>
      <c r="AM453" s="12" t="s">
        <v>64</v>
      </c>
      <c r="AN453" s="11"/>
      <c r="AO453" s="11"/>
      <c r="AP453" s="11"/>
      <c r="AQ453" s="3">
        <v>45965</v>
      </c>
      <c r="AR453" s="11">
        <v>6090</v>
      </c>
      <c r="AS453" s="11" t="s">
        <v>434</v>
      </c>
      <c r="AT453" s="11" t="s">
        <v>3118</v>
      </c>
      <c r="AU453" s="2">
        <v>46180</v>
      </c>
    </row>
    <row r="454" spans="1:47" x14ac:dyDescent="0.25">
      <c r="A454" s="10" t="s">
        <v>2524</v>
      </c>
      <c r="B454" s="11" t="s">
        <v>2653</v>
      </c>
      <c r="C454" s="11">
        <v>0</v>
      </c>
      <c r="D454" s="11" t="s">
        <v>108</v>
      </c>
      <c r="E454" s="11"/>
      <c r="F454" s="11"/>
      <c r="G454" s="11" t="s">
        <v>52</v>
      </c>
      <c r="H454" s="11">
        <v>20</v>
      </c>
      <c r="I454" s="11" t="s">
        <v>2781</v>
      </c>
      <c r="J454" s="11" t="s">
        <v>42</v>
      </c>
      <c r="K454" s="11">
        <f>Table1[[#This Row],[ENR]]-Table1[[#This Row],[CREDIT]]</f>
        <v>6017.3700000000026</v>
      </c>
      <c r="L454" s="43">
        <v>50000</v>
      </c>
      <c r="M454" s="30">
        <v>56017.37</v>
      </c>
      <c r="N454" s="44" t="s">
        <v>43</v>
      </c>
      <c r="O454" s="29">
        <v>56017.37</v>
      </c>
      <c r="P454" s="29">
        <v>49999</v>
      </c>
      <c r="Q454" s="29">
        <v>14820</v>
      </c>
      <c r="R454" s="29">
        <v>5040</v>
      </c>
      <c r="S454" s="11" t="s">
        <v>58</v>
      </c>
      <c r="T454" s="11" t="s">
        <v>14</v>
      </c>
      <c r="U454" s="29">
        <v>5100</v>
      </c>
      <c r="V454" s="29">
        <f>Table1[[#This Row],[STAB]]-Table1[[#This Row],[AMOUNT]]</f>
        <v>-60</v>
      </c>
      <c r="W454" s="11">
        <v>0</v>
      </c>
      <c r="X454" s="11" t="s">
        <v>761</v>
      </c>
      <c r="Y454" s="11" t="s">
        <v>760</v>
      </c>
      <c r="Z454" s="11" t="s">
        <v>88</v>
      </c>
      <c r="AA454" s="11" t="s">
        <v>91</v>
      </c>
      <c r="AB454" s="11" t="s">
        <v>3139</v>
      </c>
      <c r="AC454" s="11" t="s">
        <v>2910</v>
      </c>
      <c r="AD454" s="11" t="s">
        <v>3038</v>
      </c>
      <c r="AE454" s="11" t="s">
        <v>125</v>
      </c>
      <c r="AF454" s="11" t="s">
        <v>127</v>
      </c>
      <c r="AG454" s="11" t="s">
        <v>56</v>
      </c>
      <c r="AH454" s="11" t="s">
        <v>462</v>
      </c>
      <c r="AI454" s="11">
        <v>801448854</v>
      </c>
      <c r="AJ454" s="11" t="s">
        <v>191</v>
      </c>
      <c r="AK454" s="11"/>
      <c r="AL454" s="11"/>
      <c r="AM454" s="12" t="s">
        <v>64</v>
      </c>
      <c r="AN454" s="11" t="s">
        <v>115</v>
      </c>
      <c r="AO454" s="11" t="s">
        <v>3173</v>
      </c>
      <c r="AP454" s="11" t="s">
        <v>3169</v>
      </c>
      <c r="AQ454" s="3">
        <v>45521</v>
      </c>
      <c r="AR454" s="11">
        <v>3000</v>
      </c>
      <c r="AS454" s="11" t="s">
        <v>435</v>
      </c>
      <c r="AT454" s="11" t="s">
        <v>3118</v>
      </c>
      <c r="AU454" s="2">
        <v>46180</v>
      </c>
    </row>
    <row r="455" spans="1:47" x14ac:dyDescent="0.25">
      <c r="A455" s="10" t="s">
        <v>2482</v>
      </c>
      <c r="B455" s="11" t="s">
        <v>2612</v>
      </c>
      <c r="C455" s="11">
        <v>0</v>
      </c>
      <c r="D455" s="11" t="s">
        <v>108</v>
      </c>
      <c r="E455" s="11"/>
      <c r="F455" s="11"/>
      <c r="G455" s="11" t="s">
        <v>52</v>
      </c>
      <c r="H455" s="11">
        <v>20</v>
      </c>
      <c r="I455" s="11" t="s">
        <v>2740</v>
      </c>
      <c r="J455" s="11" t="s">
        <v>42</v>
      </c>
      <c r="K455" s="11">
        <f>Table1[[#This Row],[ENR]]-Table1[[#This Row],[CREDIT]]</f>
        <v>5869.8000000000029</v>
      </c>
      <c r="L455" s="43">
        <v>50000</v>
      </c>
      <c r="M455" s="30">
        <v>55869.8</v>
      </c>
      <c r="N455" s="44" t="s">
        <v>43</v>
      </c>
      <c r="O455" s="29">
        <v>55869.8</v>
      </c>
      <c r="P455" s="29">
        <v>49783.8</v>
      </c>
      <c r="Q455" s="29">
        <v>14720</v>
      </c>
      <c r="R455" s="29">
        <v>4960</v>
      </c>
      <c r="S455" s="11" t="s">
        <v>58</v>
      </c>
      <c r="T455" s="11" t="s">
        <v>14</v>
      </c>
      <c r="U455" s="29">
        <v>5000</v>
      </c>
      <c r="V455" s="29">
        <f>Table1[[#This Row],[STAB]]-Table1[[#This Row],[AMOUNT]]</f>
        <v>-40</v>
      </c>
      <c r="W455" s="11" t="s">
        <v>3238</v>
      </c>
      <c r="X455" s="11" t="s">
        <v>444</v>
      </c>
      <c r="Y455" s="11" t="s">
        <v>760</v>
      </c>
      <c r="Z455" s="11" t="s">
        <v>88</v>
      </c>
      <c r="AA455" s="11" t="s">
        <v>86</v>
      </c>
      <c r="AB455" s="11" t="s">
        <v>3139</v>
      </c>
      <c r="AC455" s="11" t="s">
        <v>2868</v>
      </c>
      <c r="AD455" s="11" t="s">
        <v>2997</v>
      </c>
      <c r="AE455" s="11" t="s">
        <v>420</v>
      </c>
      <c r="AF455" s="11" t="s">
        <v>54</v>
      </c>
      <c r="AG455" s="11" t="s">
        <v>120</v>
      </c>
      <c r="AH455" s="11" t="s">
        <v>463</v>
      </c>
      <c r="AI455" s="11">
        <v>802898520</v>
      </c>
      <c r="AJ455" s="11" t="s">
        <v>190</v>
      </c>
      <c r="AK455" s="11"/>
      <c r="AL455" s="11"/>
      <c r="AM455" s="12" t="s">
        <v>64</v>
      </c>
      <c r="AN455" s="11"/>
      <c r="AO455" s="11"/>
      <c r="AP455" s="11"/>
      <c r="AQ455" s="3">
        <v>45973</v>
      </c>
      <c r="AR455" s="11">
        <v>6000</v>
      </c>
      <c r="AS455" s="11" t="s">
        <v>1493</v>
      </c>
      <c r="AT455" s="11" t="s">
        <v>3118</v>
      </c>
      <c r="AU455" s="2">
        <v>46180</v>
      </c>
    </row>
    <row r="456" spans="1:47" x14ac:dyDescent="0.25">
      <c r="A456" s="10" t="s">
        <v>2497</v>
      </c>
      <c r="B456" s="11" t="s">
        <v>2627</v>
      </c>
      <c r="C456" s="11">
        <v>0</v>
      </c>
      <c r="D456" s="11" t="s">
        <v>108</v>
      </c>
      <c r="E456" s="11"/>
      <c r="F456" s="11"/>
      <c r="G456" s="11" t="s">
        <v>52</v>
      </c>
      <c r="H456" s="11">
        <v>20</v>
      </c>
      <c r="I456" s="11" t="s">
        <v>2755</v>
      </c>
      <c r="J456" s="11" t="s">
        <v>42</v>
      </c>
      <c r="K456" s="11">
        <f>Table1[[#This Row],[ENR]]-Table1[[#This Row],[CREDIT]]</f>
        <v>5397.6699999999983</v>
      </c>
      <c r="L456" s="43">
        <v>50000</v>
      </c>
      <c r="M456" s="30">
        <v>55397.67</v>
      </c>
      <c r="N456" s="44">
        <v>2457.88</v>
      </c>
      <c r="O456" s="29">
        <v>52939.79</v>
      </c>
      <c r="P456" s="29">
        <v>47185.36</v>
      </c>
      <c r="Q456" s="29">
        <v>16000</v>
      </c>
      <c r="R456" s="29">
        <v>5260</v>
      </c>
      <c r="S456" s="11" t="s">
        <v>44</v>
      </c>
      <c r="T456" s="11" t="s">
        <v>45</v>
      </c>
      <c r="U456" s="11">
        <v>0</v>
      </c>
      <c r="V456" s="29">
        <f>Table1[[#This Row],[STAB]]-Table1[[#This Row],[AMOUNT]]</f>
        <v>5260</v>
      </c>
      <c r="W456" s="11">
        <v>0</v>
      </c>
      <c r="X456" s="11" t="s">
        <v>83</v>
      </c>
      <c r="Y456" s="11" t="s">
        <v>759</v>
      </c>
      <c r="Z456" s="11" t="s">
        <v>88</v>
      </c>
      <c r="AA456" s="11" t="s">
        <v>91</v>
      </c>
      <c r="AB456" s="11" t="s">
        <v>3139</v>
      </c>
      <c r="AC456" s="11" t="s">
        <v>2883</v>
      </c>
      <c r="AD456" s="11" t="s">
        <v>3012</v>
      </c>
      <c r="AE456" s="11" t="s">
        <v>218</v>
      </c>
      <c r="AF456" s="11" t="s">
        <v>84</v>
      </c>
      <c r="AG456" s="11" t="s">
        <v>93</v>
      </c>
      <c r="AH456" s="11" t="s">
        <v>88</v>
      </c>
      <c r="AI456" s="11">
        <v>801723195</v>
      </c>
      <c r="AJ456" s="11" t="s">
        <v>191</v>
      </c>
      <c r="AK456" s="11"/>
      <c r="AL456" s="11"/>
      <c r="AM456" s="12" t="s">
        <v>64</v>
      </c>
      <c r="AN456" s="11" t="s">
        <v>219</v>
      </c>
      <c r="AO456" s="11" t="s">
        <v>3490</v>
      </c>
      <c r="AP456" s="11" t="s">
        <v>3484</v>
      </c>
      <c r="AQ456" s="3">
        <v>46122</v>
      </c>
      <c r="AR456" s="11">
        <v>4920</v>
      </c>
      <c r="AS456" s="11" t="s">
        <v>1493</v>
      </c>
      <c r="AT456" s="11" t="s">
        <v>3118</v>
      </c>
      <c r="AU456" s="2">
        <v>46180</v>
      </c>
    </row>
    <row r="457" spans="1:47" x14ac:dyDescent="0.25">
      <c r="A457" s="10" t="s">
        <v>2526</v>
      </c>
      <c r="B457" s="11" t="s">
        <v>2655</v>
      </c>
      <c r="C457" s="11">
        <v>0</v>
      </c>
      <c r="D457" s="11" t="s">
        <v>108</v>
      </c>
      <c r="E457" s="11"/>
      <c r="F457" s="11"/>
      <c r="G457" s="11" t="s">
        <v>52</v>
      </c>
      <c r="H457" s="11">
        <v>20</v>
      </c>
      <c r="I457" s="11" t="s">
        <v>2783</v>
      </c>
      <c r="J457" s="11" t="s">
        <v>42</v>
      </c>
      <c r="K457" s="11">
        <f>Table1[[#This Row],[ENR]]-Table1[[#This Row],[CREDIT]]</f>
        <v>5265.739999999998</v>
      </c>
      <c r="L457" s="43">
        <v>50000</v>
      </c>
      <c r="M457" s="30">
        <v>55265.74</v>
      </c>
      <c r="N457" s="44" t="s">
        <v>43</v>
      </c>
      <c r="O457" s="29">
        <v>55265.74</v>
      </c>
      <c r="P457" s="29">
        <v>49707.32</v>
      </c>
      <c r="Q457" s="29">
        <v>19230</v>
      </c>
      <c r="R457" s="29">
        <v>5610</v>
      </c>
      <c r="S457" s="11" t="s">
        <v>58</v>
      </c>
      <c r="T457" s="11" t="s">
        <v>13</v>
      </c>
      <c r="U457" s="11">
        <v>19230</v>
      </c>
      <c r="V457" s="29">
        <f>Table1[[#This Row],[STAB]]-Table1[[#This Row],[AMOUNT]]</f>
        <v>-13620</v>
      </c>
      <c r="W457" s="11" t="s">
        <v>3169</v>
      </c>
      <c r="X457" s="11" t="s">
        <v>444</v>
      </c>
      <c r="Y457" s="11" t="s">
        <v>760</v>
      </c>
      <c r="Z457" s="11" t="s">
        <v>88</v>
      </c>
      <c r="AA457" s="11" t="s">
        <v>91</v>
      </c>
      <c r="AB457" s="11" t="s">
        <v>3139</v>
      </c>
      <c r="AC457" s="11" t="s">
        <v>2912</v>
      </c>
      <c r="AD457" s="11" t="s">
        <v>3040</v>
      </c>
      <c r="AE457" s="11" t="s">
        <v>746</v>
      </c>
      <c r="AF457" s="11" t="s">
        <v>53</v>
      </c>
      <c r="AG457" s="11" t="s">
        <v>3469</v>
      </c>
      <c r="AH457" s="11" t="s">
        <v>752</v>
      </c>
      <c r="AI457" s="11">
        <v>802241455</v>
      </c>
      <c r="AJ457" s="11" t="s">
        <v>191</v>
      </c>
      <c r="AK457" s="11"/>
      <c r="AL457" s="11"/>
      <c r="AM457" s="12" t="s">
        <v>64</v>
      </c>
      <c r="AN457" s="11"/>
      <c r="AO457" s="11"/>
      <c r="AP457" s="11"/>
      <c r="AQ457" s="3">
        <v>45789</v>
      </c>
      <c r="AR457" s="11">
        <v>6887.53</v>
      </c>
      <c r="AS457" s="11" t="s">
        <v>48</v>
      </c>
      <c r="AT457" s="11" t="s">
        <v>3118</v>
      </c>
      <c r="AU457" s="2">
        <v>46180</v>
      </c>
    </row>
    <row r="458" spans="1:47" x14ac:dyDescent="0.25">
      <c r="A458" s="10" t="s">
        <v>2503</v>
      </c>
      <c r="B458" s="11" t="s">
        <v>2633</v>
      </c>
      <c r="C458" s="11">
        <v>0</v>
      </c>
      <c r="D458" s="11" t="s">
        <v>108</v>
      </c>
      <c r="E458" s="11"/>
      <c r="F458" s="11"/>
      <c r="G458" s="11" t="s">
        <v>90</v>
      </c>
      <c r="H458" s="11">
        <v>20</v>
      </c>
      <c r="I458" s="11" t="s">
        <v>2761</v>
      </c>
      <c r="J458" s="11" t="s">
        <v>42</v>
      </c>
      <c r="K458" s="11">
        <f>Table1[[#This Row],[ENR]]-Table1[[#This Row],[CREDIT]]</f>
        <v>4649.8899999999994</v>
      </c>
      <c r="L458" s="43">
        <v>50000</v>
      </c>
      <c r="M458" s="30">
        <v>54649.89</v>
      </c>
      <c r="N458" s="44" t="s">
        <v>43</v>
      </c>
      <c r="O458" s="29">
        <v>54649.89</v>
      </c>
      <c r="P458" s="29">
        <v>45578.8</v>
      </c>
      <c r="Q458" s="29">
        <v>22950</v>
      </c>
      <c r="R458" s="29">
        <v>11650</v>
      </c>
      <c r="S458" s="11" t="s">
        <v>58</v>
      </c>
      <c r="T458" s="11" t="s">
        <v>13</v>
      </c>
      <c r="U458" s="11">
        <v>54649.89</v>
      </c>
      <c r="V458" s="29">
        <f>Table1[[#This Row],[STAB]]-Table1[[#This Row],[AMOUNT]]</f>
        <v>-42999.89</v>
      </c>
      <c r="W458" s="11" t="s">
        <v>3484</v>
      </c>
      <c r="X458" s="11" t="s">
        <v>444</v>
      </c>
      <c r="Y458" s="11" t="s">
        <v>760</v>
      </c>
      <c r="Z458" s="12" t="s">
        <v>88</v>
      </c>
      <c r="AA458" s="12" t="s">
        <v>91</v>
      </c>
      <c r="AB458" s="11" t="s">
        <v>3139</v>
      </c>
      <c r="AC458" s="11" t="s">
        <v>2889</v>
      </c>
      <c r="AD458" s="11" t="s">
        <v>3018</v>
      </c>
      <c r="AE458" s="11" t="s">
        <v>123</v>
      </c>
      <c r="AF458" s="11" t="s">
        <v>127</v>
      </c>
      <c r="AG458" s="11" t="s">
        <v>96</v>
      </c>
      <c r="AH458" s="11" t="s">
        <v>461</v>
      </c>
      <c r="AI458" s="11">
        <v>801436997</v>
      </c>
      <c r="AJ458" s="11" t="s">
        <v>190</v>
      </c>
      <c r="AK458" s="11"/>
      <c r="AL458" s="11"/>
      <c r="AM458" s="12" t="s">
        <v>64</v>
      </c>
      <c r="AN458" s="11" t="s">
        <v>219</v>
      </c>
      <c r="AO458" s="11" t="s">
        <v>3240</v>
      </c>
      <c r="AP458" s="11" t="s">
        <v>3238</v>
      </c>
      <c r="AQ458" s="3">
        <v>46010</v>
      </c>
      <c r="AR458" s="11">
        <v>4710.6499999999996</v>
      </c>
      <c r="AS458" s="11" t="s">
        <v>435</v>
      </c>
      <c r="AT458" s="11" t="s">
        <v>3118</v>
      </c>
      <c r="AU458" s="2">
        <v>46180</v>
      </c>
    </row>
    <row r="459" spans="1:47" x14ac:dyDescent="0.25">
      <c r="A459" s="10" t="s">
        <v>3450</v>
      </c>
      <c r="B459" s="11" t="s">
        <v>3456</v>
      </c>
      <c r="C459" s="11">
        <v>0</v>
      </c>
      <c r="D459" s="11" t="s">
        <v>3451</v>
      </c>
      <c r="E459" s="11"/>
      <c r="F459" s="11"/>
      <c r="G459" s="11" t="s">
        <v>52</v>
      </c>
      <c r="H459" s="11">
        <v>20</v>
      </c>
      <c r="I459" s="11" t="s">
        <v>3461</v>
      </c>
      <c r="J459" s="11" t="s">
        <v>42</v>
      </c>
      <c r="K459" s="11">
        <f>Table1[[#This Row],[ENR]]-Table1[[#This Row],[CREDIT]]</f>
        <v>2737.0400000000009</v>
      </c>
      <c r="L459" s="43">
        <v>50000</v>
      </c>
      <c r="M459" s="30">
        <v>52737.04</v>
      </c>
      <c r="N459" s="44">
        <v>5756.28</v>
      </c>
      <c r="O459" s="29">
        <v>46980.76</v>
      </c>
      <c r="P459" s="29">
        <v>40586.370000000003</v>
      </c>
      <c r="Q459" s="11">
        <v>15410</v>
      </c>
      <c r="R459" s="29">
        <v>5320</v>
      </c>
      <c r="S459" s="11" t="s">
        <v>44</v>
      </c>
      <c r="T459" s="11" t="s">
        <v>45</v>
      </c>
      <c r="U459" s="11">
        <v>0</v>
      </c>
      <c r="V459" s="29">
        <f>Table1[[#This Row],[STAB]]-Table1[[#This Row],[AMOUNT]]</f>
        <v>5320</v>
      </c>
      <c r="W459" s="11">
        <v>0</v>
      </c>
      <c r="X459" s="11" t="s">
        <v>83</v>
      </c>
      <c r="Y459" s="11" t="s">
        <v>759</v>
      </c>
      <c r="Z459" s="12" t="s">
        <v>88</v>
      </c>
      <c r="AA459" s="12" t="s">
        <v>91</v>
      </c>
      <c r="AB459" s="11"/>
      <c r="AC459" s="11" t="s">
        <v>3634</v>
      </c>
      <c r="AD459" s="11" t="s">
        <v>3638</v>
      </c>
      <c r="AE459" s="11" t="s">
        <v>603</v>
      </c>
      <c r="AF459" s="11" t="s">
        <v>53</v>
      </c>
      <c r="AG459" s="11" t="s">
        <v>188</v>
      </c>
      <c r="AH459" s="11" t="s">
        <v>194</v>
      </c>
      <c r="AI459" s="11">
        <v>802823180</v>
      </c>
      <c r="AJ459" s="11" t="s">
        <v>191</v>
      </c>
      <c r="AK459" s="11"/>
      <c r="AL459" s="11"/>
      <c r="AM459" s="12" t="s">
        <v>46</v>
      </c>
      <c r="AN459" s="11"/>
      <c r="AO459" s="11"/>
      <c r="AP459" s="11"/>
      <c r="AQ459" s="3">
        <v>46060</v>
      </c>
      <c r="AR459" s="11">
        <v>2995.47</v>
      </c>
      <c r="AS459" s="11" t="s">
        <v>48</v>
      </c>
      <c r="AT459" s="11" t="s">
        <v>3445</v>
      </c>
      <c r="AU459" s="2">
        <v>46180</v>
      </c>
    </row>
    <row r="460" spans="1:47" x14ac:dyDescent="0.25">
      <c r="A460" s="10" t="s">
        <v>2510</v>
      </c>
      <c r="B460" s="11" t="s">
        <v>2639</v>
      </c>
      <c r="C460" s="11">
        <v>0</v>
      </c>
      <c r="D460" s="11" t="s">
        <v>108</v>
      </c>
      <c r="E460" s="11"/>
      <c r="F460" s="11"/>
      <c r="G460" s="11" t="s">
        <v>52</v>
      </c>
      <c r="H460" s="11">
        <v>20</v>
      </c>
      <c r="I460" s="11" t="s">
        <v>2767</v>
      </c>
      <c r="J460" s="11" t="s">
        <v>42</v>
      </c>
      <c r="K460" s="11">
        <f>Table1[[#This Row],[ENR]]-Table1[[#This Row],[CREDIT]]</f>
        <v>2569.3799999999974</v>
      </c>
      <c r="L460" s="43">
        <v>50000</v>
      </c>
      <c r="M460" s="30">
        <v>52569.38</v>
      </c>
      <c r="N460" s="44">
        <v>9565.91</v>
      </c>
      <c r="O460" s="29">
        <v>43003.47</v>
      </c>
      <c r="P460" s="29">
        <v>38716.550000000003</v>
      </c>
      <c r="Q460" s="29">
        <v>43003.47</v>
      </c>
      <c r="R460" s="29">
        <v>19845.669999999998</v>
      </c>
      <c r="S460" s="11" t="s">
        <v>58</v>
      </c>
      <c r="T460" s="11" t="s">
        <v>14</v>
      </c>
      <c r="U460" s="29">
        <v>19850.47</v>
      </c>
      <c r="V460" s="29">
        <f>Table1[[#This Row],[STAB]]-Table1[[#This Row],[AMOUNT]]</f>
        <v>-4.8000000000029104</v>
      </c>
      <c r="W460" s="11" t="s">
        <v>3238</v>
      </c>
      <c r="X460" s="11" t="s">
        <v>444</v>
      </c>
      <c r="Y460" s="11" t="s">
        <v>760</v>
      </c>
      <c r="Z460" s="11" t="s">
        <v>88</v>
      </c>
      <c r="AA460" s="11" t="s">
        <v>91</v>
      </c>
      <c r="AB460" s="11" t="s">
        <v>3139</v>
      </c>
      <c r="AC460" s="11" t="s">
        <v>2896</v>
      </c>
      <c r="AD460" s="11" t="s">
        <v>3024</v>
      </c>
      <c r="AE460" s="11" t="s">
        <v>602</v>
      </c>
      <c r="AF460" s="11" t="s">
        <v>127</v>
      </c>
      <c r="AG460" s="11" t="s">
        <v>128</v>
      </c>
      <c r="AH460" s="11" t="s">
        <v>462</v>
      </c>
      <c r="AI460" s="11">
        <v>801448854</v>
      </c>
      <c r="AJ460" s="11" t="s">
        <v>191</v>
      </c>
      <c r="AK460" s="11"/>
      <c r="AL460" s="11"/>
      <c r="AM460" s="12" t="s">
        <v>64</v>
      </c>
      <c r="AN460" s="11" t="s">
        <v>446</v>
      </c>
      <c r="AO460" s="11" t="s">
        <v>3194</v>
      </c>
      <c r="AP460" s="11" t="s">
        <v>3191</v>
      </c>
      <c r="AQ460" s="3">
        <v>45489</v>
      </c>
      <c r="AR460" s="11">
        <v>1025</v>
      </c>
      <c r="AS460" s="11" t="s">
        <v>47</v>
      </c>
      <c r="AT460" s="11" t="s">
        <v>3118</v>
      </c>
      <c r="AU460" s="2">
        <v>46180</v>
      </c>
    </row>
    <row r="461" spans="1:47" x14ac:dyDescent="0.25">
      <c r="A461" s="10" t="s">
        <v>2502</v>
      </c>
      <c r="B461" s="11" t="s">
        <v>2632</v>
      </c>
      <c r="C461" s="11">
        <v>0</v>
      </c>
      <c r="D461" s="11" t="s">
        <v>108</v>
      </c>
      <c r="E461" s="11"/>
      <c r="F461" s="11"/>
      <c r="G461" s="11" t="s">
        <v>52</v>
      </c>
      <c r="H461" s="11">
        <v>20</v>
      </c>
      <c r="I461" s="11" t="s">
        <v>2760</v>
      </c>
      <c r="J461" s="11" t="s">
        <v>42</v>
      </c>
      <c r="K461" s="11">
        <f>Table1[[#This Row],[ENR]]-Table1[[#This Row],[CREDIT]]</f>
        <v>1268.9400000000023</v>
      </c>
      <c r="L461" s="43">
        <v>50000</v>
      </c>
      <c r="M461" s="30">
        <v>51268.94</v>
      </c>
      <c r="N461" s="44">
        <v>31310.17</v>
      </c>
      <c r="O461" s="29">
        <v>19958.77</v>
      </c>
      <c r="P461" s="29">
        <v>16937.72</v>
      </c>
      <c r="Q461" s="29">
        <v>8330</v>
      </c>
      <c r="R461" s="29">
        <v>3360</v>
      </c>
      <c r="S461" s="11" t="s">
        <v>58</v>
      </c>
      <c r="T461" s="11" t="s">
        <v>14</v>
      </c>
      <c r="U461" s="29">
        <v>3500</v>
      </c>
      <c r="V461" s="29">
        <f>Table1[[#This Row],[STAB]]-Table1[[#This Row],[AMOUNT]]</f>
        <v>-140</v>
      </c>
      <c r="W461" s="11">
        <v>0</v>
      </c>
      <c r="X461" s="11" t="s">
        <v>761</v>
      </c>
      <c r="Y461" s="11" t="s">
        <v>760</v>
      </c>
      <c r="Z461" s="12" t="s">
        <v>88</v>
      </c>
      <c r="AA461" s="12" t="s">
        <v>91</v>
      </c>
      <c r="AB461" s="11" t="s">
        <v>3139</v>
      </c>
      <c r="AC461" s="11" t="s">
        <v>2888</v>
      </c>
      <c r="AD461" s="11" t="s">
        <v>3017</v>
      </c>
      <c r="AE461" s="11" t="s">
        <v>123</v>
      </c>
      <c r="AF461" s="11" t="s">
        <v>127</v>
      </c>
      <c r="AG461" s="11" t="s">
        <v>96</v>
      </c>
      <c r="AH461" s="11" t="s">
        <v>461</v>
      </c>
      <c r="AI461" s="11">
        <v>801436997</v>
      </c>
      <c r="AJ461" s="11" t="s">
        <v>190</v>
      </c>
      <c r="AK461" s="11"/>
      <c r="AL461" s="11"/>
      <c r="AM461" s="12" t="s">
        <v>64</v>
      </c>
      <c r="AN461" s="11" t="s">
        <v>219</v>
      </c>
      <c r="AO461" s="11" t="s">
        <v>3467</v>
      </c>
      <c r="AP461" s="11" t="s">
        <v>3463</v>
      </c>
      <c r="AQ461" s="3">
        <v>45815</v>
      </c>
      <c r="AR461" s="11">
        <v>50000.800000000003</v>
      </c>
      <c r="AS461" s="11" t="s">
        <v>430</v>
      </c>
      <c r="AT461" s="11" t="s">
        <v>3118</v>
      </c>
      <c r="AU461" s="2">
        <v>46180</v>
      </c>
    </row>
    <row r="462" spans="1:47" x14ac:dyDescent="0.25">
      <c r="A462" s="10" t="s">
        <v>3506</v>
      </c>
      <c r="B462" s="11" t="s">
        <v>3534</v>
      </c>
      <c r="C462" s="11">
        <v>0</v>
      </c>
      <c r="D462" s="11" t="s">
        <v>3451</v>
      </c>
      <c r="E462" s="11"/>
      <c r="F462" s="11"/>
      <c r="G462" s="11" t="s">
        <v>52</v>
      </c>
      <c r="H462" s="11">
        <v>21</v>
      </c>
      <c r="I462" s="11" t="s">
        <v>3562</v>
      </c>
      <c r="J462" s="11" t="s">
        <v>42</v>
      </c>
      <c r="K462" s="11">
        <f>Table1[[#This Row],[ENR]]-Table1[[#This Row],[CREDIT]]</f>
        <v>16275.030000000028</v>
      </c>
      <c r="L462" s="43">
        <v>500000</v>
      </c>
      <c r="M462" s="30">
        <v>516275.03</v>
      </c>
      <c r="N462" s="44">
        <v>272430.38</v>
      </c>
      <c r="O462" s="29">
        <v>243844.65</v>
      </c>
      <c r="P462" s="29">
        <v>226191.71</v>
      </c>
      <c r="Q462" s="11">
        <v>97930</v>
      </c>
      <c r="R462" s="29">
        <v>36881.18</v>
      </c>
      <c r="S462" s="11" t="s">
        <v>58</v>
      </c>
      <c r="T462" s="11" t="s">
        <v>14</v>
      </c>
      <c r="U462" s="29">
        <v>36900</v>
      </c>
      <c r="V462" s="29">
        <f>Table1[[#This Row],[STAB]]-Table1[[#This Row],[AMOUNT]]</f>
        <v>-18.819999999999709</v>
      </c>
      <c r="W462" s="11" t="s">
        <v>3642</v>
      </c>
      <c r="X462" s="11" t="s">
        <v>90</v>
      </c>
      <c r="Y462" s="11" t="s">
        <v>760</v>
      </c>
      <c r="Z462" s="12" t="s">
        <v>85</v>
      </c>
      <c r="AA462" s="12"/>
      <c r="AB462" s="11"/>
      <c r="AC462" s="11" t="s">
        <v>3590</v>
      </c>
      <c r="AD462" s="11" t="s">
        <v>3618</v>
      </c>
      <c r="AE462" s="11" t="s">
        <v>1071</v>
      </c>
      <c r="AF462" s="11" t="s">
        <v>53</v>
      </c>
      <c r="AG462" s="11" t="s">
        <v>55</v>
      </c>
      <c r="AH462" s="11" t="s">
        <v>468</v>
      </c>
      <c r="AI462" s="11">
        <v>802030802</v>
      </c>
      <c r="AJ462" s="11" t="s">
        <v>458</v>
      </c>
      <c r="AK462" s="11"/>
      <c r="AL462" s="11"/>
      <c r="AM462" s="12" t="s">
        <v>64</v>
      </c>
      <c r="AN462" s="11"/>
      <c r="AO462" s="11"/>
      <c r="AP462" s="11"/>
      <c r="AQ462" s="3">
        <v>45595</v>
      </c>
      <c r="AR462" s="11">
        <v>7000</v>
      </c>
      <c r="AS462" s="11" t="s">
        <v>437</v>
      </c>
      <c r="AT462" s="11" t="s">
        <v>3631</v>
      </c>
      <c r="AU462" s="2">
        <v>46181</v>
      </c>
    </row>
    <row r="463" spans="1:47" x14ac:dyDescent="0.25">
      <c r="A463" s="10" t="s">
        <v>3500</v>
      </c>
      <c r="B463" s="11" t="s">
        <v>3528</v>
      </c>
      <c r="C463" s="11">
        <v>0</v>
      </c>
      <c r="D463" s="11" t="s">
        <v>3451</v>
      </c>
      <c r="E463" s="11"/>
      <c r="F463" s="11"/>
      <c r="G463" s="11" t="s">
        <v>52</v>
      </c>
      <c r="H463" s="11">
        <v>21</v>
      </c>
      <c r="I463" s="11" t="s">
        <v>3556</v>
      </c>
      <c r="J463" s="11" t="s">
        <v>42</v>
      </c>
      <c r="K463" s="11">
        <f>Table1[[#This Row],[ENR]]-Table1[[#This Row],[CREDIT]]</f>
        <v>-47389.849999999977</v>
      </c>
      <c r="L463" s="43">
        <v>550000</v>
      </c>
      <c r="M463" s="30">
        <v>502610.15</v>
      </c>
      <c r="N463" s="44" t="s">
        <v>43</v>
      </c>
      <c r="O463" s="29">
        <v>502610.15</v>
      </c>
      <c r="P463" s="29">
        <v>460158.84</v>
      </c>
      <c r="Q463" s="11">
        <v>70570</v>
      </c>
      <c r="R463" s="29">
        <v>25600</v>
      </c>
      <c r="S463" s="11" t="s">
        <v>44</v>
      </c>
      <c r="T463" s="11" t="s">
        <v>45</v>
      </c>
      <c r="U463" s="11">
        <v>0</v>
      </c>
      <c r="V463" s="29">
        <f>Table1[[#This Row],[STAB]]-Table1[[#This Row],[AMOUNT]]</f>
        <v>25600</v>
      </c>
      <c r="W463" s="11">
        <v>0</v>
      </c>
      <c r="X463" s="11" t="s">
        <v>83</v>
      </c>
      <c r="Y463" s="11">
        <v>0</v>
      </c>
      <c r="Z463" s="11" t="s">
        <v>85</v>
      </c>
      <c r="AA463" s="12"/>
      <c r="AB463" s="11"/>
      <c r="AC463" s="11" t="s">
        <v>3584</v>
      </c>
      <c r="AD463" s="11" t="s">
        <v>3612</v>
      </c>
      <c r="AE463" s="11" t="s">
        <v>104</v>
      </c>
      <c r="AF463" s="11" t="s">
        <v>54</v>
      </c>
      <c r="AG463" s="11" t="s">
        <v>610</v>
      </c>
      <c r="AH463" s="11" t="s">
        <v>627</v>
      </c>
      <c r="AI463" s="11">
        <v>801772792</v>
      </c>
      <c r="AJ463" s="11" t="s">
        <v>191</v>
      </c>
      <c r="AK463" s="11"/>
      <c r="AL463" s="11"/>
      <c r="AM463" s="12" t="s">
        <v>64</v>
      </c>
      <c r="AN463" s="11" t="s">
        <v>219</v>
      </c>
      <c r="AO463" s="11" t="s">
        <v>3648</v>
      </c>
      <c r="AP463" s="11" t="s">
        <v>3642</v>
      </c>
      <c r="AQ463" s="3">
        <v>45668</v>
      </c>
      <c r="AR463" s="11">
        <v>25920</v>
      </c>
      <c r="AS463" s="11" t="s">
        <v>2221</v>
      </c>
      <c r="AT463" s="11" t="s">
        <v>3631</v>
      </c>
      <c r="AU463" s="2">
        <v>46181</v>
      </c>
    </row>
    <row r="464" spans="1:47" x14ac:dyDescent="0.25">
      <c r="A464" s="10" t="s">
        <v>2550</v>
      </c>
      <c r="B464" s="11" t="s">
        <v>2678</v>
      </c>
      <c r="C464" s="11">
        <v>0</v>
      </c>
      <c r="D464" s="11" t="s">
        <v>108</v>
      </c>
      <c r="E464" s="11"/>
      <c r="F464" s="11"/>
      <c r="G464" s="11" t="s">
        <v>52</v>
      </c>
      <c r="H464" s="11">
        <v>21</v>
      </c>
      <c r="I464" s="11" t="s">
        <v>2806</v>
      </c>
      <c r="J464" s="11" t="s">
        <v>42</v>
      </c>
      <c r="K464" s="11">
        <f>Table1[[#This Row],[ENR]]-Table1[[#This Row],[CREDIT]]</f>
        <v>19329.830000000016</v>
      </c>
      <c r="L464" s="43">
        <v>480000</v>
      </c>
      <c r="M464" s="30">
        <v>499329.83</v>
      </c>
      <c r="N464" s="44" t="s">
        <v>43</v>
      </c>
      <c r="O464" s="29">
        <v>499329.83</v>
      </c>
      <c r="P464" s="29">
        <v>456310.63</v>
      </c>
      <c r="Q464" s="29">
        <v>91060</v>
      </c>
      <c r="R464" s="29">
        <v>28070</v>
      </c>
      <c r="S464" s="11" t="s">
        <v>58</v>
      </c>
      <c r="T464" s="11" t="s">
        <v>13</v>
      </c>
      <c r="U464" s="11">
        <v>499329.83</v>
      </c>
      <c r="V464" s="29">
        <f>Table1[[#This Row],[STAB]]-Table1[[#This Row],[AMOUNT]]</f>
        <v>-471259.83</v>
      </c>
      <c r="W464" s="11" t="s">
        <v>3238</v>
      </c>
      <c r="X464" s="11" t="s">
        <v>444</v>
      </c>
      <c r="Y464" s="11" t="s">
        <v>760</v>
      </c>
      <c r="Z464" s="11" t="s">
        <v>85</v>
      </c>
      <c r="AA464" s="11" t="s">
        <v>612</v>
      </c>
      <c r="AB464" s="11" t="s">
        <v>3139</v>
      </c>
      <c r="AC464" s="11" t="s">
        <v>2935</v>
      </c>
      <c r="AD464" s="11" t="s">
        <v>3063</v>
      </c>
      <c r="AE464" s="11" t="s">
        <v>148</v>
      </c>
      <c r="AF464" s="11" t="s">
        <v>2153</v>
      </c>
      <c r="AG464" s="11" t="s">
        <v>2154</v>
      </c>
      <c r="AH464" s="11" t="s">
        <v>459</v>
      </c>
      <c r="AI464" s="11">
        <v>802789320</v>
      </c>
      <c r="AJ464" s="11" t="s">
        <v>190</v>
      </c>
      <c r="AK464" s="11"/>
      <c r="AL464" s="11"/>
      <c r="AM464" s="12" t="s">
        <v>64</v>
      </c>
      <c r="AN464" s="11"/>
      <c r="AO464" s="11"/>
      <c r="AP464" s="11"/>
      <c r="AQ464" s="3">
        <v>45351</v>
      </c>
      <c r="AR464" s="11">
        <v>2950</v>
      </c>
      <c r="AS464" s="11" t="s">
        <v>2221</v>
      </c>
      <c r="AT464" s="11" t="s">
        <v>3118</v>
      </c>
      <c r="AU464" s="2">
        <v>46181</v>
      </c>
    </row>
    <row r="465" spans="1:47" x14ac:dyDescent="0.25">
      <c r="A465" s="10" t="s">
        <v>2180</v>
      </c>
      <c r="B465" s="11" t="s">
        <v>2188</v>
      </c>
      <c r="C465" s="11">
        <v>0</v>
      </c>
      <c r="D465" s="11" t="s">
        <v>108</v>
      </c>
      <c r="E465" s="11"/>
      <c r="F465" s="11" t="s">
        <v>440</v>
      </c>
      <c r="G465" s="11" t="s">
        <v>52</v>
      </c>
      <c r="H465" s="11">
        <v>21</v>
      </c>
      <c r="I465" s="11" t="s">
        <v>2196</v>
      </c>
      <c r="J465" s="11" t="s">
        <v>42</v>
      </c>
      <c r="K465" s="11">
        <f>Table1[[#This Row],[ENR]]-Table1[[#This Row],[CREDIT]]</f>
        <v>201916.49</v>
      </c>
      <c r="L465" s="43">
        <v>290000</v>
      </c>
      <c r="M465" s="30">
        <v>491916.49</v>
      </c>
      <c r="N465" s="44">
        <v>437692.62</v>
      </c>
      <c r="O465" s="29">
        <v>54223.87</v>
      </c>
      <c r="P465" s="29">
        <v>47514.04</v>
      </c>
      <c r="Q465" s="29">
        <v>49760</v>
      </c>
      <c r="R465" s="29">
        <v>19480</v>
      </c>
      <c r="S465" s="11" t="s">
        <v>58</v>
      </c>
      <c r="T465" s="11" t="s">
        <v>14</v>
      </c>
      <c r="U465" s="29">
        <v>26000</v>
      </c>
      <c r="V465" s="29">
        <f>Table1[[#This Row],[STAB]]-Table1[[#This Row],[AMOUNT]]</f>
        <v>-6520</v>
      </c>
      <c r="W465" s="11" t="s">
        <v>2172</v>
      </c>
      <c r="X465" s="11" t="s">
        <v>83</v>
      </c>
      <c r="Y465" s="11" t="s">
        <v>1085</v>
      </c>
      <c r="Z465" s="12" t="s">
        <v>85</v>
      </c>
      <c r="AA465" s="12" t="s">
        <v>612</v>
      </c>
      <c r="AB465" s="11" t="s">
        <v>3139</v>
      </c>
      <c r="AC465" s="11" t="s">
        <v>2204</v>
      </c>
      <c r="AD465" s="11" t="s">
        <v>2212</v>
      </c>
      <c r="AE465" s="11" t="s">
        <v>415</v>
      </c>
      <c r="AF465" s="11" t="s">
        <v>53</v>
      </c>
      <c r="AG465" s="11" t="s">
        <v>105</v>
      </c>
      <c r="AH465" s="11" t="s">
        <v>85</v>
      </c>
      <c r="AI465" s="11">
        <v>801772794</v>
      </c>
      <c r="AJ465" s="11" t="s">
        <v>192</v>
      </c>
      <c r="AK465" s="11"/>
      <c r="AL465" s="11"/>
      <c r="AM465" s="12" t="s">
        <v>64</v>
      </c>
      <c r="AN465" s="11"/>
      <c r="AO465" s="11"/>
      <c r="AP465" s="11"/>
      <c r="AQ465" s="3">
        <v>46148</v>
      </c>
      <c r="AR465" s="11">
        <v>13000</v>
      </c>
      <c r="AS465" s="11" t="s">
        <v>2220</v>
      </c>
      <c r="AT465" s="11" t="s">
        <v>2222</v>
      </c>
      <c r="AU465" s="2">
        <v>46181</v>
      </c>
    </row>
    <row r="466" spans="1:47" x14ac:dyDescent="0.25">
      <c r="A466" s="10" t="s">
        <v>2185</v>
      </c>
      <c r="B466" s="11" t="s">
        <v>2193</v>
      </c>
      <c r="C466" s="11">
        <v>0</v>
      </c>
      <c r="D466" s="11" t="s">
        <v>108</v>
      </c>
      <c r="E466" s="11"/>
      <c r="F466" s="11"/>
      <c r="G466" s="11" t="s">
        <v>90</v>
      </c>
      <c r="H466" s="11">
        <v>21</v>
      </c>
      <c r="I466" s="11" t="s">
        <v>2201</v>
      </c>
      <c r="J466" s="11" t="s">
        <v>42</v>
      </c>
      <c r="K466" s="11">
        <f>Table1[[#This Row],[ENR]]-Table1[[#This Row],[CREDIT]]</f>
        <v>-10177.960000000021</v>
      </c>
      <c r="L466" s="43">
        <v>500000</v>
      </c>
      <c r="M466" s="30">
        <v>489822.04</v>
      </c>
      <c r="N466" s="44" t="s">
        <v>43</v>
      </c>
      <c r="O466" s="29">
        <v>489822.04</v>
      </c>
      <c r="P466" s="29">
        <v>466128.35</v>
      </c>
      <c r="Q466" s="29">
        <v>70830</v>
      </c>
      <c r="R466" s="29">
        <v>43860</v>
      </c>
      <c r="S466" s="11" t="s">
        <v>58</v>
      </c>
      <c r="T466" s="11" t="s">
        <v>13</v>
      </c>
      <c r="U466" s="11">
        <v>70830</v>
      </c>
      <c r="V466" s="29">
        <f>Table1[[#This Row],[STAB]]-Table1[[#This Row],[AMOUNT]]</f>
        <v>-26970</v>
      </c>
      <c r="W466" s="11">
        <v>0</v>
      </c>
      <c r="X466" s="11" t="s">
        <v>761</v>
      </c>
      <c r="Y466" s="11" t="s">
        <v>760</v>
      </c>
      <c r="Z466" s="12" t="s">
        <v>88</v>
      </c>
      <c r="AA466" s="12" t="s">
        <v>91</v>
      </c>
      <c r="AB466" s="11" t="s">
        <v>3139</v>
      </c>
      <c r="AC466" s="11" t="s">
        <v>2209</v>
      </c>
      <c r="AD466" s="11" t="s">
        <v>2217</v>
      </c>
      <c r="AE466" s="11" t="s">
        <v>218</v>
      </c>
      <c r="AF466" s="11" t="s">
        <v>84</v>
      </c>
      <c r="AG466" s="11" t="s">
        <v>2223</v>
      </c>
      <c r="AH466" s="11" t="s">
        <v>88</v>
      </c>
      <c r="AI466" s="11">
        <v>801723195</v>
      </c>
      <c r="AJ466" s="11" t="s">
        <v>191</v>
      </c>
      <c r="AK466" s="11"/>
      <c r="AL466" s="11"/>
      <c r="AM466" s="12" t="s">
        <v>64</v>
      </c>
      <c r="AN466" s="11"/>
      <c r="AO466" s="11"/>
      <c r="AP466" s="11"/>
      <c r="AQ466" s="3">
        <v>46009</v>
      </c>
      <c r="AR466" s="11">
        <v>3000</v>
      </c>
      <c r="AS466" s="11" t="s">
        <v>433</v>
      </c>
      <c r="AT466" s="11" t="s">
        <v>2222</v>
      </c>
      <c r="AU466" s="2">
        <v>46181</v>
      </c>
    </row>
    <row r="467" spans="1:47" x14ac:dyDescent="0.25">
      <c r="A467" s="10" t="s">
        <v>2187</v>
      </c>
      <c r="B467" s="11" t="s">
        <v>2195</v>
      </c>
      <c r="C467" s="11">
        <v>0</v>
      </c>
      <c r="D467" s="11" t="s">
        <v>108</v>
      </c>
      <c r="E467" s="11"/>
      <c r="F467" s="11"/>
      <c r="G467" s="11" t="s">
        <v>52</v>
      </c>
      <c r="H467" s="11">
        <v>21</v>
      </c>
      <c r="I467" s="11" t="s">
        <v>2203</v>
      </c>
      <c r="J467" s="11" t="s">
        <v>42</v>
      </c>
      <c r="K467" s="11">
        <f>Table1[[#This Row],[ENR]]-Table1[[#This Row],[CREDIT]]</f>
        <v>8935.539999999979</v>
      </c>
      <c r="L467" s="43">
        <v>450000</v>
      </c>
      <c r="M467" s="30">
        <v>458935.54</v>
      </c>
      <c r="N467" s="44">
        <v>346825.72</v>
      </c>
      <c r="O467" s="29">
        <v>112109.82</v>
      </c>
      <c r="P467" s="29">
        <v>92203.33</v>
      </c>
      <c r="Q467" s="29">
        <v>86200</v>
      </c>
      <c r="R467" s="29">
        <v>37330</v>
      </c>
      <c r="S467" s="11" t="s">
        <v>58</v>
      </c>
      <c r="T467" s="11" t="s">
        <v>14</v>
      </c>
      <c r="U467" s="29">
        <v>37330</v>
      </c>
      <c r="V467" s="29">
        <f>Table1[[#This Row],[STAB]]-Table1[[#This Row],[AMOUNT]]</f>
        <v>0</v>
      </c>
      <c r="W467" s="11" t="s">
        <v>3119</v>
      </c>
      <c r="X467" s="11" t="s">
        <v>451</v>
      </c>
      <c r="Y467" s="11" t="s">
        <v>760</v>
      </c>
      <c r="Z467" s="12" t="s">
        <v>85</v>
      </c>
      <c r="AA467" s="12" t="s">
        <v>611</v>
      </c>
      <c r="AB467" s="11" t="s">
        <v>3139</v>
      </c>
      <c r="AC467" s="11" t="s">
        <v>2211</v>
      </c>
      <c r="AD467" s="11" t="s">
        <v>2219</v>
      </c>
      <c r="AE467" s="11" t="s">
        <v>2147</v>
      </c>
      <c r="AF467" s="11" t="s">
        <v>127</v>
      </c>
      <c r="AG467" s="11" t="s">
        <v>57</v>
      </c>
      <c r="AH467" s="11" t="s">
        <v>464</v>
      </c>
      <c r="AI467" s="11">
        <v>802852449</v>
      </c>
      <c r="AJ467" s="11" t="s">
        <v>190</v>
      </c>
      <c r="AK467" s="11"/>
      <c r="AL467" s="11"/>
      <c r="AM467" s="12" t="s">
        <v>64</v>
      </c>
      <c r="AN467" s="11" t="s">
        <v>115</v>
      </c>
      <c r="AO467" s="11" t="s">
        <v>2465</v>
      </c>
      <c r="AP467" s="11" t="s">
        <v>2296</v>
      </c>
      <c r="AQ467" s="3" t="s">
        <v>43</v>
      </c>
      <c r="AR467" s="11">
        <v>0</v>
      </c>
      <c r="AS467" s="11" t="s">
        <v>433</v>
      </c>
      <c r="AT467" s="11" t="s">
        <v>2222</v>
      </c>
      <c r="AU467" s="2">
        <v>46181</v>
      </c>
    </row>
    <row r="468" spans="1:47" x14ac:dyDescent="0.25">
      <c r="A468" s="10" t="s">
        <v>2182</v>
      </c>
      <c r="B468" s="11" t="s">
        <v>2190</v>
      </c>
      <c r="C468" s="11">
        <v>0</v>
      </c>
      <c r="D468" s="11" t="s">
        <v>108</v>
      </c>
      <c r="E468" s="11"/>
      <c r="F468" s="11"/>
      <c r="G468" s="11" t="s">
        <v>90</v>
      </c>
      <c r="H468" s="11">
        <v>21</v>
      </c>
      <c r="I468" s="11" t="s">
        <v>2198</v>
      </c>
      <c r="J468" s="11" t="s">
        <v>42</v>
      </c>
      <c r="K468" s="11">
        <f>Table1[[#This Row],[ENR]]-Table1[[#This Row],[CREDIT]]</f>
        <v>134847.71000000002</v>
      </c>
      <c r="L468" s="43">
        <v>320000</v>
      </c>
      <c r="M468" s="30">
        <v>454847.71</v>
      </c>
      <c r="N468" s="44">
        <v>175648.79</v>
      </c>
      <c r="O468" s="29">
        <v>279198.92</v>
      </c>
      <c r="P468" s="29">
        <v>256103.22</v>
      </c>
      <c r="Q468" s="29">
        <v>114430</v>
      </c>
      <c r="R468" s="29">
        <v>63215</v>
      </c>
      <c r="S468" s="11" t="s">
        <v>44</v>
      </c>
      <c r="T468" s="11" t="s">
        <v>45</v>
      </c>
      <c r="U468" s="11">
        <v>0</v>
      </c>
      <c r="V468" s="29">
        <f>Table1[[#This Row],[STAB]]-Table1[[#This Row],[AMOUNT]]</f>
        <v>63215</v>
      </c>
      <c r="W468" s="11">
        <v>0</v>
      </c>
      <c r="X468" s="11" t="s">
        <v>83</v>
      </c>
      <c r="Y468" s="11">
        <v>0</v>
      </c>
      <c r="Z468" s="12" t="s">
        <v>85</v>
      </c>
      <c r="AA468" s="12" t="s">
        <v>447</v>
      </c>
      <c r="AB468" s="11" t="s">
        <v>3139</v>
      </c>
      <c r="AC468" s="11" t="s">
        <v>2206</v>
      </c>
      <c r="AD468" s="11" t="s">
        <v>2214</v>
      </c>
      <c r="AE468" s="11" t="s">
        <v>1071</v>
      </c>
      <c r="AF468" s="11" t="s">
        <v>53</v>
      </c>
      <c r="AG468" s="11" t="s">
        <v>55</v>
      </c>
      <c r="AH468" s="11" t="s">
        <v>468</v>
      </c>
      <c r="AI468" s="11">
        <v>802030802</v>
      </c>
      <c r="AJ468" s="11" t="s">
        <v>458</v>
      </c>
      <c r="AK468" s="11"/>
      <c r="AL468" s="11"/>
      <c r="AM468" s="12" t="s">
        <v>64</v>
      </c>
      <c r="AN468" s="11" t="s">
        <v>115</v>
      </c>
      <c r="AO468" s="11" t="s">
        <v>3176</v>
      </c>
      <c r="AP468" s="11" t="s">
        <v>3642</v>
      </c>
      <c r="AQ468" s="3">
        <v>45841</v>
      </c>
      <c r="AR468" s="11">
        <v>5000</v>
      </c>
      <c r="AS468" s="11" t="s">
        <v>2221</v>
      </c>
      <c r="AT468" s="11" t="s">
        <v>2222</v>
      </c>
      <c r="AU468" s="2">
        <v>46181</v>
      </c>
    </row>
    <row r="469" spans="1:47" x14ac:dyDescent="0.25">
      <c r="A469" s="10" t="s">
        <v>2184</v>
      </c>
      <c r="B469" s="11" t="s">
        <v>2192</v>
      </c>
      <c r="C469" s="11">
        <v>0</v>
      </c>
      <c r="D469" s="11" t="s">
        <v>108</v>
      </c>
      <c r="E469" s="11"/>
      <c r="F469" s="11"/>
      <c r="G469" s="11" t="s">
        <v>52</v>
      </c>
      <c r="H469" s="11">
        <v>21</v>
      </c>
      <c r="I469" s="11" t="s">
        <v>2200</v>
      </c>
      <c r="J469" s="11" t="s">
        <v>42</v>
      </c>
      <c r="K469" s="11">
        <f>Table1[[#This Row],[ENR]]-Table1[[#This Row],[CREDIT]]</f>
        <v>-12771.950000000012</v>
      </c>
      <c r="L469" s="43">
        <v>440000</v>
      </c>
      <c r="M469" s="30">
        <v>427228.05</v>
      </c>
      <c r="N469" s="44">
        <v>287423.90000000002</v>
      </c>
      <c r="O469" s="29">
        <v>139804.15</v>
      </c>
      <c r="P469" s="29">
        <v>117137.03</v>
      </c>
      <c r="Q469" s="29">
        <v>89090</v>
      </c>
      <c r="R469" s="29">
        <v>52490</v>
      </c>
      <c r="S469" s="11" t="s">
        <v>58</v>
      </c>
      <c r="T469" s="11" t="s">
        <v>13</v>
      </c>
      <c r="U469" s="11">
        <v>139804.15</v>
      </c>
      <c r="V469" s="29">
        <f>Table1[[#This Row],[STAB]]-Table1[[#This Row],[AMOUNT]]</f>
        <v>-87314.15</v>
      </c>
      <c r="W469" s="11" t="s">
        <v>3473</v>
      </c>
      <c r="X469" s="11" t="s">
        <v>444</v>
      </c>
      <c r="Y469" s="11" t="s">
        <v>760</v>
      </c>
      <c r="Z469" s="11" t="s">
        <v>85</v>
      </c>
      <c r="AA469" s="12" t="s">
        <v>613</v>
      </c>
      <c r="AB469" s="11" t="s">
        <v>3139</v>
      </c>
      <c r="AC469" s="11" t="s">
        <v>2208</v>
      </c>
      <c r="AD469" s="11" t="s">
        <v>2216</v>
      </c>
      <c r="AE469" s="11" t="s">
        <v>103</v>
      </c>
      <c r="AF469" s="11" t="s">
        <v>53</v>
      </c>
      <c r="AG469" s="11" t="s">
        <v>188</v>
      </c>
      <c r="AH469" s="11" t="s">
        <v>194</v>
      </c>
      <c r="AI469" s="11">
        <v>802823180</v>
      </c>
      <c r="AJ469" s="11" t="s">
        <v>191</v>
      </c>
      <c r="AK469" s="11"/>
      <c r="AL469" s="11"/>
      <c r="AM469" s="12" t="s">
        <v>64</v>
      </c>
      <c r="AN469" s="11"/>
      <c r="AO469" s="11"/>
      <c r="AP469" s="11"/>
      <c r="AQ469" s="3">
        <v>45507</v>
      </c>
      <c r="AR469" s="11">
        <v>300</v>
      </c>
      <c r="AS469" s="11" t="s">
        <v>433</v>
      </c>
      <c r="AT469" s="11" t="s">
        <v>2222</v>
      </c>
      <c r="AU469" s="2">
        <v>46181</v>
      </c>
    </row>
    <row r="470" spans="1:47" x14ac:dyDescent="0.25">
      <c r="A470" s="10" t="s">
        <v>3502</v>
      </c>
      <c r="B470" s="11" t="s">
        <v>3530</v>
      </c>
      <c r="C470" s="11">
        <v>0</v>
      </c>
      <c r="D470" s="11" t="s">
        <v>3451</v>
      </c>
      <c r="E470" s="11"/>
      <c r="F470" s="11"/>
      <c r="G470" s="11" t="s">
        <v>52</v>
      </c>
      <c r="H470" s="11">
        <v>21</v>
      </c>
      <c r="I470" s="11" t="s">
        <v>3558</v>
      </c>
      <c r="J470" s="11" t="s">
        <v>42</v>
      </c>
      <c r="K470" s="11">
        <f>Table1[[#This Row],[ENR]]-Table1[[#This Row],[CREDIT]]</f>
        <v>31616.400000000023</v>
      </c>
      <c r="L470" s="43">
        <v>390000</v>
      </c>
      <c r="M470" s="30">
        <v>421616.4</v>
      </c>
      <c r="N470" s="44">
        <v>80259.89</v>
      </c>
      <c r="O470" s="29">
        <v>341356.51</v>
      </c>
      <c r="P470" s="29">
        <v>309052.61</v>
      </c>
      <c r="Q470" s="11">
        <v>94530</v>
      </c>
      <c r="R470" s="29">
        <v>41400</v>
      </c>
      <c r="S470" s="11" t="s">
        <v>58</v>
      </c>
      <c r="T470" s="11" t="s">
        <v>13</v>
      </c>
      <c r="U470" s="11">
        <v>341356.51</v>
      </c>
      <c r="V470" s="29">
        <f>Table1[[#This Row],[STAB]]-Table1[[#This Row],[AMOUNT]]</f>
        <v>-299956.51</v>
      </c>
      <c r="W470" s="11">
        <v>0</v>
      </c>
      <c r="X470" s="11" t="s">
        <v>761</v>
      </c>
      <c r="Y470" s="11" t="s">
        <v>1085</v>
      </c>
      <c r="Z470" s="12" t="s">
        <v>85</v>
      </c>
      <c r="AA470" s="12"/>
      <c r="AB470" s="11"/>
      <c r="AC470" s="11" t="s">
        <v>3586</v>
      </c>
      <c r="AD470" s="11" t="s">
        <v>3614</v>
      </c>
      <c r="AE470" s="11" t="s">
        <v>414</v>
      </c>
      <c r="AF470" s="11" t="s">
        <v>127</v>
      </c>
      <c r="AG470" s="11" t="s">
        <v>3640</v>
      </c>
      <c r="AH470" s="11" t="s">
        <v>193</v>
      </c>
      <c r="AI470" s="11">
        <v>802824019</v>
      </c>
      <c r="AJ470" s="11" t="s">
        <v>189</v>
      </c>
      <c r="AK470" s="11"/>
      <c r="AL470" s="11"/>
      <c r="AM470" s="12" t="s">
        <v>64</v>
      </c>
      <c r="AN470" s="11"/>
      <c r="AO470" s="11"/>
      <c r="AP470" s="11"/>
      <c r="AQ470" s="3">
        <v>45723</v>
      </c>
      <c r="AR470" s="11">
        <v>30000</v>
      </c>
      <c r="AS470" s="11" t="s">
        <v>2221</v>
      </c>
      <c r="AT470" s="11" t="s">
        <v>3631</v>
      </c>
      <c r="AU470" s="2">
        <v>46181</v>
      </c>
    </row>
    <row r="471" spans="1:47" x14ac:dyDescent="0.25">
      <c r="A471" s="10" t="s">
        <v>2181</v>
      </c>
      <c r="B471" s="11" t="s">
        <v>2189</v>
      </c>
      <c r="C471" s="11">
        <v>0</v>
      </c>
      <c r="D471" s="11" t="s">
        <v>108</v>
      </c>
      <c r="E471" s="11"/>
      <c r="F471" s="11"/>
      <c r="G471" s="11" t="s">
        <v>52</v>
      </c>
      <c r="H471" s="11">
        <v>21</v>
      </c>
      <c r="I471" s="11" t="s">
        <v>2197</v>
      </c>
      <c r="J471" s="11" t="s">
        <v>42</v>
      </c>
      <c r="K471" s="11">
        <f>Table1[[#This Row],[ENR]]-Table1[[#This Row],[CREDIT]]</f>
        <v>-183575.75</v>
      </c>
      <c r="L471" s="43">
        <v>600000</v>
      </c>
      <c r="M471" s="30">
        <v>416424.25</v>
      </c>
      <c r="N471" s="44">
        <v>359922.43</v>
      </c>
      <c r="O471" s="29">
        <v>56501.82</v>
      </c>
      <c r="P471" s="29">
        <v>45270.68</v>
      </c>
      <c r="Q471" s="29">
        <v>56501.82</v>
      </c>
      <c r="R471" s="29">
        <v>27963.97</v>
      </c>
      <c r="S471" s="11" t="s">
        <v>58</v>
      </c>
      <c r="T471" s="11" t="s">
        <v>13</v>
      </c>
      <c r="U471" s="11">
        <v>56501.82</v>
      </c>
      <c r="V471" s="29">
        <f>Table1[[#This Row],[STAB]]-Table1[[#This Row],[AMOUNT]]</f>
        <v>-28537.85</v>
      </c>
      <c r="W471" s="11" t="s">
        <v>3473</v>
      </c>
      <c r="X471" s="11" t="s">
        <v>444</v>
      </c>
      <c r="Y471" s="11" t="s">
        <v>1085</v>
      </c>
      <c r="Z471" s="12" t="s">
        <v>85</v>
      </c>
      <c r="AA471" s="12" t="s">
        <v>613</v>
      </c>
      <c r="AB471" s="11" t="s">
        <v>3141</v>
      </c>
      <c r="AC471" s="11" t="s">
        <v>2205</v>
      </c>
      <c r="AD471" s="11" t="s">
        <v>2213</v>
      </c>
      <c r="AE471" s="11" t="s">
        <v>414</v>
      </c>
      <c r="AF471" s="11" t="s">
        <v>127</v>
      </c>
      <c r="AG471" s="11" t="s">
        <v>106</v>
      </c>
      <c r="AH471" s="11" t="s">
        <v>460</v>
      </c>
      <c r="AI471" s="11">
        <v>802913252</v>
      </c>
      <c r="AJ471" s="11" t="s">
        <v>190</v>
      </c>
      <c r="AK471" s="11"/>
      <c r="AL471" s="11"/>
      <c r="AM471" s="12" t="s">
        <v>64</v>
      </c>
      <c r="AN471" s="11" t="s">
        <v>446</v>
      </c>
      <c r="AO471" s="11" t="s">
        <v>3221</v>
      </c>
      <c r="AP471" s="11" t="s">
        <v>3206</v>
      </c>
      <c r="AQ471" s="3">
        <v>46074</v>
      </c>
      <c r="AR471" s="11">
        <v>36470</v>
      </c>
      <c r="AS471" s="11" t="s">
        <v>2221</v>
      </c>
      <c r="AT471" s="11" t="s">
        <v>2222</v>
      </c>
      <c r="AU471" s="2">
        <v>46181</v>
      </c>
    </row>
    <row r="472" spans="1:47" x14ac:dyDescent="0.25">
      <c r="A472" s="10" t="s">
        <v>2567</v>
      </c>
      <c r="B472" s="11" t="s">
        <v>2695</v>
      </c>
      <c r="C472" s="11">
        <v>0</v>
      </c>
      <c r="D472" s="11" t="s">
        <v>108</v>
      </c>
      <c r="E472" s="11"/>
      <c r="F472" s="11"/>
      <c r="G472" s="11" t="s">
        <v>52</v>
      </c>
      <c r="H472" s="11">
        <v>21</v>
      </c>
      <c r="I472" s="11" t="s">
        <v>2823</v>
      </c>
      <c r="J472" s="11" t="s">
        <v>42</v>
      </c>
      <c r="K472" s="11">
        <f>Table1[[#This Row],[ENR]]-Table1[[#This Row],[CREDIT]]</f>
        <v>167443.43</v>
      </c>
      <c r="L472" s="43">
        <v>220000</v>
      </c>
      <c r="M472" s="30">
        <v>387443.43</v>
      </c>
      <c r="N472" s="44">
        <v>158206.46</v>
      </c>
      <c r="O472" s="29">
        <v>229236.97</v>
      </c>
      <c r="P472" s="29">
        <v>207100.96</v>
      </c>
      <c r="Q472" s="29">
        <v>79040</v>
      </c>
      <c r="R472" s="29">
        <v>31940</v>
      </c>
      <c r="S472" s="11" t="s">
        <v>58</v>
      </c>
      <c r="T472" s="11" t="s">
        <v>14</v>
      </c>
      <c r="U472" s="29">
        <v>34100</v>
      </c>
      <c r="V472" s="29">
        <f>Table1[[#This Row],[STAB]]-Table1[[#This Row],[AMOUNT]]</f>
        <v>-2160</v>
      </c>
      <c r="W472" s="11" t="s">
        <v>3473</v>
      </c>
      <c r="X472" s="11" t="s">
        <v>444</v>
      </c>
      <c r="Y472" s="11" t="s">
        <v>760</v>
      </c>
      <c r="Z472" s="12" t="s">
        <v>85</v>
      </c>
      <c r="AA472" s="12" t="s">
        <v>613</v>
      </c>
      <c r="AB472" s="11" t="s">
        <v>3139</v>
      </c>
      <c r="AC472" s="11" t="s">
        <v>2952</v>
      </c>
      <c r="AD472" s="11" t="s">
        <v>3080</v>
      </c>
      <c r="AE472" s="11" t="s">
        <v>123</v>
      </c>
      <c r="AF472" s="11" t="s">
        <v>127</v>
      </c>
      <c r="AG472" s="11" t="s">
        <v>96</v>
      </c>
      <c r="AH472" s="11" t="s">
        <v>461</v>
      </c>
      <c r="AI472" s="11">
        <v>801436997</v>
      </c>
      <c r="AJ472" s="11" t="s">
        <v>190</v>
      </c>
      <c r="AK472" s="11"/>
      <c r="AL472" s="11"/>
      <c r="AM472" s="12" t="s">
        <v>64</v>
      </c>
      <c r="AN472" s="11"/>
      <c r="AO472" s="11"/>
      <c r="AP472" s="11"/>
      <c r="AQ472" s="3">
        <v>46044</v>
      </c>
      <c r="AR472" s="11">
        <v>30000</v>
      </c>
      <c r="AS472" s="11" t="s">
        <v>606</v>
      </c>
      <c r="AT472" s="11" t="s">
        <v>3118</v>
      </c>
      <c r="AU472" s="2">
        <v>46181</v>
      </c>
    </row>
    <row r="473" spans="1:47" x14ac:dyDescent="0.25">
      <c r="A473" s="10" t="s">
        <v>3504</v>
      </c>
      <c r="B473" s="11" t="s">
        <v>3532</v>
      </c>
      <c r="C473" s="11">
        <v>0</v>
      </c>
      <c r="D473" s="11" t="s">
        <v>3451</v>
      </c>
      <c r="E473" s="11"/>
      <c r="F473" s="11"/>
      <c r="G473" s="11" t="s">
        <v>52</v>
      </c>
      <c r="H473" s="11">
        <v>21</v>
      </c>
      <c r="I473" s="11" t="s">
        <v>3560</v>
      </c>
      <c r="J473" s="11" t="s">
        <v>42</v>
      </c>
      <c r="K473" s="11">
        <f>Table1[[#This Row],[ENR]]-Table1[[#This Row],[CREDIT]]</f>
        <v>89527.729999999981</v>
      </c>
      <c r="L473" s="43">
        <v>290000</v>
      </c>
      <c r="M473" s="30">
        <v>379527.73</v>
      </c>
      <c r="N473" s="44">
        <v>109808.68</v>
      </c>
      <c r="O473" s="29">
        <v>269719.05</v>
      </c>
      <c r="P473" s="29">
        <v>251947.99</v>
      </c>
      <c r="Q473" s="11">
        <v>81050</v>
      </c>
      <c r="R473" s="29">
        <v>23870</v>
      </c>
      <c r="S473" s="11" t="s">
        <v>58</v>
      </c>
      <c r="T473" s="11" t="s">
        <v>14</v>
      </c>
      <c r="U473" s="29">
        <v>29955</v>
      </c>
      <c r="V473" s="29">
        <f>Table1[[#This Row],[STAB]]-Table1[[#This Row],[AMOUNT]]</f>
        <v>-6085</v>
      </c>
      <c r="W473" s="11" t="s">
        <v>3642</v>
      </c>
      <c r="X473" s="11" t="s">
        <v>444</v>
      </c>
      <c r="Y473" s="11" t="s">
        <v>760</v>
      </c>
      <c r="Z473" s="11" t="s">
        <v>85</v>
      </c>
      <c r="AA473" s="11"/>
      <c r="AB473" s="11"/>
      <c r="AC473" s="11" t="s">
        <v>3588</v>
      </c>
      <c r="AD473" s="11" t="s">
        <v>3616</v>
      </c>
      <c r="AE473" s="11" t="s">
        <v>415</v>
      </c>
      <c r="AF473" s="11" t="s">
        <v>53</v>
      </c>
      <c r="AG473" s="11" t="s">
        <v>55</v>
      </c>
      <c r="AH473" s="11" t="s">
        <v>468</v>
      </c>
      <c r="AI473" s="11">
        <v>802030802</v>
      </c>
      <c r="AJ473" s="11" t="s">
        <v>458</v>
      </c>
      <c r="AK473" s="11"/>
      <c r="AL473" s="11"/>
      <c r="AM473" s="12" t="s">
        <v>64</v>
      </c>
      <c r="AN473" s="11"/>
      <c r="AO473" s="11"/>
      <c r="AP473" s="11"/>
      <c r="AQ473" s="3">
        <v>45466</v>
      </c>
      <c r="AR473" s="11">
        <v>60000</v>
      </c>
      <c r="AS473" s="11" t="s">
        <v>1073</v>
      </c>
      <c r="AT473" s="11" t="s">
        <v>3631</v>
      </c>
      <c r="AU473" s="2">
        <v>46181</v>
      </c>
    </row>
    <row r="474" spans="1:47" x14ac:dyDescent="0.25">
      <c r="A474" s="10" t="s">
        <v>3501</v>
      </c>
      <c r="B474" s="11" t="s">
        <v>3529</v>
      </c>
      <c r="C474" s="11">
        <v>0</v>
      </c>
      <c r="D474" s="11" t="s">
        <v>3451</v>
      </c>
      <c r="E474" s="11"/>
      <c r="F474" s="11"/>
      <c r="G474" s="11" t="s">
        <v>52</v>
      </c>
      <c r="H474" s="11">
        <v>21</v>
      </c>
      <c r="I474" s="11" t="s">
        <v>3557</v>
      </c>
      <c r="J474" s="11" t="s">
        <v>42</v>
      </c>
      <c r="K474" s="11">
        <f>Table1[[#This Row],[ENR]]-Table1[[#This Row],[CREDIT]]</f>
        <v>8399.8800000000047</v>
      </c>
      <c r="L474" s="43">
        <v>367500</v>
      </c>
      <c r="M474" s="30">
        <v>375899.88</v>
      </c>
      <c r="N474" s="44" t="s">
        <v>43</v>
      </c>
      <c r="O474" s="29">
        <v>375899.88</v>
      </c>
      <c r="P474" s="29">
        <v>345323.02</v>
      </c>
      <c r="Q474" s="11">
        <v>71460</v>
      </c>
      <c r="R474" s="29">
        <v>16455</v>
      </c>
      <c r="S474" s="11" t="s">
        <v>44</v>
      </c>
      <c r="T474" s="11" t="s">
        <v>45</v>
      </c>
      <c r="U474" s="11">
        <v>0</v>
      </c>
      <c r="V474" s="29">
        <f>Table1[[#This Row],[STAB]]-Table1[[#This Row],[AMOUNT]]</f>
        <v>16455</v>
      </c>
      <c r="W474" s="11">
        <v>0</v>
      </c>
      <c r="X474" s="11" t="s">
        <v>83</v>
      </c>
      <c r="Y474" s="11">
        <v>0</v>
      </c>
      <c r="Z474" s="11" t="s">
        <v>85</v>
      </c>
      <c r="AA474" s="11"/>
      <c r="AB474" s="11"/>
      <c r="AC474" s="11" t="s">
        <v>3585</v>
      </c>
      <c r="AD474" s="11" t="s">
        <v>3613</v>
      </c>
      <c r="AE474" s="11" t="s">
        <v>125</v>
      </c>
      <c r="AF474" s="11" t="s">
        <v>127</v>
      </c>
      <c r="AG474" s="11" t="s">
        <v>56</v>
      </c>
      <c r="AH474" s="11" t="s">
        <v>462</v>
      </c>
      <c r="AI474" s="11">
        <v>801448854</v>
      </c>
      <c r="AJ474" s="11" t="s">
        <v>191</v>
      </c>
      <c r="AK474" s="11"/>
      <c r="AL474" s="11"/>
      <c r="AM474" s="12" t="s">
        <v>46</v>
      </c>
      <c r="AN474" s="11"/>
      <c r="AO474" s="11"/>
      <c r="AP474" s="11"/>
      <c r="AQ474" s="3">
        <v>46098</v>
      </c>
      <c r="AR474" s="11">
        <v>1</v>
      </c>
      <c r="AS474" s="11" t="s">
        <v>2221</v>
      </c>
      <c r="AT474" s="11" t="s">
        <v>3631</v>
      </c>
      <c r="AU474" s="2">
        <v>46181</v>
      </c>
    </row>
    <row r="475" spans="1:47" x14ac:dyDescent="0.25">
      <c r="A475" s="10" t="s">
        <v>2183</v>
      </c>
      <c r="B475" s="11" t="s">
        <v>2191</v>
      </c>
      <c r="C475" s="11">
        <v>0</v>
      </c>
      <c r="D475" s="11" t="s">
        <v>108</v>
      </c>
      <c r="E475" s="11"/>
      <c r="F475" s="11"/>
      <c r="G475" s="11" t="s">
        <v>52</v>
      </c>
      <c r="H475" s="11">
        <v>21</v>
      </c>
      <c r="I475" s="11" t="s">
        <v>2199</v>
      </c>
      <c r="J475" s="11" t="s">
        <v>42</v>
      </c>
      <c r="K475" s="11">
        <f>Table1[[#This Row],[ENR]]-Table1[[#This Row],[CREDIT]]</f>
        <v>29576.820000000007</v>
      </c>
      <c r="L475" s="43">
        <v>320000</v>
      </c>
      <c r="M475" s="30">
        <v>349576.82</v>
      </c>
      <c r="N475" s="44" t="s">
        <v>43</v>
      </c>
      <c r="O475" s="29">
        <v>349576.82</v>
      </c>
      <c r="P475" s="29">
        <v>318901.19</v>
      </c>
      <c r="Q475" s="29">
        <v>102640</v>
      </c>
      <c r="R475" s="29">
        <v>31060</v>
      </c>
      <c r="S475" s="11" t="s">
        <v>58</v>
      </c>
      <c r="T475" s="11" t="s">
        <v>13</v>
      </c>
      <c r="U475" s="11">
        <v>349576.82</v>
      </c>
      <c r="V475" s="29">
        <f>Table1[[#This Row],[STAB]]-Table1[[#This Row],[AMOUNT]]</f>
        <v>-318516.82</v>
      </c>
      <c r="W475" s="11" t="s">
        <v>2294</v>
      </c>
      <c r="X475" s="11" t="s">
        <v>444</v>
      </c>
      <c r="Y475" s="11" t="s">
        <v>760</v>
      </c>
      <c r="Z475" s="12" t="s">
        <v>85</v>
      </c>
      <c r="AA475" s="12" t="s">
        <v>613</v>
      </c>
      <c r="AB475" s="11" t="s">
        <v>3139</v>
      </c>
      <c r="AC475" s="11" t="s">
        <v>2207</v>
      </c>
      <c r="AD475" s="11" t="s">
        <v>2215</v>
      </c>
      <c r="AE475" s="11" t="s">
        <v>103</v>
      </c>
      <c r="AF475" s="11" t="s">
        <v>53</v>
      </c>
      <c r="AG475" s="11" t="s">
        <v>188</v>
      </c>
      <c r="AH475" s="11" t="s">
        <v>194</v>
      </c>
      <c r="AI475" s="11">
        <v>802823180</v>
      </c>
      <c r="AJ475" s="11" t="s">
        <v>191</v>
      </c>
      <c r="AK475" s="11"/>
      <c r="AL475" s="11"/>
      <c r="AM475" s="12" t="s">
        <v>64</v>
      </c>
      <c r="AN475" s="11"/>
      <c r="AO475" s="11"/>
      <c r="AP475" s="11"/>
      <c r="AQ475" s="3">
        <v>45828</v>
      </c>
      <c r="AR475" s="11">
        <v>60450</v>
      </c>
      <c r="AS475" s="11" t="s">
        <v>608</v>
      </c>
      <c r="AT475" s="11" t="s">
        <v>2222</v>
      </c>
      <c r="AU475" s="2">
        <v>46181</v>
      </c>
    </row>
    <row r="476" spans="1:47" x14ac:dyDescent="0.25">
      <c r="A476" s="10" t="s">
        <v>2186</v>
      </c>
      <c r="B476" s="11" t="s">
        <v>2194</v>
      </c>
      <c r="C476" s="11">
        <v>0</v>
      </c>
      <c r="D476" s="11" t="s">
        <v>108</v>
      </c>
      <c r="E476" s="11"/>
      <c r="F476" s="11"/>
      <c r="G476" s="11" t="s">
        <v>52</v>
      </c>
      <c r="H476" s="11">
        <v>21</v>
      </c>
      <c r="I476" s="11" t="s">
        <v>2202</v>
      </c>
      <c r="J476" s="11" t="s">
        <v>42</v>
      </c>
      <c r="K476" s="11">
        <f>Table1[[#This Row],[ENR]]-Table1[[#This Row],[CREDIT]]</f>
        <v>22545.909999999974</v>
      </c>
      <c r="L476" s="43">
        <v>320000</v>
      </c>
      <c r="M476" s="30">
        <v>342545.91</v>
      </c>
      <c r="N476" s="44">
        <v>19057.689999999999</v>
      </c>
      <c r="O476" s="29">
        <v>323488.21999999997</v>
      </c>
      <c r="P476" s="29">
        <v>293890.84999999998</v>
      </c>
      <c r="Q476" s="29">
        <v>83890</v>
      </c>
      <c r="R476" s="29">
        <v>33490</v>
      </c>
      <c r="S476" s="11" t="s">
        <v>44</v>
      </c>
      <c r="T476" s="11" t="s">
        <v>45</v>
      </c>
      <c r="U476" s="11">
        <v>0</v>
      </c>
      <c r="V476" s="29">
        <f>Table1[[#This Row],[STAB]]-Table1[[#This Row],[AMOUNT]]</f>
        <v>33490</v>
      </c>
      <c r="W476" s="11">
        <v>0</v>
      </c>
      <c r="X476" s="11" t="s">
        <v>83</v>
      </c>
      <c r="Y476" s="11" t="s">
        <v>1085</v>
      </c>
      <c r="Z476" s="12" t="s">
        <v>85</v>
      </c>
      <c r="AA476" s="12" t="s">
        <v>447</v>
      </c>
      <c r="AB476" s="11" t="s">
        <v>3139</v>
      </c>
      <c r="AC476" s="11" t="s">
        <v>2210</v>
      </c>
      <c r="AD476" s="11" t="s">
        <v>2218</v>
      </c>
      <c r="AE476" s="11" t="s">
        <v>123</v>
      </c>
      <c r="AF476" s="11" t="s">
        <v>127</v>
      </c>
      <c r="AG476" s="11" t="s">
        <v>96</v>
      </c>
      <c r="AH476" s="11" t="s">
        <v>461</v>
      </c>
      <c r="AI476" s="11">
        <v>801436997</v>
      </c>
      <c r="AJ476" s="11" t="s">
        <v>190</v>
      </c>
      <c r="AK476" s="11"/>
      <c r="AL476" s="11"/>
      <c r="AM476" s="12" t="s">
        <v>64</v>
      </c>
      <c r="AN476" s="11" t="s">
        <v>219</v>
      </c>
      <c r="AO476" s="11" t="s">
        <v>3242</v>
      </c>
      <c r="AP476" s="11" t="s">
        <v>3238</v>
      </c>
      <c r="AQ476" s="3">
        <v>46129</v>
      </c>
      <c r="AR476" s="11">
        <v>100000</v>
      </c>
      <c r="AS476" s="11" t="s">
        <v>433</v>
      </c>
      <c r="AT476" s="11" t="s">
        <v>2222</v>
      </c>
      <c r="AU476" s="2">
        <v>46181</v>
      </c>
    </row>
    <row r="477" spans="1:47" x14ac:dyDescent="0.25">
      <c r="A477" s="10" t="s">
        <v>2575</v>
      </c>
      <c r="B477" s="11" t="s">
        <v>2703</v>
      </c>
      <c r="C477" s="11">
        <v>0</v>
      </c>
      <c r="D477" s="11" t="s">
        <v>108</v>
      </c>
      <c r="E477" s="11"/>
      <c r="F477" s="11"/>
      <c r="G477" s="11" t="s">
        <v>52</v>
      </c>
      <c r="H477" s="11">
        <v>21</v>
      </c>
      <c r="I477" s="11" t="s">
        <v>2831</v>
      </c>
      <c r="J477" s="11" t="s">
        <v>42</v>
      </c>
      <c r="K477" s="11">
        <f>Table1[[#This Row],[ENR]]-Table1[[#This Row],[CREDIT]]</f>
        <v>56405.030000000028</v>
      </c>
      <c r="L477" s="43">
        <v>280000</v>
      </c>
      <c r="M477" s="30">
        <v>336405.03</v>
      </c>
      <c r="N477" s="44">
        <v>298674.02</v>
      </c>
      <c r="O477" s="29">
        <v>37731.01</v>
      </c>
      <c r="P477" s="29">
        <v>28475.63</v>
      </c>
      <c r="Q477" s="29">
        <v>37731.01</v>
      </c>
      <c r="R477" s="29">
        <v>17751.14</v>
      </c>
      <c r="S477" s="11" t="s">
        <v>58</v>
      </c>
      <c r="T477" s="11" t="s">
        <v>13</v>
      </c>
      <c r="U477" s="11">
        <v>38000</v>
      </c>
      <c r="V477" s="29">
        <f>Table1[[#This Row],[STAB]]-Table1[[#This Row],[AMOUNT]]</f>
        <v>-20248.86</v>
      </c>
      <c r="W477" s="11" t="s">
        <v>3191</v>
      </c>
      <c r="X477" s="11" t="s">
        <v>451</v>
      </c>
      <c r="Y477" s="11" t="s">
        <v>1085</v>
      </c>
      <c r="Z477" s="11" t="s">
        <v>85</v>
      </c>
      <c r="AA477" s="11" t="s">
        <v>611</v>
      </c>
      <c r="AB477" s="11" t="s">
        <v>3139</v>
      </c>
      <c r="AC477" s="11" t="s">
        <v>2960</v>
      </c>
      <c r="AD477" s="11" t="s">
        <v>3088</v>
      </c>
      <c r="AE477" s="11" t="s">
        <v>413</v>
      </c>
      <c r="AF477" s="11" t="s">
        <v>54</v>
      </c>
      <c r="AG477" s="11" t="s">
        <v>129</v>
      </c>
      <c r="AH477" s="11" t="s">
        <v>753</v>
      </c>
      <c r="AI477" s="11">
        <v>802794852</v>
      </c>
      <c r="AJ477" s="11" t="s">
        <v>190</v>
      </c>
      <c r="AK477" s="11"/>
      <c r="AL477" s="11"/>
      <c r="AM477" s="12" t="s">
        <v>64</v>
      </c>
      <c r="AN477" s="11" t="s">
        <v>115</v>
      </c>
      <c r="AO477" s="11" t="s">
        <v>3154</v>
      </c>
      <c r="AP477" s="11" t="s">
        <v>3129</v>
      </c>
      <c r="AQ477" s="3">
        <v>45604</v>
      </c>
      <c r="AR477" s="11">
        <v>50000</v>
      </c>
      <c r="AS477" s="11" t="s">
        <v>606</v>
      </c>
      <c r="AT477" s="11" t="s">
        <v>3118</v>
      </c>
      <c r="AU477" s="2">
        <v>46181</v>
      </c>
    </row>
    <row r="478" spans="1:47" x14ac:dyDescent="0.25">
      <c r="A478" s="10" t="s">
        <v>2596</v>
      </c>
      <c r="B478" s="11" t="s">
        <v>2724</v>
      </c>
      <c r="C478" s="11">
        <v>0</v>
      </c>
      <c r="D478" s="11" t="s">
        <v>108</v>
      </c>
      <c r="E478" s="11"/>
      <c r="F478" s="11"/>
      <c r="G478" s="11" t="s">
        <v>52</v>
      </c>
      <c r="H478" s="11">
        <v>21</v>
      </c>
      <c r="I478" s="11" t="s">
        <v>2852</v>
      </c>
      <c r="J478" s="11" t="s">
        <v>42</v>
      </c>
      <c r="K478" s="11">
        <f>Table1[[#This Row],[ENR]]-Table1[[#This Row],[CREDIT]]</f>
        <v>-34238.010000000009</v>
      </c>
      <c r="L478" s="43">
        <v>350000</v>
      </c>
      <c r="M478" s="30">
        <v>315761.99</v>
      </c>
      <c r="N478" s="44" t="s">
        <v>43</v>
      </c>
      <c r="O478" s="29">
        <v>315761.99</v>
      </c>
      <c r="P478" s="29">
        <v>285425.42</v>
      </c>
      <c r="Q478" s="29">
        <v>47700</v>
      </c>
      <c r="R478" s="29">
        <v>19070</v>
      </c>
      <c r="S478" s="11" t="s">
        <v>44</v>
      </c>
      <c r="T478" s="11" t="s">
        <v>45</v>
      </c>
      <c r="U478" s="11">
        <v>0</v>
      </c>
      <c r="V478" s="29">
        <f>Table1[[#This Row],[STAB]]-Table1[[#This Row],[AMOUNT]]</f>
        <v>19070</v>
      </c>
      <c r="W478" s="11">
        <v>0</v>
      </c>
      <c r="X478" s="11" t="s">
        <v>83</v>
      </c>
      <c r="Y478" s="11">
        <v>0</v>
      </c>
      <c r="Z478" s="11" t="s">
        <v>85</v>
      </c>
      <c r="AA478" s="12" t="s">
        <v>612</v>
      </c>
      <c r="AB478" s="11" t="s">
        <v>3139</v>
      </c>
      <c r="AC478" s="11" t="s">
        <v>2981</v>
      </c>
      <c r="AD478" s="11" t="s">
        <v>3109</v>
      </c>
      <c r="AE478" s="11" t="s">
        <v>427</v>
      </c>
      <c r="AF478" s="11" t="s">
        <v>53</v>
      </c>
      <c r="AG478" s="11" t="s">
        <v>55</v>
      </c>
      <c r="AH478" s="11" t="s">
        <v>468</v>
      </c>
      <c r="AI478" s="11">
        <v>802030802</v>
      </c>
      <c r="AJ478" s="11" t="s">
        <v>458</v>
      </c>
      <c r="AK478" s="11"/>
      <c r="AL478" s="11"/>
      <c r="AM478" s="12" t="s">
        <v>64</v>
      </c>
      <c r="AN478" s="11" t="s">
        <v>219</v>
      </c>
      <c r="AO478" s="11" t="s">
        <v>3219</v>
      </c>
      <c r="AP478" s="11" t="s">
        <v>3206</v>
      </c>
      <c r="AQ478" s="3" t="s">
        <v>43</v>
      </c>
      <c r="AR478" s="11">
        <v>0</v>
      </c>
      <c r="AS478" s="11" t="s">
        <v>433</v>
      </c>
      <c r="AT478" s="11" t="s">
        <v>3118</v>
      </c>
      <c r="AU478" s="2">
        <v>46181</v>
      </c>
    </row>
    <row r="479" spans="1:47" x14ac:dyDescent="0.25">
      <c r="A479" s="10" t="s">
        <v>3508</v>
      </c>
      <c r="B479" s="11" t="s">
        <v>3536</v>
      </c>
      <c r="C479" s="11">
        <v>0</v>
      </c>
      <c r="D479" s="11" t="s">
        <v>3451</v>
      </c>
      <c r="E479" s="11"/>
      <c r="F479" s="11"/>
      <c r="G479" s="11" t="s">
        <v>52</v>
      </c>
      <c r="H479" s="11">
        <v>21</v>
      </c>
      <c r="I479" s="11" t="s">
        <v>3564</v>
      </c>
      <c r="J479" s="11" t="s">
        <v>42</v>
      </c>
      <c r="K479" s="11">
        <f>Table1[[#This Row],[ENR]]-Table1[[#This Row],[CREDIT]]</f>
        <v>11762</v>
      </c>
      <c r="L479" s="43">
        <v>290000</v>
      </c>
      <c r="M479" s="30">
        <v>301762</v>
      </c>
      <c r="N479" s="44" t="s">
        <v>43</v>
      </c>
      <c r="O479" s="29">
        <v>301762</v>
      </c>
      <c r="P479" s="29">
        <v>280000</v>
      </c>
      <c r="Q479" s="11">
        <v>48850</v>
      </c>
      <c r="R479" s="29">
        <v>9500</v>
      </c>
      <c r="S479" s="11" t="s">
        <v>58</v>
      </c>
      <c r="T479" s="11" t="s">
        <v>14</v>
      </c>
      <c r="U479" s="29">
        <v>12750</v>
      </c>
      <c r="V479" s="29">
        <f>Table1[[#This Row],[STAB]]-Table1[[#This Row],[AMOUNT]]</f>
        <v>-3250</v>
      </c>
      <c r="W479" s="11" t="s">
        <v>3642</v>
      </c>
      <c r="X479" s="11" t="s">
        <v>444</v>
      </c>
      <c r="Y479" s="11" t="s">
        <v>1085</v>
      </c>
      <c r="Z479" s="11" t="s">
        <v>85</v>
      </c>
      <c r="AA479" s="11"/>
      <c r="AB479" s="11"/>
      <c r="AC479" s="11" t="s">
        <v>3592</v>
      </c>
      <c r="AD479" s="11" t="s">
        <v>3620</v>
      </c>
      <c r="AE479" s="11" t="s">
        <v>1072</v>
      </c>
      <c r="AF479" s="11" t="s">
        <v>53</v>
      </c>
      <c r="AG479" s="11" t="s">
        <v>3469</v>
      </c>
      <c r="AH479" s="11" t="s">
        <v>752</v>
      </c>
      <c r="AI479" s="11">
        <v>802241455</v>
      </c>
      <c r="AJ479" s="11" t="s">
        <v>191</v>
      </c>
      <c r="AK479" s="11"/>
      <c r="AL479" s="11"/>
      <c r="AM479" s="12" t="s">
        <v>64</v>
      </c>
      <c r="AN479" s="11"/>
      <c r="AO479" s="11"/>
      <c r="AP479" s="11"/>
      <c r="AQ479" s="3" t="s">
        <v>43</v>
      </c>
      <c r="AR479" s="11">
        <v>0</v>
      </c>
      <c r="AS479" s="11" t="s">
        <v>432</v>
      </c>
      <c r="AT479" s="11" t="s">
        <v>3631</v>
      </c>
      <c r="AU479" s="2">
        <v>46181</v>
      </c>
    </row>
    <row r="480" spans="1:47" x14ac:dyDescent="0.25">
      <c r="A480" s="10" t="s">
        <v>2530</v>
      </c>
      <c r="B480" s="11" t="s">
        <v>2658</v>
      </c>
      <c r="C480" s="11">
        <v>0</v>
      </c>
      <c r="D480" s="11" t="s">
        <v>108</v>
      </c>
      <c r="E480" s="11"/>
      <c r="F480" s="11"/>
      <c r="G480" s="11" t="s">
        <v>52</v>
      </c>
      <c r="H480" s="11">
        <v>21</v>
      </c>
      <c r="I480" s="11" t="s">
        <v>2786</v>
      </c>
      <c r="J480" s="11" t="s">
        <v>42</v>
      </c>
      <c r="K480" s="11">
        <f>Table1[[#This Row],[ENR]]-Table1[[#This Row],[CREDIT]]</f>
        <v>20996.969999999972</v>
      </c>
      <c r="L480" s="43">
        <v>270000</v>
      </c>
      <c r="M480" s="30">
        <v>290996.96999999997</v>
      </c>
      <c r="N480" s="44">
        <v>51954.93</v>
      </c>
      <c r="O480" s="29">
        <v>239042.04</v>
      </c>
      <c r="P480" s="29">
        <v>216058.16</v>
      </c>
      <c r="Q480" s="29">
        <v>59310</v>
      </c>
      <c r="R480" s="29">
        <v>25190</v>
      </c>
      <c r="S480" s="11" t="s">
        <v>58</v>
      </c>
      <c r="T480" s="11" t="s">
        <v>13</v>
      </c>
      <c r="U480" s="29">
        <v>239042.04</v>
      </c>
      <c r="V480" s="29">
        <f>Table1[[#This Row],[STAB]]-Table1[[#This Row],[AMOUNT]]</f>
        <v>-213852.04</v>
      </c>
      <c r="W480" s="11" t="s">
        <v>3473</v>
      </c>
      <c r="X480" s="11" t="s">
        <v>444</v>
      </c>
      <c r="Y480" s="11" t="s">
        <v>760</v>
      </c>
      <c r="Z480" s="11" t="s">
        <v>85</v>
      </c>
      <c r="AA480" s="11" t="s">
        <v>613</v>
      </c>
      <c r="AB480" s="11" t="s">
        <v>3139</v>
      </c>
      <c r="AC480" s="11" t="s">
        <v>2915</v>
      </c>
      <c r="AD480" s="11" t="s">
        <v>3043</v>
      </c>
      <c r="AE480" s="11" t="s">
        <v>603</v>
      </c>
      <c r="AF480" s="11" t="s">
        <v>53</v>
      </c>
      <c r="AG480" s="11" t="s">
        <v>89</v>
      </c>
      <c r="AH480" s="11" t="s">
        <v>193</v>
      </c>
      <c r="AI480" s="11">
        <v>802824019</v>
      </c>
      <c r="AJ480" s="11" t="s">
        <v>189</v>
      </c>
      <c r="AK480" s="11"/>
      <c r="AL480" s="11"/>
      <c r="AM480" s="12" t="s">
        <v>64</v>
      </c>
      <c r="AN480" s="11"/>
      <c r="AO480" s="11"/>
      <c r="AP480" s="11"/>
      <c r="AQ480" s="3">
        <v>46029</v>
      </c>
      <c r="AR480" s="11">
        <v>1066</v>
      </c>
      <c r="AS480" s="11" t="s">
        <v>430</v>
      </c>
      <c r="AT480" s="11" t="s">
        <v>3118</v>
      </c>
      <c r="AU480" s="2">
        <v>46181</v>
      </c>
    </row>
    <row r="481" spans="1:47" x14ac:dyDescent="0.25">
      <c r="A481" s="10" t="s">
        <v>2568</v>
      </c>
      <c r="B481" s="11" t="s">
        <v>2696</v>
      </c>
      <c r="C481" s="11">
        <v>0</v>
      </c>
      <c r="D481" s="11" t="s">
        <v>108</v>
      </c>
      <c r="E481" s="11"/>
      <c r="F481" s="11"/>
      <c r="G481" s="11" t="s">
        <v>52</v>
      </c>
      <c r="H481" s="11">
        <v>21</v>
      </c>
      <c r="I481" s="11" t="s">
        <v>2824</v>
      </c>
      <c r="J481" s="11" t="s">
        <v>42</v>
      </c>
      <c r="K481" s="11">
        <f>Table1[[#This Row],[ENR]]-Table1[[#This Row],[CREDIT]]</f>
        <v>13656.190000000002</v>
      </c>
      <c r="L481" s="43">
        <v>270000</v>
      </c>
      <c r="M481" s="30">
        <v>283656.19</v>
      </c>
      <c r="N481" s="44">
        <v>162190.24</v>
      </c>
      <c r="O481" s="29">
        <v>121465.95</v>
      </c>
      <c r="P481" s="29">
        <v>105245.53</v>
      </c>
      <c r="Q481" s="29">
        <v>44770</v>
      </c>
      <c r="R481" s="29">
        <v>18670</v>
      </c>
      <c r="S481" s="11" t="s">
        <v>58</v>
      </c>
      <c r="T481" s="11" t="s">
        <v>13</v>
      </c>
      <c r="U481" s="11">
        <v>113465</v>
      </c>
      <c r="V481" s="29">
        <f>Table1[[#This Row],[STAB]]-Table1[[#This Row],[AMOUNT]]</f>
        <v>-94795</v>
      </c>
      <c r="W481" s="11" t="s">
        <v>3169</v>
      </c>
      <c r="X481" s="11" t="s">
        <v>444</v>
      </c>
      <c r="Y481" s="11" t="s">
        <v>1085</v>
      </c>
      <c r="Z481" s="12" t="s">
        <v>85</v>
      </c>
      <c r="AA481" s="12" t="s">
        <v>611</v>
      </c>
      <c r="AB481" s="11" t="s">
        <v>3139</v>
      </c>
      <c r="AC481" s="11" t="s">
        <v>2953</v>
      </c>
      <c r="AD481" s="11" t="s">
        <v>3081</v>
      </c>
      <c r="AE481" s="11" t="s">
        <v>419</v>
      </c>
      <c r="AF481" s="11" t="s">
        <v>127</v>
      </c>
      <c r="AG481" s="11" t="s">
        <v>96</v>
      </c>
      <c r="AH481" s="11" t="s">
        <v>461</v>
      </c>
      <c r="AI481" s="11">
        <v>801436997</v>
      </c>
      <c r="AJ481" s="11" t="s">
        <v>190</v>
      </c>
      <c r="AK481" s="11"/>
      <c r="AL481" s="11"/>
      <c r="AM481" s="12" t="s">
        <v>64</v>
      </c>
      <c r="AN481" s="11"/>
      <c r="AO481" s="11"/>
      <c r="AP481" s="11"/>
      <c r="AQ481" s="3">
        <v>46119</v>
      </c>
      <c r="AR481" s="11">
        <v>87251</v>
      </c>
      <c r="AS481" s="11" t="s">
        <v>606</v>
      </c>
      <c r="AT481" s="11" t="s">
        <v>3118</v>
      </c>
      <c r="AU481" s="2">
        <v>46181</v>
      </c>
    </row>
    <row r="482" spans="1:47" x14ac:dyDescent="0.25">
      <c r="A482" s="10" t="s">
        <v>2588</v>
      </c>
      <c r="B482" s="11" t="s">
        <v>2716</v>
      </c>
      <c r="C482" s="11">
        <v>0</v>
      </c>
      <c r="D482" s="11" t="s">
        <v>108</v>
      </c>
      <c r="E482" s="11"/>
      <c r="F482" s="11"/>
      <c r="G482" s="11" t="s">
        <v>52</v>
      </c>
      <c r="H482" s="11">
        <v>21</v>
      </c>
      <c r="I482" s="11" t="s">
        <v>2844</v>
      </c>
      <c r="J482" s="11" t="s">
        <v>42</v>
      </c>
      <c r="K482" s="11">
        <f>Table1[[#This Row],[ENR]]-Table1[[#This Row],[CREDIT]]</f>
        <v>16678.320000000007</v>
      </c>
      <c r="L482" s="43">
        <v>250000</v>
      </c>
      <c r="M482" s="30">
        <v>266678.32</v>
      </c>
      <c r="N482" s="44">
        <v>11611.58</v>
      </c>
      <c r="O482" s="29">
        <v>255066.74</v>
      </c>
      <c r="P482" s="29">
        <v>238374.81</v>
      </c>
      <c r="Q482" s="29">
        <v>54980</v>
      </c>
      <c r="R482" s="29">
        <v>17320</v>
      </c>
      <c r="S482" s="11" t="s">
        <v>44</v>
      </c>
      <c r="T482" s="11" t="s">
        <v>45</v>
      </c>
      <c r="U482" s="11">
        <v>0</v>
      </c>
      <c r="V482" s="29">
        <f>Table1[[#This Row],[STAB]]-Table1[[#This Row],[AMOUNT]]</f>
        <v>17320</v>
      </c>
      <c r="W482" s="11">
        <v>0</v>
      </c>
      <c r="X482" s="11" t="s">
        <v>83</v>
      </c>
      <c r="Y482" s="11">
        <v>0</v>
      </c>
      <c r="Z482" s="11" t="s">
        <v>85</v>
      </c>
      <c r="AA482" s="11" t="s">
        <v>611</v>
      </c>
      <c r="AB482" s="11" t="s">
        <v>3139</v>
      </c>
      <c r="AC482" s="11" t="s">
        <v>2973</v>
      </c>
      <c r="AD482" s="11" t="s">
        <v>3101</v>
      </c>
      <c r="AE482" s="11" t="s">
        <v>423</v>
      </c>
      <c r="AF482" s="11" t="s">
        <v>54</v>
      </c>
      <c r="AG482" s="11" t="s">
        <v>60</v>
      </c>
      <c r="AH482" s="11" t="s">
        <v>465</v>
      </c>
      <c r="AI482" s="11">
        <v>802823175</v>
      </c>
      <c r="AJ482" s="11" t="s">
        <v>191</v>
      </c>
      <c r="AK482" s="11"/>
      <c r="AL482" s="11"/>
      <c r="AM482" s="12" t="s">
        <v>46</v>
      </c>
      <c r="AN482" s="11"/>
      <c r="AO482" s="11"/>
      <c r="AP482" s="11"/>
      <c r="AQ482" s="3">
        <v>45982</v>
      </c>
      <c r="AR482" s="11">
        <v>16000</v>
      </c>
      <c r="AS482" s="11" t="s">
        <v>433</v>
      </c>
      <c r="AT482" s="11" t="s">
        <v>3118</v>
      </c>
      <c r="AU482" s="2">
        <v>46181</v>
      </c>
    </row>
    <row r="483" spans="1:47" x14ac:dyDescent="0.25">
      <c r="A483" s="10" t="s">
        <v>2559</v>
      </c>
      <c r="B483" s="11" t="s">
        <v>2687</v>
      </c>
      <c r="C483" s="11">
        <v>0</v>
      </c>
      <c r="D483" s="11" t="s">
        <v>108</v>
      </c>
      <c r="E483" s="11"/>
      <c r="F483" s="11"/>
      <c r="G483" s="11" t="s">
        <v>52</v>
      </c>
      <c r="H483" s="11">
        <v>21</v>
      </c>
      <c r="I483" s="11" t="s">
        <v>2815</v>
      </c>
      <c r="J483" s="11" t="s">
        <v>42</v>
      </c>
      <c r="K483" s="11">
        <f>Table1[[#This Row],[ENR]]-Table1[[#This Row],[CREDIT]]</f>
        <v>21643.320000000007</v>
      </c>
      <c r="L483" s="43">
        <v>240000</v>
      </c>
      <c r="M483" s="30">
        <v>261643.32</v>
      </c>
      <c r="N483" s="44" t="s">
        <v>43</v>
      </c>
      <c r="O483" s="29">
        <v>261643.32</v>
      </c>
      <c r="P483" s="29">
        <v>239999.87</v>
      </c>
      <c r="Q483" s="29">
        <v>58070</v>
      </c>
      <c r="R483" s="29">
        <v>22743.18</v>
      </c>
      <c r="S483" s="11" t="s">
        <v>58</v>
      </c>
      <c r="T483" s="11" t="s">
        <v>13</v>
      </c>
      <c r="U483" s="11">
        <v>261643.32</v>
      </c>
      <c r="V483" s="29">
        <f>Table1[[#This Row],[STAB]]-Table1[[#This Row],[AMOUNT]]</f>
        <v>-238900.14</v>
      </c>
      <c r="W483" s="11" t="s">
        <v>3238</v>
      </c>
      <c r="X483" s="11" t="s">
        <v>444</v>
      </c>
      <c r="Y483" s="11" t="s">
        <v>760</v>
      </c>
      <c r="Z483" s="11" t="s">
        <v>85</v>
      </c>
      <c r="AA483" s="11" t="s">
        <v>447</v>
      </c>
      <c r="AB483" s="11" t="s">
        <v>3139</v>
      </c>
      <c r="AC483" s="11" t="s">
        <v>2944</v>
      </c>
      <c r="AD483" s="11" t="s">
        <v>3072</v>
      </c>
      <c r="AE483" s="11" t="s">
        <v>92</v>
      </c>
      <c r="AF483" s="11" t="s">
        <v>54</v>
      </c>
      <c r="AG483" s="11" t="s">
        <v>101</v>
      </c>
      <c r="AH483" s="11" t="s">
        <v>197</v>
      </c>
      <c r="AI483" s="11">
        <v>802370852</v>
      </c>
      <c r="AJ483" s="11" t="s">
        <v>191</v>
      </c>
      <c r="AK483" s="11"/>
      <c r="AL483" s="11"/>
      <c r="AM483" s="12" t="s">
        <v>64</v>
      </c>
      <c r="AN483" s="11" t="s">
        <v>219</v>
      </c>
      <c r="AO483" s="11" t="s">
        <v>3235</v>
      </c>
      <c r="AP483" s="11" t="s">
        <v>3206</v>
      </c>
      <c r="AQ483" s="3">
        <v>45392</v>
      </c>
      <c r="AR483" s="11">
        <v>10762.44</v>
      </c>
      <c r="AS483" s="11" t="s">
        <v>606</v>
      </c>
      <c r="AT483" s="11" t="s">
        <v>3118</v>
      </c>
      <c r="AU483" s="2">
        <v>46181</v>
      </c>
    </row>
    <row r="484" spans="1:47" x14ac:dyDescent="0.25">
      <c r="A484" s="10" t="s">
        <v>2532</v>
      </c>
      <c r="B484" s="11" t="s">
        <v>2660</v>
      </c>
      <c r="C484" s="11">
        <v>0</v>
      </c>
      <c r="D484" s="11" t="s">
        <v>108</v>
      </c>
      <c r="E484" s="11"/>
      <c r="F484" s="11"/>
      <c r="G484" s="11" t="s">
        <v>52</v>
      </c>
      <c r="H484" s="11">
        <v>21</v>
      </c>
      <c r="I484" s="11" t="s">
        <v>2788</v>
      </c>
      <c r="J484" s="11" t="s">
        <v>42</v>
      </c>
      <c r="K484" s="11">
        <f>Table1[[#This Row],[ENR]]-Table1[[#This Row],[CREDIT]]</f>
        <v>-19393.609999999986</v>
      </c>
      <c r="L484" s="43">
        <v>280000</v>
      </c>
      <c r="M484" s="30">
        <v>260606.39</v>
      </c>
      <c r="N484" s="44">
        <v>63521.760000000002</v>
      </c>
      <c r="O484" s="29">
        <v>197084.63</v>
      </c>
      <c r="P484" s="29">
        <v>175917.58</v>
      </c>
      <c r="Q484" s="29">
        <v>85040</v>
      </c>
      <c r="R484" s="29">
        <v>39780</v>
      </c>
      <c r="S484" s="11" t="s">
        <v>44</v>
      </c>
      <c r="T484" s="11" t="s">
        <v>45</v>
      </c>
      <c r="U484" s="11">
        <v>0</v>
      </c>
      <c r="V484" s="29">
        <f>Table1[[#This Row],[STAB]]-Table1[[#This Row],[AMOUNT]]</f>
        <v>39780</v>
      </c>
      <c r="W484" s="11">
        <v>0</v>
      </c>
      <c r="X484" s="11" t="s">
        <v>83</v>
      </c>
      <c r="Y484" s="11">
        <v>0</v>
      </c>
      <c r="Z484" s="11" t="s">
        <v>85</v>
      </c>
      <c r="AA484" s="11" t="s">
        <v>613</v>
      </c>
      <c r="AB484" s="11" t="s">
        <v>3140</v>
      </c>
      <c r="AC484" s="11" t="s">
        <v>2917</v>
      </c>
      <c r="AD484" s="11" t="s">
        <v>3045</v>
      </c>
      <c r="AE484" s="11" t="s">
        <v>416</v>
      </c>
      <c r="AF484" s="11" t="s">
        <v>54</v>
      </c>
      <c r="AG484" s="11" t="s">
        <v>441</v>
      </c>
      <c r="AH484" s="11" t="s">
        <v>193</v>
      </c>
      <c r="AI484" s="11">
        <v>802824019</v>
      </c>
      <c r="AJ484" s="11" t="s">
        <v>189</v>
      </c>
      <c r="AK484" s="11"/>
      <c r="AL484" s="11"/>
      <c r="AM484" s="12" t="s">
        <v>46</v>
      </c>
      <c r="AN484" s="11"/>
      <c r="AO484" s="11"/>
      <c r="AP484" s="11"/>
      <c r="AQ484" s="3">
        <v>46124</v>
      </c>
      <c r="AR484" s="11">
        <v>34840</v>
      </c>
      <c r="AS484" s="11" t="s">
        <v>2220</v>
      </c>
      <c r="AT484" s="11" t="s">
        <v>3118</v>
      </c>
      <c r="AU484" s="2">
        <v>46181</v>
      </c>
    </row>
    <row r="485" spans="1:47" x14ac:dyDescent="0.25">
      <c r="A485" s="10" t="s">
        <v>2546</v>
      </c>
      <c r="B485" s="11" t="s">
        <v>2674</v>
      </c>
      <c r="C485" s="11">
        <v>0</v>
      </c>
      <c r="D485" s="11" t="s">
        <v>108</v>
      </c>
      <c r="E485" s="11"/>
      <c r="F485" s="11"/>
      <c r="G485" s="11" t="s">
        <v>52</v>
      </c>
      <c r="H485" s="11">
        <v>21</v>
      </c>
      <c r="I485" s="11" t="s">
        <v>2802</v>
      </c>
      <c r="J485" s="11" t="s">
        <v>42</v>
      </c>
      <c r="K485" s="11">
        <f>Table1[[#This Row],[ENR]]-Table1[[#This Row],[CREDIT]]</f>
        <v>20402.690000000002</v>
      </c>
      <c r="L485" s="43">
        <v>240000</v>
      </c>
      <c r="M485" s="30">
        <v>260402.69</v>
      </c>
      <c r="N485" s="44" t="s">
        <v>43</v>
      </c>
      <c r="O485" s="29">
        <v>260402.69</v>
      </c>
      <c r="P485" s="29">
        <v>237534.56</v>
      </c>
      <c r="Q485" s="29">
        <v>56950</v>
      </c>
      <c r="R485" s="29">
        <v>21630</v>
      </c>
      <c r="S485" s="11" t="s">
        <v>58</v>
      </c>
      <c r="T485" s="11" t="s">
        <v>13</v>
      </c>
      <c r="U485" s="11">
        <v>260402.69</v>
      </c>
      <c r="V485" s="29">
        <f>Table1[[#This Row],[STAB]]-Table1[[#This Row],[AMOUNT]]</f>
        <v>-238772.69</v>
      </c>
      <c r="W485" s="11">
        <v>0</v>
      </c>
      <c r="X485" s="11" t="s">
        <v>761</v>
      </c>
      <c r="Y485" s="11" t="s">
        <v>760</v>
      </c>
      <c r="Z485" s="12" t="s">
        <v>85</v>
      </c>
      <c r="AA485" s="12" t="s">
        <v>611</v>
      </c>
      <c r="AB485" s="11" t="s">
        <v>3139</v>
      </c>
      <c r="AC485" s="11" t="s">
        <v>2931</v>
      </c>
      <c r="AD485" s="11" t="s">
        <v>3059</v>
      </c>
      <c r="AE485" s="11" t="s">
        <v>604</v>
      </c>
      <c r="AF485" s="11" t="s">
        <v>439</v>
      </c>
      <c r="AG485" s="11" t="s">
        <v>63</v>
      </c>
      <c r="AH485" s="11" t="s">
        <v>467</v>
      </c>
      <c r="AI485" s="11">
        <v>801570488</v>
      </c>
      <c r="AJ485" s="11" t="s">
        <v>190</v>
      </c>
      <c r="AK485" s="11"/>
      <c r="AL485" s="11"/>
      <c r="AM485" s="12" t="s">
        <v>64</v>
      </c>
      <c r="AN485" s="11" t="s">
        <v>219</v>
      </c>
      <c r="AO485" s="11" t="s">
        <v>3171</v>
      </c>
      <c r="AP485" s="11" t="s">
        <v>3169</v>
      </c>
      <c r="AQ485" s="3">
        <v>46058</v>
      </c>
      <c r="AR485" s="11">
        <v>2500</v>
      </c>
      <c r="AS485" s="11" t="s">
        <v>2221</v>
      </c>
      <c r="AT485" s="11" t="s">
        <v>3118</v>
      </c>
      <c r="AU485" s="2">
        <v>46181</v>
      </c>
    </row>
    <row r="486" spans="1:47" x14ac:dyDescent="0.25">
      <c r="A486" s="10" t="s">
        <v>2572</v>
      </c>
      <c r="B486" s="11" t="s">
        <v>2700</v>
      </c>
      <c r="C486" s="11">
        <v>0</v>
      </c>
      <c r="D486" s="11" t="s">
        <v>108</v>
      </c>
      <c r="E486" s="11"/>
      <c r="F486" s="11"/>
      <c r="G486" s="11" t="s">
        <v>52</v>
      </c>
      <c r="H486" s="11">
        <v>21</v>
      </c>
      <c r="I486" s="11" t="s">
        <v>2828</v>
      </c>
      <c r="J486" s="11" t="s">
        <v>336</v>
      </c>
      <c r="K486" s="11">
        <f>Table1[[#This Row],[ENR]]-Table1[[#This Row],[CREDIT]]</f>
        <v>149290.26</v>
      </c>
      <c r="L486" s="43">
        <v>100000</v>
      </c>
      <c r="M486" s="30">
        <v>249290.26</v>
      </c>
      <c r="N486" s="44">
        <v>183757.86</v>
      </c>
      <c r="O486" s="29">
        <v>65532.4</v>
      </c>
      <c r="P486" s="29">
        <v>34468.730000000003</v>
      </c>
      <c r="Q486" s="29">
        <v>24570</v>
      </c>
      <c r="R486" s="29">
        <v>12490</v>
      </c>
      <c r="S486" s="11" t="s">
        <v>44</v>
      </c>
      <c r="T486" s="11" t="s">
        <v>45</v>
      </c>
      <c r="U486" s="11">
        <v>0</v>
      </c>
      <c r="V486" s="29">
        <f>Table1[[#This Row],[STAB]]-Table1[[#This Row],[AMOUNT]]</f>
        <v>12490</v>
      </c>
      <c r="W486" s="11">
        <v>0</v>
      </c>
      <c r="X486" s="11" t="s">
        <v>83</v>
      </c>
      <c r="Y486" s="11">
        <v>0</v>
      </c>
      <c r="Z486" s="11" t="s">
        <v>85</v>
      </c>
      <c r="AA486" s="11" t="s">
        <v>612</v>
      </c>
      <c r="AB486" s="11" t="s">
        <v>3139</v>
      </c>
      <c r="AC486" s="11" t="s">
        <v>2957</v>
      </c>
      <c r="AD486" s="11" t="s">
        <v>3085</v>
      </c>
      <c r="AE486" s="11" t="s">
        <v>415</v>
      </c>
      <c r="AF486" s="11" t="s">
        <v>53</v>
      </c>
      <c r="AG486" s="11" t="s">
        <v>105</v>
      </c>
      <c r="AH486" s="11" t="s">
        <v>85</v>
      </c>
      <c r="AI486" s="11">
        <v>801772794</v>
      </c>
      <c r="AJ486" s="11" t="s">
        <v>192</v>
      </c>
      <c r="AK486" s="11"/>
      <c r="AL486" s="11"/>
      <c r="AM486" s="12" t="s">
        <v>64</v>
      </c>
      <c r="AN486" s="11" t="s">
        <v>219</v>
      </c>
      <c r="AO486" s="11" t="s">
        <v>3159</v>
      </c>
      <c r="AP486" s="11" t="s">
        <v>3129</v>
      </c>
      <c r="AQ486" s="3">
        <v>45630</v>
      </c>
      <c r="AR486" s="11">
        <v>42000</v>
      </c>
      <c r="AS486" s="11" t="s">
        <v>606</v>
      </c>
      <c r="AT486" s="11" t="s">
        <v>3118</v>
      </c>
      <c r="AU486" s="2">
        <v>46181</v>
      </c>
    </row>
    <row r="487" spans="1:47" x14ac:dyDescent="0.25">
      <c r="A487" s="10" t="s">
        <v>2539</v>
      </c>
      <c r="B487" s="11" t="s">
        <v>2667</v>
      </c>
      <c r="C487" s="11">
        <v>0</v>
      </c>
      <c r="D487" s="11" t="s">
        <v>108</v>
      </c>
      <c r="E487" s="11"/>
      <c r="F487" s="11"/>
      <c r="G487" s="11" t="s">
        <v>52</v>
      </c>
      <c r="H487" s="11">
        <v>21</v>
      </c>
      <c r="I487" s="11" t="s">
        <v>2795</v>
      </c>
      <c r="J487" s="11" t="s">
        <v>42</v>
      </c>
      <c r="K487" s="11">
        <f>Table1[[#This Row],[ENR]]-Table1[[#This Row],[CREDIT]]</f>
        <v>-220785.93</v>
      </c>
      <c r="L487" s="43">
        <v>460000</v>
      </c>
      <c r="M487" s="30">
        <v>239214.07</v>
      </c>
      <c r="N487" s="44" t="s">
        <v>43</v>
      </c>
      <c r="O487" s="29">
        <v>239214.07</v>
      </c>
      <c r="P487" s="29">
        <v>217953.46</v>
      </c>
      <c r="Q487" s="29">
        <v>36130</v>
      </c>
      <c r="R487" s="29">
        <v>14070</v>
      </c>
      <c r="S487" s="11" t="s">
        <v>58</v>
      </c>
      <c r="T487" s="11" t="s">
        <v>13</v>
      </c>
      <c r="U487" s="11">
        <v>239214.07</v>
      </c>
      <c r="V487" s="29">
        <f>Table1[[#This Row],[STAB]]-Table1[[#This Row],[AMOUNT]]</f>
        <v>-225144.07</v>
      </c>
      <c r="W487" s="11">
        <v>0</v>
      </c>
      <c r="X487" s="11" t="s">
        <v>761</v>
      </c>
      <c r="Y487" s="11" t="s">
        <v>760</v>
      </c>
      <c r="Z487" s="12" t="s">
        <v>85</v>
      </c>
      <c r="AA487" s="12" t="s">
        <v>611</v>
      </c>
      <c r="AB487" s="11" t="s">
        <v>3139</v>
      </c>
      <c r="AC487" s="11" t="s">
        <v>2924</v>
      </c>
      <c r="AD487" s="11" t="s">
        <v>3052</v>
      </c>
      <c r="AE487" s="11" t="s">
        <v>415</v>
      </c>
      <c r="AF487" s="11" t="s">
        <v>53</v>
      </c>
      <c r="AG487" s="11" t="s">
        <v>3161</v>
      </c>
      <c r="AH487" s="11" t="s">
        <v>85</v>
      </c>
      <c r="AI487" s="11">
        <v>801772794</v>
      </c>
      <c r="AJ487" s="11" t="s">
        <v>192</v>
      </c>
      <c r="AK487" s="11"/>
      <c r="AL487" s="11"/>
      <c r="AM487" s="12" t="s">
        <v>64</v>
      </c>
      <c r="AN487" s="11"/>
      <c r="AO487" s="11"/>
      <c r="AP487" s="11"/>
      <c r="AQ487" s="3">
        <v>45626</v>
      </c>
      <c r="AR487" s="11">
        <v>21165.21</v>
      </c>
      <c r="AS487" s="11" t="s">
        <v>2220</v>
      </c>
      <c r="AT487" s="11" t="s">
        <v>3118</v>
      </c>
      <c r="AU487" s="2">
        <v>46181</v>
      </c>
    </row>
    <row r="488" spans="1:47" x14ac:dyDescent="0.25">
      <c r="A488" s="10" t="s">
        <v>2556</v>
      </c>
      <c r="B488" s="11" t="s">
        <v>2684</v>
      </c>
      <c r="C488" s="11">
        <v>0</v>
      </c>
      <c r="D488" s="11" t="s">
        <v>108</v>
      </c>
      <c r="E488" s="11"/>
      <c r="F488" s="11"/>
      <c r="G488" s="11" t="s">
        <v>52</v>
      </c>
      <c r="H488" s="11">
        <v>21</v>
      </c>
      <c r="I488" s="11" t="s">
        <v>2812</v>
      </c>
      <c r="J488" s="11" t="s">
        <v>42</v>
      </c>
      <c r="K488" s="11">
        <f>Table1[[#This Row],[ENR]]-Table1[[#This Row],[CREDIT]]</f>
        <v>-24463.429999999993</v>
      </c>
      <c r="L488" s="43">
        <v>260000</v>
      </c>
      <c r="M488" s="30">
        <v>235536.57</v>
      </c>
      <c r="N488" s="44">
        <v>202998.09</v>
      </c>
      <c r="O488" s="29">
        <v>32538.48</v>
      </c>
      <c r="P488" s="29">
        <v>18215.599999999999</v>
      </c>
      <c r="Q488" s="29">
        <v>32538.48</v>
      </c>
      <c r="R488" s="29">
        <v>17374.830000000002</v>
      </c>
      <c r="S488" s="11" t="s">
        <v>58</v>
      </c>
      <c r="T488" s="11" t="s">
        <v>13</v>
      </c>
      <c r="U488" s="11">
        <v>32550</v>
      </c>
      <c r="V488" s="29">
        <f>Table1[[#This Row],[STAB]]-Table1[[#This Row],[AMOUNT]]</f>
        <v>-15175.169999999998</v>
      </c>
      <c r="W488" s="11" t="s">
        <v>3129</v>
      </c>
      <c r="X488" s="11" t="s">
        <v>444</v>
      </c>
      <c r="Y488" s="11" t="s">
        <v>1085</v>
      </c>
      <c r="Z488" s="11" t="s">
        <v>85</v>
      </c>
      <c r="AA488" s="11" t="s">
        <v>612</v>
      </c>
      <c r="AB488" s="11" t="s">
        <v>3139</v>
      </c>
      <c r="AC488" s="11" t="s">
        <v>2941</v>
      </c>
      <c r="AD488" s="11" t="s">
        <v>3069</v>
      </c>
      <c r="AE488" s="11" t="s">
        <v>605</v>
      </c>
      <c r="AF488" s="11" t="s">
        <v>127</v>
      </c>
      <c r="AG488" s="11" t="s">
        <v>94</v>
      </c>
      <c r="AH488" s="11" t="s">
        <v>628</v>
      </c>
      <c r="AI488" s="11">
        <v>802631601</v>
      </c>
      <c r="AJ488" s="11" t="s">
        <v>99</v>
      </c>
      <c r="AK488" s="11"/>
      <c r="AL488" s="11"/>
      <c r="AM488" s="12" t="s">
        <v>64</v>
      </c>
      <c r="AN488" s="11"/>
      <c r="AO488" s="11"/>
      <c r="AP488" s="11"/>
      <c r="AQ488" s="3">
        <v>46130</v>
      </c>
      <c r="AR488" s="11">
        <v>16200</v>
      </c>
      <c r="AS488" s="11" t="s">
        <v>606</v>
      </c>
      <c r="AT488" s="11" t="s">
        <v>3118</v>
      </c>
      <c r="AU488" s="2">
        <v>46181</v>
      </c>
    </row>
    <row r="489" spans="1:47" x14ac:dyDescent="0.25">
      <c r="A489" s="10" t="s">
        <v>2560</v>
      </c>
      <c r="B489" s="11" t="s">
        <v>2688</v>
      </c>
      <c r="C489" s="11">
        <v>0</v>
      </c>
      <c r="D489" s="11" t="s">
        <v>108</v>
      </c>
      <c r="E489" s="11"/>
      <c r="F489" s="11"/>
      <c r="G489" s="11" t="s">
        <v>52</v>
      </c>
      <c r="H489" s="11">
        <v>21</v>
      </c>
      <c r="I489" s="11" t="s">
        <v>2816</v>
      </c>
      <c r="J489" s="11" t="s">
        <v>42</v>
      </c>
      <c r="K489" s="11">
        <f>Table1[[#This Row],[ENR]]-Table1[[#This Row],[CREDIT]]</f>
        <v>14815.720000000001</v>
      </c>
      <c r="L489" s="43">
        <v>220000</v>
      </c>
      <c r="M489" s="30">
        <v>234815.72</v>
      </c>
      <c r="N489" s="44" t="s">
        <v>43</v>
      </c>
      <c r="O489" s="29">
        <v>234815.72</v>
      </c>
      <c r="P489" s="29">
        <v>219000</v>
      </c>
      <c r="Q489" s="29">
        <v>51250</v>
      </c>
      <c r="R489" s="29">
        <v>10950</v>
      </c>
      <c r="S489" s="11" t="s">
        <v>58</v>
      </c>
      <c r="T489" s="11" t="s">
        <v>13</v>
      </c>
      <c r="U489" s="29">
        <v>234815.72</v>
      </c>
      <c r="V489" s="29">
        <f>Table1[[#This Row],[STAB]]-Table1[[#This Row],[AMOUNT]]</f>
        <v>-223865.72</v>
      </c>
      <c r="W489" s="11" t="s">
        <v>3473</v>
      </c>
      <c r="X489" s="11" t="s">
        <v>444</v>
      </c>
      <c r="Y489" s="11" t="s">
        <v>760</v>
      </c>
      <c r="Z489" s="12" t="s">
        <v>85</v>
      </c>
      <c r="AA489" s="12" t="s">
        <v>447</v>
      </c>
      <c r="AB489" s="11" t="s">
        <v>3139</v>
      </c>
      <c r="AC489" s="11" t="s">
        <v>2945</v>
      </c>
      <c r="AD489" s="11" t="s">
        <v>3073</v>
      </c>
      <c r="AE489" s="11" t="s">
        <v>104</v>
      </c>
      <c r="AF489" s="11" t="s">
        <v>54</v>
      </c>
      <c r="AG489" s="11" t="s">
        <v>610</v>
      </c>
      <c r="AH489" s="11" t="s">
        <v>627</v>
      </c>
      <c r="AI489" s="11">
        <v>801772792</v>
      </c>
      <c r="AJ489" s="11" t="s">
        <v>191</v>
      </c>
      <c r="AK489" s="11"/>
      <c r="AL489" s="11"/>
      <c r="AM489" s="12" t="s">
        <v>64</v>
      </c>
      <c r="AN489" s="11" t="s">
        <v>115</v>
      </c>
      <c r="AO489" s="11" t="s">
        <v>3475</v>
      </c>
      <c r="AP489" s="11" t="s">
        <v>3473</v>
      </c>
      <c r="AQ489" s="3">
        <v>45363</v>
      </c>
      <c r="AR489" s="11">
        <v>100000</v>
      </c>
      <c r="AS489" s="11" t="s">
        <v>606</v>
      </c>
      <c r="AT489" s="11" t="s">
        <v>3118</v>
      </c>
      <c r="AU489" s="2">
        <v>46181</v>
      </c>
    </row>
    <row r="490" spans="1:47" x14ac:dyDescent="0.25">
      <c r="A490" s="10" t="s">
        <v>3507</v>
      </c>
      <c r="B490" s="11" t="s">
        <v>3535</v>
      </c>
      <c r="C490" s="11">
        <v>0</v>
      </c>
      <c r="D490" s="11" t="s">
        <v>3451</v>
      </c>
      <c r="E490" s="11"/>
      <c r="F490" s="11"/>
      <c r="G490" s="11" t="s">
        <v>52</v>
      </c>
      <c r="H490" s="11">
        <v>21</v>
      </c>
      <c r="I490" s="11" t="s">
        <v>3563</v>
      </c>
      <c r="J490" s="11" t="s">
        <v>42</v>
      </c>
      <c r="K490" s="11">
        <f>Table1[[#This Row],[ENR]]-Table1[[#This Row],[CREDIT]]</f>
        <v>14142.910000000003</v>
      </c>
      <c r="L490" s="43">
        <v>220000</v>
      </c>
      <c r="M490" s="30">
        <v>234142.91</v>
      </c>
      <c r="N490" s="44">
        <v>31150.11</v>
      </c>
      <c r="O490" s="29">
        <v>202992.8</v>
      </c>
      <c r="P490" s="29">
        <v>188800.4</v>
      </c>
      <c r="Q490" s="11">
        <v>40120</v>
      </c>
      <c r="R490" s="29">
        <v>13860</v>
      </c>
      <c r="S490" s="11" t="s">
        <v>44</v>
      </c>
      <c r="T490" s="11" t="s">
        <v>45</v>
      </c>
      <c r="U490" s="11">
        <v>0</v>
      </c>
      <c r="V490" s="29">
        <f>Table1[[#This Row],[STAB]]-Table1[[#This Row],[AMOUNT]]</f>
        <v>13860</v>
      </c>
      <c r="W490" s="11">
        <v>0</v>
      </c>
      <c r="X490" s="11" t="s">
        <v>83</v>
      </c>
      <c r="Y490" s="11">
        <v>0</v>
      </c>
      <c r="Z490" s="11" t="s">
        <v>85</v>
      </c>
      <c r="AA490" s="11"/>
      <c r="AB490" s="11"/>
      <c r="AC490" s="11" t="s">
        <v>3591</v>
      </c>
      <c r="AD490" s="11" t="s">
        <v>3619</v>
      </c>
      <c r="AE490" s="11" t="s">
        <v>416</v>
      </c>
      <c r="AF490" s="11" t="s">
        <v>54</v>
      </c>
      <c r="AG490" s="11" t="s">
        <v>130</v>
      </c>
      <c r="AH490" s="11" t="s">
        <v>469</v>
      </c>
      <c r="AI490" s="11">
        <v>802835406</v>
      </c>
      <c r="AJ490" s="11" t="s">
        <v>99</v>
      </c>
      <c r="AK490" s="11"/>
      <c r="AL490" s="11"/>
      <c r="AM490" s="12" t="s">
        <v>46</v>
      </c>
      <c r="AN490" s="11"/>
      <c r="AO490" s="11"/>
      <c r="AP490" s="11"/>
      <c r="AQ490" s="3">
        <v>45539</v>
      </c>
      <c r="AR490" s="11">
        <v>42361.81</v>
      </c>
      <c r="AS490" s="11" t="s">
        <v>432</v>
      </c>
      <c r="AT490" s="11" t="s">
        <v>3631</v>
      </c>
      <c r="AU490" s="2">
        <v>46181</v>
      </c>
    </row>
    <row r="491" spans="1:47" x14ac:dyDescent="0.25">
      <c r="A491" s="10" t="s">
        <v>2555</v>
      </c>
      <c r="B491" s="11" t="s">
        <v>2683</v>
      </c>
      <c r="C491" s="11">
        <v>0</v>
      </c>
      <c r="D491" s="11" t="s">
        <v>108</v>
      </c>
      <c r="E491" s="11"/>
      <c r="F491" s="11"/>
      <c r="G491" s="11" t="s">
        <v>52</v>
      </c>
      <c r="H491" s="11">
        <v>21</v>
      </c>
      <c r="I491" s="11" t="s">
        <v>2811</v>
      </c>
      <c r="J491" s="11" t="s">
        <v>42</v>
      </c>
      <c r="K491" s="11">
        <f>Table1[[#This Row],[ENR]]-Table1[[#This Row],[CREDIT]]</f>
        <v>10431.600000000006</v>
      </c>
      <c r="L491" s="43">
        <v>220000</v>
      </c>
      <c r="M491" s="30">
        <v>230431.6</v>
      </c>
      <c r="N491" s="44">
        <v>171243.99</v>
      </c>
      <c r="O491" s="29">
        <v>59187.61</v>
      </c>
      <c r="P491" s="29">
        <v>48728.46</v>
      </c>
      <c r="Q491" s="29">
        <v>28290</v>
      </c>
      <c r="R491" s="29">
        <v>12190</v>
      </c>
      <c r="S491" s="11" t="s">
        <v>58</v>
      </c>
      <c r="T491" s="11" t="s">
        <v>13</v>
      </c>
      <c r="U491" s="11">
        <v>31110</v>
      </c>
      <c r="V491" s="29">
        <f>Table1[[#This Row],[STAB]]-Table1[[#This Row],[AMOUNT]]</f>
        <v>-18920</v>
      </c>
      <c r="W491" s="11" t="s">
        <v>3484</v>
      </c>
      <c r="X491" s="11" t="s">
        <v>451</v>
      </c>
      <c r="Y491" s="11" t="s">
        <v>760</v>
      </c>
      <c r="Z491" s="12" t="s">
        <v>85</v>
      </c>
      <c r="AA491" s="12" t="s">
        <v>612</v>
      </c>
      <c r="AB491" s="11" t="s">
        <v>3139</v>
      </c>
      <c r="AC491" s="11" t="s">
        <v>2940</v>
      </c>
      <c r="AD491" s="11" t="s">
        <v>3068</v>
      </c>
      <c r="AE491" s="11" t="s">
        <v>429</v>
      </c>
      <c r="AF491" s="11" t="s">
        <v>54</v>
      </c>
      <c r="AG491" s="11" t="s">
        <v>95</v>
      </c>
      <c r="AH491" s="11" t="s">
        <v>465</v>
      </c>
      <c r="AI491" s="11">
        <v>802823175</v>
      </c>
      <c r="AJ491" s="11" t="s">
        <v>191</v>
      </c>
      <c r="AK491" s="11"/>
      <c r="AL491" s="11"/>
      <c r="AM491" s="12" t="s">
        <v>64</v>
      </c>
      <c r="AN491" s="11"/>
      <c r="AO491" s="11"/>
      <c r="AP491" s="11"/>
      <c r="AQ491" s="3">
        <v>45890</v>
      </c>
      <c r="AR491" s="11">
        <v>21500</v>
      </c>
      <c r="AS491" s="11" t="s">
        <v>48</v>
      </c>
      <c r="AT491" s="11" t="s">
        <v>3118</v>
      </c>
      <c r="AU491" s="2">
        <v>46181</v>
      </c>
    </row>
    <row r="492" spans="1:47" x14ac:dyDescent="0.25">
      <c r="A492" s="10" t="s">
        <v>2598</v>
      </c>
      <c r="B492" s="11" t="s">
        <v>2726</v>
      </c>
      <c r="C492" s="11">
        <v>0</v>
      </c>
      <c r="D492" s="11" t="s">
        <v>108</v>
      </c>
      <c r="E492" s="11"/>
      <c r="F492" s="11"/>
      <c r="G492" s="11" t="s">
        <v>52</v>
      </c>
      <c r="H492" s="11">
        <v>21</v>
      </c>
      <c r="I492" s="11" t="s">
        <v>2854</v>
      </c>
      <c r="J492" s="11" t="s">
        <v>42</v>
      </c>
      <c r="K492" s="11">
        <f>Table1[[#This Row],[ENR]]-Table1[[#This Row],[CREDIT]]</f>
        <v>24262.179999999993</v>
      </c>
      <c r="L492" s="43">
        <v>200000</v>
      </c>
      <c r="M492" s="30">
        <v>224262.18</v>
      </c>
      <c r="N492" s="44" t="s">
        <v>43</v>
      </c>
      <c r="O492" s="29">
        <v>224262.18</v>
      </c>
      <c r="P492" s="29">
        <v>199000.97</v>
      </c>
      <c r="Q492" s="29">
        <v>67080</v>
      </c>
      <c r="R492" s="29">
        <v>37260</v>
      </c>
      <c r="S492" s="11" t="s">
        <v>44</v>
      </c>
      <c r="T492" s="11" t="s">
        <v>45</v>
      </c>
      <c r="U492" s="11">
        <v>0</v>
      </c>
      <c r="V492" s="29">
        <f>Table1[[#This Row],[STAB]]-Table1[[#This Row],[AMOUNT]]</f>
        <v>37260</v>
      </c>
      <c r="W492" s="11">
        <v>0</v>
      </c>
      <c r="X492" s="11" t="s">
        <v>83</v>
      </c>
      <c r="Y492" s="11">
        <v>0</v>
      </c>
      <c r="Z492" s="11" t="s">
        <v>85</v>
      </c>
      <c r="AA492" s="11" t="s">
        <v>611</v>
      </c>
      <c r="AB492" s="11" t="s">
        <v>3139</v>
      </c>
      <c r="AC492" s="11" t="s">
        <v>2983</v>
      </c>
      <c r="AD492" s="11" t="s">
        <v>3111</v>
      </c>
      <c r="AE492" s="11" t="s">
        <v>103</v>
      </c>
      <c r="AF492" s="11" t="s">
        <v>53</v>
      </c>
      <c r="AG492" s="11" t="s">
        <v>188</v>
      </c>
      <c r="AH492" s="11" t="s">
        <v>194</v>
      </c>
      <c r="AI492" s="11">
        <v>802823180</v>
      </c>
      <c r="AJ492" s="11" t="s">
        <v>191</v>
      </c>
      <c r="AK492" s="11"/>
      <c r="AL492" s="11"/>
      <c r="AM492" s="12" t="s">
        <v>46</v>
      </c>
      <c r="AN492" s="11"/>
      <c r="AO492" s="11"/>
      <c r="AP492" s="11"/>
      <c r="AQ492" s="3">
        <v>46118</v>
      </c>
      <c r="AR492" s="11">
        <v>79000</v>
      </c>
      <c r="AS492" s="11" t="s">
        <v>432</v>
      </c>
      <c r="AT492" s="11" t="s">
        <v>3118</v>
      </c>
      <c r="AU492" s="2">
        <v>46181</v>
      </c>
    </row>
    <row r="493" spans="1:47" x14ac:dyDescent="0.25">
      <c r="A493" s="10" t="s">
        <v>3505</v>
      </c>
      <c r="B493" s="11" t="s">
        <v>3533</v>
      </c>
      <c r="C493" s="11">
        <v>0</v>
      </c>
      <c r="D493" s="11" t="s">
        <v>3451</v>
      </c>
      <c r="E493" s="11"/>
      <c r="F493" s="11"/>
      <c r="G493" s="11" t="s">
        <v>52</v>
      </c>
      <c r="H493" s="11">
        <v>21</v>
      </c>
      <c r="I493" s="11" t="s">
        <v>3561</v>
      </c>
      <c r="J493" s="11" t="s">
        <v>42</v>
      </c>
      <c r="K493" s="11">
        <f>Table1[[#This Row],[ENR]]-Table1[[#This Row],[CREDIT]]</f>
        <v>17099.869999999995</v>
      </c>
      <c r="L493" s="43">
        <v>200000</v>
      </c>
      <c r="M493" s="30">
        <v>217099.87</v>
      </c>
      <c r="N493" s="44">
        <v>9427.5400000000009</v>
      </c>
      <c r="O493" s="29">
        <v>207672.33</v>
      </c>
      <c r="P493" s="29">
        <v>183845.77</v>
      </c>
      <c r="Q493" s="11">
        <v>151340</v>
      </c>
      <c r="R493" s="29">
        <v>121150</v>
      </c>
      <c r="S493" s="11" t="s">
        <v>44</v>
      </c>
      <c r="T493" s="11" t="s">
        <v>45</v>
      </c>
      <c r="U493" s="11">
        <v>0</v>
      </c>
      <c r="V493" s="29">
        <f>Table1[[#This Row],[STAB]]-Table1[[#This Row],[AMOUNT]]</f>
        <v>121150</v>
      </c>
      <c r="W493" s="11">
        <v>0</v>
      </c>
      <c r="X493" s="11" t="s">
        <v>83</v>
      </c>
      <c r="Y493" s="11" t="s">
        <v>760</v>
      </c>
      <c r="Z493" s="11" t="s">
        <v>85</v>
      </c>
      <c r="AA493" s="11"/>
      <c r="AB493" s="11"/>
      <c r="AC493" s="11" t="s">
        <v>3589</v>
      </c>
      <c r="AD493" s="11" t="s">
        <v>3617</v>
      </c>
      <c r="AE493" s="11" t="s">
        <v>123</v>
      </c>
      <c r="AF493" s="11" t="s">
        <v>127</v>
      </c>
      <c r="AG493" s="11" t="s">
        <v>96</v>
      </c>
      <c r="AH493" s="11" t="s">
        <v>193</v>
      </c>
      <c r="AI493" s="11">
        <v>802824019</v>
      </c>
      <c r="AJ493" s="11" t="s">
        <v>189</v>
      </c>
      <c r="AK493" s="11"/>
      <c r="AL493" s="11"/>
      <c r="AM493" s="12" t="s">
        <v>64</v>
      </c>
      <c r="AN493" s="11" t="s">
        <v>115</v>
      </c>
      <c r="AO493" s="11" t="s">
        <v>3647</v>
      </c>
      <c r="AP493" s="11" t="s">
        <v>3642</v>
      </c>
      <c r="AQ493" s="3">
        <v>45641</v>
      </c>
      <c r="AR493" s="11">
        <v>28200</v>
      </c>
      <c r="AS493" s="11" t="s">
        <v>606</v>
      </c>
      <c r="AT493" s="11" t="s">
        <v>3631</v>
      </c>
      <c r="AU493" s="2">
        <v>46181</v>
      </c>
    </row>
    <row r="494" spans="1:47" x14ac:dyDescent="0.25">
      <c r="A494" s="10" t="s">
        <v>2590</v>
      </c>
      <c r="B494" s="11" t="s">
        <v>2718</v>
      </c>
      <c r="C494" s="11">
        <v>0</v>
      </c>
      <c r="D494" s="11" t="s">
        <v>108</v>
      </c>
      <c r="E494" s="11"/>
      <c r="F494" s="11"/>
      <c r="G494" s="11" t="s">
        <v>52</v>
      </c>
      <c r="H494" s="11">
        <v>21</v>
      </c>
      <c r="I494" s="11" t="s">
        <v>2846</v>
      </c>
      <c r="J494" s="11" t="s">
        <v>42</v>
      </c>
      <c r="K494" s="11">
        <f>Table1[[#This Row],[ENR]]-Table1[[#This Row],[CREDIT]]</f>
        <v>15962.640000000014</v>
      </c>
      <c r="L494" s="43">
        <v>200000</v>
      </c>
      <c r="M494" s="30">
        <v>215962.64</v>
      </c>
      <c r="N494" s="44">
        <v>11804.28</v>
      </c>
      <c r="O494" s="29">
        <v>204158.36</v>
      </c>
      <c r="P494" s="29">
        <v>185521.85</v>
      </c>
      <c r="Q494" s="29">
        <v>44820</v>
      </c>
      <c r="R494" s="29">
        <v>16390</v>
      </c>
      <c r="S494" s="11" t="s">
        <v>44</v>
      </c>
      <c r="T494" s="11" t="s">
        <v>45</v>
      </c>
      <c r="U494" s="11">
        <v>0</v>
      </c>
      <c r="V494" s="29">
        <f>Table1[[#This Row],[STAB]]-Table1[[#This Row],[AMOUNT]]</f>
        <v>16390</v>
      </c>
      <c r="W494" s="11">
        <v>0</v>
      </c>
      <c r="X494" s="11" t="s">
        <v>83</v>
      </c>
      <c r="Y494" s="11">
        <v>0</v>
      </c>
      <c r="Z494" s="12" t="s">
        <v>85</v>
      </c>
      <c r="AA494" s="12" t="s">
        <v>612</v>
      </c>
      <c r="AB494" s="11" t="s">
        <v>3140</v>
      </c>
      <c r="AC494" s="11" t="s">
        <v>2975</v>
      </c>
      <c r="AD494" s="11" t="s">
        <v>3103</v>
      </c>
      <c r="AE494" s="11" t="s">
        <v>418</v>
      </c>
      <c r="AF494" s="11" t="s">
        <v>54</v>
      </c>
      <c r="AG494" s="11" t="s">
        <v>1086</v>
      </c>
      <c r="AH494" s="11" t="s">
        <v>85</v>
      </c>
      <c r="AI494" s="11">
        <v>801772794</v>
      </c>
      <c r="AJ494" s="11" t="s">
        <v>192</v>
      </c>
      <c r="AK494" s="11"/>
      <c r="AL494" s="11"/>
      <c r="AM494" s="12" t="s">
        <v>46</v>
      </c>
      <c r="AN494" s="11"/>
      <c r="AO494" s="11"/>
      <c r="AP494" s="11"/>
      <c r="AQ494" s="3">
        <v>45482</v>
      </c>
      <c r="AR494" s="11">
        <v>21759</v>
      </c>
      <c r="AS494" s="11" t="s">
        <v>433</v>
      </c>
      <c r="AT494" s="11" t="s">
        <v>3118</v>
      </c>
      <c r="AU494" s="2">
        <v>46181</v>
      </c>
    </row>
    <row r="495" spans="1:47" x14ac:dyDescent="0.25">
      <c r="A495" s="10" t="s">
        <v>2592</v>
      </c>
      <c r="B495" s="11" t="s">
        <v>2720</v>
      </c>
      <c r="C495" s="11">
        <v>0</v>
      </c>
      <c r="D495" s="11" t="s">
        <v>108</v>
      </c>
      <c r="E495" s="11"/>
      <c r="F495" s="11"/>
      <c r="G495" s="11" t="s">
        <v>52</v>
      </c>
      <c r="H495" s="11">
        <v>21</v>
      </c>
      <c r="I495" s="11" t="s">
        <v>2848</v>
      </c>
      <c r="J495" s="11" t="s">
        <v>42</v>
      </c>
      <c r="K495" s="11">
        <f>Table1[[#This Row],[ENR]]-Table1[[#This Row],[CREDIT]]</f>
        <v>12984.130000000005</v>
      </c>
      <c r="L495" s="43">
        <v>200000</v>
      </c>
      <c r="M495" s="30">
        <v>212984.13</v>
      </c>
      <c r="N495" s="44" t="s">
        <v>43</v>
      </c>
      <c r="O495" s="29">
        <v>212984.13</v>
      </c>
      <c r="P495" s="29">
        <v>199000</v>
      </c>
      <c r="Q495" s="29">
        <v>45730</v>
      </c>
      <c r="R495" s="29">
        <v>9950</v>
      </c>
      <c r="S495" s="11" t="s">
        <v>58</v>
      </c>
      <c r="T495" s="11" t="s">
        <v>14</v>
      </c>
      <c r="U495" s="29">
        <v>13200</v>
      </c>
      <c r="V495" s="29">
        <f>Table1[[#This Row],[STAB]]-Table1[[#This Row],[AMOUNT]]</f>
        <v>-3250</v>
      </c>
      <c r="W495" s="11" t="s">
        <v>3129</v>
      </c>
      <c r="X495" s="11" t="s">
        <v>451</v>
      </c>
      <c r="Y495" s="11" t="s">
        <v>760</v>
      </c>
      <c r="Z495" s="11" t="s">
        <v>85</v>
      </c>
      <c r="AA495" s="11" t="s">
        <v>447</v>
      </c>
      <c r="AB495" s="11" t="s">
        <v>3139</v>
      </c>
      <c r="AC495" s="11" t="s">
        <v>2977</v>
      </c>
      <c r="AD495" s="11" t="s">
        <v>3105</v>
      </c>
      <c r="AE495" s="11" t="s">
        <v>123</v>
      </c>
      <c r="AF495" s="11" t="s">
        <v>127</v>
      </c>
      <c r="AG495" s="11" t="s">
        <v>96</v>
      </c>
      <c r="AH495" s="11" t="s">
        <v>461</v>
      </c>
      <c r="AI495" s="11">
        <v>801436997</v>
      </c>
      <c r="AJ495" s="11" t="s">
        <v>190</v>
      </c>
      <c r="AK495" s="11"/>
      <c r="AL495" s="11"/>
      <c r="AM495" s="12" t="s">
        <v>64</v>
      </c>
      <c r="AN495" s="11" t="s">
        <v>446</v>
      </c>
      <c r="AO495" s="11" t="s">
        <v>3150</v>
      </c>
      <c r="AP495" s="11" t="s">
        <v>3129</v>
      </c>
      <c r="AQ495" s="3">
        <v>46122</v>
      </c>
      <c r="AR495" s="11">
        <v>1000</v>
      </c>
      <c r="AS495" s="11" t="s">
        <v>433</v>
      </c>
      <c r="AT495" s="11" t="s">
        <v>3118</v>
      </c>
      <c r="AU495" s="2">
        <v>46181</v>
      </c>
    </row>
    <row r="496" spans="1:47" x14ac:dyDescent="0.25">
      <c r="A496" s="10" t="s">
        <v>2570</v>
      </c>
      <c r="B496" s="11" t="s">
        <v>2698</v>
      </c>
      <c r="C496" s="11">
        <v>0</v>
      </c>
      <c r="D496" s="11" t="s">
        <v>108</v>
      </c>
      <c r="E496" s="11"/>
      <c r="F496" s="11"/>
      <c r="G496" s="11" t="s">
        <v>52</v>
      </c>
      <c r="H496" s="11">
        <v>21</v>
      </c>
      <c r="I496" s="11" t="s">
        <v>2826</v>
      </c>
      <c r="J496" s="11" t="s">
        <v>42</v>
      </c>
      <c r="K496" s="11">
        <f>Table1[[#This Row],[ENR]]-Table1[[#This Row],[CREDIT]]</f>
        <v>11874.920000000013</v>
      </c>
      <c r="L496" s="43">
        <v>200000</v>
      </c>
      <c r="M496" s="30">
        <v>211874.92</v>
      </c>
      <c r="N496" s="44">
        <v>53756.81</v>
      </c>
      <c r="O496" s="29">
        <v>158118.10999999999</v>
      </c>
      <c r="P496" s="29">
        <v>144398.69</v>
      </c>
      <c r="Q496" s="29">
        <v>42570</v>
      </c>
      <c r="R496" s="29">
        <v>15420</v>
      </c>
      <c r="S496" s="11" t="s">
        <v>44</v>
      </c>
      <c r="T496" s="11" t="s">
        <v>45</v>
      </c>
      <c r="U496" s="11">
        <v>0</v>
      </c>
      <c r="V496" s="29">
        <f>Table1[[#This Row],[STAB]]-Table1[[#This Row],[AMOUNT]]</f>
        <v>15420</v>
      </c>
      <c r="W496" s="11">
        <v>0</v>
      </c>
      <c r="X496" s="11" t="s">
        <v>83</v>
      </c>
      <c r="Y496" s="11">
        <v>0</v>
      </c>
      <c r="Z496" s="11" t="s">
        <v>85</v>
      </c>
      <c r="AA496" s="11" t="s">
        <v>613</v>
      </c>
      <c r="AB496" s="11" t="s">
        <v>3139</v>
      </c>
      <c r="AC496" s="11" t="s">
        <v>2955</v>
      </c>
      <c r="AD496" s="11" t="s">
        <v>3083</v>
      </c>
      <c r="AE496" s="11" t="s">
        <v>123</v>
      </c>
      <c r="AF496" s="11" t="s">
        <v>127</v>
      </c>
      <c r="AG496" s="11" t="s">
        <v>56</v>
      </c>
      <c r="AH496" s="11" t="s">
        <v>462</v>
      </c>
      <c r="AI496" s="11">
        <v>801448854</v>
      </c>
      <c r="AJ496" s="11" t="s">
        <v>191</v>
      </c>
      <c r="AK496" s="11"/>
      <c r="AL496" s="11"/>
      <c r="AM496" s="12" t="s">
        <v>46</v>
      </c>
      <c r="AN496" s="11"/>
      <c r="AO496" s="11"/>
      <c r="AP496" s="11"/>
      <c r="AQ496" s="3">
        <v>46061</v>
      </c>
      <c r="AR496" s="11">
        <v>25000</v>
      </c>
      <c r="AS496" s="11" t="s">
        <v>606</v>
      </c>
      <c r="AT496" s="11" t="s">
        <v>3118</v>
      </c>
      <c r="AU496" s="2">
        <v>46181</v>
      </c>
    </row>
    <row r="497" spans="1:47" x14ac:dyDescent="0.25">
      <c r="A497" s="10" t="s">
        <v>2574</v>
      </c>
      <c r="B497" s="11" t="s">
        <v>2702</v>
      </c>
      <c r="C497" s="11">
        <v>0</v>
      </c>
      <c r="D497" s="11" t="s">
        <v>108</v>
      </c>
      <c r="E497" s="11"/>
      <c r="F497" s="11"/>
      <c r="G497" s="11" t="s">
        <v>52</v>
      </c>
      <c r="H497" s="11">
        <v>21</v>
      </c>
      <c r="I497" s="11" t="s">
        <v>2830</v>
      </c>
      <c r="J497" s="11" t="s">
        <v>42</v>
      </c>
      <c r="K497" s="11">
        <f>Table1[[#This Row],[ENR]]-Table1[[#This Row],[CREDIT]]</f>
        <v>11545.25</v>
      </c>
      <c r="L497" s="43">
        <v>200000</v>
      </c>
      <c r="M497" s="30">
        <v>211545.25</v>
      </c>
      <c r="N497" s="44">
        <v>76107.53</v>
      </c>
      <c r="O497" s="29">
        <v>135437.72</v>
      </c>
      <c r="P497" s="29">
        <v>122545.49</v>
      </c>
      <c r="Q497" s="29">
        <v>46100</v>
      </c>
      <c r="R497" s="29">
        <v>18400</v>
      </c>
      <c r="S497" s="11" t="s">
        <v>58</v>
      </c>
      <c r="T497" s="11" t="s">
        <v>13</v>
      </c>
      <c r="U497" s="11">
        <v>135437.72</v>
      </c>
      <c r="V497" s="29">
        <f>Table1[[#This Row],[STAB]]-Table1[[#This Row],[AMOUNT]]</f>
        <v>-117037.72</v>
      </c>
      <c r="W497" s="11" t="s">
        <v>3642</v>
      </c>
      <c r="X497" s="11" t="s">
        <v>444</v>
      </c>
      <c r="Y497" s="11" t="s">
        <v>760</v>
      </c>
      <c r="Z497" s="12" t="s">
        <v>85</v>
      </c>
      <c r="AA497" s="12" t="s">
        <v>612</v>
      </c>
      <c r="AB497" s="11" t="s">
        <v>3139</v>
      </c>
      <c r="AC497" s="11" t="s">
        <v>2959</v>
      </c>
      <c r="AD497" s="11" t="s">
        <v>3087</v>
      </c>
      <c r="AE497" s="11" t="s">
        <v>103</v>
      </c>
      <c r="AF497" s="11" t="s">
        <v>53</v>
      </c>
      <c r="AG497" s="11" t="s">
        <v>188</v>
      </c>
      <c r="AH497" s="11" t="s">
        <v>194</v>
      </c>
      <c r="AI497" s="11">
        <v>802823180</v>
      </c>
      <c r="AJ497" s="11" t="s">
        <v>191</v>
      </c>
      <c r="AK497" s="11"/>
      <c r="AL497" s="11"/>
      <c r="AM497" s="12" t="s">
        <v>64</v>
      </c>
      <c r="AN497" s="11"/>
      <c r="AO497" s="11"/>
      <c r="AP497" s="11"/>
      <c r="AQ497" s="3">
        <v>45484</v>
      </c>
      <c r="AR497" s="11">
        <v>15250</v>
      </c>
      <c r="AS497" s="11" t="s">
        <v>606</v>
      </c>
      <c r="AT497" s="11" t="s">
        <v>3118</v>
      </c>
      <c r="AU497" s="2">
        <v>46181</v>
      </c>
    </row>
    <row r="498" spans="1:47" x14ac:dyDescent="0.25">
      <c r="A498" s="10" t="s">
        <v>3503</v>
      </c>
      <c r="B498" s="11" t="s">
        <v>3531</v>
      </c>
      <c r="C498" s="11">
        <v>0</v>
      </c>
      <c r="D498" s="11" t="s">
        <v>3451</v>
      </c>
      <c r="E498" s="11"/>
      <c r="F498" s="11"/>
      <c r="G498" s="11" t="s">
        <v>52</v>
      </c>
      <c r="H498" s="11">
        <v>21</v>
      </c>
      <c r="I498" s="11" t="s">
        <v>3559</v>
      </c>
      <c r="J498" s="11" t="s">
        <v>42</v>
      </c>
      <c r="K498" s="11">
        <f>Table1[[#This Row],[ENR]]-Table1[[#This Row],[CREDIT]]</f>
        <v>425</v>
      </c>
      <c r="L498" s="43">
        <v>210000</v>
      </c>
      <c r="M498" s="30">
        <v>210425</v>
      </c>
      <c r="N498" s="44">
        <v>10742.4</v>
      </c>
      <c r="O498" s="29">
        <v>199682.6</v>
      </c>
      <c r="P498" s="29">
        <v>117625.69</v>
      </c>
      <c r="Q498" s="11">
        <v>119910</v>
      </c>
      <c r="R498" s="29">
        <v>104110</v>
      </c>
      <c r="S498" s="11" t="s">
        <v>58</v>
      </c>
      <c r="T498" s="11" t="s">
        <v>13</v>
      </c>
      <c r="U498" s="11">
        <v>119920</v>
      </c>
      <c r="V498" s="29">
        <f>Table1[[#This Row],[STAB]]-Table1[[#This Row],[AMOUNT]]</f>
        <v>-15810</v>
      </c>
      <c r="W498" s="11" t="s">
        <v>3484</v>
      </c>
      <c r="X498" s="11" t="s">
        <v>90</v>
      </c>
      <c r="Y498" s="11" t="s">
        <v>760</v>
      </c>
      <c r="Z498" s="11" t="s">
        <v>85</v>
      </c>
      <c r="AA498" s="11"/>
      <c r="AB498" s="11"/>
      <c r="AC498" s="11" t="s">
        <v>3587</v>
      </c>
      <c r="AD498" s="11" t="s">
        <v>3615</v>
      </c>
      <c r="AE498" s="11" t="s">
        <v>100</v>
      </c>
      <c r="AF498" s="11" t="s">
        <v>54</v>
      </c>
      <c r="AG498" s="11" t="s">
        <v>60</v>
      </c>
      <c r="AH498" s="11" t="s">
        <v>193</v>
      </c>
      <c r="AI498" s="11">
        <v>802824019</v>
      </c>
      <c r="AJ498" s="11" t="s">
        <v>189</v>
      </c>
      <c r="AK498" s="11"/>
      <c r="AL498" s="11"/>
      <c r="AM498" s="12" t="s">
        <v>64</v>
      </c>
      <c r="AN498" s="11"/>
      <c r="AO498" s="11"/>
      <c r="AP498" s="11"/>
      <c r="AQ498" s="3">
        <v>45485</v>
      </c>
      <c r="AR498" s="11">
        <v>11750</v>
      </c>
      <c r="AS498" s="11" t="s">
        <v>432</v>
      </c>
      <c r="AT498" s="11" t="s">
        <v>3631</v>
      </c>
      <c r="AU498" s="2">
        <v>46181</v>
      </c>
    </row>
    <row r="499" spans="1:47" x14ac:dyDescent="0.25">
      <c r="A499" s="10" t="s">
        <v>2566</v>
      </c>
      <c r="B499" s="11" t="s">
        <v>2694</v>
      </c>
      <c r="C499" s="11">
        <v>0</v>
      </c>
      <c r="D499" s="11" t="s">
        <v>108</v>
      </c>
      <c r="E499" s="11"/>
      <c r="F499" s="11"/>
      <c r="G499" s="11" t="s">
        <v>52</v>
      </c>
      <c r="H499" s="11">
        <v>21</v>
      </c>
      <c r="I499" s="11" t="s">
        <v>2822</v>
      </c>
      <c r="J499" s="11" t="s">
        <v>42</v>
      </c>
      <c r="K499" s="11">
        <f>Table1[[#This Row],[ENR]]-Table1[[#This Row],[CREDIT]]</f>
        <v>18267.890000000014</v>
      </c>
      <c r="L499" s="43">
        <v>190000</v>
      </c>
      <c r="M499" s="30">
        <v>208267.89</v>
      </c>
      <c r="N499" s="44" t="s">
        <v>43</v>
      </c>
      <c r="O499" s="29">
        <v>208267.89</v>
      </c>
      <c r="P499" s="29">
        <v>188328.51</v>
      </c>
      <c r="Q499" s="29">
        <v>48910</v>
      </c>
      <c r="R499" s="29">
        <v>20370</v>
      </c>
      <c r="S499" s="11" t="s">
        <v>58</v>
      </c>
      <c r="T499" s="11" t="s">
        <v>13</v>
      </c>
      <c r="U499" s="11">
        <v>208267.89</v>
      </c>
      <c r="V499" s="29">
        <f>Table1[[#This Row],[STAB]]-Table1[[#This Row],[AMOUNT]]</f>
        <v>-187897.89</v>
      </c>
      <c r="W499" s="11" t="s">
        <v>3642</v>
      </c>
      <c r="X499" s="11" t="s">
        <v>444</v>
      </c>
      <c r="Y499" s="11" t="s">
        <v>760</v>
      </c>
      <c r="Z499" s="12" t="s">
        <v>85</v>
      </c>
      <c r="AA499" s="12" t="s">
        <v>612</v>
      </c>
      <c r="AB499" s="11" t="s">
        <v>3139</v>
      </c>
      <c r="AC499" s="11" t="s">
        <v>2951</v>
      </c>
      <c r="AD499" s="11" t="s">
        <v>3079</v>
      </c>
      <c r="AE499" s="11" t="s">
        <v>422</v>
      </c>
      <c r="AF499" s="11" t="s">
        <v>127</v>
      </c>
      <c r="AG499" s="11" t="s">
        <v>57</v>
      </c>
      <c r="AH499" s="11" t="s">
        <v>464</v>
      </c>
      <c r="AI499" s="11">
        <v>802852449</v>
      </c>
      <c r="AJ499" s="11" t="s">
        <v>190</v>
      </c>
      <c r="AK499" s="11"/>
      <c r="AL499" s="11"/>
      <c r="AM499" s="12" t="s">
        <v>64</v>
      </c>
      <c r="AN499" s="11" t="s">
        <v>219</v>
      </c>
      <c r="AO499" s="11" t="s">
        <v>3197</v>
      </c>
      <c r="AP499" s="11" t="s">
        <v>3191</v>
      </c>
      <c r="AQ499" s="3">
        <v>45480</v>
      </c>
      <c r="AR499" s="11">
        <v>26109.57</v>
      </c>
      <c r="AS499" s="11" t="s">
        <v>48</v>
      </c>
      <c r="AT499" s="11" t="s">
        <v>3118</v>
      </c>
      <c r="AU499" s="2">
        <v>46181</v>
      </c>
    </row>
    <row r="500" spans="1:47" x14ac:dyDescent="0.25">
      <c r="A500" s="10" t="s">
        <v>2576</v>
      </c>
      <c r="B500" s="11" t="s">
        <v>2704</v>
      </c>
      <c r="C500" s="11">
        <v>0</v>
      </c>
      <c r="D500" s="11" t="s">
        <v>108</v>
      </c>
      <c r="E500" s="11"/>
      <c r="F500" s="11"/>
      <c r="G500" s="11" t="s">
        <v>52</v>
      </c>
      <c r="H500" s="11">
        <v>21</v>
      </c>
      <c r="I500" s="11" t="s">
        <v>2832</v>
      </c>
      <c r="J500" s="11" t="s">
        <v>42</v>
      </c>
      <c r="K500" s="11">
        <f>Table1[[#This Row],[ENR]]-Table1[[#This Row],[CREDIT]]</f>
        <v>-223278.28</v>
      </c>
      <c r="L500" s="43">
        <v>420000</v>
      </c>
      <c r="M500" s="30">
        <v>196721.72</v>
      </c>
      <c r="N500" s="44">
        <v>153952.04999999999</v>
      </c>
      <c r="O500" s="29">
        <v>42769.67</v>
      </c>
      <c r="P500" s="29">
        <v>38222.639999999999</v>
      </c>
      <c r="Q500" s="29">
        <v>42769.67</v>
      </c>
      <c r="R500" s="29">
        <v>29121.22</v>
      </c>
      <c r="S500" s="11" t="s">
        <v>44</v>
      </c>
      <c r="T500" s="11" t="s">
        <v>45</v>
      </c>
      <c r="U500" s="11">
        <v>0</v>
      </c>
      <c r="V500" s="29">
        <f>Table1[[#This Row],[STAB]]-Table1[[#This Row],[AMOUNT]]</f>
        <v>29121.22</v>
      </c>
      <c r="W500" s="11">
        <v>0</v>
      </c>
      <c r="X500" s="11" t="s">
        <v>83</v>
      </c>
      <c r="Y500" s="11">
        <v>0</v>
      </c>
      <c r="Z500" s="11" t="s">
        <v>88</v>
      </c>
      <c r="AA500" s="11" t="s">
        <v>91</v>
      </c>
      <c r="AB500" s="11" t="s">
        <v>3139</v>
      </c>
      <c r="AC500" s="11" t="s">
        <v>2961</v>
      </c>
      <c r="AD500" s="11" t="s">
        <v>3089</v>
      </c>
      <c r="AE500" s="11" t="s">
        <v>747</v>
      </c>
      <c r="AF500" s="11" t="s">
        <v>84</v>
      </c>
      <c r="AG500" s="11" t="s">
        <v>1500</v>
      </c>
      <c r="AH500" s="11" t="s">
        <v>88</v>
      </c>
      <c r="AI500" s="11">
        <v>801723195</v>
      </c>
      <c r="AJ500" s="11" t="s">
        <v>191</v>
      </c>
      <c r="AK500" s="11"/>
      <c r="AL500" s="11"/>
      <c r="AM500" s="12" t="s">
        <v>64</v>
      </c>
      <c r="AN500" s="11" t="s">
        <v>221</v>
      </c>
      <c r="AO500" s="11" t="s">
        <v>3657</v>
      </c>
      <c r="AP500" s="11" t="s">
        <v>3642</v>
      </c>
      <c r="AQ500" s="3">
        <v>45450</v>
      </c>
      <c r="AR500" s="11">
        <v>10384.1</v>
      </c>
      <c r="AS500" s="11" t="s">
        <v>606</v>
      </c>
      <c r="AT500" s="11" t="s">
        <v>3118</v>
      </c>
      <c r="AU500" s="2">
        <v>46181</v>
      </c>
    </row>
    <row r="501" spans="1:47" x14ac:dyDescent="0.25">
      <c r="A501" s="10" t="s">
        <v>2581</v>
      </c>
      <c r="B501" s="11" t="s">
        <v>2709</v>
      </c>
      <c r="C501" s="11">
        <v>0</v>
      </c>
      <c r="D501" s="11" t="s">
        <v>108</v>
      </c>
      <c r="E501" s="11"/>
      <c r="F501" s="11"/>
      <c r="G501" s="11" t="s">
        <v>52</v>
      </c>
      <c r="H501" s="11">
        <v>21</v>
      </c>
      <c r="I501" s="11" t="s">
        <v>2837</v>
      </c>
      <c r="J501" s="11" t="s">
        <v>42</v>
      </c>
      <c r="K501" s="11">
        <f>Table1[[#This Row],[ENR]]-Table1[[#This Row],[CREDIT]]</f>
        <v>16512.309999999998</v>
      </c>
      <c r="L501" s="43">
        <v>180000</v>
      </c>
      <c r="M501" s="30">
        <v>196512.31</v>
      </c>
      <c r="N501" s="44" t="s">
        <v>43</v>
      </c>
      <c r="O501" s="29">
        <v>196512.31</v>
      </c>
      <c r="P501" s="29">
        <v>178867.35</v>
      </c>
      <c r="Q501" s="29">
        <v>91940</v>
      </c>
      <c r="R501" s="29">
        <v>59910</v>
      </c>
      <c r="S501" s="11" t="s">
        <v>58</v>
      </c>
      <c r="T501" s="11" t="s">
        <v>13</v>
      </c>
      <c r="U501" s="29">
        <v>196512.31</v>
      </c>
      <c r="V501" s="29">
        <f>Table1[[#This Row],[STAB]]-Table1[[#This Row],[AMOUNT]]</f>
        <v>-136602.31</v>
      </c>
      <c r="W501" s="11" t="s">
        <v>3473</v>
      </c>
      <c r="X501" s="11" t="s">
        <v>444</v>
      </c>
      <c r="Y501" s="11" t="s">
        <v>760</v>
      </c>
      <c r="Z501" s="12" t="s">
        <v>85</v>
      </c>
      <c r="AA501" s="12" t="s">
        <v>447</v>
      </c>
      <c r="AB501" s="11" t="s">
        <v>3140</v>
      </c>
      <c r="AC501" s="11" t="s">
        <v>2966</v>
      </c>
      <c r="AD501" s="11" t="s">
        <v>3094</v>
      </c>
      <c r="AE501" s="11" t="s">
        <v>421</v>
      </c>
      <c r="AF501" s="11" t="s">
        <v>54</v>
      </c>
      <c r="AG501" s="11" t="s">
        <v>119</v>
      </c>
      <c r="AH501" s="11" t="s">
        <v>626</v>
      </c>
      <c r="AI501" s="11">
        <v>802663344</v>
      </c>
      <c r="AJ501" s="11" t="s">
        <v>191</v>
      </c>
      <c r="AK501" s="11"/>
      <c r="AL501" s="11"/>
      <c r="AM501" s="12" t="s">
        <v>64</v>
      </c>
      <c r="AN501" s="11" t="s">
        <v>115</v>
      </c>
      <c r="AO501" s="11" t="s">
        <v>3466</v>
      </c>
      <c r="AP501" s="11" t="s">
        <v>3463</v>
      </c>
      <c r="AQ501" s="3">
        <v>45719</v>
      </c>
      <c r="AR501" s="11">
        <v>17410</v>
      </c>
      <c r="AS501" s="11" t="s">
        <v>606</v>
      </c>
      <c r="AT501" s="11" t="s">
        <v>3118</v>
      </c>
      <c r="AU501" s="2">
        <v>46181</v>
      </c>
    </row>
    <row r="502" spans="1:47" x14ac:dyDescent="0.25">
      <c r="A502" s="10" t="s">
        <v>2586</v>
      </c>
      <c r="B502" s="11" t="s">
        <v>2714</v>
      </c>
      <c r="C502" s="11">
        <v>0</v>
      </c>
      <c r="D502" s="11" t="s">
        <v>108</v>
      </c>
      <c r="E502" s="11"/>
      <c r="F502" s="11"/>
      <c r="G502" s="11" t="s">
        <v>52</v>
      </c>
      <c r="H502" s="11">
        <v>21</v>
      </c>
      <c r="I502" s="11" t="s">
        <v>2842</v>
      </c>
      <c r="J502" s="11" t="s">
        <v>42</v>
      </c>
      <c r="K502" s="11">
        <f>Table1[[#This Row],[ENR]]-Table1[[#This Row],[CREDIT]]</f>
        <v>13820.470000000001</v>
      </c>
      <c r="L502" s="43">
        <v>180000</v>
      </c>
      <c r="M502" s="30">
        <v>193820.47</v>
      </c>
      <c r="N502" s="44" t="s">
        <v>43</v>
      </c>
      <c r="O502" s="29">
        <v>193820.47</v>
      </c>
      <c r="P502" s="29">
        <v>176389.38</v>
      </c>
      <c r="Q502" s="29">
        <v>41410</v>
      </c>
      <c r="R502" s="29">
        <v>14450.51</v>
      </c>
      <c r="S502" s="11" t="s">
        <v>44</v>
      </c>
      <c r="T502" s="11" t="s">
        <v>45</v>
      </c>
      <c r="U502" s="11">
        <v>0</v>
      </c>
      <c r="V502" s="29">
        <f>Table1[[#This Row],[STAB]]-Table1[[#This Row],[AMOUNT]]</f>
        <v>14450.51</v>
      </c>
      <c r="W502" s="11">
        <v>0</v>
      </c>
      <c r="X502" s="11" t="s">
        <v>83</v>
      </c>
      <c r="Y502" s="11" t="s">
        <v>760</v>
      </c>
      <c r="Z502" s="11" t="s">
        <v>85</v>
      </c>
      <c r="AA502" s="11" t="s">
        <v>613</v>
      </c>
      <c r="AB502" s="11" t="s">
        <v>3139</v>
      </c>
      <c r="AC502" s="11" t="s">
        <v>2971</v>
      </c>
      <c r="AD502" s="11" t="s">
        <v>3099</v>
      </c>
      <c r="AE502" s="11" t="s">
        <v>103</v>
      </c>
      <c r="AF502" s="11" t="s">
        <v>53</v>
      </c>
      <c r="AG502" s="11" t="s">
        <v>188</v>
      </c>
      <c r="AH502" s="11" t="s">
        <v>194</v>
      </c>
      <c r="AI502" s="11">
        <v>802823180</v>
      </c>
      <c r="AJ502" s="11" t="s">
        <v>191</v>
      </c>
      <c r="AK502" s="11"/>
      <c r="AL502" s="11"/>
      <c r="AM502" s="12" t="s">
        <v>46</v>
      </c>
      <c r="AN502" s="11"/>
      <c r="AO502" s="11"/>
      <c r="AP502" s="11"/>
      <c r="AQ502" s="3">
        <v>45539</v>
      </c>
      <c r="AR502" s="11">
        <v>1116.82</v>
      </c>
      <c r="AS502" s="11" t="s">
        <v>433</v>
      </c>
      <c r="AT502" s="11" t="s">
        <v>3118</v>
      </c>
      <c r="AU502" s="2">
        <v>46181</v>
      </c>
    </row>
    <row r="503" spans="1:47" x14ac:dyDescent="0.25">
      <c r="A503" s="10" t="s">
        <v>2565</v>
      </c>
      <c r="B503" s="11" t="s">
        <v>2693</v>
      </c>
      <c r="C503" s="11">
        <v>0</v>
      </c>
      <c r="D503" s="11" t="s">
        <v>108</v>
      </c>
      <c r="E503" s="11"/>
      <c r="F503" s="11"/>
      <c r="G503" s="11" t="s">
        <v>90</v>
      </c>
      <c r="H503" s="11">
        <v>21</v>
      </c>
      <c r="I503" s="11" t="s">
        <v>2821</v>
      </c>
      <c r="J503" s="11" t="s">
        <v>42</v>
      </c>
      <c r="K503" s="11">
        <f>Table1[[#This Row],[ENR]]-Table1[[#This Row],[CREDIT]]</f>
        <v>-330.38000000000466</v>
      </c>
      <c r="L503" s="43">
        <v>190000</v>
      </c>
      <c r="M503" s="30">
        <v>189669.62</v>
      </c>
      <c r="N503" s="44" t="s">
        <v>43</v>
      </c>
      <c r="O503" s="29">
        <v>189669.62</v>
      </c>
      <c r="P503" s="29">
        <v>179137.92000000001</v>
      </c>
      <c r="Q503" s="29">
        <v>39730</v>
      </c>
      <c r="R503" s="29">
        <v>28930</v>
      </c>
      <c r="S503" s="11" t="s">
        <v>58</v>
      </c>
      <c r="T503" s="11" t="s">
        <v>13</v>
      </c>
      <c r="U503" s="11">
        <v>189669.62</v>
      </c>
      <c r="V503" s="29">
        <f>Table1[[#This Row],[STAB]]-Table1[[#This Row],[AMOUNT]]</f>
        <v>-160739.62</v>
      </c>
      <c r="W503" s="11">
        <v>0</v>
      </c>
      <c r="X503" s="11" t="s">
        <v>761</v>
      </c>
      <c r="Y503" s="11" t="s">
        <v>760</v>
      </c>
      <c r="Z503" s="12" t="s">
        <v>85</v>
      </c>
      <c r="AA503" s="12" t="s">
        <v>613</v>
      </c>
      <c r="AB503" s="11" t="s">
        <v>3139</v>
      </c>
      <c r="AC503" s="11" t="s">
        <v>2950</v>
      </c>
      <c r="AD503" s="11" t="s">
        <v>3078</v>
      </c>
      <c r="AE503" s="11" t="s">
        <v>413</v>
      </c>
      <c r="AF503" s="11" t="s">
        <v>54</v>
      </c>
      <c r="AG503" s="11" t="s">
        <v>146</v>
      </c>
      <c r="AH503" s="11" t="s">
        <v>625</v>
      </c>
      <c r="AI503" s="11">
        <v>801217009</v>
      </c>
      <c r="AJ503" s="11" t="s">
        <v>190</v>
      </c>
      <c r="AK503" s="11"/>
      <c r="AL503" s="11"/>
      <c r="AM503" s="12" t="s">
        <v>64</v>
      </c>
      <c r="AN503" s="11" t="s">
        <v>221</v>
      </c>
      <c r="AO503" s="11" t="s">
        <v>3645</v>
      </c>
      <c r="AP503" s="11" t="s">
        <v>3642</v>
      </c>
      <c r="AQ503" s="3">
        <v>46007</v>
      </c>
      <c r="AR503" s="11">
        <v>21000</v>
      </c>
      <c r="AS503" s="11" t="s">
        <v>606</v>
      </c>
      <c r="AT503" s="11" t="s">
        <v>3118</v>
      </c>
      <c r="AU503" s="2">
        <v>46181</v>
      </c>
    </row>
    <row r="504" spans="1:47" x14ac:dyDescent="0.25">
      <c r="A504" s="10" t="s">
        <v>2599</v>
      </c>
      <c r="B504" s="11" t="s">
        <v>2727</v>
      </c>
      <c r="C504" s="11">
        <v>0</v>
      </c>
      <c r="D504" s="11" t="s">
        <v>108</v>
      </c>
      <c r="E504" s="11"/>
      <c r="F504" s="11"/>
      <c r="G504" s="11" t="s">
        <v>52</v>
      </c>
      <c r="H504" s="11">
        <v>21</v>
      </c>
      <c r="I504" s="11" t="s">
        <v>2855</v>
      </c>
      <c r="J504" s="11" t="s">
        <v>42</v>
      </c>
      <c r="K504" s="11">
        <f>Table1[[#This Row],[ENR]]-Table1[[#This Row],[CREDIT]]</f>
        <v>14808.23000000001</v>
      </c>
      <c r="L504" s="43">
        <v>160000</v>
      </c>
      <c r="M504" s="30">
        <v>174808.23</v>
      </c>
      <c r="N504" s="44">
        <v>13279.68</v>
      </c>
      <c r="O504" s="29">
        <v>161528.54999999999</v>
      </c>
      <c r="P504" s="29">
        <v>144784</v>
      </c>
      <c r="Q504" s="29">
        <v>29740</v>
      </c>
      <c r="R504" s="29">
        <v>11540</v>
      </c>
      <c r="S504" s="11" t="s">
        <v>58</v>
      </c>
      <c r="T504" s="11" t="s">
        <v>13</v>
      </c>
      <c r="U504" s="11">
        <v>59740</v>
      </c>
      <c r="V504" s="29">
        <f>Table1[[#This Row],[STAB]]-Table1[[#This Row],[AMOUNT]]</f>
        <v>-48200</v>
      </c>
      <c r="W504" s="11">
        <v>0</v>
      </c>
      <c r="X504" s="11" t="s">
        <v>761</v>
      </c>
      <c r="Y504" s="11" t="s">
        <v>760</v>
      </c>
      <c r="Z504" s="12" t="s">
        <v>85</v>
      </c>
      <c r="AA504" s="12" t="s">
        <v>611</v>
      </c>
      <c r="AB504" s="11" t="s">
        <v>3139</v>
      </c>
      <c r="AC504" s="11" t="s">
        <v>2984</v>
      </c>
      <c r="AD504" s="11" t="s">
        <v>3112</v>
      </c>
      <c r="AE504" s="11" t="s">
        <v>425</v>
      </c>
      <c r="AF504" s="11" t="s">
        <v>84</v>
      </c>
      <c r="AG504" s="11" t="s">
        <v>750</v>
      </c>
      <c r="AH504" s="11" t="s">
        <v>459</v>
      </c>
      <c r="AI504" s="11">
        <v>802789320</v>
      </c>
      <c r="AJ504" s="11" t="s">
        <v>190</v>
      </c>
      <c r="AK504" s="11"/>
      <c r="AL504" s="11"/>
      <c r="AM504" s="12" t="s">
        <v>64</v>
      </c>
      <c r="AN504" s="11"/>
      <c r="AO504" s="11"/>
      <c r="AP504" s="11"/>
      <c r="AQ504" s="3" t="s">
        <v>43</v>
      </c>
      <c r="AR504" s="11">
        <v>0</v>
      </c>
      <c r="AS504" s="11" t="s">
        <v>432</v>
      </c>
      <c r="AT504" s="11" t="s">
        <v>3118</v>
      </c>
      <c r="AU504" s="2">
        <v>46181</v>
      </c>
    </row>
    <row r="505" spans="1:47" x14ac:dyDescent="0.25">
      <c r="A505" s="10" t="s">
        <v>2600</v>
      </c>
      <c r="B505" s="11" t="s">
        <v>2728</v>
      </c>
      <c r="C505" s="11">
        <v>0</v>
      </c>
      <c r="D505" s="11" t="s">
        <v>108</v>
      </c>
      <c r="E505" s="11"/>
      <c r="F505" s="11"/>
      <c r="G505" s="11" t="s">
        <v>52</v>
      </c>
      <c r="H505" s="11">
        <v>21</v>
      </c>
      <c r="I505" s="11" t="s">
        <v>2856</v>
      </c>
      <c r="J505" s="11" t="s">
        <v>42</v>
      </c>
      <c r="K505" s="11">
        <f>Table1[[#This Row],[ENR]]-Table1[[#This Row],[CREDIT]]</f>
        <v>10136.940000000002</v>
      </c>
      <c r="L505" s="43">
        <v>160000</v>
      </c>
      <c r="M505" s="30">
        <v>170136.94</v>
      </c>
      <c r="N505" s="44" t="s">
        <v>43</v>
      </c>
      <c r="O505" s="29">
        <v>170136.94</v>
      </c>
      <c r="P505" s="29">
        <v>158422.76</v>
      </c>
      <c r="Q505" s="29">
        <v>36800</v>
      </c>
      <c r="R505" s="29">
        <v>7930</v>
      </c>
      <c r="S505" s="11" t="s">
        <v>44</v>
      </c>
      <c r="T505" s="11" t="s">
        <v>45</v>
      </c>
      <c r="U505" s="11">
        <v>0</v>
      </c>
      <c r="V505" s="29">
        <f>Table1[[#This Row],[STAB]]-Table1[[#This Row],[AMOUNT]]</f>
        <v>7930</v>
      </c>
      <c r="W505" s="11">
        <v>0</v>
      </c>
      <c r="X505" s="11" t="s">
        <v>83</v>
      </c>
      <c r="Y505" s="11">
        <v>0</v>
      </c>
      <c r="Z505" s="11" t="s">
        <v>85</v>
      </c>
      <c r="AA505" s="11" t="s">
        <v>613</v>
      </c>
      <c r="AB505" s="11" t="s">
        <v>3139</v>
      </c>
      <c r="AC505" s="11" t="s">
        <v>2985</v>
      </c>
      <c r="AD505" s="11" t="s">
        <v>3113</v>
      </c>
      <c r="AE505" s="11" t="s">
        <v>123</v>
      </c>
      <c r="AF505" s="11" t="s">
        <v>127</v>
      </c>
      <c r="AG505" s="11" t="s">
        <v>96</v>
      </c>
      <c r="AH505" s="11" t="s">
        <v>461</v>
      </c>
      <c r="AI505" s="11">
        <v>801436997</v>
      </c>
      <c r="AJ505" s="11" t="s">
        <v>190</v>
      </c>
      <c r="AK505" s="11"/>
      <c r="AL505" s="11"/>
      <c r="AM505" s="12" t="s">
        <v>64</v>
      </c>
      <c r="AN505" s="11" t="s">
        <v>221</v>
      </c>
      <c r="AO505" s="11" t="s">
        <v>3483</v>
      </c>
      <c r="AP505" s="11" t="s">
        <v>3484</v>
      </c>
      <c r="AQ505" s="3" t="s">
        <v>43</v>
      </c>
      <c r="AR505" s="11">
        <v>0</v>
      </c>
      <c r="AS505" s="11" t="s">
        <v>432</v>
      </c>
      <c r="AT505" s="11" t="s">
        <v>3118</v>
      </c>
      <c r="AU505" s="2">
        <v>46181</v>
      </c>
    </row>
    <row r="506" spans="1:47" x14ac:dyDescent="0.25">
      <c r="A506" s="10" t="s">
        <v>2545</v>
      </c>
      <c r="B506" s="11" t="s">
        <v>2673</v>
      </c>
      <c r="C506" s="11">
        <v>0</v>
      </c>
      <c r="D506" s="11" t="s">
        <v>108</v>
      </c>
      <c r="E506" s="11"/>
      <c r="F506" s="11"/>
      <c r="G506" s="11" t="s">
        <v>52</v>
      </c>
      <c r="H506" s="11">
        <v>21</v>
      </c>
      <c r="I506" s="11" t="s">
        <v>2801</v>
      </c>
      <c r="J506" s="11" t="s">
        <v>42</v>
      </c>
      <c r="K506" s="11">
        <f>Table1[[#This Row],[ENR]]-Table1[[#This Row],[CREDIT]]</f>
        <v>7188.9700000000012</v>
      </c>
      <c r="L506" s="43">
        <v>160000</v>
      </c>
      <c r="M506" s="30">
        <v>167188.97</v>
      </c>
      <c r="N506" s="44" t="s">
        <v>43</v>
      </c>
      <c r="O506" s="29">
        <v>167188.97</v>
      </c>
      <c r="P506" s="29">
        <v>155846.73000000001</v>
      </c>
      <c r="Q506" s="29">
        <v>32980</v>
      </c>
      <c r="R506" s="29">
        <v>7378</v>
      </c>
      <c r="S506" s="11" t="s">
        <v>44</v>
      </c>
      <c r="T506" s="11" t="s">
        <v>45</v>
      </c>
      <c r="U506" s="11">
        <v>0</v>
      </c>
      <c r="V506" s="29">
        <f>Table1[[#This Row],[STAB]]-Table1[[#This Row],[AMOUNT]]</f>
        <v>7378</v>
      </c>
      <c r="W506" s="11">
        <v>0</v>
      </c>
      <c r="X506" s="11" t="s">
        <v>83</v>
      </c>
      <c r="Y506" s="11">
        <v>0</v>
      </c>
      <c r="Z506" s="12" t="s">
        <v>88</v>
      </c>
      <c r="AA506" s="12" t="s">
        <v>91</v>
      </c>
      <c r="AB506" s="11" t="s">
        <v>3139</v>
      </c>
      <c r="AC506" s="11" t="s">
        <v>2930</v>
      </c>
      <c r="AD506" s="11" t="s">
        <v>3058</v>
      </c>
      <c r="AE506" s="11" t="s">
        <v>218</v>
      </c>
      <c r="AF506" s="11" t="s">
        <v>84</v>
      </c>
      <c r="AG506" s="11" t="s">
        <v>97</v>
      </c>
      <c r="AH506" s="11" t="s">
        <v>88</v>
      </c>
      <c r="AI506" s="11">
        <v>801723195</v>
      </c>
      <c r="AJ506" s="11" t="s">
        <v>191</v>
      </c>
      <c r="AK506" s="11"/>
      <c r="AL506" s="11"/>
      <c r="AM506" s="12" t="s">
        <v>64</v>
      </c>
      <c r="AN506" s="11" t="s">
        <v>446</v>
      </c>
      <c r="AO506" s="11" t="s">
        <v>3227</v>
      </c>
      <c r="AP506" s="11" t="s">
        <v>3206</v>
      </c>
      <c r="AQ506" s="3">
        <v>46119</v>
      </c>
      <c r="AR506" s="11">
        <v>70</v>
      </c>
      <c r="AS506" s="11" t="s">
        <v>2221</v>
      </c>
      <c r="AT506" s="11" t="s">
        <v>3118</v>
      </c>
      <c r="AU506" s="2">
        <v>46181</v>
      </c>
    </row>
    <row r="507" spans="1:47" x14ac:dyDescent="0.25">
      <c r="A507" s="10" t="s">
        <v>2564</v>
      </c>
      <c r="B507" s="11" t="s">
        <v>2692</v>
      </c>
      <c r="C507" s="11">
        <v>0</v>
      </c>
      <c r="D507" s="11" t="s">
        <v>108</v>
      </c>
      <c r="E507" s="11"/>
      <c r="F507" s="11"/>
      <c r="G507" s="11" t="s">
        <v>52</v>
      </c>
      <c r="H507" s="11">
        <v>21</v>
      </c>
      <c r="I507" s="11" t="s">
        <v>2820</v>
      </c>
      <c r="J507" s="11" t="s">
        <v>42</v>
      </c>
      <c r="K507" s="11">
        <f>Table1[[#This Row],[ENR]]-Table1[[#This Row],[CREDIT]]</f>
        <v>16628.28</v>
      </c>
      <c r="L507" s="43">
        <v>150000</v>
      </c>
      <c r="M507" s="30">
        <v>166628.28</v>
      </c>
      <c r="N507" s="44" t="s">
        <v>43</v>
      </c>
      <c r="O507" s="29">
        <v>166628.28</v>
      </c>
      <c r="P507" s="29">
        <v>149255.66</v>
      </c>
      <c r="Q507" s="29">
        <v>42780</v>
      </c>
      <c r="R507" s="29">
        <v>19710</v>
      </c>
      <c r="S507" s="11" t="s">
        <v>58</v>
      </c>
      <c r="T507" s="11" t="s">
        <v>14</v>
      </c>
      <c r="U507" s="29">
        <v>19800</v>
      </c>
      <c r="V507" s="29">
        <f>Table1[[#This Row],[STAB]]-Table1[[#This Row],[AMOUNT]]</f>
        <v>-90</v>
      </c>
      <c r="W507" s="11" t="s">
        <v>3463</v>
      </c>
      <c r="X507" s="11" t="s">
        <v>444</v>
      </c>
      <c r="Y507" s="11" t="s">
        <v>760</v>
      </c>
      <c r="Z507" s="11" t="s">
        <v>85</v>
      </c>
      <c r="AA507" s="11" t="s">
        <v>447</v>
      </c>
      <c r="AB507" s="11" t="s">
        <v>3139</v>
      </c>
      <c r="AC507" s="11" t="s">
        <v>2949</v>
      </c>
      <c r="AD507" s="11" t="s">
        <v>3077</v>
      </c>
      <c r="AE507" s="11" t="s">
        <v>104</v>
      </c>
      <c r="AF507" s="11" t="s">
        <v>54</v>
      </c>
      <c r="AG507" s="11" t="s">
        <v>610</v>
      </c>
      <c r="AH507" s="11" t="s">
        <v>627</v>
      </c>
      <c r="AI507" s="11">
        <v>801772792</v>
      </c>
      <c r="AJ507" s="11" t="s">
        <v>191</v>
      </c>
      <c r="AK507" s="11"/>
      <c r="AL507" s="11"/>
      <c r="AM507" s="12" t="s">
        <v>64</v>
      </c>
      <c r="AN507" s="11"/>
      <c r="AO507" s="11"/>
      <c r="AP507" s="11"/>
      <c r="AQ507" s="3">
        <v>45607</v>
      </c>
      <c r="AR507" s="11">
        <v>11770</v>
      </c>
      <c r="AS507" s="11" t="s">
        <v>606</v>
      </c>
      <c r="AT507" s="11" t="s">
        <v>3118</v>
      </c>
      <c r="AU507" s="2">
        <v>46181</v>
      </c>
    </row>
    <row r="508" spans="1:47" x14ac:dyDescent="0.25">
      <c r="A508" s="10" t="s">
        <v>2583</v>
      </c>
      <c r="B508" s="11" t="s">
        <v>2711</v>
      </c>
      <c r="C508" s="11">
        <v>0</v>
      </c>
      <c r="D508" s="11" t="s">
        <v>108</v>
      </c>
      <c r="E508" s="11"/>
      <c r="F508" s="11"/>
      <c r="G508" s="11" t="s">
        <v>52</v>
      </c>
      <c r="H508" s="11">
        <v>21</v>
      </c>
      <c r="I508" s="11" t="s">
        <v>2839</v>
      </c>
      <c r="J508" s="11" t="s">
        <v>42</v>
      </c>
      <c r="K508" s="11">
        <f>Table1[[#This Row],[ENR]]-Table1[[#This Row],[CREDIT]]</f>
        <v>2161.9500000000116</v>
      </c>
      <c r="L508" s="43">
        <v>160000</v>
      </c>
      <c r="M508" s="30">
        <v>162161.95000000001</v>
      </c>
      <c r="N508" s="44" t="s">
        <v>43</v>
      </c>
      <c r="O508" s="29">
        <v>162161.95000000001</v>
      </c>
      <c r="P508" s="29">
        <v>147112.4</v>
      </c>
      <c r="Q508" s="29">
        <v>26230</v>
      </c>
      <c r="R508" s="29">
        <v>8690</v>
      </c>
      <c r="S508" s="11" t="s">
        <v>58</v>
      </c>
      <c r="T508" s="11" t="s">
        <v>14</v>
      </c>
      <c r="U508" s="29">
        <v>8700</v>
      </c>
      <c r="V508" s="29">
        <f>Table1[[#This Row],[STAB]]-Table1[[#This Row],[AMOUNT]]</f>
        <v>-10</v>
      </c>
      <c r="W508" s="11" t="s">
        <v>3642</v>
      </c>
      <c r="X508" s="11" t="s">
        <v>444</v>
      </c>
      <c r="Y508" s="11" t="s">
        <v>760</v>
      </c>
      <c r="Z508" s="11" t="s">
        <v>85</v>
      </c>
      <c r="AA508" s="11" t="s">
        <v>612</v>
      </c>
      <c r="AB508" s="11" t="s">
        <v>3139</v>
      </c>
      <c r="AC508" s="11" t="s">
        <v>2968</v>
      </c>
      <c r="AD508" s="11" t="s">
        <v>3096</v>
      </c>
      <c r="AE508" s="11" t="s">
        <v>604</v>
      </c>
      <c r="AF508" s="11" t="s">
        <v>439</v>
      </c>
      <c r="AG508" s="11" t="s">
        <v>63</v>
      </c>
      <c r="AH508" s="11" t="s">
        <v>467</v>
      </c>
      <c r="AI508" s="11">
        <v>801570488</v>
      </c>
      <c r="AJ508" s="11" t="s">
        <v>190</v>
      </c>
      <c r="AK508" s="11"/>
      <c r="AL508" s="11"/>
      <c r="AM508" s="12" t="s">
        <v>64</v>
      </c>
      <c r="AN508" s="11" t="s">
        <v>219</v>
      </c>
      <c r="AO508" s="11" t="s">
        <v>1660</v>
      </c>
      <c r="AP508" s="11" t="s">
        <v>3473</v>
      </c>
      <c r="AQ508" s="3">
        <v>46021</v>
      </c>
      <c r="AR508" s="11">
        <v>48676</v>
      </c>
      <c r="AS508" s="11" t="s">
        <v>433</v>
      </c>
      <c r="AT508" s="11" t="s">
        <v>3118</v>
      </c>
      <c r="AU508" s="2">
        <v>46181</v>
      </c>
    </row>
    <row r="509" spans="1:47" x14ac:dyDescent="0.25">
      <c r="A509" s="10" t="s">
        <v>2534</v>
      </c>
      <c r="B509" s="11" t="s">
        <v>2662</v>
      </c>
      <c r="C509" s="11">
        <v>0</v>
      </c>
      <c r="D509" s="11" t="s">
        <v>108</v>
      </c>
      <c r="E509" s="11"/>
      <c r="F509" s="11"/>
      <c r="G509" s="11" t="s">
        <v>52</v>
      </c>
      <c r="H509" s="11">
        <v>21</v>
      </c>
      <c r="I509" s="11" t="s">
        <v>2790</v>
      </c>
      <c r="J509" s="11" t="s">
        <v>42</v>
      </c>
      <c r="K509" s="11">
        <f>Table1[[#This Row],[ENR]]-Table1[[#This Row],[CREDIT]]</f>
        <v>-113452.66</v>
      </c>
      <c r="L509" s="43">
        <v>270000</v>
      </c>
      <c r="M509" s="30">
        <v>156547.34</v>
      </c>
      <c r="N509" s="44">
        <v>2316.02</v>
      </c>
      <c r="O509" s="29">
        <v>154231.32</v>
      </c>
      <c r="P509" s="29">
        <v>138707.1</v>
      </c>
      <c r="Q509" s="29">
        <v>28120</v>
      </c>
      <c r="R509" s="29">
        <v>11250</v>
      </c>
      <c r="S509" s="11" t="s">
        <v>58</v>
      </c>
      <c r="T509" s="11" t="s">
        <v>13</v>
      </c>
      <c r="U509" s="11">
        <v>154231.32</v>
      </c>
      <c r="V509" s="29">
        <f>Table1[[#This Row],[STAB]]-Table1[[#This Row],[AMOUNT]]</f>
        <v>-142981.32</v>
      </c>
      <c r="W509" s="11" t="s">
        <v>3206</v>
      </c>
      <c r="X509" s="11" t="s">
        <v>444</v>
      </c>
      <c r="Y509" s="11" t="s">
        <v>760</v>
      </c>
      <c r="Z509" s="11" t="s">
        <v>85</v>
      </c>
      <c r="AA509" s="11" t="s">
        <v>447</v>
      </c>
      <c r="AB509" s="11" t="s">
        <v>3139</v>
      </c>
      <c r="AC509" s="11" t="s">
        <v>2919</v>
      </c>
      <c r="AD509" s="11" t="s">
        <v>3047</v>
      </c>
      <c r="AE509" s="11" t="s">
        <v>133</v>
      </c>
      <c r="AF509" s="11" t="s">
        <v>54</v>
      </c>
      <c r="AG509" s="11" t="s">
        <v>1658</v>
      </c>
      <c r="AH509" s="11" t="s">
        <v>85</v>
      </c>
      <c r="AI509" s="11">
        <v>801772794</v>
      </c>
      <c r="AJ509" s="11" t="s">
        <v>192</v>
      </c>
      <c r="AK509" s="11"/>
      <c r="AL509" s="11"/>
      <c r="AM509" s="12" t="s">
        <v>64</v>
      </c>
      <c r="AN509" s="11"/>
      <c r="AO509" s="11"/>
      <c r="AP509" s="11"/>
      <c r="AQ509" s="3">
        <v>45483</v>
      </c>
      <c r="AR509" s="11">
        <v>5729.86</v>
      </c>
      <c r="AS509" s="11" t="s">
        <v>2220</v>
      </c>
      <c r="AT509" s="11" t="s">
        <v>3118</v>
      </c>
      <c r="AU509" s="2">
        <v>46181</v>
      </c>
    </row>
    <row r="510" spans="1:47" x14ac:dyDescent="0.25">
      <c r="A510" s="10" t="s">
        <v>2537</v>
      </c>
      <c r="B510" s="11" t="s">
        <v>2665</v>
      </c>
      <c r="C510" s="11">
        <v>0</v>
      </c>
      <c r="D510" s="11" t="s">
        <v>108</v>
      </c>
      <c r="E510" s="11"/>
      <c r="F510" s="11"/>
      <c r="G510" s="11" t="s">
        <v>52</v>
      </c>
      <c r="H510" s="11">
        <v>21</v>
      </c>
      <c r="I510" s="11" t="s">
        <v>2793</v>
      </c>
      <c r="J510" s="11" t="s">
        <v>42</v>
      </c>
      <c r="K510" s="11">
        <f>Table1[[#This Row],[ENR]]-Table1[[#This Row],[CREDIT]]</f>
        <v>-78266.26999999999</v>
      </c>
      <c r="L510" s="43">
        <v>220000</v>
      </c>
      <c r="M510" s="30">
        <v>141733.73000000001</v>
      </c>
      <c r="N510" s="44" t="s">
        <v>43</v>
      </c>
      <c r="O510" s="29">
        <v>141733.73000000001</v>
      </c>
      <c r="P510" s="29">
        <v>130037.37</v>
      </c>
      <c r="Q510" s="29">
        <v>23900</v>
      </c>
      <c r="R510" s="29">
        <v>7610</v>
      </c>
      <c r="S510" s="11" t="s">
        <v>44</v>
      </c>
      <c r="T510" s="11" t="s">
        <v>45</v>
      </c>
      <c r="U510" s="11">
        <v>0</v>
      </c>
      <c r="V510" s="29">
        <f>Table1[[#This Row],[STAB]]-Table1[[#This Row],[AMOUNT]]</f>
        <v>7610</v>
      </c>
      <c r="W510" s="11">
        <v>0</v>
      </c>
      <c r="X510" s="11" t="s">
        <v>83</v>
      </c>
      <c r="Y510" s="11">
        <v>0</v>
      </c>
      <c r="Z510" s="12" t="s">
        <v>85</v>
      </c>
      <c r="AA510" s="12" t="s">
        <v>611</v>
      </c>
      <c r="AB510" s="11" t="s">
        <v>3139</v>
      </c>
      <c r="AC510" s="11" t="s">
        <v>2922</v>
      </c>
      <c r="AD510" s="11" t="s">
        <v>3050</v>
      </c>
      <c r="AE510" s="11" t="s">
        <v>104</v>
      </c>
      <c r="AF510" s="11" t="s">
        <v>54</v>
      </c>
      <c r="AG510" s="11" t="s">
        <v>610</v>
      </c>
      <c r="AH510" s="11" t="s">
        <v>627</v>
      </c>
      <c r="AI510" s="11">
        <v>801772792</v>
      </c>
      <c r="AJ510" s="11" t="s">
        <v>191</v>
      </c>
      <c r="AK510" s="11"/>
      <c r="AL510" s="11"/>
      <c r="AM510" s="12" t="s">
        <v>46</v>
      </c>
      <c r="AN510" s="11"/>
      <c r="AO510" s="11"/>
      <c r="AP510" s="11"/>
      <c r="AQ510" s="3">
        <v>45539</v>
      </c>
      <c r="AR510" s="11">
        <v>4500</v>
      </c>
      <c r="AS510" s="11" t="s">
        <v>2220</v>
      </c>
      <c r="AT510" s="11" t="s">
        <v>3118</v>
      </c>
      <c r="AU510" s="2">
        <v>46181</v>
      </c>
    </row>
    <row r="511" spans="1:47" x14ac:dyDescent="0.25">
      <c r="A511" s="10" t="s">
        <v>2531</v>
      </c>
      <c r="B511" s="11" t="s">
        <v>2659</v>
      </c>
      <c r="C511" s="11">
        <v>0</v>
      </c>
      <c r="D511" s="11" t="s">
        <v>108</v>
      </c>
      <c r="E511" s="11"/>
      <c r="F511" s="11"/>
      <c r="G511" s="11" t="s">
        <v>52</v>
      </c>
      <c r="H511" s="11">
        <v>21</v>
      </c>
      <c r="I511" s="11" t="s">
        <v>2787</v>
      </c>
      <c r="J511" s="11" t="s">
        <v>42</v>
      </c>
      <c r="K511" s="11">
        <f>Table1[[#This Row],[ENR]]-Table1[[#This Row],[CREDIT]]</f>
        <v>-10575.809999999998</v>
      </c>
      <c r="L511" s="43">
        <v>150000</v>
      </c>
      <c r="M511" s="30">
        <v>139424.19</v>
      </c>
      <c r="N511" s="44">
        <v>110362.06</v>
      </c>
      <c r="O511" s="29">
        <v>29062.13</v>
      </c>
      <c r="P511" s="29">
        <v>19996.990000000002</v>
      </c>
      <c r="Q511" s="29">
        <v>28980</v>
      </c>
      <c r="R511" s="29">
        <v>17140</v>
      </c>
      <c r="S511" s="11" t="s">
        <v>58</v>
      </c>
      <c r="T511" s="11" t="s">
        <v>14</v>
      </c>
      <c r="U511" s="29">
        <v>18000</v>
      </c>
      <c r="V511" s="29">
        <f>Table1[[#This Row],[STAB]]-Table1[[#This Row],[AMOUNT]]</f>
        <v>-860</v>
      </c>
      <c r="W511" s="11" t="s">
        <v>3484</v>
      </c>
      <c r="X511" s="11" t="s">
        <v>444</v>
      </c>
      <c r="Y511" s="11" t="s">
        <v>760</v>
      </c>
      <c r="Z511" s="12" t="s">
        <v>85</v>
      </c>
      <c r="AA511" s="12" t="s">
        <v>613</v>
      </c>
      <c r="AB511" s="11" t="s">
        <v>3139</v>
      </c>
      <c r="AC511" s="11" t="s">
        <v>2916</v>
      </c>
      <c r="AD511" s="11" t="s">
        <v>3044</v>
      </c>
      <c r="AE511" s="11" t="s">
        <v>123</v>
      </c>
      <c r="AF511" s="11" t="s">
        <v>127</v>
      </c>
      <c r="AG511" s="11" t="s">
        <v>56</v>
      </c>
      <c r="AH511" s="11" t="s">
        <v>462</v>
      </c>
      <c r="AI511" s="11">
        <v>801448854</v>
      </c>
      <c r="AJ511" s="11" t="s">
        <v>191</v>
      </c>
      <c r="AK511" s="11"/>
      <c r="AL511" s="11"/>
      <c r="AM511" s="12" t="s">
        <v>64</v>
      </c>
      <c r="AN511" s="11"/>
      <c r="AO511" s="11"/>
      <c r="AP511" s="11"/>
      <c r="AQ511" s="3">
        <v>45889</v>
      </c>
      <c r="AR511" s="11">
        <v>15650</v>
      </c>
      <c r="AS511" s="11" t="s">
        <v>2220</v>
      </c>
      <c r="AT511" s="11" t="s">
        <v>3118</v>
      </c>
      <c r="AU511" s="2">
        <v>46181</v>
      </c>
    </row>
    <row r="512" spans="1:47" x14ac:dyDescent="0.25">
      <c r="A512" s="10" t="s">
        <v>2535</v>
      </c>
      <c r="B512" s="11" t="s">
        <v>2663</v>
      </c>
      <c r="C512" s="11">
        <v>0</v>
      </c>
      <c r="D512" s="11" t="s">
        <v>108</v>
      </c>
      <c r="E512" s="11"/>
      <c r="F512" s="11"/>
      <c r="G512" s="11" t="s">
        <v>52</v>
      </c>
      <c r="H512" s="11">
        <v>21</v>
      </c>
      <c r="I512" s="11" t="s">
        <v>2791</v>
      </c>
      <c r="J512" s="11" t="s">
        <v>42</v>
      </c>
      <c r="K512" s="11">
        <f>Table1[[#This Row],[ENR]]-Table1[[#This Row],[CREDIT]]</f>
        <v>9957.1000000000058</v>
      </c>
      <c r="L512" s="43">
        <v>120000</v>
      </c>
      <c r="M512" s="30">
        <v>129957.1</v>
      </c>
      <c r="N512" s="44" t="s">
        <v>43</v>
      </c>
      <c r="O512" s="29">
        <v>129957.1</v>
      </c>
      <c r="P512" s="29">
        <v>119401</v>
      </c>
      <c r="Q512" s="29">
        <v>31670</v>
      </c>
      <c r="R512" s="29">
        <v>5980</v>
      </c>
      <c r="S512" s="11" t="s">
        <v>58</v>
      </c>
      <c r="T512" s="11" t="s">
        <v>14</v>
      </c>
      <c r="U512" s="29">
        <v>6000</v>
      </c>
      <c r="V512" s="29">
        <f>Table1[[#This Row],[STAB]]-Table1[[#This Row],[AMOUNT]]</f>
        <v>-20</v>
      </c>
      <c r="W512" s="11">
        <v>0</v>
      </c>
      <c r="X512" s="11" t="s">
        <v>761</v>
      </c>
      <c r="Y512" s="11" t="s">
        <v>760</v>
      </c>
      <c r="Z512" s="12" t="s">
        <v>85</v>
      </c>
      <c r="AA512" s="12" t="s">
        <v>611</v>
      </c>
      <c r="AB512" s="11" t="s">
        <v>3139</v>
      </c>
      <c r="AC512" s="11" t="s">
        <v>2920</v>
      </c>
      <c r="AD512" s="11" t="s">
        <v>3048</v>
      </c>
      <c r="AE512" s="11" t="s">
        <v>133</v>
      </c>
      <c r="AF512" s="11" t="s">
        <v>54</v>
      </c>
      <c r="AG512" s="11" t="s">
        <v>1086</v>
      </c>
      <c r="AH512" s="11" t="s">
        <v>85</v>
      </c>
      <c r="AI512" s="11">
        <v>801772794</v>
      </c>
      <c r="AJ512" s="11" t="s">
        <v>192</v>
      </c>
      <c r="AK512" s="11"/>
      <c r="AL512" s="11"/>
      <c r="AM512" s="12" t="s">
        <v>64</v>
      </c>
      <c r="AN512" s="11"/>
      <c r="AO512" s="11"/>
      <c r="AP512" s="11"/>
      <c r="AQ512" s="3">
        <v>46112</v>
      </c>
      <c r="AR512" s="11">
        <v>117993</v>
      </c>
      <c r="AS512" s="11" t="s">
        <v>2220</v>
      </c>
      <c r="AT512" s="11" t="s">
        <v>3118</v>
      </c>
      <c r="AU512" s="2">
        <v>46181</v>
      </c>
    </row>
    <row r="513" spans="1:47" x14ac:dyDescent="0.25">
      <c r="A513" s="10" t="s">
        <v>2591</v>
      </c>
      <c r="B513" s="11" t="s">
        <v>2719</v>
      </c>
      <c r="C513" s="11">
        <v>0</v>
      </c>
      <c r="D513" s="11" t="s">
        <v>108</v>
      </c>
      <c r="E513" s="11"/>
      <c r="F513" s="11"/>
      <c r="G513" s="11" t="s">
        <v>52</v>
      </c>
      <c r="H513" s="11">
        <v>21</v>
      </c>
      <c r="I513" s="11" t="s">
        <v>2847</v>
      </c>
      <c r="J513" s="11" t="s">
        <v>42</v>
      </c>
      <c r="K513" s="11">
        <f>Table1[[#This Row],[ENR]]-Table1[[#This Row],[CREDIT]]</f>
        <v>9639.8399999999965</v>
      </c>
      <c r="L513" s="43">
        <v>120000</v>
      </c>
      <c r="M513" s="30">
        <v>129639.84</v>
      </c>
      <c r="N513" s="44" t="s">
        <v>43</v>
      </c>
      <c r="O513" s="29">
        <v>129639.84</v>
      </c>
      <c r="P513" s="29">
        <v>119892</v>
      </c>
      <c r="Q513" s="29">
        <v>30540</v>
      </c>
      <c r="R513" s="29">
        <v>5930</v>
      </c>
      <c r="S513" s="11" t="s">
        <v>44</v>
      </c>
      <c r="T513" s="11" t="s">
        <v>45</v>
      </c>
      <c r="U513" s="11">
        <v>0</v>
      </c>
      <c r="V513" s="29">
        <f>Table1[[#This Row],[STAB]]-Table1[[#This Row],[AMOUNT]]</f>
        <v>5930</v>
      </c>
      <c r="W513" s="11">
        <v>0</v>
      </c>
      <c r="X513" s="11" t="s">
        <v>83</v>
      </c>
      <c r="Y513" s="11">
        <v>0</v>
      </c>
      <c r="Z513" s="12" t="s">
        <v>88</v>
      </c>
      <c r="AA513" s="12" t="s">
        <v>91</v>
      </c>
      <c r="AB513" s="11" t="s">
        <v>3139</v>
      </c>
      <c r="AC513" s="11" t="s">
        <v>2976</v>
      </c>
      <c r="AD513" s="11" t="s">
        <v>3104</v>
      </c>
      <c r="AE513" s="11" t="s">
        <v>218</v>
      </c>
      <c r="AF513" s="11" t="s">
        <v>84</v>
      </c>
      <c r="AG513" s="11" t="s">
        <v>97</v>
      </c>
      <c r="AH513" s="11" t="s">
        <v>88</v>
      </c>
      <c r="AI513" s="11">
        <v>801723195</v>
      </c>
      <c r="AJ513" s="11" t="s">
        <v>191</v>
      </c>
      <c r="AK513" s="11"/>
      <c r="AL513" s="11"/>
      <c r="AM513" s="12" t="s">
        <v>64</v>
      </c>
      <c r="AN513" s="11" t="s">
        <v>446</v>
      </c>
      <c r="AO513" s="11" t="s">
        <v>3199</v>
      </c>
      <c r="AP513" s="11" t="s">
        <v>3191</v>
      </c>
      <c r="AQ513" s="3" t="s">
        <v>43</v>
      </c>
      <c r="AR513" s="11">
        <v>0</v>
      </c>
      <c r="AS513" s="11" t="s">
        <v>433</v>
      </c>
      <c r="AT513" s="11" t="s">
        <v>3118</v>
      </c>
      <c r="AU513" s="2">
        <v>46181</v>
      </c>
    </row>
    <row r="514" spans="1:47" x14ac:dyDescent="0.25">
      <c r="A514" s="10" t="s">
        <v>2562</v>
      </c>
      <c r="B514" s="11" t="s">
        <v>2690</v>
      </c>
      <c r="C514" s="11">
        <v>0</v>
      </c>
      <c r="D514" s="11" t="s">
        <v>108</v>
      </c>
      <c r="E514" s="11"/>
      <c r="F514" s="11"/>
      <c r="G514" s="11" t="s">
        <v>52</v>
      </c>
      <c r="H514" s="11">
        <v>21</v>
      </c>
      <c r="I514" s="11" t="s">
        <v>2818</v>
      </c>
      <c r="J514" s="11" t="s">
        <v>42</v>
      </c>
      <c r="K514" s="11">
        <f>Table1[[#This Row],[ENR]]-Table1[[#This Row],[CREDIT]]</f>
        <v>7566.2400000000052</v>
      </c>
      <c r="L514" s="43">
        <v>120000</v>
      </c>
      <c r="M514" s="30">
        <v>127566.24</v>
      </c>
      <c r="N514" s="44" t="s">
        <v>43</v>
      </c>
      <c r="O514" s="29">
        <v>127566.24</v>
      </c>
      <c r="P514" s="29">
        <v>118938</v>
      </c>
      <c r="Q514" s="29">
        <v>21710</v>
      </c>
      <c r="R514" s="29">
        <v>5950</v>
      </c>
      <c r="S514" s="11" t="s">
        <v>58</v>
      </c>
      <c r="T514" s="11" t="s">
        <v>14</v>
      </c>
      <c r="U514" s="29">
        <v>6000</v>
      </c>
      <c r="V514" s="29">
        <f>Table1[[#This Row],[STAB]]-Table1[[#This Row],[AMOUNT]]</f>
        <v>-50</v>
      </c>
      <c r="W514" s="11" t="s">
        <v>3642</v>
      </c>
      <c r="X514" s="11" t="s">
        <v>451</v>
      </c>
      <c r="Y514" s="11" t="s">
        <v>760</v>
      </c>
      <c r="Z514" s="11" t="s">
        <v>85</v>
      </c>
      <c r="AA514" s="11" t="s">
        <v>612</v>
      </c>
      <c r="AB514" s="11" t="s">
        <v>3139</v>
      </c>
      <c r="AC514" s="11" t="s">
        <v>2947</v>
      </c>
      <c r="AD514" s="11" t="s">
        <v>3075</v>
      </c>
      <c r="AE514" s="11" t="s">
        <v>604</v>
      </c>
      <c r="AF514" s="11" t="s">
        <v>439</v>
      </c>
      <c r="AG514" s="11" t="s">
        <v>63</v>
      </c>
      <c r="AH514" s="11" t="s">
        <v>467</v>
      </c>
      <c r="AI514" s="11">
        <v>801570488</v>
      </c>
      <c r="AJ514" s="11" t="s">
        <v>190</v>
      </c>
      <c r="AK514" s="11"/>
      <c r="AL514" s="11"/>
      <c r="AM514" s="12" t="s">
        <v>64</v>
      </c>
      <c r="AN514" s="11"/>
      <c r="AO514" s="11"/>
      <c r="AP514" s="11"/>
      <c r="AQ514" s="3">
        <v>45450</v>
      </c>
      <c r="AR514" s="11">
        <v>105061.27</v>
      </c>
      <c r="AS514" s="11" t="s">
        <v>606</v>
      </c>
      <c r="AT514" s="11" t="s">
        <v>3118</v>
      </c>
      <c r="AU514" s="2">
        <v>46181</v>
      </c>
    </row>
    <row r="515" spans="1:47" x14ac:dyDescent="0.25">
      <c r="A515" s="10" t="s">
        <v>2582</v>
      </c>
      <c r="B515" s="11" t="s">
        <v>2710</v>
      </c>
      <c r="C515" s="11">
        <v>0</v>
      </c>
      <c r="D515" s="11" t="s">
        <v>108</v>
      </c>
      <c r="E515" s="11"/>
      <c r="F515" s="11"/>
      <c r="G515" s="11" t="s">
        <v>52</v>
      </c>
      <c r="H515" s="11">
        <v>21</v>
      </c>
      <c r="I515" s="11" t="s">
        <v>2838</v>
      </c>
      <c r="J515" s="11" t="s">
        <v>42</v>
      </c>
      <c r="K515" s="11">
        <f>Table1[[#This Row],[ENR]]-Table1[[#This Row],[CREDIT]]</f>
        <v>5910.4799999999959</v>
      </c>
      <c r="L515" s="43">
        <v>120000</v>
      </c>
      <c r="M515" s="30">
        <v>125910.48</v>
      </c>
      <c r="N515" s="44">
        <v>80321.75</v>
      </c>
      <c r="O515" s="29">
        <v>45588.73</v>
      </c>
      <c r="P515" s="29">
        <v>39243.81</v>
      </c>
      <c r="Q515" s="29">
        <v>25510</v>
      </c>
      <c r="R515" s="29">
        <v>9060</v>
      </c>
      <c r="S515" s="11" t="s">
        <v>44</v>
      </c>
      <c r="T515" s="11" t="s">
        <v>45</v>
      </c>
      <c r="U515" s="11">
        <v>0</v>
      </c>
      <c r="V515" s="29">
        <f>Table1[[#This Row],[STAB]]-Table1[[#This Row],[AMOUNT]]</f>
        <v>9060</v>
      </c>
      <c r="W515" s="11">
        <v>0</v>
      </c>
      <c r="X515" s="11" t="s">
        <v>83</v>
      </c>
      <c r="Y515" s="11">
        <v>0</v>
      </c>
      <c r="Z515" s="11" t="s">
        <v>85</v>
      </c>
      <c r="AA515" s="11" t="s">
        <v>447</v>
      </c>
      <c r="AB515" s="11" t="s">
        <v>3139</v>
      </c>
      <c r="AC515" s="11" t="s">
        <v>2967</v>
      </c>
      <c r="AD515" s="11" t="s">
        <v>3095</v>
      </c>
      <c r="AE515" s="11" t="s">
        <v>123</v>
      </c>
      <c r="AF515" s="11" t="s">
        <v>127</v>
      </c>
      <c r="AG515" s="11" t="s">
        <v>96</v>
      </c>
      <c r="AH515" s="11" t="s">
        <v>461</v>
      </c>
      <c r="AI515" s="11">
        <v>801436997</v>
      </c>
      <c r="AJ515" s="11" t="s">
        <v>190</v>
      </c>
      <c r="AK515" s="11"/>
      <c r="AL515" s="11"/>
      <c r="AM515" s="12" t="s">
        <v>64</v>
      </c>
      <c r="AN515" s="11" t="s">
        <v>221</v>
      </c>
      <c r="AO515" s="11" t="s">
        <v>3230</v>
      </c>
      <c r="AP515" s="11" t="s">
        <v>3206</v>
      </c>
      <c r="AQ515" s="3">
        <v>45540</v>
      </c>
      <c r="AR515" s="11">
        <v>7000</v>
      </c>
      <c r="AS515" s="11" t="s">
        <v>606</v>
      </c>
      <c r="AT515" s="11" t="s">
        <v>3118</v>
      </c>
      <c r="AU515" s="2">
        <v>46181</v>
      </c>
    </row>
    <row r="516" spans="1:47" x14ac:dyDescent="0.25">
      <c r="A516" s="10" t="s">
        <v>2561</v>
      </c>
      <c r="B516" s="11" t="s">
        <v>2689</v>
      </c>
      <c r="C516" s="11">
        <v>0</v>
      </c>
      <c r="D516" s="11" t="s">
        <v>108</v>
      </c>
      <c r="E516" s="11"/>
      <c r="F516" s="11"/>
      <c r="G516" s="11" t="s">
        <v>52</v>
      </c>
      <c r="H516" s="11">
        <v>21</v>
      </c>
      <c r="I516" s="11" t="s">
        <v>2817</v>
      </c>
      <c r="J516" s="11" t="s">
        <v>42</v>
      </c>
      <c r="K516" s="11">
        <f>Table1[[#This Row],[ENR]]-Table1[[#This Row],[CREDIT]]</f>
        <v>3439.4400000000023</v>
      </c>
      <c r="L516" s="43">
        <v>120000</v>
      </c>
      <c r="M516" s="30">
        <v>123439.44</v>
      </c>
      <c r="N516" s="44">
        <v>50716.86</v>
      </c>
      <c r="O516" s="29">
        <v>72722.58</v>
      </c>
      <c r="P516" s="29">
        <v>61044.74</v>
      </c>
      <c r="Q516" s="29">
        <v>55030</v>
      </c>
      <c r="R516" s="29">
        <v>26000</v>
      </c>
      <c r="S516" s="11" t="s">
        <v>58</v>
      </c>
      <c r="T516" s="11" t="s">
        <v>13</v>
      </c>
      <c r="U516" s="11">
        <v>72722.58</v>
      </c>
      <c r="V516" s="29">
        <f>Table1[[#This Row],[STAB]]-Table1[[#This Row],[AMOUNT]]</f>
        <v>-46722.58</v>
      </c>
      <c r="W516" s="11" t="s">
        <v>3463</v>
      </c>
      <c r="X516" s="11" t="s">
        <v>444</v>
      </c>
      <c r="Y516" s="11" t="s">
        <v>760</v>
      </c>
      <c r="Z516" s="12" t="s">
        <v>85</v>
      </c>
      <c r="AA516" s="12" t="s">
        <v>613</v>
      </c>
      <c r="AB516" s="11" t="s">
        <v>3139</v>
      </c>
      <c r="AC516" s="11" t="s">
        <v>2946</v>
      </c>
      <c r="AD516" s="11" t="s">
        <v>3074</v>
      </c>
      <c r="AE516" s="11" t="s">
        <v>92</v>
      </c>
      <c r="AF516" s="11" t="s">
        <v>54</v>
      </c>
      <c r="AG516" s="11" t="s">
        <v>101</v>
      </c>
      <c r="AH516" s="11" t="s">
        <v>197</v>
      </c>
      <c r="AI516" s="11">
        <v>802370852</v>
      </c>
      <c r="AJ516" s="11" t="s">
        <v>191</v>
      </c>
      <c r="AK516" s="11"/>
      <c r="AL516" s="11"/>
      <c r="AM516" s="12" t="s">
        <v>64</v>
      </c>
      <c r="AN516" s="11" t="s">
        <v>221</v>
      </c>
      <c r="AO516" s="11" t="s">
        <v>3148</v>
      </c>
      <c r="AP516" s="11" t="s">
        <v>3129</v>
      </c>
      <c r="AQ516" s="3">
        <v>45622</v>
      </c>
      <c r="AR516" s="11">
        <v>3000</v>
      </c>
      <c r="AS516" s="11" t="s">
        <v>436</v>
      </c>
      <c r="AT516" s="11" t="s">
        <v>3118</v>
      </c>
      <c r="AU516" s="2">
        <v>46181</v>
      </c>
    </row>
    <row r="517" spans="1:47" x14ac:dyDescent="0.25">
      <c r="A517" s="10" t="s">
        <v>2577</v>
      </c>
      <c r="B517" s="11" t="s">
        <v>2705</v>
      </c>
      <c r="C517" s="11">
        <v>0</v>
      </c>
      <c r="D517" s="11" t="s">
        <v>108</v>
      </c>
      <c r="E517" s="11"/>
      <c r="F517" s="11"/>
      <c r="G517" s="11" t="s">
        <v>52</v>
      </c>
      <c r="H517" s="11">
        <v>21</v>
      </c>
      <c r="I517" s="11" t="s">
        <v>2833</v>
      </c>
      <c r="J517" s="11" t="s">
        <v>42</v>
      </c>
      <c r="K517" s="11">
        <f>Table1[[#This Row],[ENR]]-Table1[[#This Row],[CREDIT]]</f>
        <v>2227.3899999999994</v>
      </c>
      <c r="L517" s="43">
        <v>120000</v>
      </c>
      <c r="M517" s="30">
        <v>122227.39</v>
      </c>
      <c r="N517" s="44">
        <v>39441.31</v>
      </c>
      <c r="O517" s="29">
        <v>82786.080000000002</v>
      </c>
      <c r="P517" s="29">
        <v>74495.7</v>
      </c>
      <c r="Q517" s="29">
        <v>26240</v>
      </c>
      <c r="R517" s="29">
        <v>10830</v>
      </c>
      <c r="S517" s="11" t="s">
        <v>58</v>
      </c>
      <c r="T517" s="11" t="s">
        <v>14</v>
      </c>
      <c r="U517" s="29">
        <v>11000</v>
      </c>
      <c r="V517" s="29">
        <f>Table1[[#This Row],[STAB]]-Table1[[#This Row],[AMOUNT]]</f>
        <v>-170</v>
      </c>
      <c r="W517" s="11" t="s">
        <v>3642</v>
      </c>
      <c r="X517" s="11" t="s">
        <v>451</v>
      </c>
      <c r="Y517" s="11" t="s">
        <v>760</v>
      </c>
      <c r="Z517" s="11" t="s">
        <v>85</v>
      </c>
      <c r="AA517" s="11" t="s">
        <v>611</v>
      </c>
      <c r="AB517" s="11" t="s">
        <v>3139</v>
      </c>
      <c r="AC517" s="11" t="s">
        <v>2962</v>
      </c>
      <c r="AD517" s="11" t="s">
        <v>3090</v>
      </c>
      <c r="AE517" s="11" t="s">
        <v>104</v>
      </c>
      <c r="AF517" s="11" t="s">
        <v>54</v>
      </c>
      <c r="AG517" s="11" t="s">
        <v>610</v>
      </c>
      <c r="AH517" s="11" t="s">
        <v>627</v>
      </c>
      <c r="AI517" s="11">
        <v>801772792</v>
      </c>
      <c r="AJ517" s="11" t="s">
        <v>191</v>
      </c>
      <c r="AK517" s="11"/>
      <c r="AL517" s="11"/>
      <c r="AM517" s="12" t="s">
        <v>64</v>
      </c>
      <c r="AN517" s="11"/>
      <c r="AO517" s="11"/>
      <c r="AP517" s="11"/>
      <c r="AQ517" s="3">
        <v>45482</v>
      </c>
      <c r="AR517" s="11">
        <v>114876.7</v>
      </c>
      <c r="AS517" s="11" t="s">
        <v>606</v>
      </c>
      <c r="AT517" s="11" t="s">
        <v>3118</v>
      </c>
      <c r="AU517" s="2">
        <v>46181</v>
      </c>
    </row>
    <row r="518" spans="1:47" x14ac:dyDescent="0.25">
      <c r="A518" s="10" t="s">
        <v>2547</v>
      </c>
      <c r="B518" s="11" t="s">
        <v>2675</v>
      </c>
      <c r="C518" s="11">
        <v>0</v>
      </c>
      <c r="D518" s="11" t="s">
        <v>108</v>
      </c>
      <c r="E518" s="11"/>
      <c r="F518" s="11"/>
      <c r="G518" s="11" t="s">
        <v>52</v>
      </c>
      <c r="H518" s="11">
        <v>21</v>
      </c>
      <c r="I518" s="11" t="s">
        <v>2803</v>
      </c>
      <c r="J518" s="11" t="s">
        <v>42</v>
      </c>
      <c r="K518" s="11">
        <f>Table1[[#This Row],[ENR]]-Table1[[#This Row],[CREDIT]]</f>
        <v>-122524.6</v>
      </c>
      <c r="L518" s="43">
        <v>240000</v>
      </c>
      <c r="M518" s="30">
        <v>117475.4</v>
      </c>
      <c r="N518" s="44">
        <v>8025.4</v>
      </c>
      <c r="O518" s="29">
        <v>109450</v>
      </c>
      <c r="P518" s="29">
        <v>100409.36</v>
      </c>
      <c r="Q518" s="29">
        <v>21120</v>
      </c>
      <c r="R518" s="29">
        <v>6510</v>
      </c>
      <c r="S518" s="11" t="s">
        <v>44</v>
      </c>
      <c r="T518" s="11" t="s">
        <v>45</v>
      </c>
      <c r="U518" s="11">
        <v>0</v>
      </c>
      <c r="V518" s="29">
        <f>Table1[[#This Row],[STAB]]-Table1[[#This Row],[AMOUNT]]</f>
        <v>6510</v>
      </c>
      <c r="W518" s="11">
        <v>0</v>
      </c>
      <c r="X518" s="11" t="s">
        <v>83</v>
      </c>
      <c r="Y518" s="11">
        <v>0</v>
      </c>
      <c r="Z518" s="12" t="s">
        <v>85</v>
      </c>
      <c r="AA518" s="12" t="s">
        <v>613</v>
      </c>
      <c r="AB518" s="11" t="s">
        <v>3139</v>
      </c>
      <c r="AC518" s="11" t="s">
        <v>2932</v>
      </c>
      <c r="AD518" s="11" t="s">
        <v>3060</v>
      </c>
      <c r="AE518" s="11" t="s">
        <v>746</v>
      </c>
      <c r="AF518" s="11" t="s">
        <v>53</v>
      </c>
      <c r="AG518" s="11" t="s">
        <v>3469</v>
      </c>
      <c r="AH518" s="11" t="s">
        <v>752</v>
      </c>
      <c r="AI518" s="11">
        <v>802241455</v>
      </c>
      <c r="AJ518" s="11" t="s">
        <v>191</v>
      </c>
      <c r="AK518" s="11"/>
      <c r="AL518" s="11"/>
      <c r="AM518" s="12" t="s">
        <v>46</v>
      </c>
      <c r="AN518" s="11"/>
      <c r="AO518" s="11"/>
      <c r="AP518" s="11"/>
      <c r="AQ518" s="3">
        <v>46107</v>
      </c>
      <c r="AR518" s="11">
        <v>106615</v>
      </c>
      <c r="AS518" s="11" t="s">
        <v>2221</v>
      </c>
      <c r="AT518" s="11" t="s">
        <v>3118</v>
      </c>
      <c r="AU518" s="2">
        <v>46181</v>
      </c>
    </row>
    <row r="519" spans="1:47" x14ac:dyDescent="0.25">
      <c r="A519" s="10" t="s">
        <v>2551</v>
      </c>
      <c r="B519" s="11" t="s">
        <v>2679</v>
      </c>
      <c r="C519" s="11">
        <v>0</v>
      </c>
      <c r="D519" s="11" t="s">
        <v>108</v>
      </c>
      <c r="E519" s="11"/>
      <c r="F519" s="11"/>
      <c r="G519" s="11" t="s">
        <v>52</v>
      </c>
      <c r="H519" s="11">
        <v>21</v>
      </c>
      <c r="I519" s="11" t="s">
        <v>2807</v>
      </c>
      <c r="J519" s="11" t="s">
        <v>42</v>
      </c>
      <c r="K519" s="11">
        <f>Table1[[#This Row],[ENR]]-Table1[[#This Row],[CREDIT]]</f>
        <v>8470.5299999999988</v>
      </c>
      <c r="L519" s="43">
        <v>100000</v>
      </c>
      <c r="M519" s="30">
        <v>108470.53</v>
      </c>
      <c r="N519" s="44" t="s">
        <v>43</v>
      </c>
      <c r="O519" s="29">
        <v>108470.53</v>
      </c>
      <c r="P519" s="29">
        <v>99956.55</v>
      </c>
      <c r="Q519" s="29">
        <v>26310</v>
      </c>
      <c r="R519" s="29">
        <v>5000</v>
      </c>
      <c r="S519" s="11" t="s">
        <v>44</v>
      </c>
      <c r="T519" s="11" t="s">
        <v>45</v>
      </c>
      <c r="U519" s="11">
        <v>0</v>
      </c>
      <c r="V519" s="29">
        <f>Table1[[#This Row],[STAB]]-Table1[[#This Row],[AMOUNT]]</f>
        <v>5000</v>
      </c>
      <c r="W519" s="11">
        <v>0</v>
      </c>
      <c r="X519" s="11" t="s">
        <v>83</v>
      </c>
      <c r="Y519" s="11">
        <v>0</v>
      </c>
      <c r="Z519" s="11" t="s">
        <v>85</v>
      </c>
      <c r="AA519" s="11" t="s">
        <v>447</v>
      </c>
      <c r="AB519" s="11" t="s">
        <v>3139</v>
      </c>
      <c r="AC519" s="11" t="s">
        <v>2936</v>
      </c>
      <c r="AD519" s="11" t="s">
        <v>3064</v>
      </c>
      <c r="AE519" s="11" t="s">
        <v>426</v>
      </c>
      <c r="AF519" s="11" t="s">
        <v>439</v>
      </c>
      <c r="AG519" s="11" t="s">
        <v>63</v>
      </c>
      <c r="AH519" s="11" t="s">
        <v>467</v>
      </c>
      <c r="AI519" s="11">
        <v>801570488</v>
      </c>
      <c r="AJ519" s="11" t="s">
        <v>190</v>
      </c>
      <c r="AK519" s="11"/>
      <c r="AL519" s="11"/>
      <c r="AM519" s="12" t="s">
        <v>64</v>
      </c>
      <c r="AN519" s="11" t="s">
        <v>221</v>
      </c>
      <c r="AO519" s="11" t="s">
        <v>3229</v>
      </c>
      <c r="AP519" s="11" t="s">
        <v>3206</v>
      </c>
      <c r="AQ519" s="3">
        <v>45540</v>
      </c>
      <c r="AR519" s="11">
        <v>160</v>
      </c>
      <c r="AS519" s="11" t="s">
        <v>2221</v>
      </c>
      <c r="AT519" s="11" t="s">
        <v>3118</v>
      </c>
      <c r="AU519" s="2">
        <v>46181</v>
      </c>
    </row>
    <row r="520" spans="1:47" x14ac:dyDescent="0.25">
      <c r="A520" s="10" t="s">
        <v>2573</v>
      </c>
      <c r="B520" s="11" t="s">
        <v>2701</v>
      </c>
      <c r="C520" s="11">
        <v>0</v>
      </c>
      <c r="D520" s="11" t="s">
        <v>108</v>
      </c>
      <c r="E520" s="11"/>
      <c r="F520" s="11"/>
      <c r="G520" s="11" t="s">
        <v>52</v>
      </c>
      <c r="H520" s="11">
        <v>21</v>
      </c>
      <c r="I520" s="11" t="s">
        <v>2829</v>
      </c>
      <c r="J520" s="11" t="s">
        <v>42</v>
      </c>
      <c r="K520" s="11">
        <f>Table1[[#This Row],[ENR]]-Table1[[#This Row],[CREDIT]]</f>
        <v>6900.9700000000012</v>
      </c>
      <c r="L520" s="43">
        <v>100000</v>
      </c>
      <c r="M520" s="30">
        <v>106900.97</v>
      </c>
      <c r="N520" s="44">
        <v>92775.94</v>
      </c>
      <c r="O520" s="29">
        <v>14125.03</v>
      </c>
      <c r="P520" s="29">
        <v>7023.06</v>
      </c>
      <c r="Q520" s="29">
        <v>14125.03</v>
      </c>
      <c r="R520" s="29">
        <v>7606.2</v>
      </c>
      <c r="S520" s="11" t="s">
        <v>44</v>
      </c>
      <c r="T520" s="11" t="s">
        <v>45</v>
      </c>
      <c r="U520" s="11">
        <v>0</v>
      </c>
      <c r="V520" s="29">
        <f>Table1[[#This Row],[STAB]]-Table1[[#This Row],[AMOUNT]]</f>
        <v>7606.2</v>
      </c>
      <c r="W520" s="11">
        <v>0</v>
      </c>
      <c r="X520" s="11" t="s">
        <v>83</v>
      </c>
      <c r="Y520" s="11">
        <v>0</v>
      </c>
      <c r="Z520" s="11" t="s">
        <v>85</v>
      </c>
      <c r="AA520" s="11" t="s">
        <v>612</v>
      </c>
      <c r="AB520" s="11" t="s">
        <v>3140</v>
      </c>
      <c r="AC520" s="11" t="s">
        <v>2958</v>
      </c>
      <c r="AD520" s="11" t="s">
        <v>3086</v>
      </c>
      <c r="AE520" s="11" t="s">
        <v>416</v>
      </c>
      <c r="AF520" s="11" t="s">
        <v>54</v>
      </c>
      <c r="AG520" s="11" t="s">
        <v>441</v>
      </c>
      <c r="AH520" s="11" t="s">
        <v>193</v>
      </c>
      <c r="AI520" s="11">
        <v>802824019</v>
      </c>
      <c r="AJ520" s="11" t="s">
        <v>189</v>
      </c>
      <c r="AK520" s="11"/>
      <c r="AL520" s="11"/>
      <c r="AM520" s="12" t="s">
        <v>46</v>
      </c>
      <c r="AN520" s="11"/>
      <c r="AO520" s="11"/>
      <c r="AP520" s="11"/>
      <c r="AQ520" s="3">
        <v>45728</v>
      </c>
      <c r="AR520" s="11">
        <v>166.43</v>
      </c>
      <c r="AS520" s="11" t="s">
        <v>48</v>
      </c>
      <c r="AT520" s="11" t="s">
        <v>3118</v>
      </c>
      <c r="AU520" s="2">
        <v>46181</v>
      </c>
    </row>
    <row r="521" spans="1:47" x14ac:dyDescent="0.25">
      <c r="A521" s="10" t="s">
        <v>2589</v>
      </c>
      <c r="B521" s="11" t="s">
        <v>2717</v>
      </c>
      <c r="C521" s="11">
        <v>0</v>
      </c>
      <c r="D521" s="11" t="s">
        <v>108</v>
      </c>
      <c r="E521" s="11"/>
      <c r="F521" s="11"/>
      <c r="G521" s="11" t="s">
        <v>90</v>
      </c>
      <c r="H521" s="11">
        <v>21</v>
      </c>
      <c r="I521" s="11" t="s">
        <v>2845</v>
      </c>
      <c r="J521" s="11" t="s">
        <v>42</v>
      </c>
      <c r="K521" s="11">
        <f>Table1[[#This Row],[ENR]]-Table1[[#This Row],[CREDIT]]</f>
        <v>5985.179999999993</v>
      </c>
      <c r="L521" s="43">
        <v>100000</v>
      </c>
      <c r="M521" s="30">
        <v>105985.18</v>
      </c>
      <c r="N521" s="44" t="s">
        <v>43</v>
      </c>
      <c r="O521" s="29">
        <v>105985.18</v>
      </c>
      <c r="P521" s="29">
        <v>99694.7</v>
      </c>
      <c r="Q521" s="29">
        <v>28320</v>
      </c>
      <c r="R521" s="29">
        <v>16000</v>
      </c>
      <c r="S521" s="11" t="s">
        <v>58</v>
      </c>
      <c r="T521" s="11" t="s">
        <v>13</v>
      </c>
      <c r="U521" s="11">
        <v>28320</v>
      </c>
      <c r="V521" s="29">
        <f>Table1[[#This Row],[STAB]]-Table1[[#This Row],[AMOUNT]]</f>
        <v>-12320</v>
      </c>
      <c r="W521" s="11" t="s">
        <v>3129</v>
      </c>
      <c r="X521" s="11" t="s">
        <v>444</v>
      </c>
      <c r="Y521" s="11" t="s">
        <v>3246</v>
      </c>
      <c r="Z521" s="11" t="s">
        <v>85</v>
      </c>
      <c r="AA521" s="11" t="s">
        <v>613</v>
      </c>
      <c r="AB521" s="11" t="s">
        <v>3139</v>
      </c>
      <c r="AC521" s="11" t="s">
        <v>2974</v>
      </c>
      <c r="AD521" s="11" t="s">
        <v>3102</v>
      </c>
      <c r="AE521" s="11" t="s">
        <v>420</v>
      </c>
      <c r="AF521" s="11" t="s">
        <v>54</v>
      </c>
      <c r="AG521" s="11" t="s">
        <v>120</v>
      </c>
      <c r="AH521" s="11" t="s">
        <v>463</v>
      </c>
      <c r="AI521" s="11">
        <v>802898520</v>
      </c>
      <c r="AJ521" s="11" t="s">
        <v>190</v>
      </c>
      <c r="AK521" s="11"/>
      <c r="AL521" s="11"/>
      <c r="AM521" s="12" t="s">
        <v>64</v>
      </c>
      <c r="AN521" s="11"/>
      <c r="AO521" s="11"/>
      <c r="AP521" s="11"/>
      <c r="AQ521" s="3">
        <v>45295</v>
      </c>
      <c r="AR521" s="11">
        <v>6012</v>
      </c>
      <c r="AS521" s="11" t="s">
        <v>433</v>
      </c>
      <c r="AT521" s="11" t="s">
        <v>3118</v>
      </c>
      <c r="AU521" s="2">
        <v>46181</v>
      </c>
    </row>
    <row r="522" spans="1:47" x14ac:dyDescent="0.25">
      <c r="A522" s="10" t="s">
        <v>2552</v>
      </c>
      <c r="B522" s="11" t="s">
        <v>2680</v>
      </c>
      <c r="C522" s="11">
        <v>0</v>
      </c>
      <c r="D522" s="11" t="s">
        <v>108</v>
      </c>
      <c r="E522" s="11"/>
      <c r="F522" s="11"/>
      <c r="G522" s="11" t="s">
        <v>52</v>
      </c>
      <c r="H522" s="11">
        <v>21</v>
      </c>
      <c r="I522" s="11" t="s">
        <v>2808</v>
      </c>
      <c r="J522" s="11" t="s">
        <v>42</v>
      </c>
      <c r="K522" s="11">
        <f>Table1[[#This Row],[ENR]]-Table1[[#This Row],[CREDIT]]</f>
        <v>5835.1600000000035</v>
      </c>
      <c r="L522" s="43">
        <v>100000</v>
      </c>
      <c r="M522" s="30">
        <v>105835.16</v>
      </c>
      <c r="N522" s="44" t="s">
        <v>43</v>
      </c>
      <c r="O522" s="29">
        <v>105835.16</v>
      </c>
      <c r="P522" s="29">
        <v>66084.929999999993</v>
      </c>
      <c r="Q522" s="29">
        <v>83330</v>
      </c>
      <c r="R522" s="29">
        <v>70460</v>
      </c>
      <c r="S522" s="11" t="s">
        <v>44</v>
      </c>
      <c r="T522" s="11" t="s">
        <v>45</v>
      </c>
      <c r="U522" s="11">
        <v>0</v>
      </c>
      <c r="V522" s="29">
        <f>Table1[[#This Row],[STAB]]-Table1[[#This Row],[AMOUNT]]</f>
        <v>70460</v>
      </c>
      <c r="W522" s="11">
        <v>0</v>
      </c>
      <c r="X522" s="11" t="s">
        <v>83</v>
      </c>
      <c r="Y522" s="11">
        <v>0</v>
      </c>
      <c r="Z522" s="11" t="s">
        <v>85</v>
      </c>
      <c r="AA522" s="11" t="s">
        <v>611</v>
      </c>
      <c r="AB522" s="11" t="s">
        <v>3139</v>
      </c>
      <c r="AC522" s="11" t="s">
        <v>2937</v>
      </c>
      <c r="AD522" s="11" t="s">
        <v>3065</v>
      </c>
      <c r="AE522" s="11" t="s">
        <v>133</v>
      </c>
      <c r="AF522" s="11" t="s">
        <v>54</v>
      </c>
      <c r="AG522" s="11" t="s">
        <v>1086</v>
      </c>
      <c r="AH522" s="11" t="s">
        <v>85</v>
      </c>
      <c r="AI522" s="11">
        <v>801772794</v>
      </c>
      <c r="AJ522" s="11" t="s">
        <v>192</v>
      </c>
      <c r="AK522" s="11"/>
      <c r="AL522" s="11"/>
      <c r="AM522" s="12" t="s">
        <v>64</v>
      </c>
      <c r="AN522" s="11" t="s">
        <v>115</v>
      </c>
      <c r="AO522" s="11" t="s">
        <v>3192</v>
      </c>
      <c r="AP522" s="11" t="s">
        <v>3191</v>
      </c>
      <c r="AQ522" s="3">
        <v>45452</v>
      </c>
      <c r="AR522" s="11">
        <v>1440</v>
      </c>
      <c r="AS522" s="11" t="s">
        <v>606</v>
      </c>
      <c r="AT522" s="11" t="s">
        <v>3118</v>
      </c>
      <c r="AU522" s="2">
        <v>46181</v>
      </c>
    </row>
    <row r="523" spans="1:47" x14ac:dyDescent="0.25">
      <c r="A523" s="10" t="s">
        <v>2540</v>
      </c>
      <c r="B523" s="11" t="s">
        <v>2668</v>
      </c>
      <c r="C523" s="11">
        <v>0</v>
      </c>
      <c r="D523" s="11" t="s">
        <v>108</v>
      </c>
      <c r="E523" s="11"/>
      <c r="F523" s="11"/>
      <c r="G523" s="11" t="s">
        <v>52</v>
      </c>
      <c r="H523" s="11">
        <v>21</v>
      </c>
      <c r="I523" s="11" t="s">
        <v>2796</v>
      </c>
      <c r="J523" s="11" t="s">
        <v>42</v>
      </c>
      <c r="K523" s="11">
        <f>Table1[[#This Row],[ENR]]-Table1[[#This Row],[CREDIT]]</f>
        <v>-354804.45</v>
      </c>
      <c r="L523" s="43">
        <v>460000</v>
      </c>
      <c r="M523" s="30">
        <v>105195.55</v>
      </c>
      <c r="N523" s="44">
        <v>60481.08</v>
      </c>
      <c r="O523" s="29">
        <v>44714.47</v>
      </c>
      <c r="P523" s="29">
        <v>38845.93</v>
      </c>
      <c r="Q523" s="29">
        <v>44714.47</v>
      </c>
      <c r="R523" s="29">
        <v>21036.49</v>
      </c>
      <c r="S523" s="11" t="s">
        <v>44</v>
      </c>
      <c r="T523" s="11" t="s">
        <v>45</v>
      </c>
      <c r="U523" s="11">
        <v>0</v>
      </c>
      <c r="V523" s="29">
        <f>Table1[[#This Row],[STAB]]-Table1[[#This Row],[AMOUNT]]</f>
        <v>21036.49</v>
      </c>
      <c r="W523" s="11">
        <v>0</v>
      </c>
      <c r="X523" s="11" t="s">
        <v>83</v>
      </c>
      <c r="Y523" s="11">
        <v>0</v>
      </c>
      <c r="Z523" s="12" t="s">
        <v>85</v>
      </c>
      <c r="AA523" s="12" t="s">
        <v>447</v>
      </c>
      <c r="AB523" s="11" t="s">
        <v>3139</v>
      </c>
      <c r="AC523" s="11" t="s">
        <v>2925</v>
      </c>
      <c r="AD523" s="11" t="s">
        <v>3053</v>
      </c>
      <c r="AE523" s="11" t="s">
        <v>92</v>
      </c>
      <c r="AF523" s="11" t="s">
        <v>54</v>
      </c>
      <c r="AG523" s="11" t="s">
        <v>101</v>
      </c>
      <c r="AH523" s="11" t="s">
        <v>197</v>
      </c>
      <c r="AI523" s="11">
        <v>802370852</v>
      </c>
      <c r="AJ523" s="11" t="s">
        <v>191</v>
      </c>
      <c r="AK523" s="11"/>
      <c r="AL523" s="11"/>
      <c r="AM523" s="12" t="s">
        <v>64</v>
      </c>
      <c r="AN523" s="11" t="s">
        <v>219</v>
      </c>
      <c r="AO523" s="11" t="s">
        <v>3487</v>
      </c>
      <c r="AP523" s="11" t="s">
        <v>3484</v>
      </c>
      <c r="AQ523" s="3">
        <v>46058</v>
      </c>
      <c r="AR523" s="11">
        <v>50000</v>
      </c>
      <c r="AS523" s="11" t="s">
        <v>2221</v>
      </c>
      <c r="AT523" s="11" t="s">
        <v>3118</v>
      </c>
      <c r="AU523" s="2">
        <v>46181</v>
      </c>
    </row>
    <row r="524" spans="1:47" x14ac:dyDescent="0.25">
      <c r="A524" s="10" t="s">
        <v>2569</v>
      </c>
      <c r="B524" s="11" t="s">
        <v>2697</v>
      </c>
      <c r="C524" s="11">
        <v>0</v>
      </c>
      <c r="D524" s="11" t="s">
        <v>108</v>
      </c>
      <c r="E524" s="11"/>
      <c r="F524" s="11"/>
      <c r="G524" s="11" t="s">
        <v>52</v>
      </c>
      <c r="H524" s="11">
        <v>21</v>
      </c>
      <c r="I524" s="11" t="s">
        <v>2825</v>
      </c>
      <c r="J524" s="11" t="s">
        <v>42</v>
      </c>
      <c r="K524" s="11">
        <f>Table1[[#This Row],[ENR]]-Table1[[#This Row],[CREDIT]]</f>
        <v>4864.5800000000017</v>
      </c>
      <c r="L524" s="43">
        <v>100000</v>
      </c>
      <c r="M524" s="30">
        <v>104864.58</v>
      </c>
      <c r="N524" s="44">
        <v>28902.92</v>
      </c>
      <c r="O524" s="29">
        <v>75961.66</v>
      </c>
      <c r="P524" s="29">
        <v>65585.38</v>
      </c>
      <c r="Q524" s="29">
        <v>21100</v>
      </c>
      <c r="R524" s="29">
        <v>9850</v>
      </c>
      <c r="S524" s="11" t="s">
        <v>44</v>
      </c>
      <c r="T524" s="11" t="s">
        <v>45</v>
      </c>
      <c r="U524" s="11">
        <v>0</v>
      </c>
      <c r="V524" s="29">
        <f>Table1[[#This Row],[STAB]]-Table1[[#This Row],[AMOUNT]]</f>
        <v>9850</v>
      </c>
      <c r="W524" s="11">
        <v>0</v>
      </c>
      <c r="X524" s="11" t="s">
        <v>83</v>
      </c>
      <c r="Y524" s="11">
        <v>0</v>
      </c>
      <c r="Z524" s="12" t="s">
        <v>85</v>
      </c>
      <c r="AA524" s="12" t="s">
        <v>612</v>
      </c>
      <c r="AB524" s="11" t="s">
        <v>3139</v>
      </c>
      <c r="AC524" s="11" t="s">
        <v>2954</v>
      </c>
      <c r="AD524" s="11" t="s">
        <v>3082</v>
      </c>
      <c r="AE524" s="11" t="s">
        <v>420</v>
      </c>
      <c r="AF524" s="11" t="s">
        <v>54</v>
      </c>
      <c r="AG524" s="11" t="s">
        <v>120</v>
      </c>
      <c r="AH524" s="11" t="s">
        <v>463</v>
      </c>
      <c r="AI524" s="11">
        <v>802898520</v>
      </c>
      <c r="AJ524" s="11" t="s">
        <v>190</v>
      </c>
      <c r="AK524" s="11"/>
      <c r="AL524" s="11"/>
      <c r="AM524" s="12" t="s">
        <v>46</v>
      </c>
      <c r="AN524" s="11"/>
      <c r="AO524" s="11"/>
      <c r="AP524" s="11"/>
      <c r="AQ524" s="3">
        <v>45453</v>
      </c>
      <c r="AR524" s="11">
        <v>54071</v>
      </c>
      <c r="AS524" s="11" t="s">
        <v>606</v>
      </c>
      <c r="AT524" s="11" t="s">
        <v>3118</v>
      </c>
      <c r="AU524" s="2">
        <v>46181</v>
      </c>
    </row>
    <row r="525" spans="1:47" x14ac:dyDescent="0.25">
      <c r="A525" s="10" t="s">
        <v>2544</v>
      </c>
      <c r="B525" s="11" t="s">
        <v>2672</v>
      </c>
      <c r="C525" s="11">
        <v>0</v>
      </c>
      <c r="D525" s="11" t="s">
        <v>108</v>
      </c>
      <c r="E525" s="11"/>
      <c r="F525" s="11"/>
      <c r="G525" s="11" t="s">
        <v>52</v>
      </c>
      <c r="H525" s="11">
        <v>21</v>
      </c>
      <c r="I525" s="11" t="s">
        <v>2800</v>
      </c>
      <c r="J525" s="11" t="s">
        <v>42</v>
      </c>
      <c r="K525" s="11">
        <f>Table1[[#This Row],[ENR]]-Table1[[#This Row],[CREDIT]]</f>
        <v>3779.3399999999965</v>
      </c>
      <c r="L525" s="43">
        <v>100000</v>
      </c>
      <c r="M525" s="30">
        <v>103779.34</v>
      </c>
      <c r="N525" s="44">
        <v>61612.84</v>
      </c>
      <c r="O525" s="29">
        <v>42166.5</v>
      </c>
      <c r="P525" s="29">
        <v>34196.620000000003</v>
      </c>
      <c r="Q525" s="29">
        <v>42166.5</v>
      </c>
      <c r="R525" s="29">
        <v>19786.37</v>
      </c>
      <c r="S525" s="11" t="s">
        <v>58</v>
      </c>
      <c r="T525" s="11" t="s">
        <v>13</v>
      </c>
      <c r="U525" s="11">
        <v>42166.5</v>
      </c>
      <c r="V525" s="29">
        <f>Table1[[#This Row],[STAB]]-Table1[[#This Row],[AMOUNT]]</f>
        <v>-22380.13</v>
      </c>
      <c r="W525" s="11" t="s">
        <v>3238</v>
      </c>
      <c r="X525" s="11" t="s">
        <v>444</v>
      </c>
      <c r="Y525" s="11" t="s">
        <v>760</v>
      </c>
      <c r="Z525" s="11" t="s">
        <v>85</v>
      </c>
      <c r="AA525" s="11" t="s">
        <v>613</v>
      </c>
      <c r="AB525" s="11" t="s">
        <v>3139</v>
      </c>
      <c r="AC525" s="11" t="s">
        <v>2929</v>
      </c>
      <c r="AD525" s="11" t="s">
        <v>3057</v>
      </c>
      <c r="AE525" s="11" t="s">
        <v>428</v>
      </c>
      <c r="AF525" s="11" t="s">
        <v>53</v>
      </c>
      <c r="AG525" s="11" t="s">
        <v>55</v>
      </c>
      <c r="AH525" s="11" t="s">
        <v>468</v>
      </c>
      <c r="AI525" s="11">
        <v>802030802</v>
      </c>
      <c r="AJ525" s="11" t="s">
        <v>458</v>
      </c>
      <c r="AK525" s="11"/>
      <c r="AL525" s="11"/>
      <c r="AM525" s="12" t="s">
        <v>64</v>
      </c>
      <c r="AN525" s="11"/>
      <c r="AO525" s="11"/>
      <c r="AP525" s="11"/>
      <c r="AQ525" s="3">
        <v>45491</v>
      </c>
      <c r="AR525" s="11">
        <v>49200</v>
      </c>
      <c r="AS525" s="11" t="s">
        <v>2221</v>
      </c>
      <c r="AT525" s="11" t="s">
        <v>3118</v>
      </c>
      <c r="AU525" s="2">
        <v>46181</v>
      </c>
    </row>
    <row r="526" spans="1:47" x14ac:dyDescent="0.25">
      <c r="A526" s="10" t="s">
        <v>2543</v>
      </c>
      <c r="B526" s="11" t="s">
        <v>2671</v>
      </c>
      <c r="C526" s="11">
        <v>0</v>
      </c>
      <c r="D526" s="11" t="s">
        <v>108</v>
      </c>
      <c r="E526" s="11"/>
      <c r="F526" s="11"/>
      <c r="G526" s="11" t="s">
        <v>52</v>
      </c>
      <c r="H526" s="11">
        <v>21</v>
      </c>
      <c r="I526" s="11" t="s">
        <v>2799</v>
      </c>
      <c r="J526" s="11" t="s">
        <v>42</v>
      </c>
      <c r="K526" s="11">
        <f>Table1[[#This Row],[ENR]]-Table1[[#This Row],[CREDIT]]</f>
        <v>9313.6900000000023</v>
      </c>
      <c r="L526" s="43">
        <v>90000</v>
      </c>
      <c r="M526" s="30">
        <v>99313.69</v>
      </c>
      <c r="N526" s="44" t="s">
        <v>43</v>
      </c>
      <c r="O526" s="29">
        <v>99313.69</v>
      </c>
      <c r="P526" s="29">
        <v>87999</v>
      </c>
      <c r="Q526" s="29">
        <v>25310</v>
      </c>
      <c r="R526" s="29">
        <v>10330</v>
      </c>
      <c r="S526" s="11" t="s">
        <v>58</v>
      </c>
      <c r="T526" s="11" t="s">
        <v>14</v>
      </c>
      <c r="U526" s="29">
        <v>10500</v>
      </c>
      <c r="V526" s="29">
        <f>Table1[[#This Row],[STAB]]-Table1[[#This Row],[AMOUNT]]</f>
        <v>-170</v>
      </c>
      <c r="W526" s="11">
        <v>0</v>
      </c>
      <c r="X526" s="11" t="s">
        <v>761</v>
      </c>
      <c r="Y526" s="11" t="s">
        <v>760</v>
      </c>
      <c r="Z526" s="11" t="s">
        <v>85</v>
      </c>
      <c r="AA526" s="11" t="s">
        <v>611</v>
      </c>
      <c r="AB526" s="11" t="s">
        <v>3139</v>
      </c>
      <c r="AC526" s="11" t="s">
        <v>2928</v>
      </c>
      <c r="AD526" s="11" t="s">
        <v>3056</v>
      </c>
      <c r="AE526" s="11" t="s">
        <v>104</v>
      </c>
      <c r="AF526" s="11" t="s">
        <v>54</v>
      </c>
      <c r="AG526" s="11" t="s">
        <v>610</v>
      </c>
      <c r="AH526" s="11" t="s">
        <v>627</v>
      </c>
      <c r="AI526" s="11">
        <v>801772792</v>
      </c>
      <c r="AJ526" s="11" t="s">
        <v>191</v>
      </c>
      <c r="AK526" s="11"/>
      <c r="AL526" s="11"/>
      <c r="AM526" s="12" t="s">
        <v>64</v>
      </c>
      <c r="AN526" s="11" t="s">
        <v>219</v>
      </c>
      <c r="AO526" s="11" t="s">
        <v>3470</v>
      </c>
      <c r="AP526" s="11" t="s">
        <v>3463</v>
      </c>
      <c r="AQ526" s="3">
        <v>46125</v>
      </c>
      <c r="AR526" s="11">
        <v>5500</v>
      </c>
      <c r="AS526" s="11" t="s">
        <v>2221</v>
      </c>
      <c r="AT526" s="11" t="s">
        <v>3118</v>
      </c>
      <c r="AU526" s="2">
        <v>46181</v>
      </c>
    </row>
    <row r="527" spans="1:47" x14ac:dyDescent="0.25">
      <c r="A527" s="10" t="s">
        <v>2558</v>
      </c>
      <c r="B527" s="11" t="s">
        <v>2686</v>
      </c>
      <c r="C527" s="11">
        <v>0</v>
      </c>
      <c r="D527" s="11" t="s">
        <v>108</v>
      </c>
      <c r="E527" s="11"/>
      <c r="F527" s="11"/>
      <c r="G527" s="11" t="s">
        <v>52</v>
      </c>
      <c r="H527" s="11">
        <v>21</v>
      </c>
      <c r="I527" s="11" t="s">
        <v>2814</v>
      </c>
      <c r="J527" s="11" t="s">
        <v>42</v>
      </c>
      <c r="K527" s="11">
        <f>Table1[[#This Row],[ENR]]-Table1[[#This Row],[CREDIT]]</f>
        <v>37636.97</v>
      </c>
      <c r="L527" s="43">
        <v>60000</v>
      </c>
      <c r="M527" s="30">
        <v>97636.97</v>
      </c>
      <c r="N527" s="44">
        <v>46583.22</v>
      </c>
      <c r="O527" s="29">
        <v>51053.75</v>
      </c>
      <c r="P527" s="29">
        <v>46195.54</v>
      </c>
      <c r="Q527" s="29">
        <v>37530</v>
      </c>
      <c r="R527" s="29">
        <v>16900</v>
      </c>
      <c r="S527" s="11" t="s">
        <v>58</v>
      </c>
      <c r="T527" s="11" t="s">
        <v>14</v>
      </c>
      <c r="U527" s="29">
        <v>17000</v>
      </c>
      <c r="V527" s="29">
        <f>Table1[[#This Row],[STAB]]-Table1[[#This Row],[AMOUNT]]</f>
        <v>-100</v>
      </c>
      <c r="W527" s="11">
        <v>0</v>
      </c>
      <c r="X527" s="11" t="s">
        <v>761</v>
      </c>
      <c r="Y527" s="11" t="s">
        <v>760</v>
      </c>
      <c r="Z527" s="12" t="s">
        <v>85</v>
      </c>
      <c r="AA527" s="12" t="s">
        <v>612</v>
      </c>
      <c r="AB527" s="11" t="s">
        <v>3139</v>
      </c>
      <c r="AC527" s="11" t="s">
        <v>2943</v>
      </c>
      <c r="AD527" s="11" t="s">
        <v>3071</v>
      </c>
      <c r="AE527" s="11" t="s">
        <v>104</v>
      </c>
      <c r="AF527" s="11" t="s">
        <v>54</v>
      </c>
      <c r="AG527" s="11" t="s">
        <v>130</v>
      </c>
      <c r="AH527" s="11" t="s">
        <v>469</v>
      </c>
      <c r="AI527" s="11">
        <v>802835406</v>
      </c>
      <c r="AJ527" s="11" t="s">
        <v>99</v>
      </c>
      <c r="AK527" s="11"/>
      <c r="AL527" s="11"/>
      <c r="AM527" s="12" t="s">
        <v>64</v>
      </c>
      <c r="AN527" s="11" t="s">
        <v>115</v>
      </c>
      <c r="AO527" s="11" t="s">
        <v>3205</v>
      </c>
      <c r="AP527" s="11" t="s">
        <v>3204</v>
      </c>
      <c r="AQ527" s="3">
        <v>45762</v>
      </c>
      <c r="AR527" s="11">
        <v>13000</v>
      </c>
      <c r="AS527" s="11" t="s">
        <v>606</v>
      </c>
      <c r="AT527" s="11" t="s">
        <v>3118</v>
      </c>
      <c r="AU527" s="2">
        <v>46181</v>
      </c>
    </row>
    <row r="528" spans="1:47" x14ac:dyDescent="0.25">
      <c r="A528" s="10" t="s">
        <v>2584</v>
      </c>
      <c r="B528" s="11" t="s">
        <v>2712</v>
      </c>
      <c r="C528" s="11">
        <v>0</v>
      </c>
      <c r="D528" s="11" t="s">
        <v>108</v>
      </c>
      <c r="E528" s="11"/>
      <c r="F528" s="11"/>
      <c r="G528" s="11" t="s">
        <v>90</v>
      </c>
      <c r="H528" s="11">
        <v>21</v>
      </c>
      <c r="I528" s="11" t="s">
        <v>2840</v>
      </c>
      <c r="J528" s="11" t="s">
        <v>42</v>
      </c>
      <c r="K528" s="11">
        <f>Table1[[#This Row],[ENR]]-Table1[[#This Row],[CREDIT]]</f>
        <v>-4061.1199999999953</v>
      </c>
      <c r="L528" s="43">
        <v>100000</v>
      </c>
      <c r="M528" s="30">
        <v>95938.880000000005</v>
      </c>
      <c r="N528" s="44" t="s">
        <v>43</v>
      </c>
      <c r="O528" s="29">
        <v>95938.880000000005</v>
      </c>
      <c r="P528" s="29">
        <v>89933.77</v>
      </c>
      <c r="Q528" s="29">
        <v>21920</v>
      </c>
      <c r="R528" s="29">
        <v>15800</v>
      </c>
      <c r="S528" s="11" t="s">
        <v>58</v>
      </c>
      <c r="T528" s="11" t="s">
        <v>13</v>
      </c>
      <c r="U528" s="11">
        <v>95938.880000000005</v>
      </c>
      <c r="V528" s="29">
        <f>Table1[[#This Row],[STAB]]-Table1[[#This Row],[AMOUNT]]</f>
        <v>-80138.880000000005</v>
      </c>
      <c r="W528" s="11" t="s">
        <v>3129</v>
      </c>
      <c r="X528" s="11" t="s">
        <v>451</v>
      </c>
      <c r="Y528" s="11" t="s">
        <v>1085</v>
      </c>
      <c r="Z528" s="11" t="s">
        <v>85</v>
      </c>
      <c r="AA528" s="11" t="s">
        <v>447</v>
      </c>
      <c r="AB528" s="11" t="s">
        <v>3139</v>
      </c>
      <c r="AC528" s="11" t="s">
        <v>2969</v>
      </c>
      <c r="AD528" s="11" t="s">
        <v>3097</v>
      </c>
      <c r="AE528" s="11" t="s">
        <v>413</v>
      </c>
      <c r="AF528" s="11" t="s">
        <v>54</v>
      </c>
      <c r="AG528" s="11" t="s">
        <v>129</v>
      </c>
      <c r="AH528" s="11" t="s">
        <v>753</v>
      </c>
      <c r="AI528" s="11">
        <v>802794852</v>
      </c>
      <c r="AJ528" s="11" t="s">
        <v>190</v>
      </c>
      <c r="AK528" s="11"/>
      <c r="AL528" s="11"/>
      <c r="AM528" s="12" t="s">
        <v>64</v>
      </c>
      <c r="AN528" s="11"/>
      <c r="AO528" s="11"/>
      <c r="AP528" s="11"/>
      <c r="AQ528" s="3">
        <v>46161</v>
      </c>
      <c r="AR528" s="11">
        <v>16000</v>
      </c>
      <c r="AS528" s="11" t="s">
        <v>433</v>
      </c>
      <c r="AT528" s="11" t="s">
        <v>3118</v>
      </c>
      <c r="AU528" s="2">
        <v>46181</v>
      </c>
    </row>
    <row r="529" spans="1:47" x14ac:dyDescent="0.25">
      <c r="A529" s="10" t="s">
        <v>2595</v>
      </c>
      <c r="B529" s="11" t="s">
        <v>2723</v>
      </c>
      <c r="C529" s="11">
        <v>0</v>
      </c>
      <c r="D529" s="11" t="s">
        <v>108</v>
      </c>
      <c r="E529" s="11"/>
      <c r="F529" s="11"/>
      <c r="G529" s="11" t="s">
        <v>52</v>
      </c>
      <c r="H529" s="11">
        <v>21</v>
      </c>
      <c r="I529" s="11" t="s">
        <v>2851</v>
      </c>
      <c r="J529" s="11" t="s">
        <v>42</v>
      </c>
      <c r="K529" s="11">
        <f>Table1[[#This Row],[ENR]]-Table1[[#This Row],[CREDIT]]</f>
        <v>-26553.130000000005</v>
      </c>
      <c r="L529" s="43">
        <v>120000</v>
      </c>
      <c r="M529" s="30">
        <v>93446.87</v>
      </c>
      <c r="N529" s="44" t="s">
        <v>43</v>
      </c>
      <c r="O529" s="29">
        <v>93446.87</v>
      </c>
      <c r="P529" s="29">
        <v>87758.61</v>
      </c>
      <c r="Q529" s="29">
        <v>16120</v>
      </c>
      <c r="R529" s="29">
        <v>9880</v>
      </c>
      <c r="S529" s="11" t="s">
        <v>58</v>
      </c>
      <c r="T529" s="11" t="s">
        <v>13</v>
      </c>
      <c r="U529" s="11">
        <v>93446.87</v>
      </c>
      <c r="V529" s="29">
        <f>Table1[[#This Row],[STAB]]-Table1[[#This Row],[AMOUNT]]</f>
        <v>-83566.87</v>
      </c>
      <c r="W529" s="11" t="s">
        <v>3484</v>
      </c>
      <c r="X529" s="11" t="s">
        <v>451</v>
      </c>
      <c r="Y529" s="11" t="s">
        <v>760</v>
      </c>
      <c r="Z529" s="11" t="s">
        <v>85</v>
      </c>
      <c r="AA529" s="11" t="s">
        <v>612</v>
      </c>
      <c r="AB529" s="11" t="s">
        <v>3139</v>
      </c>
      <c r="AC529" s="11" t="s">
        <v>2980</v>
      </c>
      <c r="AD529" s="11" t="s">
        <v>3108</v>
      </c>
      <c r="AE529" s="11" t="s">
        <v>104</v>
      </c>
      <c r="AF529" s="11" t="s">
        <v>54</v>
      </c>
      <c r="AG529" s="11" t="s">
        <v>610</v>
      </c>
      <c r="AH529" s="11" t="s">
        <v>627</v>
      </c>
      <c r="AI529" s="11">
        <v>801772792</v>
      </c>
      <c r="AJ529" s="11" t="s">
        <v>191</v>
      </c>
      <c r="AK529" s="11"/>
      <c r="AL529" s="11"/>
      <c r="AM529" s="12" t="s">
        <v>64</v>
      </c>
      <c r="AN529" s="11" t="s">
        <v>219</v>
      </c>
      <c r="AO529" s="11" t="s">
        <v>3464</v>
      </c>
      <c r="AP529" s="11" t="s">
        <v>3463</v>
      </c>
      <c r="AQ529" s="3">
        <v>46161</v>
      </c>
      <c r="AR529" s="11">
        <v>10300</v>
      </c>
      <c r="AS529" s="11" t="s">
        <v>433</v>
      </c>
      <c r="AT529" s="11" t="s">
        <v>3118</v>
      </c>
      <c r="AU529" s="2">
        <v>46181</v>
      </c>
    </row>
    <row r="530" spans="1:47" x14ac:dyDescent="0.25">
      <c r="A530" s="45" t="s">
        <v>2597</v>
      </c>
      <c r="B530" s="12" t="s">
        <v>2725</v>
      </c>
      <c r="C530" s="11">
        <v>0</v>
      </c>
      <c r="D530" s="11" t="s">
        <v>108</v>
      </c>
      <c r="E530" s="12"/>
      <c r="F530" s="12"/>
      <c r="G530" s="11" t="s">
        <v>52</v>
      </c>
      <c r="H530" s="12">
        <v>21</v>
      </c>
      <c r="I530" s="12" t="s">
        <v>2853</v>
      </c>
      <c r="J530" s="12" t="s">
        <v>42</v>
      </c>
      <c r="K530" s="12">
        <f>Table1[[#This Row],[ENR]]-Table1[[#This Row],[CREDIT]]</f>
        <v>-9018.0899999999965</v>
      </c>
      <c r="L530" s="46">
        <v>100000</v>
      </c>
      <c r="M530" s="47">
        <v>90981.91</v>
      </c>
      <c r="N530" s="48" t="s">
        <v>43</v>
      </c>
      <c r="O530" s="49">
        <v>90981.91</v>
      </c>
      <c r="P530" s="49">
        <v>81935.17</v>
      </c>
      <c r="Q530" s="29">
        <v>16720</v>
      </c>
      <c r="R530" s="29">
        <v>4640</v>
      </c>
      <c r="S530" s="11" t="s">
        <v>44</v>
      </c>
      <c r="T530" s="11" t="s">
        <v>45</v>
      </c>
      <c r="U530" s="11">
        <v>0</v>
      </c>
      <c r="V530" s="49">
        <f>Table1[[#This Row],[STAB]]-Table1[[#This Row],[AMOUNT]]</f>
        <v>4640</v>
      </c>
      <c r="W530" s="11">
        <v>0</v>
      </c>
      <c r="X530" s="11" t="s">
        <v>83</v>
      </c>
      <c r="Y530" s="11">
        <v>0</v>
      </c>
      <c r="Z530" s="11" t="s">
        <v>85</v>
      </c>
      <c r="AA530" s="11" t="s">
        <v>447</v>
      </c>
      <c r="AB530" s="12" t="s">
        <v>3139</v>
      </c>
      <c r="AC530" s="12" t="s">
        <v>2982</v>
      </c>
      <c r="AD530" s="12" t="s">
        <v>3110</v>
      </c>
      <c r="AE530" s="12" t="s">
        <v>92</v>
      </c>
      <c r="AF530" s="11" t="s">
        <v>54</v>
      </c>
      <c r="AG530" s="12" t="s">
        <v>101</v>
      </c>
      <c r="AH530" s="11" t="s">
        <v>197</v>
      </c>
      <c r="AI530" s="12">
        <v>802370852</v>
      </c>
      <c r="AJ530" s="12" t="s">
        <v>191</v>
      </c>
      <c r="AK530" s="12"/>
      <c r="AL530" s="12"/>
      <c r="AM530" s="12" t="s">
        <v>64</v>
      </c>
      <c r="AN530" s="12" t="s">
        <v>115</v>
      </c>
      <c r="AO530" s="12" t="s">
        <v>3646</v>
      </c>
      <c r="AP530" s="12" t="s">
        <v>3642</v>
      </c>
      <c r="AQ530" s="50">
        <v>45482</v>
      </c>
      <c r="AR530" s="12">
        <v>59992</v>
      </c>
      <c r="AS530" s="12" t="s">
        <v>432</v>
      </c>
      <c r="AT530" s="11" t="s">
        <v>3118</v>
      </c>
      <c r="AU530" s="51">
        <v>46181</v>
      </c>
    </row>
    <row r="531" spans="1:47" x14ac:dyDescent="0.25">
      <c r="A531" s="10" t="s">
        <v>2533</v>
      </c>
      <c r="B531" s="11" t="s">
        <v>2661</v>
      </c>
      <c r="C531" s="11">
        <v>0</v>
      </c>
      <c r="D531" s="11" t="s">
        <v>108</v>
      </c>
      <c r="E531" s="11"/>
      <c r="F531" s="11"/>
      <c r="G531" s="11" t="s">
        <v>52</v>
      </c>
      <c r="H531" s="11">
        <v>21</v>
      </c>
      <c r="I531" s="11" t="s">
        <v>2789</v>
      </c>
      <c r="J531" s="11" t="s">
        <v>42</v>
      </c>
      <c r="K531" s="11">
        <f>Table1[[#This Row],[ENR]]-Table1[[#This Row],[CREDIT]]</f>
        <v>-11467.570000000007</v>
      </c>
      <c r="L531" s="43">
        <v>100000</v>
      </c>
      <c r="M531" s="30">
        <v>88532.43</v>
      </c>
      <c r="N531" s="44" t="s">
        <v>43</v>
      </c>
      <c r="O531" s="29">
        <v>88532.43</v>
      </c>
      <c r="P531" s="29">
        <v>82632.37</v>
      </c>
      <c r="Q531" s="29">
        <v>14890</v>
      </c>
      <c r="R531" s="57">
        <v>8810</v>
      </c>
      <c r="S531" s="11" t="s">
        <v>58</v>
      </c>
      <c r="T531" s="11" t="s">
        <v>13</v>
      </c>
      <c r="U531" s="11">
        <v>88532.43</v>
      </c>
      <c r="V531" s="29">
        <f>Table1[[#This Row],[STAB]]-Table1[[#This Row],[AMOUNT]]</f>
        <v>-79722.429999999993</v>
      </c>
      <c r="W531" s="11" t="s">
        <v>3191</v>
      </c>
      <c r="X531" s="11" t="s">
        <v>444</v>
      </c>
      <c r="Y531" s="11" t="s">
        <v>760</v>
      </c>
      <c r="Z531" s="11" t="s">
        <v>85</v>
      </c>
      <c r="AA531" s="43" t="s">
        <v>613</v>
      </c>
      <c r="AB531" s="11" t="s">
        <v>3139</v>
      </c>
      <c r="AC531" s="10" t="s">
        <v>2918</v>
      </c>
      <c r="AD531" s="11" t="s">
        <v>3046</v>
      </c>
      <c r="AE531" s="11" t="s">
        <v>429</v>
      </c>
      <c r="AF531" s="11" t="s">
        <v>54</v>
      </c>
      <c r="AG531" s="11" t="s">
        <v>95</v>
      </c>
      <c r="AH531" s="11" t="s">
        <v>465</v>
      </c>
      <c r="AI531" s="11">
        <v>802823175</v>
      </c>
      <c r="AJ531" s="11" t="s">
        <v>191</v>
      </c>
      <c r="AK531" s="11"/>
      <c r="AL531" s="11"/>
      <c r="AM531" s="12" t="s">
        <v>64</v>
      </c>
      <c r="AN531" s="11" t="s">
        <v>115</v>
      </c>
      <c r="AO531" s="11" t="s">
        <v>3184</v>
      </c>
      <c r="AP531" s="11" t="s">
        <v>3169</v>
      </c>
      <c r="AQ531" s="3">
        <v>46116</v>
      </c>
      <c r="AR531" s="11">
        <v>13700</v>
      </c>
      <c r="AS531" s="11" t="s">
        <v>2220</v>
      </c>
      <c r="AT531" s="11" t="s">
        <v>3118</v>
      </c>
      <c r="AU531" s="2">
        <v>46181</v>
      </c>
    </row>
    <row r="532" spans="1:47" x14ac:dyDescent="0.25">
      <c r="A532" s="10" t="s">
        <v>2549</v>
      </c>
      <c r="B532" s="11" t="s">
        <v>2677</v>
      </c>
      <c r="C532" s="11">
        <v>0</v>
      </c>
      <c r="D532" s="11" t="s">
        <v>108</v>
      </c>
      <c r="E532" s="11"/>
      <c r="F532" s="11"/>
      <c r="G532" s="11" t="s">
        <v>90</v>
      </c>
      <c r="H532" s="11">
        <v>21</v>
      </c>
      <c r="I532" s="11" t="s">
        <v>2805</v>
      </c>
      <c r="J532" s="11" t="s">
        <v>42</v>
      </c>
      <c r="K532" s="11">
        <f>Table1[[#This Row],[ENR]]-Table1[[#This Row],[CREDIT]]</f>
        <v>6339.7599999999948</v>
      </c>
      <c r="L532" s="43">
        <v>82000</v>
      </c>
      <c r="M532" s="30">
        <v>88339.76</v>
      </c>
      <c r="N532" s="44">
        <v>15079.4</v>
      </c>
      <c r="O532" s="29">
        <v>73260.36</v>
      </c>
      <c r="P532" s="29">
        <v>63441.15</v>
      </c>
      <c r="Q532" s="29">
        <v>22570</v>
      </c>
      <c r="R532" s="57">
        <v>11410</v>
      </c>
      <c r="S532" s="11" t="s">
        <v>44</v>
      </c>
      <c r="T532" s="11" t="s">
        <v>45</v>
      </c>
      <c r="U532" s="11">
        <v>0</v>
      </c>
      <c r="V532" s="29">
        <f>Table1[[#This Row],[STAB]]-Table1[[#This Row],[AMOUNT]]</f>
        <v>11410</v>
      </c>
      <c r="W532" s="11">
        <v>0</v>
      </c>
      <c r="X532" s="11" t="s">
        <v>83</v>
      </c>
      <c r="Y532" s="11">
        <v>0</v>
      </c>
      <c r="Z532" s="12" t="s">
        <v>85</v>
      </c>
      <c r="AA532" s="12" t="s">
        <v>613</v>
      </c>
      <c r="AB532" s="11" t="s">
        <v>3139</v>
      </c>
      <c r="AC532" s="10" t="s">
        <v>2934</v>
      </c>
      <c r="AD532" s="11" t="s">
        <v>3062</v>
      </c>
      <c r="AE532" s="11" t="s">
        <v>417</v>
      </c>
      <c r="AF532" s="11" t="s">
        <v>127</v>
      </c>
      <c r="AG532" s="11" t="s">
        <v>128</v>
      </c>
      <c r="AH532" s="11" t="s">
        <v>462</v>
      </c>
      <c r="AI532" s="11">
        <v>801448854</v>
      </c>
      <c r="AJ532" s="11" t="s">
        <v>191</v>
      </c>
      <c r="AK532" s="11"/>
      <c r="AL532" s="11"/>
      <c r="AM532" s="12" t="s">
        <v>64</v>
      </c>
      <c r="AN532" s="11" t="s">
        <v>219</v>
      </c>
      <c r="AO532" s="11" t="s">
        <v>3480</v>
      </c>
      <c r="AP532" s="11" t="s">
        <v>3463</v>
      </c>
      <c r="AQ532" s="3">
        <v>45970</v>
      </c>
      <c r="AR532" s="11">
        <v>57020</v>
      </c>
      <c r="AS532" s="11" t="s">
        <v>2221</v>
      </c>
      <c r="AT532" s="11" t="s">
        <v>3118</v>
      </c>
      <c r="AU532" s="2">
        <v>46181</v>
      </c>
    </row>
    <row r="533" spans="1:47" x14ac:dyDescent="0.25">
      <c r="A533" s="10" t="s">
        <v>2541</v>
      </c>
      <c r="B533" s="11" t="s">
        <v>2669</v>
      </c>
      <c r="C533" s="11">
        <v>0</v>
      </c>
      <c r="D533" s="11" t="s">
        <v>108</v>
      </c>
      <c r="E533" s="11"/>
      <c r="F533" s="11"/>
      <c r="G533" s="11" t="s">
        <v>52</v>
      </c>
      <c r="H533" s="11">
        <v>21</v>
      </c>
      <c r="I533" s="11" t="s">
        <v>2797</v>
      </c>
      <c r="J533" s="11" t="s">
        <v>42</v>
      </c>
      <c r="K533" s="11">
        <f>Table1[[#This Row],[ENR]]-Table1[[#This Row],[CREDIT]]</f>
        <v>-11835.070000000007</v>
      </c>
      <c r="L533" s="43">
        <v>100000</v>
      </c>
      <c r="M533" s="30">
        <v>88164.93</v>
      </c>
      <c r="N533" s="44" t="s">
        <v>43</v>
      </c>
      <c r="O533" s="29">
        <v>88164.93</v>
      </c>
      <c r="P533" s="29">
        <v>79341.47</v>
      </c>
      <c r="Q533" s="29">
        <v>13750</v>
      </c>
      <c r="R533" s="57">
        <v>4690</v>
      </c>
      <c r="S533" s="11" t="s">
        <v>58</v>
      </c>
      <c r="T533" s="11" t="s">
        <v>14</v>
      </c>
      <c r="U533" s="29">
        <v>4690</v>
      </c>
      <c r="V533" s="29">
        <f>Table1[[#This Row],[STAB]]-Table1[[#This Row],[AMOUNT]]</f>
        <v>0</v>
      </c>
      <c r="W533" s="11" t="s">
        <v>3119</v>
      </c>
      <c r="X533" s="11" t="s">
        <v>444</v>
      </c>
      <c r="Y533" s="11" t="s">
        <v>760</v>
      </c>
      <c r="Z533" s="11" t="s">
        <v>85</v>
      </c>
      <c r="AA533" s="11" t="s">
        <v>611</v>
      </c>
      <c r="AB533" s="11" t="s">
        <v>3139</v>
      </c>
      <c r="AC533" s="10" t="s">
        <v>2926</v>
      </c>
      <c r="AD533" s="11" t="s">
        <v>3054</v>
      </c>
      <c r="AE533" s="11" t="s">
        <v>429</v>
      </c>
      <c r="AF533" s="11" t="s">
        <v>54</v>
      </c>
      <c r="AG533" s="11" t="s">
        <v>95</v>
      </c>
      <c r="AH533" s="11" t="s">
        <v>465</v>
      </c>
      <c r="AI533" s="11">
        <v>802823175</v>
      </c>
      <c r="AJ533" s="11" t="s">
        <v>191</v>
      </c>
      <c r="AK533" s="11"/>
      <c r="AL533" s="11"/>
      <c r="AM533" s="12" t="s">
        <v>64</v>
      </c>
      <c r="AN533" s="11"/>
      <c r="AO533" s="11"/>
      <c r="AP533" s="11"/>
      <c r="AQ533" s="3">
        <v>45449</v>
      </c>
      <c r="AR533" s="11">
        <v>96707.31</v>
      </c>
      <c r="AS533" s="11" t="s">
        <v>2221</v>
      </c>
      <c r="AT533" s="11" t="s">
        <v>3118</v>
      </c>
      <c r="AU533" s="2">
        <v>46181</v>
      </c>
    </row>
    <row r="534" spans="1:47" x14ac:dyDescent="0.25">
      <c r="A534" s="10" t="s">
        <v>2554</v>
      </c>
      <c r="B534" s="11" t="s">
        <v>2682</v>
      </c>
      <c r="C534" s="11">
        <v>0</v>
      </c>
      <c r="D534" s="11" t="s">
        <v>108</v>
      </c>
      <c r="E534" s="11"/>
      <c r="F534" s="11"/>
      <c r="G534" s="11" t="s">
        <v>52</v>
      </c>
      <c r="H534" s="11">
        <v>21</v>
      </c>
      <c r="I534" s="11" t="s">
        <v>2810</v>
      </c>
      <c r="J534" s="11" t="s">
        <v>42</v>
      </c>
      <c r="K534" s="11">
        <f>Table1[[#This Row],[ENR]]-Table1[[#This Row],[CREDIT]]</f>
        <v>3576.8500000000058</v>
      </c>
      <c r="L534" s="43">
        <v>80000</v>
      </c>
      <c r="M534" s="30">
        <v>83576.850000000006</v>
      </c>
      <c r="N534" s="44">
        <v>35994.51</v>
      </c>
      <c r="O534" s="29">
        <v>47582.34</v>
      </c>
      <c r="P534" s="29">
        <v>41662.410000000003</v>
      </c>
      <c r="Q534" s="29">
        <v>16650</v>
      </c>
      <c r="R534" s="57">
        <v>6163.18</v>
      </c>
      <c r="S534" s="11" t="s">
        <v>58</v>
      </c>
      <c r="T534" s="11" t="s">
        <v>13</v>
      </c>
      <c r="U534" s="11">
        <v>20000</v>
      </c>
      <c r="V534" s="29">
        <f>Table1[[#This Row],[STAB]]-Table1[[#This Row],[AMOUNT]]</f>
        <v>-13836.82</v>
      </c>
      <c r="W534" s="11">
        <v>0</v>
      </c>
      <c r="X534" s="11" t="s">
        <v>761</v>
      </c>
      <c r="Y534" s="11" t="s">
        <v>760</v>
      </c>
      <c r="Z534" s="12" t="s">
        <v>85</v>
      </c>
      <c r="AA534" s="12" t="s">
        <v>611</v>
      </c>
      <c r="AB534" s="11" t="s">
        <v>3139</v>
      </c>
      <c r="AC534" s="10" t="s">
        <v>2939</v>
      </c>
      <c r="AD534" s="11" t="s">
        <v>3067</v>
      </c>
      <c r="AE534" s="11" t="s">
        <v>428</v>
      </c>
      <c r="AF534" s="11" t="s">
        <v>53</v>
      </c>
      <c r="AG534" s="11" t="s">
        <v>55</v>
      </c>
      <c r="AH534" s="11" t="s">
        <v>468</v>
      </c>
      <c r="AI534" s="11">
        <v>802030802</v>
      </c>
      <c r="AJ534" s="11" t="s">
        <v>458</v>
      </c>
      <c r="AK534" s="11"/>
      <c r="AL534" s="11"/>
      <c r="AM534" s="12" t="s">
        <v>64</v>
      </c>
      <c r="AN534" s="11"/>
      <c r="AO534" s="11"/>
      <c r="AP534" s="11"/>
      <c r="AQ534" s="3">
        <v>45510</v>
      </c>
      <c r="AR534" s="11">
        <v>12000</v>
      </c>
      <c r="AS534" s="11" t="s">
        <v>48</v>
      </c>
      <c r="AT534" s="11" t="s">
        <v>3118</v>
      </c>
      <c r="AU534" s="2">
        <v>46181</v>
      </c>
    </row>
    <row r="535" spans="1:47" x14ac:dyDescent="0.25">
      <c r="A535" s="10" t="s">
        <v>2548</v>
      </c>
      <c r="B535" s="11" t="s">
        <v>2676</v>
      </c>
      <c r="C535" s="11">
        <v>0</v>
      </c>
      <c r="D535" s="11" t="s">
        <v>108</v>
      </c>
      <c r="E535" s="11"/>
      <c r="F535" s="11"/>
      <c r="G535" s="11" t="s">
        <v>52</v>
      </c>
      <c r="H535" s="11">
        <v>21</v>
      </c>
      <c r="I535" s="11" t="s">
        <v>2804</v>
      </c>
      <c r="J535" s="11" t="s">
        <v>42</v>
      </c>
      <c r="K535" s="11">
        <f>Table1[[#This Row],[ENR]]-Table1[[#This Row],[CREDIT]]</f>
        <v>7155.3099999999977</v>
      </c>
      <c r="L535" s="43">
        <v>70000</v>
      </c>
      <c r="M535" s="30">
        <v>77155.31</v>
      </c>
      <c r="N535" s="44" t="s">
        <v>43</v>
      </c>
      <c r="O535" s="29">
        <v>77155.31</v>
      </c>
      <c r="P535" s="29">
        <v>69995.679999999993</v>
      </c>
      <c r="Q535" s="29">
        <v>18780</v>
      </c>
      <c r="R535" s="57">
        <v>6340</v>
      </c>
      <c r="S535" s="11" t="s">
        <v>58</v>
      </c>
      <c r="T535" s="11" t="s">
        <v>13</v>
      </c>
      <c r="U535" s="11">
        <v>77155.31</v>
      </c>
      <c r="V535" s="29">
        <f>Table1[[#This Row],[STAB]]-Table1[[#This Row],[AMOUNT]]</f>
        <v>-70815.31</v>
      </c>
      <c r="W535" s="11">
        <v>0</v>
      </c>
      <c r="X535" s="11" t="s">
        <v>761</v>
      </c>
      <c r="Y535" s="11" t="s">
        <v>760</v>
      </c>
      <c r="Z535" s="11" t="s">
        <v>85</v>
      </c>
      <c r="AA535" s="11" t="s">
        <v>611</v>
      </c>
      <c r="AB535" s="11" t="s">
        <v>3139</v>
      </c>
      <c r="AC535" s="10" t="s">
        <v>2933</v>
      </c>
      <c r="AD535" s="11" t="s">
        <v>3061</v>
      </c>
      <c r="AE535" s="11" t="s">
        <v>417</v>
      </c>
      <c r="AF535" s="11" t="s">
        <v>127</v>
      </c>
      <c r="AG535" s="11" t="s">
        <v>57</v>
      </c>
      <c r="AH535" s="11" t="s">
        <v>464</v>
      </c>
      <c r="AI535" s="11">
        <v>802852449</v>
      </c>
      <c r="AJ535" s="11" t="s">
        <v>190</v>
      </c>
      <c r="AK535" s="11"/>
      <c r="AL535" s="11"/>
      <c r="AM535" s="12" t="s">
        <v>64</v>
      </c>
      <c r="AN535" s="11" t="s">
        <v>115</v>
      </c>
      <c r="AO535" s="11" t="s">
        <v>3162</v>
      </c>
      <c r="AP535" s="11" t="s">
        <v>3129</v>
      </c>
      <c r="AQ535" s="3">
        <v>46093</v>
      </c>
      <c r="AR535" s="11">
        <v>13550</v>
      </c>
      <c r="AS535" s="11" t="s">
        <v>2221</v>
      </c>
      <c r="AT535" s="11" t="s">
        <v>3118</v>
      </c>
      <c r="AU535" s="2">
        <v>46181</v>
      </c>
    </row>
    <row r="536" spans="1:47" x14ac:dyDescent="0.25">
      <c r="A536" s="10" t="s">
        <v>2578</v>
      </c>
      <c r="B536" s="11" t="s">
        <v>2706</v>
      </c>
      <c r="C536" s="11">
        <v>0</v>
      </c>
      <c r="D536" s="11" t="s">
        <v>108</v>
      </c>
      <c r="E536" s="11"/>
      <c r="F536" s="11"/>
      <c r="G536" s="11" t="s">
        <v>52</v>
      </c>
      <c r="H536" s="11">
        <v>21</v>
      </c>
      <c r="I536" s="11" t="s">
        <v>2834</v>
      </c>
      <c r="J536" s="11" t="s">
        <v>42</v>
      </c>
      <c r="K536" s="11">
        <f>Table1[[#This Row],[ENR]]-Table1[[#This Row],[CREDIT]]</f>
        <v>6810.0099999999948</v>
      </c>
      <c r="L536" s="43">
        <v>70000</v>
      </c>
      <c r="M536" s="30">
        <v>76810.009999999995</v>
      </c>
      <c r="N536" s="44">
        <v>4336.4399999999996</v>
      </c>
      <c r="O536" s="29">
        <v>72473.570000000007</v>
      </c>
      <c r="P536" s="29">
        <v>62481.88</v>
      </c>
      <c r="Q536" s="29">
        <v>23630</v>
      </c>
      <c r="R536" s="57">
        <v>9940</v>
      </c>
      <c r="S536" s="11" t="s">
        <v>58</v>
      </c>
      <c r="T536" s="11" t="s">
        <v>13</v>
      </c>
      <c r="U536" s="11">
        <v>72473.570000000007</v>
      </c>
      <c r="V536" s="29">
        <f>Table1[[#This Row],[STAB]]-Table1[[#This Row],[AMOUNT]]</f>
        <v>-62533.570000000007</v>
      </c>
      <c r="W536" s="11">
        <v>0</v>
      </c>
      <c r="X536" s="11" t="s">
        <v>761</v>
      </c>
      <c r="Y536" s="11" t="s">
        <v>760</v>
      </c>
      <c r="Z536" s="11" t="s">
        <v>85</v>
      </c>
      <c r="AA536" s="11" t="s">
        <v>611</v>
      </c>
      <c r="AB536" s="11" t="s">
        <v>3139</v>
      </c>
      <c r="AC536" s="10" t="s">
        <v>2963</v>
      </c>
      <c r="AD536" s="11" t="s">
        <v>3091</v>
      </c>
      <c r="AE536" s="11" t="s">
        <v>92</v>
      </c>
      <c r="AF536" s="11" t="s">
        <v>54</v>
      </c>
      <c r="AG536" s="11" t="s">
        <v>130</v>
      </c>
      <c r="AH536" s="11" t="s">
        <v>469</v>
      </c>
      <c r="AI536" s="11">
        <v>802835406</v>
      </c>
      <c r="AJ536" s="11" t="s">
        <v>99</v>
      </c>
      <c r="AK536" s="11"/>
      <c r="AL536" s="11"/>
      <c r="AM536" s="12" t="s">
        <v>64</v>
      </c>
      <c r="AN536" s="11"/>
      <c r="AO536" s="11"/>
      <c r="AP536" s="11"/>
      <c r="AQ536" s="3">
        <v>45666</v>
      </c>
      <c r="AR536" s="11">
        <v>69001</v>
      </c>
      <c r="AS536" s="11" t="s">
        <v>606</v>
      </c>
      <c r="AT536" s="11" t="s">
        <v>3118</v>
      </c>
      <c r="AU536" s="2">
        <v>46181</v>
      </c>
    </row>
    <row r="537" spans="1:47" x14ac:dyDescent="0.25">
      <c r="A537" s="10" t="s">
        <v>2587</v>
      </c>
      <c r="B537" s="11" t="s">
        <v>2715</v>
      </c>
      <c r="C537" s="11">
        <v>0</v>
      </c>
      <c r="D537" s="11" t="s">
        <v>108</v>
      </c>
      <c r="E537" s="11"/>
      <c r="F537" s="11"/>
      <c r="G537" s="11" t="s">
        <v>52</v>
      </c>
      <c r="H537" s="11">
        <v>21</v>
      </c>
      <c r="I537" s="11" t="s">
        <v>2843</v>
      </c>
      <c r="J537" s="11" t="s">
        <v>336</v>
      </c>
      <c r="K537" s="11">
        <f>Table1[[#This Row],[ENR]]-Table1[[#This Row],[CREDIT]]</f>
        <v>-34813.5</v>
      </c>
      <c r="L537" s="43">
        <v>110000</v>
      </c>
      <c r="M537" s="30">
        <v>75186.5</v>
      </c>
      <c r="N537" s="44" t="s">
        <v>43</v>
      </c>
      <c r="O537" s="29">
        <v>75186.5</v>
      </c>
      <c r="P537" s="29">
        <v>68829.899999999994</v>
      </c>
      <c r="Q537" s="29">
        <v>10610</v>
      </c>
      <c r="R537" s="57">
        <v>4080</v>
      </c>
      <c r="S537" s="11" t="s">
        <v>58</v>
      </c>
      <c r="T537" s="11" t="s">
        <v>13</v>
      </c>
      <c r="U537" s="11">
        <v>10610</v>
      </c>
      <c r="V537" s="29">
        <f>Table1[[#This Row],[STAB]]-Table1[[#This Row],[AMOUNT]]</f>
        <v>-6530</v>
      </c>
      <c r="W537" s="11" t="s">
        <v>3169</v>
      </c>
      <c r="X537" s="11" t="s">
        <v>444</v>
      </c>
      <c r="Y537" s="11" t="s">
        <v>760</v>
      </c>
      <c r="Z537" s="11" t="s">
        <v>85</v>
      </c>
      <c r="AA537" s="11" t="s">
        <v>613</v>
      </c>
      <c r="AB537" s="11" t="s">
        <v>3139</v>
      </c>
      <c r="AC537" s="10" t="s">
        <v>2972</v>
      </c>
      <c r="AD537" s="11" t="s">
        <v>3100</v>
      </c>
      <c r="AE537" s="11" t="s">
        <v>429</v>
      </c>
      <c r="AF537" s="11" t="s">
        <v>54</v>
      </c>
      <c r="AG537" s="11" t="s">
        <v>95</v>
      </c>
      <c r="AH537" s="11" t="s">
        <v>465</v>
      </c>
      <c r="AI537" s="11">
        <v>802823175</v>
      </c>
      <c r="AJ537" s="11" t="s">
        <v>191</v>
      </c>
      <c r="AK537" s="11"/>
      <c r="AL537" s="11"/>
      <c r="AM537" s="12" t="s">
        <v>64</v>
      </c>
      <c r="AN537" s="11"/>
      <c r="AO537" s="11"/>
      <c r="AP537" s="11"/>
      <c r="AQ537" s="3">
        <v>45950</v>
      </c>
      <c r="AR537" s="11">
        <v>12120</v>
      </c>
      <c r="AS537" s="11" t="s">
        <v>433</v>
      </c>
      <c r="AT537" s="11" t="s">
        <v>3118</v>
      </c>
      <c r="AU537" s="2">
        <v>46181</v>
      </c>
    </row>
    <row r="538" spans="1:47" x14ac:dyDescent="0.25">
      <c r="A538" s="10" t="s">
        <v>2580</v>
      </c>
      <c r="B538" s="11" t="s">
        <v>2708</v>
      </c>
      <c r="C538" s="11">
        <v>0</v>
      </c>
      <c r="D538" s="11" t="s">
        <v>108</v>
      </c>
      <c r="E538" s="11"/>
      <c r="F538" s="11"/>
      <c r="G538" s="11" t="s">
        <v>90</v>
      </c>
      <c r="H538" s="11">
        <v>21</v>
      </c>
      <c r="I538" s="11" t="s">
        <v>2836</v>
      </c>
      <c r="J538" s="11" t="s">
        <v>42</v>
      </c>
      <c r="K538" s="11">
        <f>Table1[[#This Row],[ENR]]-Table1[[#This Row],[CREDIT]]</f>
        <v>2692.7200000000012</v>
      </c>
      <c r="L538" s="43">
        <v>70000</v>
      </c>
      <c r="M538" s="30">
        <v>72692.72</v>
      </c>
      <c r="N538" s="44">
        <v>6542.39</v>
      </c>
      <c r="O538" s="29">
        <v>66150.33</v>
      </c>
      <c r="P538" s="29">
        <v>63197.36</v>
      </c>
      <c r="Q538" s="29">
        <v>13020</v>
      </c>
      <c r="R538" s="57">
        <v>6420</v>
      </c>
      <c r="S538" s="11" t="s">
        <v>58</v>
      </c>
      <c r="T538" s="11" t="s">
        <v>13</v>
      </c>
      <c r="U538" s="11">
        <v>13020</v>
      </c>
      <c r="V538" s="29">
        <f>Table1[[#This Row],[STAB]]-Table1[[#This Row],[AMOUNT]]</f>
        <v>-6600</v>
      </c>
      <c r="W538" s="11" t="s">
        <v>3129</v>
      </c>
      <c r="X538" s="11" t="s">
        <v>444</v>
      </c>
      <c r="Y538" s="11" t="s">
        <v>760</v>
      </c>
      <c r="Z538" s="12" t="s">
        <v>85</v>
      </c>
      <c r="AA538" s="12" t="s">
        <v>447</v>
      </c>
      <c r="AB538" s="11" t="s">
        <v>3139</v>
      </c>
      <c r="AC538" s="10" t="s">
        <v>2965</v>
      </c>
      <c r="AD538" s="11" t="s">
        <v>3093</v>
      </c>
      <c r="AE538" s="11" t="s">
        <v>605</v>
      </c>
      <c r="AF538" s="11" t="s">
        <v>127</v>
      </c>
      <c r="AG538" s="11" t="s">
        <v>94</v>
      </c>
      <c r="AH538" s="11" t="s">
        <v>628</v>
      </c>
      <c r="AI538" s="11">
        <v>802631601</v>
      </c>
      <c r="AJ538" s="11" t="s">
        <v>99</v>
      </c>
      <c r="AK538" s="11"/>
      <c r="AL538" s="11"/>
      <c r="AM538" s="12" t="s">
        <v>64</v>
      </c>
      <c r="AN538" s="11"/>
      <c r="AO538" s="11"/>
      <c r="AP538" s="11"/>
      <c r="AQ538" s="3">
        <v>45481</v>
      </c>
      <c r="AR538" s="11">
        <v>66000</v>
      </c>
      <c r="AS538" s="11" t="s">
        <v>437</v>
      </c>
      <c r="AT538" s="11" t="s">
        <v>3118</v>
      </c>
      <c r="AU538" s="2">
        <v>46181</v>
      </c>
    </row>
    <row r="539" spans="1:47" x14ac:dyDescent="0.25">
      <c r="A539" s="10" t="s">
        <v>2563</v>
      </c>
      <c r="B539" s="11" t="s">
        <v>2691</v>
      </c>
      <c r="C539" s="11">
        <v>0</v>
      </c>
      <c r="D539" s="11" t="s">
        <v>108</v>
      </c>
      <c r="E539" s="11"/>
      <c r="F539" s="11"/>
      <c r="G539" s="11" t="s">
        <v>52</v>
      </c>
      <c r="H539" s="11">
        <v>21</v>
      </c>
      <c r="I539" s="11" t="s">
        <v>2819</v>
      </c>
      <c r="J539" s="11" t="s">
        <v>42</v>
      </c>
      <c r="K539" s="11">
        <f>Table1[[#This Row],[ENR]]-Table1[[#This Row],[CREDIT]]</f>
        <v>6271.4400000000023</v>
      </c>
      <c r="L539" s="43">
        <v>65000</v>
      </c>
      <c r="M539" s="30">
        <v>71271.44</v>
      </c>
      <c r="N539" s="44" t="s">
        <v>43</v>
      </c>
      <c r="O539" s="29">
        <v>71271.44</v>
      </c>
      <c r="P539" s="29">
        <v>64034.68</v>
      </c>
      <c r="Q539" s="29">
        <v>17220</v>
      </c>
      <c r="R539" s="57">
        <v>5500</v>
      </c>
      <c r="S539" s="11" t="s">
        <v>58</v>
      </c>
      <c r="T539" s="11" t="s">
        <v>14</v>
      </c>
      <c r="U539" s="29">
        <v>6000</v>
      </c>
      <c r="V539" s="29">
        <f>Table1[[#This Row],[STAB]]-Table1[[#This Row],[AMOUNT]]</f>
        <v>-500</v>
      </c>
      <c r="W539" s="11">
        <v>0</v>
      </c>
      <c r="X539" s="11" t="s">
        <v>761</v>
      </c>
      <c r="Y539" s="11" t="s">
        <v>760</v>
      </c>
      <c r="Z539" s="11" t="s">
        <v>85</v>
      </c>
      <c r="AA539" s="43" t="s">
        <v>612</v>
      </c>
      <c r="AB539" s="11" t="s">
        <v>3139</v>
      </c>
      <c r="AC539" s="10" t="s">
        <v>2948</v>
      </c>
      <c r="AD539" s="11" t="s">
        <v>3076</v>
      </c>
      <c r="AE539" s="11" t="s">
        <v>429</v>
      </c>
      <c r="AF539" s="11" t="s">
        <v>54</v>
      </c>
      <c r="AG539" s="11" t="s">
        <v>95</v>
      </c>
      <c r="AH539" s="11" t="s">
        <v>465</v>
      </c>
      <c r="AI539" s="11">
        <v>802823175</v>
      </c>
      <c r="AJ539" s="11" t="s">
        <v>191</v>
      </c>
      <c r="AK539" s="11"/>
      <c r="AL539" s="11"/>
      <c r="AM539" s="12" t="s">
        <v>64</v>
      </c>
      <c r="AN539" s="11" t="s">
        <v>115</v>
      </c>
      <c r="AO539" s="11" t="s">
        <v>3228</v>
      </c>
      <c r="AP539" s="11" t="s">
        <v>3206</v>
      </c>
      <c r="AQ539" s="3">
        <v>45476</v>
      </c>
      <c r="AR539" s="11">
        <v>40000</v>
      </c>
      <c r="AS539" s="11" t="s">
        <v>436</v>
      </c>
      <c r="AT539" s="11" t="s">
        <v>3118</v>
      </c>
      <c r="AU539" s="2">
        <v>46181</v>
      </c>
    </row>
    <row r="540" spans="1:47" x14ac:dyDescent="0.25">
      <c r="A540" s="10" t="s">
        <v>2593</v>
      </c>
      <c r="B540" s="11" t="s">
        <v>2721</v>
      </c>
      <c r="C540" s="11">
        <v>0</v>
      </c>
      <c r="D540" s="11" t="s">
        <v>108</v>
      </c>
      <c r="E540" s="11"/>
      <c r="F540" s="11"/>
      <c r="G540" s="11" t="s">
        <v>52</v>
      </c>
      <c r="H540" s="11">
        <v>21</v>
      </c>
      <c r="I540" s="11" t="s">
        <v>2849</v>
      </c>
      <c r="J540" s="11" t="s">
        <v>42</v>
      </c>
      <c r="K540" s="11">
        <f>Table1[[#This Row],[ENR]]-Table1[[#This Row],[CREDIT]]</f>
        <v>8850.1199999999953</v>
      </c>
      <c r="L540" s="43">
        <v>60000</v>
      </c>
      <c r="M540" s="30">
        <v>68850.12</v>
      </c>
      <c r="N540" s="44" t="s">
        <v>43</v>
      </c>
      <c r="O540" s="29">
        <v>68850.12</v>
      </c>
      <c r="P540" s="29">
        <v>59992.74</v>
      </c>
      <c r="Q540" s="29">
        <v>22930</v>
      </c>
      <c r="R540" s="57">
        <v>11050</v>
      </c>
      <c r="S540" s="11" t="s">
        <v>44</v>
      </c>
      <c r="T540" s="11" t="s">
        <v>45</v>
      </c>
      <c r="U540" s="11">
        <v>0</v>
      </c>
      <c r="V540" s="29">
        <f>Table1[[#This Row],[STAB]]-Table1[[#This Row],[AMOUNT]]</f>
        <v>11050</v>
      </c>
      <c r="W540" s="11">
        <v>0</v>
      </c>
      <c r="X540" s="11" t="s">
        <v>83</v>
      </c>
      <c r="Y540" s="11">
        <v>0</v>
      </c>
      <c r="Z540" s="11" t="s">
        <v>85</v>
      </c>
      <c r="AA540" s="11" t="s">
        <v>447</v>
      </c>
      <c r="AB540" s="11" t="s">
        <v>3139</v>
      </c>
      <c r="AC540" s="10" t="s">
        <v>2978</v>
      </c>
      <c r="AD540" s="11" t="s">
        <v>3106</v>
      </c>
      <c r="AE540" s="11" t="s">
        <v>100</v>
      </c>
      <c r="AF540" s="11" t="s">
        <v>54</v>
      </c>
      <c r="AG540" s="11" t="s">
        <v>59</v>
      </c>
      <c r="AH540" s="11" t="s">
        <v>193</v>
      </c>
      <c r="AI540" s="11">
        <v>802824019</v>
      </c>
      <c r="AJ540" s="11" t="s">
        <v>189</v>
      </c>
      <c r="AK540" s="11"/>
      <c r="AL540" s="11"/>
      <c r="AM540" s="12" t="s">
        <v>64</v>
      </c>
      <c r="AN540" s="11" t="s">
        <v>221</v>
      </c>
      <c r="AO540" s="11" t="s">
        <v>3468</v>
      </c>
      <c r="AP540" s="11" t="s">
        <v>3463</v>
      </c>
      <c r="AQ540" s="3">
        <v>45943</v>
      </c>
      <c r="AR540" s="11">
        <v>3500</v>
      </c>
      <c r="AS540" s="11" t="s">
        <v>437</v>
      </c>
      <c r="AT540" s="11" t="s">
        <v>3118</v>
      </c>
      <c r="AU540" s="2">
        <v>46181</v>
      </c>
    </row>
    <row r="541" spans="1:47" x14ac:dyDescent="0.25">
      <c r="A541" s="10" t="s">
        <v>2571</v>
      </c>
      <c r="B541" s="11" t="s">
        <v>2699</v>
      </c>
      <c r="C541" s="11">
        <v>0</v>
      </c>
      <c r="D541" s="11" t="s">
        <v>108</v>
      </c>
      <c r="E541" s="11"/>
      <c r="F541" s="11"/>
      <c r="G541" s="11" t="s">
        <v>52</v>
      </c>
      <c r="H541" s="11">
        <v>21</v>
      </c>
      <c r="I541" s="11" t="s">
        <v>2827</v>
      </c>
      <c r="J541" s="11" t="s">
        <v>42</v>
      </c>
      <c r="K541" s="11">
        <f>Table1[[#This Row],[ENR]]-Table1[[#This Row],[CREDIT]]</f>
        <v>6808.8399999999965</v>
      </c>
      <c r="L541" s="43">
        <v>60000</v>
      </c>
      <c r="M541" s="30">
        <v>66808.84</v>
      </c>
      <c r="N541" s="44">
        <v>1532.05</v>
      </c>
      <c r="O541" s="29">
        <v>65276.79</v>
      </c>
      <c r="P541" s="29">
        <v>47345.760000000002</v>
      </c>
      <c r="Q541" s="29">
        <v>41490</v>
      </c>
      <c r="R541" s="57">
        <v>29270</v>
      </c>
      <c r="S541" s="11" t="s">
        <v>44</v>
      </c>
      <c r="T541" s="11" t="s">
        <v>45</v>
      </c>
      <c r="U541" s="11">
        <v>0</v>
      </c>
      <c r="V541" s="29">
        <f>Table1[[#This Row],[STAB]]-Table1[[#This Row],[AMOUNT]]</f>
        <v>29270</v>
      </c>
      <c r="W541" s="11">
        <v>0</v>
      </c>
      <c r="X541" s="11" t="s">
        <v>83</v>
      </c>
      <c r="Y541" s="11">
        <v>0</v>
      </c>
      <c r="Z541" s="11" t="s">
        <v>85</v>
      </c>
      <c r="AA541" s="11" t="s">
        <v>611</v>
      </c>
      <c r="AB541" s="11" t="s">
        <v>3139</v>
      </c>
      <c r="AC541" s="10" t="s">
        <v>2956</v>
      </c>
      <c r="AD541" s="11" t="s">
        <v>3084</v>
      </c>
      <c r="AE541" s="11" t="s">
        <v>92</v>
      </c>
      <c r="AF541" s="11" t="s">
        <v>54</v>
      </c>
      <c r="AG541" s="11" t="s">
        <v>101</v>
      </c>
      <c r="AH541" s="11" t="s">
        <v>197</v>
      </c>
      <c r="AI541" s="11">
        <v>802370852</v>
      </c>
      <c r="AJ541" s="11" t="s">
        <v>191</v>
      </c>
      <c r="AK541" s="11"/>
      <c r="AL541" s="11"/>
      <c r="AM541" s="12" t="s">
        <v>64</v>
      </c>
      <c r="AN541" s="11" t="s">
        <v>115</v>
      </c>
      <c r="AO541" s="11" t="s">
        <v>3209</v>
      </c>
      <c r="AP541" s="11" t="s">
        <v>3206</v>
      </c>
      <c r="AQ541" s="3">
        <v>46106</v>
      </c>
      <c r="AR541" s="11">
        <v>22100</v>
      </c>
      <c r="AS541" s="11" t="s">
        <v>606</v>
      </c>
      <c r="AT541" s="11" t="s">
        <v>3118</v>
      </c>
      <c r="AU541" s="2">
        <v>46181</v>
      </c>
    </row>
    <row r="542" spans="1:47" x14ac:dyDescent="0.25">
      <c r="A542" s="10" t="s">
        <v>2557</v>
      </c>
      <c r="B542" s="11" t="s">
        <v>2685</v>
      </c>
      <c r="C542" s="11">
        <v>0</v>
      </c>
      <c r="D542" s="11" t="s">
        <v>108</v>
      </c>
      <c r="E542" s="11"/>
      <c r="F542" s="11"/>
      <c r="G542" s="11" t="s">
        <v>52</v>
      </c>
      <c r="H542" s="11">
        <v>21</v>
      </c>
      <c r="I542" s="11" t="s">
        <v>2813</v>
      </c>
      <c r="J542" s="11" t="s">
        <v>42</v>
      </c>
      <c r="K542" s="11">
        <f>Table1[[#This Row],[ENR]]-Table1[[#This Row],[CREDIT]]</f>
        <v>4234.5800000000017</v>
      </c>
      <c r="L542" s="43">
        <v>60000</v>
      </c>
      <c r="M542" s="30">
        <v>64234.58</v>
      </c>
      <c r="N542" s="44">
        <v>19110.86</v>
      </c>
      <c r="O542" s="29">
        <v>45123.72</v>
      </c>
      <c r="P542" s="29">
        <v>39970.6</v>
      </c>
      <c r="Q542" s="29">
        <v>29900</v>
      </c>
      <c r="R542" s="57">
        <v>4960</v>
      </c>
      <c r="S542" s="11" t="s">
        <v>44</v>
      </c>
      <c r="T542" s="11" t="s">
        <v>45</v>
      </c>
      <c r="U542" s="11">
        <v>0</v>
      </c>
      <c r="V542" s="29">
        <f>Table1[[#This Row],[STAB]]-Table1[[#This Row],[AMOUNT]]</f>
        <v>4960</v>
      </c>
      <c r="W542" s="11">
        <v>0</v>
      </c>
      <c r="X542" s="11" t="s">
        <v>83</v>
      </c>
      <c r="Y542" s="11">
        <v>0</v>
      </c>
      <c r="Z542" s="12" t="s">
        <v>85</v>
      </c>
      <c r="AA542" s="12" t="s">
        <v>613</v>
      </c>
      <c r="AB542" s="11" t="s">
        <v>3141</v>
      </c>
      <c r="AC542" s="10" t="s">
        <v>2942</v>
      </c>
      <c r="AD542" s="11" t="s">
        <v>3070</v>
      </c>
      <c r="AE542" s="11" t="s">
        <v>414</v>
      </c>
      <c r="AF542" s="11" t="s">
        <v>127</v>
      </c>
      <c r="AG542" s="11" t="s">
        <v>106</v>
      </c>
      <c r="AH542" s="11" t="s">
        <v>460</v>
      </c>
      <c r="AI542" s="11">
        <v>802913252</v>
      </c>
      <c r="AJ542" s="11" t="s">
        <v>190</v>
      </c>
      <c r="AK542" s="11"/>
      <c r="AL542" s="11"/>
      <c r="AM542" s="12" t="s">
        <v>64</v>
      </c>
      <c r="AN542" s="11" t="s">
        <v>219</v>
      </c>
      <c r="AO542" s="11" t="s">
        <v>3177</v>
      </c>
      <c r="AP542" s="11" t="s">
        <v>3169</v>
      </c>
      <c r="AQ542" s="3">
        <v>46059</v>
      </c>
      <c r="AR542" s="11">
        <v>10400</v>
      </c>
      <c r="AS542" s="11" t="s">
        <v>606</v>
      </c>
      <c r="AT542" s="11" t="s">
        <v>3118</v>
      </c>
      <c r="AU542" s="2">
        <v>46181</v>
      </c>
    </row>
    <row r="543" spans="1:47" x14ac:dyDescent="0.25">
      <c r="A543" s="10" t="s">
        <v>2579</v>
      </c>
      <c r="B543" s="11" t="s">
        <v>2707</v>
      </c>
      <c r="C543" s="11">
        <v>0</v>
      </c>
      <c r="D543" s="11" t="s">
        <v>108</v>
      </c>
      <c r="E543" s="11"/>
      <c r="F543" s="11"/>
      <c r="G543" s="11" t="s">
        <v>52</v>
      </c>
      <c r="H543" s="11">
        <v>21</v>
      </c>
      <c r="I543" s="11" t="s">
        <v>2835</v>
      </c>
      <c r="J543" s="11" t="s">
        <v>42</v>
      </c>
      <c r="K543" s="11">
        <f>Table1[[#This Row],[ENR]]-Table1[[#This Row],[CREDIT]]</f>
        <v>3201.8499999999985</v>
      </c>
      <c r="L543" s="43">
        <v>60000</v>
      </c>
      <c r="M543" s="30">
        <v>63201.85</v>
      </c>
      <c r="N543" s="44">
        <v>2102.7399999999998</v>
      </c>
      <c r="O543" s="29">
        <v>61099.11</v>
      </c>
      <c r="P543" s="29">
        <v>56090.59</v>
      </c>
      <c r="Q543" s="29">
        <v>11550</v>
      </c>
      <c r="R543" s="57">
        <v>4260</v>
      </c>
      <c r="S543" s="11" t="s">
        <v>58</v>
      </c>
      <c r="T543" s="11" t="s">
        <v>13</v>
      </c>
      <c r="U543" s="11">
        <v>11550</v>
      </c>
      <c r="V543" s="29">
        <f>Table1[[#This Row],[STAB]]-Table1[[#This Row],[AMOUNT]]</f>
        <v>-7290</v>
      </c>
      <c r="W543" s="11" t="s">
        <v>3206</v>
      </c>
      <c r="X543" s="11" t="s">
        <v>444</v>
      </c>
      <c r="Y543" s="11" t="s">
        <v>760</v>
      </c>
      <c r="Z543" s="12" t="s">
        <v>85</v>
      </c>
      <c r="AA543" s="12" t="s">
        <v>447</v>
      </c>
      <c r="AB543" s="11" t="s">
        <v>3139</v>
      </c>
      <c r="AC543" s="10" t="s">
        <v>2964</v>
      </c>
      <c r="AD543" s="11" t="s">
        <v>3092</v>
      </c>
      <c r="AE543" s="11" t="s">
        <v>104</v>
      </c>
      <c r="AF543" s="11" t="s">
        <v>54</v>
      </c>
      <c r="AG543" s="11" t="s">
        <v>610</v>
      </c>
      <c r="AH543" s="11" t="s">
        <v>627</v>
      </c>
      <c r="AI543" s="11">
        <v>801772792</v>
      </c>
      <c r="AJ543" s="11" t="s">
        <v>191</v>
      </c>
      <c r="AK543" s="11"/>
      <c r="AL543" s="11"/>
      <c r="AM543" s="12" t="s">
        <v>64</v>
      </c>
      <c r="AN543" s="11"/>
      <c r="AO543" s="11"/>
      <c r="AP543" s="11"/>
      <c r="AQ543" s="3">
        <v>45540</v>
      </c>
      <c r="AR543" s="11">
        <v>3762.15</v>
      </c>
      <c r="AS543" s="11" t="s">
        <v>437</v>
      </c>
      <c r="AT543" s="11" t="s">
        <v>3118</v>
      </c>
      <c r="AU543" s="2">
        <v>46181</v>
      </c>
    </row>
    <row r="544" spans="1:47" x14ac:dyDescent="0.25">
      <c r="A544" s="10" t="s">
        <v>2538</v>
      </c>
      <c r="B544" s="11" t="s">
        <v>2666</v>
      </c>
      <c r="C544" s="11">
        <v>0</v>
      </c>
      <c r="D544" s="11" t="s">
        <v>108</v>
      </c>
      <c r="E544" s="11"/>
      <c r="F544" s="11"/>
      <c r="G544" s="11" t="s">
        <v>90</v>
      </c>
      <c r="H544" s="11">
        <v>21</v>
      </c>
      <c r="I544" s="11" t="s">
        <v>2794</v>
      </c>
      <c r="J544" s="11" t="s">
        <v>42</v>
      </c>
      <c r="K544" s="11">
        <f>Table1[[#This Row],[ENR]]-Table1[[#This Row],[CREDIT]]</f>
        <v>-58375.65</v>
      </c>
      <c r="L544" s="43">
        <v>120000</v>
      </c>
      <c r="M544" s="30">
        <v>61624.35</v>
      </c>
      <c r="N544" s="44" t="s">
        <v>43</v>
      </c>
      <c r="O544" s="29">
        <v>61624.35</v>
      </c>
      <c r="P544" s="29">
        <v>54322.61</v>
      </c>
      <c r="Q544" s="29">
        <v>13380</v>
      </c>
      <c r="R544" s="57">
        <v>6750</v>
      </c>
      <c r="S544" s="11" t="s">
        <v>44</v>
      </c>
      <c r="T544" s="11" t="s">
        <v>45</v>
      </c>
      <c r="U544" s="11">
        <v>0</v>
      </c>
      <c r="V544" s="29">
        <f>Table1[[#This Row],[STAB]]-Table1[[#This Row],[AMOUNT]]</f>
        <v>6750</v>
      </c>
      <c r="W544" s="11">
        <v>0</v>
      </c>
      <c r="X544" s="11" t="s">
        <v>83</v>
      </c>
      <c r="Y544" s="11">
        <v>0</v>
      </c>
      <c r="Z544" s="12" t="s">
        <v>85</v>
      </c>
      <c r="AA544" s="12" t="s">
        <v>447</v>
      </c>
      <c r="AB544" s="11" t="s">
        <v>3139</v>
      </c>
      <c r="AC544" s="10" t="s">
        <v>2923</v>
      </c>
      <c r="AD544" s="11" t="s">
        <v>3051</v>
      </c>
      <c r="AE544" s="11" t="s">
        <v>429</v>
      </c>
      <c r="AF544" s="11" t="s">
        <v>54</v>
      </c>
      <c r="AG544" s="11" t="s">
        <v>95</v>
      </c>
      <c r="AH544" s="11" t="s">
        <v>465</v>
      </c>
      <c r="AI544" s="11">
        <v>802823175</v>
      </c>
      <c r="AJ544" s="11" t="s">
        <v>191</v>
      </c>
      <c r="AK544" s="11"/>
      <c r="AL544" s="11"/>
      <c r="AM544" s="12" t="s">
        <v>64</v>
      </c>
      <c r="AN544" s="11" t="s">
        <v>115</v>
      </c>
      <c r="AO544" s="11" t="s">
        <v>3250</v>
      </c>
      <c r="AP544" s="11" t="s">
        <v>3238</v>
      </c>
      <c r="AQ544" s="3" t="s">
        <v>43</v>
      </c>
      <c r="AR544" s="11">
        <v>0</v>
      </c>
      <c r="AS544" s="11" t="s">
        <v>2220</v>
      </c>
      <c r="AT544" s="11" t="s">
        <v>3118</v>
      </c>
      <c r="AU544" s="2">
        <v>46181</v>
      </c>
    </row>
    <row r="545" spans="1:47" x14ac:dyDescent="0.25">
      <c r="A545" s="10" t="s">
        <v>2585</v>
      </c>
      <c r="B545" s="11" t="s">
        <v>2713</v>
      </c>
      <c r="C545" s="11">
        <v>0</v>
      </c>
      <c r="D545" s="11" t="s">
        <v>108</v>
      </c>
      <c r="E545" s="11"/>
      <c r="F545" s="11"/>
      <c r="G545" s="11" t="s">
        <v>52</v>
      </c>
      <c r="H545" s="11">
        <v>21</v>
      </c>
      <c r="I545" s="11" t="s">
        <v>2841</v>
      </c>
      <c r="J545" s="11" t="s">
        <v>42</v>
      </c>
      <c r="K545" s="11">
        <f>Table1[[#This Row],[ENR]]-Table1[[#This Row],[CREDIT]]</f>
        <v>1250.9000000000015</v>
      </c>
      <c r="L545" s="43">
        <v>60000</v>
      </c>
      <c r="M545" s="30">
        <v>61250.9</v>
      </c>
      <c r="N545" s="44" t="s">
        <v>43</v>
      </c>
      <c r="O545" s="29">
        <v>61250.9</v>
      </c>
      <c r="P545" s="29">
        <v>53445.82</v>
      </c>
      <c r="Q545" s="29">
        <v>14210</v>
      </c>
      <c r="R545" s="57">
        <v>6470</v>
      </c>
      <c r="S545" s="11" t="s">
        <v>44</v>
      </c>
      <c r="T545" s="11" t="s">
        <v>45</v>
      </c>
      <c r="U545" s="11">
        <v>0</v>
      </c>
      <c r="V545" s="29">
        <f>Table1[[#This Row],[STAB]]-Table1[[#This Row],[AMOUNT]]</f>
        <v>6470</v>
      </c>
      <c r="W545" s="11">
        <v>0</v>
      </c>
      <c r="X545" s="11" t="s">
        <v>83</v>
      </c>
      <c r="Y545" s="11">
        <v>0</v>
      </c>
      <c r="Z545" s="11" t="s">
        <v>88</v>
      </c>
      <c r="AA545" s="11" t="s">
        <v>91</v>
      </c>
      <c r="AB545" s="11" t="s">
        <v>3139</v>
      </c>
      <c r="AC545" s="10" t="s">
        <v>2970</v>
      </c>
      <c r="AD545" s="11" t="s">
        <v>3098</v>
      </c>
      <c r="AE545" s="11" t="s">
        <v>218</v>
      </c>
      <c r="AF545" s="11" t="s">
        <v>84</v>
      </c>
      <c r="AG545" s="11" t="s">
        <v>2445</v>
      </c>
      <c r="AH545" s="11" t="s">
        <v>88</v>
      </c>
      <c r="AI545" s="11">
        <v>801723195</v>
      </c>
      <c r="AJ545" s="11" t="s">
        <v>191</v>
      </c>
      <c r="AK545" s="11"/>
      <c r="AL545" s="11"/>
      <c r="AM545" s="12" t="s">
        <v>64</v>
      </c>
      <c r="AN545" s="11" t="s">
        <v>219</v>
      </c>
      <c r="AO545" s="11" t="s">
        <v>3650</v>
      </c>
      <c r="AP545" s="11" t="s">
        <v>3642</v>
      </c>
      <c r="AQ545" s="3">
        <v>45476</v>
      </c>
      <c r="AR545" s="11">
        <v>37053.31</v>
      </c>
      <c r="AS545" s="11" t="s">
        <v>433</v>
      </c>
      <c r="AT545" s="11" t="s">
        <v>3118</v>
      </c>
      <c r="AU545" s="2">
        <v>46181</v>
      </c>
    </row>
    <row r="546" spans="1:47" x14ac:dyDescent="0.25">
      <c r="A546" s="10" t="s">
        <v>2553</v>
      </c>
      <c r="B546" s="11" t="s">
        <v>2681</v>
      </c>
      <c r="C546" s="11">
        <v>0</v>
      </c>
      <c r="D546" s="11" t="s">
        <v>108</v>
      </c>
      <c r="E546" s="11"/>
      <c r="F546" s="11"/>
      <c r="G546" s="11" t="s">
        <v>52</v>
      </c>
      <c r="H546" s="11">
        <v>21</v>
      </c>
      <c r="I546" s="11" t="s">
        <v>2809</v>
      </c>
      <c r="J546" s="11" t="s">
        <v>336</v>
      </c>
      <c r="K546" s="11">
        <f>Table1[[#This Row],[ENR]]-Table1[[#This Row],[CREDIT]]</f>
        <v>-168882.99</v>
      </c>
      <c r="L546" s="43">
        <v>230000</v>
      </c>
      <c r="M546" s="30">
        <v>61117.01</v>
      </c>
      <c r="N546" s="44">
        <v>30263.7</v>
      </c>
      <c r="O546" s="29">
        <v>30853.31</v>
      </c>
      <c r="P546" s="29">
        <v>27534.48</v>
      </c>
      <c r="Q546" s="29">
        <v>30853.31</v>
      </c>
      <c r="R546" s="57">
        <v>14853.03</v>
      </c>
      <c r="S546" s="11" t="s">
        <v>44</v>
      </c>
      <c r="T546" s="11" t="s">
        <v>45</v>
      </c>
      <c r="U546" s="11">
        <v>0</v>
      </c>
      <c r="V546" s="29">
        <f>Table1[[#This Row],[STAB]]-Table1[[#This Row],[AMOUNT]]</f>
        <v>14853.03</v>
      </c>
      <c r="W546" s="11">
        <v>0</v>
      </c>
      <c r="X546" s="11" t="s">
        <v>83</v>
      </c>
      <c r="Y546" s="11">
        <v>0</v>
      </c>
      <c r="Z546" s="11" t="s">
        <v>85</v>
      </c>
      <c r="AA546" s="43" t="s">
        <v>612</v>
      </c>
      <c r="AB546" s="11" t="s">
        <v>3139</v>
      </c>
      <c r="AC546" s="10" t="s">
        <v>2938</v>
      </c>
      <c r="AD546" s="11" t="s">
        <v>3066</v>
      </c>
      <c r="AE546" s="11" t="s">
        <v>603</v>
      </c>
      <c r="AF546" s="11" t="s">
        <v>53</v>
      </c>
      <c r="AG546" s="11" t="s">
        <v>89</v>
      </c>
      <c r="AH546" s="11" t="s">
        <v>193</v>
      </c>
      <c r="AI546" s="11">
        <v>802824019</v>
      </c>
      <c r="AJ546" s="11" t="s">
        <v>189</v>
      </c>
      <c r="AK546" s="11"/>
      <c r="AL546" s="11"/>
      <c r="AM546" s="12" t="s">
        <v>46</v>
      </c>
      <c r="AN546" s="11"/>
      <c r="AO546" s="11"/>
      <c r="AP546" s="11"/>
      <c r="AQ546" s="3">
        <v>46002</v>
      </c>
      <c r="AR546" s="11">
        <v>21600</v>
      </c>
      <c r="AS546" s="11" t="s">
        <v>606</v>
      </c>
      <c r="AT546" s="11" t="s">
        <v>3118</v>
      </c>
      <c r="AU546" s="2">
        <v>46181</v>
      </c>
    </row>
    <row r="547" spans="1:47" x14ac:dyDescent="0.25">
      <c r="A547" s="10" t="s">
        <v>2536</v>
      </c>
      <c r="B547" s="11" t="s">
        <v>2664</v>
      </c>
      <c r="C547" s="11">
        <v>0</v>
      </c>
      <c r="D547" s="11" t="s">
        <v>108</v>
      </c>
      <c r="E547" s="11"/>
      <c r="F547" s="11"/>
      <c r="G547" s="11" t="s">
        <v>52</v>
      </c>
      <c r="H547" s="11">
        <v>21</v>
      </c>
      <c r="I547" s="11" t="s">
        <v>2792</v>
      </c>
      <c r="J547" s="11" t="s">
        <v>42</v>
      </c>
      <c r="K547" s="11">
        <f>Table1[[#This Row],[ENR]]-Table1[[#This Row],[CREDIT]]</f>
        <v>-60713.82</v>
      </c>
      <c r="L547" s="43">
        <v>120000</v>
      </c>
      <c r="M547" s="30">
        <v>59286.18</v>
      </c>
      <c r="N547" s="44" t="s">
        <v>43</v>
      </c>
      <c r="O547" s="29">
        <v>59286.18</v>
      </c>
      <c r="P547" s="29">
        <v>51997</v>
      </c>
      <c r="Q547" s="29">
        <v>12370</v>
      </c>
      <c r="R547" s="57">
        <v>5960</v>
      </c>
      <c r="S547" s="11" t="s">
        <v>44</v>
      </c>
      <c r="T547" s="11" t="s">
        <v>45</v>
      </c>
      <c r="U547" s="11">
        <v>0</v>
      </c>
      <c r="V547" s="29">
        <f>Table1[[#This Row],[STAB]]-Table1[[#This Row],[AMOUNT]]</f>
        <v>5960</v>
      </c>
      <c r="W547" s="11">
        <v>0</v>
      </c>
      <c r="X547" s="11" t="s">
        <v>83</v>
      </c>
      <c r="Y547" s="11">
        <v>0</v>
      </c>
      <c r="Z547" s="11" t="s">
        <v>85</v>
      </c>
      <c r="AA547" s="11" t="s">
        <v>612</v>
      </c>
      <c r="AB547" s="11" t="s">
        <v>3139</v>
      </c>
      <c r="AC547" s="10" t="s">
        <v>2921</v>
      </c>
      <c r="AD547" s="11" t="s">
        <v>3049</v>
      </c>
      <c r="AE547" s="11" t="s">
        <v>424</v>
      </c>
      <c r="AF547" s="11" t="s">
        <v>54</v>
      </c>
      <c r="AG547" s="11" t="s">
        <v>1086</v>
      </c>
      <c r="AH547" s="11" t="s">
        <v>85</v>
      </c>
      <c r="AI547" s="11">
        <v>801772794</v>
      </c>
      <c r="AJ547" s="11" t="s">
        <v>192</v>
      </c>
      <c r="AK547" s="11"/>
      <c r="AL547" s="11"/>
      <c r="AM547" s="12" t="s">
        <v>46</v>
      </c>
      <c r="AN547" s="11"/>
      <c r="AO547" s="11"/>
      <c r="AP547" s="11"/>
      <c r="AQ547" s="3">
        <v>45298</v>
      </c>
      <c r="AR547" s="11">
        <v>50380.57</v>
      </c>
      <c r="AS547" s="11" t="s">
        <v>2220</v>
      </c>
      <c r="AT547" s="11" t="s">
        <v>3118</v>
      </c>
      <c r="AU547" s="2">
        <v>46181</v>
      </c>
    </row>
    <row r="548" spans="1:47" x14ac:dyDescent="0.25">
      <c r="A548" s="10" t="s">
        <v>2594</v>
      </c>
      <c r="B548" s="11" t="s">
        <v>2722</v>
      </c>
      <c r="C548" s="11">
        <v>0</v>
      </c>
      <c r="D548" s="11" t="s">
        <v>108</v>
      </c>
      <c r="E548" s="11"/>
      <c r="F548" s="11"/>
      <c r="G548" s="11" t="s">
        <v>52</v>
      </c>
      <c r="H548" s="11">
        <v>21</v>
      </c>
      <c r="I548" s="11" t="s">
        <v>2850</v>
      </c>
      <c r="J548" s="11" t="s">
        <v>42</v>
      </c>
      <c r="K548" s="11">
        <f>Table1[[#This Row],[ENR]]-Table1[[#This Row],[CREDIT]]</f>
        <v>6342.0400000000009</v>
      </c>
      <c r="L548" s="43">
        <v>50000</v>
      </c>
      <c r="M548" s="30">
        <v>56342.04</v>
      </c>
      <c r="N548" s="44" t="s">
        <v>43</v>
      </c>
      <c r="O548" s="29">
        <v>56342.04</v>
      </c>
      <c r="P548" s="29">
        <v>49742.34</v>
      </c>
      <c r="Q548" s="29">
        <v>15690</v>
      </c>
      <c r="R548" s="57">
        <v>4790</v>
      </c>
      <c r="S548" s="11" t="s">
        <v>58</v>
      </c>
      <c r="T548" s="11" t="s">
        <v>13</v>
      </c>
      <c r="U548" s="11">
        <v>56342.04</v>
      </c>
      <c r="V548" s="29">
        <f>Table1[[#This Row],[STAB]]-Table1[[#This Row],[AMOUNT]]</f>
        <v>-51552.04</v>
      </c>
      <c r="W548" s="11" t="s">
        <v>3129</v>
      </c>
      <c r="X548" s="11" t="s">
        <v>444</v>
      </c>
      <c r="Y548" s="11" t="s">
        <v>760</v>
      </c>
      <c r="Z548" s="11" t="s">
        <v>85</v>
      </c>
      <c r="AA548" s="43" t="s">
        <v>613</v>
      </c>
      <c r="AB548" s="11" t="s">
        <v>3139</v>
      </c>
      <c r="AC548" s="10" t="s">
        <v>2979</v>
      </c>
      <c r="AD548" s="11" t="s">
        <v>3107</v>
      </c>
      <c r="AE548" s="11" t="s">
        <v>417</v>
      </c>
      <c r="AF548" s="11" t="s">
        <v>127</v>
      </c>
      <c r="AG548" s="11" t="s">
        <v>128</v>
      </c>
      <c r="AH548" s="11" t="s">
        <v>462</v>
      </c>
      <c r="AI548" s="11">
        <v>801448854</v>
      </c>
      <c r="AJ548" s="11" t="s">
        <v>191</v>
      </c>
      <c r="AK548" s="11"/>
      <c r="AL548" s="11"/>
      <c r="AM548" s="12" t="s">
        <v>64</v>
      </c>
      <c r="AN548" s="11"/>
      <c r="AO548" s="11"/>
      <c r="AP548" s="11"/>
      <c r="AQ548" s="3">
        <v>46102</v>
      </c>
      <c r="AR548" s="11">
        <v>2000</v>
      </c>
      <c r="AS548" s="11" t="s">
        <v>433</v>
      </c>
      <c r="AT548" s="11" t="s">
        <v>3118</v>
      </c>
      <c r="AU548" s="2">
        <v>46181</v>
      </c>
    </row>
    <row r="549" spans="1:47" x14ac:dyDescent="0.25">
      <c r="A549" s="10" t="s">
        <v>2542</v>
      </c>
      <c r="B549" s="11" t="s">
        <v>2670</v>
      </c>
      <c r="C549" s="11">
        <v>0</v>
      </c>
      <c r="D549" s="11" t="s">
        <v>108</v>
      </c>
      <c r="E549" s="11"/>
      <c r="F549" s="11"/>
      <c r="G549" s="11" t="s">
        <v>52</v>
      </c>
      <c r="H549" s="11">
        <v>21</v>
      </c>
      <c r="I549" s="11" t="s">
        <v>2798</v>
      </c>
      <c r="J549" s="11" t="s">
        <v>42</v>
      </c>
      <c r="K549" s="11">
        <f>Table1[[#This Row],[ENR]]-Table1[[#This Row],[CREDIT]]</f>
        <v>-47237.120000000003</v>
      </c>
      <c r="L549" s="43">
        <v>100000</v>
      </c>
      <c r="M549" s="30">
        <v>52762.879999999997</v>
      </c>
      <c r="N549" s="44" t="s">
        <v>43</v>
      </c>
      <c r="O549" s="29">
        <v>52762.879999999997</v>
      </c>
      <c r="P549" s="29">
        <v>45344.94</v>
      </c>
      <c r="Q549" s="29">
        <v>10060</v>
      </c>
      <c r="R549" s="57">
        <v>4440</v>
      </c>
      <c r="S549" s="11" t="s">
        <v>58</v>
      </c>
      <c r="T549" s="11" t="s">
        <v>13</v>
      </c>
      <c r="U549" s="11">
        <v>27500</v>
      </c>
      <c r="V549" s="29">
        <f>Table1[[#This Row],[STAB]]-Table1[[#This Row],[AMOUNT]]</f>
        <v>-23060</v>
      </c>
      <c r="W549" s="11">
        <v>0</v>
      </c>
      <c r="X549" s="11" t="s">
        <v>761</v>
      </c>
      <c r="Y549" s="11" t="s">
        <v>3488</v>
      </c>
      <c r="Z549" s="12" t="s">
        <v>85</v>
      </c>
      <c r="AA549" s="12" t="s">
        <v>447</v>
      </c>
      <c r="AB549" s="11" t="s">
        <v>3139</v>
      </c>
      <c r="AC549" s="10" t="s">
        <v>2927</v>
      </c>
      <c r="AD549" s="11" t="s">
        <v>3055</v>
      </c>
      <c r="AE549" s="11" t="s">
        <v>429</v>
      </c>
      <c r="AF549" s="11" t="s">
        <v>54</v>
      </c>
      <c r="AG549" s="11" t="s">
        <v>60</v>
      </c>
      <c r="AH549" s="11" t="s">
        <v>465</v>
      </c>
      <c r="AI549" s="11">
        <v>802823175</v>
      </c>
      <c r="AJ549" s="11" t="s">
        <v>191</v>
      </c>
      <c r="AK549" s="11"/>
      <c r="AL549" s="11"/>
      <c r="AM549" s="12" t="s">
        <v>64</v>
      </c>
      <c r="AN549" s="11"/>
      <c r="AO549" s="11"/>
      <c r="AP549" s="11"/>
      <c r="AQ549" s="3">
        <v>46132</v>
      </c>
      <c r="AR549" s="11">
        <v>9000</v>
      </c>
      <c r="AS549" s="11" t="s">
        <v>2221</v>
      </c>
      <c r="AT549" s="11" t="s">
        <v>3118</v>
      </c>
      <c r="AU549" s="2">
        <v>46181</v>
      </c>
    </row>
    <row r="550" spans="1:47" x14ac:dyDescent="0.25">
      <c r="A550" s="10" t="s">
        <v>3509</v>
      </c>
      <c r="B550" s="11" t="s">
        <v>3537</v>
      </c>
      <c r="C550" s="11">
        <v>0</v>
      </c>
      <c r="D550" s="11" t="s">
        <v>3451</v>
      </c>
      <c r="E550" s="11"/>
      <c r="F550" s="11"/>
      <c r="G550" s="11" t="s">
        <v>52</v>
      </c>
      <c r="H550" s="11">
        <v>22</v>
      </c>
      <c r="I550" s="11" t="s">
        <v>3565</v>
      </c>
      <c r="J550" s="11" t="s">
        <v>42</v>
      </c>
      <c r="K550" s="11">
        <f>Table1[[#This Row],[ENR]]-Table1[[#This Row],[CREDIT]]</f>
        <v>21869.98000000001</v>
      </c>
      <c r="L550" s="43">
        <v>220000</v>
      </c>
      <c r="M550" s="30">
        <v>241869.98</v>
      </c>
      <c r="N550" s="44">
        <v>40629.57</v>
      </c>
      <c r="O550" s="29">
        <v>201240.41</v>
      </c>
      <c r="P550" s="29">
        <v>178886.15</v>
      </c>
      <c r="Q550" s="11">
        <v>72590</v>
      </c>
      <c r="R550" s="57">
        <v>30440</v>
      </c>
      <c r="S550" s="11" t="s">
        <v>44</v>
      </c>
      <c r="T550" s="11" t="s">
        <v>45</v>
      </c>
      <c r="U550" s="11">
        <v>0</v>
      </c>
      <c r="V550" s="29">
        <f>Table1[[#This Row],[STAB]]-Table1[[#This Row],[AMOUNT]]</f>
        <v>30440</v>
      </c>
      <c r="W550" s="11">
        <v>0</v>
      </c>
      <c r="X550" s="11" t="s">
        <v>83</v>
      </c>
      <c r="Y550" s="11">
        <v>0</v>
      </c>
      <c r="Z550" s="11" t="s">
        <v>85</v>
      </c>
      <c r="AA550" s="11"/>
      <c r="AB550" s="11"/>
      <c r="AC550" s="10" t="s">
        <v>3593</v>
      </c>
      <c r="AD550" s="11" t="s">
        <v>3621</v>
      </c>
      <c r="AE550" s="11" t="s">
        <v>218</v>
      </c>
      <c r="AF550" s="11" t="s">
        <v>84</v>
      </c>
      <c r="AG550" s="11" t="s">
        <v>97</v>
      </c>
      <c r="AH550" s="11" t="s">
        <v>88</v>
      </c>
      <c r="AI550" s="11">
        <v>801723195</v>
      </c>
      <c r="AJ550" s="11" t="s">
        <v>191</v>
      </c>
      <c r="AK550" s="11"/>
      <c r="AL550" s="11"/>
      <c r="AM550" s="12" t="s">
        <v>64</v>
      </c>
      <c r="AN550" s="11" t="s">
        <v>219</v>
      </c>
      <c r="AO550" s="11" t="s">
        <v>3660</v>
      </c>
      <c r="AP550" s="11" t="s">
        <v>3661</v>
      </c>
      <c r="AQ550" s="3">
        <v>46106</v>
      </c>
      <c r="AR550" s="11">
        <v>30000</v>
      </c>
      <c r="AS550" s="11" t="s">
        <v>430</v>
      </c>
      <c r="AT550" s="11" t="s">
        <v>3631</v>
      </c>
      <c r="AU550" s="2">
        <v>46182</v>
      </c>
    </row>
    <row r="551" spans="1:47" x14ac:dyDescent="0.25">
      <c r="A551" s="10" t="s">
        <v>3256</v>
      </c>
      <c r="B551" s="11" t="s">
        <v>3296</v>
      </c>
      <c r="C551" s="11">
        <v>0</v>
      </c>
      <c r="D551" s="11" t="s">
        <v>108</v>
      </c>
      <c r="E551" s="11"/>
      <c r="F551" s="11"/>
      <c r="G551" s="11" t="s">
        <v>52</v>
      </c>
      <c r="H551" s="11">
        <v>23</v>
      </c>
      <c r="I551" s="11" t="s">
        <v>3334</v>
      </c>
      <c r="J551" s="11" t="s">
        <v>42</v>
      </c>
      <c r="K551" s="11">
        <f>Table1[[#This Row],[ENR]]-Table1[[#This Row],[CREDIT]]</f>
        <v>54873.489999999991</v>
      </c>
      <c r="L551" s="43">
        <v>480000</v>
      </c>
      <c r="M551" s="30">
        <v>534873.49</v>
      </c>
      <c r="N551" s="44" t="s">
        <v>43</v>
      </c>
      <c r="O551" s="29">
        <v>534873.49</v>
      </c>
      <c r="P551" s="29">
        <v>470795.77</v>
      </c>
      <c r="Q551" s="11">
        <v>145000</v>
      </c>
      <c r="R551" s="57">
        <v>55090</v>
      </c>
      <c r="S551" s="11" t="s">
        <v>58</v>
      </c>
      <c r="T551" s="11" t="s">
        <v>14</v>
      </c>
      <c r="U551" s="29">
        <v>56580.01</v>
      </c>
      <c r="V551" s="29">
        <f>Table1[[#This Row],[STAB]]-Table1[[#This Row],[AMOUNT]]</f>
        <v>-1490.010000000002</v>
      </c>
      <c r="W551" s="11" t="s">
        <v>3484</v>
      </c>
      <c r="X551" s="11" t="s">
        <v>444</v>
      </c>
      <c r="Y551" s="11" t="s">
        <v>759</v>
      </c>
      <c r="Z551" s="11" t="s">
        <v>85</v>
      </c>
      <c r="AA551" s="11" t="s">
        <v>613</v>
      </c>
      <c r="AB551" s="11"/>
      <c r="AC551" s="10" t="s">
        <v>3371</v>
      </c>
      <c r="AD551" s="11" t="s">
        <v>3409</v>
      </c>
      <c r="AE551" s="11" t="s">
        <v>418</v>
      </c>
      <c r="AF551" s="11" t="s">
        <v>54</v>
      </c>
      <c r="AG551" s="11" t="s">
        <v>1086</v>
      </c>
      <c r="AH551" s="11" t="s">
        <v>85</v>
      </c>
      <c r="AI551" s="11">
        <v>801772794</v>
      </c>
      <c r="AJ551" s="11" t="s">
        <v>192</v>
      </c>
      <c r="AK551" s="11"/>
      <c r="AL551" s="11"/>
      <c r="AM551" s="12" t="s">
        <v>64</v>
      </c>
      <c r="AN551" s="11"/>
      <c r="AO551" s="11"/>
      <c r="AP551" s="11"/>
      <c r="AQ551" s="3">
        <v>46102</v>
      </c>
      <c r="AR551" s="11">
        <v>20000</v>
      </c>
      <c r="AS551" s="11" t="s">
        <v>430</v>
      </c>
      <c r="AT551" s="11" t="s">
        <v>3445</v>
      </c>
      <c r="AU551" s="2">
        <v>46183</v>
      </c>
    </row>
    <row r="552" spans="1:47" x14ac:dyDescent="0.25">
      <c r="A552" s="10" t="s">
        <v>3254</v>
      </c>
      <c r="B552" s="11" t="s">
        <v>3294</v>
      </c>
      <c r="C552" s="11">
        <v>0</v>
      </c>
      <c r="D552" s="11" t="s">
        <v>108</v>
      </c>
      <c r="E552" s="11"/>
      <c r="F552" s="11"/>
      <c r="G552" s="11" t="s">
        <v>90</v>
      </c>
      <c r="H552" s="11">
        <v>23</v>
      </c>
      <c r="I552" s="11" t="s">
        <v>3332</v>
      </c>
      <c r="J552" s="11" t="s">
        <v>42</v>
      </c>
      <c r="K552" s="11">
        <f>Table1[[#This Row],[ENR]]-Table1[[#This Row],[CREDIT]]</f>
        <v>-18854.260000000009</v>
      </c>
      <c r="L552" s="43">
        <v>190000</v>
      </c>
      <c r="M552" s="30">
        <v>171145.74</v>
      </c>
      <c r="N552" s="44">
        <v>64540.95</v>
      </c>
      <c r="O552" s="29">
        <v>106604.79</v>
      </c>
      <c r="P552" s="29">
        <v>99153.279999999999</v>
      </c>
      <c r="Q552" s="11">
        <v>80680</v>
      </c>
      <c r="R552" s="57">
        <v>40300</v>
      </c>
      <c r="S552" s="11" t="s">
        <v>44</v>
      </c>
      <c r="T552" s="11" t="s">
        <v>45</v>
      </c>
      <c r="U552" s="11">
        <v>0</v>
      </c>
      <c r="V552" s="29">
        <f>Table1[[#This Row],[STAB]]-Table1[[#This Row],[AMOUNT]]</f>
        <v>40300</v>
      </c>
      <c r="W552" s="11">
        <v>0</v>
      </c>
      <c r="X552" s="11" t="s">
        <v>83</v>
      </c>
      <c r="Y552" s="11">
        <v>0</v>
      </c>
      <c r="Z552" s="11" t="s">
        <v>88</v>
      </c>
      <c r="AA552" s="11" t="s">
        <v>91</v>
      </c>
      <c r="AB552" s="11"/>
      <c r="AC552" s="10" t="s">
        <v>3369</v>
      </c>
      <c r="AD552" s="11" t="s">
        <v>3407</v>
      </c>
      <c r="AE552" s="11" t="s">
        <v>218</v>
      </c>
      <c r="AF552" s="11" t="s">
        <v>84</v>
      </c>
      <c r="AG552" s="11" t="s">
        <v>107</v>
      </c>
      <c r="AH552" s="11" t="s">
        <v>88</v>
      </c>
      <c r="AI552" s="11">
        <v>801723195</v>
      </c>
      <c r="AJ552" s="11" t="s">
        <v>191</v>
      </c>
      <c r="AK552" s="11"/>
      <c r="AL552" s="11"/>
      <c r="AM552" s="12" t="s">
        <v>46</v>
      </c>
      <c r="AN552" s="11"/>
      <c r="AO552" s="11"/>
      <c r="AP552" s="11"/>
      <c r="AQ552" s="3">
        <v>46162</v>
      </c>
      <c r="AR552" s="11">
        <v>35000</v>
      </c>
      <c r="AS552" s="11" t="s">
        <v>1493</v>
      </c>
      <c r="AT552" s="11" t="s">
        <v>3445</v>
      </c>
      <c r="AU552" s="2">
        <v>46183</v>
      </c>
    </row>
    <row r="553" spans="1:47" x14ac:dyDescent="0.25">
      <c r="A553" s="10" t="s">
        <v>3258</v>
      </c>
      <c r="B553" s="11" t="s">
        <v>3298</v>
      </c>
      <c r="C553" s="11">
        <v>0</v>
      </c>
      <c r="D553" s="11" t="s">
        <v>108</v>
      </c>
      <c r="E553" s="11"/>
      <c r="F553" s="11"/>
      <c r="G553" s="11" t="s">
        <v>52</v>
      </c>
      <c r="H553" s="11">
        <v>23</v>
      </c>
      <c r="I553" s="11" t="s">
        <v>3336</v>
      </c>
      <c r="J553" s="11" t="s">
        <v>42</v>
      </c>
      <c r="K553" s="11">
        <f>Table1[[#This Row],[ENR]]-Table1[[#This Row],[CREDIT]]</f>
        <v>10662.920000000013</v>
      </c>
      <c r="L553" s="43">
        <v>150000</v>
      </c>
      <c r="M553" s="30">
        <v>160662.92000000001</v>
      </c>
      <c r="N553" s="44" t="s">
        <v>43</v>
      </c>
      <c r="O553" s="29">
        <v>160662.92000000001</v>
      </c>
      <c r="P553" s="29">
        <v>148883.35</v>
      </c>
      <c r="Q553" s="11">
        <v>36440</v>
      </c>
      <c r="R553" s="57">
        <v>8040</v>
      </c>
      <c r="S553" s="11" t="s">
        <v>58</v>
      </c>
      <c r="T553" s="11" t="s">
        <v>13</v>
      </c>
      <c r="U553" s="11">
        <v>37250</v>
      </c>
      <c r="V553" s="29">
        <f>Table1[[#This Row],[STAB]]-Table1[[#This Row],[AMOUNT]]</f>
        <v>-29210</v>
      </c>
      <c r="W553" s="11" t="s">
        <v>3661</v>
      </c>
      <c r="X553" s="11" t="s">
        <v>451</v>
      </c>
      <c r="Y553" s="11" t="s">
        <v>760</v>
      </c>
      <c r="Z553" s="11" t="s">
        <v>85</v>
      </c>
      <c r="AA553" s="11" t="s">
        <v>447</v>
      </c>
      <c r="AB553" s="11"/>
      <c r="AC553" s="10" t="s">
        <v>3373</v>
      </c>
      <c r="AD553" s="11" t="s">
        <v>3411</v>
      </c>
      <c r="AE553" s="11" t="s">
        <v>414</v>
      </c>
      <c r="AF553" s="11" t="s">
        <v>127</v>
      </c>
      <c r="AG553" s="11" t="s">
        <v>106</v>
      </c>
      <c r="AH553" s="11" t="s">
        <v>460</v>
      </c>
      <c r="AI553" s="11">
        <v>802913252</v>
      </c>
      <c r="AJ553" s="11" t="s">
        <v>190</v>
      </c>
      <c r="AK553" s="11"/>
      <c r="AL553" s="11"/>
      <c r="AM553" s="12" t="s">
        <v>64</v>
      </c>
      <c r="AN553" s="11" t="s">
        <v>221</v>
      </c>
      <c r="AO553" s="11" t="s">
        <v>3658</v>
      </c>
      <c r="AP553" s="11" t="s">
        <v>3642</v>
      </c>
      <c r="AQ553" s="3">
        <v>46063</v>
      </c>
      <c r="AR553" s="11">
        <v>19560</v>
      </c>
      <c r="AS553" s="11" t="s">
        <v>433</v>
      </c>
      <c r="AT553" s="11" t="s">
        <v>3445</v>
      </c>
      <c r="AU553" s="2">
        <v>46183</v>
      </c>
    </row>
    <row r="554" spans="1:47" x14ac:dyDescent="0.25">
      <c r="A554" s="10" t="s">
        <v>3255</v>
      </c>
      <c r="B554" s="11" t="s">
        <v>3295</v>
      </c>
      <c r="C554" s="11">
        <v>0</v>
      </c>
      <c r="D554" s="11" t="s">
        <v>108</v>
      </c>
      <c r="E554" s="11"/>
      <c r="F554" s="11"/>
      <c r="G554" s="11" t="s">
        <v>52</v>
      </c>
      <c r="H554" s="11">
        <v>23</v>
      </c>
      <c r="I554" s="11" t="s">
        <v>3333</v>
      </c>
      <c r="J554" s="11" t="s">
        <v>42</v>
      </c>
      <c r="K554" s="11">
        <f>Table1[[#This Row],[ENR]]-Table1[[#This Row],[CREDIT]]</f>
        <v>7937.7099999999919</v>
      </c>
      <c r="L554" s="43">
        <v>132000</v>
      </c>
      <c r="M554" s="30">
        <v>139937.71</v>
      </c>
      <c r="N554" s="44">
        <v>92383.76</v>
      </c>
      <c r="O554" s="29">
        <v>47553.95</v>
      </c>
      <c r="P554" s="29">
        <v>42545.440000000002</v>
      </c>
      <c r="Q554" s="11">
        <v>47553.95</v>
      </c>
      <c r="R554" s="57">
        <v>14621.22</v>
      </c>
      <c r="S554" s="11" t="s">
        <v>44</v>
      </c>
      <c r="T554" s="11" t="s">
        <v>45</v>
      </c>
      <c r="U554" s="11">
        <v>0</v>
      </c>
      <c r="V554" s="29">
        <f>Table1[[#This Row],[STAB]]-Table1[[#This Row],[AMOUNT]]</f>
        <v>14621.22</v>
      </c>
      <c r="W554" s="11">
        <v>0</v>
      </c>
      <c r="X554" s="11" t="s">
        <v>83</v>
      </c>
      <c r="Y554" s="11">
        <v>0</v>
      </c>
      <c r="Z554" s="12" t="s">
        <v>85</v>
      </c>
      <c r="AA554" s="12" t="s">
        <v>612</v>
      </c>
      <c r="AB554" s="11"/>
      <c r="AC554" s="10" t="s">
        <v>3370</v>
      </c>
      <c r="AD554" s="11" t="s">
        <v>3408</v>
      </c>
      <c r="AE554" s="11" t="s">
        <v>421</v>
      </c>
      <c r="AF554" s="11" t="s">
        <v>54</v>
      </c>
      <c r="AG554" s="11" t="s">
        <v>119</v>
      </c>
      <c r="AH554" s="11" t="s">
        <v>626</v>
      </c>
      <c r="AI554" s="11">
        <v>802663344</v>
      </c>
      <c r="AJ554" s="11" t="s">
        <v>191</v>
      </c>
      <c r="AK554" s="11"/>
      <c r="AL554" s="11"/>
      <c r="AM554" s="12" t="s">
        <v>46</v>
      </c>
      <c r="AN554" s="11"/>
      <c r="AO554" s="11"/>
      <c r="AP554" s="11"/>
      <c r="AQ554" s="3">
        <v>45482</v>
      </c>
      <c r="AR554" s="11">
        <v>96770.72</v>
      </c>
      <c r="AS554" s="11" t="s">
        <v>430</v>
      </c>
      <c r="AT554" s="11" t="s">
        <v>3445</v>
      </c>
      <c r="AU554" s="2">
        <v>46183</v>
      </c>
    </row>
    <row r="555" spans="1:47" x14ac:dyDescent="0.25">
      <c r="A555" s="10" t="s">
        <v>3257</v>
      </c>
      <c r="B555" s="11" t="s">
        <v>3297</v>
      </c>
      <c r="C555" s="11">
        <v>0</v>
      </c>
      <c r="D555" s="11" t="s">
        <v>108</v>
      </c>
      <c r="E555" s="11"/>
      <c r="F555" s="11"/>
      <c r="G555" s="11" t="s">
        <v>52</v>
      </c>
      <c r="H555" s="11">
        <v>23</v>
      </c>
      <c r="I555" s="11" t="s">
        <v>3335</v>
      </c>
      <c r="J555" s="11" t="s">
        <v>42</v>
      </c>
      <c r="K555" s="11">
        <f>Table1[[#This Row],[ENR]]-Table1[[#This Row],[CREDIT]]</f>
        <v>-89771.74</v>
      </c>
      <c r="L555" s="43">
        <v>220000</v>
      </c>
      <c r="M555" s="30">
        <v>130228.26</v>
      </c>
      <c r="N555" s="44" t="s">
        <v>43</v>
      </c>
      <c r="O555" s="29">
        <v>130228.26</v>
      </c>
      <c r="P555" s="29">
        <v>119995</v>
      </c>
      <c r="Q555" s="11">
        <v>20990</v>
      </c>
      <c r="R555" s="57">
        <v>5000</v>
      </c>
      <c r="S555" s="11" t="s">
        <v>44</v>
      </c>
      <c r="T555" s="11" t="s">
        <v>45</v>
      </c>
      <c r="U555" s="11">
        <v>0</v>
      </c>
      <c r="V555" s="29">
        <f>Table1[[#This Row],[STAB]]-Table1[[#This Row],[AMOUNT]]</f>
        <v>5000</v>
      </c>
      <c r="W555" s="11">
        <v>0</v>
      </c>
      <c r="X555" s="11" t="s">
        <v>83</v>
      </c>
      <c r="Y555" s="11">
        <v>0</v>
      </c>
      <c r="Z555" s="12" t="s">
        <v>85</v>
      </c>
      <c r="AA555" s="12" t="s">
        <v>611</v>
      </c>
      <c r="AB555" s="11"/>
      <c r="AC555" s="10" t="s">
        <v>3372</v>
      </c>
      <c r="AD555" s="11" t="s">
        <v>3410</v>
      </c>
      <c r="AE555" s="11" t="s">
        <v>103</v>
      </c>
      <c r="AF555" s="11" t="s">
        <v>53</v>
      </c>
      <c r="AG555" s="11" t="s">
        <v>188</v>
      </c>
      <c r="AH555" s="11" t="s">
        <v>194</v>
      </c>
      <c r="AI555" s="11">
        <v>802823180</v>
      </c>
      <c r="AJ555" s="11" t="s">
        <v>191</v>
      </c>
      <c r="AK555" s="11"/>
      <c r="AL555" s="11"/>
      <c r="AM555" s="12" t="s">
        <v>46</v>
      </c>
      <c r="AN555" s="11"/>
      <c r="AO555" s="11"/>
      <c r="AP555" s="11"/>
      <c r="AQ555" s="3">
        <v>45667</v>
      </c>
      <c r="AR555" s="11">
        <v>49000</v>
      </c>
      <c r="AS555" s="11" t="s">
        <v>1075</v>
      </c>
      <c r="AT555" s="11" t="s">
        <v>3445</v>
      </c>
      <c r="AU555" s="2">
        <v>46183</v>
      </c>
    </row>
    <row r="556" spans="1:47" x14ac:dyDescent="0.25">
      <c r="A556" s="10" t="s">
        <v>2604</v>
      </c>
      <c r="B556" s="11" t="s">
        <v>2732</v>
      </c>
      <c r="C556" s="11">
        <v>0</v>
      </c>
      <c r="D556" s="11" t="s">
        <v>108</v>
      </c>
      <c r="E556" s="11"/>
      <c r="F556" s="11"/>
      <c r="G556" s="11" t="s">
        <v>52</v>
      </c>
      <c r="H556" s="11">
        <v>25</v>
      </c>
      <c r="I556" s="11" t="s">
        <v>2860</v>
      </c>
      <c r="J556" s="11" t="s">
        <v>42</v>
      </c>
      <c r="K556" s="11">
        <f>Table1[[#This Row],[ENR]]-Table1[[#This Row],[CREDIT]]</f>
        <v>128606.40999999992</v>
      </c>
      <c r="L556" s="43">
        <v>1780000</v>
      </c>
      <c r="M556" s="30">
        <v>1908606.41</v>
      </c>
      <c r="N556" s="44">
        <v>482532.14</v>
      </c>
      <c r="O556" s="29">
        <v>1426074.27</v>
      </c>
      <c r="P556" s="29">
        <v>1249565.1599999999</v>
      </c>
      <c r="Q556" s="29">
        <v>255580</v>
      </c>
      <c r="R556" s="57">
        <v>79928.67</v>
      </c>
      <c r="S556" s="11" t="s">
        <v>58</v>
      </c>
      <c r="T556" s="11" t="s">
        <v>14</v>
      </c>
      <c r="U556" s="29">
        <v>176450</v>
      </c>
      <c r="V556" s="29">
        <f>Table1[[#This Row],[STAB]]-Table1[[#This Row],[AMOUNT]]</f>
        <v>-96521.33</v>
      </c>
      <c r="W556" s="11" t="s">
        <v>3661</v>
      </c>
      <c r="X556" s="11" t="s">
        <v>3675</v>
      </c>
      <c r="Y556" s="11" t="s">
        <v>1085</v>
      </c>
      <c r="Z556" s="12" t="s">
        <v>85</v>
      </c>
      <c r="AA556" s="12" t="s">
        <v>611</v>
      </c>
      <c r="AB556" s="11" t="s">
        <v>3139</v>
      </c>
      <c r="AC556" s="10" t="s">
        <v>2989</v>
      </c>
      <c r="AD556" s="11" t="s">
        <v>3117</v>
      </c>
      <c r="AE556" s="11" t="s">
        <v>123</v>
      </c>
      <c r="AF556" s="11" t="s">
        <v>127</v>
      </c>
      <c r="AG556" s="11" t="s">
        <v>57</v>
      </c>
      <c r="AH556" s="11" t="s">
        <v>464</v>
      </c>
      <c r="AI556" s="11">
        <v>802852449</v>
      </c>
      <c r="AJ556" s="11" t="s">
        <v>190</v>
      </c>
      <c r="AK556" s="11"/>
      <c r="AL556" s="11"/>
      <c r="AM556" s="12" t="s">
        <v>64</v>
      </c>
      <c r="AN556" s="11" t="s">
        <v>219</v>
      </c>
      <c r="AO556" s="11" t="s">
        <v>3164</v>
      </c>
      <c r="AP556" s="11" t="s">
        <v>3129</v>
      </c>
      <c r="AQ556" s="3">
        <v>46137</v>
      </c>
      <c r="AR556" s="11">
        <v>1899</v>
      </c>
      <c r="AS556" s="11" t="s">
        <v>608</v>
      </c>
      <c r="AT556" s="11" t="s">
        <v>3118</v>
      </c>
      <c r="AU556" s="2">
        <v>46185</v>
      </c>
    </row>
    <row r="557" spans="1:47" x14ac:dyDescent="0.25">
      <c r="A557" s="10" t="s">
        <v>2603</v>
      </c>
      <c r="B557" s="11" t="s">
        <v>2731</v>
      </c>
      <c r="C557" s="11">
        <v>0</v>
      </c>
      <c r="D557" s="11" t="s">
        <v>108</v>
      </c>
      <c r="E557" s="11"/>
      <c r="F557" s="11" t="s">
        <v>440</v>
      </c>
      <c r="G557" s="11" t="s">
        <v>90</v>
      </c>
      <c r="H557" s="11">
        <v>25</v>
      </c>
      <c r="I557" s="11" t="s">
        <v>2859</v>
      </c>
      <c r="J557" s="11" t="s">
        <v>42</v>
      </c>
      <c r="K557" s="11">
        <f>Table1[[#This Row],[ENR]]-Table1[[#This Row],[CREDIT]]</f>
        <v>-9300.7199999999721</v>
      </c>
      <c r="L557" s="43">
        <v>500000</v>
      </c>
      <c r="M557" s="30">
        <v>490699.28</v>
      </c>
      <c r="N557" s="44">
        <v>330539.38</v>
      </c>
      <c r="O557" s="29">
        <v>160159.9</v>
      </c>
      <c r="P557" s="29">
        <v>143525.01999999999</v>
      </c>
      <c r="Q557" s="29">
        <v>73010</v>
      </c>
      <c r="R557" s="57">
        <v>35770</v>
      </c>
      <c r="S557" s="11" t="s">
        <v>58</v>
      </c>
      <c r="T557" s="11" t="s">
        <v>14</v>
      </c>
      <c r="U557" s="29">
        <v>35770</v>
      </c>
      <c r="V557" s="29">
        <f>Table1[[#This Row],[STAB]]-Table1[[#This Row],[AMOUNT]]</f>
        <v>0</v>
      </c>
      <c r="W557" s="11">
        <v>0</v>
      </c>
      <c r="X557" s="11" t="s">
        <v>761</v>
      </c>
      <c r="Y557" s="11" t="s">
        <v>760</v>
      </c>
      <c r="Z557" s="11" t="s">
        <v>88</v>
      </c>
      <c r="AA557" s="11" t="s">
        <v>91</v>
      </c>
      <c r="AB557" s="11" t="s">
        <v>3139</v>
      </c>
      <c r="AC557" s="10" t="s">
        <v>2988</v>
      </c>
      <c r="AD557" s="11" t="s">
        <v>3116</v>
      </c>
      <c r="AE557" s="11" t="s">
        <v>218</v>
      </c>
      <c r="AF557" s="11" t="s">
        <v>84</v>
      </c>
      <c r="AG557" s="11" t="s">
        <v>93</v>
      </c>
      <c r="AH557" s="11" t="s">
        <v>88</v>
      </c>
      <c r="AI557" s="11">
        <v>801723195</v>
      </c>
      <c r="AJ557" s="11" t="s">
        <v>191</v>
      </c>
      <c r="AK557" s="11"/>
      <c r="AL557" s="11"/>
      <c r="AM557" s="12" t="s">
        <v>64</v>
      </c>
      <c r="AN557" s="11"/>
      <c r="AO557" s="11"/>
      <c r="AP557" s="11"/>
      <c r="AQ557" s="3">
        <v>46111</v>
      </c>
      <c r="AR557" s="11">
        <v>29500</v>
      </c>
      <c r="AS557" s="11" t="s">
        <v>1493</v>
      </c>
      <c r="AT557" s="11" t="s">
        <v>3118</v>
      </c>
      <c r="AU557" s="2">
        <v>46185</v>
      </c>
    </row>
    <row r="558" spans="1:47" x14ac:dyDescent="0.25">
      <c r="A558" s="10" t="s">
        <v>3267</v>
      </c>
      <c r="B558" s="11" t="s">
        <v>3306</v>
      </c>
      <c r="C558" s="11">
        <v>0</v>
      </c>
      <c r="D558" s="11" t="s">
        <v>108</v>
      </c>
      <c r="E558" s="11"/>
      <c r="F558" s="11"/>
      <c r="G558" s="11" t="s">
        <v>52</v>
      </c>
      <c r="H558" s="11">
        <v>25</v>
      </c>
      <c r="I558" s="11" t="s">
        <v>3344</v>
      </c>
      <c r="J558" s="11" t="s">
        <v>42</v>
      </c>
      <c r="K558" s="11">
        <f>Table1[[#This Row],[ENR]]-Table1[[#This Row],[CREDIT]]</f>
        <v>33555.679999999993</v>
      </c>
      <c r="L558" s="43">
        <v>360000</v>
      </c>
      <c r="M558" s="30">
        <v>393555.68</v>
      </c>
      <c r="N558" s="44" t="s">
        <v>43</v>
      </c>
      <c r="O558" s="29">
        <v>393555.68</v>
      </c>
      <c r="P558" s="29">
        <v>359559.37</v>
      </c>
      <c r="Q558" s="11">
        <v>87840</v>
      </c>
      <c r="R558" s="57">
        <v>36060</v>
      </c>
      <c r="S558" s="11" t="s">
        <v>44</v>
      </c>
      <c r="T558" s="11" t="s">
        <v>45</v>
      </c>
      <c r="U558" s="11">
        <v>0</v>
      </c>
      <c r="V558" s="29">
        <f>Table1[[#This Row],[STAB]]-Table1[[#This Row],[AMOUNT]]</f>
        <v>36060</v>
      </c>
      <c r="W558" s="11">
        <v>0</v>
      </c>
      <c r="X558" s="11" t="s">
        <v>83</v>
      </c>
      <c r="Y558" s="11">
        <v>0</v>
      </c>
      <c r="Z558" s="12" t="s">
        <v>85</v>
      </c>
      <c r="AA558" s="12" t="s">
        <v>611</v>
      </c>
      <c r="AB558" s="11"/>
      <c r="AC558" s="10" t="s">
        <v>3381</v>
      </c>
      <c r="AD558" s="11" t="s">
        <v>3419</v>
      </c>
      <c r="AE558" s="11" t="s">
        <v>104</v>
      </c>
      <c r="AF558" s="11" t="s">
        <v>54</v>
      </c>
      <c r="AG558" s="11" t="s">
        <v>610</v>
      </c>
      <c r="AH558" s="11" t="s">
        <v>627</v>
      </c>
      <c r="AI558" s="11">
        <v>801772792</v>
      </c>
      <c r="AJ558" s="11" t="s">
        <v>191</v>
      </c>
      <c r="AK558" s="11"/>
      <c r="AL558" s="11"/>
      <c r="AM558" s="12" t="s">
        <v>64</v>
      </c>
      <c r="AN558" s="11" t="s">
        <v>446</v>
      </c>
      <c r="AO558" s="11" t="s">
        <v>3662</v>
      </c>
      <c r="AP558" s="11" t="s">
        <v>3661</v>
      </c>
      <c r="AQ558" s="3">
        <v>46120</v>
      </c>
      <c r="AR558" s="11">
        <v>67020</v>
      </c>
      <c r="AS558" s="11" t="s">
        <v>126</v>
      </c>
      <c r="AT558" s="11" t="s">
        <v>3445</v>
      </c>
      <c r="AU558" s="2">
        <v>46185</v>
      </c>
    </row>
    <row r="559" spans="1:47" x14ac:dyDescent="0.25">
      <c r="A559" s="10" t="s">
        <v>2602</v>
      </c>
      <c r="B559" s="11" t="s">
        <v>2730</v>
      </c>
      <c r="C559" s="11">
        <v>0</v>
      </c>
      <c r="D559" s="11" t="s">
        <v>108</v>
      </c>
      <c r="E559" s="11"/>
      <c r="F559" s="11"/>
      <c r="G559" s="11" t="s">
        <v>52</v>
      </c>
      <c r="H559" s="11">
        <v>25</v>
      </c>
      <c r="I559" s="11" t="s">
        <v>2858</v>
      </c>
      <c r="J559" s="11" t="s">
        <v>42</v>
      </c>
      <c r="K559" s="11">
        <f>Table1[[#This Row],[ENR]]-Table1[[#This Row],[CREDIT]]</f>
        <v>32635.830000000016</v>
      </c>
      <c r="L559" s="43">
        <v>310000</v>
      </c>
      <c r="M559" s="30">
        <v>342635.83</v>
      </c>
      <c r="N559" s="44" t="s">
        <v>43</v>
      </c>
      <c r="O559" s="29">
        <v>342635.83</v>
      </c>
      <c r="P559" s="29">
        <v>309291.3</v>
      </c>
      <c r="Q559" s="29">
        <v>83190</v>
      </c>
      <c r="R559" s="57">
        <v>32910</v>
      </c>
      <c r="S559" s="11" t="s">
        <v>58</v>
      </c>
      <c r="T559" s="11" t="s">
        <v>14</v>
      </c>
      <c r="U559" s="29">
        <v>38000</v>
      </c>
      <c r="V559" s="29">
        <f>Table1[[#This Row],[STAB]]-Table1[[#This Row],[AMOUNT]]</f>
        <v>-5090</v>
      </c>
      <c r="W559" s="11">
        <v>0</v>
      </c>
      <c r="X559" s="11" t="s">
        <v>761</v>
      </c>
      <c r="Y559" s="11" t="s">
        <v>760</v>
      </c>
      <c r="Z559" s="12" t="s">
        <v>85</v>
      </c>
      <c r="AA559" s="12" t="s">
        <v>613</v>
      </c>
      <c r="AB559" s="11" t="s">
        <v>3139</v>
      </c>
      <c r="AC559" s="10" t="s">
        <v>2987</v>
      </c>
      <c r="AD559" s="11" t="s">
        <v>3115</v>
      </c>
      <c r="AE559" s="11" t="s">
        <v>413</v>
      </c>
      <c r="AF559" s="11" t="s">
        <v>54</v>
      </c>
      <c r="AG559" s="11" t="s">
        <v>146</v>
      </c>
      <c r="AH559" s="11" t="s">
        <v>625</v>
      </c>
      <c r="AI559" s="11">
        <v>801217009</v>
      </c>
      <c r="AJ559" s="11" t="s">
        <v>190</v>
      </c>
      <c r="AK559" s="11"/>
      <c r="AL559" s="11"/>
      <c r="AM559" s="12" t="s">
        <v>64</v>
      </c>
      <c r="AN559" s="11" t="s">
        <v>219</v>
      </c>
      <c r="AO559" s="11" t="s">
        <v>3215</v>
      </c>
      <c r="AP559" s="11" t="s">
        <v>3206</v>
      </c>
      <c r="AQ559" s="3">
        <v>45701</v>
      </c>
      <c r="AR559" s="11">
        <v>15000</v>
      </c>
      <c r="AS559" s="11" t="s">
        <v>430</v>
      </c>
      <c r="AT559" s="11" t="s">
        <v>3118</v>
      </c>
      <c r="AU559" s="2">
        <v>46185</v>
      </c>
    </row>
    <row r="560" spans="1:47" x14ac:dyDescent="0.25">
      <c r="A560" s="10" t="s">
        <v>2601</v>
      </c>
      <c r="B560" s="11" t="s">
        <v>2729</v>
      </c>
      <c r="C560" s="11">
        <v>0</v>
      </c>
      <c r="D560" s="11" t="s">
        <v>108</v>
      </c>
      <c r="E560" s="11"/>
      <c r="F560" s="11"/>
      <c r="G560" s="11" t="s">
        <v>52</v>
      </c>
      <c r="H560" s="11">
        <v>25</v>
      </c>
      <c r="I560" s="11" t="s">
        <v>2857</v>
      </c>
      <c r="J560" s="11" t="s">
        <v>42</v>
      </c>
      <c r="K560" s="11">
        <f>Table1[[#This Row],[ENR]]-Table1[[#This Row],[CREDIT]]</f>
        <v>21180.299999999988</v>
      </c>
      <c r="L560" s="43">
        <v>310000</v>
      </c>
      <c r="M560" s="30">
        <v>331180.3</v>
      </c>
      <c r="N560" s="44" t="s">
        <v>43</v>
      </c>
      <c r="O560" s="29">
        <v>331180.3</v>
      </c>
      <c r="P560" s="29">
        <v>309851.19</v>
      </c>
      <c r="Q560" s="29">
        <v>70760</v>
      </c>
      <c r="R560" s="57">
        <v>14534.98</v>
      </c>
      <c r="S560" s="11" t="s">
        <v>44</v>
      </c>
      <c r="T560" s="11" t="s">
        <v>45</v>
      </c>
      <c r="U560" s="11">
        <v>0</v>
      </c>
      <c r="V560" s="29">
        <f>Table1[[#This Row],[STAB]]-Table1[[#This Row],[AMOUNT]]</f>
        <v>14534.98</v>
      </c>
      <c r="W560" s="11">
        <v>0</v>
      </c>
      <c r="X560" s="11" t="s">
        <v>83</v>
      </c>
      <c r="Y560" s="11">
        <v>0</v>
      </c>
      <c r="Z560" s="11" t="s">
        <v>88</v>
      </c>
      <c r="AA560" s="11" t="s">
        <v>91</v>
      </c>
      <c r="AB560" s="11" t="s">
        <v>3139</v>
      </c>
      <c r="AC560" s="10" t="s">
        <v>2986</v>
      </c>
      <c r="AD560" s="11" t="s">
        <v>3114</v>
      </c>
      <c r="AE560" s="11" t="s">
        <v>218</v>
      </c>
      <c r="AF560" s="11" t="s">
        <v>84</v>
      </c>
      <c r="AG560" s="11" t="s">
        <v>97</v>
      </c>
      <c r="AH560" s="11" t="s">
        <v>88</v>
      </c>
      <c r="AI560" s="11">
        <v>801723195</v>
      </c>
      <c r="AJ560" s="11" t="s">
        <v>191</v>
      </c>
      <c r="AK560" s="11"/>
      <c r="AL560" s="11"/>
      <c r="AM560" s="12" t="s">
        <v>64</v>
      </c>
      <c r="AN560" s="11" t="s">
        <v>115</v>
      </c>
      <c r="AO560" s="11" t="s">
        <v>3672</v>
      </c>
      <c r="AP560" s="11" t="s">
        <v>3668</v>
      </c>
      <c r="AQ560" s="3">
        <v>46034</v>
      </c>
      <c r="AR560" s="11">
        <v>74397</v>
      </c>
      <c r="AS560" s="11" t="s">
        <v>47</v>
      </c>
      <c r="AT560" s="11" t="s">
        <v>3118</v>
      </c>
      <c r="AU560" s="2">
        <v>46185</v>
      </c>
    </row>
    <row r="561" spans="1:47" x14ac:dyDescent="0.25">
      <c r="A561" s="10" t="s">
        <v>3269</v>
      </c>
      <c r="B561" s="11" t="s">
        <v>3308</v>
      </c>
      <c r="C561" s="11">
        <v>0</v>
      </c>
      <c r="D561" s="11" t="s">
        <v>108</v>
      </c>
      <c r="E561" s="11"/>
      <c r="F561" s="11"/>
      <c r="G561" s="11" t="s">
        <v>52</v>
      </c>
      <c r="H561" s="11">
        <v>25</v>
      </c>
      <c r="I561" s="11" t="s">
        <v>3346</v>
      </c>
      <c r="J561" s="11" t="s">
        <v>42</v>
      </c>
      <c r="K561" s="11">
        <f>Table1[[#This Row],[ENR]]-Table1[[#This Row],[CREDIT]]</f>
        <v>2753.5200000000186</v>
      </c>
      <c r="L561" s="43">
        <v>280000</v>
      </c>
      <c r="M561" s="30">
        <v>282753.52</v>
      </c>
      <c r="N561" s="44">
        <v>119673.62</v>
      </c>
      <c r="O561" s="29">
        <v>163079.9</v>
      </c>
      <c r="P561" s="29">
        <v>148175.75</v>
      </c>
      <c r="Q561" s="11">
        <v>44420</v>
      </c>
      <c r="R561" s="57">
        <v>20670</v>
      </c>
      <c r="S561" s="11" t="s">
        <v>44</v>
      </c>
      <c r="T561" s="11" t="s">
        <v>45</v>
      </c>
      <c r="U561" s="11">
        <v>0</v>
      </c>
      <c r="V561" s="29">
        <f>Table1[[#This Row],[STAB]]-Table1[[#This Row],[AMOUNT]]</f>
        <v>20670</v>
      </c>
      <c r="W561" s="11">
        <v>0</v>
      </c>
      <c r="X561" s="11" t="s">
        <v>83</v>
      </c>
      <c r="Y561" s="11">
        <v>0</v>
      </c>
      <c r="Z561" s="12" t="s">
        <v>88</v>
      </c>
      <c r="AA561" s="12" t="s">
        <v>91</v>
      </c>
      <c r="AB561" s="11"/>
      <c r="AC561" s="10" t="s">
        <v>3383</v>
      </c>
      <c r="AD561" s="11" t="s">
        <v>3421</v>
      </c>
      <c r="AE561" s="11" t="s">
        <v>218</v>
      </c>
      <c r="AF561" s="11" t="s">
        <v>84</v>
      </c>
      <c r="AG561" s="11" t="s">
        <v>749</v>
      </c>
      <c r="AH561" s="11" t="s">
        <v>88</v>
      </c>
      <c r="AI561" s="11">
        <v>801723195</v>
      </c>
      <c r="AJ561" s="11" t="s">
        <v>191</v>
      </c>
      <c r="AK561" s="11"/>
      <c r="AL561" s="11"/>
      <c r="AM561" s="12" t="s">
        <v>64</v>
      </c>
      <c r="AN561" s="11" t="s">
        <v>219</v>
      </c>
      <c r="AO561" s="11" t="s">
        <v>3486</v>
      </c>
      <c r="AP561" s="11" t="s">
        <v>3484</v>
      </c>
      <c r="AQ561" s="3">
        <v>45580</v>
      </c>
      <c r="AR561" s="11">
        <v>4779</v>
      </c>
      <c r="AS561" s="11" t="s">
        <v>436</v>
      </c>
      <c r="AT561" s="11" t="s">
        <v>3445</v>
      </c>
      <c r="AU561" s="2">
        <v>46185</v>
      </c>
    </row>
    <row r="562" spans="1:47" x14ac:dyDescent="0.25">
      <c r="A562" s="10" t="s">
        <v>3263</v>
      </c>
      <c r="B562" s="11" t="s">
        <v>3302</v>
      </c>
      <c r="C562" s="11">
        <v>0</v>
      </c>
      <c r="D562" s="11" t="s">
        <v>108</v>
      </c>
      <c r="E562" s="11"/>
      <c r="F562" s="11"/>
      <c r="G562" s="11" t="s">
        <v>52</v>
      </c>
      <c r="H562" s="11">
        <v>25</v>
      </c>
      <c r="I562" s="11" t="s">
        <v>3340</v>
      </c>
      <c r="J562" s="11" t="s">
        <v>42</v>
      </c>
      <c r="K562" s="11">
        <f>Table1[[#This Row],[ENR]]-Table1[[#This Row],[CREDIT]]</f>
        <v>-41499.869999999995</v>
      </c>
      <c r="L562" s="43">
        <v>220000</v>
      </c>
      <c r="M562" s="30">
        <v>178500.13</v>
      </c>
      <c r="N562" s="44">
        <v>80197.919999999998</v>
      </c>
      <c r="O562" s="29">
        <v>98302.21</v>
      </c>
      <c r="P562" s="29">
        <v>85928.34</v>
      </c>
      <c r="Q562" s="11">
        <v>44590</v>
      </c>
      <c r="R562" s="57">
        <v>20790</v>
      </c>
      <c r="S562" s="11" t="s">
        <v>44</v>
      </c>
      <c r="T562" s="11" t="s">
        <v>45</v>
      </c>
      <c r="U562" s="11">
        <v>0</v>
      </c>
      <c r="V562" s="29">
        <f>Table1[[#This Row],[STAB]]-Table1[[#This Row],[AMOUNT]]</f>
        <v>20790</v>
      </c>
      <c r="W562" s="11">
        <v>0</v>
      </c>
      <c r="X562" s="11" t="s">
        <v>83</v>
      </c>
      <c r="Y562" s="11">
        <v>0</v>
      </c>
      <c r="Z562" s="11" t="s">
        <v>85</v>
      </c>
      <c r="AA562" s="43" t="s">
        <v>613</v>
      </c>
      <c r="AB562" s="11"/>
      <c r="AC562" s="10" t="s">
        <v>3377</v>
      </c>
      <c r="AD562" s="11" t="s">
        <v>3415</v>
      </c>
      <c r="AE562" s="11" t="s">
        <v>421</v>
      </c>
      <c r="AF562" s="11" t="s">
        <v>54</v>
      </c>
      <c r="AG562" s="11" t="s">
        <v>119</v>
      </c>
      <c r="AH562" s="11" t="s">
        <v>626</v>
      </c>
      <c r="AI562" s="11">
        <v>802663344</v>
      </c>
      <c r="AJ562" s="11" t="s">
        <v>191</v>
      </c>
      <c r="AK562" s="11"/>
      <c r="AL562" s="11"/>
      <c r="AM562" s="12" t="s">
        <v>64</v>
      </c>
      <c r="AN562" s="11" t="s">
        <v>221</v>
      </c>
      <c r="AO562" s="11" t="s">
        <v>3671</v>
      </c>
      <c r="AP562" s="11" t="s">
        <v>3668</v>
      </c>
      <c r="AQ562" s="3">
        <v>45383</v>
      </c>
      <c r="AR562" s="11">
        <v>44432</v>
      </c>
      <c r="AS562" s="11" t="s">
        <v>47</v>
      </c>
      <c r="AT562" s="11" t="s">
        <v>3445</v>
      </c>
      <c r="AU562" s="2">
        <v>46185</v>
      </c>
    </row>
    <row r="563" spans="1:47" x14ac:dyDescent="0.25">
      <c r="A563" s="10" t="s">
        <v>3262</v>
      </c>
      <c r="B563" s="11" t="s">
        <v>3301</v>
      </c>
      <c r="C563" s="11">
        <v>0</v>
      </c>
      <c r="D563" s="11" t="s">
        <v>108</v>
      </c>
      <c r="E563" s="11"/>
      <c r="F563" s="11"/>
      <c r="G563" s="11" t="s">
        <v>90</v>
      </c>
      <c r="H563" s="11">
        <v>25</v>
      </c>
      <c r="I563" s="11" t="s">
        <v>3339</v>
      </c>
      <c r="J563" s="11" t="s">
        <v>42</v>
      </c>
      <c r="K563" s="11">
        <f>Table1[[#This Row],[ENR]]-Table1[[#This Row],[CREDIT]]</f>
        <v>-287972.95</v>
      </c>
      <c r="L563" s="43">
        <v>450000</v>
      </c>
      <c r="M563" s="30">
        <v>162027.04999999999</v>
      </c>
      <c r="N563" s="44" t="s">
        <v>43</v>
      </c>
      <c r="O563" s="29">
        <v>162027.04999999999</v>
      </c>
      <c r="P563" s="29">
        <v>151770</v>
      </c>
      <c r="Q563" s="11">
        <v>20330</v>
      </c>
      <c r="R563" s="57">
        <v>10280</v>
      </c>
      <c r="S563" s="11" t="s">
        <v>44</v>
      </c>
      <c r="T563" s="11" t="s">
        <v>45</v>
      </c>
      <c r="U563" s="11">
        <v>0</v>
      </c>
      <c r="V563" s="29">
        <f>Table1[[#This Row],[STAB]]-Table1[[#This Row],[AMOUNT]]</f>
        <v>10280</v>
      </c>
      <c r="W563" s="11">
        <v>0</v>
      </c>
      <c r="X563" s="11" t="s">
        <v>83</v>
      </c>
      <c r="Y563" s="11">
        <v>0</v>
      </c>
      <c r="Z563" s="11" t="s">
        <v>88</v>
      </c>
      <c r="AA563" s="11" t="s">
        <v>91</v>
      </c>
      <c r="AB563" s="11"/>
      <c r="AC563" s="10" t="s">
        <v>3376</v>
      </c>
      <c r="AD563" s="11" t="s">
        <v>3414</v>
      </c>
      <c r="AE563" s="11" t="s">
        <v>218</v>
      </c>
      <c r="AF563" s="11" t="s">
        <v>84</v>
      </c>
      <c r="AG563" s="11" t="s">
        <v>97</v>
      </c>
      <c r="AH563" s="11" t="s">
        <v>88</v>
      </c>
      <c r="AI563" s="11">
        <v>801723195</v>
      </c>
      <c r="AJ563" s="11" t="s">
        <v>191</v>
      </c>
      <c r="AK563" s="11"/>
      <c r="AL563" s="11"/>
      <c r="AM563" s="12" t="s">
        <v>64</v>
      </c>
      <c r="AN563" s="11" t="s">
        <v>219</v>
      </c>
      <c r="AO563" s="11" t="s">
        <v>3663</v>
      </c>
      <c r="AP563" s="11" t="s">
        <v>3661</v>
      </c>
      <c r="AQ563" s="3">
        <v>45910</v>
      </c>
      <c r="AR563" s="11">
        <v>3400</v>
      </c>
      <c r="AS563" s="11" t="s">
        <v>47</v>
      </c>
      <c r="AT563" s="11" t="s">
        <v>3445</v>
      </c>
      <c r="AU563" s="2">
        <v>46185</v>
      </c>
    </row>
    <row r="564" spans="1:47" x14ac:dyDescent="0.25">
      <c r="A564" s="10" t="s">
        <v>3270</v>
      </c>
      <c r="B564" s="11" t="s">
        <v>3309</v>
      </c>
      <c r="C564" s="11">
        <v>0</v>
      </c>
      <c r="D564" s="11" t="s">
        <v>108</v>
      </c>
      <c r="E564" s="11"/>
      <c r="F564" s="11"/>
      <c r="G564" s="11" t="s">
        <v>90</v>
      </c>
      <c r="H564" s="11">
        <v>25</v>
      </c>
      <c r="I564" s="11" t="s">
        <v>3347</v>
      </c>
      <c r="J564" s="11" t="s">
        <v>42</v>
      </c>
      <c r="K564" s="11">
        <f>Table1[[#This Row],[ENR]]-Table1[[#This Row],[CREDIT]]</f>
        <v>-172367.2</v>
      </c>
      <c r="L564" s="43">
        <v>320000</v>
      </c>
      <c r="M564" s="30">
        <v>147632.79999999999</v>
      </c>
      <c r="N564" s="44" t="s">
        <v>43</v>
      </c>
      <c r="O564" s="29">
        <v>147632.79999999999</v>
      </c>
      <c r="P564" s="29">
        <v>139535.69</v>
      </c>
      <c r="Q564" s="11">
        <v>23880</v>
      </c>
      <c r="R564" s="57">
        <v>14830</v>
      </c>
      <c r="S564" s="11" t="s">
        <v>58</v>
      </c>
      <c r="T564" s="11" t="s">
        <v>14</v>
      </c>
      <c r="U564" s="29">
        <v>14850</v>
      </c>
      <c r="V564" s="29">
        <f>Table1[[#This Row],[STAB]]-Table1[[#This Row],[AMOUNT]]</f>
        <v>-20</v>
      </c>
      <c r="W564" s="11" t="s">
        <v>3661</v>
      </c>
      <c r="X564" s="11" t="s">
        <v>444</v>
      </c>
      <c r="Y564" s="11" t="s">
        <v>760</v>
      </c>
      <c r="Z564" s="12" t="s">
        <v>85</v>
      </c>
      <c r="AA564" s="12" t="s">
        <v>447</v>
      </c>
      <c r="AB564" s="11"/>
      <c r="AC564" s="10" t="s">
        <v>3384</v>
      </c>
      <c r="AD564" s="11" t="s">
        <v>3422</v>
      </c>
      <c r="AE564" s="11" t="s">
        <v>413</v>
      </c>
      <c r="AF564" s="11" t="s">
        <v>54</v>
      </c>
      <c r="AG564" s="11" t="s">
        <v>146</v>
      </c>
      <c r="AH564" s="11" t="s">
        <v>625</v>
      </c>
      <c r="AI564" s="11">
        <v>801217009</v>
      </c>
      <c r="AJ564" s="11" t="s">
        <v>190</v>
      </c>
      <c r="AK564" s="11"/>
      <c r="AL564" s="11"/>
      <c r="AM564" s="12" t="s">
        <v>64</v>
      </c>
      <c r="AN564" s="11"/>
      <c r="AO564" s="11"/>
      <c r="AP564" s="11"/>
      <c r="AQ564" s="3">
        <v>45473</v>
      </c>
      <c r="AR564" s="11">
        <v>5390</v>
      </c>
      <c r="AS564" s="11" t="s">
        <v>1075</v>
      </c>
      <c r="AT564" s="11" t="s">
        <v>3445</v>
      </c>
      <c r="AU564" s="2">
        <v>46185</v>
      </c>
    </row>
    <row r="565" spans="1:47" x14ac:dyDescent="0.25">
      <c r="A565" s="10" t="s">
        <v>3261</v>
      </c>
      <c r="B565" s="11" t="s">
        <v>3300</v>
      </c>
      <c r="C565" s="11" t="s">
        <v>145</v>
      </c>
      <c r="D565" s="11" t="s">
        <v>108</v>
      </c>
      <c r="E565" s="11"/>
      <c r="F565" s="11"/>
      <c r="G565" s="11" t="s">
        <v>90</v>
      </c>
      <c r="H565" s="11">
        <v>25</v>
      </c>
      <c r="I565" s="11" t="s">
        <v>3338</v>
      </c>
      <c r="J565" s="11" t="s">
        <v>42</v>
      </c>
      <c r="K565" s="11">
        <f>Table1[[#This Row],[ENR]]-Table1[[#This Row],[CREDIT]]</f>
        <v>6687.8600000000006</v>
      </c>
      <c r="L565" s="43">
        <v>120000</v>
      </c>
      <c r="M565" s="30">
        <v>126687.86</v>
      </c>
      <c r="N565" s="44" t="s">
        <v>43</v>
      </c>
      <c r="O565" s="29">
        <v>126687.86</v>
      </c>
      <c r="P565" s="29">
        <v>117000</v>
      </c>
      <c r="Q565" s="11">
        <v>32390</v>
      </c>
      <c r="R565" s="57">
        <v>13829</v>
      </c>
      <c r="S565" s="11" t="s">
        <v>44</v>
      </c>
      <c r="T565" s="11" t="s">
        <v>45</v>
      </c>
      <c r="U565" s="11">
        <v>0</v>
      </c>
      <c r="V565" s="29">
        <f>Table1[[#This Row],[STAB]]-Table1[[#This Row],[AMOUNT]]</f>
        <v>13829</v>
      </c>
      <c r="W565" s="11">
        <v>0</v>
      </c>
      <c r="X565" s="11" t="s">
        <v>83</v>
      </c>
      <c r="Y565" s="11">
        <v>0</v>
      </c>
      <c r="Z565" s="11" t="s">
        <v>85</v>
      </c>
      <c r="AA565" s="11" t="s">
        <v>612</v>
      </c>
      <c r="AB565" s="11"/>
      <c r="AC565" s="10" t="s">
        <v>3375</v>
      </c>
      <c r="AD565" s="11" t="s">
        <v>3413</v>
      </c>
      <c r="AE565" s="11" t="s">
        <v>426</v>
      </c>
      <c r="AF565" s="11" t="s">
        <v>439</v>
      </c>
      <c r="AG565" s="11" t="s">
        <v>63</v>
      </c>
      <c r="AH565" s="11" t="s">
        <v>467</v>
      </c>
      <c r="AI565" s="11">
        <v>801570488</v>
      </c>
      <c r="AJ565" s="11" t="s">
        <v>190</v>
      </c>
      <c r="AK565" s="11"/>
      <c r="AL565" s="11"/>
      <c r="AM565" s="12" t="s">
        <v>64</v>
      </c>
      <c r="AN565" s="11" t="s">
        <v>446</v>
      </c>
      <c r="AO565" s="11" t="s">
        <v>635</v>
      </c>
      <c r="AP565" s="11" t="s">
        <v>3661</v>
      </c>
      <c r="AQ565" s="3">
        <v>45496</v>
      </c>
      <c r="AR565" s="11">
        <v>20500</v>
      </c>
      <c r="AS565" s="11" t="s">
        <v>47</v>
      </c>
      <c r="AT565" s="11" t="s">
        <v>3445</v>
      </c>
      <c r="AU565" s="2">
        <v>46185</v>
      </c>
    </row>
    <row r="566" spans="1:47" x14ac:dyDescent="0.25">
      <c r="A566" s="10" t="s">
        <v>3271</v>
      </c>
      <c r="B566" s="11" t="s">
        <v>3310</v>
      </c>
      <c r="C566" s="11">
        <v>0</v>
      </c>
      <c r="D566" s="11" t="s">
        <v>108</v>
      </c>
      <c r="E566" s="11"/>
      <c r="F566" s="11"/>
      <c r="G566" s="11" t="s">
        <v>52</v>
      </c>
      <c r="H566" s="11">
        <v>25</v>
      </c>
      <c r="I566" s="11" t="s">
        <v>3348</v>
      </c>
      <c r="J566" s="11" t="s">
        <v>42</v>
      </c>
      <c r="K566" s="11">
        <f>Table1[[#This Row],[ENR]]-Table1[[#This Row],[CREDIT]]</f>
        <v>-137147.25</v>
      </c>
      <c r="L566" s="43">
        <v>250000</v>
      </c>
      <c r="M566" s="30">
        <v>112852.75</v>
      </c>
      <c r="N566" s="44" t="s">
        <v>43</v>
      </c>
      <c r="O566" s="29">
        <v>112852.75</v>
      </c>
      <c r="P566" s="29">
        <v>102431.01</v>
      </c>
      <c r="Q566" s="11">
        <v>17450</v>
      </c>
      <c r="R566" s="57">
        <v>6270</v>
      </c>
      <c r="S566" s="11" t="s">
        <v>58</v>
      </c>
      <c r="T566" s="11" t="s">
        <v>13</v>
      </c>
      <c r="U566" s="11">
        <v>20000</v>
      </c>
      <c r="V566" s="29">
        <f>Table1[[#This Row],[STAB]]-Table1[[#This Row],[AMOUNT]]</f>
        <v>-13730</v>
      </c>
      <c r="W566" s="11">
        <v>0</v>
      </c>
      <c r="X566" s="11" t="s">
        <v>761</v>
      </c>
      <c r="Y566" s="11" t="s">
        <v>760</v>
      </c>
      <c r="Z566" s="12" t="s">
        <v>88</v>
      </c>
      <c r="AA566" s="12" t="s">
        <v>91</v>
      </c>
      <c r="AB566" s="11"/>
      <c r="AC566" s="10" t="s">
        <v>3385</v>
      </c>
      <c r="AD566" s="11" t="s">
        <v>3423</v>
      </c>
      <c r="AE566" s="11" t="s">
        <v>218</v>
      </c>
      <c r="AF566" s="11" t="s">
        <v>84</v>
      </c>
      <c r="AG566" s="11" t="s">
        <v>93</v>
      </c>
      <c r="AH566" s="11" t="s">
        <v>88</v>
      </c>
      <c r="AI566" s="11">
        <v>801723195</v>
      </c>
      <c r="AJ566" s="11" t="s">
        <v>191</v>
      </c>
      <c r="AK566" s="11"/>
      <c r="AL566" s="11"/>
      <c r="AM566" s="12" t="s">
        <v>64</v>
      </c>
      <c r="AN566" s="11"/>
      <c r="AO566" s="11"/>
      <c r="AP566" s="11"/>
      <c r="AQ566" s="3">
        <v>46112</v>
      </c>
      <c r="AR566" s="11">
        <v>6511</v>
      </c>
      <c r="AS566" s="11" t="s">
        <v>48</v>
      </c>
      <c r="AT566" s="11" t="s">
        <v>3445</v>
      </c>
      <c r="AU566" s="2">
        <v>46185</v>
      </c>
    </row>
    <row r="567" spans="1:47" x14ac:dyDescent="0.25">
      <c r="A567" s="10" t="s">
        <v>3260</v>
      </c>
      <c r="B567" s="11" t="s">
        <v>3297</v>
      </c>
      <c r="C567" s="11">
        <v>0</v>
      </c>
      <c r="D567" s="11" t="s">
        <v>108</v>
      </c>
      <c r="E567" s="11"/>
      <c r="F567" s="11"/>
      <c r="G567" s="11" t="s">
        <v>52</v>
      </c>
      <c r="H567" s="11">
        <v>25</v>
      </c>
      <c r="I567" s="11" t="s">
        <v>3335</v>
      </c>
      <c r="J567" s="11" t="s">
        <v>42</v>
      </c>
      <c r="K567" s="11">
        <f>Table1[[#This Row],[ENR]]-Table1[[#This Row],[CREDIT]]</f>
        <v>-57609.179999999993</v>
      </c>
      <c r="L567" s="43">
        <v>168000</v>
      </c>
      <c r="M567" s="30">
        <v>110390.82</v>
      </c>
      <c r="N567" s="44" t="s">
        <v>43</v>
      </c>
      <c r="O567" s="29">
        <v>110390.82</v>
      </c>
      <c r="P567" s="29">
        <v>99984</v>
      </c>
      <c r="Q567" s="11">
        <v>20160</v>
      </c>
      <c r="R567" s="57">
        <v>5000</v>
      </c>
      <c r="S567" s="11" t="s">
        <v>44</v>
      </c>
      <c r="T567" s="11" t="s">
        <v>45</v>
      </c>
      <c r="U567" s="11">
        <v>0</v>
      </c>
      <c r="V567" s="29">
        <f>Table1[[#This Row],[STAB]]-Table1[[#This Row],[AMOUNT]]</f>
        <v>5000</v>
      </c>
      <c r="W567" s="11">
        <v>0</v>
      </c>
      <c r="X567" s="11" t="s">
        <v>83</v>
      </c>
      <c r="Y567" s="11">
        <v>0</v>
      </c>
      <c r="Z567" s="12" t="s">
        <v>85</v>
      </c>
      <c r="AA567" s="12" t="s">
        <v>447</v>
      </c>
      <c r="AB567" s="11"/>
      <c r="AC567" s="10" t="s">
        <v>3372</v>
      </c>
      <c r="AD567" s="11" t="s">
        <v>3410</v>
      </c>
      <c r="AE567" s="11" t="s">
        <v>103</v>
      </c>
      <c r="AF567" s="11" t="s">
        <v>53</v>
      </c>
      <c r="AG567" s="11" t="s">
        <v>188</v>
      </c>
      <c r="AH567" s="11" t="s">
        <v>194</v>
      </c>
      <c r="AI567" s="11">
        <v>802823180</v>
      </c>
      <c r="AJ567" s="11" t="s">
        <v>191</v>
      </c>
      <c r="AK567" s="11"/>
      <c r="AL567" s="11"/>
      <c r="AM567" s="12" t="s">
        <v>46</v>
      </c>
      <c r="AN567" s="11"/>
      <c r="AO567" s="11"/>
      <c r="AP567" s="11"/>
      <c r="AQ567" s="3">
        <v>45439</v>
      </c>
      <c r="AR567" s="11">
        <v>100000</v>
      </c>
      <c r="AS567" s="11" t="s">
        <v>47</v>
      </c>
      <c r="AT567" s="11" t="s">
        <v>3445</v>
      </c>
      <c r="AU567" s="2">
        <v>46185</v>
      </c>
    </row>
    <row r="568" spans="1:47" x14ac:dyDescent="0.25">
      <c r="A568" s="10" t="s">
        <v>3268</v>
      </c>
      <c r="B568" s="11" t="s">
        <v>3307</v>
      </c>
      <c r="C568" s="11">
        <v>0</v>
      </c>
      <c r="D568" s="11" t="s">
        <v>108</v>
      </c>
      <c r="E568" s="11"/>
      <c r="F568" s="11"/>
      <c r="G568" s="11" t="s">
        <v>52</v>
      </c>
      <c r="H568" s="11">
        <v>25</v>
      </c>
      <c r="I568" s="11" t="s">
        <v>3345</v>
      </c>
      <c r="J568" s="11" t="s">
        <v>42</v>
      </c>
      <c r="K568" s="11">
        <f>Table1[[#This Row],[ENR]]-Table1[[#This Row],[CREDIT]]</f>
        <v>5574.2400000000052</v>
      </c>
      <c r="L568" s="43">
        <v>70000</v>
      </c>
      <c r="M568" s="30">
        <v>75574.240000000005</v>
      </c>
      <c r="N568" s="44" t="s">
        <v>43</v>
      </c>
      <c r="O568" s="29">
        <v>75574.240000000005</v>
      </c>
      <c r="P568" s="29">
        <v>67302.06</v>
      </c>
      <c r="Q568" s="11">
        <v>57720</v>
      </c>
      <c r="R568" s="57">
        <v>25690</v>
      </c>
      <c r="S568" s="11" t="s">
        <v>58</v>
      </c>
      <c r="T568" s="11" t="s">
        <v>13</v>
      </c>
      <c r="U568" s="11">
        <v>75574.240000000005</v>
      </c>
      <c r="V568" s="29">
        <f>Table1[[#This Row],[STAB]]-Table1[[#This Row],[AMOUNT]]</f>
        <v>-49884.240000000005</v>
      </c>
      <c r="W568" s="11" t="s">
        <v>3642</v>
      </c>
      <c r="X568" s="11" t="s">
        <v>444</v>
      </c>
      <c r="Y568" s="11" t="s">
        <v>760</v>
      </c>
      <c r="Z568" s="12" t="s">
        <v>85</v>
      </c>
      <c r="AA568" s="12" t="s">
        <v>613</v>
      </c>
      <c r="AB568" s="11"/>
      <c r="AC568" s="10" t="s">
        <v>3382</v>
      </c>
      <c r="AD568" s="11" t="s">
        <v>3420</v>
      </c>
      <c r="AE568" s="11" t="s">
        <v>104</v>
      </c>
      <c r="AF568" s="11" t="s">
        <v>54</v>
      </c>
      <c r="AG568" s="11" t="s">
        <v>130</v>
      </c>
      <c r="AH568" s="11" t="s">
        <v>469</v>
      </c>
      <c r="AI568" s="11">
        <v>802835406</v>
      </c>
      <c r="AJ568" s="11" t="s">
        <v>99</v>
      </c>
      <c r="AK568" s="11"/>
      <c r="AL568" s="11"/>
      <c r="AM568" s="12" t="s">
        <v>64</v>
      </c>
      <c r="AN568" s="11"/>
      <c r="AO568" s="11"/>
      <c r="AP568" s="11"/>
      <c r="AQ568" s="3">
        <v>45703</v>
      </c>
      <c r="AR568" s="11">
        <v>3450</v>
      </c>
      <c r="AS568" s="11" t="s">
        <v>2221</v>
      </c>
      <c r="AT568" s="11" t="s">
        <v>3445</v>
      </c>
      <c r="AU568" s="2">
        <v>46185</v>
      </c>
    </row>
    <row r="569" spans="1:47" x14ac:dyDescent="0.25">
      <c r="A569" s="10" t="s">
        <v>3265</v>
      </c>
      <c r="B569" s="11" t="s">
        <v>3304</v>
      </c>
      <c r="C569" s="11">
        <v>0</v>
      </c>
      <c r="D569" s="11" t="s">
        <v>108</v>
      </c>
      <c r="E569" s="11"/>
      <c r="F569" s="11"/>
      <c r="G569" s="11" t="s">
        <v>52</v>
      </c>
      <c r="H569" s="11">
        <v>25</v>
      </c>
      <c r="I569" s="11" t="s">
        <v>3342</v>
      </c>
      <c r="J569" s="11" t="s">
        <v>42</v>
      </c>
      <c r="K569" s="11">
        <f>Table1[[#This Row],[ENR]]-Table1[[#This Row],[CREDIT]]</f>
        <v>4972.4499999999971</v>
      </c>
      <c r="L569" s="43">
        <v>70000</v>
      </c>
      <c r="M569" s="30">
        <v>74972.45</v>
      </c>
      <c r="N569" s="44">
        <v>36306.300000000003</v>
      </c>
      <c r="O569" s="29">
        <v>38666.15</v>
      </c>
      <c r="P569" s="29">
        <v>32752.82</v>
      </c>
      <c r="Q569" s="11">
        <v>18940</v>
      </c>
      <c r="R569" s="57">
        <v>9490</v>
      </c>
      <c r="S569" s="11" t="s">
        <v>58</v>
      </c>
      <c r="T569" s="11" t="s">
        <v>13</v>
      </c>
      <c r="U569" s="11">
        <v>18940</v>
      </c>
      <c r="V569" s="29">
        <f>Table1[[#This Row],[STAB]]-Table1[[#This Row],[AMOUNT]]</f>
        <v>-9450</v>
      </c>
      <c r="W569" s="11" t="s">
        <v>3668</v>
      </c>
      <c r="X569" s="11" t="s">
        <v>444</v>
      </c>
      <c r="Y569" s="11" t="s">
        <v>760</v>
      </c>
      <c r="Z569" s="11" t="s">
        <v>85</v>
      </c>
      <c r="AA569" s="11" t="s">
        <v>612</v>
      </c>
      <c r="AB569" s="11"/>
      <c r="AC569" s="10" t="s">
        <v>3379</v>
      </c>
      <c r="AD569" s="11" t="s">
        <v>3417</v>
      </c>
      <c r="AE569" s="11" t="s">
        <v>124</v>
      </c>
      <c r="AF569" s="11" t="s">
        <v>127</v>
      </c>
      <c r="AG569" s="11" t="s">
        <v>57</v>
      </c>
      <c r="AH569" s="11" t="s">
        <v>464</v>
      </c>
      <c r="AI569" s="11">
        <v>802852449</v>
      </c>
      <c r="AJ569" s="11" t="s">
        <v>190</v>
      </c>
      <c r="AK569" s="11"/>
      <c r="AL569" s="11"/>
      <c r="AM569" s="12" t="s">
        <v>64</v>
      </c>
      <c r="AN569" s="11" t="s">
        <v>446</v>
      </c>
      <c r="AO569" s="11" t="s">
        <v>3659</v>
      </c>
      <c r="AP569" s="11" t="s">
        <v>3642</v>
      </c>
      <c r="AQ569" s="3">
        <v>45614</v>
      </c>
      <c r="AR569" s="11">
        <v>3470</v>
      </c>
      <c r="AS569" s="11" t="s">
        <v>47</v>
      </c>
      <c r="AT569" s="11" t="s">
        <v>3445</v>
      </c>
      <c r="AU569" s="2">
        <v>46185</v>
      </c>
    </row>
    <row r="570" spans="1:47" x14ac:dyDescent="0.25">
      <c r="A570" s="45" t="s">
        <v>3264</v>
      </c>
      <c r="B570" s="12" t="s">
        <v>3303</v>
      </c>
      <c r="C570" s="11">
        <v>0</v>
      </c>
      <c r="D570" s="11" t="s">
        <v>108</v>
      </c>
      <c r="E570" s="12"/>
      <c r="F570" s="12"/>
      <c r="G570" s="11" t="s">
        <v>90</v>
      </c>
      <c r="H570" s="12">
        <v>25</v>
      </c>
      <c r="I570" s="12" t="s">
        <v>3341</v>
      </c>
      <c r="J570" s="12" t="s">
        <v>336</v>
      </c>
      <c r="K570" s="12">
        <f>Table1[[#This Row],[ENR]]-Table1[[#This Row],[CREDIT]]</f>
        <v>-15902.879999999997</v>
      </c>
      <c r="L570" s="46">
        <v>70000</v>
      </c>
      <c r="M570" s="47">
        <v>54097.120000000003</v>
      </c>
      <c r="N570" s="48" t="s">
        <v>43</v>
      </c>
      <c r="O570" s="49">
        <v>54097.120000000003</v>
      </c>
      <c r="P570" s="49">
        <v>49866.23</v>
      </c>
      <c r="Q570" s="12">
        <v>9450</v>
      </c>
      <c r="R570" s="58">
        <v>4740</v>
      </c>
      <c r="S570" s="11" t="s">
        <v>58</v>
      </c>
      <c r="T570" s="11" t="s">
        <v>14</v>
      </c>
      <c r="U570" s="11">
        <v>4800</v>
      </c>
      <c r="V570" s="49">
        <f>Table1[[#This Row],[STAB]]-Table1[[#This Row],[AMOUNT]]</f>
        <v>-60</v>
      </c>
      <c r="W570" s="11" t="s">
        <v>3675</v>
      </c>
      <c r="X570" s="11" t="s">
        <v>444</v>
      </c>
      <c r="Y570" s="11">
        <v>0</v>
      </c>
      <c r="Z570" s="11" t="s">
        <v>85</v>
      </c>
      <c r="AA570" s="11" t="s">
        <v>613</v>
      </c>
      <c r="AB570" s="12"/>
      <c r="AC570" s="45" t="s">
        <v>3378</v>
      </c>
      <c r="AD570" s="12" t="s">
        <v>3416</v>
      </c>
      <c r="AE570" s="12" t="s">
        <v>416</v>
      </c>
      <c r="AF570" s="12" t="s">
        <v>54</v>
      </c>
      <c r="AG570" s="11" t="s">
        <v>61</v>
      </c>
      <c r="AH570" s="11" t="s">
        <v>195</v>
      </c>
      <c r="AI570" s="12">
        <v>802551967</v>
      </c>
      <c r="AJ570" s="12" t="s">
        <v>99</v>
      </c>
      <c r="AK570" s="12"/>
      <c r="AL570" s="12"/>
      <c r="AM570" s="12" t="s">
        <v>64</v>
      </c>
      <c r="AN570" s="12"/>
      <c r="AO570" s="12"/>
      <c r="AP570" s="12"/>
      <c r="AQ570" s="50">
        <v>45561</v>
      </c>
      <c r="AR570" s="12">
        <v>3501.79</v>
      </c>
      <c r="AS570" s="12" t="s">
        <v>47</v>
      </c>
      <c r="AT570" s="11" t="s">
        <v>3445</v>
      </c>
      <c r="AU570" s="51">
        <v>46185</v>
      </c>
    </row>
    <row r="571" spans="1:47" x14ac:dyDescent="0.25">
      <c r="A571" s="45" t="s">
        <v>3266</v>
      </c>
      <c r="B571" s="12" t="s">
        <v>3305</v>
      </c>
      <c r="C571" s="11">
        <v>0</v>
      </c>
      <c r="D571" s="12" t="s">
        <v>108</v>
      </c>
      <c r="E571" s="12"/>
      <c r="F571" s="12"/>
      <c r="G571" s="11" t="s">
        <v>52</v>
      </c>
      <c r="H571" s="12">
        <v>25</v>
      </c>
      <c r="I571" s="12" t="s">
        <v>3343</v>
      </c>
      <c r="J571" s="12" t="s">
        <v>42</v>
      </c>
      <c r="K571" s="12">
        <f>Table1[[#This Row],[ENR]]-Table1[[#This Row],[CREDIT]]</f>
        <v>2559.2300000000032</v>
      </c>
      <c r="L571" s="46">
        <v>50000</v>
      </c>
      <c r="M571" s="47">
        <v>52559.23</v>
      </c>
      <c r="N571" s="48">
        <v>13659.16</v>
      </c>
      <c r="O571" s="49">
        <v>38900.07</v>
      </c>
      <c r="P571" s="49">
        <v>33016.74</v>
      </c>
      <c r="Q571" s="12">
        <v>33280</v>
      </c>
      <c r="R571" s="58">
        <v>16570</v>
      </c>
      <c r="S571" s="11" t="s">
        <v>44</v>
      </c>
      <c r="T571" s="11" t="s">
        <v>45</v>
      </c>
      <c r="U571" s="11">
        <v>0</v>
      </c>
      <c r="V571" s="49">
        <f>Table1[[#This Row],[STAB]]-Table1[[#This Row],[AMOUNT]]</f>
        <v>16570</v>
      </c>
      <c r="W571" s="11">
        <v>0</v>
      </c>
      <c r="X571" s="11" t="s">
        <v>83</v>
      </c>
      <c r="Y571" s="11">
        <v>0</v>
      </c>
      <c r="Z571" s="12" t="s">
        <v>85</v>
      </c>
      <c r="AA571" s="46" t="s">
        <v>611</v>
      </c>
      <c r="AB571" s="12"/>
      <c r="AC571" s="45" t="s">
        <v>3380</v>
      </c>
      <c r="AD571" s="12" t="s">
        <v>3418</v>
      </c>
      <c r="AE571" s="12" t="s">
        <v>424</v>
      </c>
      <c r="AF571" s="12" t="s">
        <v>54</v>
      </c>
      <c r="AG571" s="12" t="s">
        <v>1086</v>
      </c>
      <c r="AH571" s="11" t="s">
        <v>85</v>
      </c>
      <c r="AI571" s="11">
        <v>801772794</v>
      </c>
      <c r="AJ571" s="11" t="s">
        <v>192</v>
      </c>
      <c r="AK571" s="12"/>
      <c r="AL571" s="12"/>
      <c r="AM571" s="12" t="s">
        <v>46</v>
      </c>
      <c r="AN571" s="12"/>
      <c r="AO571" s="12"/>
      <c r="AP571" s="12"/>
      <c r="AQ571" s="50" t="s">
        <v>43</v>
      </c>
      <c r="AR571" s="12">
        <v>0</v>
      </c>
      <c r="AS571" s="12" t="s">
        <v>47</v>
      </c>
      <c r="AT571" s="11" t="s">
        <v>3445</v>
      </c>
      <c r="AU571" s="51">
        <v>46185</v>
      </c>
    </row>
    <row r="572" spans="1:47" x14ac:dyDescent="0.25">
      <c r="A572" s="10" t="s">
        <v>3259</v>
      </c>
      <c r="B572" s="11" t="s">
        <v>3299</v>
      </c>
      <c r="C572" s="11">
        <v>0</v>
      </c>
      <c r="D572" s="12" t="s">
        <v>108</v>
      </c>
      <c r="E572" s="11"/>
      <c r="F572" s="11"/>
      <c r="G572" s="11" t="s">
        <v>52</v>
      </c>
      <c r="H572" s="11">
        <v>25</v>
      </c>
      <c r="I572" s="11" t="s">
        <v>3337</v>
      </c>
      <c r="J572" s="11" t="s">
        <v>42</v>
      </c>
      <c r="K572" s="11">
        <f>Table1[[#This Row],[ENR]]-Table1[[#This Row],[CREDIT]]</f>
        <v>355.88999999999942</v>
      </c>
      <c r="L572" s="43">
        <v>50000</v>
      </c>
      <c r="M572" s="30">
        <v>50355.89</v>
      </c>
      <c r="N572" s="44" t="s">
        <v>43</v>
      </c>
      <c r="O572" s="29">
        <v>50355.89</v>
      </c>
      <c r="P572" s="29">
        <v>45925.66</v>
      </c>
      <c r="Q572" s="11">
        <v>12870</v>
      </c>
      <c r="R572" s="57">
        <v>7860</v>
      </c>
      <c r="S572" s="11" t="s">
        <v>58</v>
      </c>
      <c r="T572" s="11" t="s">
        <v>14</v>
      </c>
      <c r="U572" s="29">
        <v>7860</v>
      </c>
      <c r="V572" s="29">
        <f>Table1[[#This Row],[STAB]]-Table1[[#This Row],[AMOUNT]]</f>
        <v>0</v>
      </c>
      <c r="W572" s="11" t="s">
        <v>3668</v>
      </c>
      <c r="X572" s="11" t="s">
        <v>451</v>
      </c>
      <c r="Y572" s="11" t="s">
        <v>760</v>
      </c>
      <c r="Z572" s="11" t="s">
        <v>85</v>
      </c>
      <c r="AA572" s="43" t="s">
        <v>447</v>
      </c>
      <c r="AB572" s="11"/>
      <c r="AC572" s="10" t="s">
        <v>3374</v>
      </c>
      <c r="AD572" s="11" t="s">
        <v>3412</v>
      </c>
      <c r="AE572" s="11" t="s">
        <v>415</v>
      </c>
      <c r="AF572" s="11" t="s">
        <v>53</v>
      </c>
      <c r="AG572" s="11" t="s">
        <v>105</v>
      </c>
      <c r="AH572" s="11" t="s">
        <v>85</v>
      </c>
      <c r="AI572" s="11">
        <v>801772794</v>
      </c>
      <c r="AJ572" s="11" t="s">
        <v>192</v>
      </c>
      <c r="AK572" s="11"/>
      <c r="AL572" s="11"/>
      <c r="AM572" s="12" t="s">
        <v>64</v>
      </c>
      <c r="AN572" s="11"/>
      <c r="AO572" s="11"/>
      <c r="AP572" s="11"/>
      <c r="AQ572" s="3">
        <v>45870</v>
      </c>
      <c r="AR572" s="11">
        <v>18390</v>
      </c>
      <c r="AS572" s="11" t="s">
        <v>2284</v>
      </c>
      <c r="AT572" s="11" t="s">
        <v>3445</v>
      </c>
      <c r="AU572" s="2">
        <v>46185</v>
      </c>
    </row>
    <row r="573" spans="1:47" x14ac:dyDescent="0.25">
      <c r="A573" s="10" t="s">
        <v>3288</v>
      </c>
      <c r="B573" s="11" t="s">
        <v>3326</v>
      </c>
      <c r="C573" s="11">
        <v>0</v>
      </c>
      <c r="D573" s="12" t="s">
        <v>108</v>
      </c>
      <c r="E573" s="11"/>
      <c r="F573" s="11"/>
      <c r="G573" s="11" t="s">
        <v>90</v>
      </c>
      <c r="H573" s="11">
        <v>28</v>
      </c>
      <c r="I573" s="11" t="s">
        <v>3363</v>
      </c>
      <c r="J573" s="11" t="s">
        <v>42</v>
      </c>
      <c r="K573" s="11">
        <f>Table1[[#This Row],[ENR]]-Table1[[#This Row],[CREDIT]]</f>
        <v>77640.359999999986</v>
      </c>
      <c r="L573" s="43">
        <v>900000</v>
      </c>
      <c r="M573" s="30">
        <v>977640.36</v>
      </c>
      <c r="N573" s="44" t="s">
        <v>43</v>
      </c>
      <c r="O573" s="29">
        <v>977640.36</v>
      </c>
      <c r="P573" s="29">
        <v>898997.63</v>
      </c>
      <c r="Q573" s="11">
        <v>249180</v>
      </c>
      <c r="R573" s="57">
        <v>167170</v>
      </c>
      <c r="S573" s="11" t="s">
        <v>58</v>
      </c>
      <c r="T573" s="11" t="s">
        <v>13</v>
      </c>
      <c r="U573" s="11">
        <v>510000</v>
      </c>
      <c r="V573" s="29">
        <f>Table1[[#This Row],[STAB]]-Table1[[#This Row],[AMOUNT]]</f>
        <v>-342830</v>
      </c>
      <c r="W573" s="11" t="s">
        <v>3681</v>
      </c>
      <c r="X573" s="11" t="s">
        <v>444</v>
      </c>
      <c r="Y573" s="11">
        <v>0</v>
      </c>
      <c r="Z573" s="11" t="s">
        <v>85</v>
      </c>
      <c r="AA573" s="43" t="s">
        <v>613</v>
      </c>
      <c r="AB573" s="11"/>
      <c r="AC573" s="10" t="s">
        <v>3401</v>
      </c>
      <c r="AD573" s="11" t="s">
        <v>3439</v>
      </c>
      <c r="AE573" s="11" t="s">
        <v>604</v>
      </c>
      <c r="AF573" s="11" t="s">
        <v>439</v>
      </c>
      <c r="AG573" s="11" t="s">
        <v>63</v>
      </c>
      <c r="AH573" s="11" t="s">
        <v>467</v>
      </c>
      <c r="AI573" s="11">
        <v>801570488</v>
      </c>
      <c r="AJ573" s="11" t="s">
        <v>190</v>
      </c>
      <c r="AK573" s="11"/>
      <c r="AL573" s="11"/>
      <c r="AM573" s="12" t="s">
        <v>64</v>
      </c>
      <c r="AN573" s="11" t="s">
        <v>115</v>
      </c>
      <c r="AO573" s="11" t="s">
        <v>3676</v>
      </c>
      <c r="AP573" s="11" t="s">
        <v>3675</v>
      </c>
      <c r="AQ573" s="3">
        <v>45685</v>
      </c>
      <c r="AR573" s="11">
        <v>10000</v>
      </c>
      <c r="AS573" s="11" t="s">
        <v>1493</v>
      </c>
      <c r="AT573" s="11" t="s">
        <v>3445</v>
      </c>
      <c r="AU573" s="2">
        <v>46188</v>
      </c>
    </row>
    <row r="574" spans="1:47" x14ac:dyDescent="0.25">
      <c r="A574" s="10" t="s">
        <v>3510</v>
      </c>
      <c r="B574" s="11" t="s">
        <v>3538</v>
      </c>
      <c r="C574" s="11">
        <v>0</v>
      </c>
      <c r="D574" s="12" t="s">
        <v>108</v>
      </c>
      <c r="E574" s="11">
        <v>1</v>
      </c>
      <c r="F574" s="11"/>
      <c r="G574" s="11" t="s">
        <v>52</v>
      </c>
      <c r="H574" s="11">
        <v>28</v>
      </c>
      <c r="I574" s="11" t="s">
        <v>3566</v>
      </c>
      <c r="J574" s="11" t="s">
        <v>42</v>
      </c>
      <c r="K574" s="11">
        <f>Table1[[#This Row],[ENR]]-Table1[[#This Row],[CREDIT]]</f>
        <v>484106.26</v>
      </c>
      <c r="L574" s="43">
        <v>20000</v>
      </c>
      <c r="M574" s="30">
        <v>504106.26</v>
      </c>
      <c r="N574" s="44" t="s">
        <v>43</v>
      </c>
      <c r="O574" s="29">
        <v>504106.26</v>
      </c>
      <c r="P574" s="29">
        <v>452309</v>
      </c>
      <c r="Q574" s="11">
        <v>504106.26</v>
      </c>
      <c r="R574" s="57">
        <v>481708.15</v>
      </c>
      <c r="S574" s="11" t="s">
        <v>44</v>
      </c>
      <c r="T574" s="11" t="s">
        <v>45</v>
      </c>
      <c r="U574" s="11">
        <v>0</v>
      </c>
      <c r="V574" s="29">
        <f>Table1[[#This Row],[STAB]]-Table1[[#This Row],[AMOUNT]]</f>
        <v>481708.15</v>
      </c>
      <c r="W574" s="11">
        <v>0</v>
      </c>
      <c r="X574" s="11" t="s">
        <v>83</v>
      </c>
      <c r="Y574" s="11">
        <v>0</v>
      </c>
      <c r="Z574" s="11" t="s">
        <v>85</v>
      </c>
      <c r="AA574" s="43"/>
      <c r="AB574" s="11"/>
      <c r="AC574" s="10" t="s">
        <v>3594</v>
      </c>
      <c r="AD574" s="11" t="s">
        <v>3622</v>
      </c>
      <c r="AE574" s="11" t="s">
        <v>103</v>
      </c>
      <c r="AF574" s="11" t="s">
        <v>53</v>
      </c>
      <c r="AG574" s="11" t="s">
        <v>188</v>
      </c>
      <c r="AH574" s="11" t="s">
        <v>194</v>
      </c>
      <c r="AI574" s="11">
        <v>802823180</v>
      </c>
      <c r="AJ574" s="11" t="s">
        <v>191</v>
      </c>
      <c r="AK574" s="11"/>
      <c r="AL574" s="11"/>
      <c r="AM574" s="12" t="s">
        <v>46</v>
      </c>
      <c r="AN574" s="11"/>
      <c r="AO574" s="11"/>
      <c r="AP574" s="11"/>
      <c r="AQ574" s="3">
        <v>46112</v>
      </c>
      <c r="AR574" s="11">
        <v>98936</v>
      </c>
      <c r="AS574" s="11" t="s">
        <v>47</v>
      </c>
      <c r="AT574" s="11" t="s">
        <v>3631</v>
      </c>
      <c r="AU574" s="2">
        <v>46188</v>
      </c>
    </row>
    <row r="575" spans="1:47" x14ac:dyDescent="0.25">
      <c r="A575" s="45" t="s">
        <v>3517</v>
      </c>
      <c r="B575" s="12" t="s">
        <v>3545</v>
      </c>
      <c r="C575" s="11">
        <v>0</v>
      </c>
      <c r="D575" s="12" t="s">
        <v>108</v>
      </c>
      <c r="E575" s="12"/>
      <c r="F575" s="12"/>
      <c r="G575" s="11" t="s">
        <v>52</v>
      </c>
      <c r="H575" s="12">
        <v>28</v>
      </c>
      <c r="I575" s="12" t="s">
        <v>3573</v>
      </c>
      <c r="J575" s="12" t="s">
        <v>42</v>
      </c>
      <c r="K575" s="12">
        <f>Table1[[#This Row],[ENR]]-Table1[[#This Row],[CREDIT]]</f>
        <v>21497.789999999979</v>
      </c>
      <c r="L575" s="46">
        <v>480000</v>
      </c>
      <c r="M575" s="47">
        <v>501497.79</v>
      </c>
      <c r="N575" s="48">
        <v>111677.22</v>
      </c>
      <c r="O575" s="49">
        <v>389820.57</v>
      </c>
      <c r="P575" s="49">
        <v>365088.33</v>
      </c>
      <c r="Q575" s="12">
        <v>101510</v>
      </c>
      <c r="R575" s="58">
        <v>45180</v>
      </c>
      <c r="S575" s="11" t="s">
        <v>58</v>
      </c>
      <c r="T575" s="11" t="s">
        <v>14</v>
      </c>
      <c r="U575" s="11">
        <v>45200</v>
      </c>
      <c r="V575" s="49">
        <f>Table1[[#This Row],[STAB]]-Table1[[#This Row],[AMOUNT]]</f>
        <v>-20</v>
      </c>
      <c r="W575" s="11" t="s">
        <v>3681</v>
      </c>
      <c r="X575" s="11" t="s">
        <v>444</v>
      </c>
      <c r="Y575" s="11">
        <v>0</v>
      </c>
      <c r="Z575" s="12" t="s">
        <v>85</v>
      </c>
      <c r="AA575" s="46"/>
      <c r="AB575" s="12"/>
      <c r="AC575" s="45" t="s">
        <v>3601</v>
      </c>
      <c r="AD575" s="12" t="s">
        <v>3629</v>
      </c>
      <c r="AE575" s="12" t="s">
        <v>104</v>
      </c>
      <c r="AF575" s="12" t="s">
        <v>54</v>
      </c>
      <c r="AG575" s="12" t="s">
        <v>610</v>
      </c>
      <c r="AH575" s="11" t="s">
        <v>627</v>
      </c>
      <c r="AI575" s="11">
        <v>801772792</v>
      </c>
      <c r="AJ575" s="11" t="s">
        <v>191</v>
      </c>
      <c r="AK575" s="12"/>
      <c r="AL575" s="12"/>
      <c r="AM575" s="12" t="s">
        <v>64</v>
      </c>
      <c r="AN575" s="12" t="s">
        <v>219</v>
      </c>
      <c r="AO575" s="12" t="s">
        <v>3670</v>
      </c>
      <c r="AP575" s="12" t="s">
        <v>3668</v>
      </c>
      <c r="AQ575" s="50">
        <v>45977</v>
      </c>
      <c r="AR575" s="12">
        <v>165636</v>
      </c>
      <c r="AS575" s="12" t="s">
        <v>430</v>
      </c>
      <c r="AT575" s="11" t="s">
        <v>3631</v>
      </c>
      <c r="AU575" s="51">
        <v>46188</v>
      </c>
    </row>
    <row r="576" spans="1:47" x14ac:dyDescent="0.25">
      <c r="A576" s="10" t="s">
        <v>3514</v>
      </c>
      <c r="B576" s="11" t="s">
        <v>3542</v>
      </c>
      <c r="C576" s="11">
        <v>0</v>
      </c>
      <c r="D576" s="12" t="s">
        <v>108</v>
      </c>
      <c r="E576" s="11"/>
      <c r="F576" s="11"/>
      <c r="G576" s="11" t="s">
        <v>52</v>
      </c>
      <c r="H576" s="11">
        <v>28</v>
      </c>
      <c r="I576" s="11" t="s">
        <v>3570</v>
      </c>
      <c r="J576" s="11" t="s">
        <v>42</v>
      </c>
      <c r="K576" s="11">
        <f>Table1[[#This Row],[ENR]]-Table1[[#This Row],[CREDIT]]</f>
        <v>22402.789999999979</v>
      </c>
      <c r="L576" s="43">
        <v>380000</v>
      </c>
      <c r="M576" s="30">
        <v>402402.79</v>
      </c>
      <c r="N576" s="44">
        <v>174349.58</v>
      </c>
      <c r="O576" s="29">
        <v>228053.21</v>
      </c>
      <c r="P576" s="29">
        <v>205524.44</v>
      </c>
      <c r="Q576" s="11">
        <v>71330</v>
      </c>
      <c r="R576" s="57">
        <v>28150</v>
      </c>
      <c r="S576" s="11" t="s">
        <v>44</v>
      </c>
      <c r="T576" s="11" t="s">
        <v>45</v>
      </c>
      <c r="U576" s="11">
        <v>0</v>
      </c>
      <c r="V576" s="29">
        <f>Table1[[#This Row],[STAB]]-Table1[[#This Row],[AMOUNT]]</f>
        <v>28150</v>
      </c>
      <c r="W576" s="11">
        <v>0</v>
      </c>
      <c r="X576" s="11" t="s">
        <v>83</v>
      </c>
      <c r="Y576" s="11">
        <v>0</v>
      </c>
      <c r="Z576" s="11" t="s">
        <v>85</v>
      </c>
      <c r="AA576" s="43"/>
      <c r="AB576" s="11"/>
      <c r="AC576" s="10" t="s">
        <v>3598</v>
      </c>
      <c r="AD576" s="11" t="s">
        <v>3626</v>
      </c>
      <c r="AE576" s="11" t="s">
        <v>416</v>
      </c>
      <c r="AF576" s="11" t="s">
        <v>54</v>
      </c>
      <c r="AG576" s="11" t="s">
        <v>130</v>
      </c>
      <c r="AH576" s="11" t="s">
        <v>469</v>
      </c>
      <c r="AI576" s="11">
        <v>802835406</v>
      </c>
      <c r="AJ576" s="11" t="s">
        <v>99</v>
      </c>
      <c r="AK576" s="11"/>
      <c r="AL576" s="11"/>
      <c r="AM576" s="12" t="s">
        <v>64</v>
      </c>
      <c r="AN576" s="11" t="s">
        <v>115</v>
      </c>
      <c r="AO576" s="11" t="s">
        <v>3677</v>
      </c>
      <c r="AP576" s="11" t="s">
        <v>3678</v>
      </c>
      <c r="AQ576" s="3">
        <v>45539</v>
      </c>
      <c r="AR576" s="11">
        <v>200000</v>
      </c>
      <c r="AS576" s="11" t="s">
        <v>47</v>
      </c>
      <c r="AT576" s="11" t="s">
        <v>3631</v>
      </c>
      <c r="AU576" s="2">
        <v>46188</v>
      </c>
    </row>
    <row r="577" spans="1:47" x14ac:dyDescent="0.25">
      <c r="A577" s="10" t="s">
        <v>3513</v>
      </c>
      <c r="B577" s="11" t="s">
        <v>3541</v>
      </c>
      <c r="C577" s="11">
        <v>0</v>
      </c>
      <c r="D577" s="12" t="s">
        <v>108</v>
      </c>
      <c r="E577" s="11"/>
      <c r="F577" s="11"/>
      <c r="G577" s="11" t="s">
        <v>52</v>
      </c>
      <c r="H577" s="11">
        <v>28</v>
      </c>
      <c r="I577" s="11" t="s">
        <v>3569</v>
      </c>
      <c r="J577" s="11" t="s">
        <v>42</v>
      </c>
      <c r="K577" s="11">
        <f>Table1[[#This Row],[ENR]]-Table1[[#This Row],[CREDIT]]</f>
        <v>25798</v>
      </c>
      <c r="L577" s="43">
        <v>370000</v>
      </c>
      <c r="M577" s="30">
        <v>395798</v>
      </c>
      <c r="N577" s="44" t="s">
        <v>43</v>
      </c>
      <c r="O577" s="29">
        <v>395798</v>
      </c>
      <c r="P577" s="29">
        <v>361381.16</v>
      </c>
      <c r="Q577" s="11">
        <v>81200</v>
      </c>
      <c r="R577" s="57">
        <v>28760</v>
      </c>
      <c r="S577" s="11" t="s">
        <v>44</v>
      </c>
      <c r="T577" s="11" t="s">
        <v>45</v>
      </c>
      <c r="U577" s="11">
        <v>0</v>
      </c>
      <c r="V577" s="29">
        <f>Table1[[#This Row],[STAB]]-Table1[[#This Row],[AMOUNT]]</f>
        <v>28760</v>
      </c>
      <c r="W577" s="11">
        <v>0</v>
      </c>
      <c r="X577" s="11" t="s">
        <v>83</v>
      </c>
      <c r="Y577" s="11">
        <v>0</v>
      </c>
      <c r="Z577" s="11" t="s">
        <v>85</v>
      </c>
      <c r="AA577" s="43"/>
      <c r="AB577" s="11"/>
      <c r="AC577" s="10" t="s">
        <v>3597</v>
      </c>
      <c r="AD577" s="11" t="s">
        <v>3625</v>
      </c>
      <c r="AE577" s="11" t="s">
        <v>218</v>
      </c>
      <c r="AF577" s="11" t="s">
        <v>84</v>
      </c>
      <c r="AG577" s="11" t="s">
        <v>97</v>
      </c>
      <c r="AH577" s="11" t="s">
        <v>88</v>
      </c>
      <c r="AI577" s="11">
        <v>801723195</v>
      </c>
      <c r="AJ577" s="11" t="s">
        <v>191</v>
      </c>
      <c r="AK577" s="11"/>
      <c r="AL577" s="11"/>
      <c r="AM577" s="12" t="s">
        <v>64</v>
      </c>
      <c r="AN577" s="11" t="s">
        <v>219</v>
      </c>
      <c r="AO577" s="11" t="s">
        <v>3651</v>
      </c>
      <c r="AP577" s="11" t="s">
        <v>3642</v>
      </c>
      <c r="AQ577" s="3">
        <v>45595</v>
      </c>
      <c r="AR577" s="11">
        <v>326152</v>
      </c>
      <c r="AS577" s="11" t="s">
        <v>47</v>
      </c>
      <c r="AT577" s="11" t="s">
        <v>3631</v>
      </c>
      <c r="AU577" s="2">
        <v>46188</v>
      </c>
    </row>
    <row r="578" spans="1:47" x14ac:dyDescent="0.25">
      <c r="A578" s="10" t="s">
        <v>3274</v>
      </c>
      <c r="B578" s="11" t="s">
        <v>3313</v>
      </c>
      <c r="C578" s="11">
        <v>0</v>
      </c>
      <c r="D578" s="12" t="s">
        <v>108</v>
      </c>
      <c r="E578" s="11"/>
      <c r="F578" s="11"/>
      <c r="G578" s="11" t="s">
        <v>52</v>
      </c>
      <c r="H578" s="11">
        <v>28</v>
      </c>
      <c r="I578" s="11" t="s">
        <v>3351</v>
      </c>
      <c r="J578" s="11" t="s">
        <v>42</v>
      </c>
      <c r="K578" s="11">
        <f>Table1[[#This Row],[ENR]]-Table1[[#This Row],[CREDIT]]</f>
        <v>-125721.38</v>
      </c>
      <c r="L578" s="43">
        <v>510000</v>
      </c>
      <c r="M578" s="30">
        <v>384278.62</v>
      </c>
      <c r="N578" s="44">
        <v>263048.31</v>
      </c>
      <c r="O578" s="29">
        <v>121230.31</v>
      </c>
      <c r="P578" s="29">
        <v>109669.1</v>
      </c>
      <c r="Q578" s="11">
        <v>121230.31</v>
      </c>
      <c r="R578" s="57">
        <v>54907.94</v>
      </c>
      <c r="S578" s="11" t="s">
        <v>44</v>
      </c>
      <c r="T578" s="11" t="s">
        <v>45</v>
      </c>
      <c r="U578" s="11">
        <v>0</v>
      </c>
      <c r="V578" s="29">
        <f>Table1[[#This Row],[STAB]]-Table1[[#This Row],[AMOUNT]]</f>
        <v>54907.94</v>
      </c>
      <c r="W578" s="11">
        <v>0</v>
      </c>
      <c r="X578" s="11" t="s">
        <v>83</v>
      </c>
      <c r="Y578" s="11">
        <v>0</v>
      </c>
      <c r="Z578" s="11" t="s">
        <v>85</v>
      </c>
      <c r="AA578" s="43" t="s">
        <v>613</v>
      </c>
      <c r="AB578" s="11"/>
      <c r="AC578" s="10" t="s">
        <v>3388</v>
      </c>
      <c r="AD578" s="11" t="s">
        <v>3426</v>
      </c>
      <c r="AE578" s="11" t="s">
        <v>104</v>
      </c>
      <c r="AF578" s="11" t="s">
        <v>54</v>
      </c>
      <c r="AG578" s="11" t="s">
        <v>610</v>
      </c>
      <c r="AH578" s="11" t="s">
        <v>627</v>
      </c>
      <c r="AI578" s="11">
        <v>801772792</v>
      </c>
      <c r="AJ578" s="11" t="s">
        <v>191</v>
      </c>
      <c r="AK578" s="11"/>
      <c r="AL578" s="11"/>
      <c r="AM578" s="12" t="s">
        <v>64</v>
      </c>
      <c r="AN578" s="11" t="s">
        <v>221</v>
      </c>
      <c r="AO578" s="11" t="s">
        <v>3665</v>
      </c>
      <c r="AP578" s="11" t="s">
        <v>3661</v>
      </c>
      <c r="AQ578" s="3">
        <v>45444</v>
      </c>
      <c r="AR578" s="11">
        <v>19700</v>
      </c>
      <c r="AS578" s="11" t="s">
        <v>48</v>
      </c>
      <c r="AT578" s="11" t="s">
        <v>3445</v>
      </c>
      <c r="AU578" s="2">
        <v>46188</v>
      </c>
    </row>
    <row r="579" spans="1:47" x14ac:dyDescent="0.25">
      <c r="A579" s="10" t="s">
        <v>3512</v>
      </c>
      <c r="B579" s="11" t="s">
        <v>3540</v>
      </c>
      <c r="C579" s="11">
        <v>0</v>
      </c>
      <c r="D579" s="12" t="s">
        <v>108</v>
      </c>
      <c r="E579" s="11">
        <v>1</v>
      </c>
      <c r="F579" s="11"/>
      <c r="G579" s="11" t="s">
        <v>52</v>
      </c>
      <c r="H579" s="11">
        <v>28</v>
      </c>
      <c r="I579" s="11" t="s">
        <v>3568</v>
      </c>
      <c r="J579" s="11" t="s">
        <v>42</v>
      </c>
      <c r="K579" s="11">
        <f>Table1[[#This Row],[ENR]]-Table1[[#This Row],[CREDIT]]</f>
        <v>354429.73</v>
      </c>
      <c r="L579" s="43">
        <v>20000</v>
      </c>
      <c r="M579" s="30">
        <v>374429.73</v>
      </c>
      <c r="N579" s="44" t="s">
        <v>43</v>
      </c>
      <c r="O579" s="29">
        <v>374429.73</v>
      </c>
      <c r="P579" s="29">
        <v>349983.78</v>
      </c>
      <c r="Q579" s="11">
        <v>374429.73</v>
      </c>
      <c r="R579" s="57">
        <v>330990</v>
      </c>
      <c r="S579" s="11" t="s">
        <v>44</v>
      </c>
      <c r="T579" s="11" t="s">
        <v>45</v>
      </c>
      <c r="U579" s="11">
        <v>0</v>
      </c>
      <c r="V579" s="29">
        <f>Table1[[#This Row],[STAB]]-Table1[[#This Row],[AMOUNT]]</f>
        <v>330990</v>
      </c>
      <c r="W579" s="11">
        <v>0</v>
      </c>
      <c r="X579" s="11" t="s">
        <v>83</v>
      </c>
      <c r="Y579" s="11">
        <v>0</v>
      </c>
      <c r="Z579" s="11" t="s">
        <v>85</v>
      </c>
      <c r="AA579" s="43"/>
      <c r="AB579" s="11"/>
      <c r="AC579" s="10" t="s">
        <v>3596</v>
      </c>
      <c r="AD579" s="11" t="s">
        <v>3624</v>
      </c>
      <c r="AE579" s="11" t="s">
        <v>92</v>
      </c>
      <c r="AF579" s="11" t="s">
        <v>54</v>
      </c>
      <c r="AG579" s="11" t="s">
        <v>101</v>
      </c>
      <c r="AH579" s="11" t="s">
        <v>197</v>
      </c>
      <c r="AI579" s="11">
        <v>802370852</v>
      </c>
      <c r="AJ579" s="11" t="s">
        <v>191</v>
      </c>
      <c r="AK579" s="11"/>
      <c r="AL579" s="11"/>
      <c r="AM579" s="12" t="s">
        <v>64</v>
      </c>
      <c r="AN579" s="11" t="s">
        <v>115</v>
      </c>
      <c r="AO579" s="11" t="s">
        <v>3649</v>
      </c>
      <c r="AP579" s="11" t="s">
        <v>3642</v>
      </c>
      <c r="AQ579" s="3">
        <v>46099</v>
      </c>
      <c r="AR579" s="11">
        <v>104000</v>
      </c>
      <c r="AS579" s="11" t="s">
        <v>47</v>
      </c>
      <c r="AT579" s="11" t="s">
        <v>3631</v>
      </c>
      <c r="AU579" s="2">
        <v>46188</v>
      </c>
    </row>
    <row r="580" spans="1:47" x14ac:dyDescent="0.25">
      <c r="A580" s="10" t="s">
        <v>3284</v>
      </c>
      <c r="B580" s="11" t="s">
        <v>3323</v>
      </c>
      <c r="C580" s="11">
        <v>0</v>
      </c>
      <c r="D580" s="12" t="s">
        <v>108</v>
      </c>
      <c r="E580" s="11"/>
      <c r="F580" s="11"/>
      <c r="G580" s="11" t="s">
        <v>90</v>
      </c>
      <c r="H580" s="11">
        <v>28</v>
      </c>
      <c r="I580" s="11" t="s">
        <v>3360</v>
      </c>
      <c r="J580" s="11" t="s">
        <v>42</v>
      </c>
      <c r="K580" s="11">
        <f>Table1[[#This Row],[ENR]]-Table1[[#This Row],[CREDIT]]</f>
        <v>112728.04999999999</v>
      </c>
      <c r="L580" s="43">
        <v>210000</v>
      </c>
      <c r="M580" s="30">
        <v>322728.05</v>
      </c>
      <c r="N580" s="44">
        <v>216932.33</v>
      </c>
      <c r="O580" s="29">
        <v>105795.72</v>
      </c>
      <c r="P580" s="29">
        <v>97002.81</v>
      </c>
      <c r="Q580" s="11">
        <v>78500</v>
      </c>
      <c r="R580" s="57">
        <v>39310</v>
      </c>
      <c r="S580" s="11" t="s">
        <v>44</v>
      </c>
      <c r="T580" s="11" t="s">
        <v>45</v>
      </c>
      <c r="U580" s="11">
        <v>0</v>
      </c>
      <c r="V580" s="29">
        <f>Table1[[#This Row],[STAB]]-Table1[[#This Row],[AMOUNT]]</f>
        <v>39310</v>
      </c>
      <c r="W580" s="11">
        <v>0</v>
      </c>
      <c r="X580" s="11" t="s">
        <v>83</v>
      </c>
      <c r="Y580" s="11">
        <v>0</v>
      </c>
      <c r="Z580" s="11" t="s">
        <v>85</v>
      </c>
      <c r="AA580" s="43" t="s">
        <v>611</v>
      </c>
      <c r="AB580" s="11"/>
      <c r="AC580" s="10" t="s">
        <v>3398</v>
      </c>
      <c r="AD580" s="11" t="s">
        <v>3436</v>
      </c>
      <c r="AE580" s="11" t="s">
        <v>426</v>
      </c>
      <c r="AF580" s="11" t="s">
        <v>439</v>
      </c>
      <c r="AG580" s="11" t="s">
        <v>63</v>
      </c>
      <c r="AH580" s="11" t="s">
        <v>467</v>
      </c>
      <c r="AI580" s="11">
        <v>801570488</v>
      </c>
      <c r="AJ580" s="11" t="s">
        <v>190</v>
      </c>
      <c r="AK580" s="11"/>
      <c r="AL580" s="11"/>
      <c r="AM580" s="12" t="s">
        <v>64</v>
      </c>
      <c r="AN580" s="11" t="s">
        <v>219</v>
      </c>
      <c r="AO580" s="11" t="s">
        <v>3489</v>
      </c>
      <c r="AP580" s="11" t="s">
        <v>3484</v>
      </c>
      <c r="AQ580" s="3">
        <v>45657</v>
      </c>
      <c r="AR580" s="11">
        <v>51660</v>
      </c>
      <c r="AS580" s="11" t="s">
        <v>47</v>
      </c>
      <c r="AT580" s="11" t="s">
        <v>3445</v>
      </c>
      <c r="AU580" s="2">
        <v>46188</v>
      </c>
    </row>
    <row r="581" spans="1:47" x14ac:dyDescent="0.25">
      <c r="A581" s="10" t="s">
        <v>3518</v>
      </c>
      <c r="B581" s="11" t="s">
        <v>3546</v>
      </c>
      <c r="C581" s="11">
        <v>0</v>
      </c>
      <c r="D581" s="12" t="s">
        <v>108</v>
      </c>
      <c r="E581" s="11"/>
      <c r="F581" s="11"/>
      <c r="G581" s="11" t="s">
        <v>52</v>
      </c>
      <c r="H581" s="11">
        <v>28</v>
      </c>
      <c r="I581" s="11" t="s">
        <v>3574</v>
      </c>
      <c r="J581" s="11" t="s">
        <v>42</v>
      </c>
      <c r="K581" s="11">
        <f>Table1[[#This Row],[ENR]]-Table1[[#This Row],[CREDIT]]</f>
        <v>27329.260000000009</v>
      </c>
      <c r="L581" s="43">
        <v>290000</v>
      </c>
      <c r="M581" s="30">
        <v>317329.26</v>
      </c>
      <c r="N581" s="44" t="s">
        <v>43</v>
      </c>
      <c r="O581" s="29">
        <v>317329.26</v>
      </c>
      <c r="P581" s="29">
        <v>289724.82</v>
      </c>
      <c r="Q581" s="11">
        <v>71340</v>
      </c>
      <c r="R581" s="57">
        <v>29040</v>
      </c>
      <c r="S581" s="11" t="s">
        <v>58</v>
      </c>
      <c r="T581" s="11" t="s">
        <v>13</v>
      </c>
      <c r="U581" s="11">
        <v>317329.26</v>
      </c>
      <c r="V581" s="29">
        <f>Table1[[#This Row],[STAB]]-Table1[[#This Row],[AMOUNT]]</f>
        <v>-288289.26</v>
      </c>
      <c r="W581" s="11" t="s">
        <v>3668</v>
      </c>
      <c r="X581" s="11" t="s">
        <v>444</v>
      </c>
      <c r="Y581" s="11" t="s">
        <v>760</v>
      </c>
      <c r="Z581" s="11" t="s">
        <v>85</v>
      </c>
      <c r="AA581" s="43"/>
      <c r="AB581" s="11"/>
      <c r="AC581" s="10" t="s">
        <v>3602</v>
      </c>
      <c r="AD581" s="11" t="s">
        <v>3630</v>
      </c>
      <c r="AE581" s="11" t="s">
        <v>125</v>
      </c>
      <c r="AF581" s="11" t="s">
        <v>127</v>
      </c>
      <c r="AG581" s="11" t="s">
        <v>56</v>
      </c>
      <c r="AH581" s="11" t="s">
        <v>462</v>
      </c>
      <c r="AI581" s="11">
        <v>801448854</v>
      </c>
      <c r="AJ581" s="11" t="s">
        <v>191</v>
      </c>
      <c r="AK581" s="11"/>
      <c r="AL581" s="11"/>
      <c r="AM581" s="12" t="s">
        <v>64</v>
      </c>
      <c r="AN581" s="11"/>
      <c r="AO581" s="11"/>
      <c r="AP581" s="11"/>
      <c r="AQ581" s="3">
        <v>46129</v>
      </c>
      <c r="AR581" s="11">
        <v>54420</v>
      </c>
      <c r="AS581" s="11" t="s">
        <v>1073</v>
      </c>
      <c r="AT581" s="11" t="s">
        <v>3631</v>
      </c>
      <c r="AU581" s="2">
        <v>46188</v>
      </c>
    </row>
    <row r="582" spans="1:47" x14ac:dyDescent="0.25">
      <c r="A582" s="10" t="s">
        <v>3516</v>
      </c>
      <c r="B582" s="11" t="s">
        <v>3544</v>
      </c>
      <c r="C582" s="11">
        <v>0</v>
      </c>
      <c r="D582" s="12" t="s">
        <v>108</v>
      </c>
      <c r="E582" s="11"/>
      <c r="F582" s="11"/>
      <c r="G582" s="11" t="s">
        <v>52</v>
      </c>
      <c r="H582" s="11">
        <v>28</v>
      </c>
      <c r="I582" s="11" t="s">
        <v>3572</v>
      </c>
      <c r="J582" s="11" t="s">
        <v>42</v>
      </c>
      <c r="K582" s="11">
        <f>Table1[[#This Row],[ENR]]-Table1[[#This Row],[CREDIT]]</f>
        <v>-612.70000000001164</v>
      </c>
      <c r="L582" s="43">
        <v>310000</v>
      </c>
      <c r="M582" s="30">
        <v>309387.3</v>
      </c>
      <c r="N582" s="44">
        <v>137171.45000000001</v>
      </c>
      <c r="O582" s="29">
        <v>172215.85</v>
      </c>
      <c r="P582" s="29">
        <v>148835.35</v>
      </c>
      <c r="Q582" s="11">
        <v>53670</v>
      </c>
      <c r="R582" s="57">
        <v>26470</v>
      </c>
      <c r="S582" s="11" t="s">
        <v>44</v>
      </c>
      <c r="T582" s="11" t="s">
        <v>45</v>
      </c>
      <c r="U582" s="11">
        <v>0</v>
      </c>
      <c r="V582" s="29">
        <f>Table1[[#This Row],[STAB]]-Table1[[#This Row],[AMOUNT]]</f>
        <v>26470</v>
      </c>
      <c r="W582" s="11">
        <v>0</v>
      </c>
      <c r="X582" s="11" t="s">
        <v>83</v>
      </c>
      <c r="Y582" s="11">
        <v>0</v>
      </c>
      <c r="Z582" s="11" t="s">
        <v>85</v>
      </c>
      <c r="AA582" s="43"/>
      <c r="AB582" s="11"/>
      <c r="AC582" s="10" t="s">
        <v>3600</v>
      </c>
      <c r="AD582" s="11" t="s">
        <v>3628</v>
      </c>
      <c r="AE582" s="11" t="s">
        <v>218</v>
      </c>
      <c r="AF582" s="11" t="s">
        <v>84</v>
      </c>
      <c r="AG582" s="11" t="s">
        <v>107</v>
      </c>
      <c r="AH582" s="11" t="s">
        <v>88</v>
      </c>
      <c r="AI582" s="11">
        <v>801723195</v>
      </c>
      <c r="AJ582" s="11" t="s">
        <v>191</v>
      </c>
      <c r="AK582" s="11"/>
      <c r="AL582" s="11"/>
      <c r="AM582" s="12" t="s">
        <v>64</v>
      </c>
      <c r="AN582" s="11" t="s">
        <v>219</v>
      </c>
      <c r="AO582" s="11" t="s">
        <v>3669</v>
      </c>
      <c r="AP582" s="11" t="s">
        <v>3668</v>
      </c>
      <c r="AQ582" s="3">
        <v>45694</v>
      </c>
      <c r="AR582" s="11">
        <v>201.96</v>
      </c>
      <c r="AS582" s="11" t="s">
        <v>1493</v>
      </c>
      <c r="AT582" s="11" t="s">
        <v>3631</v>
      </c>
      <c r="AU582" s="2">
        <v>46188</v>
      </c>
    </row>
    <row r="583" spans="1:47" x14ac:dyDescent="0.25">
      <c r="A583" s="10" t="s">
        <v>3283</v>
      </c>
      <c r="B583" s="11" t="s">
        <v>3322</v>
      </c>
      <c r="C583" s="11">
        <v>0</v>
      </c>
      <c r="D583" s="12" t="s">
        <v>108</v>
      </c>
      <c r="E583" s="11"/>
      <c r="F583" s="11"/>
      <c r="G583" s="11" t="s">
        <v>52</v>
      </c>
      <c r="H583" s="11">
        <v>28</v>
      </c>
      <c r="I583" s="11" t="s">
        <v>3359</v>
      </c>
      <c r="J583" s="11" t="s">
        <v>42</v>
      </c>
      <c r="K583" s="11">
        <f>Table1[[#This Row],[ENR]]-Table1[[#This Row],[CREDIT]]</f>
        <v>79272.090000000026</v>
      </c>
      <c r="L583" s="43">
        <v>230000</v>
      </c>
      <c r="M583" s="30">
        <v>309272.09000000003</v>
      </c>
      <c r="N583" s="44">
        <v>188276.66</v>
      </c>
      <c r="O583" s="29">
        <v>120995.43</v>
      </c>
      <c r="P583" s="29">
        <v>104537.8</v>
      </c>
      <c r="Q583" s="11">
        <v>66090</v>
      </c>
      <c r="R583" s="57">
        <v>35480</v>
      </c>
      <c r="S583" s="11" t="s">
        <v>58</v>
      </c>
      <c r="T583" s="11" t="s">
        <v>14</v>
      </c>
      <c r="U583" s="29">
        <v>35500</v>
      </c>
      <c r="V583" s="29">
        <f>Table1[[#This Row],[STAB]]-Table1[[#This Row],[AMOUNT]]</f>
        <v>-20</v>
      </c>
      <c r="W583" s="11" t="s">
        <v>3642</v>
      </c>
      <c r="X583" s="11" t="s">
        <v>451</v>
      </c>
      <c r="Y583" s="11" t="s">
        <v>760</v>
      </c>
      <c r="Z583" s="11" t="s">
        <v>85</v>
      </c>
      <c r="AA583" s="43" t="s">
        <v>447</v>
      </c>
      <c r="AB583" s="11"/>
      <c r="AC583" s="10" t="s">
        <v>3397</v>
      </c>
      <c r="AD583" s="11" t="s">
        <v>3435</v>
      </c>
      <c r="AE583" s="11" t="s">
        <v>604</v>
      </c>
      <c r="AF583" s="11" t="s">
        <v>439</v>
      </c>
      <c r="AG583" s="11" t="s">
        <v>63</v>
      </c>
      <c r="AH583" s="11" t="s">
        <v>467</v>
      </c>
      <c r="AI583" s="11">
        <v>801570488</v>
      </c>
      <c r="AJ583" s="11" t="s">
        <v>190</v>
      </c>
      <c r="AK583" s="11"/>
      <c r="AL583" s="11"/>
      <c r="AM583" s="12" t="s">
        <v>64</v>
      </c>
      <c r="AN583" s="11" t="s">
        <v>115</v>
      </c>
      <c r="AO583" s="11" t="s">
        <v>3643</v>
      </c>
      <c r="AP583" s="11" t="s">
        <v>3642</v>
      </c>
      <c r="AQ583" s="3">
        <v>45540</v>
      </c>
      <c r="AR583" s="11">
        <v>30322.25</v>
      </c>
      <c r="AS583" s="11" t="s">
        <v>47</v>
      </c>
      <c r="AT583" s="11" t="s">
        <v>3445</v>
      </c>
      <c r="AU583" s="2">
        <v>46188</v>
      </c>
    </row>
    <row r="584" spans="1:47" x14ac:dyDescent="0.25">
      <c r="A584" s="10" t="s">
        <v>3511</v>
      </c>
      <c r="B584" s="11" t="s">
        <v>3539</v>
      </c>
      <c r="C584" s="11">
        <v>0</v>
      </c>
      <c r="D584" s="12" t="s">
        <v>108</v>
      </c>
      <c r="E584" s="11"/>
      <c r="F584" s="11"/>
      <c r="G584" s="11" t="s">
        <v>52</v>
      </c>
      <c r="H584" s="11">
        <v>28</v>
      </c>
      <c r="I584" s="11" t="s">
        <v>3567</v>
      </c>
      <c r="J584" s="11" t="s">
        <v>42</v>
      </c>
      <c r="K584" s="11">
        <f>Table1[[#This Row],[ENR]]-Table1[[#This Row],[CREDIT]]</f>
        <v>20315.26999999999</v>
      </c>
      <c r="L584" s="43">
        <v>230000</v>
      </c>
      <c r="M584" s="30">
        <v>250315.27</v>
      </c>
      <c r="N584" s="44">
        <v>44321.66</v>
      </c>
      <c r="O584" s="29">
        <v>205993.61</v>
      </c>
      <c r="P584" s="29">
        <v>183176.86</v>
      </c>
      <c r="Q584" s="11">
        <v>51320</v>
      </c>
      <c r="R584" s="57">
        <v>26580</v>
      </c>
      <c r="S584" s="11" t="s">
        <v>44</v>
      </c>
      <c r="T584" s="11" t="s">
        <v>45</v>
      </c>
      <c r="U584" s="11">
        <v>0</v>
      </c>
      <c r="V584" s="29">
        <f>Table1[[#This Row],[STAB]]-Table1[[#This Row],[AMOUNT]]</f>
        <v>26580</v>
      </c>
      <c r="W584" s="11">
        <v>0</v>
      </c>
      <c r="X584" s="11" t="s">
        <v>83</v>
      </c>
      <c r="Y584" s="11">
        <v>0</v>
      </c>
      <c r="Z584" s="11" t="s">
        <v>85</v>
      </c>
      <c r="AA584" s="43"/>
      <c r="AB584" s="11"/>
      <c r="AC584" s="10" t="s">
        <v>3595</v>
      </c>
      <c r="AD584" s="11" t="s">
        <v>3623</v>
      </c>
      <c r="AE584" s="11" t="s">
        <v>123</v>
      </c>
      <c r="AF584" s="11" t="s">
        <v>127</v>
      </c>
      <c r="AG584" s="11" t="s">
        <v>96</v>
      </c>
      <c r="AH584" s="11" t="s">
        <v>461</v>
      </c>
      <c r="AI584" s="11">
        <v>801436997</v>
      </c>
      <c r="AJ584" s="11" t="s">
        <v>190</v>
      </c>
      <c r="AK584" s="11"/>
      <c r="AL584" s="11"/>
      <c r="AM584" s="12" t="s">
        <v>64</v>
      </c>
      <c r="AN584" s="11" t="s">
        <v>221</v>
      </c>
      <c r="AO584" s="11" t="s">
        <v>3667</v>
      </c>
      <c r="AP584" s="11" t="s">
        <v>3668</v>
      </c>
      <c r="AQ584" s="3">
        <v>45477</v>
      </c>
      <c r="AR584" s="11">
        <v>20201.41</v>
      </c>
      <c r="AS584" s="11" t="s">
        <v>47</v>
      </c>
      <c r="AT584" s="11" t="s">
        <v>3631</v>
      </c>
      <c r="AU584" s="2">
        <v>46188</v>
      </c>
    </row>
    <row r="585" spans="1:47" x14ac:dyDescent="0.25">
      <c r="A585" s="10" t="s">
        <v>3291</v>
      </c>
      <c r="B585" s="11" t="s">
        <v>3329</v>
      </c>
      <c r="C585" s="11">
        <v>0</v>
      </c>
      <c r="D585" s="12" t="s">
        <v>108</v>
      </c>
      <c r="E585" s="11"/>
      <c r="F585" s="11"/>
      <c r="G585" s="11" t="s">
        <v>52</v>
      </c>
      <c r="H585" s="11">
        <v>28</v>
      </c>
      <c r="I585" s="11" t="s">
        <v>3366</v>
      </c>
      <c r="J585" s="11" t="s">
        <v>42</v>
      </c>
      <c r="K585" s="11">
        <f>Table1[[#This Row],[ENR]]-Table1[[#This Row],[CREDIT]]</f>
        <v>19213.119999999995</v>
      </c>
      <c r="L585" s="43">
        <v>230000</v>
      </c>
      <c r="M585" s="30">
        <v>249213.12</v>
      </c>
      <c r="N585" s="44" t="s">
        <v>43</v>
      </c>
      <c r="O585" s="29">
        <v>249213.12</v>
      </c>
      <c r="P585" s="29">
        <v>227993</v>
      </c>
      <c r="Q585" s="11">
        <v>61710</v>
      </c>
      <c r="R585" s="57">
        <v>11400</v>
      </c>
      <c r="S585" s="11" t="s">
        <v>58</v>
      </c>
      <c r="T585" s="11" t="s">
        <v>14</v>
      </c>
      <c r="U585" s="11">
        <v>11400</v>
      </c>
      <c r="V585" s="29">
        <f>Table1[[#This Row],[STAB]]-Table1[[#This Row],[AMOUNT]]</f>
        <v>0</v>
      </c>
      <c r="W585" s="11" t="s">
        <v>3681</v>
      </c>
      <c r="X585" s="11" t="s">
        <v>444</v>
      </c>
      <c r="Y585" s="11">
        <v>0</v>
      </c>
      <c r="Z585" s="11" t="s">
        <v>85</v>
      </c>
      <c r="AA585" s="43" t="s">
        <v>612</v>
      </c>
      <c r="AB585" s="11"/>
      <c r="AC585" s="10" t="s">
        <v>3404</v>
      </c>
      <c r="AD585" s="11" t="s">
        <v>3442</v>
      </c>
      <c r="AE585" s="11" t="s">
        <v>123</v>
      </c>
      <c r="AF585" s="11" t="s">
        <v>127</v>
      </c>
      <c r="AG585" s="11" t="s">
        <v>96</v>
      </c>
      <c r="AH585" s="11" t="s">
        <v>461</v>
      </c>
      <c r="AI585" s="11">
        <v>801436997</v>
      </c>
      <c r="AJ585" s="11" t="s">
        <v>190</v>
      </c>
      <c r="AK585" s="11"/>
      <c r="AL585" s="11"/>
      <c r="AM585" s="12" t="s">
        <v>64</v>
      </c>
      <c r="AN585" s="11" t="s">
        <v>219</v>
      </c>
      <c r="AO585" s="11" t="s">
        <v>3652</v>
      </c>
      <c r="AP585" s="11" t="s">
        <v>3642</v>
      </c>
      <c r="AQ585" s="3">
        <v>45848</v>
      </c>
      <c r="AR585" s="11">
        <v>116717</v>
      </c>
      <c r="AS585" s="11" t="s">
        <v>436</v>
      </c>
      <c r="AT585" s="11" t="s">
        <v>3445</v>
      </c>
      <c r="AU585" s="2">
        <v>46188</v>
      </c>
    </row>
    <row r="586" spans="1:47" x14ac:dyDescent="0.25">
      <c r="A586" s="10" t="s">
        <v>3293</v>
      </c>
      <c r="B586" s="11" t="s">
        <v>3331</v>
      </c>
      <c r="C586" s="11">
        <v>0</v>
      </c>
      <c r="D586" s="12" t="s">
        <v>108</v>
      </c>
      <c r="E586" s="11"/>
      <c r="F586" s="11"/>
      <c r="G586" s="11" t="s">
        <v>52</v>
      </c>
      <c r="H586" s="11">
        <v>28</v>
      </c>
      <c r="I586" s="11" t="s">
        <v>3368</v>
      </c>
      <c r="J586" s="11" t="s">
        <v>42</v>
      </c>
      <c r="K586" s="11">
        <f>Table1[[#This Row],[ENR]]-Table1[[#This Row],[CREDIT]]</f>
        <v>-8097.7999999999884</v>
      </c>
      <c r="L586" s="43">
        <v>240000</v>
      </c>
      <c r="M586" s="30">
        <v>231902.2</v>
      </c>
      <c r="N586" s="44" t="s">
        <v>43</v>
      </c>
      <c r="O586" s="29">
        <v>231902.2</v>
      </c>
      <c r="P586" s="29">
        <v>208022.82</v>
      </c>
      <c r="Q586" s="11">
        <v>34400</v>
      </c>
      <c r="R586" s="57">
        <v>12900</v>
      </c>
      <c r="S586" s="11" t="s">
        <v>58</v>
      </c>
      <c r="T586" s="11" t="s">
        <v>14</v>
      </c>
      <c r="U586" s="29">
        <v>19000</v>
      </c>
      <c r="V586" s="29">
        <f>Table1[[#This Row],[STAB]]-Table1[[#This Row],[AMOUNT]]</f>
        <v>-6100</v>
      </c>
      <c r="W586" s="11" t="s">
        <v>3661</v>
      </c>
      <c r="X586" s="11" t="s">
        <v>444</v>
      </c>
      <c r="Y586" s="11" t="s">
        <v>760</v>
      </c>
      <c r="Z586" s="11" t="s">
        <v>85</v>
      </c>
      <c r="AA586" s="43" t="s">
        <v>613</v>
      </c>
      <c r="AB586" s="11"/>
      <c r="AC586" s="10" t="s">
        <v>3406</v>
      </c>
      <c r="AD586" s="11" t="s">
        <v>3444</v>
      </c>
      <c r="AE586" s="11" t="s">
        <v>123</v>
      </c>
      <c r="AF586" s="11" t="s">
        <v>127</v>
      </c>
      <c r="AG586" s="11" t="s">
        <v>96</v>
      </c>
      <c r="AH586" s="11" t="s">
        <v>461</v>
      </c>
      <c r="AI586" s="11">
        <v>801436997</v>
      </c>
      <c r="AJ586" s="11" t="s">
        <v>190</v>
      </c>
      <c r="AK586" s="11"/>
      <c r="AL586" s="11"/>
      <c r="AM586" s="12" t="s">
        <v>64</v>
      </c>
      <c r="AN586" s="11" t="s">
        <v>219</v>
      </c>
      <c r="AO586" s="11" t="s">
        <v>3666</v>
      </c>
      <c r="AP586" s="11" t="s">
        <v>3661</v>
      </c>
      <c r="AQ586" s="3">
        <v>45491</v>
      </c>
      <c r="AR586" s="11">
        <v>67792.94</v>
      </c>
      <c r="AS586" s="11" t="s">
        <v>48</v>
      </c>
      <c r="AT586" s="11" t="s">
        <v>3445</v>
      </c>
      <c r="AU586" s="2">
        <v>46188</v>
      </c>
    </row>
    <row r="587" spans="1:47" x14ac:dyDescent="0.25">
      <c r="A587" s="10" t="s">
        <v>3273</v>
      </c>
      <c r="B587" s="11" t="s">
        <v>3312</v>
      </c>
      <c r="C587" s="11">
        <v>0</v>
      </c>
      <c r="D587" s="12" t="s">
        <v>108</v>
      </c>
      <c r="E587" s="11"/>
      <c r="F587" s="11"/>
      <c r="G587" s="11" t="s">
        <v>52</v>
      </c>
      <c r="H587" s="11">
        <v>28</v>
      </c>
      <c r="I587" s="11" t="s">
        <v>3350</v>
      </c>
      <c r="J587" s="11" t="s">
        <v>42</v>
      </c>
      <c r="K587" s="11">
        <f>Table1[[#This Row],[ENR]]-Table1[[#This Row],[CREDIT]]</f>
        <v>-32086.309999999998</v>
      </c>
      <c r="L587" s="43">
        <v>200000</v>
      </c>
      <c r="M587" s="30">
        <v>167913.69</v>
      </c>
      <c r="N587" s="44">
        <v>102583.34</v>
      </c>
      <c r="O587" s="29">
        <v>65330.35</v>
      </c>
      <c r="P587" s="29">
        <v>49045.66</v>
      </c>
      <c r="Q587" s="11">
        <v>65330.35</v>
      </c>
      <c r="R587" s="57">
        <v>34074.339999999997</v>
      </c>
      <c r="S587" s="11" t="s">
        <v>58</v>
      </c>
      <c r="T587" s="11" t="s">
        <v>13</v>
      </c>
      <c r="U587" s="11">
        <v>65330.35</v>
      </c>
      <c r="V587" s="29">
        <f>Table1[[#This Row],[STAB]]-Table1[[#This Row],[AMOUNT]]</f>
        <v>-31256.010000000002</v>
      </c>
      <c r="W587" s="11" t="s">
        <v>3673</v>
      </c>
      <c r="X587" s="11" t="s">
        <v>444</v>
      </c>
      <c r="Y587" s="11" t="s">
        <v>760</v>
      </c>
      <c r="Z587" s="11" t="s">
        <v>85</v>
      </c>
      <c r="AA587" s="43" t="s">
        <v>613</v>
      </c>
      <c r="AB587" s="11"/>
      <c r="AC587" s="10" t="s">
        <v>3387</v>
      </c>
      <c r="AD587" s="11" t="s">
        <v>3425</v>
      </c>
      <c r="AE587" s="11" t="s">
        <v>418</v>
      </c>
      <c r="AF587" s="11" t="s">
        <v>54</v>
      </c>
      <c r="AG587" s="11" t="s">
        <v>1086</v>
      </c>
      <c r="AH587" s="11" t="s">
        <v>85</v>
      </c>
      <c r="AI587" s="11">
        <v>801772794</v>
      </c>
      <c r="AJ587" s="11" t="s">
        <v>192</v>
      </c>
      <c r="AK587" s="11"/>
      <c r="AL587" s="11"/>
      <c r="AM587" s="12" t="s">
        <v>64</v>
      </c>
      <c r="AN587" s="11"/>
      <c r="AO587" s="11"/>
      <c r="AP587" s="11"/>
      <c r="AQ587" s="3">
        <v>45957</v>
      </c>
      <c r="AR587" s="11">
        <v>4</v>
      </c>
      <c r="AS587" s="11" t="s">
        <v>1073</v>
      </c>
      <c r="AT587" s="11" t="s">
        <v>3445</v>
      </c>
      <c r="AU587" s="2">
        <v>46188</v>
      </c>
    </row>
    <row r="588" spans="1:47" x14ac:dyDescent="0.25">
      <c r="A588" s="10" t="s">
        <v>3282</v>
      </c>
      <c r="B588" s="11" t="s">
        <v>3321</v>
      </c>
      <c r="C588" s="11">
        <v>0</v>
      </c>
      <c r="D588" s="12" t="s">
        <v>108</v>
      </c>
      <c r="E588" s="11"/>
      <c r="F588" s="11"/>
      <c r="G588" s="11" t="s">
        <v>52</v>
      </c>
      <c r="H588" s="11">
        <v>28</v>
      </c>
      <c r="I588" s="11" t="s">
        <v>1903</v>
      </c>
      <c r="J588" s="11" t="s">
        <v>42</v>
      </c>
      <c r="K588" s="11">
        <f>Table1[[#This Row],[ENR]]-Table1[[#This Row],[CREDIT]]</f>
        <v>-327332.49</v>
      </c>
      <c r="L588" s="43">
        <v>490000</v>
      </c>
      <c r="M588" s="30">
        <v>162667.51</v>
      </c>
      <c r="N588" s="44">
        <v>15741.95</v>
      </c>
      <c r="O588" s="29">
        <v>146925.56</v>
      </c>
      <c r="P588" s="29">
        <v>132384.29</v>
      </c>
      <c r="Q588" s="11">
        <v>31780</v>
      </c>
      <c r="R588" s="57">
        <v>12800</v>
      </c>
      <c r="S588" s="11" t="s">
        <v>44</v>
      </c>
      <c r="T588" s="11" t="s">
        <v>45</v>
      </c>
      <c r="U588" s="11">
        <v>0</v>
      </c>
      <c r="V588" s="29">
        <f>Table1[[#This Row],[STAB]]-Table1[[#This Row],[AMOUNT]]</f>
        <v>12800</v>
      </c>
      <c r="W588" s="11">
        <v>0</v>
      </c>
      <c r="X588" s="11" t="s">
        <v>83</v>
      </c>
      <c r="Y588" s="11">
        <v>0</v>
      </c>
      <c r="Z588" s="11" t="s">
        <v>85</v>
      </c>
      <c r="AA588" s="43" t="s">
        <v>611</v>
      </c>
      <c r="AB588" s="11"/>
      <c r="AC588" s="10" t="s">
        <v>3396</v>
      </c>
      <c r="AD588" s="11" t="s">
        <v>3434</v>
      </c>
      <c r="AE588" s="11" t="s">
        <v>104</v>
      </c>
      <c r="AF588" s="11" t="s">
        <v>54</v>
      </c>
      <c r="AG588" s="11" t="s">
        <v>610</v>
      </c>
      <c r="AH588" s="11" t="s">
        <v>627</v>
      </c>
      <c r="AI588" s="11">
        <v>801772792</v>
      </c>
      <c r="AJ588" s="11" t="s">
        <v>191</v>
      </c>
      <c r="AK588" s="11"/>
      <c r="AL588" s="11"/>
      <c r="AM588" s="12" t="s">
        <v>64</v>
      </c>
      <c r="AN588" s="11" t="s">
        <v>446</v>
      </c>
      <c r="AO588" s="11" t="s">
        <v>3653</v>
      </c>
      <c r="AP588" s="11" t="s">
        <v>3642</v>
      </c>
      <c r="AQ588" s="3" t="s">
        <v>43</v>
      </c>
      <c r="AR588" s="11">
        <v>0</v>
      </c>
      <c r="AS588" s="11" t="s">
        <v>47</v>
      </c>
      <c r="AT588" s="11" t="s">
        <v>3445</v>
      </c>
      <c r="AU588" s="2">
        <v>46188</v>
      </c>
    </row>
    <row r="589" spans="1:47" x14ac:dyDescent="0.25">
      <c r="A589" s="10" t="s">
        <v>3275</v>
      </c>
      <c r="B589" s="11" t="s">
        <v>3314</v>
      </c>
      <c r="C589" s="11">
        <v>0</v>
      </c>
      <c r="D589" s="12" t="s">
        <v>108</v>
      </c>
      <c r="E589" s="11"/>
      <c r="F589" s="11"/>
      <c r="G589" s="11" t="s">
        <v>52</v>
      </c>
      <c r="H589" s="11">
        <v>28</v>
      </c>
      <c r="I589" s="11" t="s">
        <v>3352</v>
      </c>
      <c r="J589" s="11" t="s">
        <v>42</v>
      </c>
      <c r="K589" s="11">
        <f>Table1[[#This Row],[ENR]]-Table1[[#This Row],[CREDIT]]</f>
        <v>73459.91</v>
      </c>
      <c r="L589" s="43">
        <v>80000</v>
      </c>
      <c r="M589" s="30">
        <v>153459.91</v>
      </c>
      <c r="N589" s="44">
        <v>136877.29</v>
      </c>
      <c r="O589" s="29">
        <v>16582.62</v>
      </c>
      <c r="P589" s="29">
        <v>13883.48</v>
      </c>
      <c r="Q589" s="11">
        <v>16582.62</v>
      </c>
      <c r="R589" s="57">
        <v>7466.51</v>
      </c>
      <c r="S589" s="11" t="s">
        <v>44</v>
      </c>
      <c r="T589" s="11" t="s">
        <v>45</v>
      </c>
      <c r="U589" s="11">
        <v>0</v>
      </c>
      <c r="V589" s="29">
        <f>Table1[[#This Row],[STAB]]-Table1[[#This Row],[AMOUNT]]</f>
        <v>7466.51</v>
      </c>
      <c r="W589" s="11">
        <v>0</v>
      </c>
      <c r="X589" s="11" t="s">
        <v>83</v>
      </c>
      <c r="Y589" s="11">
        <v>0</v>
      </c>
      <c r="Z589" s="11" t="s">
        <v>85</v>
      </c>
      <c r="AA589" s="43" t="s">
        <v>613</v>
      </c>
      <c r="AB589" s="11"/>
      <c r="AC589" s="10" t="s">
        <v>3389</v>
      </c>
      <c r="AD589" s="11" t="s">
        <v>3427</v>
      </c>
      <c r="AE589" s="11" t="s">
        <v>92</v>
      </c>
      <c r="AF589" s="11" t="s">
        <v>54</v>
      </c>
      <c r="AG589" s="11" t="s">
        <v>130</v>
      </c>
      <c r="AH589" s="11" t="s">
        <v>469</v>
      </c>
      <c r="AI589" s="11">
        <v>802835406</v>
      </c>
      <c r="AJ589" s="11" t="s">
        <v>99</v>
      </c>
      <c r="AK589" s="11"/>
      <c r="AL589" s="11"/>
      <c r="AM589" s="12" t="s">
        <v>64</v>
      </c>
      <c r="AN589" s="11" t="s">
        <v>219</v>
      </c>
      <c r="AO589" s="11" t="s">
        <v>3674</v>
      </c>
      <c r="AP589" s="11" t="s">
        <v>3673</v>
      </c>
      <c r="AQ589" s="3">
        <v>45915</v>
      </c>
      <c r="AR589" s="11">
        <v>53398.720000000001</v>
      </c>
      <c r="AS589" s="11" t="s">
        <v>48</v>
      </c>
      <c r="AT589" s="11" t="s">
        <v>3445</v>
      </c>
      <c r="AU589" s="2">
        <v>46188</v>
      </c>
    </row>
    <row r="590" spans="1:47" x14ac:dyDescent="0.25">
      <c r="A590" s="10" t="s">
        <v>3286</v>
      </c>
      <c r="B590" s="11" t="s">
        <v>3325</v>
      </c>
      <c r="C590" s="11">
        <v>0</v>
      </c>
      <c r="D590" s="12" t="s">
        <v>108</v>
      </c>
      <c r="E590" s="11"/>
      <c r="F590" s="11"/>
      <c r="G590" s="11" t="s">
        <v>90</v>
      </c>
      <c r="H590" s="11">
        <v>28</v>
      </c>
      <c r="I590" s="11" t="s">
        <v>3362</v>
      </c>
      <c r="J590" s="11" t="s">
        <v>42</v>
      </c>
      <c r="K590" s="11">
        <f>Table1[[#This Row],[ENR]]-Table1[[#This Row],[CREDIT]]</f>
        <v>-127384.77</v>
      </c>
      <c r="L590" s="43">
        <v>250000</v>
      </c>
      <c r="M590" s="30">
        <v>122615.23</v>
      </c>
      <c r="N590" s="44" t="s">
        <v>43</v>
      </c>
      <c r="O590" s="29">
        <v>122615.23</v>
      </c>
      <c r="P590" s="29">
        <v>112985.86</v>
      </c>
      <c r="Q590" s="11">
        <v>110280</v>
      </c>
      <c r="R590" s="57">
        <v>100000</v>
      </c>
      <c r="S590" s="11" t="s">
        <v>58</v>
      </c>
      <c r="T590" s="11" t="s">
        <v>13</v>
      </c>
      <c r="U590" s="11">
        <v>122615</v>
      </c>
      <c r="V590" s="29">
        <f>Table1[[#This Row],[STAB]]-Table1[[#This Row],[AMOUNT]]</f>
        <v>-22615</v>
      </c>
      <c r="W590" s="11" t="s">
        <v>3678</v>
      </c>
      <c r="X590" s="11" t="s">
        <v>444</v>
      </c>
      <c r="Y590" s="11">
        <v>0</v>
      </c>
      <c r="Z590" s="11" t="s">
        <v>85</v>
      </c>
      <c r="AA590" s="43" t="s">
        <v>447</v>
      </c>
      <c r="AB590" s="11"/>
      <c r="AC590" s="10" t="s">
        <v>3400</v>
      </c>
      <c r="AD590" s="11" t="s">
        <v>3438</v>
      </c>
      <c r="AE590" s="11" t="s">
        <v>428</v>
      </c>
      <c r="AF590" s="11" t="s">
        <v>53</v>
      </c>
      <c r="AG590" s="11" t="s">
        <v>55</v>
      </c>
      <c r="AH590" s="11" t="s">
        <v>468</v>
      </c>
      <c r="AI590" s="11">
        <v>802030802</v>
      </c>
      <c r="AJ590" s="11" t="s">
        <v>458</v>
      </c>
      <c r="AK590" s="11"/>
      <c r="AL590" s="11"/>
      <c r="AM590" s="12" t="s">
        <v>64</v>
      </c>
      <c r="AN590" s="11"/>
      <c r="AO590" s="11"/>
      <c r="AP590" s="11"/>
      <c r="AQ590" s="3">
        <v>46067</v>
      </c>
      <c r="AR590" s="11">
        <v>1470</v>
      </c>
      <c r="AS590" s="11" t="s">
        <v>47</v>
      </c>
      <c r="AT590" s="11" t="s">
        <v>3445</v>
      </c>
      <c r="AU590" s="2">
        <v>46188</v>
      </c>
    </row>
    <row r="591" spans="1:47" x14ac:dyDescent="0.25">
      <c r="A591" s="10" t="s">
        <v>3515</v>
      </c>
      <c r="B591" s="11" t="s">
        <v>3543</v>
      </c>
      <c r="C591" s="11">
        <v>0</v>
      </c>
      <c r="D591" s="12" t="s">
        <v>108</v>
      </c>
      <c r="E591" s="11"/>
      <c r="F591" s="11"/>
      <c r="G591" s="11" t="s">
        <v>52</v>
      </c>
      <c r="H591" s="11">
        <v>28</v>
      </c>
      <c r="I591" s="11" t="s">
        <v>3571</v>
      </c>
      <c r="J591" s="11" t="s">
        <v>42</v>
      </c>
      <c r="K591" s="11">
        <f>Table1[[#This Row],[ENR]]-Table1[[#This Row],[CREDIT]]</f>
        <v>16834.149999999994</v>
      </c>
      <c r="L591" s="43">
        <v>93000</v>
      </c>
      <c r="M591" s="30">
        <v>109834.15</v>
      </c>
      <c r="N591" s="44">
        <v>5879.66</v>
      </c>
      <c r="O591" s="29">
        <v>103954.49</v>
      </c>
      <c r="P591" s="29">
        <v>97423.21</v>
      </c>
      <c r="Q591" s="11">
        <v>20600</v>
      </c>
      <c r="R591" s="57">
        <v>6200</v>
      </c>
      <c r="S591" s="11" t="s">
        <v>58</v>
      </c>
      <c r="T591" s="11" t="s">
        <v>13</v>
      </c>
      <c r="U591" s="11">
        <v>20600</v>
      </c>
      <c r="V591" s="29">
        <f>Table1[[#This Row],[STAB]]-Table1[[#This Row],[AMOUNT]]</f>
        <v>-14400</v>
      </c>
      <c r="W591" s="11">
        <v>0</v>
      </c>
      <c r="X591" s="11" t="s">
        <v>761</v>
      </c>
      <c r="Y591" s="11" t="s">
        <v>1085</v>
      </c>
      <c r="Z591" s="11" t="s">
        <v>85</v>
      </c>
      <c r="AA591" s="43"/>
      <c r="AB591" s="11"/>
      <c r="AC591" s="10" t="s">
        <v>3599</v>
      </c>
      <c r="AD591" s="11" t="s">
        <v>3627</v>
      </c>
      <c r="AE591" s="11" t="s">
        <v>123</v>
      </c>
      <c r="AF591" s="11" t="s">
        <v>127</v>
      </c>
      <c r="AG591" s="11" t="s">
        <v>96</v>
      </c>
      <c r="AH591" s="11" t="s">
        <v>461</v>
      </c>
      <c r="AI591" s="11">
        <v>801436997</v>
      </c>
      <c r="AJ591" s="11" t="s">
        <v>190</v>
      </c>
      <c r="AK591" s="11"/>
      <c r="AL591" s="11"/>
      <c r="AM591" s="12" t="s">
        <v>64</v>
      </c>
      <c r="AN591" s="11"/>
      <c r="AO591" s="11"/>
      <c r="AP591" s="11"/>
      <c r="AQ591" s="3">
        <v>46158</v>
      </c>
      <c r="AR591" s="11">
        <v>1000</v>
      </c>
      <c r="AS591" s="11" t="s">
        <v>435</v>
      </c>
      <c r="AT591" s="11" t="s">
        <v>3631</v>
      </c>
      <c r="AU591" s="2">
        <v>46188</v>
      </c>
    </row>
    <row r="592" spans="1:47" x14ac:dyDescent="0.25">
      <c r="A592" s="10" t="s">
        <v>3276</v>
      </c>
      <c r="B592" s="11" t="s">
        <v>3315</v>
      </c>
      <c r="C592" s="11">
        <v>0</v>
      </c>
      <c r="D592" s="12" t="s">
        <v>108</v>
      </c>
      <c r="E592" s="11"/>
      <c r="F592" s="11"/>
      <c r="G592" s="11" t="s">
        <v>52</v>
      </c>
      <c r="H592" s="11">
        <v>28</v>
      </c>
      <c r="I592" s="11" t="s">
        <v>3353</v>
      </c>
      <c r="J592" s="11" t="s">
        <v>42</v>
      </c>
      <c r="K592" s="11">
        <f>Table1[[#This Row],[ENR]]-Table1[[#This Row],[CREDIT]]</f>
        <v>3805.6600000000035</v>
      </c>
      <c r="L592" s="43">
        <v>100000</v>
      </c>
      <c r="M592" s="30">
        <v>103805.66</v>
      </c>
      <c r="N592" s="44" t="s">
        <v>43</v>
      </c>
      <c r="O592" s="29">
        <v>103805.66</v>
      </c>
      <c r="P592" s="29">
        <v>95253.05</v>
      </c>
      <c r="Q592" s="11">
        <v>29330</v>
      </c>
      <c r="R592" s="57">
        <v>15600</v>
      </c>
      <c r="S592" s="11" t="s">
        <v>44</v>
      </c>
      <c r="T592" s="11" t="s">
        <v>45</v>
      </c>
      <c r="U592" s="11">
        <v>0</v>
      </c>
      <c r="V592" s="29">
        <f>Table1[[#This Row],[STAB]]-Table1[[#This Row],[AMOUNT]]</f>
        <v>15600</v>
      </c>
      <c r="W592" s="11">
        <v>0</v>
      </c>
      <c r="X592" s="11" t="s">
        <v>83</v>
      </c>
      <c r="Y592" s="11">
        <v>0</v>
      </c>
      <c r="Z592" s="11" t="s">
        <v>85</v>
      </c>
      <c r="AA592" s="43" t="s">
        <v>447</v>
      </c>
      <c r="AB592" s="11"/>
      <c r="AC592" s="10" t="s">
        <v>3390</v>
      </c>
      <c r="AD592" s="11" t="s">
        <v>3428</v>
      </c>
      <c r="AE592" s="11" t="s">
        <v>2147</v>
      </c>
      <c r="AF592" s="11" t="s">
        <v>127</v>
      </c>
      <c r="AG592" s="11" t="s">
        <v>57</v>
      </c>
      <c r="AH592" s="11" t="s">
        <v>464</v>
      </c>
      <c r="AI592" s="11">
        <v>802852449</v>
      </c>
      <c r="AJ592" s="11" t="s">
        <v>190</v>
      </c>
      <c r="AK592" s="11"/>
      <c r="AL592" s="11"/>
      <c r="AM592" s="12" t="s">
        <v>64</v>
      </c>
      <c r="AN592" s="11" t="s">
        <v>115</v>
      </c>
      <c r="AO592" s="11" t="s">
        <v>3679</v>
      </c>
      <c r="AP592" s="11" t="s">
        <v>3678</v>
      </c>
      <c r="AQ592" s="3">
        <v>45486</v>
      </c>
      <c r="AR592" s="11">
        <v>22551.24</v>
      </c>
      <c r="AS592" s="11" t="s">
        <v>430</v>
      </c>
      <c r="AT592" s="11" t="s">
        <v>3445</v>
      </c>
      <c r="AU592" s="2">
        <v>46188</v>
      </c>
    </row>
    <row r="593" spans="1:47" x14ac:dyDescent="0.25">
      <c r="A593" s="10" t="s">
        <v>3281</v>
      </c>
      <c r="B593" s="11" t="s">
        <v>3320</v>
      </c>
      <c r="C593" s="11">
        <v>0</v>
      </c>
      <c r="D593" s="12" t="s">
        <v>108</v>
      </c>
      <c r="E593" s="11"/>
      <c r="F593" s="11"/>
      <c r="G593" s="11" t="s">
        <v>52</v>
      </c>
      <c r="H593" s="11">
        <v>28</v>
      </c>
      <c r="I593" s="11" t="s">
        <v>3358</v>
      </c>
      <c r="J593" s="11" t="s">
        <v>42</v>
      </c>
      <c r="K593" s="11">
        <f>Table1[[#This Row],[ENR]]-Table1[[#This Row],[CREDIT]]</f>
        <v>-48977.7</v>
      </c>
      <c r="L593" s="43">
        <v>150000</v>
      </c>
      <c r="M593" s="30">
        <v>101022.3</v>
      </c>
      <c r="N593" s="44" t="s">
        <v>43</v>
      </c>
      <c r="O593" s="29">
        <v>101022.3</v>
      </c>
      <c r="P593" s="29">
        <v>91349.55</v>
      </c>
      <c r="Q593" s="11">
        <v>15530</v>
      </c>
      <c r="R593" s="57">
        <v>5350</v>
      </c>
      <c r="S593" s="11" t="s">
        <v>58</v>
      </c>
      <c r="T593" s="11" t="s">
        <v>14</v>
      </c>
      <c r="U593" s="29">
        <v>5360</v>
      </c>
      <c r="V593" s="29">
        <f>Table1[[#This Row],[STAB]]-Table1[[#This Row],[AMOUNT]]</f>
        <v>-10</v>
      </c>
      <c r="W593" s="11" t="s">
        <v>3668</v>
      </c>
      <c r="X593" s="11" t="s">
        <v>444</v>
      </c>
      <c r="Y593" s="11" t="s">
        <v>760</v>
      </c>
      <c r="Z593" s="11" t="s">
        <v>85</v>
      </c>
      <c r="AA593" s="43" t="s">
        <v>612</v>
      </c>
      <c r="AB593" s="11"/>
      <c r="AC593" s="10" t="s">
        <v>3395</v>
      </c>
      <c r="AD593" s="11" t="s">
        <v>3433</v>
      </c>
      <c r="AE593" s="11" t="s">
        <v>92</v>
      </c>
      <c r="AF593" s="11" t="s">
        <v>54</v>
      </c>
      <c r="AG593" s="11" t="s">
        <v>3471</v>
      </c>
      <c r="AH593" s="11" t="s">
        <v>193</v>
      </c>
      <c r="AI593" s="11">
        <v>802824019</v>
      </c>
      <c r="AJ593" s="11" t="s">
        <v>189</v>
      </c>
      <c r="AK593" s="11"/>
      <c r="AL593" s="11"/>
      <c r="AM593" s="12" t="s">
        <v>64</v>
      </c>
      <c r="AN593" s="11"/>
      <c r="AO593" s="11"/>
      <c r="AP593" s="11"/>
      <c r="AQ593" s="3">
        <v>45762</v>
      </c>
      <c r="AR593" s="11">
        <v>6340</v>
      </c>
      <c r="AS593" s="11" t="s">
        <v>47</v>
      </c>
      <c r="AT593" s="11" t="s">
        <v>3445</v>
      </c>
      <c r="AU593" s="2">
        <v>46188</v>
      </c>
    </row>
    <row r="594" spans="1:47" x14ac:dyDescent="0.25">
      <c r="A594" s="10" t="s">
        <v>3285</v>
      </c>
      <c r="B594" s="11" t="s">
        <v>3324</v>
      </c>
      <c r="C594" s="11">
        <v>0</v>
      </c>
      <c r="D594" s="12" t="s">
        <v>108</v>
      </c>
      <c r="E594" s="11"/>
      <c r="F594" s="11"/>
      <c r="G594" s="11" t="s">
        <v>52</v>
      </c>
      <c r="H594" s="11">
        <v>28</v>
      </c>
      <c r="I594" s="11" t="s">
        <v>3361</v>
      </c>
      <c r="J594" s="11" t="s">
        <v>42</v>
      </c>
      <c r="K594" s="11">
        <f>Table1[[#This Row],[ENR]]-Table1[[#This Row],[CREDIT]]</f>
        <v>8636.8800000000047</v>
      </c>
      <c r="L594" s="43">
        <v>90000</v>
      </c>
      <c r="M594" s="30">
        <v>98636.88</v>
      </c>
      <c r="N594" s="44" t="s">
        <v>43</v>
      </c>
      <c r="O594" s="29">
        <v>98636.88</v>
      </c>
      <c r="P594" s="29">
        <v>87067.24</v>
      </c>
      <c r="Q594" s="11">
        <v>35280</v>
      </c>
      <c r="R594" s="57">
        <v>24540</v>
      </c>
      <c r="S594" s="11" t="s">
        <v>44</v>
      </c>
      <c r="T594" s="11" t="s">
        <v>45</v>
      </c>
      <c r="U594" s="11">
        <v>0</v>
      </c>
      <c r="V594" s="29">
        <f>Table1[[#This Row],[STAB]]-Table1[[#This Row],[AMOUNT]]</f>
        <v>24540</v>
      </c>
      <c r="W594" s="11">
        <v>0</v>
      </c>
      <c r="X594" s="11" t="s">
        <v>83</v>
      </c>
      <c r="Y594" s="11">
        <v>0</v>
      </c>
      <c r="Z594" s="11" t="s">
        <v>88</v>
      </c>
      <c r="AA594" s="43" t="s">
        <v>91</v>
      </c>
      <c r="AB594" s="11"/>
      <c r="AC594" s="10" t="s">
        <v>3399</v>
      </c>
      <c r="AD594" s="11" t="s">
        <v>3437</v>
      </c>
      <c r="AE594" s="11" t="s">
        <v>747</v>
      </c>
      <c r="AF594" s="11" t="s">
        <v>84</v>
      </c>
      <c r="AG594" s="11" t="s">
        <v>116</v>
      </c>
      <c r="AH594" s="11" t="s">
        <v>88</v>
      </c>
      <c r="AI594" s="11">
        <v>801723195</v>
      </c>
      <c r="AJ594" s="11" t="s">
        <v>191</v>
      </c>
      <c r="AK594" s="11"/>
      <c r="AL594" s="11"/>
      <c r="AM594" s="12" t="s">
        <v>46</v>
      </c>
      <c r="AN594" s="11"/>
      <c r="AO594" s="11"/>
      <c r="AP594" s="11"/>
      <c r="AQ594" s="3">
        <v>45285</v>
      </c>
      <c r="AR594" s="11">
        <v>12000</v>
      </c>
      <c r="AS594" s="11" t="s">
        <v>47</v>
      </c>
      <c r="AT594" s="11" t="s">
        <v>3445</v>
      </c>
      <c r="AU594" s="2">
        <v>46188</v>
      </c>
    </row>
    <row r="595" spans="1:47" x14ac:dyDescent="0.25">
      <c r="A595" s="10" t="s">
        <v>3280</v>
      </c>
      <c r="B595" s="11" t="s">
        <v>3319</v>
      </c>
      <c r="C595" s="11">
        <v>0</v>
      </c>
      <c r="D595" s="12" t="s">
        <v>108</v>
      </c>
      <c r="E595" s="11"/>
      <c r="F595" s="11"/>
      <c r="G595" s="11" t="s">
        <v>52</v>
      </c>
      <c r="H595" s="11">
        <v>28</v>
      </c>
      <c r="I595" s="11" t="s">
        <v>3357</v>
      </c>
      <c r="J595" s="11" t="s">
        <v>42</v>
      </c>
      <c r="K595" s="11">
        <f>Table1[[#This Row],[ENR]]-Table1[[#This Row],[CREDIT]]</f>
        <v>8582.3099999999977</v>
      </c>
      <c r="L595" s="43">
        <v>90000</v>
      </c>
      <c r="M595" s="30">
        <v>98582.31</v>
      </c>
      <c r="N595" s="44">
        <v>6020.84</v>
      </c>
      <c r="O595" s="29">
        <v>92561.47</v>
      </c>
      <c r="P595" s="29">
        <v>83276.61</v>
      </c>
      <c r="Q595" s="11">
        <v>17780</v>
      </c>
      <c r="R595" s="57">
        <v>5440</v>
      </c>
      <c r="S595" s="11" t="s">
        <v>44</v>
      </c>
      <c r="T595" s="11" t="s">
        <v>45</v>
      </c>
      <c r="U595" s="11">
        <v>0</v>
      </c>
      <c r="V595" s="29">
        <f>Table1[[#This Row],[STAB]]-Table1[[#This Row],[AMOUNT]]</f>
        <v>5440</v>
      </c>
      <c r="W595" s="11">
        <v>0</v>
      </c>
      <c r="X595" s="11" t="s">
        <v>83</v>
      </c>
      <c r="Y595" s="11">
        <v>0</v>
      </c>
      <c r="Z595" s="11" t="s">
        <v>85</v>
      </c>
      <c r="AA595" s="43" t="s">
        <v>447</v>
      </c>
      <c r="AB595" s="11"/>
      <c r="AC595" s="10" t="s">
        <v>3394</v>
      </c>
      <c r="AD595" s="11" t="s">
        <v>3432</v>
      </c>
      <c r="AE595" s="11" t="s">
        <v>414</v>
      </c>
      <c r="AF595" s="11" t="s">
        <v>127</v>
      </c>
      <c r="AG595" s="11" t="s">
        <v>106</v>
      </c>
      <c r="AH595" s="11" t="s">
        <v>460</v>
      </c>
      <c r="AI595" s="11">
        <v>802913252</v>
      </c>
      <c r="AJ595" s="11" t="s">
        <v>190</v>
      </c>
      <c r="AK595" s="11"/>
      <c r="AL595" s="11"/>
      <c r="AM595" s="12" t="s">
        <v>64</v>
      </c>
      <c r="AN595" s="11" t="s">
        <v>219</v>
      </c>
      <c r="AO595" s="11" t="s">
        <v>3175</v>
      </c>
      <c r="AP595" s="11" t="s">
        <v>3642</v>
      </c>
      <c r="AQ595" s="3">
        <v>46130</v>
      </c>
      <c r="AR595" s="11">
        <v>200</v>
      </c>
      <c r="AS595" s="11" t="s">
        <v>47</v>
      </c>
      <c r="AT595" s="11" t="s">
        <v>3445</v>
      </c>
      <c r="AU595" s="2">
        <v>46188</v>
      </c>
    </row>
    <row r="596" spans="1:47" x14ac:dyDescent="0.25">
      <c r="A596" s="10" t="s">
        <v>3289</v>
      </c>
      <c r="B596" s="11" t="s">
        <v>3327</v>
      </c>
      <c r="C596" s="11">
        <v>0</v>
      </c>
      <c r="D596" s="12" t="s">
        <v>108</v>
      </c>
      <c r="E596" s="11"/>
      <c r="F596" s="11"/>
      <c r="G596" s="11" t="s">
        <v>90</v>
      </c>
      <c r="H596" s="11">
        <v>28</v>
      </c>
      <c r="I596" s="11" t="s">
        <v>3364</v>
      </c>
      <c r="J596" s="11" t="s">
        <v>42</v>
      </c>
      <c r="K596" s="11">
        <f>Table1[[#This Row],[ENR]]-Table1[[#This Row],[CREDIT]]</f>
        <v>-4045.5500000000029</v>
      </c>
      <c r="L596" s="43">
        <v>100000</v>
      </c>
      <c r="M596" s="30">
        <v>95954.45</v>
      </c>
      <c r="N596" s="44" t="s">
        <v>43</v>
      </c>
      <c r="O596" s="29">
        <v>95954.45</v>
      </c>
      <c r="P596" s="29">
        <v>87594.23</v>
      </c>
      <c r="Q596" s="11">
        <v>26180</v>
      </c>
      <c r="R596" s="57">
        <v>17820</v>
      </c>
      <c r="S596" s="11" t="s">
        <v>58</v>
      </c>
      <c r="T596" s="11" t="s">
        <v>13</v>
      </c>
      <c r="U596" s="11">
        <v>95954.45</v>
      </c>
      <c r="V596" s="29">
        <f>Table1[[#This Row],[STAB]]-Table1[[#This Row],[AMOUNT]]</f>
        <v>-78134.45</v>
      </c>
      <c r="W596" s="11" t="s">
        <v>3484</v>
      </c>
      <c r="X596" s="11" t="s">
        <v>444</v>
      </c>
      <c r="Y596" s="11" t="s">
        <v>1084</v>
      </c>
      <c r="Z596" s="11" t="s">
        <v>85</v>
      </c>
      <c r="AA596" s="43" t="s">
        <v>612</v>
      </c>
      <c r="AB596" s="11"/>
      <c r="AC596" s="10" t="s">
        <v>3402</v>
      </c>
      <c r="AD596" s="11" t="s">
        <v>3440</v>
      </c>
      <c r="AE596" s="11" t="s">
        <v>92</v>
      </c>
      <c r="AF596" s="11" t="s">
        <v>54</v>
      </c>
      <c r="AG596" s="11" t="s">
        <v>101</v>
      </c>
      <c r="AH596" s="11" t="s">
        <v>197</v>
      </c>
      <c r="AI596" s="11">
        <v>802370852</v>
      </c>
      <c r="AJ596" s="11" t="s">
        <v>191</v>
      </c>
      <c r="AK596" s="11"/>
      <c r="AL596" s="11"/>
      <c r="AM596" s="12" t="s">
        <v>64</v>
      </c>
      <c r="AN596" s="11"/>
      <c r="AO596" s="11"/>
      <c r="AP596" s="11"/>
      <c r="AQ596" s="3">
        <v>46168</v>
      </c>
      <c r="AR596" s="11">
        <v>12850</v>
      </c>
      <c r="AS596" s="11" t="s">
        <v>435</v>
      </c>
      <c r="AT596" s="11" t="s">
        <v>3445</v>
      </c>
      <c r="AU596" s="2">
        <v>46188</v>
      </c>
    </row>
    <row r="597" spans="1:47" x14ac:dyDescent="0.25">
      <c r="A597" s="10" t="s">
        <v>3272</v>
      </c>
      <c r="B597" s="11" t="s">
        <v>3311</v>
      </c>
      <c r="C597" s="11">
        <v>0</v>
      </c>
      <c r="D597" s="12" t="s">
        <v>108</v>
      </c>
      <c r="E597" s="11"/>
      <c r="F597" s="11"/>
      <c r="G597" s="11" t="s">
        <v>52</v>
      </c>
      <c r="H597" s="11">
        <v>28</v>
      </c>
      <c r="I597" s="11" t="s">
        <v>3349</v>
      </c>
      <c r="J597" s="11" t="s">
        <v>791</v>
      </c>
      <c r="K597" s="11">
        <f>Table1[[#This Row],[ENR]]-Table1[[#This Row],[CREDIT]]</f>
        <v>-69847.27</v>
      </c>
      <c r="L597" s="43">
        <v>156000</v>
      </c>
      <c r="M597" s="30">
        <v>86152.73</v>
      </c>
      <c r="N597" s="44" t="s">
        <v>43</v>
      </c>
      <c r="O597" s="29">
        <v>86152.73</v>
      </c>
      <c r="P597" s="29">
        <v>78490.34</v>
      </c>
      <c r="Q597" s="11">
        <v>54060</v>
      </c>
      <c r="R597" s="57">
        <v>48780</v>
      </c>
      <c r="S597" s="11" t="s">
        <v>58</v>
      </c>
      <c r="T597" s="11" t="s">
        <v>14</v>
      </c>
      <c r="U597" s="11">
        <v>48900</v>
      </c>
      <c r="V597" s="29">
        <f>Table1[[#This Row],[STAB]]-Table1[[#This Row],[AMOUNT]]</f>
        <v>-120</v>
      </c>
      <c r="W597" s="11" t="s">
        <v>3681</v>
      </c>
      <c r="X597" s="11" t="s">
        <v>451</v>
      </c>
      <c r="Y597" s="11" t="s">
        <v>760</v>
      </c>
      <c r="Z597" s="11" t="s">
        <v>85</v>
      </c>
      <c r="AA597" s="43" t="s">
        <v>611</v>
      </c>
      <c r="AB597" s="11"/>
      <c r="AC597" s="10" t="s">
        <v>3386</v>
      </c>
      <c r="AD597" s="11" t="s">
        <v>3424</v>
      </c>
      <c r="AE597" s="11" t="s">
        <v>429</v>
      </c>
      <c r="AF597" s="11" t="s">
        <v>54</v>
      </c>
      <c r="AG597" s="11" t="s">
        <v>95</v>
      </c>
      <c r="AH597" s="11" t="s">
        <v>465</v>
      </c>
      <c r="AI597" s="11">
        <v>802823175</v>
      </c>
      <c r="AJ597" s="11" t="s">
        <v>191</v>
      </c>
      <c r="AK597" s="11"/>
      <c r="AL597" s="11"/>
      <c r="AM597" s="12" t="s">
        <v>46</v>
      </c>
      <c r="AN597" s="11"/>
      <c r="AO597" s="11"/>
      <c r="AP597" s="11"/>
      <c r="AQ597" s="3">
        <v>46009</v>
      </c>
      <c r="AR597" s="11">
        <v>5200</v>
      </c>
      <c r="AS597" s="11" t="s">
        <v>1073</v>
      </c>
      <c r="AT597" s="11" t="s">
        <v>3445</v>
      </c>
      <c r="AU597" s="2">
        <v>46188</v>
      </c>
    </row>
    <row r="598" spans="1:47" x14ac:dyDescent="0.25">
      <c r="A598" s="10" t="s">
        <v>3277</v>
      </c>
      <c r="B598" s="11" t="s">
        <v>3316</v>
      </c>
      <c r="C598" s="11">
        <v>0</v>
      </c>
      <c r="D598" s="12" t="s">
        <v>108</v>
      </c>
      <c r="E598" s="11"/>
      <c r="F598" s="11"/>
      <c r="G598" s="11" t="s">
        <v>52</v>
      </c>
      <c r="H598" s="11">
        <v>28</v>
      </c>
      <c r="I598" s="11" t="s">
        <v>3354</v>
      </c>
      <c r="J598" s="11" t="s">
        <v>42</v>
      </c>
      <c r="K598" s="11">
        <f>Table1[[#This Row],[ENR]]-Table1[[#This Row],[CREDIT]]</f>
        <v>8435.7899999999936</v>
      </c>
      <c r="L598" s="43">
        <v>60000</v>
      </c>
      <c r="M598" s="30">
        <v>68435.789999999994</v>
      </c>
      <c r="N598" s="44" t="s">
        <v>43</v>
      </c>
      <c r="O598" s="29">
        <v>68435.789999999994</v>
      </c>
      <c r="P598" s="29">
        <v>59937.120000000003</v>
      </c>
      <c r="Q598" s="11">
        <v>20160</v>
      </c>
      <c r="R598" s="57">
        <v>6070</v>
      </c>
      <c r="S598" s="11" t="s">
        <v>44</v>
      </c>
      <c r="T598" s="11" t="s">
        <v>45</v>
      </c>
      <c r="U598" s="11">
        <v>0</v>
      </c>
      <c r="V598" s="29">
        <f>Table1[[#This Row],[STAB]]-Table1[[#This Row],[AMOUNT]]</f>
        <v>6070</v>
      </c>
      <c r="W598" s="11">
        <v>0</v>
      </c>
      <c r="X598" s="11" t="s">
        <v>83</v>
      </c>
      <c r="Y598" s="11">
        <v>0</v>
      </c>
      <c r="Z598" s="11" t="s">
        <v>85</v>
      </c>
      <c r="AA598" s="43" t="s">
        <v>612</v>
      </c>
      <c r="AB598" s="11"/>
      <c r="AC598" s="10" t="s">
        <v>3391</v>
      </c>
      <c r="AD598" s="11" t="s">
        <v>3429</v>
      </c>
      <c r="AE598" s="11" t="s">
        <v>415</v>
      </c>
      <c r="AF598" s="11" t="s">
        <v>53</v>
      </c>
      <c r="AG598" s="11" t="s">
        <v>105</v>
      </c>
      <c r="AH598" s="11" t="s">
        <v>85</v>
      </c>
      <c r="AI598" s="11">
        <v>801772794</v>
      </c>
      <c r="AJ598" s="11" t="s">
        <v>192</v>
      </c>
      <c r="AK598" s="11"/>
      <c r="AL598" s="11"/>
      <c r="AM598" s="12" t="s">
        <v>64</v>
      </c>
      <c r="AN598" s="11" t="s">
        <v>115</v>
      </c>
      <c r="AO598" s="11" t="s">
        <v>3680</v>
      </c>
      <c r="AP598" s="11" t="s">
        <v>3678</v>
      </c>
      <c r="AQ598" s="3">
        <v>46136</v>
      </c>
      <c r="AR598" s="11">
        <v>230</v>
      </c>
      <c r="AS598" s="11" t="s">
        <v>1493</v>
      </c>
      <c r="AT598" s="11" t="s">
        <v>3445</v>
      </c>
      <c r="AU598" s="2">
        <v>46188</v>
      </c>
    </row>
    <row r="599" spans="1:47" x14ac:dyDescent="0.25">
      <c r="A599" s="10" t="s">
        <v>3279</v>
      </c>
      <c r="B599" s="11" t="s">
        <v>3318</v>
      </c>
      <c r="C599" s="11">
        <v>0</v>
      </c>
      <c r="D599" s="12" t="s">
        <v>108</v>
      </c>
      <c r="E599" s="11"/>
      <c r="F599" s="11"/>
      <c r="G599" s="11" t="s">
        <v>52</v>
      </c>
      <c r="H599" s="11">
        <v>28</v>
      </c>
      <c r="I599" s="11" t="s">
        <v>3356</v>
      </c>
      <c r="J599" s="11" t="s">
        <v>42</v>
      </c>
      <c r="K599" s="11">
        <f>Table1[[#This Row],[ENR]]-Table1[[#This Row],[CREDIT]]</f>
        <v>46789.020000000004</v>
      </c>
      <c r="L599" s="43">
        <v>20000</v>
      </c>
      <c r="M599" s="30">
        <v>66789.02</v>
      </c>
      <c r="N599" s="44">
        <v>58087.13</v>
      </c>
      <c r="O599" s="29">
        <v>8701.89</v>
      </c>
      <c r="P599" s="29">
        <v>5947.37</v>
      </c>
      <c r="Q599" s="11">
        <v>8701.89</v>
      </c>
      <c r="R599" s="57">
        <v>4337.28</v>
      </c>
      <c r="S599" s="11" t="s">
        <v>58</v>
      </c>
      <c r="T599" s="11" t="s">
        <v>13</v>
      </c>
      <c r="U599" s="11">
        <v>8701.89</v>
      </c>
      <c r="V599" s="29">
        <f>Table1[[#This Row],[STAB]]-Table1[[#This Row],[AMOUNT]]</f>
        <v>-4364.6099999999997</v>
      </c>
      <c r="W599" s="11" t="s">
        <v>3664</v>
      </c>
      <c r="X599" s="11" t="s">
        <v>444</v>
      </c>
      <c r="Y599" s="11" t="s">
        <v>760</v>
      </c>
      <c r="Z599" s="11" t="s">
        <v>85</v>
      </c>
      <c r="AA599" s="43" t="s">
        <v>612</v>
      </c>
      <c r="AB599" s="11"/>
      <c r="AC599" s="10" t="s">
        <v>3393</v>
      </c>
      <c r="AD599" s="11" t="s">
        <v>3431</v>
      </c>
      <c r="AE599" s="11" t="s">
        <v>746</v>
      </c>
      <c r="AF599" s="11" t="s">
        <v>53</v>
      </c>
      <c r="AG599" s="11" t="s">
        <v>3469</v>
      </c>
      <c r="AH599" s="11" t="s">
        <v>752</v>
      </c>
      <c r="AI599" s="11">
        <v>802241455</v>
      </c>
      <c r="AJ599" s="11" t="s">
        <v>191</v>
      </c>
      <c r="AK599" s="11"/>
      <c r="AL599" s="11"/>
      <c r="AM599" s="12" t="s">
        <v>64</v>
      </c>
      <c r="AN599" s="11"/>
      <c r="AO599" s="11"/>
      <c r="AP599" s="11"/>
      <c r="AQ599" s="3">
        <v>45485</v>
      </c>
      <c r="AR599" s="11">
        <v>47000</v>
      </c>
      <c r="AS599" s="11" t="s">
        <v>47</v>
      </c>
      <c r="AT599" s="11" t="s">
        <v>3445</v>
      </c>
      <c r="AU599" s="2">
        <v>46188</v>
      </c>
    </row>
    <row r="600" spans="1:47" x14ac:dyDescent="0.25">
      <c r="A600" s="10" t="s">
        <v>3287</v>
      </c>
      <c r="B600" s="11" t="s">
        <v>3320</v>
      </c>
      <c r="C600" s="11">
        <v>0</v>
      </c>
      <c r="D600" s="12" t="s">
        <v>108</v>
      </c>
      <c r="E600" s="11"/>
      <c r="F600" s="11"/>
      <c r="G600" s="11" t="s">
        <v>52</v>
      </c>
      <c r="H600" s="11">
        <v>28</v>
      </c>
      <c r="I600" s="11" t="s">
        <v>3358</v>
      </c>
      <c r="J600" s="11" t="s">
        <v>42</v>
      </c>
      <c r="K600" s="11">
        <f>Table1[[#This Row],[ENR]]-Table1[[#This Row],[CREDIT]]</f>
        <v>-83512.899999999994</v>
      </c>
      <c r="L600" s="43">
        <v>150000</v>
      </c>
      <c r="M600" s="30">
        <v>66487.100000000006</v>
      </c>
      <c r="N600" s="44" t="s">
        <v>43</v>
      </c>
      <c r="O600" s="29">
        <v>66487.100000000006</v>
      </c>
      <c r="P600" s="29">
        <v>58482.48</v>
      </c>
      <c r="Q600" s="11">
        <v>24820</v>
      </c>
      <c r="R600" s="57">
        <v>10010</v>
      </c>
      <c r="S600" s="11" t="s">
        <v>44</v>
      </c>
      <c r="T600" s="11" t="s">
        <v>45</v>
      </c>
      <c r="U600" s="11">
        <v>0</v>
      </c>
      <c r="V600" s="29">
        <f>Table1[[#This Row],[STAB]]-Table1[[#This Row],[AMOUNT]]</f>
        <v>10010</v>
      </c>
      <c r="W600" s="11">
        <v>0</v>
      </c>
      <c r="X600" s="11" t="s">
        <v>83</v>
      </c>
      <c r="Y600" s="11">
        <v>0</v>
      </c>
      <c r="Z600" s="11" t="s">
        <v>85</v>
      </c>
      <c r="AA600" s="43" t="s">
        <v>611</v>
      </c>
      <c r="AB600" s="11"/>
      <c r="AC600" s="10" t="s">
        <v>3395</v>
      </c>
      <c r="AD600" s="11" t="s">
        <v>3433</v>
      </c>
      <c r="AE600" s="11" t="s">
        <v>92</v>
      </c>
      <c r="AF600" s="11" t="s">
        <v>54</v>
      </c>
      <c r="AG600" s="11" t="s">
        <v>3471</v>
      </c>
      <c r="AH600" s="11" t="s">
        <v>193</v>
      </c>
      <c r="AI600" s="11">
        <v>802824019</v>
      </c>
      <c r="AJ600" s="11" t="s">
        <v>189</v>
      </c>
      <c r="AK600" s="11"/>
      <c r="AL600" s="11"/>
      <c r="AM600" s="12" t="s">
        <v>46</v>
      </c>
      <c r="AN600" s="11"/>
      <c r="AO600" s="11"/>
      <c r="AP600" s="11"/>
      <c r="AQ600" s="3">
        <v>45764</v>
      </c>
      <c r="AR600" s="11">
        <v>10502.26</v>
      </c>
      <c r="AS600" s="11" t="s">
        <v>430</v>
      </c>
      <c r="AT600" s="11" t="s">
        <v>3445</v>
      </c>
      <c r="AU600" s="2">
        <v>46188</v>
      </c>
    </row>
    <row r="601" spans="1:47" x14ac:dyDescent="0.25">
      <c r="A601" s="10" t="s">
        <v>3290</v>
      </c>
      <c r="B601" s="11" t="s">
        <v>3328</v>
      </c>
      <c r="C601" s="11">
        <v>0</v>
      </c>
      <c r="D601" s="12" t="s">
        <v>108</v>
      </c>
      <c r="E601" s="11"/>
      <c r="F601" s="11"/>
      <c r="G601" s="11" t="s">
        <v>90</v>
      </c>
      <c r="H601" s="11">
        <v>28</v>
      </c>
      <c r="I601" s="11" t="s">
        <v>3365</v>
      </c>
      <c r="J601" s="11" t="s">
        <v>42</v>
      </c>
      <c r="K601" s="11">
        <f>Table1[[#This Row],[ENR]]-Table1[[#This Row],[CREDIT]]</f>
        <v>-1410.1800000000003</v>
      </c>
      <c r="L601" s="43">
        <v>60000</v>
      </c>
      <c r="M601" s="30">
        <v>58589.82</v>
      </c>
      <c r="N601" s="44" t="s">
        <v>43</v>
      </c>
      <c r="O601" s="29">
        <v>58589.82</v>
      </c>
      <c r="P601" s="29">
        <v>54325.24</v>
      </c>
      <c r="Q601" s="11">
        <v>12090</v>
      </c>
      <c r="R601" s="57">
        <v>7690</v>
      </c>
      <c r="S601" s="11" t="s">
        <v>58</v>
      </c>
      <c r="T601" s="11" t="s">
        <v>13</v>
      </c>
      <c r="U601" s="11">
        <v>12090</v>
      </c>
      <c r="V601" s="29">
        <f>Table1[[#This Row],[STAB]]-Table1[[#This Row],[AMOUNT]]</f>
        <v>-4400</v>
      </c>
      <c r="W601" s="11">
        <v>0</v>
      </c>
      <c r="X601" s="11" t="s">
        <v>761</v>
      </c>
      <c r="Y601" s="11" t="s">
        <v>760</v>
      </c>
      <c r="Z601" s="11" t="s">
        <v>85</v>
      </c>
      <c r="AA601" s="43" t="s">
        <v>611</v>
      </c>
      <c r="AB601" s="11"/>
      <c r="AC601" s="10" t="s">
        <v>3403</v>
      </c>
      <c r="AD601" s="11" t="s">
        <v>3441</v>
      </c>
      <c r="AE601" s="11" t="s">
        <v>603</v>
      </c>
      <c r="AF601" s="11" t="s">
        <v>53</v>
      </c>
      <c r="AG601" s="11" t="s">
        <v>89</v>
      </c>
      <c r="AH601" s="11" t="s">
        <v>193</v>
      </c>
      <c r="AI601" s="11">
        <v>802824019</v>
      </c>
      <c r="AJ601" s="11" t="s">
        <v>189</v>
      </c>
      <c r="AK601" s="11"/>
      <c r="AL601" s="11"/>
      <c r="AM601" s="12" t="s">
        <v>64</v>
      </c>
      <c r="AN601" s="11"/>
      <c r="AO601" s="11"/>
      <c r="AP601" s="11"/>
      <c r="AQ601" s="3">
        <v>46139</v>
      </c>
      <c r="AR601" s="11">
        <v>3370</v>
      </c>
      <c r="AS601" s="11" t="s">
        <v>436</v>
      </c>
      <c r="AT601" s="11" t="s">
        <v>3445</v>
      </c>
      <c r="AU601" s="2">
        <v>46188</v>
      </c>
    </row>
    <row r="602" spans="1:47" x14ac:dyDescent="0.25">
      <c r="A602" s="10" t="s">
        <v>3292</v>
      </c>
      <c r="B602" s="11" t="s">
        <v>3330</v>
      </c>
      <c r="C602" s="11">
        <v>0</v>
      </c>
      <c r="D602" s="12" t="s">
        <v>108</v>
      </c>
      <c r="E602" s="11"/>
      <c r="F602" s="11"/>
      <c r="G602" s="11" t="s">
        <v>52</v>
      </c>
      <c r="H602" s="11">
        <v>28</v>
      </c>
      <c r="I602" s="11" t="s">
        <v>3367</v>
      </c>
      <c r="J602" s="11" t="s">
        <v>42</v>
      </c>
      <c r="K602" s="11">
        <f>Table1[[#This Row],[ENR]]-Table1[[#This Row],[CREDIT]]</f>
        <v>-32551.03</v>
      </c>
      <c r="L602" s="43">
        <v>90000</v>
      </c>
      <c r="M602" s="30">
        <v>57448.97</v>
      </c>
      <c r="N602" s="44" t="s">
        <v>43</v>
      </c>
      <c r="O602" s="29">
        <v>57448.97</v>
      </c>
      <c r="P602" s="29">
        <v>22426.12</v>
      </c>
      <c r="Q602" s="11">
        <v>57448.97</v>
      </c>
      <c r="R602" s="57">
        <v>53589.19</v>
      </c>
      <c r="S602" s="11" t="s">
        <v>44</v>
      </c>
      <c r="T602" s="11" t="s">
        <v>45</v>
      </c>
      <c r="U602" s="11">
        <v>46375</v>
      </c>
      <c r="V602" s="29">
        <f>Table1[[#This Row],[STAB]]-Table1[[#This Row],[AMOUNT]]</f>
        <v>7214.1900000000023</v>
      </c>
      <c r="W602" s="11">
        <v>0</v>
      </c>
      <c r="X602" s="11" t="s">
        <v>83</v>
      </c>
      <c r="Y602" s="11">
        <v>0</v>
      </c>
      <c r="Z602" s="11" t="s">
        <v>85</v>
      </c>
      <c r="AA602" s="43" t="s">
        <v>613</v>
      </c>
      <c r="AB602" s="11"/>
      <c r="AC602" s="10" t="s">
        <v>3405</v>
      </c>
      <c r="AD602" s="11" t="s">
        <v>3443</v>
      </c>
      <c r="AE602" s="11" t="s">
        <v>428</v>
      </c>
      <c r="AF602" s="11" t="s">
        <v>53</v>
      </c>
      <c r="AG602" s="11" t="s">
        <v>55</v>
      </c>
      <c r="AH602" s="11" t="s">
        <v>468</v>
      </c>
      <c r="AI602" s="11">
        <v>802030802</v>
      </c>
      <c r="AJ602" s="11" t="s">
        <v>458</v>
      </c>
      <c r="AK602" s="11"/>
      <c r="AL602" s="11"/>
      <c r="AM602" s="12" t="s">
        <v>46</v>
      </c>
      <c r="AN602" s="11"/>
      <c r="AO602" s="11"/>
      <c r="AP602" s="11"/>
      <c r="AQ602" s="3">
        <v>46120</v>
      </c>
      <c r="AR602" s="11">
        <v>10700</v>
      </c>
      <c r="AS602" s="11" t="s">
        <v>434</v>
      </c>
      <c r="AT602" s="11" t="s">
        <v>3445</v>
      </c>
      <c r="AU602" s="2">
        <v>46188</v>
      </c>
    </row>
    <row r="603" spans="1:47" x14ac:dyDescent="0.25">
      <c r="A603" s="45" t="s">
        <v>3278</v>
      </c>
      <c r="B603" s="12" t="s">
        <v>3317</v>
      </c>
      <c r="C603" s="11">
        <v>0</v>
      </c>
      <c r="D603" s="12" t="s">
        <v>108</v>
      </c>
      <c r="E603" s="12"/>
      <c r="F603" s="12"/>
      <c r="G603" s="11" t="s">
        <v>90</v>
      </c>
      <c r="H603" s="12">
        <v>28</v>
      </c>
      <c r="I603" s="12" t="s">
        <v>3355</v>
      </c>
      <c r="J603" s="12" t="s">
        <v>42</v>
      </c>
      <c r="K603" s="12">
        <f>Table1[[#This Row],[ENR]]-Table1[[#This Row],[CREDIT]]</f>
        <v>-5548.1900000000023</v>
      </c>
      <c r="L603" s="46">
        <v>58000</v>
      </c>
      <c r="M603" s="47">
        <v>52451.81</v>
      </c>
      <c r="N603" s="48" t="s">
        <v>43</v>
      </c>
      <c r="O603" s="49">
        <v>52451.81</v>
      </c>
      <c r="P603" s="49">
        <v>48684.4</v>
      </c>
      <c r="Q603" s="12">
        <v>8210</v>
      </c>
      <c r="R603" s="58">
        <v>4000</v>
      </c>
      <c r="S603" s="11" t="s">
        <v>58</v>
      </c>
      <c r="T603" s="11" t="s">
        <v>13</v>
      </c>
      <c r="U603" s="11">
        <v>8220</v>
      </c>
      <c r="V603" s="49">
        <f>Table1[[#This Row],[STAB]]-Table1[[#This Row],[AMOUNT]]</f>
        <v>-4220</v>
      </c>
      <c r="W603" s="11">
        <v>0</v>
      </c>
      <c r="X603" s="11" t="s">
        <v>761</v>
      </c>
      <c r="Y603" s="11" t="s">
        <v>1085</v>
      </c>
      <c r="Z603" s="11" t="s">
        <v>85</v>
      </c>
      <c r="AA603" s="46" t="s">
        <v>611</v>
      </c>
      <c r="AB603" s="12"/>
      <c r="AC603" s="45" t="s">
        <v>3392</v>
      </c>
      <c r="AD603" s="12" t="s">
        <v>3430</v>
      </c>
      <c r="AE603" s="12" t="s">
        <v>414</v>
      </c>
      <c r="AF603" s="12" t="s">
        <v>127</v>
      </c>
      <c r="AG603" s="12" t="s">
        <v>106</v>
      </c>
      <c r="AH603" s="11" t="s">
        <v>460</v>
      </c>
      <c r="AI603" s="12">
        <v>802913252</v>
      </c>
      <c r="AJ603" s="12" t="s">
        <v>190</v>
      </c>
      <c r="AK603" s="12"/>
      <c r="AL603" s="12"/>
      <c r="AM603" s="12" t="s">
        <v>64</v>
      </c>
      <c r="AN603" s="12"/>
      <c r="AO603" s="12"/>
      <c r="AP603" s="12"/>
      <c r="AQ603" s="50">
        <v>46169</v>
      </c>
      <c r="AR603" s="12">
        <v>4240</v>
      </c>
      <c r="AS603" s="12" t="s">
        <v>47</v>
      </c>
      <c r="AT603" s="11" t="s">
        <v>3445</v>
      </c>
      <c r="AU603" s="51">
        <v>46188</v>
      </c>
    </row>
  </sheetData>
  <phoneticPr fontId="4" type="noConversion"/>
  <conditionalFormatting sqref="A1:A78 A80:A1048576">
    <cfRule type="duplicateValues" dxfId="64" priority="3"/>
  </conditionalFormatting>
  <conditionalFormatting sqref="A1:A1048576">
    <cfRule type="duplicateValues" dxfId="63" priority="1"/>
  </conditionalFormatting>
  <conditionalFormatting sqref="A2:A603">
    <cfRule type="duplicateValues" dxfId="62" priority="4484"/>
  </conditionalFormatting>
  <conditionalFormatting sqref="K2:K603">
    <cfRule type="colorScale" priority="4483">
      <colorScale>
        <cfvo type="min"/>
        <cfvo type="percentile" val="50"/>
        <cfvo type="max"/>
        <color rgb="FFF8696B"/>
        <color rgb="FFFFEB84"/>
        <color rgb="FF63BE7B"/>
      </colorScale>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V3"/>
  <sheetViews>
    <sheetView workbookViewId="0">
      <selection activeCell="G2" sqref="G2"/>
    </sheetView>
  </sheetViews>
  <sheetFormatPr defaultRowHeight="15" x14ac:dyDescent="0.25"/>
  <cols>
    <col min="2" max="2" width="21.42578125" bestFit="1" customWidth="1"/>
  </cols>
  <sheetData>
    <row r="1" spans="1:48" x14ac:dyDescent="0.25">
      <c r="A1" s="27" t="s">
        <v>0</v>
      </c>
      <c r="B1" s="27" t="s">
        <v>1</v>
      </c>
      <c r="C1" s="27" t="s">
        <v>145</v>
      </c>
      <c r="D1" s="27" t="s">
        <v>2</v>
      </c>
      <c r="E1" s="27" t="s">
        <v>132</v>
      </c>
      <c r="F1" s="27" t="s">
        <v>440</v>
      </c>
      <c r="G1" s="27" t="s">
        <v>3</v>
      </c>
      <c r="H1" s="27" t="s">
        <v>4</v>
      </c>
      <c r="I1" s="27" t="s">
        <v>5</v>
      </c>
      <c r="J1" s="27" t="s">
        <v>6</v>
      </c>
      <c r="K1" s="27" t="s">
        <v>7</v>
      </c>
      <c r="L1" s="27" t="s">
        <v>8</v>
      </c>
      <c r="M1" s="1" t="s">
        <v>9</v>
      </c>
      <c r="N1" s="27" t="s">
        <v>10</v>
      </c>
      <c r="O1" s="27" t="s">
        <v>11</v>
      </c>
      <c r="P1" s="27" t="s">
        <v>12</v>
      </c>
      <c r="Q1" s="27" t="s">
        <v>13</v>
      </c>
      <c r="R1" s="27" t="s">
        <v>14</v>
      </c>
      <c r="S1" s="27" t="s">
        <v>102</v>
      </c>
      <c r="T1" s="27" t="s">
        <v>15</v>
      </c>
      <c r="U1" s="27" t="s">
        <v>16</v>
      </c>
      <c r="V1" s="27" t="s">
        <v>17</v>
      </c>
      <c r="W1" s="16" t="s">
        <v>18</v>
      </c>
      <c r="X1" s="27" t="s">
        <v>19</v>
      </c>
      <c r="Y1" s="27" t="s">
        <v>20</v>
      </c>
      <c r="Z1" s="27" t="s">
        <v>21</v>
      </c>
      <c r="AA1" s="27" t="s">
        <v>87</v>
      </c>
      <c r="AB1" s="27" t="s">
        <v>22</v>
      </c>
      <c r="AC1" s="16" t="s">
        <v>23</v>
      </c>
      <c r="AD1" s="27" t="s">
        <v>24</v>
      </c>
      <c r="AE1" s="27" t="s">
        <v>25</v>
      </c>
      <c r="AF1" s="27" t="s">
        <v>26</v>
      </c>
      <c r="AG1" s="27" t="s">
        <v>27</v>
      </c>
      <c r="AH1" s="1" t="s">
        <v>28</v>
      </c>
      <c r="AI1" s="27" t="s">
        <v>29</v>
      </c>
      <c r="AJ1" s="27" t="s">
        <v>30</v>
      </c>
      <c r="AK1" s="27" t="s">
        <v>31</v>
      </c>
      <c r="AL1" s="27" t="s">
        <v>32</v>
      </c>
      <c r="AM1" s="27" t="s">
        <v>33</v>
      </c>
      <c r="AN1" s="27" t="s">
        <v>34</v>
      </c>
      <c r="AO1" s="28" t="s">
        <v>35</v>
      </c>
      <c r="AP1" s="28" t="s">
        <v>36</v>
      </c>
      <c r="AQ1" s="28" t="s">
        <v>37</v>
      </c>
      <c r="AR1" s="27" t="s">
        <v>38</v>
      </c>
      <c r="AS1" s="27" t="s">
        <v>39</v>
      </c>
      <c r="AT1" s="27" t="s">
        <v>40</v>
      </c>
      <c r="AU1" s="27" t="s">
        <v>41</v>
      </c>
      <c r="AV1" s="27" t="s">
        <v>82</v>
      </c>
    </row>
    <row r="2" spans="1:48" x14ac:dyDescent="0.25">
      <c r="A2" s="11" t="s">
        <v>490</v>
      </c>
      <c r="B2" s="11" t="s">
        <v>515</v>
      </c>
      <c r="C2" s="11">
        <v>0</v>
      </c>
      <c r="D2" s="11" t="s">
        <v>132</v>
      </c>
      <c r="E2" s="11">
        <v>1</v>
      </c>
      <c r="F2" s="11"/>
      <c r="G2" s="11" t="s">
        <v>52</v>
      </c>
      <c r="H2" s="11">
        <v>5</v>
      </c>
      <c r="I2" s="11" t="s">
        <v>540</v>
      </c>
      <c r="J2" s="11" t="s">
        <v>42</v>
      </c>
      <c r="K2" s="11">
        <v>-392249.16000000003</v>
      </c>
      <c r="L2" s="43">
        <v>1050000</v>
      </c>
      <c r="M2" s="30">
        <v>657750.84</v>
      </c>
      <c r="N2" s="44" t="s">
        <v>43</v>
      </c>
      <c r="O2" s="29">
        <v>657750.84</v>
      </c>
      <c r="P2" s="29">
        <v>633145.93000000005</v>
      </c>
      <c r="Q2" s="11">
        <v>97220</v>
      </c>
      <c r="R2" s="29">
        <v>61750</v>
      </c>
      <c r="S2" s="29" t="e">
        <v>#N/A</v>
      </c>
      <c r="T2" s="11" t="s">
        <v>44</v>
      </c>
      <c r="U2" s="11" t="s">
        <v>45</v>
      </c>
      <c r="V2" s="11">
        <v>0</v>
      </c>
      <c r="W2" s="29">
        <v>61750</v>
      </c>
      <c r="X2" s="11">
        <v>0</v>
      </c>
      <c r="Y2" s="11" t="s">
        <v>83</v>
      </c>
      <c r="Z2" s="11">
        <v>0</v>
      </c>
      <c r="AA2" s="12" t="s">
        <v>85</v>
      </c>
      <c r="AB2" s="12" t="s">
        <v>613</v>
      </c>
      <c r="AC2" s="11"/>
      <c r="AD2" s="11" t="s">
        <v>566</v>
      </c>
      <c r="AE2" s="11" t="s">
        <v>592</v>
      </c>
      <c r="AF2" s="11" t="s">
        <v>125</v>
      </c>
      <c r="AG2" s="11" t="s">
        <v>127</v>
      </c>
      <c r="AH2" s="11" t="s">
        <v>56</v>
      </c>
      <c r="AI2" s="11" t="s">
        <v>462</v>
      </c>
      <c r="AJ2" s="11">
        <v>801448854</v>
      </c>
      <c r="AK2" s="11" t="s">
        <v>191</v>
      </c>
      <c r="AL2" s="11"/>
      <c r="AM2" s="11"/>
      <c r="AN2" s="12" t="s">
        <v>46</v>
      </c>
      <c r="AO2" s="11"/>
      <c r="AP2" s="11"/>
      <c r="AQ2" s="11"/>
      <c r="AR2" s="3">
        <v>46111</v>
      </c>
      <c r="AS2" s="11">
        <v>46153.65</v>
      </c>
      <c r="AT2" s="11" t="s">
        <v>47</v>
      </c>
      <c r="AU2" s="12" t="s">
        <v>609</v>
      </c>
      <c r="AV2" s="3">
        <v>46165</v>
      </c>
    </row>
    <row r="3" spans="1:48" x14ac:dyDescent="0.25">
      <c r="A3" s="11" t="s">
        <v>481</v>
      </c>
      <c r="B3" s="11" t="s">
        <v>506</v>
      </c>
      <c r="C3" s="11">
        <v>0</v>
      </c>
      <c r="D3" s="11" t="s">
        <v>132</v>
      </c>
      <c r="E3" s="11">
        <v>1</v>
      </c>
      <c r="F3" s="11"/>
      <c r="G3" s="11" t="s">
        <v>52</v>
      </c>
      <c r="H3" s="11">
        <v>5</v>
      </c>
      <c r="I3" s="11" t="s">
        <v>531</v>
      </c>
      <c r="J3" s="11" t="s">
        <v>42</v>
      </c>
      <c r="K3" s="11">
        <v>22733.450000000012</v>
      </c>
      <c r="L3" s="43">
        <v>470000</v>
      </c>
      <c r="M3" s="30">
        <v>492733.45</v>
      </c>
      <c r="N3" s="44">
        <v>313478.12</v>
      </c>
      <c r="O3" s="29">
        <v>179255.33</v>
      </c>
      <c r="P3" s="29">
        <v>158597.26999999999</v>
      </c>
      <c r="Q3" s="11">
        <v>73590</v>
      </c>
      <c r="R3" s="29">
        <v>34180</v>
      </c>
      <c r="S3" s="29" t="e">
        <v>#N/A</v>
      </c>
      <c r="T3" s="11" t="s">
        <v>44</v>
      </c>
      <c r="U3" s="11" t="s">
        <v>45</v>
      </c>
      <c r="V3" s="11">
        <v>0</v>
      </c>
      <c r="W3" s="29">
        <v>34180</v>
      </c>
      <c r="X3" s="11">
        <v>0</v>
      </c>
      <c r="Y3" s="11" t="s">
        <v>83</v>
      </c>
      <c r="Z3" s="11">
        <v>0</v>
      </c>
      <c r="AA3" s="11" t="s">
        <v>85</v>
      </c>
      <c r="AB3" s="11" t="s">
        <v>613</v>
      </c>
      <c r="AC3" s="11"/>
      <c r="AD3" s="11" t="s">
        <v>557</v>
      </c>
      <c r="AE3" s="11" t="s">
        <v>583</v>
      </c>
      <c r="AF3" s="11" t="s">
        <v>419</v>
      </c>
      <c r="AG3" s="11" t="s">
        <v>127</v>
      </c>
      <c r="AH3" s="11" t="s">
        <v>96</v>
      </c>
      <c r="AI3" s="11" t="s">
        <v>461</v>
      </c>
      <c r="AJ3" s="11">
        <v>801436997</v>
      </c>
      <c r="AK3" s="11" t="s">
        <v>190</v>
      </c>
      <c r="AL3" s="11"/>
      <c r="AM3" s="11"/>
      <c r="AN3" s="11" t="s">
        <v>64</v>
      </c>
      <c r="AO3" s="11" t="s">
        <v>219</v>
      </c>
      <c r="AP3" s="11" t="s">
        <v>630</v>
      </c>
      <c r="AQ3" s="11" t="s">
        <v>629</v>
      </c>
      <c r="AR3" s="3">
        <v>45777</v>
      </c>
      <c r="AS3" s="11">
        <v>360618</v>
      </c>
      <c r="AT3" s="11" t="s">
        <v>47</v>
      </c>
      <c r="AU3" s="11" t="s">
        <v>609</v>
      </c>
      <c r="AV3" s="3">
        <v>46165</v>
      </c>
    </row>
  </sheetData>
  <conditionalFormatting sqref="A1:A3">
    <cfRule type="duplicateValues" dxfId="61" priority="2"/>
  </conditionalFormatting>
  <conditionalFormatting sqref="K2:K3">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4:L17"/>
  <sheetViews>
    <sheetView workbookViewId="0">
      <selection activeCell="D12" sqref="D12"/>
    </sheetView>
  </sheetViews>
  <sheetFormatPr defaultColWidth="9.42578125" defaultRowHeight="15.75" customHeight="1" x14ac:dyDescent="0.25"/>
  <cols>
    <col min="3" max="3" width="4.28515625" customWidth="1"/>
    <col min="4" max="4" width="17.28515625" bestFit="1" customWidth="1"/>
    <col min="5" max="5" width="26" bestFit="1" customWidth="1"/>
    <col min="6" max="6" width="4.28515625" bestFit="1" customWidth="1"/>
    <col min="7" max="7" width="7" bestFit="1" customWidth="1"/>
    <col min="11" max="12" width="39.28515625" style="42" customWidth="1"/>
  </cols>
  <sheetData>
    <row r="4" spans="1:12" ht="15.75" customHeight="1" x14ac:dyDescent="0.25">
      <c r="K4" s="42" t="s">
        <v>134</v>
      </c>
      <c r="L4" s="42" t="s">
        <v>139</v>
      </c>
    </row>
    <row r="5" spans="1:12" ht="15.75" customHeight="1" x14ac:dyDescent="0.25">
      <c r="K5" s="42" t="s">
        <v>135</v>
      </c>
      <c r="L5" s="42" t="s">
        <v>140</v>
      </c>
    </row>
    <row r="6" spans="1:12" ht="15.75" customHeight="1" x14ac:dyDescent="0.25">
      <c r="K6" s="42" t="s">
        <v>136</v>
      </c>
      <c r="L6" s="42" t="s">
        <v>141</v>
      </c>
    </row>
    <row r="7" spans="1:12" ht="15.75" customHeight="1" x14ac:dyDescent="0.25">
      <c r="D7" s="27" t="s">
        <v>0</v>
      </c>
      <c r="E7" s="27" t="s">
        <v>1</v>
      </c>
      <c r="F7" s="27" t="s">
        <v>4</v>
      </c>
      <c r="G7" s="1" t="s">
        <v>9</v>
      </c>
      <c r="K7" s="42" t="s">
        <v>137</v>
      </c>
      <c r="L7" s="42" t="s">
        <v>142</v>
      </c>
    </row>
    <row r="8" spans="1:12" ht="15.75" customHeight="1" x14ac:dyDescent="0.25">
      <c r="D8" s="11" t="s">
        <v>121</v>
      </c>
      <c r="E8" s="41" t="s">
        <v>122</v>
      </c>
      <c r="F8" s="11">
        <v>2</v>
      </c>
      <c r="G8" s="30">
        <v>266784.99</v>
      </c>
      <c r="K8" s="42" t="s">
        <v>138</v>
      </c>
      <c r="L8" s="42" t="s">
        <v>143</v>
      </c>
    </row>
    <row r="14" spans="1:12" ht="15.75" customHeight="1" x14ac:dyDescent="0.25">
      <c r="A14" s="27" t="s">
        <v>0</v>
      </c>
      <c r="B14" s="27" t="s">
        <v>1</v>
      </c>
      <c r="C14" s="27" t="s">
        <v>4</v>
      </c>
      <c r="D14" s="1" t="s">
        <v>9</v>
      </c>
      <c r="E14" s="27" t="s">
        <v>16</v>
      </c>
      <c r="F14" s="27" t="s">
        <v>17</v>
      </c>
      <c r="G14" s="27" t="s">
        <v>26</v>
      </c>
    </row>
    <row r="15" spans="1:12" ht="15.75" customHeight="1" x14ac:dyDescent="0.25">
      <c r="A15" s="11" t="s">
        <v>150</v>
      </c>
      <c r="B15" s="11" t="s">
        <v>152</v>
      </c>
      <c r="C15" s="11">
        <v>18</v>
      </c>
      <c r="D15" s="30">
        <v>203735.18</v>
      </c>
      <c r="E15" s="12" t="s">
        <v>13</v>
      </c>
      <c r="F15" s="12">
        <v>203735.18</v>
      </c>
      <c r="G15" s="11" t="s">
        <v>100</v>
      </c>
    </row>
    <row r="16" spans="1:12" ht="15.75" customHeight="1" x14ac:dyDescent="0.25">
      <c r="A16" s="11" t="s">
        <v>154</v>
      </c>
      <c r="B16" s="11" t="s">
        <v>155</v>
      </c>
      <c r="C16" s="11">
        <v>18</v>
      </c>
      <c r="D16" s="30">
        <v>186797.74</v>
      </c>
      <c r="E16" s="12" t="s">
        <v>14</v>
      </c>
      <c r="F16" s="29">
        <v>10000</v>
      </c>
      <c r="G16" s="11" t="s">
        <v>123</v>
      </c>
    </row>
    <row r="17" spans="1:7" ht="15.75" customHeight="1" x14ac:dyDescent="0.25">
      <c r="A17" s="11" t="s">
        <v>151</v>
      </c>
      <c r="B17" s="11" t="s">
        <v>153</v>
      </c>
      <c r="C17" s="1">
        <v>21</v>
      </c>
      <c r="D17" s="30">
        <v>429996.2</v>
      </c>
      <c r="E17" s="11" t="s">
        <v>13</v>
      </c>
      <c r="F17" s="11">
        <v>429996.2</v>
      </c>
      <c r="G17" s="11" t="s">
        <v>125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949EF-C45C-4AFD-B470-CF279ED4789A}">
  <sheetPr codeName="Sheet6"/>
  <dimension ref="B2:H9"/>
  <sheetViews>
    <sheetView workbookViewId="0">
      <selection activeCell="C3" sqref="C3"/>
    </sheetView>
  </sheetViews>
  <sheetFormatPr defaultRowHeight="15" x14ac:dyDescent="0.25"/>
  <cols>
    <col min="2" max="2" width="17.28515625" bestFit="1" customWidth="1"/>
    <col min="3" max="3" width="33.5703125" bestFit="1" customWidth="1"/>
    <col min="4" max="4" width="4.28515625" bestFit="1" customWidth="1"/>
    <col min="5" max="5" width="11" bestFit="1" customWidth="1"/>
    <col min="6" max="6" width="7" bestFit="1" customWidth="1"/>
    <col min="7" max="7" width="6" bestFit="1" customWidth="1"/>
    <col min="8" max="8" width="32.140625" bestFit="1" customWidth="1"/>
  </cols>
  <sheetData>
    <row r="2" spans="2:8" x14ac:dyDescent="0.25">
      <c r="B2" s="27" t="s">
        <v>0</v>
      </c>
      <c r="C2" s="27" t="s">
        <v>1</v>
      </c>
      <c r="D2" s="27" t="s">
        <v>4</v>
      </c>
      <c r="E2" s="27" t="s">
        <v>5</v>
      </c>
      <c r="F2" s="1" t="s">
        <v>9</v>
      </c>
      <c r="G2" s="27" t="s">
        <v>14</v>
      </c>
      <c r="H2" s="1" t="s">
        <v>28</v>
      </c>
    </row>
    <row r="3" spans="2:8" x14ac:dyDescent="0.25">
      <c r="B3" s="11" t="s">
        <v>654</v>
      </c>
      <c r="C3" s="11" t="s">
        <v>655</v>
      </c>
      <c r="D3" s="11">
        <v>8</v>
      </c>
      <c r="E3" s="11" t="s">
        <v>700</v>
      </c>
      <c r="F3" s="30">
        <v>86845.35</v>
      </c>
      <c r="G3" s="29">
        <v>4290</v>
      </c>
      <c r="H3" s="11" t="s">
        <v>107</v>
      </c>
    </row>
    <row r="4" spans="2:8" x14ac:dyDescent="0.25">
      <c r="B4" s="54" t="s">
        <v>656</v>
      </c>
      <c r="C4" s="11" t="s">
        <v>657</v>
      </c>
      <c r="D4" s="11">
        <v>8</v>
      </c>
      <c r="E4" s="11" t="s">
        <v>701</v>
      </c>
      <c r="F4" s="30">
        <v>66386.94</v>
      </c>
      <c r="G4" s="29">
        <v>3810</v>
      </c>
      <c r="H4" s="11" t="s">
        <v>106</v>
      </c>
    </row>
    <row r="5" spans="2:8" x14ac:dyDescent="0.25">
      <c r="G5" s="56">
        <f>SUM(G3:G4)</f>
        <v>8100</v>
      </c>
    </row>
    <row r="6" spans="2:8" x14ac:dyDescent="0.25">
      <c r="B6" s="11" t="s">
        <v>650</v>
      </c>
      <c r="C6" s="11" t="s">
        <v>651</v>
      </c>
      <c r="D6" s="11">
        <v>8</v>
      </c>
      <c r="E6" s="11" t="s">
        <v>698</v>
      </c>
      <c r="F6" s="30">
        <v>96029.47</v>
      </c>
      <c r="G6" s="29">
        <v>6500</v>
      </c>
      <c r="H6" s="11" t="s">
        <v>131</v>
      </c>
    </row>
    <row r="7" spans="2:8" x14ac:dyDescent="0.25">
      <c r="B7" s="55" t="s">
        <v>646</v>
      </c>
      <c r="C7" s="11" t="s">
        <v>647</v>
      </c>
      <c r="D7" s="11">
        <v>8</v>
      </c>
      <c r="E7" s="11" t="s">
        <v>696</v>
      </c>
      <c r="F7" s="30">
        <v>123460.25</v>
      </c>
      <c r="G7" s="29">
        <v>11130</v>
      </c>
      <c r="H7" s="11" t="s">
        <v>63</v>
      </c>
    </row>
    <row r="8" spans="2:8" x14ac:dyDescent="0.25">
      <c r="B8" s="11" t="s">
        <v>662</v>
      </c>
      <c r="C8" s="11" t="s">
        <v>663</v>
      </c>
      <c r="D8" s="11">
        <v>8</v>
      </c>
      <c r="E8" s="11" t="s">
        <v>704</v>
      </c>
      <c r="F8" s="30">
        <v>50757.56</v>
      </c>
      <c r="G8" s="29">
        <v>4782.47</v>
      </c>
      <c r="H8" s="11" t="s">
        <v>93</v>
      </c>
    </row>
    <row r="9" spans="2:8" x14ac:dyDescent="0.25">
      <c r="B9" s="11" t="s">
        <v>642</v>
      </c>
      <c r="C9" s="11" t="s">
        <v>643</v>
      </c>
      <c r="D9" s="11">
        <v>8</v>
      </c>
      <c r="E9" s="11" t="s">
        <v>694</v>
      </c>
      <c r="F9" s="30">
        <v>180009.77</v>
      </c>
      <c r="G9" s="29">
        <v>30012.19</v>
      </c>
      <c r="H9" s="11" t="s">
        <v>749</v>
      </c>
    </row>
  </sheetData>
  <conditionalFormatting sqref="B6:B9 B2:B3">
    <cfRule type="duplicateValues" dxfId="60" priority="2"/>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D6:E12"/>
  <sheetViews>
    <sheetView topLeftCell="A6" workbookViewId="0">
      <selection activeCell="F8" sqref="F8"/>
    </sheetView>
  </sheetViews>
  <sheetFormatPr defaultRowHeight="15" x14ac:dyDescent="0.25"/>
  <cols>
    <col min="1" max="3" width="9.140625" style="32"/>
    <col min="4" max="5" width="65.42578125" style="32" customWidth="1"/>
    <col min="6" max="16384" width="9.140625" style="32"/>
  </cols>
  <sheetData>
    <row r="6" spans="4:5" ht="45" x14ac:dyDescent="0.25">
      <c r="D6" s="31" t="s">
        <v>1582</v>
      </c>
      <c r="E6" s="31" t="s">
        <v>1594</v>
      </c>
    </row>
    <row r="7" spans="4:5" ht="30" x14ac:dyDescent="0.25">
      <c r="D7" s="31" t="s">
        <v>1585</v>
      </c>
      <c r="E7" s="31" t="s">
        <v>1585</v>
      </c>
    </row>
    <row r="8" spans="4:5" ht="45" x14ac:dyDescent="0.25">
      <c r="D8" s="31" t="s">
        <v>1586</v>
      </c>
      <c r="E8" s="31" t="s">
        <v>1597</v>
      </c>
    </row>
    <row r="9" spans="4:5" ht="45" x14ac:dyDescent="0.25">
      <c r="D9" s="31" t="s">
        <v>1587</v>
      </c>
      <c r="E9" s="31" t="s">
        <v>1598</v>
      </c>
    </row>
    <row r="10" spans="4:5" ht="30" x14ac:dyDescent="0.25">
      <c r="D10" s="31" t="s">
        <v>1589</v>
      </c>
      <c r="E10" s="31" t="s">
        <v>1599</v>
      </c>
    </row>
    <row r="11" spans="4:5" ht="30" x14ac:dyDescent="0.25">
      <c r="D11" s="31" t="s">
        <v>1590</v>
      </c>
      <c r="E11" s="31" t="s">
        <v>1590</v>
      </c>
    </row>
    <row r="12" spans="4:5" ht="45" x14ac:dyDescent="0.25">
      <c r="D12" s="31" t="s">
        <v>1591</v>
      </c>
      <c r="E12" s="31" t="s">
        <v>1600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MIS</vt:lpstr>
      <vt:lpstr>MAIN</vt:lpstr>
      <vt:lpstr>RE</vt:lpstr>
      <vt:lpstr>file</vt:lpstr>
      <vt:lpstr>Sheet1</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USER</cp:lastModifiedBy>
  <cp:lastPrinted>2026-01-02T06:41:37Z</cp:lastPrinted>
  <dcterms:created xsi:type="dcterms:W3CDTF">2025-11-07T11:49:26Z</dcterms:created>
  <dcterms:modified xsi:type="dcterms:W3CDTF">2026-06-27T11:37:09Z</dcterms:modified>
</cp:coreProperties>
</file>