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E:\SRAVANI OFFICE\sravani 12-08-2024\sravani updated\ICICI\CC\ICICI FR\2026\JULY''26 FR\"/>
    </mc:Choice>
  </mc:AlternateContent>
  <xr:revisionPtr revIDLastSave="0" documentId="13_ncr:1_{FAB2AB1E-BADE-4F61-9EDA-E937228A758D}" xr6:coauthVersionLast="47" xr6:coauthVersionMax="47" xr10:uidLastSave="{00000000-0000-0000-0000-000000000000}"/>
  <bookViews>
    <workbookView xWindow="-120" yWindow="-120" windowWidth="20730" windowHeight="11040" tabRatio="565" xr2:uid="{00000000-000D-0000-FFFF-FFFF00000000}"/>
  </bookViews>
  <sheets>
    <sheet name="MIS" sheetId="4" r:id="rId1"/>
    <sheet name="MAIN" sheetId="1" r:id="rId2"/>
    <sheet name="Sheet3" sheetId="3" r:id="rId3"/>
    <sheet name="Sheet1" sheetId="5" r:id="rId4"/>
  </sheets>
  <externalReferences>
    <externalReference r:id="rId5"/>
    <externalReference r:id="rId6"/>
  </externalReferences>
  <definedNames>
    <definedName name="_xlnm._FilterDatabase" localSheetId="0" hidden="1">MIS!$AR$3:$BB$42</definedName>
    <definedName name="_xlnm._FilterDatabase" localSheetId="3" hidden="1">Sheet1!$C$4:$F$47</definedName>
    <definedName name="_xlnm._FilterDatabase" localSheetId="2" hidden="1">Sheet3!$A$1:$AV$2</definedName>
    <definedName name="Slicer_AREA">#N/A</definedName>
    <definedName name="Slicer_CALLER">#N/A</definedName>
    <definedName name="Slicer_CYC">#N/A</definedName>
    <definedName name="Slicer_DATE">#N/A</definedName>
    <definedName name="Slicer_FOS_NAME">#N/A</definedName>
    <definedName name="Slicer_FPR">#N/A</definedName>
    <definedName name="Slicer_V_DATE">#N/A</definedName>
  </definedNames>
  <calcPr calcId="191029"/>
  <pivotCaches>
    <pivotCache cacheId="429"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55" i="1" l="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650" i="1"/>
  <c r="W445" i="1"/>
  <c r="W752" i="1"/>
  <c r="L950" i="1"/>
  <c r="L951" i="1"/>
  <c r="L952" i="1"/>
  <c r="L953" i="1"/>
  <c r="L954" i="1"/>
  <c r="W950" i="1"/>
  <c r="W951" i="1"/>
  <c r="W952" i="1"/>
  <c r="W953" i="1"/>
  <c r="W954" i="1"/>
  <c r="L946" i="1"/>
  <c r="L947" i="1"/>
  <c r="L948" i="1"/>
  <c r="L949" i="1"/>
  <c r="W946" i="1"/>
  <c r="W947" i="1"/>
  <c r="W948" i="1"/>
  <c r="W949" i="1"/>
  <c r="L943" i="1"/>
  <c r="L944" i="1"/>
  <c r="L945" i="1"/>
  <c r="W943" i="1"/>
  <c r="W944" i="1"/>
  <c r="W945" i="1"/>
  <c r="L939" i="1"/>
  <c r="L940" i="1"/>
  <c r="L941" i="1"/>
  <c r="L942" i="1"/>
  <c r="W939" i="1"/>
  <c r="W940" i="1"/>
  <c r="W941" i="1"/>
  <c r="W942" i="1"/>
  <c r="L938" i="1"/>
  <c r="W938" i="1"/>
  <c r="L937" i="1"/>
  <c r="W937" i="1"/>
  <c r="L936" i="1"/>
  <c r="W936"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101" i="1"/>
  <c r="W5" i="1"/>
  <c r="W14" i="1"/>
  <c r="W15" i="1"/>
  <c r="W27" i="1"/>
  <c r="W28" i="1"/>
  <c r="W30" i="1"/>
  <c r="W32" i="1"/>
  <c r="W33" i="1"/>
  <c r="W34" i="1"/>
  <c r="W38" i="1"/>
  <c r="W41" i="1"/>
  <c r="W50" i="1"/>
  <c r="W51" i="1"/>
  <c r="W55" i="1"/>
  <c r="W58" i="1"/>
  <c r="W63" i="1"/>
  <c r="W85" i="1"/>
  <c r="W87" i="1"/>
  <c r="W90" i="1"/>
  <c r="W91" i="1"/>
  <c r="W97" i="1"/>
  <c r="W98" i="1"/>
  <c r="W102" i="1"/>
  <c r="W111" i="1"/>
  <c r="W114" i="1"/>
  <c r="W118" i="1"/>
  <c r="W120" i="1"/>
  <c r="W123" i="1"/>
  <c r="W124" i="1"/>
  <c r="W139" i="1"/>
  <c r="W152" i="1"/>
  <c r="W154" i="1"/>
  <c r="W156" i="1"/>
  <c r="W157" i="1"/>
  <c r="W158" i="1"/>
  <c r="W160" i="1"/>
  <c r="W164" i="1"/>
  <c r="W172" i="1"/>
  <c r="W173" i="1"/>
  <c r="W174" i="1"/>
  <c r="W175" i="1"/>
  <c r="W177" i="1"/>
  <c r="W182" i="1"/>
  <c r="W196" i="1"/>
  <c r="W199" i="1"/>
  <c r="W200" i="1"/>
  <c r="W207" i="1"/>
  <c r="W211" i="1"/>
  <c r="W215" i="1"/>
  <c r="W229" i="1"/>
  <c r="W231" i="1"/>
  <c r="W235" i="1"/>
  <c r="W240" i="1"/>
  <c r="W241" i="1"/>
  <c r="W242" i="1"/>
  <c r="W246" i="1"/>
  <c r="W257" i="1"/>
  <c r="W260" i="1"/>
  <c r="W265" i="1"/>
  <c r="W272" i="1"/>
  <c r="W273" i="1"/>
  <c r="W275" i="1"/>
  <c r="W280" i="1"/>
  <c r="W281" i="1"/>
  <c r="W287" i="1"/>
  <c r="W288" i="1"/>
  <c r="W295" i="1"/>
  <c r="W296" i="1"/>
  <c r="W302" i="1"/>
  <c r="W317" i="1"/>
  <c r="W318" i="1"/>
  <c r="W323" i="1"/>
  <c r="W327" i="1"/>
  <c r="W334" i="1"/>
  <c r="W335" i="1"/>
  <c r="W336" i="1"/>
  <c r="W340" i="1"/>
  <c r="W343" i="1"/>
  <c r="W347" i="1"/>
  <c r="W348" i="1"/>
  <c r="W349" i="1"/>
  <c r="W356" i="1"/>
  <c r="W358" i="1"/>
  <c r="W359" i="1"/>
  <c r="W365" i="1"/>
  <c r="W369" i="1"/>
  <c r="W370" i="1"/>
  <c r="W371" i="1"/>
  <c r="W372" i="1"/>
  <c r="W374" i="1"/>
  <c r="W375" i="1"/>
  <c r="W381" i="1"/>
  <c r="W383" i="1"/>
  <c r="W394" i="1"/>
  <c r="W396" i="1"/>
  <c r="W397" i="1"/>
  <c r="W408" i="1"/>
  <c r="W410" i="1"/>
  <c r="W429" i="1"/>
  <c r="W431" i="1"/>
  <c r="W432" i="1"/>
  <c r="W441" i="1"/>
  <c r="W444" i="1"/>
  <c r="W450" i="1"/>
  <c r="W451" i="1"/>
  <c r="W461" i="1"/>
  <c r="W464" i="1"/>
  <c r="W467" i="1"/>
  <c r="W469" i="1"/>
  <c r="W484" i="1"/>
  <c r="W486" i="1"/>
  <c r="W490" i="1"/>
  <c r="W504" i="1"/>
  <c r="W513" i="1"/>
  <c r="W539" i="1"/>
  <c r="W551" i="1"/>
  <c r="W591" i="1"/>
  <c r="W622" i="1"/>
  <c r="W639" i="1"/>
  <c r="W646" i="1"/>
  <c r="W75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L746" i="1"/>
  <c r="L747" i="1"/>
  <c r="L748" i="1"/>
  <c r="L749" i="1"/>
  <c r="L750" i="1"/>
  <c r="L751" i="1"/>
  <c r="L752" i="1"/>
  <c r="L753" i="1"/>
  <c r="L754" i="1"/>
  <c r="L755" i="1"/>
  <c r="L756" i="1"/>
  <c r="L757" i="1"/>
  <c r="L758" i="1"/>
  <c r="L759" i="1"/>
  <c r="L760" i="1"/>
  <c r="W746" i="1"/>
  <c r="W747" i="1"/>
  <c r="W748" i="1"/>
  <c r="W749" i="1"/>
  <c r="W751" i="1"/>
  <c r="W753" i="1"/>
  <c r="W754" i="1"/>
  <c r="W755" i="1"/>
  <c r="W756" i="1"/>
  <c r="W757" i="1"/>
  <c r="W758" i="1"/>
  <c r="W759" i="1"/>
  <c r="W760" i="1"/>
  <c r="W239" i="1"/>
  <c r="W226" i="1"/>
  <c r="L729" i="1"/>
  <c r="L693" i="1"/>
  <c r="L716" i="1"/>
  <c r="L715" i="1"/>
  <c r="L726" i="1"/>
  <c r="L732" i="1"/>
  <c r="L704" i="1"/>
  <c r="L721" i="1"/>
  <c r="L689" i="1"/>
  <c r="L690" i="1"/>
  <c r="L700" i="1"/>
  <c r="L698" i="1"/>
  <c r="L717" i="1"/>
  <c r="L702" i="1"/>
  <c r="L731" i="1"/>
  <c r="L730" i="1"/>
  <c r="L736" i="1"/>
  <c r="L705" i="1"/>
  <c r="L711" i="1"/>
  <c r="L714" i="1"/>
  <c r="L699" i="1"/>
  <c r="L727" i="1"/>
  <c r="L728" i="1"/>
  <c r="L718" i="1"/>
  <c r="L719" i="1"/>
  <c r="L723" i="1"/>
  <c r="L737" i="1"/>
  <c r="L709" i="1"/>
  <c r="L687" i="1"/>
  <c r="L725" i="1"/>
  <c r="L713" i="1"/>
  <c r="L701" i="1"/>
  <c r="L707" i="1"/>
  <c r="L734" i="1"/>
  <c r="L724" i="1"/>
  <c r="L733" i="1"/>
  <c r="L708" i="1"/>
  <c r="L706" i="1"/>
  <c r="L735" i="1"/>
  <c r="L703" i="1"/>
  <c r="L710" i="1"/>
  <c r="L681" i="1"/>
  <c r="L722" i="1"/>
  <c r="L720" i="1"/>
  <c r="L712" i="1"/>
  <c r="L745" i="1"/>
  <c r="W729" i="1"/>
  <c r="W693" i="1"/>
  <c r="W716" i="1"/>
  <c r="W715" i="1"/>
  <c r="W726" i="1"/>
  <c r="W732" i="1"/>
  <c r="W704" i="1"/>
  <c r="W721" i="1"/>
  <c r="W689" i="1"/>
  <c r="W690" i="1"/>
  <c r="W700" i="1"/>
  <c r="W698" i="1"/>
  <c r="W717" i="1"/>
  <c r="W702" i="1"/>
  <c r="W731" i="1"/>
  <c r="W730" i="1"/>
  <c r="W736" i="1"/>
  <c r="W705" i="1"/>
  <c r="W711" i="1"/>
  <c r="W714" i="1"/>
  <c r="W699" i="1"/>
  <c r="W727" i="1"/>
  <c r="W728" i="1"/>
  <c r="W718" i="1"/>
  <c r="W719" i="1"/>
  <c r="W723" i="1"/>
  <c r="W737" i="1"/>
  <c r="W709" i="1"/>
  <c r="W687" i="1"/>
  <c r="W725" i="1"/>
  <c r="W713" i="1"/>
  <c r="W701" i="1"/>
  <c r="W707" i="1"/>
  <c r="W734" i="1"/>
  <c r="W724" i="1"/>
  <c r="W733" i="1"/>
  <c r="W708" i="1"/>
  <c r="W706" i="1"/>
  <c r="W735" i="1"/>
  <c r="W703" i="1"/>
  <c r="W710" i="1"/>
  <c r="W681" i="1"/>
  <c r="W722" i="1"/>
  <c r="W720" i="1"/>
  <c r="W712" i="1"/>
  <c r="W745" i="1"/>
  <c r="L621" i="1"/>
  <c r="L739" i="1"/>
  <c r="L738" i="1"/>
  <c r="L740" i="1"/>
  <c r="L741" i="1"/>
  <c r="L742" i="1"/>
  <c r="L743" i="1"/>
  <c r="L744" i="1"/>
  <c r="W621" i="1"/>
  <c r="W739" i="1"/>
  <c r="W738" i="1"/>
  <c r="W740" i="1"/>
  <c r="W741" i="1"/>
  <c r="W742" i="1"/>
  <c r="W743" i="1"/>
  <c r="W744" i="1"/>
  <c r="L617" i="1"/>
  <c r="W617" i="1"/>
  <c r="L507" i="1"/>
  <c r="L515" i="1"/>
  <c r="L504" i="1"/>
  <c r="L499" i="1"/>
  <c r="L436" i="1"/>
  <c r="L525" i="1"/>
  <c r="L498" i="1"/>
  <c r="L495" i="1"/>
  <c r="L455" i="1"/>
  <c r="L490" i="1"/>
  <c r="L456" i="1"/>
  <c r="L437" i="1"/>
  <c r="L438" i="1"/>
  <c r="L452" i="1"/>
  <c r="L514" i="1"/>
  <c r="L439" i="1"/>
  <c r="L429" i="1"/>
  <c r="L460" i="1"/>
  <c r="L468" i="1"/>
  <c r="L512" i="1"/>
  <c r="L454" i="1"/>
  <c r="L500" i="1"/>
  <c r="L443" i="1"/>
  <c r="L449" i="1"/>
  <c r="L480" i="1"/>
  <c r="L502" i="1"/>
  <c r="L522" i="1"/>
  <c r="L431" i="1"/>
  <c r="L451" i="1"/>
  <c r="L433" i="1"/>
  <c r="L482" i="1"/>
  <c r="L476" i="1"/>
  <c r="L447" i="1"/>
  <c r="L453" i="1"/>
  <c r="W507" i="1"/>
  <c r="W515" i="1"/>
  <c r="W499" i="1"/>
  <c r="W436" i="1"/>
  <c r="W525" i="1"/>
  <c r="W498" i="1"/>
  <c r="W495" i="1"/>
  <c r="W455" i="1"/>
  <c r="W456" i="1"/>
  <c r="W437" i="1"/>
  <c r="W438" i="1"/>
  <c r="W452" i="1"/>
  <c r="W514" i="1"/>
  <c r="W439" i="1"/>
  <c r="W460" i="1"/>
  <c r="W468" i="1"/>
  <c r="W512" i="1"/>
  <c r="W454" i="1"/>
  <c r="W500" i="1"/>
  <c r="W443" i="1"/>
  <c r="W449" i="1"/>
  <c r="W480" i="1"/>
  <c r="W502" i="1"/>
  <c r="W522" i="1"/>
  <c r="W433" i="1"/>
  <c r="W482" i="1"/>
  <c r="W476" i="1"/>
  <c r="W447" i="1"/>
  <c r="W453" i="1"/>
  <c r="L668" i="1"/>
  <c r="L631" i="1"/>
  <c r="L658" i="1"/>
  <c r="L632" i="1"/>
  <c r="L644" i="1"/>
  <c r="L657" i="1"/>
  <c r="L615" i="1"/>
  <c r="L673" i="1"/>
  <c r="L662" i="1"/>
  <c r="L618" i="1"/>
  <c r="L639" i="1"/>
  <c r="L628" i="1"/>
  <c r="L629" i="1"/>
  <c r="L640" i="1"/>
  <c r="L643" i="1"/>
  <c r="L638" i="1"/>
  <c r="L625" i="1"/>
  <c r="L635" i="1"/>
  <c r="L616" i="1"/>
  <c r="L654" i="1"/>
  <c r="L665" i="1"/>
  <c r="L669" i="1"/>
  <c r="L675" i="1"/>
  <c r="L637" i="1"/>
  <c r="L664" i="1"/>
  <c r="L634" i="1"/>
  <c r="L649" i="1"/>
  <c r="L672" i="1"/>
  <c r="L622" i="1"/>
  <c r="L627" i="1"/>
  <c r="L623" i="1"/>
  <c r="L641" i="1"/>
  <c r="L626" i="1"/>
  <c r="L619" i="1"/>
  <c r="L648" i="1"/>
  <c r="L610" i="1"/>
  <c r="L650" i="1"/>
  <c r="L651" i="1"/>
  <c r="L645" i="1"/>
  <c r="L647" i="1"/>
  <c r="L595" i="1"/>
  <c r="L600" i="1"/>
  <c r="L661" i="1"/>
  <c r="L660" i="1"/>
  <c r="L671" i="1"/>
  <c r="L656" i="1"/>
  <c r="L670" i="1"/>
  <c r="L663" i="1"/>
  <c r="L652" i="1"/>
  <c r="L666" i="1"/>
  <c r="L667" i="1"/>
  <c r="L676" i="1"/>
  <c r="L677" i="1"/>
  <c r="L659" i="1"/>
  <c r="L674" i="1"/>
  <c r="L655" i="1"/>
  <c r="L636" i="1"/>
  <c r="L653" i="1"/>
  <c r="L633" i="1"/>
  <c r="L642" i="1"/>
  <c r="L620" i="1"/>
  <c r="L646" i="1"/>
  <c r="L630" i="1"/>
  <c r="L624" i="1"/>
  <c r="L678" i="1"/>
  <c r="W668" i="1"/>
  <c r="W631" i="1"/>
  <c r="W658" i="1"/>
  <c r="W632" i="1"/>
  <c r="W644" i="1"/>
  <c r="W657" i="1"/>
  <c r="W615" i="1"/>
  <c r="W673" i="1"/>
  <c r="W662" i="1"/>
  <c r="W618" i="1"/>
  <c r="W628" i="1"/>
  <c r="W629" i="1"/>
  <c r="W640" i="1"/>
  <c r="W643" i="1"/>
  <c r="W638" i="1"/>
  <c r="W625" i="1"/>
  <c r="W635" i="1"/>
  <c r="W616" i="1"/>
  <c r="W654" i="1"/>
  <c r="W665" i="1"/>
  <c r="W669" i="1"/>
  <c r="W675" i="1"/>
  <c r="W637" i="1"/>
  <c r="W664" i="1"/>
  <c r="W634" i="1"/>
  <c r="W649" i="1"/>
  <c r="W672" i="1"/>
  <c r="W627" i="1"/>
  <c r="W623" i="1"/>
  <c r="W641" i="1"/>
  <c r="W626" i="1"/>
  <c r="W619" i="1"/>
  <c r="W648" i="1"/>
  <c r="W610" i="1"/>
  <c r="W651" i="1"/>
  <c r="W645" i="1"/>
  <c r="W647" i="1"/>
  <c r="W595" i="1"/>
  <c r="W600" i="1"/>
  <c r="W661" i="1"/>
  <c r="W660" i="1"/>
  <c r="W671" i="1"/>
  <c r="W656" i="1"/>
  <c r="W670" i="1"/>
  <c r="W663" i="1"/>
  <c r="W652" i="1"/>
  <c r="W666" i="1"/>
  <c r="W667" i="1"/>
  <c r="W676" i="1"/>
  <c r="W677" i="1"/>
  <c r="W659" i="1"/>
  <c r="W674" i="1"/>
  <c r="W655" i="1"/>
  <c r="W636" i="1"/>
  <c r="W653" i="1"/>
  <c r="W633" i="1"/>
  <c r="W642" i="1"/>
  <c r="W620" i="1"/>
  <c r="W630" i="1"/>
  <c r="W624" i="1"/>
  <c r="W678" i="1"/>
  <c r="L580" i="1"/>
  <c r="L567" i="1"/>
  <c r="L539" i="1"/>
  <c r="L557" i="1"/>
  <c r="L575" i="1"/>
  <c r="L569" i="1"/>
  <c r="L566" i="1"/>
  <c r="L578" i="1"/>
  <c r="L556" i="1"/>
  <c r="L576" i="1"/>
  <c r="L572" i="1"/>
  <c r="L573" i="1"/>
  <c r="L571" i="1"/>
  <c r="L561" i="1"/>
  <c r="L579" i="1"/>
  <c r="L562" i="1"/>
  <c r="L589" i="1"/>
  <c r="L548" i="1"/>
  <c r="L592" i="1"/>
  <c r="L554" i="1"/>
  <c r="L590" i="1"/>
  <c r="L593" i="1"/>
  <c r="L563" i="1"/>
  <c r="L552" i="1"/>
  <c r="L559" i="1"/>
  <c r="L549" i="1"/>
  <c r="L591" i="1"/>
  <c r="L565" i="1"/>
  <c r="L551" i="1"/>
  <c r="L584" i="1"/>
  <c r="L553" i="1"/>
  <c r="L586" i="1"/>
  <c r="L570" i="1"/>
  <c r="L560" i="1"/>
  <c r="L588" i="1"/>
  <c r="L564" i="1"/>
  <c r="L581" i="1"/>
  <c r="L585" i="1"/>
  <c r="L536" i="1"/>
  <c r="L555" i="1"/>
  <c r="L568" i="1"/>
  <c r="L550" i="1"/>
  <c r="L535" i="1"/>
  <c r="L582" i="1"/>
  <c r="L577" i="1"/>
  <c r="L574" i="1"/>
  <c r="L583" i="1"/>
  <c r="L558" i="1"/>
  <c r="L587" i="1"/>
  <c r="W580" i="1"/>
  <c r="W567" i="1"/>
  <c r="W557" i="1"/>
  <c r="W575" i="1"/>
  <c r="W569" i="1"/>
  <c r="W566" i="1"/>
  <c r="W578" i="1"/>
  <c r="W556" i="1"/>
  <c r="W576" i="1"/>
  <c r="W572" i="1"/>
  <c r="W573" i="1"/>
  <c r="W571" i="1"/>
  <c r="W561" i="1"/>
  <c r="W579" i="1"/>
  <c r="W562" i="1"/>
  <c r="W589" i="1"/>
  <c r="W548" i="1"/>
  <c r="W592" i="1"/>
  <c r="W554" i="1"/>
  <c r="W590" i="1"/>
  <c r="W593" i="1"/>
  <c r="W563" i="1"/>
  <c r="W552" i="1"/>
  <c r="W559" i="1"/>
  <c r="W549" i="1"/>
  <c r="W565" i="1"/>
  <c r="W584" i="1"/>
  <c r="W553" i="1"/>
  <c r="W586" i="1"/>
  <c r="W570" i="1"/>
  <c r="W560" i="1"/>
  <c r="W588" i="1"/>
  <c r="W564" i="1"/>
  <c r="W581" i="1"/>
  <c r="W585" i="1"/>
  <c r="W536" i="1"/>
  <c r="W555" i="1"/>
  <c r="W568" i="1"/>
  <c r="W550" i="1"/>
  <c r="W535" i="1"/>
  <c r="W582" i="1"/>
  <c r="W577" i="1"/>
  <c r="W574" i="1"/>
  <c r="W583" i="1"/>
  <c r="W558" i="1"/>
  <c r="W587" i="1"/>
  <c r="L224" i="1"/>
  <c r="L233" i="1"/>
  <c r="L238" i="1"/>
  <c r="L237" i="1"/>
  <c r="L227" i="1"/>
  <c r="L222" i="1"/>
  <c r="L231" i="1"/>
  <c r="L236" i="1"/>
  <c r="L232" i="1"/>
  <c r="L528" i="1"/>
  <c r="L527" i="1"/>
  <c r="L594" i="1"/>
  <c r="L614" i="1"/>
  <c r="L597" i="1"/>
  <c r="L603" i="1"/>
  <c r="L606" i="1"/>
  <c r="L599" i="1"/>
  <c r="L608" i="1"/>
  <c r="L612" i="1"/>
  <c r="L601" i="1"/>
  <c r="L604" i="1"/>
  <c r="L605" i="1"/>
  <c r="L607" i="1"/>
  <c r="L598" i="1"/>
  <c r="L611" i="1"/>
  <c r="L609" i="1"/>
  <c r="L602" i="1"/>
  <c r="L596" i="1"/>
  <c r="L613" i="1"/>
  <c r="L691" i="1"/>
  <c r="L679" i="1"/>
  <c r="L686" i="1"/>
  <c r="L694" i="1"/>
  <c r="L696" i="1"/>
  <c r="L695" i="1"/>
  <c r="L692" i="1"/>
  <c r="L684" i="1"/>
  <c r="L697" i="1"/>
  <c r="L682" i="1"/>
  <c r="L688" i="1"/>
  <c r="L680" i="1"/>
  <c r="L683" i="1"/>
  <c r="L685" i="1"/>
  <c r="W224" i="1"/>
  <c r="W233" i="1"/>
  <c r="W238" i="1"/>
  <c r="W237" i="1"/>
  <c r="W227" i="1"/>
  <c r="W222" i="1"/>
  <c r="W236" i="1"/>
  <c r="W232" i="1"/>
  <c r="W528" i="1"/>
  <c r="W527" i="1"/>
  <c r="W594" i="1"/>
  <c r="W614" i="1"/>
  <c r="W597" i="1"/>
  <c r="W603" i="1"/>
  <c r="W606" i="1"/>
  <c r="W599" i="1"/>
  <c r="W608" i="1"/>
  <c r="W612" i="1"/>
  <c r="W601" i="1"/>
  <c r="W604" i="1"/>
  <c r="W605" i="1"/>
  <c r="W607" i="1"/>
  <c r="W598" i="1"/>
  <c r="W611" i="1"/>
  <c r="W609" i="1"/>
  <c r="W602" i="1"/>
  <c r="W596" i="1"/>
  <c r="W613" i="1"/>
  <c r="W691" i="1"/>
  <c r="W679" i="1"/>
  <c r="W686" i="1"/>
  <c r="W694" i="1"/>
  <c r="W696" i="1"/>
  <c r="W695" i="1"/>
  <c r="W692" i="1"/>
  <c r="W684" i="1"/>
  <c r="W697" i="1"/>
  <c r="W682" i="1"/>
  <c r="W688" i="1"/>
  <c r="W680" i="1"/>
  <c r="W683" i="1"/>
  <c r="W685" i="1"/>
  <c r="L419" i="1"/>
  <c r="L442" i="1"/>
  <c r="L492" i="1"/>
  <c r="L448" i="1"/>
  <c r="L494" i="1"/>
  <c r="L506" i="1"/>
  <c r="L487" i="1"/>
  <c r="L503" i="1"/>
  <c r="L434" i="1"/>
  <c r="L516" i="1"/>
  <c r="L430" i="1"/>
  <c r="L467" i="1"/>
  <c r="L508" i="1"/>
  <c r="L505" i="1"/>
  <c r="L501" i="1"/>
  <c r="L470" i="1"/>
  <c r="L484" i="1"/>
  <c r="L486" i="1"/>
  <c r="L472" i="1"/>
  <c r="L524" i="1"/>
  <c r="L441" i="1"/>
  <c r="L518" i="1"/>
  <c r="L521" i="1"/>
  <c r="L465" i="1"/>
  <c r="L479" i="1"/>
  <c r="L491" i="1"/>
  <c r="L493" i="1"/>
  <c r="L420" i="1"/>
  <c r="L471" i="1"/>
  <c r="L444" i="1"/>
  <c r="L510" i="1"/>
  <c r="L488" i="1"/>
  <c r="L474" i="1"/>
  <c r="L520" i="1"/>
  <c r="L523" i="1"/>
  <c r="L445" i="1"/>
  <c r="L475" i="1"/>
  <c r="L517" i="1"/>
  <c r="L496" i="1"/>
  <c r="L485" i="1"/>
  <c r="L497" i="1"/>
  <c r="L464" i="1"/>
  <c r="L477" i="1"/>
  <c r="L481" i="1"/>
  <c r="L483" i="1"/>
  <c r="L489" i="1"/>
  <c r="L509" i="1"/>
  <c r="L457" i="1"/>
  <c r="L466" i="1"/>
  <c r="L519" i="1"/>
  <c r="L526" i="1"/>
  <c r="L459" i="1"/>
  <c r="L462" i="1"/>
  <c r="L424" i="1"/>
  <c r="L440" i="1"/>
  <c r="L432" i="1"/>
  <c r="L423" i="1"/>
  <c r="L427" i="1"/>
  <c r="L428" i="1"/>
  <c r="L513" i="1"/>
  <c r="L461" i="1"/>
  <c r="L511" i="1"/>
  <c r="W419" i="1"/>
  <c r="W442" i="1"/>
  <c r="W492" i="1"/>
  <c r="W448" i="1"/>
  <c r="W494" i="1"/>
  <c r="W506" i="1"/>
  <c r="W487" i="1"/>
  <c r="W503" i="1"/>
  <c r="W434" i="1"/>
  <c r="W516" i="1"/>
  <c r="W430" i="1"/>
  <c r="W508" i="1"/>
  <c r="W505" i="1"/>
  <c r="W501" i="1"/>
  <c r="W470" i="1"/>
  <c r="W472" i="1"/>
  <c r="W524" i="1"/>
  <c r="W518" i="1"/>
  <c r="W521" i="1"/>
  <c r="W465" i="1"/>
  <c r="W479" i="1"/>
  <c r="W491" i="1"/>
  <c r="W493" i="1"/>
  <c r="W420" i="1"/>
  <c r="W471" i="1"/>
  <c r="W510" i="1"/>
  <c r="W488" i="1"/>
  <c r="W474" i="1"/>
  <c r="W520" i="1"/>
  <c r="W523" i="1"/>
  <c r="W475" i="1"/>
  <c r="W517" i="1"/>
  <c r="W496" i="1"/>
  <c r="W485" i="1"/>
  <c r="W497" i="1"/>
  <c r="W477" i="1"/>
  <c r="W481" i="1"/>
  <c r="W483" i="1"/>
  <c r="W489" i="1"/>
  <c r="W509" i="1"/>
  <c r="W457" i="1"/>
  <c r="W466" i="1"/>
  <c r="W519" i="1"/>
  <c r="W526" i="1"/>
  <c r="W459" i="1"/>
  <c r="W462" i="1"/>
  <c r="W424" i="1"/>
  <c r="W440" i="1"/>
  <c r="W423" i="1"/>
  <c r="W427" i="1"/>
  <c r="W428" i="1"/>
  <c r="W511" i="1"/>
  <c r="L157" i="1"/>
  <c r="L144" i="1"/>
  <c r="L197" i="1"/>
  <c r="L146" i="1"/>
  <c r="L178" i="1"/>
  <c r="L176" i="1"/>
  <c r="L199" i="1"/>
  <c r="L168" i="1"/>
  <c r="L209" i="1"/>
  <c r="L138" i="1"/>
  <c r="L163" i="1"/>
  <c r="L155" i="1"/>
  <c r="L170" i="1"/>
  <c r="L183" i="1"/>
  <c r="L186" i="1"/>
  <c r="L150" i="1"/>
  <c r="L167" i="1"/>
  <c r="L193" i="1"/>
  <c r="L195" i="1"/>
  <c r="L194" i="1"/>
  <c r="L190" i="1"/>
  <c r="L210" i="1"/>
  <c r="L160" i="1"/>
  <c r="L203" i="1"/>
  <c r="L166" i="1"/>
  <c r="L201" i="1"/>
  <c r="L139" i="1"/>
  <c r="L158" i="1"/>
  <c r="L196" i="1"/>
  <c r="L164" i="1"/>
  <c r="L180" i="1"/>
  <c r="L153" i="1"/>
  <c r="L148" i="1"/>
  <c r="L175" i="1"/>
  <c r="W144" i="1"/>
  <c r="W197" i="1"/>
  <c r="W146" i="1"/>
  <c r="W178" i="1"/>
  <c r="W176" i="1"/>
  <c r="W168" i="1"/>
  <c r="W209" i="1"/>
  <c r="W138" i="1"/>
  <c r="W163" i="1"/>
  <c r="W155" i="1"/>
  <c r="W170" i="1"/>
  <c r="W183" i="1"/>
  <c r="W186" i="1"/>
  <c r="W150" i="1"/>
  <c r="W167" i="1"/>
  <c r="W193" i="1"/>
  <c r="W195" i="1"/>
  <c r="W194" i="1"/>
  <c r="W190" i="1"/>
  <c r="W210" i="1"/>
  <c r="W203" i="1"/>
  <c r="W166" i="1"/>
  <c r="W201" i="1"/>
  <c r="W180" i="1"/>
  <c r="W153" i="1"/>
  <c r="W148" i="1"/>
  <c r="L377" i="1"/>
  <c r="L330" i="1"/>
  <c r="L356" i="1"/>
  <c r="L312" i="1"/>
  <c r="L346" i="1"/>
  <c r="L275" i="1"/>
  <c r="L295" i="1"/>
  <c r="L329" i="1"/>
  <c r="L265" i="1"/>
  <c r="L261" i="1"/>
  <c r="L320" i="1"/>
  <c r="L386" i="1"/>
  <c r="L382" i="1"/>
  <c r="L308" i="1"/>
  <c r="L272" i="1"/>
  <c r="L326" i="1"/>
  <c r="L369" i="1"/>
  <c r="L334" i="1"/>
  <c r="L335" i="1"/>
  <c r="L285" i="1"/>
  <c r="L268" i="1"/>
  <c r="L345" i="1"/>
  <c r="L267" i="1"/>
  <c r="L280" i="1"/>
  <c r="L252" i="1"/>
  <c r="L244" i="1"/>
  <c r="L328" i="1"/>
  <c r="L266" i="1"/>
  <c r="L290" i="1"/>
  <c r="L271" i="1"/>
  <c r="L291" i="1"/>
  <c r="L390" i="1"/>
  <c r="L319" i="1"/>
  <c r="L306" i="1"/>
  <c r="L270" i="1"/>
  <c r="L282" i="1"/>
  <c r="L292" i="1"/>
  <c r="L263" i="1"/>
  <c r="L260" i="1"/>
  <c r="L352" i="1"/>
  <c r="L273" i="1"/>
  <c r="L304" i="1"/>
  <c r="L289" i="1"/>
  <c r="L269" i="1"/>
  <c r="L307" i="1"/>
  <c r="L372" i="1"/>
  <c r="L350" i="1"/>
  <c r="L359" i="1"/>
  <c r="L278" i="1"/>
  <c r="L358" i="1"/>
  <c r="L385" i="1"/>
  <c r="L360" i="1"/>
  <c r="L332" i="1"/>
  <c r="L337" i="1"/>
  <c r="L279" i="1"/>
  <c r="L259" i="1"/>
  <c r="L283" i="1"/>
  <c r="L392" i="1"/>
  <c r="L321" i="1"/>
  <c r="L354" i="1"/>
  <c r="L287" i="1"/>
  <c r="L299" i="1"/>
  <c r="L324" i="1"/>
  <c r="L303" i="1"/>
  <c r="L316" i="1"/>
  <c r="L336" i="1"/>
  <c r="L398" i="1"/>
  <c r="L338" i="1"/>
  <c r="L374" i="1"/>
  <c r="L349" i="1"/>
  <c r="L351" i="1"/>
  <c r="L357" i="1"/>
  <c r="L391" i="1"/>
  <c r="L264" i="1"/>
  <c r="L363" i="1"/>
  <c r="L298" i="1"/>
  <c r="L395" i="1"/>
  <c r="L317" i="1"/>
  <c r="L339" i="1"/>
  <c r="L383" i="1"/>
  <c r="L323" i="1"/>
  <c r="L378" i="1"/>
  <c r="L311" i="1"/>
  <c r="L301" i="1"/>
  <c r="L251" i="1"/>
  <c r="L379" i="1"/>
  <c r="L400" i="1"/>
  <c r="L296" i="1"/>
  <c r="L318" i="1"/>
  <c r="L367" i="1"/>
  <c r="L387" i="1"/>
  <c r="L388" i="1"/>
  <c r="L286" i="1"/>
  <c r="L340" i="1"/>
  <c r="L310" i="1"/>
  <c r="L274" i="1"/>
  <c r="L362" i="1"/>
  <c r="L364" i="1"/>
  <c r="L384" i="1"/>
  <c r="L406" i="1"/>
  <c r="L408" i="1"/>
  <c r="L405" i="1"/>
  <c r="L407" i="1"/>
  <c r="L413" i="1"/>
  <c r="L403" i="1"/>
  <c r="L412" i="1"/>
  <c r="L411" i="1"/>
  <c r="L409" i="1"/>
  <c r="L404" i="1"/>
  <c r="L410" i="1"/>
  <c r="L543" i="1"/>
  <c r="L546" i="1"/>
  <c r="L533" i="1"/>
  <c r="L545" i="1"/>
  <c r="L547" i="1"/>
  <c r="L531" i="1"/>
  <c r="L544" i="1"/>
  <c r="L537" i="1"/>
  <c r="L532" i="1"/>
  <c r="L540" i="1"/>
  <c r="L529" i="1"/>
  <c r="L538" i="1"/>
  <c r="L541" i="1"/>
  <c r="L534" i="1"/>
  <c r="L530" i="1"/>
  <c r="L542" i="1"/>
  <c r="W377" i="1"/>
  <c r="W330" i="1"/>
  <c r="W312" i="1"/>
  <c r="W346" i="1"/>
  <c r="W329" i="1"/>
  <c r="W261" i="1"/>
  <c r="W320" i="1"/>
  <c r="W386" i="1"/>
  <c r="W382" i="1"/>
  <c r="W308" i="1"/>
  <c r="W326" i="1"/>
  <c r="W285" i="1"/>
  <c r="W268" i="1"/>
  <c r="W345" i="1"/>
  <c r="W267" i="1"/>
  <c r="W252" i="1"/>
  <c r="W244" i="1"/>
  <c r="W328" i="1"/>
  <c r="W266" i="1"/>
  <c r="W290" i="1"/>
  <c r="W271" i="1"/>
  <c r="W291" i="1"/>
  <c r="W390" i="1"/>
  <c r="W319" i="1"/>
  <c r="W306" i="1"/>
  <c r="W270" i="1"/>
  <c r="W282" i="1"/>
  <c r="W292" i="1"/>
  <c r="W263" i="1"/>
  <c r="W352" i="1"/>
  <c r="W304" i="1"/>
  <c r="W289" i="1"/>
  <c r="W269" i="1"/>
  <c r="W307" i="1"/>
  <c r="W350" i="1"/>
  <c r="W278" i="1"/>
  <c r="W385" i="1"/>
  <c r="W360" i="1"/>
  <c r="W332" i="1"/>
  <c r="W337" i="1"/>
  <c r="W279" i="1"/>
  <c r="W259" i="1"/>
  <c r="W283" i="1"/>
  <c r="W392" i="1"/>
  <c r="W321" i="1"/>
  <c r="W354" i="1"/>
  <c r="W299" i="1"/>
  <c r="W324" i="1"/>
  <c r="W303" i="1"/>
  <c r="W316" i="1"/>
  <c r="W398" i="1"/>
  <c r="W338" i="1"/>
  <c r="W351" i="1"/>
  <c r="W357" i="1"/>
  <c r="W391" i="1"/>
  <c r="W264" i="1"/>
  <c r="W363" i="1"/>
  <c r="W298" i="1"/>
  <c r="W395" i="1"/>
  <c r="W339" i="1"/>
  <c r="W378" i="1"/>
  <c r="W311" i="1"/>
  <c r="W301" i="1"/>
  <c r="W251" i="1"/>
  <c r="W379" i="1"/>
  <c r="W400" i="1"/>
  <c r="W367" i="1"/>
  <c r="W387" i="1"/>
  <c r="W388" i="1"/>
  <c r="W286" i="1"/>
  <c r="W310" i="1"/>
  <c r="W274" i="1"/>
  <c r="W362" i="1"/>
  <c r="W364" i="1"/>
  <c r="W384" i="1"/>
  <c r="W406" i="1"/>
  <c r="W405" i="1"/>
  <c r="W407" i="1"/>
  <c r="W413" i="1"/>
  <c r="W403" i="1"/>
  <c r="W412" i="1"/>
  <c r="W411" i="1"/>
  <c r="W409" i="1"/>
  <c r="W404" i="1"/>
  <c r="W543" i="1"/>
  <c r="W546" i="1"/>
  <c r="W533" i="1"/>
  <c r="W545" i="1"/>
  <c r="W547" i="1"/>
  <c r="W531" i="1"/>
  <c r="W544" i="1"/>
  <c r="W537" i="1"/>
  <c r="W532" i="1"/>
  <c r="W540" i="1"/>
  <c r="W529" i="1"/>
  <c r="W538" i="1"/>
  <c r="W541" i="1"/>
  <c r="W534" i="1"/>
  <c r="W530" i="1"/>
  <c r="W542" i="1"/>
  <c r="AE46" i="4"/>
  <c r="AF46" i="4"/>
  <c r="AG46" i="4"/>
  <c r="AH46" i="4"/>
  <c r="AI46" i="4"/>
  <c r="AK46" i="4" s="1"/>
  <c r="AL46" i="4"/>
  <c r="AM46" i="4"/>
  <c r="AN46" i="4"/>
  <c r="AO46" i="4"/>
  <c r="AE47" i="4"/>
  <c r="AF47" i="4"/>
  <c r="AG47" i="4"/>
  <c r="AH47" i="4"/>
  <c r="AI47" i="4"/>
  <c r="AK47" i="4" s="1"/>
  <c r="AL47" i="4"/>
  <c r="AM47" i="4"/>
  <c r="AN47" i="4"/>
  <c r="AO47" i="4"/>
  <c r="AE48" i="4"/>
  <c r="AF48" i="4"/>
  <c r="AG48" i="4"/>
  <c r="AH48" i="4"/>
  <c r="AI48" i="4"/>
  <c r="AK48" i="4" s="1"/>
  <c r="AL48" i="4"/>
  <c r="AM48" i="4"/>
  <c r="AN48" i="4"/>
  <c r="AO48" i="4"/>
  <c r="AE49" i="4"/>
  <c r="AF49" i="4"/>
  <c r="AG49" i="4"/>
  <c r="AH49" i="4"/>
  <c r="AI49" i="4"/>
  <c r="AK49" i="4" s="1"/>
  <c r="AL49" i="4"/>
  <c r="AM49" i="4"/>
  <c r="AN49" i="4"/>
  <c r="AO49" i="4"/>
  <c r="L277" i="1"/>
  <c r="W277" i="1"/>
  <c r="L75" i="1"/>
  <c r="W75" i="1"/>
  <c r="L115" i="1"/>
  <c r="L134" i="1"/>
  <c r="L133" i="1"/>
  <c r="L130" i="1"/>
  <c r="L128" i="1"/>
  <c r="L124" i="1"/>
  <c r="L123" i="1"/>
  <c r="L117" i="1"/>
  <c r="L119" i="1"/>
  <c r="L113" i="1"/>
  <c r="L111" i="1"/>
  <c r="L114" i="1"/>
  <c r="L421" i="1"/>
  <c r="L426" i="1"/>
  <c r="L463" i="1"/>
  <c r="L446" i="1"/>
  <c r="L469" i="1"/>
  <c r="L473" i="1"/>
  <c r="L458" i="1"/>
  <c r="L478" i="1"/>
  <c r="L435" i="1"/>
  <c r="L425" i="1"/>
  <c r="L422" i="1"/>
  <c r="L450" i="1"/>
  <c r="W115" i="1"/>
  <c r="W134" i="1"/>
  <c r="W133" i="1"/>
  <c r="W130" i="1"/>
  <c r="W128" i="1"/>
  <c r="W117" i="1"/>
  <c r="W119" i="1"/>
  <c r="W113" i="1"/>
  <c r="W421" i="1"/>
  <c r="W426" i="1"/>
  <c r="W463" i="1"/>
  <c r="W446" i="1"/>
  <c r="W473" i="1"/>
  <c r="W458" i="1"/>
  <c r="W478" i="1"/>
  <c r="W435" i="1"/>
  <c r="W425" i="1"/>
  <c r="W422" i="1"/>
  <c r="L284" i="1"/>
  <c r="L368" i="1"/>
  <c r="L240" i="1"/>
  <c r="L281" i="1"/>
  <c r="L305" i="1"/>
  <c r="L258" i="1"/>
  <c r="L221" i="1"/>
  <c r="L248" i="1"/>
  <c r="L348" i="1"/>
  <c r="L246" i="1"/>
  <c r="L250" i="1"/>
  <c r="L220" i="1"/>
  <c r="L401" i="1"/>
  <c r="L288" i="1"/>
  <c r="L366" i="1"/>
  <c r="L402" i="1"/>
  <c r="L331" i="1"/>
  <c r="L249" i="1"/>
  <c r="L325" i="1"/>
  <c r="L230" i="1"/>
  <c r="L333" i="1"/>
  <c r="L381" i="1"/>
  <c r="L341" i="1"/>
  <c r="L389" i="1"/>
  <c r="L255" i="1"/>
  <c r="L300" i="1"/>
  <c r="L322" i="1"/>
  <c r="L262" i="1"/>
  <c r="L394" i="1"/>
  <c r="L313" i="1"/>
  <c r="L245" i="1"/>
  <c r="L229" i="1"/>
  <c r="L253" i="1"/>
  <c r="L309" i="1"/>
  <c r="L254" i="1"/>
  <c r="L293" i="1"/>
  <c r="L365" i="1"/>
  <c r="L314" i="1"/>
  <c r="L355" i="1"/>
  <c r="L242" i="1"/>
  <c r="L397" i="1"/>
  <c r="L315" i="1"/>
  <c r="L219" i="1"/>
  <c r="L399" i="1"/>
  <c r="L380" i="1"/>
  <c r="L276" i="1"/>
  <c r="L302" i="1"/>
  <c r="L375" i="1"/>
  <c r="L344" i="1"/>
  <c r="L343" i="1"/>
  <c r="L370" i="1"/>
  <c r="L327" i="1"/>
  <c r="L297" i="1"/>
  <c r="L247" i="1"/>
  <c r="L239" i="1"/>
  <c r="L347" i="1"/>
  <c r="L256" i="1"/>
  <c r="L371" i="1"/>
  <c r="L342" i="1"/>
  <c r="L376" i="1"/>
  <c r="L393" i="1"/>
  <c r="L396" i="1"/>
  <c r="L353" i="1"/>
  <c r="L361" i="1"/>
  <c r="L257" i="1"/>
  <c r="L373" i="1"/>
  <c r="L294" i="1"/>
  <c r="W284" i="1"/>
  <c r="W368" i="1"/>
  <c r="W305" i="1"/>
  <c r="W258" i="1"/>
  <c r="W221" i="1"/>
  <c r="W248" i="1"/>
  <c r="W250" i="1"/>
  <c r="W220" i="1"/>
  <c r="W401" i="1"/>
  <c r="W366" i="1"/>
  <c r="W402" i="1"/>
  <c r="W331" i="1"/>
  <c r="W249" i="1"/>
  <c r="W325" i="1"/>
  <c r="W230" i="1"/>
  <c r="W333" i="1"/>
  <c r="W341" i="1"/>
  <c r="W389" i="1"/>
  <c r="W255" i="1"/>
  <c r="W300" i="1"/>
  <c r="W322" i="1"/>
  <c r="W262" i="1"/>
  <c r="W313" i="1"/>
  <c r="W245" i="1"/>
  <c r="W253" i="1"/>
  <c r="W309" i="1"/>
  <c r="W254" i="1"/>
  <c r="W293" i="1"/>
  <c r="W314" i="1"/>
  <c r="W355" i="1"/>
  <c r="W315" i="1"/>
  <c r="W219" i="1"/>
  <c r="W399" i="1"/>
  <c r="W380" i="1"/>
  <c r="W276" i="1"/>
  <c r="W344" i="1"/>
  <c r="W297" i="1"/>
  <c r="W247" i="1"/>
  <c r="W256" i="1"/>
  <c r="W342" i="1"/>
  <c r="W376" i="1"/>
  <c r="W393" i="1"/>
  <c r="W353" i="1"/>
  <c r="W361" i="1"/>
  <c r="W373" i="1"/>
  <c r="W294" i="1"/>
  <c r="L415" i="1"/>
  <c r="L416" i="1"/>
  <c r="L418" i="1"/>
  <c r="L417" i="1"/>
  <c r="L414" i="1"/>
  <c r="W415" i="1"/>
  <c r="W416" i="1"/>
  <c r="W418" i="1"/>
  <c r="W417" i="1"/>
  <c r="W414" i="1"/>
  <c r="L181" i="1"/>
  <c r="L211" i="1"/>
  <c r="L182" i="1"/>
  <c r="L179" i="1"/>
  <c r="L177" i="1"/>
  <c r="L184" i="1"/>
  <c r="L149" i="1"/>
  <c r="L202" i="1"/>
  <c r="L208" i="1"/>
  <c r="L206" i="1"/>
  <c r="L165" i="1"/>
  <c r="L145" i="1"/>
  <c r="L205" i="1"/>
  <c r="L169" i="1"/>
  <c r="L192" i="1"/>
  <c r="L212" i="1"/>
  <c r="L188" i="1"/>
  <c r="L172" i="1"/>
  <c r="L162" i="1"/>
  <c r="L204" i="1"/>
  <c r="L151" i="1"/>
  <c r="L189" i="1"/>
  <c r="L191" i="1"/>
  <c r="L161" i="1"/>
  <c r="L142" i="1"/>
  <c r="L174" i="1"/>
  <c r="L198" i="1"/>
  <c r="L156" i="1"/>
  <c r="L152" i="1"/>
  <c r="L200" i="1"/>
  <c r="L171" i="1"/>
  <c r="L159" i="1"/>
  <c r="L173" i="1"/>
  <c r="L187" i="1"/>
  <c r="L147" i="1"/>
  <c r="L154" i="1"/>
  <c r="L207" i="1"/>
  <c r="L185" i="1"/>
  <c r="W181" i="1"/>
  <c r="W179" i="1"/>
  <c r="W184" i="1"/>
  <c r="W149" i="1"/>
  <c r="W202" i="1"/>
  <c r="W208" i="1"/>
  <c r="W206" i="1"/>
  <c r="W165" i="1"/>
  <c r="W145" i="1"/>
  <c r="W205" i="1"/>
  <c r="W169" i="1"/>
  <c r="W192" i="1"/>
  <c r="W212" i="1"/>
  <c r="W188" i="1"/>
  <c r="W162" i="1"/>
  <c r="W204" i="1"/>
  <c r="W151" i="1"/>
  <c r="W189" i="1"/>
  <c r="W191" i="1"/>
  <c r="W161" i="1"/>
  <c r="W142" i="1"/>
  <c r="W198" i="1"/>
  <c r="W171" i="1"/>
  <c r="W159" i="1"/>
  <c r="W187" i="1"/>
  <c r="W147" i="1"/>
  <c r="W185" i="1"/>
  <c r="L104" i="1"/>
  <c r="L85" i="1"/>
  <c r="L90" i="1"/>
  <c r="L94" i="1"/>
  <c r="L107" i="1"/>
  <c r="L82" i="1"/>
  <c r="L92" i="1"/>
  <c r="L101" i="1"/>
  <c r="L100" i="1"/>
  <c r="L99" i="1"/>
  <c r="L98" i="1"/>
  <c r="L97" i="1"/>
  <c r="L96" i="1"/>
  <c r="L95" i="1"/>
  <c r="L93" i="1"/>
  <c r="L91" i="1"/>
  <c r="L81" i="1"/>
  <c r="L88" i="1"/>
  <c r="L83" i="1"/>
  <c r="L87" i="1"/>
  <c r="L86" i="1"/>
  <c r="L79" i="1"/>
  <c r="L137" i="1"/>
  <c r="L136" i="1"/>
  <c r="W104" i="1"/>
  <c r="W94" i="1"/>
  <c r="W107" i="1"/>
  <c r="W82" i="1"/>
  <c r="W92" i="1"/>
  <c r="W100" i="1"/>
  <c r="W99" i="1"/>
  <c r="W96" i="1"/>
  <c r="W95" i="1"/>
  <c r="W93" i="1"/>
  <c r="W81" i="1"/>
  <c r="W88" i="1"/>
  <c r="W83" i="1"/>
  <c r="W86" i="1"/>
  <c r="W79" i="1"/>
  <c r="W137" i="1"/>
  <c r="W136" i="1"/>
  <c r="L106" i="1"/>
  <c r="L84" i="1"/>
  <c r="W106" i="1"/>
  <c r="W84" i="1"/>
  <c r="L135" i="1"/>
  <c r="L132" i="1"/>
  <c r="L131" i="1"/>
  <c r="L129" i="1"/>
  <c r="L125" i="1"/>
  <c r="L127" i="1"/>
  <c r="L118" i="1"/>
  <c r="L122" i="1"/>
  <c r="L121" i="1"/>
  <c r="L120" i="1"/>
  <c r="L116" i="1"/>
  <c r="L126" i="1"/>
  <c r="L110" i="1"/>
  <c r="L112" i="1"/>
  <c r="W135" i="1"/>
  <c r="W132" i="1"/>
  <c r="W131" i="1"/>
  <c r="W129" i="1"/>
  <c r="W125" i="1"/>
  <c r="W127" i="1"/>
  <c r="W122" i="1"/>
  <c r="W121" i="1"/>
  <c r="W116" i="1"/>
  <c r="W126" i="1"/>
  <c r="W110" i="1"/>
  <c r="W112" i="1"/>
  <c r="L141" i="1"/>
  <c r="L241" i="1"/>
  <c r="L218" i="1"/>
  <c r="L235" i="1"/>
  <c r="L226" i="1"/>
  <c r="L223" i="1"/>
  <c r="L228" i="1"/>
  <c r="L213" i="1"/>
  <c r="L216" i="1"/>
  <c r="L225" i="1"/>
  <c r="L243" i="1"/>
  <c r="L214" i="1"/>
  <c r="L215" i="1"/>
  <c r="L217" i="1"/>
  <c r="L234" i="1"/>
  <c r="L140" i="1"/>
  <c r="L143" i="1"/>
  <c r="W141" i="1"/>
  <c r="W218" i="1"/>
  <c r="W223" i="1"/>
  <c r="W228" i="1"/>
  <c r="W213" i="1"/>
  <c r="W216" i="1"/>
  <c r="W225" i="1"/>
  <c r="W243" i="1"/>
  <c r="W214" i="1"/>
  <c r="W217" i="1"/>
  <c r="W234" i="1"/>
  <c r="W140" i="1"/>
  <c r="W143" i="1"/>
  <c r="L15" i="1"/>
  <c r="L30" i="1"/>
  <c r="L61" i="1"/>
  <c r="L34" i="1"/>
  <c r="L36" i="1"/>
  <c r="L59" i="1"/>
  <c r="L66" i="1"/>
  <c r="L11" i="1"/>
  <c r="L49" i="1"/>
  <c r="L67" i="1"/>
  <c r="L64" i="1"/>
  <c r="L63" i="1"/>
  <c r="L52" i="1"/>
  <c r="L50" i="1"/>
  <c r="L29" i="1"/>
  <c r="L48" i="1"/>
  <c r="L46" i="1"/>
  <c r="L44" i="1"/>
  <c r="L45" i="1"/>
  <c r="L42" i="1"/>
  <c r="L35" i="1"/>
  <c r="L28" i="1"/>
  <c r="L27" i="1"/>
  <c r="L26" i="1"/>
  <c r="L23" i="1"/>
  <c r="L22" i="1"/>
  <c r="L21" i="1"/>
  <c r="L9" i="1"/>
  <c r="L20" i="1"/>
  <c r="L18" i="1"/>
  <c r="W61" i="1"/>
  <c r="W36" i="1"/>
  <c r="W59" i="1"/>
  <c r="W66" i="1"/>
  <c r="W11" i="1"/>
  <c r="W49" i="1"/>
  <c r="W67" i="1"/>
  <c r="W64" i="1"/>
  <c r="W52" i="1"/>
  <c r="W29" i="1"/>
  <c r="W48" i="1"/>
  <c r="W46" i="1"/>
  <c r="W44" i="1"/>
  <c r="W45" i="1"/>
  <c r="W42" i="1"/>
  <c r="W35" i="1"/>
  <c r="W26" i="1"/>
  <c r="W23" i="1"/>
  <c r="W22" i="1"/>
  <c r="W21" i="1"/>
  <c r="W9" i="1"/>
  <c r="W20" i="1"/>
  <c r="W18" i="1"/>
  <c r="V2" i="3"/>
  <c r="K2" i="3"/>
  <c r="L71" i="1"/>
  <c r="L69" i="1"/>
  <c r="L2" i="1"/>
  <c r="L108" i="1"/>
  <c r="L109" i="1"/>
  <c r="W71" i="1"/>
  <c r="W69" i="1"/>
  <c r="W2" i="1"/>
  <c r="W108" i="1"/>
  <c r="W109" i="1"/>
  <c r="L5" i="1"/>
  <c r="L7" i="1"/>
  <c r="L89" i="1"/>
  <c r="L105" i="1"/>
  <c r="L72" i="1"/>
  <c r="L103" i="1"/>
  <c r="L102" i="1"/>
  <c r="L6" i="1"/>
  <c r="L68" i="1"/>
  <c r="L80" i="1"/>
  <c r="L4" i="1"/>
  <c r="L78" i="1"/>
  <c r="L77" i="1"/>
  <c r="W7" i="1"/>
  <c r="W89" i="1"/>
  <c r="W105" i="1"/>
  <c r="W72" i="1"/>
  <c r="W103" i="1"/>
  <c r="W6" i="1"/>
  <c r="W68" i="1"/>
  <c r="W80" i="1"/>
  <c r="W4" i="1"/>
  <c r="W78" i="1"/>
  <c r="W77" i="1"/>
  <c r="L25" i="1"/>
  <c r="L8" i="1"/>
  <c r="L16" i="1"/>
  <c r="L55" i="1"/>
  <c r="L17" i="1"/>
  <c r="L37" i="1"/>
  <c r="L47" i="1"/>
  <c r="L57" i="1"/>
  <c r="L12" i="1"/>
  <c r="L32" i="1"/>
  <c r="L58" i="1"/>
  <c r="L19" i="1"/>
  <c r="L24" i="1"/>
  <c r="L65" i="1"/>
  <c r="L43" i="1"/>
  <c r="L40" i="1"/>
  <c r="L51" i="1"/>
  <c r="L41" i="1"/>
  <c r="L60" i="1"/>
  <c r="L33" i="1"/>
  <c r="L62" i="1"/>
  <c r="L38" i="1"/>
  <c r="L39" i="1"/>
  <c r="L31" i="1"/>
  <c r="L53" i="1"/>
  <c r="L56" i="1"/>
  <c r="L54" i="1"/>
  <c r="W25" i="1"/>
  <c r="W8" i="1"/>
  <c r="W16" i="1"/>
  <c r="W17" i="1"/>
  <c r="W37" i="1"/>
  <c r="W47" i="1"/>
  <c r="W57" i="1"/>
  <c r="W12" i="1"/>
  <c r="W19" i="1"/>
  <c r="W24" i="1"/>
  <c r="W65" i="1"/>
  <c r="W43" i="1"/>
  <c r="W40" i="1"/>
  <c r="W60" i="1"/>
  <c r="W62" i="1"/>
  <c r="W39" i="1"/>
  <c r="W31" i="1"/>
  <c r="W53" i="1"/>
  <c r="W56" i="1"/>
  <c r="W54" i="1"/>
  <c r="L73" i="1"/>
  <c r="L74" i="1"/>
  <c r="L76" i="1"/>
  <c r="L70" i="1"/>
  <c r="W73" i="1"/>
  <c r="W74" i="1"/>
  <c r="W76" i="1"/>
  <c r="W70" i="1"/>
  <c r="L14" i="1"/>
  <c r="L10" i="1"/>
  <c r="W10" i="1"/>
  <c r="L13" i="1"/>
  <c r="AE4" i="4"/>
  <c r="W13" i="1"/>
  <c r="AO45" i="4"/>
  <c r="AN45" i="4"/>
  <c r="AM45" i="4"/>
  <c r="AL45" i="4"/>
  <c r="AI45" i="4"/>
  <c r="AK45" i="4" s="1"/>
  <c r="AH45" i="4"/>
  <c r="AG45" i="4"/>
  <c r="AF45" i="4"/>
  <c r="AE45" i="4"/>
  <c r="AO44" i="4"/>
  <c r="AN44" i="4"/>
  <c r="AM44" i="4"/>
  <c r="AL44" i="4"/>
  <c r="AI44" i="4"/>
  <c r="AK44" i="4" s="1"/>
  <c r="AH44" i="4"/>
  <c r="AG44" i="4"/>
  <c r="AF44" i="4"/>
  <c r="AE44" i="4"/>
  <c r="AO43" i="4"/>
  <c r="AN43" i="4"/>
  <c r="AM43" i="4"/>
  <c r="AL43" i="4"/>
  <c r="AI43" i="4"/>
  <c r="AK43" i="4" s="1"/>
  <c r="AH43" i="4"/>
  <c r="AG43" i="4"/>
  <c r="AF43" i="4"/>
  <c r="AE43" i="4"/>
  <c r="AO42" i="4"/>
  <c r="AN42" i="4"/>
  <c r="AM42" i="4"/>
  <c r="AL42" i="4"/>
  <c r="AI42" i="4"/>
  <c r="AK42" i="4" s="1"/>
  <c r="AH42" i="4"/>
  <c r="AG42" i="4"/>
  <c r="AF42" i="4"/>
  <c r="AE42" i="4"/>
  <c r="AO41" i="4"/>
  <c r="AN41" i="4"/>
  <c r="AM41" i="4"/>
  <c r="AL41" i="4"/>
  <c r="AI41" i="4"/>
  <c r="AK41" i="4" s="1"/>
  <c r="AH41" i="4"/>
  <c r="AG41" i="4"/>
  <c r="AF41" i="4"/>
  <c r="AE41" i="4"/>
  <c r="AO40" i="4"/>
  <c r="AN40" i="4"/>
  <c r="AM40" i="4"/>
  <c r="AL40" i="4"/>
  <c r="AI40" i="4"/>
  <c r="AK40" i="4" s="1"/>
  <c r="AH40" i="4"/>
  <c r="AG40" i="4"/>
  <c r="AF40" i="4"/>
  <c r="AE40" i="4"/>
  <c r="AO39" i="4"/>
  <c r="AN39" i="4"/>
  <c r="AM39" i="4"/>
  <c r="AL39" i="4"/>
  <c r="AI39" i="4"/>
  <c r="AK39" i="4" s="1"/>
  <c r="AH39" i="4"/>
  <c r="AG39" i="4"/>
  <c r="AF39" i="4"/>
  <c r="AE39" i="4"/>
  <c r="AO38" i="4"/>
  <c r="AN38" i="4"/>
  <c r="AM38" i="4"/>
  <c r="AL38" i="4"/>
  <c r="AI38" i="4"/>
  <c r="AK38" i="4" s="1"/>
  <c r="AH38" i="4"/>
  <c r="AG38" i="4"/>
  <c r="AF38" i="4"/>
  <c r="AE38" i="4"/>
  <c r="AO37" i="4"/>
  <c r="AN37" i="4"/>
  <c r="AM37" i="4"/>
  <c r="AL37" i="4"/>
  <c r="AI37" i="4"/>
  <c r="AK37" i="4" s="1"/>
  <c r="AH37" i="4"/>
  <c r="AG37" i="4"/>
  <c r="AF37" i="4"/>
  <c r="AE37" i="4"/>
  <c r="AO36" i="4"/>
  <c r="AN36" i="4"/>
  <c r="AM36" i="4"/>
  <c r="AL36" i="4"/>
  <c r="AI36" i="4"/>
  <c r="AK36" i="4" s="1"/>
  <c r="AH36" i="4"/>
  <c r="AG36" i="4"/>
  <c r="AF36" i="4"/>
  <c r="AE36" i="4"/>
  <c r="AO35" i="4"/>
  <c r="AN35" i="4"/>
  <c r="AM35" i="4"/>
  <c r="AL35" i="4"/>
  <c r="AI35" i="4"/>
  <c r="AK35" i="4" s="1"/>
  <c r="AH35" i="4"/>
  <c r="AG35" i="4"/>
  <c r="AF35" i="4"/>
  <c r="AE35" i="4"/>
  <c r="AO34" i="4"/>
  <c r="AN34" i="4"/>
  <c r="AM34" i="4"/>
  <c r="AL34" i="4"/>
  <c r="AI34" i="4"/>
  <c r="AK34" i="4" s="1"/>
  <c r="AH34" i="4"/>
  <c r="AG34" i="4"/>
  <c r="AF34" i="4"/>
  <c r="AE34" i="4"/>
  <c r="AO33" i="4"/>
  <c r="AN33" i="4"/>
  <c r="AM33" i="4"/>
  <c r="AL33" i="4"/>
  <c r="AI33" i="4"/>
  <c r="AK33" i="4" s="1"/>
  <c r="AH33" i="4"/>
  <c r="AG33" i="4"/>
  <c r="AF33" i="4"/>
  <c r="AE33" i="4"/>
  <c r="AO32" i="4"/>
  <c r="AN32" i="4"/>
  <c r="AM32" i="4"/>
  <c r="AL32" i="4"/>
  <c r="AI32" i="4"/>
  <c r="AK32" i="4" s="1"/>
  <c r="AH32" i="4"/>
  <c r="AG32" i="4"/>
  <c r="AF32" i="4"/>
  <c r="AE32" i="4"/>
  <c r="AO31" i="4"/>
  <c r="AN31" i="4"/>
  <c r="AM31" i="4"/>
  <c r="AL31" i="4"/>
  <c r="AI31" i="4"/>
  <c r="AK31" i="4" s="1"/>
  <c r="AH31" i="4"/>
  <c r="AG31" i="4"/>
  <c r="AF31" i="4"/>
  <c r="AE31" i="4"/>
  <c r="AO30" i="4"/>
  <c r="AN30" i="4"/>
  <c r="AM30" i="4"/>
  <c r="AL30" i="4"/>
  <c r="AI30" i="4"/>
  <c r="AK30" i="4" s="1"/>
  <c r="AH30" i="4"/>
  <c r="AG30" i="4"/>
  <c r="AF30" i="4"/>
  <c r="AE30" i="4"/>
  <c r="AO29" i="4"/>
  <c r="AN29" i="4"/>
  <c r="AM29" i="4"/>
  <c r="AL29" i="4"/>
  <c r="AI29" i="4"/>
  <c r="AK29" i="4" s="1"/>
  <c r="AH29" i="4"/>
  <c r="AG29" i="4"/>
  <c r="AF29" i="4"/>
  <c r="AE29" i="4"/>
  <c r="AO28" i="4"/>
  <c r="AN28" i="4"/>
  <c r="AM28" i="4"/>
  <c r="AL28" i="4"/>
  <c r="AI28" i="4"/>
  <c r="AK28" i="4" s="1"/>
  <c r="AH28" i="4"/>
  <c r="AG28" i="4"/>
  <c r="AF28" i="4"/>
  <c r="AE28" i="4"/>
  <c r="AO27" i="4"/>
  <c r="AN27" i="4"/>
  <c r="AM27" i="4"/>
  <c r="AL27" i="4"/>
  <c r="AI27" i="4"/>
  <c r="AK27" i="4" s="1"/>
  <c r="AH27" i="4"/>
  <c r="AG27" i="4"/>
  <c r="AF27" i="4"/>
  <c r="AE27" i="4"/>
  <c r="AO26" i="4"/>
  <c r="AN26" i="4"/>
  <c r="AM26" i="4"/>
  <c r="AL26" i="4"/>
  <c r="AI26" i="4"/>
  <c r="AK26" i="4" s="1"/>
  <c r="AH26" i="4"/>
  <c r="AG26" i="4"/>
  <c r="AF26" i="4"/>
  <c r="AE26" i="4"/>
  <c r="AO25" i="4"/>
  <c r="AN25" i="4"/>
  <c r="AM25" i="4"/>
  <c r="AL25" i="4"/>
  <c r="AI25" i="4"/>
  <c r="AK25" i="4" s="1"/>
  <c r="AH25" i="4"/>
  <c r="AG25" i="4"/>
  <c r="AF25" i="4"/>
  <c r="AE25" i="4"/>
  <c r="AO24" i="4"/>
  <c r="AN24" i="4"/>
  <c r="AM24" i="4"/>
  <c r="AL24" i="4"/>
  <c r="AI24" i="4"/>
  <c r="AK24" i="4" s="1"/>
  <c r="AH24" i="4"/>
  <c r="AG24" i="4"/>
  <c r="AF24" i="4"/>
  <c r="AE24" i="4"/>
  <c r="AO23" i="4"/>
  <c r="AN23" i="4"/>
  <c r="AM23" i="4"/>
  <c r="AL23" i="4"/>
  <c r="AI23" i="4"/>
  <c r="AK23" i="4" s="1"/>
  <c r="AH23" i="4"/>
  <c r="AG23" i="4"/>
  <c r="AF23" i="4"/>
  <c r="AE23" i="4"/>
  <c r="AO22" i="4"/>
  <c r="AN22" i="4"/>
  <c r="AM22" i="4"/>
  <c r="AL22" i="4"/>
  <c r="AI22" i="4"/>
  <c r="AK22" i="4" s="1"/>
  <c r="AH22" i="4"/>
  <c r="AG22" i="4"/>
  <c r="AF22" i="4"/>
  <c r="AE22" i="4"/>
  <c r="AO21" i="4"/>
  <c r="AN21" i="4"/>
  <c r="AM21" i="4"/>
  <c r="AL21" i="4"/>
  <c r="AI21" i="4"/>
  <c r="AK21" i="4" s="1"/>
  <c r="AH21" i="4"/>
  <c r="AG21" i="4"/>
  <c r="AF21" i="4"/>
  <c r="AE21" i="4"/>
  <c r="AO20" i="4"/>
  <c r="AN20" i="4"/>
  <c r="AM20" i="4"/>
  <c r="AL20" i="4"/>
  <c r="AI20" i="4"/>
  <c r="AK20" i="4" s="1"/>
  <c r="AH20" i="4"/>
  <c r="AG20" i="4"/>
  <c r="AF20" i="4"/>
  <c r="AE20" i="4"/>
  <c r="AO19" i="4"/>
  <c r="AN19" i="4"/>
  <c r="AM19" i="4"/>
  <c r="AL19" i="4"/>
  <c r="AI19" i="4"/>
  <c r="AK19" i="4" s="1"/>
  <c r="AH19" i="4"/>
  <c r="AG19" i="4"/>
  <c r="AF19" i="4"/>
  <c r="AE19" i="4"/>
  <c r="AO18" i="4"/>
  <c r="AN18" i="4"/>
  <c r="AM18" i="4"/>
  <c r="AL18" i="4"/>
  <c r="AI18" i="4"/>
  <c r="AK18" i="4" s="1"/>
  <c r="AH18" i="4"/>
  <c r="AG18" i="4"/>
  <c r="AF18" i="4"/>
  <c r="AE18" i="4"/>
  <c r="AO17" i="4"/>
  <c r="AN17" i="4"/>
  <c r="AM17" i="4"/>
  <c r="AL17" i="4"/>
  <c r="AI17" i="4"/>
  <c r="AK17" i="4" s="1"/>
  <c r="AH17" i="4"/>
  <c r="AG17" i="4"/>
  <c r="AF17" i="4"/>
  <c r="AE17" i="4"/>
  <c r="AO16" i="4"/>
  <c r="AN16" i="4"/>
  <c r="AM16" i="4"/>
  <c r="AL16" i="4"/>
  <c r="AI16" i="4"/>
  <c r="AK16" i="4" s="1"/>
  <c r="AH16" i="4"/>
  <c r="AG16" i="4"/>
  <c r="AF16" i="4"/>
  <c r="AE16" i="4"/>
  <c r="AO15" i="4"/>
  <c r="AN15" i="4"/>
  <c r="AM15" i="4"/>
  <c r="AL15" i="4"/>
  <c r="AI15" i="4"/>
  <c r="AK15" i="4" s="1"/>
  <c r="AH15" i="4"/>
  <c r="AG15" i="4"/>
  <c r="AF15" i="4"/>
  <c r="AE15" i="4"/>
  <c r="AO14" i="4"/>
  <c r="AN14" i="4"/>
  <c r="AM14" i="4"/>
  <c r="AL14" i="4"/>
  <c r="AI14" i="4"/>
  <c r="AK14" i="4" s="1"/>
  <c r="AH14" i="4"/>
  <c r="AG14" i="4"/>
  <c r="AF14" i="4"/>
  <c r="AE14" i="4"/>
  <c r="AO13" i="4"/>
  <c r="AN13" i="4"/>
  <c r="AM13" i="4"/>
  <c r="AL13" i="4"/>
  <c r="AI13" i="4"/>
  <c r="AK13" i="4" s="1"/>
  <c r="AH13" i="4"/>
  <c r="AG13" i="4"/>
  <c r="AF13" i="4"/>
  <c r="AE13" i="4"/>
  <c r="AO12" i="4"/>
  <c r="AN12" i="4"/>
  <c r="AM12" i="4"/>
  <c r="AL12" i="4"/>
  <c r="AI12" i="4"/>
  <c r="AK12" i="4" s="1"/>
  <c r="AH12" i="4"/>
  <c r="AG12" i="4"/>
  <c r="AF12" i="4"/>
  <c r="AE12" i="4"/>
  <c r="AO11" i="4"/>
  <c r="AN11" i="4"/>
  <c r="AM11" i="4"/>
  <c r="AL11" i="4"/>
  <c r="AI11" i="4"/>
  <c r="AK11" i="4" s="1"/>
  <c r="AH11" i="4"/>
  <c r="AG11" i="4"/>
  <c r="AF11" i="4"/>
  <c r="AE11" i="4"/>
  <c r="AO10" i="4"/>
  <c r="AN10" i="4"/>
  <c r="AM10" i="4"/>
  <c r="AL10" i="4"/>
  <c r="AI10" i="4"/>
  <c r="AK10" i="4" s="1"/>
  <c r="AH10" i="4"/>
  <c r="AG10" i="4"/>
  <c r="AF10" i="4"/>
  <c r="AE10" i="4"/>
  <c r="AO9" i="4"/>
  <c r="AN9" i="4"/>
  <c r="AM9" i="4"/>
  <c r="AL9" i="4"/>
  <c r="AI9" i="4"/>
  <c r="AK9" i="4" s="1"/>
  <c r="AH9" i="4"/>
  <c r="AG9" i="4"/>
  <c r="AF9" i="4"/>
  <c r="AE9" i="4"/>
  <c r="AO8" i="4"/>
  <c r="AN8" i="4"/>
  <c r="AM8" i="4"/>
  <c r="AL8" i="4"/>
  <c r="AI8" i="4"/>
  <c r="AK8" i="4" s="1"/>
  <c r="AH8" i="4"/>
  <c r="AG8" i="4"/>
  <c r="AF8" i="4"/>
  <c r="AE8" i="4"/>
  <c r="AO7" i="4"/>
  <c r="AN7" i="4"/>
  <c r="AM7" i="4"/>
  <c r="AL7" i="4"/>
  <c r="AI7" i="4"/>
  <c r="AK7" i="4" s="1"/>
  <c r="AH7" i="4"/>
  <c r="AG7" i="4"/>
  <c r="AF7" i="4"/>
  <c r="AE7" i="4"/>
  <c r="AO6" i="4"/>
  <c r="AN6" i="4"/>
  <c r="AM6" i="4"/>
  <c r="AL6" i="4"/>
  <c r="AI6" i="4"/>
  <c r="AK6" i="4" s="1"/>
  <c r="AH6" i="4"/>
  <c r="AG6" i="4"/>
  <c r="AF6" i="4"/>
  <c r="AE6" i="4"/>
  <c r="AO5" i="4"/>
  <c r="AN5" i="4"/>
  <c r="AM5" i="4"/>
  <c r="AL5" i="4"/>
  <c r="AI5" i="4"/>
  <c r="AK5" i="4" s="1"/>
  <c r="AH5" i="4"/>
  <c r="AG5" i="4"/>
  <c r="AF5" i="4"/>
  <c r="AE5" i="4"/>
  <c r="AO4" i="4"/>
  <c r="AN4" i="4"/>
  <c r="AM4" i="4"/>
  <c r="AL4" i="4"/>
  <c r="AI4" i="4"/>
  <c r="AK4" i="4" s="1"/>
  <c r="AH4" i="4"/>
  <c r="AG4" i="4"/>
  <c r="AF4" i="4"/>
</calcChain>
</file>

<file path=xl/sharedStrings.xml><?xml version="1.0" encoding="utf-8"?>
<sst xmlns="http://schemas.openxmlformats.org/spreadsheetml/2006/main" count="25624" uniqueCount="6651">
  <si>
    <t>ACC.NO</t>
  </si>
  <si>
    <t>NAMES</t>
  </si>
  <si>
    <t>FPR</t>
  </si>
  <si>
    <t>O/N</t>
  </si>
  <si>
    <t>CYC</t>
  </si>
  <si>
    <t>MOBILE</t>
  </si>
  <si>
    <t>BLOCK</t>
  </si>
  <si>
    <t>EXCESS LIMIT</t>
  </si>
  <si>
    <t>CREDIT</t>
  </si>
  <si>
    <t>ENR</t>
  </si>
  <si>
    <t>EMI 0/S</t>
  </si>
  <si>
    <t>CURR_BAL</t>
  </si>
  <si>
    <t>PRI</t>
  </si>
  <si>
    <t>NORM</t>
  </si>
  <si>
    <t>STAB</t>
  </si>
  <si>
    <t>PAID/UNPAID</t>
  </si>
  <si>
    <t>STATUS</t>
  </si>
  <si>
    <t>AMOUNT</t>
  </si>
  <si>
    <t>PENDING</t>
  </si>
  <si>
    <t>DATE</t>
  </si>
  <si>
    <t>DONE BY</t>
  </si>
  <si>
    <t>MODE</t>
  </si>
  <si>
    <t>CALLER</t>
  </si>
  <si>
    <t>CAT ALLO</t>
  </si>
  <si>
    <t>ADD 1</t>
  </si>
  <si>
    <t>ADD 2</t>
  </si>
  <si>
    <t>LOCATION</t>
  </si>
  <si>
    <t>AREA</t>
  </si>
  <si>
    <t>FOS NAME</t>
  </si>
  <si>
    <t>MARC</t>
  </si>
  <si>
    <t>MARC ID</t>
  </si>
  <si>
    <t>MARC PW</t>
  </si>
  <si>
    <t>TC DISPO</t>
  </si>
  <si>
    <t>TC REMARK</t>
  </si>
  <si>
    <t>VISITS</t>
  </si>
  <si>
    <t>FOS DISPO</t>
  </si>
  <si>
    <t>REMARKS</t>
  </si>
  <si>
    <t>V DATE</t>
  </si>
  <si>
    <t>LAST PAYMENT DATE</t>
  </si>
  <si>
    <t>LAST PAYMENT AMOUNT</t>
  </si>
  <si>
    <t>CARD TYPE</t>
  </si>
  <si>
    <t>ALLOC DATE</t>
  </si>
  <si>
    <t>X</t>
  </si>
  <si>
    <t/>
  </si>
  <si>
    <t>UNPAID</t>
  </si>
  <si>
    <t>RF</t>
  </si>
  <si>
    <t>NOT VISITED</t>
  </si>
  <si>
    <t>Amazon Pay ICICI Bank Credit Card</t>
  </si>
  <si>
    <t>ICICI Bank Coral RuPay Credit Card</t>
  </si>
  <si>
    <t>Row Labels</t>
  </si>
  <si>
    <t>Grand Total</t>
  </si>
  <si>
    <t>Sum of AMOUNT</t>
  </si>
  <si>
    <t>N</t>
  </si>
  <si>
    <t>KDP</t>
  </si>
  <si>
    <t>TS</t>
  </si>
  <si>
    <t>SRIKANTH/ANANTHAPUR , 9182336153</t>
  </si>
  <si>
    <t>KRISHNA/EAST , 8985743534</t>
  </si>
  <si>
    <t>PAID</t>
  </si>
  <si>
    <t>LIKITH/KHAMMAM , 7981063429</t>
  </si>
  <si>
    <t>PRASHANTH/TS , 9652386391</t>
  </si>
  <si>
    <t>TULASI/NELLORE , 8897907043</t>
  </si>
  <si>
    <t>%</t>
  </si>
  <si>
    <t>Total %</t>
  </si>
  <si>
    <t>MIS</t>
  </si>
  <si>
    <t>COUNT.</t>
  </si>
  <si>
    <t>Total COUNT.</t>
  </si>
  <si>
    <t>ENR.</t>
  </si>
  <si>
    <t>Total ENR.</t>
  </si>
  <si>
    <t>AMT.</t>
  </si>
  <si>
    <t>Total AMT.</t>
  </si>
  <si>
    <t>EMP NAME</t>
  </si>
  <si>
    <t>COUNT</t>
  </si>
  <si>
    <t>TARGET %</t>
  </si>
  <si>
    <t>TARGET ENR</t>
  </si>
  <si>
    <t>ACHIEVED %</t>
  </si>
  <si>
    <t>ACHIEVED ENR</t>
  </si>
  <si>
    <t>PENDING VISIT</t>
  </si>
  <si>
    <t>CASH COLL</t>
  </si>
  <si>
    <t>DueDate</t>
  </si>
  <si>
    <t>NA</t>
  </si>
  <si>
    <t>GTR</t>
  </si>
  <si>
    <t>TEAM</t>
  </si>
  <si>
    <t>DURGA</t>
  </si>
  <si>
    <t>NAYAB/PRODDATUR , 6305351203</t>
  </si>
  <si>
    <t>O</t>
  </si>
  <si>
    <t>KARIMNAGAR</t>
  </si>
  <si>
    <t>SRIKANTH/NALGONDA , 9603185469</t>
  </si>
  <si>
    <t>INAMUL/GTR , 8367073588</t>
  </si>
  <si>
    <t>UNPAID Total</t>
  </si>
  <si>
    <t>SANTHOSH/KARIMNAGAR , 9963176593</t>
  </si>
  <si>
    <t>RABBANI/KURNOOL , 9052323785</t>
  </si>
  <si>
    <t>ALL</t>
  </si>
  <si>
    <t>MADHU/NANDYAL , 9550812050</t>
  </si>
  <si>
    <t>MAHESH/NIZAMABAD , 9177861515</t>
  </si>
  <si>
    <t>SWAGATH/ADILABAD , 9666210999</t>
  </si>
  <si>
    <t>RE</t>
  </si>
  <si>
    <t>ICICI Sapphiro Master PLT Chip Card</t>
  </si>
  <si>
    <t>RTP</t>
  </si>
  <si>
    <t>PRAVEEN/ADILABAD , 8639562425</t>
  </si>
  <si>
    <t>RANJITH/TS , 7794980652</t>
  </si>
  <si>
    <t>ONGOLE</t>
  </si>
  <si>
    <t>6528682033785002</t>
  </si>
  <si>
    <t>MR Bobba Venkateswara Rao</t>
  </si>
  <si>
    <t>9985615707</t>
  </si>
  <si>
    <t>Ssd@9290</t>
  </si>
  <si>
    <t>Sgr@9290</t>
  </si>
  <si>
    <t>SUMANTH</t>
  </si>
  <si>
    <t>6528681841755009</t>
  </si>
  <si>
    <t>MR MADISHETTY PRAVEEN KUMAR</t>
  </si>
  <si>
    <t>9030107333</t>
  </si>
  <si>
    <t>6-6-1046 SHIVAJI NAGAR Karimnagar NR SUBASHCHANDRA BOSE STATUE KARIM NAGAR TNG 505001</t>
  </si>
  <si>
    <t>NANDYAL</t>
  </si>
  <si>
    <t>CC</t>
  </si>
  <si>
    <t>HARI</t>
  </si>
  <si>
    <t>SAGAR/WARANGAL , 7396297747</t>
  </si>
  <si>
    <t>ARAVIND/GTR , 9154094854</t>
  </si>
  <si>
    <t>SEKAR/TIRUPATI , 8500444601</t>
  </si>
  <si>
    <t>(blank)</t>
  </si>
  <si>
    <t>4315811595587009</t>
  </si>
  <si>
    <t>Mr HARSHA Sree Devisetti</t>
  </si>
  <si>
    <t>9966533447</t>
  </si>
  <si>
    <t>9-19-4 perala andhra ratna nagar beside perala high school Prakasam ANP 523157</t>
  </si>
  <si>
    <t>2-6 BANAGANAPALLI MANDAL MAIN STREET I KOTHAPETA NANDYAL ANP 518186</t>
  </si>
  <si>
    <t xml:space="preserve">VENKY EDTID VISIONS "VIJAYA COMPLEX , SHOP NO 116" "KURNOOL ROAD, ONGOLE" "KURNOOL ROAD, ONGOLE" ONGOLE ANP 523001 </t>
  </si>
  <si>
    <t xml:space="preserve">MEGHANA LADIES EMPORIUM NO 4-1-283 ANNAPURNA COMPLEC NR SAGAR   Karimnagar TNG 505101 </t>
  </si>
  <si>
    <t xml:space="preserve">HARSHA ENTERPRISES H NO 2-95 ILLUNKOTHAPALLE BANAGANPALLI ILLUNKOTHAPALLE BANAGANPALLI NANDYAL ANP 518186 </t>
  </si>
  <si>
    <t>20TH JUNE</t>
  </si>
  <si>
    <t>UCIC CODE</t>
  </si>
  <si>
    <t>0000000184887753</t>
  </si>
  <si>
    <t>0000000007953656</t>
  </si>
  <si>
    <t>0000000144004080</t>
  </si>
  <si>
    <t>ANIL</t>
  </si>
  <si>
    <t>HEMANTH</t>
  </si>
  <si>
    <t>CHAITANYA</t>
  </si>
  <si>
    <t>4748469233463005</t>
  </si>
  <si>
    <t>4315811789647007</t>
  </si>
  <si>
    <t>4315812137870002</t>
  </si>
  <si>
    <t>4315812004703005</t>
  </si>
  <si>
    <t>MR Vasala Srinivas</t>
  </si>
  <si>
    <t>MR Pudari Praveen Kumar</t>
  </si>
  <si>
    <t>MR Jadala Rajashekar</t>
  </si>
  <si>
    <t>MR NAGALAKSHMI SINGH M</t>
  </si>
  <si>
    <t>9912003002</t>
  </si>
  <si>
    <t>9493110442</t>
  </si>
  <si>
    <t>9908484634</t>
  </si>
  <si>
    <t>9030558592</t>
  </si>
  <si>
    <t>PEDDAPALLI</t>
  </si>
  <si>
    <t>NELLORE</t>
  </si>
  <si>
    <t>NLR</t>
  </si>
  <si>
    <t>H No 2-97 Karimnagar mandal Karimnagar mandal Karimnagar KARIMNAGAR TNG505186</t>
  </si>
  <si>
    <t>3-10/12 Jagtial mandal dharur Karimnagar KARIMNAGAR TNG505455</t>
  </si>
  <si>
    <t>H NO 3-70/1 Karimnagar Mandal Karimnagar Mandal Karimnagar KARIMNAGAR TNG505186</t>
  </si>
  <si>
    <t>"D NO-,20/259,TEMPLE,MULAPET,NELLORE," "ANASUYAMMA NILAYAM,NR SHIVA"   NELLORE ANP524003</t>
  </si>
  <si>
    <t xml:space="preserve">VODAFONE IDEA H NO 2-97 MAQDUMPUR KARIMNAGAR MAQDUMPUR KARIMNAGAR KARIMNAGAR TNG 505186 </t>
  </si>
  <si>
    <t xml:space="preserve">SHIVA SAI SERVICES H. NO 3-10/12 DHAROOR DHAROOR KARIMNAGAR TNG 505327 </t>
  </si>
  <si>
    <t xml:space="preserve">AUTORABIT HYNDAVA TECHNO PARK HITECH CITY HITECH CITY HYDERABAD TNG 500081 </t>
  </si>
  <si>
    <t xml:space="preserve">GEETHANJALI INST OF SCI AND TECH Bombay highway Gangavaram village Gangavaram village NELLORE ANP 524137 </t>
  </si>
  <si>
    <t>ICICI Bank HPCL Super Saver Visa Credit Card</t>
  </si>
  <si>
    <t>0000000113176129</t>
  </si>
  <si>
    <t>0000000129697931</t>
  </si>
  <si>
    <t>0000000141075127</t>
  </si>
  <si>
    <t>0000000068462732</t>
  </si>
  <si>
    <t>SAMBA</t>
  </si>
  <si>
    <t>6528683137089002</t>
  </si>
  <si>
    <t>6528680696986008</t>
  </si>
  <si>
    <t>6528681986924006</t>
  </si>
  <si>
    <t>5241933656084001</t>
  </si>
  <si>
    <t>6528682005517003</t>
  </si>
  <si>
    <t>6528680570503002</t>
  </si>
  <si>
    <t>4315812313128001</t>
  </si>
  <si>
    <t>6528681454854008</t>
  </si>
  <si>
    <t>6528680141351006</t>
  </si>
  <si>
    <t>6528680604530005</t>
  </si>
  <si>
    <t>6528680681207006</t>
  </si>
  <si>
    <t>4748461141614001</t>
  </si>
  <si>
    <t>6528681119369004</t>
  </si>
  <si>
    <t>6528681150511001</t>
  </si>
  <si>
    <t>5241935758207000</t>
  </si>
  <si>
    <t>6528681370935014</t>
  </si>
  <si>
    <t>4748469515361000</t>
  </si>
  <si>
    <t>6528682190024013</t>
  </si>
  <si>
    <t>6528682191738009</t>
  </si>
  <si>
    <t>6528682033572004</t>
  </si>
  <si>
    <t>4375515862007024</t>
  </si>
  <si>
    <t>5241933447783010</t>
  </si>
  <si>
    <t>6528681825561001</t>
  </si>
  <si>
    <t>4035628004828009</t>
  </si>
  <si>
    <t>6528680815274005</t>
  </si>
  <si>
    <t>6528680377559009</t>
  </si>
  <si>
    <t>6528682031307007</t>
  </si>
  <si>
    <t>MR PENTA MOHAN</t>
  </si>
  <si>
    <t>MR GELLI SANJEEV KUMAR</t>
  </si>
  <si>
    <t>MR Arveti Chetan</t>
  </si>
  <si>
    <t>MR PAVULURI NIRANJANRAO</t>
  </si>
  <si>
    <t>MR Rangabatla Krishna Sastry</t>
  </si>
  <si>
    <t>MR SRAVAN KUMAR BEDAPALLI</t>
  </si>
  <si>
    <t>MR. KANITHI SRINIVASARAO</t>
  </si>
  <si>
    <t>MR NARLAPALLY BHARGAV KUMAR</t>
  </si>
  <si>
    <t>MR Guggilla Suman Goud</t>
  </si>
  <si>
    <t>MS GRANDHI VENKATANAGR SURYAKUMAR</t>
  </si>
  <si>
    <t>MR MAHAMMAD NAVAJ</t>
  </si>
  <si>
    <t>MR MUNAGANTI KUMAR</t>
  </si>
  <si>
    <t>MR ANURAG DUBEY</t>
  </si>
  <si>
    <t>MR PARIGALA SWAMULU</t>
  </si>
  <si>
    <t>MS SYED BEGUM</t>
  </si>
  <si>
    <t>MR KOTILINGAM K</t>
  </si>
  <si>
    <t>MR GANDI ADITYA</t>
  </si>
  <si>
    <t>MR DUBBA ISSACRAJU</t>
  </si>
  <si>
    <t>MR PONNAM NARESH</t>
  </si>
  <si>
    <t>MR Durgam Shyam Sunder</t>
  </si>
  <si>
    <t>MR. SAMPATH KUMAR KOTA</t>
  </si>
  <si>
    <t>MR. SRIHARI SANKALAMADDI</t>
  </si>
  <si>
    <t>MR KUMMARI AVINASH</t>
  </si>
  <si>
    <t>MR AYUDHAM VENKATESWARLU</t>
  </si>
  <si>
    <t>MR UNDURTHI ANIL</t>
  </si>
  <si>
    <t>MR SHAIK RIYAZ AHAMED</t>
  </si>
  <si>
    <t>MR Nagothi Balagangadhar Tilak</t>
  </si>
  <si>
    <t>9966732121</t>
  </si>
  <si>
    <t>9703308562</t>
  </si>
  <si>
    <t>8897279747</t>
  </si>
  <si>
    <t>9848667579</t>
  </si>
  <si>
    <t>9441104844</t>
  </si>
  <si>
    <t>9908595043</t>
  </si>
  <si>
    <t>9848249618</t>
  </si>
  <si>
    <t>7794065431</t>
  </si>
  <si>
    <t>9000633577</t>
  </si>
  <si>
    <t>8686879988</t>
  </si>
  <si>
    <t>9398459873</t>
  </si>
  <si>
    <t>9848181079</t>
  </si>
  <si>
    <t>7275925608</t>
  </si>
  <si>
    <t>9652796980</t>
  </si>
  <si>
    <t>8977956661</t>
  </si>
  <si>
    <t>7032451360</t>
  </si>
  <si>
    <t>8143653721</t>
  </si>
  <si>
    <t>9849310046</t>
  </si>
  <si>
    <t>9858274567</t>
  </si>
  <si>
    <t>7416186352</t>
  </si>
  <si>
    <t>9985897589</t>
  </si>
  <si>
    <t>9985883962</t>
  </si>
  <si>
    <t>9177997691</t>
  </si>
  <si>
    <t>6305031721</t>
  </si>
  <si>
    <t>6309515256</t>
  </si>
  <si>
    <t>7032180781</t>
  </si>
  <si>
    <t>7013883770</t>
  </si>
  <si>
    <t>W</t>
  </si>
  <si>
    <t>h.no.11 16 15 kashibugga    WARANGAL TNG 506002</t>
  </si>
  <si>
    <t>APCOTE Plot no 95 road no 5 road no 5 VIJAYAWADA ANP 520008</t>
  </si>
  <si>
    <t>AS ENTERPRISES "13-584,INDIRA NAGAR,RS ROAD DHARMAVARAM" DHARMAVARAM DHARMAVARAM HINDUPUR ANP 515671</t>
  </si>
  <si>
    <t>NIRANJAN CONSTRUCTIONS 3- 28-18/82 7TH LINE BRINDAVAN GARDENS   GUNTUR ANP 522006</t>
  </si>
  <si>
    <t>APSACS GOVERNAMENT.HOSPITAL BESIDE.MARKETYARD. BESIDE.MARKETYARD. KAKINADA ANP 533401</t>
  </si>
  <si>
    <t>AMARA RAJA BATTERIES LIMITED NOONEGUNDLA PALLI BANGARUPALEM MANDAL BANGARUPALEM MANDAL CHITTOOR ANP 517416</t>
  </si>
  <si>
    <t>KINADA SEAPORTS LTD KAKINADA SEA PORT LTD 2ND FLOOR PORT ADMINISTRATIVE BUILDING PORT ADMINISTRATIVE BUILDING KAKINADA ANP 533007</t>
  </si>
  <si>
    <t>SYSTRA MVA CONSULTING INDIA PVT LTD TDBAPTALA GUNTUR   GUNTUR ANP 522101</t>
  </si>
  <si>
    <t>RAJALAKSHMI WINES METPALLY BOYA WARD HNO3-3-15  METPALLY BOYAWADA DISTRICT JA HNO3-3-15  METPALLY BOYAWADA DISTRICT JA KARIMNAGAR TNG 505325</t>
  </si>
  <si>
    <t>SRI LAKSHMI ENTERPRISES HNO 19-1-390/3 SUDHA COLONY   PEDDAPURAM ANP 533437</t>
  </si>
  <si>
    <t>SOUTHERN POWER DISTRIBUTION CO AE/OP/TSSPDCC ALLADURG SECTION MEDAK SECTION MEDAK SANGAREDDY TNG 502269</t>
  </si>
  <si>
    <t>TEAM LEASE INDIA PVT LTD HYDERBAD MADAPUR MADAPUR HYDERABAD TNG 500081</t>
  </si>
  <si>
    <t>AUROBINDO PHARMA LTD UNIT V11 SEZ SY NO 411 TO 458 GREEN INDUSTRIAL PARK POLEPALLY JADOHARLA INDUSTRIAL PARK POLEPALLY JADOHARLA Mahbubnagar TNG 509301</t>
  </si>
  <si>
    <t>Pns.marketing.private.limited 26.256.a7 Pav.complex.R.s.road Pav.complex.R.s.road NANDYAL ANP 518501</t>
  </si>
  <si>
    <t>GOVERNMENT OF ANDHRA PRADESH ANIMAL HUSBANDRY DEPT NEAR KOTIREDDY CIRCLE NEAR KOTIREDDY CIRCLE CUDDAPAH ANP 516003</t>
  </si>
  <si>
    <t>INTERISE "TOLL PLAZA, KM 114, NH 44. SHAKAPUR"   MAHBOOBNAGAR TNG 509382</t>
  </si>
  <si>
    <t>BAJAJ FINANCE LIMITED 7-2-27 CHITOORI COMPLEX ABOVE BANK OF MAHARASTRA MAIN ROAD AMALAPURAM MAHARASTRA MAIN ROAD AMALAPURAM AMALAPURAM ANP 533201</t>
  </si>
  <si>
    <t>GENERAL STATE GOVERNEMENT GOVT OF TELANGANA SC CORPORATION SAMKSHEMA BHAVAN COLLECTORATE COMPLEXE SAMKSHEMA BHAVAN COLLECTORATE COMPLEXE NALGONDA TNG 508001</t>
  </si>
  <si>
    <t>RELIANCE JIO LIMITED RAMAKRISHNA TOWERS   GUDIVADA ANP 521301</t>
  </si>
  <si>
    <t>PREM.KIRANA.AND.GENERAL.STORE EDAVELLY KAIRGAM. KAIRGAM. ADILABAD TNG 504292</t>
  </si>
  <si>
    <t>ICICI BANK LTD D NO 23/1462 GT ROAD 1ST FLOOR DANDAYADHAPURA   NELLORE ANP 524001</t>
  </si>
  <si>
    <t>ATOS GLOBAL IT SOLUTIONS AND SERVICE PVT AIROLI KNOWLEDGE PARK AIROLI NAVI MUMBAI BUILDING NO 3 7TH FLOOR GIGAPLEX SPECIAL BUILDING NO 3 7TH FLOOR GIGAPLEX SPECIAL MUMBAI MAH 400708</t>
  </si>
  <si>
    <t>VALUELABS SOLUTIONS LLP 360 INDIA 360 GACHIBOWLI HYDERABAD HYDERABAD HYDERABAD TNG 500032</t>
  </si>
  <si>
    <t>CGI "DLF Cyber City, Indira Nagar"   HYD TNG 500032</t>
  </si>
  <si>
    <t>SMFG INDIA CREDIT CO LTD "1 ST FLOOR,DONO 121-1,CANAL ROAD," "RAVULAPALEM," "RAVULAPALEM," RAJAHMUNDRY ANP 533238</t>
  </si>
  <si>
    <t>Heera Hospital Agadi 4 Roads Bellary Road Bellary Road CUDDAPAH ANP 516001</t>
  </si>
  <si>
    <t>MANASA.ENTERPRISES 9.68.20.COTTON.FACTORY.STREET.KOTHAPET.V 9.68.20.COTTON.FACTORY.STREET. 9.68.20.COTTON.FACTORY.STREET. VIJAYAWADA ANP 520001</t>
  </si>
  <si>
    <t>WARANGAL</t>
  </si>
  <si>
    <t>VIJAYAWADA</t>
  </si>
  <si>
    <t>HINDUPUR</t>
  </si>
  <si>
    <t>GUNTUR</t>
  </si>
  <si>
    <t>KAKINADA</t>
  </si>
  <si>
    <t>PALAMANER</t>
  </si>
  <si>
    <t>NALGONDA</t>
  </si>
  <si>
    <t>PEDDAPURAM</t>
  </si>
  <si>
    <t>MEDAK</t>
  </si>
  <si>
    <t>KHAMMAM</t>
  </si>
  <si>
    <t>JEDCHERLA</t>
  </si>
  <si>
    <t>CUDDAPAH</t>
  </si>
  <si>
    <t>MACHILIPATNAM</t>
  </si>
  <si>
    <t>ADILABAD</t>
  </si>
  <si>
    <t>SURYAPET</t>
  </si>
  <si>
    <t>AMALAPURAM</t>
  </si>
  <si>
    <t>ICICI Bank MasterCard  Platinum chip Credit Card</t>
  </si>
  <si>
    <t>MakeMyTrip ICICI Bank Platinum Credit Card</t>
  </si>
  <si>
    <t>ICICI Bank HPCL Super Saver Master Credit Card</t>
  </si>
  <si>
    <t>ICICI Bank Platinum Chip Credit Card</t>
  </si>
  <si>
    <t>ICICI Bank HPCL Super Saver RuPay Credit Card</t>
  </si>
  <si>
    <t>ICICI Bank HPCL Coral VISA Credit Card</t>
  </si>
  <si>
    <t>ICICI Bank Rubyx Visa Credit Card</t>
  </si>
  <si>
    <t>22ND JUNE</t>
  </si>
  <si>
    <t>0000000035323826</t>
  </si>
  <si>
    <t>0000000029011273</t>
  </si>
  <si>
    <t>0000000032347424</t>
  </si>
  <si>
    <t>0000000012227400</t>
  </si>
  <si>
    <t>0000000032375678</t>
  </si>
  <si>
    <t>0000000028720759</t>
  </si>
  <si>
    <t>0000000020531165</t>
  </si>
  <si>
    <t>0000000030683927</t>
  </si>
  <si>
    <t>0000000027939072</t>
  </si>
  <si>
    <t>0000000028787207</t>
  </si>
  <si>
    <t>0000000028973075</t>
  </si>
  <si>
    <t>0000000021695316</t>
  </si>
  <si>
    <t>0000000029852206</t>
  </si>
  <si>
    <t>0000000029924346</t>
  </si>
  <si>
    <t>0000000027282517</t>
  </si>
  <si>
    <t>0000000030454807</t>
  </si>
  <si>
    <t>0000000025915043</t>
  </si>
  <si>
    <t>0000000032730987</t>
  </si>
  <si>
    <t>0000000032735188</t>
  </si>
  <si>
    <t>0000000032416214</t>
  </si>
  <si>
    <t>0000000009695304</t>
  </si>
  <si>
    <t>0000000010543299</t>
  </si>
  <si>
    <t>0000000031905943</t>
  </si>
  <si>
    <t>0000000034413539</t>
  </si>
  <si>
    <t>0000000029247705</t>
  </si>
  <si>
    <t>0000000028337796</t>
  </si>
  <si>
    <t>0000000032413290</t>
  </si>
  <si>
    <t>VJW</t>
  </si>
  <si>
    <t>EG&amp;WG</t>
  </si>
  <si>
    <t>"21-10/3-65 SRINAGAR 2ND,LANE,RAILWAY,TRA" SATYANARAYANAPURAM VIJAYAWADA   VIJAYAWADA ANP 520011</t>
  </si>
  <si>
    <t>H NO 3-3-15 Met Pally Mandal Boyawada Karimnagar KARIMNAGAR TNG 505325</t>
  </si>
  <si>
    <t>13-584 Dharmavaram Indira Nagar Ananthapuramu HINDUPUR ANP 515671</t>
  </si>
  <si>
    <t>Door.no.1.67.3 KANKIPATIVARIGRUVU SEETAMPURAM..TUNI NEAR YSR STATUE KAKINADA ANP 533401</t>
  </si>
  <si>
    <t>"1-172,YARRAGADDA THANDA,KOTHURU,KUSUMANC" "HI,,KUSUMANCHI"  OPP ANJANEYA TEMPLE KHAMMAM TNG 507159</t>
  </si>
  <si>
    <t>2ND FLOOR FLAT NO 201 VENKATESH NILAYAM FAROOW NAGAR SHADNAGAR BACK SIDE OF SBI BANK G TRAFFIC P S Hyderabad TNG 500001</t>
  </si>
  <si>
    <t>h.no.11 16 15. Kashibugga kashibugga Warangal   WARANGAL TNG 506002</t>
  </si>
  <si>
    <t>2-40KOPPARRU KOPPARRU  Guntur GTR ANP 522015</t>
  </si>
  <si>
    <t>KINGS OPERA APARTMENT HNO 19-1-322/1-203 BANK COLONY PEDDAPURAM  NEAR CHACHA SCHOOL PEDDAPURAM ANP 533437</t>
  </si>
  <si>
    <t>1.252.9.1 REBBENA EDAVELLY Komaram Bheem ADILABAD TNG 504292</t>
  </si>
  <si>
    <t>6-392/1-1 OLD PET SREE NAGAR COLONY OPPOSITE ELENA SCHOOL PALAMANER ANP 517408</t>
  </si>
  <si>
    <t>"NALGONDA ,12-236,KAMALANAGAR" NEREDCHERLA SURYAPET NEAR KAMALANAGAR SURYAPET TNG 508218</t>
  </si>
  <si>
    <t>"H.NO.11-29-282,MV COLONY ROAD NO.3,WARAN" GAL  . WARANGAL TNG 506002</t>
  </si>
  <si>
    <t>7-34/1 BALAJI NAGAR   JEDCHERLA TNG 509301</t>
  </si>
  <si>
    <t>HNO 5-10-131  MANYAM CHALKAN NALGONDA NALGONDA NEAR DISTRICT JAIL NALGONDA TNG 508001</t>
  </si>
  <si>
    <t>D NO.7/24-3 BRAVINDRA NAGAR KADAPA ALIMURAD SHA DARGA CUDDAPAH ANP 516003</t>
  </si>
  <si>
    <t>D NO 17-8-38/3A SANJAYNAGAR   NEAR SAIBABA TEMPLE KAKINADA ANP 533001</t>
  </si>
  <si>
    <t>2-19 NEAR MPP SCHOOL KOTIPALLI ROAD TOORANGI KAKINADA RURAL  EAST GODAVARI BESIDE MPP SCHOOL KAKINADA ANP 533016</t>
  </si>
  <si>
    <t>"DO NO 15-87,POTHAYILANKA," "MACHAVARAM,AMBAJIPETA MANDALAM," AMALAPURAM NEAR MAIN ROAD AMALAPURAM ANP 533214</t>
  </si>
  <si>
    <t>9.68.20 Kothapet Cotton.Factory.Street Fish Market VIJAYAWADA ANP 520001</t>
  </si>
  <si>
    <t>D NO 3-28-18/82 7TH LINE BRINDAVAN GARDENS GUNTUR  OPP ROAD SRUTHI HOSPITAL GUNTUR ANP 522006</t>
  </si>
  <si>
    <t>11 158 BALLARY ROAD CUDDAPAH CUDDAPAH AN PRADESH 516001   CUDDAPAH ANP 516001</t>
  </si>
  <si>
    <t>HNO 13-5-65/1 GANESH NAGAR ROAD NO 2 NEARM DUPPALAPALLY ROAD  NEAR BUS STOP NALGONDA TNG 508001</t>
  </si>
  <si>
    <t>H NO 5- 8 -138 /1/1/2/4 SHANTHI NAGAR SANGAREDDY NEAR MAIN ROAD HYDERABAD TNG 502001</t>
  </si>
  <si>
    <t>KATURU HOUSE NO 12-89 KRISHNA   BESAIDE RAMALAYAM MACHILIPATNAM ANP 521164</t>
  </si>
  <si>
    <t>"3-62,OBULAREDDY PALL,OBULAREDDY PALLI"  ANANTAPUR - ANANTAPUR ANP 515581</t>
  </si>
  <si>
    <t>30.355.4.NEAR.RAILWAY.STATION. BOGGULINE.NANDYAL ..BOGGULINE.NANDYAL BOGGULINE NANDYAL NANDYAL ANP 518501</t>
  </si>
  <si>
    <t>MANI/VJW , 7780356256</t>
  </si>
  <si>
    <t>TUNI</t>
  </si>
  <si>
    <t>UDAY/KAKINADA , 9032220101</t>
  </si>
  <si>
    <t>KOTI/MACHILIPATNAM , 8247838027</t>
  </si>
  <si>
    <t>TRISHANTH/KDP , 7780707644</t>
  </si>
  <si>
    <t>KARUNAKAR/WARANGAL , 9989734512</t>
  </si>
  <si>
    <t>NO FOS</t>
  </si>
  <si>
    <t>Sgr@0987</t>
  </si>
  <si>
    <t>Nihan@2421</t>
  </si>
  <si>
    <t>Ssde@9876</t>
  </si>
  <si>
    <t>Ssde@9290</t>
  </si>
  <si>
    <t>SUDHAKAR</t>
  </si>
  <si>
    <t>D RAMU</t>
  </si>
  <si>
    <t>POORNIMA</t>
  </si>
  <si>
    <t>IMAMVALLI</t>
  </si>
  <si>
    <t>UDAY</t>
  </si>
  <si>
    <t>INAMUL</t>
  </si>
  <si>
    <t>PAVAN</t>
  </si>
  <si>
    <t>B NAGABABU</t>
  </si>
  <si>
    <t>RAJKUMAR</t>
  </si>
  <si>
    <t>KOTI</t>
  </si>
  <si>
    <t>V Sridhar</t>
  </si>
  <si>
    <t>MAARI</t>
  </si>
  <si>
    <t>RAMESH</t>
  </si>
  <si>
    <t>SATISH</t>
  </si>
  <si>
    <t>4200490025820005</t>
  </si>
  <si>
    <t>MR SANKA YASHWANTH KRISHNA</t>
  </si>
  <si>
    <t>7207002525</t>
  </si>
  <si>
    <t>SRAVANI</t>
  </si>
  <si>
    <t xml:space="preserve">D NO 6 5 557 ANDHRA BANK COLONY ANANTAPUR ANDHRA BANK COLONY  MARUTHI NAGAR EXTN ANAPARTHI ANP 515001 </t>
  </si>
  <si>
    <t>STK FOREX AND LEISURE PVT LTD D NO 6 5 557 ANDHRA BANK COLONY MARUTI NAGAR EXIN ANANTAPUR ANDHRA PRADESH NAGAR EXIN ANANTAPUR ANDHRA PRADESH ANAPARTHI ANP 515001</t>
  </si>
  <si>
    <t>ANAPARTHI</t>
  </si>
  <si>
    <t>DPR</t>
  </si>
  <si>
    <t>ICICI Bank Business Black Advantage Credit Card</t>
  </si>
  <si>
    <t>23RD JUNE</t>
  </si>
  <si>
    <t>0000000158703414</t>
  </si>
  <si>
    <t>D</t>
  </si>
  <si>
    <t>PAID Total</t>
  </si>
  <si>
    <t>VISITED</t>
  </si>
  <si>
    <t>Customer address visited and customer asking settlement and he is not ready to pay amount</t>
  </si>
  <si>
    <t>LIVE</t>
  </si>
  <si>
    <t>23RD J</t>
  </si>
  <si>
    <t>MESS</t>
  </si>
  <si>
    <t>22ND J</t>
  </si>
  <si>
    <t>FE</t>
  </si>
  <si>
    <t>VISITED CS RESIDENCE ADDRESS CS WAS SHIFTED FROM HERE IN LAST FEW YEARS AGO&amp; STAYING NEAR ITI CIRCLE CS HUSBAND LIFT THE CALL&amp;GIVEN PTP ON BEFORE 2ND JULY ONCE WILL MEET CS HUSBAND AT EVENING RIGHT NOW HE WAS IN OFFICE</t>
  </si>
  <si>
    <t>SKIP</t>
  </si>
  <si>
    <t>Visited Customer Residence Address Customer Live Customer Taken Injection order Sir</t>
  </si>
  <si>
    <t>24TH J</t>
  </si>
  <si>
    <t>CUSTOMER PAID SIR</t>
  </si>
  <si>
    <t>TC</t>
  </si>
  <si>
    <t>30501-BBPS Payment received</t>
  </si>
  <si>
    <t>Customer shifted to vijayawada pH not answering // Customer office shifted to vijayawada pH not answering</t>
  </si>
  <si>
    <t>I have Visited Customer given village house address Customer mother available Customer not available present in Hyderabad Customer call answered given PTP by Saturday</t>
  </si>
  <si>
    <t>6528690172431007</t>
  </si>
  <si>
    <t>6528690178304000</t>
  </si>
  <si>
    <t>4315811492055001</t>
  </si>
  <si>
    <t>4315811660442007</t>
  </si>
  <si>
    <t>4315812073735003</t>
  </si>
  <si>
    <t>4315811990145007</t>
  </si>
  <si>
    <t>4748466925864003</t>
  </si>
  <si>
    <t>4315815570099005</t>
  </si>
  <si>
    <t>4315812091227009</t>
  </si>
  <si>
    <t>6529190012177000</t>
  </si>
  <si>
    <t>4375519428744005</t>
  </si>
  <si>
    <t>4315814091115002</t>
  </si>
  <si>
    <t>4315811982911002</t>
  </si>
  <si>
    <t>4315811703513012</t>
  </si>
  <si>
    <t>4315814448254009</t>
  </si>
  <si>
    <t>4375517907318002</t>
  </si>
  <si>
    <t>4375518030321004</t>
  </si>
  <si>
    <t>4315812434700001</t>
  </si>
  <si>
    <t>MR PASPULA KUMAR</t>
  </si>
  <si>
    <t>MR Kirtibrata Nayak</t>
  </si>
  <si>
    <t>MR. MURALIDHAR KOTLA</t>
  </si>
  <si>
    <t>MR SHAIK KARIMULLA</t>
  </si>
  <si>
    <t>MR Goppa Gouthambudha Karthik</t>
  </si>
  <si>
    <t>MR N NAIK</t>
  </si>
  <si>
    <t>MR TADIMERI CHANDRA SEKHAR</t>
  </si>
  <si>
    <t>MR Ketha Yeshwanth</t>
  </si>
  <si>
    <t>Mr KUMMARI PRABHAKAR</t>
  </si>
  <si>
    <t>MR NARENDER REDDY GUVVALLA</t>
  </si>
  <si>
    <t>Mr SATYA Settipalli Suraj</t>
  </si>
  <si>
    <t>Mr KUKUDALA SHRIKANTH</t>
  </si>
  <si>
    <t>MR KACHU YADAV</t>
  </si>
  <si>
    <t>MR Valiveti Satyanarayana</t>
  </si>
  <si>
    <t>MS Nune Madhavi Latha</t>
  </si>
  <si>
    <t>MR CHANDUPATLA MOHAN REDDY</t>
  </si>
  <si>
    <t>MR KUCHANA RAJESH</t>
  </si>
  <si>
    <t>MR B Charan Kumar</t>
  </si>
  <si>
    <t>9704245872</t>
  </si>
  <si>
    <t>9064190365</t>
  </si>
  <si>
    <t>9441646566</t>
  </si>
  <si>
    <t>7989136420</t>
  </si>
  <si>
    <t>8008760730</t>
  </si>
  <si>
    <t>8886876685</t>
  </si>
  <si>
    <t>9573137279</t>
  </si>
  <si>
    <t>7981091144</t>
  </si>
  <si>
    <t>9618501175</t>
  </si>
  <si>
    <t>8465893441</t>
  </si>
  <si>
    <t>9705305370</t>
  </si>
  <si>
    <t>9666824666</t>
  </si>
  <si>
    <t>7981985884</t>
  </si>
  <si>
    <t>9542305953</t>
  </si>
  <si>
    <t>9618056068</t>
  </si>
  <si>
    <t>9490124363</t>
  </si>
  <si>
    <t>9177123474</t>
  </si>
  <si>
    <t>9885385855</t>
  </si>
  <si>
    <t>Y</t>
  </si>
  <si>
    <t xml:space="preserve">1 3 65/1 bus dipo boiwada nirmal adilabad bus dipo boiwada  bus dipo boiwadaNirmal ADL TNG 504106 </t>
  </si>
  <si>
    <t xml:space="preserve">"House No 119, Manubolu, Podalakuru Road" "Madamanuru, Sri Potti Sriramulu Nellore, Nell"  ManuboluSri Potti Sriramulu Nellore NEL ANP 524405 </t>
  </si>
  <si>
    <t xml:space="preserve">H NO 40-340/10 BHAGYANAGAR MOURYALAN  hyd KURNOOL ANP 518001 </t>
  </si>
  <si>
    <t xml:space="preserve">5-10/1 POTHAVARAM   NEAR NTR STATIVE GUNTUR ANP 522616 </t>
  </si>
  <si>
    <t xml:space="preserve">10-61/1 Gudur Gudur chandrugudem WARANGAL TNG 506134 </t>
  </si>
  <si>
    <t xml:space="preserve">"17-144-13-B-2-E-1,JAGAJJANANINAGAR,NANDYAL"    KURNOOL ANP 518501 </t>
  </si>
  <si>
    <t xml:space="preserve">5-36 KOTANKA ANANTAPUR ANANTAPUR  MAIN ROAD ANANTAPUR ANP 515731 </t>
  </si>
  <si>
    <t xml:space="preserve">22230 deshaipet ..deshaipet  WARANGAL TNG 506006 </t>
  </si>
  <si>
    <t xml:space="preserve">"HNO 2-82,DOULTABAD MANDAL,YELKAL"    MEDAK TNG 502334 </t>
  </si>
  <si>
    <t xml:space="preserve">7-26 "SIDDARAM ROAD PALAWADA,PALAWADA,,SATHUPALLE" Khammam Khammam KAM TNG 507303 </t>
  </si>
  <si>
    <t xml:space="preserve">"2-49,WYRA,SIRIPURAM (K.G.),KHAMMAM"    Khammam TNG 507165 </t>
  </si>
  <si>
    <t xml:space="preserve">"13-,BACHANNAPETA,72/2 FLR,BACHANNAPET," "BLOCK.10,11,12,14,15,16,17,18"   WARANGAL TNG 506224 </t>
  </si>
  <si>
    <t xml:space="preserve">6-4-72 "POCHAMMAWADA,JAGTIAL,JAGITYAL"  NEAR BANDARI RICE MILL KARIMNAGAR TNG 505327 </t>
  </si>
  <si>
    <t xml:space="preserve">2-52a sunkollu sunkollu nuzvid mandalam GUDIVADA ANP 521201 </t>
  </si>
  <si>
    <t xml:space="preserve">6.1002 jaggayyapeta.mandalam santhi.nagar Krishna VIJAYAWADA ANP 521175 </t>
  </si>
  <si>
    <t xml:space="preserve">H NO 2-8-320/7/3 RAGHVENDRA NAGAR TEACHERS COLONY WADDEPALLY HANMAKONDA  NEAR REDDY FUNCTION HALL Warangal TNG 506001 </t>
  </si>
  <si>
    <t xml:space="preserve">"2-62,LAXMAREDDY PALLY,KARKAPALLE,GHANAPUR," "MULUGU GHANAPUR,JAYASHANKAR" JAYASHANKAR BHOOPALPALLY  WARANGAL TNG 506168 </t>
  </si>
  <si>
    <t xml:space="preserve">3-891/a TURPU PALLI TURPU PALLI Chittoor TIRUPATHI ANP 517237 </t>
  </si>
  <si>
    <t xml:space="preserve">PANCHAYATHIRAJ COMPLEX CHAINGATE NIRMAL URBAN S NO 156 MISSION BHAGEERATHA INTER DIVISIOM   ADL TNG 504106 </t>
  </si>
  <si>
    <t xml:space="preserve">"Plot No 20, Manubolu, Podalakuru Road" "Madamanuru, Sri Potti Sriramulu Nellore, Nell"   NEL ANP 524405 </t>
  </si>
  <si>
    <t xml:space="preserve">R RHOSPITAL BLOOPBANK R R HOSPITAL BLOOD BANK D NO 40-304 10 2ND FLOOR BHAGYANAGAR 2ND FLOOR BHAGYANAGAR KURNOOL ANP 518001 </t>
  </si>
  <si>
    <t xml:space="preserve">FIRST DATA MANAGEMENT SERVICE PVT LTD C/O ICICI BANK LTD 40-1-127 128 AND 129 1ST FLOOR MURALI CHAMBERS MG ROAD 1ST FLOOR MURALI CHAMBERS MG ROAD VIJAYAWADA ANP 520010 </t>
  </si>
  <si>
    <t xml:space="preserve">TECNICS INTEGRATION TECHNOLOGIES "PLOT 12/1, SECTOR 1" HUDA TECHNO ENCLAVE MADHAPUR HUDA TECHNO ENCLAVE MADHAPUR HYDERABAD TNG 500081 </t>
  </si>
  <si>
    <t xml:space="preserve">Self employed Shop no 9 Munical complex Munical complex NANDYAL ANP 518501 </t>
  </si>
  <si>
    <t xml:space="preserve">TROPICAL AGROSYSTEM INDIA PVT LTD D NO 76-18-18 PLOT NO 18 GROUND FLOOR 1S FLOOR IRON COMPLEX BHAVANIURAM BY PASS R FLOOR IRON COMPLEX BHAVANIURAM BY PASS R VIJAYAWADA ANP 520012 </t>
  </si>
  <si>
    <t xml:space="preserve">TATA.CONSULTANCY.SERVICES.LIMITED 22.2.30 DESHAIPET.ROAD. DESHAIPET.ROAD. WARANGAL TNG 506006 </t>
  </si>
  <si>
    <t xml:space="preserve">Dts Madhapur Hyd Hyd HYDERABAD TNG 500090 </t>
  </si>
  <si>
    <t xml:space="preserve">7th Floor.HMG Ambassador.137 Residency RD.sha Nagar.Ashok Nagar Bengaluru Karnataka Bangalore Bangalore BNG KAR 560025 </t>
  </si>
  <si>
    <t xml:space="preserve">Clinwave Research private limited "Hig 19, H No 1- 9 -25/19" Dr A S Rao Nagar Dr A S Rao Nagar Hyderabad TNG 500062 </t>
  </si>
  <si>
    <t xml:space="preserve">KRISHNAVENI TREDERS BACHANNAPET BACHANNAPET BACHANNAPET WARANGAL TNG 506221 </t>
  </si>
  <si>
    <t xml:space="preserve">SRI KOMURAVELLI MALLIKARJUNA SWAMY RAITH 7-2-11 DHARMAPURI ROAD JAGTIAL DHARMAPURI ROAD VID DHARMAPURI ROAD VID KARIMNAGAR TNG 505327 </t>
  </si>
  <si>
    <t xml:space="preserve">SRINIVASA GENERAL  STORES 2-52/A YANAMADALA POST YANAMADALA POST GUDIVADA ANP 521201 </t>
  </si>
  <si>
    <t xml:space="preserve">SRI.RADHA.KRISHNA.VASTRANIDHI PLOT.NO.1170 JUBLIE.HILLS. JUBLIE.HILLS. HYDERABAD TNG 500033 </t>
  </si>
  <si>
    <t xml:space="preserve">BHAVANI JEWELLERS H NO 2-6-1366 BHAVANI NAGAR BHAVANI NAGAR HANMAKOND BHAVANI NAGAR HANMAKOND Warangal TNG 506001 </t>
  </si>
  <si>
    <t xml:space="preserve">DXC TECHNOLOGY INDIA PRIVATE LIMITED 4TH FLOOR BRILLIANT TITANIUM PLOT NO 9 SCH NO 78 PART-2 VIJAY NAGAR INDORE SCH NO 78 PART-2 VIJAY NAGAR INDORE INDORE MDP 452010 </t>
  </si>
  <si>
    <t xml:space="preserve">COGNIZANT TECHNOLOGY SOLUTIONS PVT LTD MANYATHA TECH PARK NAGAVARA NAGAVARA BANGALORE KAR 560045 </t>
  </si>
  <si>
    <t>GUDUR</t>
  </si>
  <si>
    <t>KURNOOL</t>
  </si>
  <si>
    <t>ANANTAPUR</t>
  </si>
  <si>
    <t>GUDIVADA</t>
  </si>
  <si>
    <t>TIRUPATHI</t>
  </si>
  <si>
    <t>ICICI Bank Rubyx RuPay Credit Card</t>
  </si>
  <si>
    <t>ICICI Bank Coral Credit Card</t>
  </si>
  <si>
    <t>24TH JUNE</t>
  </si>
  <si>
    <t>0000000034384066</t>
  </si>
  <si>
    <t>0000000034799197</t>
  </si>
  <si>
    <t>0000000018011115</t>
  </si>
  <si>
    <t>0000000018524117</t>
  </si>
  <si>
    <t>0000000019892458</t>
  </si>
  <si>
    <t>0000000019650703</t>
  </si>
  <si>
    <t>0000000029904893</t>
  </si>
  <si>
    <t>0000000033030826</t>
  </si>
  <si>
    <t>0000000019932616</t>
  </si>
  <si>
    <t>0000000030197731</t>
  </si>
  <si>
    <t>0000000013666345</t>
  </si>
  <si>
    <t>0000000026700142</t>
  </si>
  <si>
    <t>0000000019632948</t>
  </si>
  <si>
    <t>0000000018662444</t>
  </si>
  <si>
    <t>0000000027943482</t>
  </si>
  <si>
    <t>0000000011923381</t>
  </si>
  <si>
    <t>0000000012602218</t>
  </si>
  <si>
    <t>0000000020852351</t>
  </si>
  <si>
    <t>RAJKUMAR/MEDAK , 7670935091</t>
  </si>
  <si>
    <t>SRINIVAS/GTR , 9966922101</t>
  </si>
  <si>
    <t>HARSHA/NANDIGAMA , 8639040413</t>
  </si>
  <si>
    <t>25TH J</t>
  </si>
  <si>
    <t>CAT J</t>
  </si>
  <si>
    <t>CAT I</t>
  </si>
  <si>
    <t>CAT C</t>
  </si>
  <si>
    <t>Customer not available at given address 
Contact by phone he given ptp on monday sir</t>
  </si>
  <si>
    <t>DL</t>
  </si>
  <si>
    <t>I have Visited Customer given village house address Customer not available here Customer present in Hyderabad Customer father available Customer father given PTP by Saturday</t>
  </si>
  <si>
    <t>Visit Customer Adress customer not living in this address shifted to Vijayawada Phone responding Given  PTP on before due date</t>
  </si>
  <si>
    <t>4375514531051000</t>
  </si>
  <si>
    <t>4375514793051011</t>
  </si>
  <si>
    <t>6528680542345003</t>
  </si>
  <si>
    <t>6528681827013001</t>
  </si>
  <si>
    <t>6528683009182000</t>
  </si>
  <si>
    <t>6528683095615004</t>
  </si>
  <si>
    <t>6528683238372000</t>
  </si>
  <si>
    <t>6528680271233008</t>
  </si>
  <si>
    <t>6528681228629009</t>
  </si>
  <si>
    <t>6528682016319001</t>
  </si>
  <si>
    <t>6528681540450001</t>
  </si>
  <si>
    <t>6528681640255003</t>
  </si>
  <si>
    <t>6528681497932001</t>
  </si>
  <si>
    <t>6528681743985001</t>
  </si>
  <si>
    <t>4375515526509019</t>
  </si>
  <si>
    <t>6528680280051003</t>
  </si>
  <si>
    <t>6528682279602002</t>
  </si>
  <si>
    <t>6528681506226007</t>
  </si>
  <si>
    <t>6528682272006003</t>
  </si>
  <si>
    <t>6528680632274006</t>
  </si>
  <si>
    <t>6528680337813017</t>
  </si>
  <si>
    <t>4748464741033002</t>
  </si>
  <si>
    <t>6528681210084007</t>
  </si>
  <si>
    <t>6528680237063002</t>
  </si>
  <si>
    <t>6528680456653004</t>
  </si>
  <si>
    <t>6528681732350001</t>
  </si>
  <si>
    <t>6528681229094005</t>
  </si>
  <si>
    <t>4375513893496019</t>
  </si>
  <si>
    <t>6528680397546002</t>
  </si>
  <si>
    <t>6528682872648006</t>
  </si>
  <si>
    <t>MR. M SHAFIULLA SHAIK</t>
  </si>
  <si>
    <t>MR. SANKARAMADDI VAMSHI REDDY</t>
  </si>
  <si>
    <t>MS GUNDA KALAVATHI</t>
  </si>
  <si>
    <t>MR MANNALA PRASAD</t>
  </si>
  <si>
    <t>MR KATTUBADI JAVEED BASHA</t>
  </si>
  <si>
    <t>MR Jakkala Guru Varaprasad</t>
  </si>
  <si>
    <t>MR BANOTH CHAKRAVARTHI</t>
  </si>
  <si>
    <t>MR BHUKYA RAVI KUMAR</t>
  </si>
  <si>
    <t>MR GUNREDDY NARAHARI REDDY</t>
  </si>
  <si>
    <t>MR Akash Medishetty</t>
  </si>
  <si>
    <t>MR SEGIREDDY SAI PRANEETH REDDY</t>
  </si>
  <si>
    <t>MR. ANNARAPU SRINIVAS</t>
  </si>
  <si>
    <t>MR HARISH KUMAR N</t>
  </si>
  <si>
    <t>MR VISSAKOTI ANIL KUMAR</t>
  </si>
  <si>
    <t>MR DASARI RAMESH</t>
  </si>
  <si>
    <t>MR Seelam Shekar</t>
  </si>
  <si>
    <t>MR PARBHAKAR DOLAKALA</t>
  </si>
  <si>
    <t>MR KATTA UMA MAHESH</t>
  </si>
  <si>
    <t>MR Sura Kalyan</t>
  </si>
  <si>
    <t>MR THAKUR SHAILENDER SINGH</t>
  </si>
  <si>
    <t>MR RAYINI AMARENDAR RAO</t>
  </si>
  <si>
    <t>MR GUGGILLA SIVA RAMIREDDY</t>
  </si>
  <si>
    <t>Mr AVADHANAM RAVINDRA PHANI</t>
  </si>
  <si>
    <t>MS MUNIGELA PRAVALIKA</t>
  </si>
  <si>
    <t>MR Markandeya Jaya Krishna</t>
  </si>
  <si>
    <t>MR DUSSA SRINIVAS</t>
  </si>
  <si>
    <t>MR RAVINDER REDDY PANUGATI</t>
  </si>
  <si>
    <t>MR CHENNU KUMAR</t>
  </si>
  <si>
    <t>MR RAYAPUREDDY NIKHIL SRINIVASULA</t>
  </si>
  <si>
    <t>MR CHEVURU RAGHAVA REDDY</t>
  </si>
  <si>
    <t>9441232423</t>
  </si>
  <si>
    <t>9949733399</t>
  </si>
  <si>
    <t>9849505233</t>
  </si>
  <si>
    <t>9701963556</t>
  </si>
  <si>
    <t>9703772283</t>
  </si>
  <si>
    <t>9959114392</t>
  </si>
  <si>
    <t>9550590585</t>
  </si>
  <si>
    <t>9912335408</t>
  </si>
  <si>
    <t>9000040416</t>
  </si>
  <si>
    <t>8179882875</t>
  </si>
  <si>
    <t>9963274760</t>
  </si>
  <si>
    <t>9553233523</t>
  </si>
  <si>
    <t>9515588888</t>
  </si>
  <si>
    <t>7330819994</t>
  </si>
  <si>
    <t>9182880323</t>
  </si>
  <si>
    <t>9441495512</t>
  </si>
  <si>
    <t>9866397736</t>
  </si>
  <si>
    <t>6302380964</t>
  </si>
  <si>
    <t>7675834500</t>
  </si>
  <si>
    <t>9553833837</t>
  </si>
  <si>
    <t>6300285707</t>
  </si>
  <si>
    <t>9121178534</t>
  </si>
  <si>
    <t>9963403424</t>
  </si>
  <si>
    <t>9346081562</t>
  </si>
  <si>
    <t>9581495649</t>
  </si>
  <si>
    <t>9000577243</t>
  </si>
  <si>
    <t>9866977416</t>
  </si>
  <si>
    <t>7659895282</t>
  </si>
  <si>
    <t>9440010493</t>
  </si>
  <si>
    <t>9542067166</t>
  </si>
  <si>
    <t>J3</t>
  </si>
  <si>
    <t>D NO 15-14-71/A RTC COLONY "GUNTUR,GUNTUR,GUNTUR" BESIDE INDIAN BLOOMS ENGLISH MEDIUM SCHO GUNTUR ANP 522002</t>
  </si>
  <si>
    <t>NO 6-2-427 SRI NAGAR COLONY  HYD ROAD Nalgonda TNG 508001</t>
  </si>
  <si>
    <t>H NO 1-227 JANKAPUR ASIFABAD NEAR GOVT JR COLLEGE ADILABAD TNG 504293</t>
  </si>
  <si>
    <t>1-53 BOMMEPARTHY   B-1 RAMALAYAM ANANTAPUR ANP 515722</t>
  </si>
  <si>
    <t>"2 47/40 APPALA RAO STREET , ATMAKUR" ",KURNOOL DIST PADMAVATI HIGH SCHOOL"   KURNOOL ANP 518422</t>
  </si>
  <si>
    <t>8/756 Indira Nagar Indira Nagar Anantapur ANANTAPUR ANP 515411</t>
  </si>
  <si>
    <t>14112/1/2/1A Near Nandhi Nagar Colony Beside Geethanjali High School VRN gardens  Near Nandhi Nagar ColonyMahabubabad BHE TNG 506101</t>
  </si>
  <si>
    <t>H NO 4-60. BALLU NAYAK THANDA. MIRZAPUR HUSNABAD SIDDIPET HYDERABAD ANP 505466</t>
  </si>
  <si>
    <t>H NO 45 29 KDR NAGAR WARD NO 25 WANAPARTHY NEAR HANUMAN TEMPLE Mahbubnagar TNG 509103</t>
  </si>
  <si>
    <t>2 5 77 prakasham gunj prakasham gunj Karim Nagar ADILABAD TNG 505001</t>
  </si>
  <si>
    <t>"H.NO 1-286 KALLURU MANDAL," "PANCHAYATHI OFFICE LINE BACKSIDE," KHAMMAM DISTIC. OPP. SOWMYA MEDICAL SHOP KHAMMAM TNG 507209</t>
  </si>
  <si>
    <t>NO 1-92/3 RAAMARAM BHEERAM HASANPARTHY  NEAR GOVT SCHOOL Warangal TNG 506009</t>
  </si>
  <si>
    <t>83 SRINAGAR COLONY GALLAS TOWN SHIP GEORGEPET ANANTAPUR  RAMNAGAR ANP 515004</t>
  </si>
  <si>
    <t>56-10-13/3 FLAT NO 72 PJT COLONY PATAMATA  NR NTR CIRCLE VIJAYAWADA ANP 520007</t>
  </si>
  <si>
    <t>H NO 9-1-64/1 GODHAM GADDA  NEAR AYYAPPA GUDI Karimnagar TNG 505001</t>
  </si>
  <si>
    <t>H NO 5 77  SANJAY NAGAR  LAXMIDEVIPALLI BHADRADRI KOTHAGUDEM BHADRADRI KOTHAGUDEM NEAR TRIVENI GIRLS HOSTEL KHAMMAM TNG 507101</t>
  </si>
  <si>
    <t>HOUSE NO F NO 302 POOJAHOMES HUNTER ROAD  NEAR RAJU HOTEL Warangal TNG 506001</t>
  </si>
  <si>
    <t>"3-31/A RAMALAYAM STREET,PENUMANTRA MANDA" "LAM,,SATYAVARAM"  NEAR MAIN ROAD BHIMAVARAM ANP 534122</t>
  </si>
  <si>
    <t>Sura.kalyan.opposite.johndeer tractor.show.room.Near Andhraboar.luxettipet Opposite johndeer tractor show ADILABAD TNG 504215</t>
  </si>
  <si>
    <t>H.NO6-6-486 SHARMA NAGAR KARIMNAGAR NEAR MAIN ROAD ADILABAD TNG 505001</t>
  </si>
  <si>
    <t>1-145/3 SHIVAPARVATHI NAGAR PEDHAPALLY MAIN ROAD PEDDAPALLI TNG 505172</t>
  </si>
  <si>
    <t>0-0 PALACHERLA PALACHERLA  ANANTAPUR ANP 515722</t>
  </si>
  <si>
    <t>"000 T,V N R PURAM GARALAMADUGU,0,PULLAMPETA"    CUDDAPAH ANP 516107</t>
  </si>
  <si>
    <t>H NO 4-45/4 GHANPUR STETION GHANPUR STETION  WARANGAL TNG 506144</t>
  </si>
  <si>
    <t>H.No.78.8.A.6.5.1 New.Krishna.nagar ..New.Krishna.nagar Kurnool KURNOOL ANP 518002</t>
  </si>
  <si>
    <t>"590,," ",Urban Colony" Bhongir Near Water Tank BHONGIR TNG 508116</t>
  </si>
  <si>
    <t>H NO 4-1-185/1 NTPC JOYOTHINAGAR SO KARIMNAGAR  NEAR MAIN GATE2 PEDDA PALLI ANP 505215</t>
  </si>
  <si>
    <t>"1-81,PULIGADDA,PULIGADDA,KRISHNA,PULIGADDA"    KRISHNA ANP 521121</t>
  </si>
  <si>
    <t>2.577.1.BALAJI.NAGAR.BALAJI.NAGAR.PRODDA  ..  PRODDATUR ANP 516360</t>
  </si>
  <si>
    <t>1.2407..HOUSING.BOARD.COLONY HOUSING.BOARD.COLONY.. Cuddapah "S O Chevuru Sidda Reddy,1 2407,HOUSING BOARD" CUDDAPAH ANP 516001</t>
  </si>
  <si>
    <t>OFFICE OF SUPERINTENDENT OF POLICE "COLLECTOR OFFICE ROAD,ANKAMMA NAGAR" "R AND B QUATERS, GUNTUR" "R AND B QUATERS, GUNTUR" GUNTUR ANP 522004</t>
  </si>
  <si>
    <t>VAMSI CIVIL CONTRACTS NO 1-7-207/2/4/E/6 THIRUMALA NAGAR   Nalgonda TNG 508213</t>
  </si>
  <si>
    <t>DURGA AUTOMOBILES DURGA AUTO MOBILES OFFICE "MAIN ROAD ,ASIFABAD" "MAIN ROAD ,ASIFABAD" ADILABAD TNG 504293</t>
  </si>
  <si>
    <t>D NO 8-7-8A TADIPATRI ROAD BATHALARALLY   HINDUPUR ANP 515661</t>
  </si>
  <si>
    <t>"2 47/40 APPALA RAO STREET , ATMAKUR" ",KURNOOL DIST"   KURNOOL ANP 518422</t>
  </si>
  <si>
    <t>RACKSPACE HOSTING INC "RMZ ECOSPACE INTERNAL ROAD, BELLANDUR" BANGALORE BANGALORE BANGALORE KAR 560103</t>
  </si>
  <si>
    <t>TAHSILDAR OFFICE TAHSILDAR OFFICE NARSIMHULAPET MANDAL WARANGA   WNL TNG 506324</t>
  </si>
  <si>
    <t>School education MPP SCHOOL. VILLAGE VANGARA MADL BHEEMADEVARAPALLY. WARANGAL URBAN MADL BHEEMADEVARAPALLY. WARANGAL URBAN HYDERABAD ANP 505480</t>
  </si>
  <si>
    <t>M S SRI LAKSHMI NARAGMHA TRADERS D NO 45 29 GROUND FLOOR KDR NAGAR MAHABUBNAGAR NAGAR MAHABUBNAGAR Mahbubnagar TNG 509103</t>
  </si>
  <si>
    <t>ERERMERMIERMIN PRAKASHAM GUNJ H NO 2 5 77 H NO 2 5 77 ADILABAD TNG 505001</t>
  </si>
  <si>
    <t>MAHINDRA UNIVERSITY "SURVEY NO 62/1A, BAHADURPALLY" "JEEDIMETLA, HYDERABAD, TELANGANA" "JEEDIMETLA, HYDERABAD, TELANGANA" HYDERABAD TNG 500043</t>
  </si>
  <si>
    <t>GOVT OF TELANGANA MILLS COLONY POLICE STATION SHAMBUNIPET SHAMBUNIPET Warangal TNG 506002</t>
  </si>
  <si>
    <t>POLAR MEGALITHS PRIVATE LIMITED 6 3 668 10 58 2ND FLOOR DURGANAGAR COLONY PANJAGUTTA HYDERBAD DURGANAGAR COLONY PANJAGUTTA HYDERBAD HYDERABAD ANP 500082</t>
  </si>
  <si>
    <t>UIJAYAENTERPRISES DOOR NO 2/2 PATAMANA   VIJAYAWADA ANP 520007</t>
  </si>
  <si>
    <t>TVS CREDIT SERVICES LTD BY PASS ROAD KNR TO GDK HIGHWAY KNR TO GDK HIGHWAY Karimnagar TNG 505001</t>
  </si>
  <si>
    <t>UFO MOVIEZ H NO 5 9  LAXMIDEVIPALLI KOTHAGUDEM KOTHAGUDEM KHAMMAM TNG 507101</t>
  </si>
  <si>
    <t>GOVERNMENT OF TELANGANA STATE DISASTER RESPONSE AND FIRE SERVIC DEP MATIWADA WARANGAL DEP MATIWADA WARANGAL Warangal TNG 506002</t>
  </si>
  <si>
    <t>JOYALUKKAS INDIA PRIVATE LIMITED MG ROAD LABBIPETA VIJAYAWADA VIJAYAWADA VIJAYAWADA ANP 520010</t>
  </si>
  <si>
    <t>SAI.KIRANS Sura.kalyan.opposite.johndeer tractor.show.room.Near.Andhraboar.luxett tractor.show.room.Near.Andhraboar.luxett ADILABAD TNG 504215</t>
  </si>
  <si>
    <t>JANANI FISH  FARMS EXPORTS H.NO 6-6-486 SHARMANAGAR KARIMNAGAR SHARMANAGAR KARIMNAGAR ADILABAD TNG 505001</t>
  </si>
  <si>
    <t>GOVT OF TELANGANA REVENUE DEPARTMENT PRIMARY HEALTH CENTER "MUTHARAM ,,PEDDAPALLI" "MUTHARAM ,,PEDDAPALLI" SANGAREDDY TNG 502306</t>
  </si>
  <si>
    <t>GOVERNMENT OF ANDHRA PRADESH SANAPA GRAMA PANCHAYATH "ATMAKUR,ANANTAPUR" "ATMAKUR,ANANTAPUR" ANANTAPUR ANP 515751</t>
  </si>
  <si>
    <t>Raveendra phani kumar Narayana English mideium school Near SGS degree college LAKSHMIPURAM CIR Near SGS degree college LAKSHMIPURAM CIR TIRUPATHI ANP 517501</t>
  </si>
  <si>
    <t>QUESS CORP LIMITED HANAMKONDA WARANGAL WARANGAL WARANGAL TNG 506002</t>
  </si>
  <si>
    <t>AARXZ.DESIGN.STUDIO PLOT.NO.17 LEPAKSHI.NAGAR.SATYA.COMPLEX LEPAKSHI.NAGAR.SATYA.COMPLEX KURNOOL ANP 518002</t>
  </si>
  <si>
    <t>FINE TECH CORPORATION PVT LTD SHOP NO 301 310 406 AND 410 2ND  AND 3RD FLOOR SWARNA PALACE FLOOR SWARNA PALACE Nalgonda TNG 508001</t>
  </si>
  <si>
    <t>JIO RELIANCE CORPORATE IT PARK LTD SRI RAM NAGAR COLONEY GODAVARIKANI KARIMNAGAR 2ND FLOOR LAXMINILYAM KARIMNAGAR 2ND FLOOR LAXMINILYAM PEDDA PALLI ANP 505209</t>
  </si>
  <si>
    <t>Self employe "1-81, PULIGADDA," "AVANIGADDA, KRISHNA" "AVANIGADDA, KRISHNA" MACHILIPATNAM ANP 521121</t>
  </si>
  <si>
    <t>NET.SPEED.BROADBAND 3.1171 Dr.naraya.reddy.complex Dr.naraya.reddy.complex PRODDATUR ANP 516360</t>
  </si>
  <si>
    <t>SREE.VEERABHADRA.OIL.MILL 1.2407 Housing.Board.Colony.Kadapa. Housing.Board.Colony.Kadapa. CUDDAPAH ANP 516004</t>
  </si>
  <si>
    <t>WANAPARTHY</t>
  </si>
  <si>
    <t>BHIMAVARAM</t>
  </si>
  <si>
    <t>PRODDATUR</t>
  </si>
  <si>
    <t>MakeMyTrip ICICI Bank Signature Credit Card</t>
  </si>
  <si>
    <t>ICICI Bank Sapphiro Visa Credit Card</t>
  </si>
  <si>
    <t>Chennai Super Kings ICICI Bank Credit Card</t>
  </si>
  <si>
    <t>26TH JUNE</t>
  </si>
  <si>
    <t>0000000009380562</t>
  </si>
  <si>
    <t>0000000010187545</t>
  </si>
  <si>
    <t>0000000028632285</t>
  </si>
  <si>
    <t>0000000031911004</t>
  </si>
  <si>
    <t>0000000034923194</t>
  </si>
  <si>
    <t>0000000035195564</t>
  </si>
  <si>
    <t>0000000035587263</t>
  </si>
  <si>
    <t>0000000028146967</t>
  </si>
  <si>
    <t>0000000030091756</t>
  </si>
  <si>
    <t>0000000032389438</t>
  </si>
  <si>
    <t>0000000030924654</t>
  </si>
  <si>
    <t>0000000031233603</t>
  </si>
  <si>
    <t>0000000030787150</t>
  </si>
  <si>
    <t>0000000031593430</t>
  </si>
  <si>
    <t>0000000010935926</t>
  </si>
  <si>
    <t>0000000028161357</t>
  </si>
  <si>
    <t>0000000032987172</t>
  </si>
  <si>
    <t>0000000030805163</t>
  </si>
  <si>
    <t>0000000032960051</t>
  </si>
  <si>
    <t>0000000028854636</t>
  </si>
  <si>
    <t>0000000028249329</t>
  </si>
  <si>
    <t>0000000027768785</t>
  </si>
  <si>
    <t>0000000030057361</t>
  </si>
  <si>
    <t>0000000028100178</t>
  </si>
  <si>
    <t>0000000028475356</t>
  </si>
  <si>
    <t>0000000031542216</t>
  </si>
  <si>
    <t>0000000030093107</t>
  </si>
  <si>
    <t>0000000017583758</t>
  </si>
  <si>
    <t>0000000028368371</t>
  </si>
  <si>
    <t>0000000034563580</t>
  </si>
  <si>
    <t>RAKESH/WEST , 9121493562</t>
  </si>
  <si>
    <t>SIVAKUMAR/NALGONDA , 9100418645</t>
  </si>
  <si>
    <t>KARTHIK/BADRACHALAM , 8688997363</t>
  </si>
  <si>
    <t>KANTH</t>
  </si>
  <si>
    <t>AKHIL</t>
  </si>
  <si>
    <t>K RAMU</t>
  </si>
  <si>
    <t>VSSK PRASAD</t>
  </si>
  <si>
    <t>Customer visit home address meet customer PTP 29th</t>
  </si>
  <si>
    <t>26TH J</t>
  </si>
  <si>
    <t>Customer given House address visited customer present not available at home responded to phone call customer said that call back afternoon //   Customer given House address visited customer saying already paid please check it once sir</t>
  </si>
  <si>
    <t>Wating for costumer already cleared stab amount wating for norm amount sir</t>
  </si>
  <si>
    <t>SRINU</t>
  </si>
  <si>
    <t>MAHESH</t>
  </si>
  <si>
    <t>RAGHU</t>
  </si>
  <si>
    <t>SIVA</t>
  </si>
  <si>
    <t>REMOVE</t>
  </si>
  <si>
    <t>Customer address not found need customer photo need kyc sir customer no not working sir // Customer address skip neighbour enquiry customer shifting to Orissa // Customer address not found need customer photo need kyc sir customer no not working sir // Customer address skip call not answering sir // Customer gas address visit ch not available skip</t>
  </si>
  <si>
    <t>27TH J</t>
  </si>
  <si>
    <t>Customer adress visit and Customer is Live and Customer ptp on Monday</t>
  </si>
  <si>
    <t>Customer adress visit and Customer is Live and Customer ptp on Tommorow</t>
  </si>
  <si>
    <t>Customer live in address and customer not at home and informed to his wife</t>
  </si>
  <si>
    <t>Cust not available at home left msg to cust's father and given ptp on today by EOD or tomorrow // Left msg to cust's father and said waiting for funds given ptp on Monday</t>
  </si>
  <si>
    <t>Customer address visited and hospital addresse given and no one identified name here calls not answered</t>
  </si>
  <si>
    <t>cm shifted from here last 3years and cm phone number switched off sir</t>
  </si>
  <si>
    <t>I have Visited Customer given Street address No person available with that name here Customer call answered Saying that I'm not able to go Work from past 2 months due to health issue will clear Total bill next on month</t>
  </si>
  <si>
    <t>No one available on that name in given address need kyc details sir</t>
  </si>
  <si>
    <t>Cs in banglore job purpuse door locked cs phone contact ptp 2/7  wating for salary</t>
  </si>
  <si>
    <t>374740227091005</t>
  </si>
  <si>
    <t>4315812439050006</t>
  </si>
  <si>
    <t>4315812500983002</t>
  </si>
  <si>
    <t>4315812812361012</t>
  </si>
  <si>
    <t>4315813455528016</t>
  </si>
  <si>
    <t>4315813539468007</t>
  </si>
  <si>
    <t>4315813731884019</t>
  </si>
  <si>
    <t>4315814110502016</t>
  </si>
  <si>
    <t>4315814152108003</t>
  </si>
  <si>
    <t>4315814953268006</t>
  </si>
  <si>
    <t>4315815158801004</t>
  </si>
  <si>
    <t>4315815971520005</t>
  </si>
  <si>
    <t>4375517808408001</t>
  </si>
  <si>
    <t>4375518022529036</t>
  </si>
  <si>
    <t>4501720807095004</t>
  </si>
  <si>
    <t>4748469308121009</t>
  </si>
  <si>
    <t>4748469475980005</t>
  </si>
  <si>
    <t>MR Mangala Prasanth</t>
  </si>
  <si>
    <t>MR Guduru Kiran</t>
  </si>
  <si>
    <t>MR Chanda Dikshith</t>
  </si>
  <si>
    <t>MR Ejjagiri Srinivas</t>
  </si>
  <si>
    <t>MS Tammineni Sravani</t>
  </si>
  <si>
    <t>MR Jambula Radhakrishna</t>
  </si>
  <si>
    <t>MR ChintaRama Bhaskar Reddy</t>
  </si>
  <si>
    <t>MR ALAGAM KIRAN KUMAR</t>
  </si>
  <si>
    <t>MS. SRIRAMULA MANJU BHARGAVI</t>
  </si>
  <si>
    <t>MR Bola Venkata Surendra</t>
  </si>
  <si>
    <t>MR NAGARAJU DEEKONDA</t>
  </si>
  <si>
    <t>MS YEDDULA RAMYA YADAV</t>
  </si>
  <si>
    <t>MR DADALA KARTHIK</t>
  </si>
  <si>
    <t>Mrs KALLE SREE RANGAVALLI TAY</t>
  </si>
  <si>
    <t>MR MOHAMMAD SHAKEEL</t>
  </si>
  <si>
    <t>MR NAG SANJEET KUMAR</t>
  </si>
  <si>
    <t>8686472555</t>
  </si>
  <si>
    <t>9866430670</t>
  </si>
  <si>
    <t>7659827850</t>
  </si>
  <si>
    <t>9014245456</t>
  </si>
  <si>
    <t>7893282644</t>
  </si>
  <si>
    <t>9533499163</t>
  </si>
  <si>
    <t>7702299994</t>
  </si>
  <si>
    <t>7032888426</t>
  </si>
  <si>
    <t>9948753579</t>
  </si>
  <si>
    <t>7386722047</t>
  </si>
  <si>
    <t>9553439039</t>
  </si>
  <si>
    <t>9949651563</t>
  </si>
  <si>
    <t>9164757451</t>
  </si>
  <si>
    <t>9912091567</t>
  </si>
  <si>
    <t>9848511311</t>
  </si>
  <si>
    <t>9010084449</t>
  </si>
  <si>
    <t>"17-144-13-B-2-E-1,JAGAJJANANINAGAR,NANDYAL"    KURNOOL ANP 518501</t>
  </si>
  <si>
    <t>19-552 Old town Rani Nagar Anantapur ANAPARTHI ANP 515001</t>
  </si>
  <si>
    <t>4-110 palakendram palakendram Khammam KHAMMAM TNG 507101</t>
  </si>
  <si>
    <t>H No 9-18 chityala mandal Main Road Nalgonda NALGONDA TNG 508114</t>
  </si>
  <si>
    <t>1 79 nallaguntapally nallaguntapally Karimnagar ADILABAD TNG 505001</t>
  </si>
  <si>
    <t>12 5 938 19 Housing board colony Adharsh nagar Raghuveera reddy guest house ANAPARTHI ANP 515001</t>
  </si>
  <si>
    <t>1 14 759 a kousar nagar Kousar Majid Adilabad ADILABAD TNG 504296</t>
  </si>
  <si>
    <t>36.259.46 Chinna.chowk ..Chinna.chowk opposite manasa kalyana mantapam parking CUDDAPAH ANP 516002</t>
  </si>
  <si>
    <t>3.7.1266.SIRSIK.1ST.FLOOR.SIRSIK.WARD.NO SIRSIK.KAGAZNAGAR ..  ADILABAD TNG 504296</t>
  </si>
  <si>
    <t>H NO 10 9 106 GIRAMAJI PET WARANGAL NEAR MOHAN REDDY HOSPITAL Warangal TNG 506002</t>
  </si>
  <si>
    <t>3.65  .. Y. S. R PRODDATUR ANP 516172</t>
  </si>
  <si>
    <t>2-41 SINGANNAGUDA KOKONDA    MEDAK TNG 502336</t>
  </si>
  <si>
    <t>"5-45/A PENDYALA,KANCHIKACHERLA,MANDALAM," ...  NEAR HANUMAN TEMPLE VIJAYAWADA ANP 521185</t>
  </si>
  <si>
    <t>"3-1-34,MAIN ROAD WARD-29,MARKANDA RAJU PETA," TUNI EAST GODAVARI - EAST GODAVARI ANP 533401</t>
  </si>
  <si>
    <t>"20-151/1 MOUNIKA,APARTMENT KOBBARI,THOTA," CHILAKALAPUDI POST MACHILIPATN   MACHILIPATNAM ANP 521001</t>
  </si>
  <si>
    <t>"H NO,5-88/25 CHELGAL JAGITYAL,KARIMNAGAR"    KARIMNAGAR TNG 505455</t>
  </si>
  <si>
    <t>6-2-48/A JAMMIKUNTA MANDAL GANESH NAGAR JAMMIKUNTA KARIMNAGAR TNG 505122</t>
  </si>
  <si>
    <t>Self employed Shop no 9 Munical complex Munical complex NANDYAL ANP 518501</t>
  </si>
  <si>
    <t>GSWS PARVTHI NAGAR BELLARY ROAD RAYADURG BELLARY ROAD RAYADURG ANANTAPUR ANP 515865</t>
  </si>
  <si>
    <t>SRI ANJANEANEYA JEWELARRY CHINNA BAZAR CHINNA BAZAR CHINNA BAZAR KHAMMAM TNG 507101</t>
  </si>
  <si>
    <t>HARI HARA PUTRA RICE INDUSTRIES H.NO 9-18 CHITYALA  NALGONDA CHITYALA  NALGONDA NALGONDA TNG 508114</t>
  </si>
  <si>
    <t>RRA ASSOCIATES GROUND FLOOR 4  POULOMI TOWERS MUKARAMPURA KARIMNAGAR MUKARAMPURA KARIMNAGAR KARIMNAGAR TNG 505002</t>
  </si>
  <si>
    <t>SRI FAHSION 12 5 938 19 ADHARSH NAGAR RAGHUVEERA REDDY GUEST HOU ADHARSH NAGAR RAGHUVEERA REDDY GUEST HOU ANAPARTHI ANP 515001</t>
  </si>
  <si>
    <t>MPPS POTHAPALLY H  NO1 14 759 A KOUSAR MAJID ROAD KOUSAR MAJID ROAD KOUSAR MAJID ROAD KOUSAR MAJID ROAD ADILABAD TNG 504296</t>
  </si>
  <si>
    <t>STATE.BANK.OF.INDIA RTC.BUSSTAND.BRANCH KADAPA. KADAPA. CUDDAPAH ANP 516003</t>
  </si>
  <si>
    <t>NARAYANA.EDUCATIONAL.SOCIETY melanga.towers 80.84.10th.floor 80.84.10th.floor HYDERABAD TNG 500081</t>
  </si>
  <si>
    <t>BHADARAKALI DRESSES HNO 8 3 93 STATION ROAD WARANGALA WARANGALA Warangal TNG 506002</t>
  </si>
  <si>
    <t>SAZPIN.SOFTWARE.PVT.LTD 2nd.Block.5th.floor Psr.prime.tower. Psr.prime.tower. HYDERABAD TNG 500032</t>
  </si>
  <si>
    <t xml:space="preserve">      </t>
  </si>
  <si>
    <t>IQVIA RDS INDIA PRIVATE LIMITED OMEGA EMBASSY TECH SQUARE MARATHA HANLLI SARJAPUR OUTERRING ROAD KAVERAPPA LAYOUT SARJAPUR OUTERRING ROAD KAVERAPPA LAYOUT BANGALORE KAR 560103</t>
  </si>
  <si>
    <t>31 INFOTECH LTD NO-283/4 PRINCE INFOCITY-11 3RD FLLOR OMR KANDANCHAVADI OMR KANDANCHAVADI CHENNAI TMN 600096</t>
  </si>
  <si>
    <t>Tayaru "20-151/1,mounika apartment" "Kobbari thota,chilakapudi" "Kobbari thota,chilakapudi" MACHILIPATNAM ANP 521001</t>
  </si>
  <si>
    <t>Not Applicable "5-88/25,chalgal" "5-88/25, chalgal" "5-88/25, chalgal" KARIM NAGAR TNG 505455</t>
  </si>
  <si>
    <t>GENPACT INDIA PRIVATE LIMITED 2-103 GACHIBOWLI SAI NAGAR HAFEZ STREET HAFEZ STREET HYDERABAD TNG 500049</t>
  </si>
  <si>
    <t>ICICI Rubyx Master PLT Chip Card</t>
  </si>
  <si>
    <t>ICICI Bank HPCL Coral Platinum Credit Card</t>
  </si>
  <si>
    <t>29TH JUNE</t>
  </si>
  <si>
    <t>0000000016151022</t>
  </si>
  <si>
    <t>0000000020861081</t>
  </si>
  <si>
    <t>0000000021004049</t>
  </si>
  <si>
    <t>0000000021867039</t>
  </si>
  <si>
    <t>0000000024365979</t>
  </si>
  <si>
    <t>0000000024656323</t>
  </si>
  <si>
    <t>0000000025266375</t>
  </si>
  <si>
    <t>0000000026763535</t>
  </si>
  <si>
    <t>0000000026922551</t>
  </si>
  <si>
    <t>0000000030090900</t>
  </si>
  <si>
    <t>0000000031056588</t>
  </si>
  <si>
    <t>0000000034812033</t>
  </si>
  <si>
    <t>0000000011679087</t>
  </si>
  <si>
    <t>0000000012561865</t>
  </si>
  <si>
    <t>0000000020317201</t>
  </si>
  <si>
    <t>0000000023297878</t>
  </si>
  <si>
    <t>0000000025320678</t>
  </si>
  <si>
    <t>Customer given address area visited sir customer address not found phone call responding said living in Hyderabad have no money refused to pay intentionally defaulter</t>
  </si>
  <si>
    <t>28TH J</t>
  </si>
  <si>
    <t>Customer house address not found mobile not responding / Customer house address not found mobile not responding</t>
  </si>
  <si>
    <t>29TH J</t>
  </si>
  <si>
    <t>Costumer present not available call answered and paid norm amount please check it once and confirm me sir</t>
  </si>
  <si>
    <t>Customer abcanding phone not answering in from to Mather</t>
  </si>
  <si>
    <t xml:space="preserve">Customer skip from given address.not responding my calls . House lock  // Visited near customer sister she also not available </t>
  </si>
  <si>
    <t>Adress Not Found Required Kyc Sir</t>
  </si>
  <si>
    <t>Customer PTP on 30th evening</t>
  </si>
  <si>
    <t>Visited customer office address,no such person confirmed by workers</t>
  </si>
  <si>
    <t>Visited Customer Given Adress Customer Shifted Since 2years Conform to Owner's Sir // Transfer to Sangareddy dfo office</t>
  </si>
  <si>
    <t>CUSTOMER PAYMENT IN SATURDAY EVINING SIR // CUSTOMER PAYMENT IN TODAY EVINING SIR // CUSTOMER PAYMENT IN TODAY EVINING SIR</t>
  </si>
  <si>
    <t>MAHBOOBNAGAR</t>
  </si>
  <si>
    <t>Customer address visit ch not available msg left to family call response ptp on 29th sir // Customer ptp on tomorrow evening</t>
  </si>
  <si>
    <t>4375512080117008</t>
  </si>
  <si>
    <t>4375519641160005</t>
  </si>
  <si>
    <t>5241930152468019</t>
  </si>
  <si>
    <t>4375518937759009</t>
  </si>
  <si>
    <t>4375518928046010</t>
  </si>
  <si>
    <t>4375519665046007</t>
  </si>
  <si>
    <t>4375515668118009</t>
  </si>
  <si>
    <t>4375512076539009</t>
  </si>
  <si>
    <t>4375519000655017</t>
  </si>
  <si>
    <t>4375515390780001</t>
  </si>
  <si>
    <t>4375515326022007</t>
  </si>
  <si>
    <t>4375515670783006</t>
  </si>
  <si>
    <t>4375518823046008</t>
  </si>
  <si>
    <t>4375515450769001</t>
  </si>
  <si>
    <t>MR HASENA SHAIK</t>
  </si>
  <si>
    <t>MR KANAPANENI PRADEEP KUMAR</t>
  </si>
  <si>
    <t>Mr V T Narayana</t>
  </si>
  <si>
    <t>Mr PAVAN Gadde Kumar</t>
  </si>
  <si>
    <t>Ms Shilpa Nandru</t>
  </si>
  <si>
    <t>MR GUNTOJU BALARAJU</t>
  </si>
  <si>
    <t>MR BRAHMAROUTHU RAJENDRA PRASAD</t>
  </si>
  <si>
    <t>MR MODUGU MALLAIAH</t>
  </si>
  <si>
    <t>MR BASHEERBAD ABHILASH</t>
  </si>
  <si>
    <t>Mr Ellendula Bhanuprasad</t>
  </si>
  <si>
    <t>MR. AMZAD AHAIK</t>
  </si>
  <si>
    <t>MR MUNI BABU KATURI</t>
  </si>
  <si>
    <t>Mr Hari Prasad</t>
  </si>
  <si>
    <t>MR AMARENDRA KUMAR K</t>
  </si>
  <si>
    <t>8333961356</t>
  </si>
  <si>
    <t>9966604960</t>
  </si>
  <si>
    <t>9849040098</t>
  </si>
  <si>
    <t>9553956668</t>
  </si>
  <si>
    <t>9849722052</t>
  </si>
  <si>
    <t>9701415553</t>
  </si>
  <si>
    <t>9032764936</t>
  </si>
  <si>
    <t>9993869999</t>
  </si>
  <si>
    <t>9966880101</t>
  </si>
  <si>
    <t>8885314303</t>
  </si>
  <si>
    <t>9908639319</t>
  </si>
  <si>
    <t>9010174398</t>
  </si>
  <si>
    <t>9963814750</t>
  </si>
  <si>
    <t>7331153275</t>
  </si>
  <si>
    <t>"D.NO: 5-47,MASJEED STR MANDADAM POST" THULLURU MANDAL   GUNTUR ANP 522505</t>
  </si>
  <si>
    <t>4 9 181 MAIN ROAD PULIVENDULA   NEAR APSPDCL PRODDATUR ANP 516390</t>
  </si>
  <si>
    <t>"MALLIKARJUNAPETA,10-14-29 FLR,AKULAVARI VEEDI"    VIJAYAWADA ANP 520001</t>
  </si>
  <si>
    <t>"3,MOGULURU,-121 FLR,MOGULURU,KANCHIKACHARLA, SIVALAYAM"    VIJAYAWADA ANP 521180</t>
  </si>
  <si>
    <t>"8-4-,VENUGOPAL NAGAR,81 FLR, KHANAPURAM HAWELI,KHAMMAM"    Khammam TNG 507002</t>
  </si>
  <si>
    <t>H NO 4-72 CHITYALA MANDAL  CHURCH SANTHOSH NAGAR NALGONDA TNG 508114</t>
  </si>
  <si>
    <t>7 3 BHAGYA NAGAR 67 1 FLR NEAR E SEVA NIRMAL  Adilabad TNG 504106</t>
  </si>
  <si>
    <t>"HOUSE,NUMBER 11-11-343/98,JAGAJEEVAN RAM," "COLONY NEAR,RAMANA GUTTA KHAMMAM URBAN KHA"   KHAMMAM TNG 507003</t>
  </si>
  <si>
    <t>H NO 1-4-49 VEMULAWADA MANDAL VASAVI NAGAR N R SHIVARAMKRISHNA THEATER Karimnagar TNG 505302</t>
  </si>
  <si>
    <t>"3-44,Ground," ",Near vepachettu" Chinnakodur "Near vepachettu , machapur" SIDDIPET TNG 502276</t>
  </si>
  <si>
    <t>20 1 472 5H C 1ST FLOOR FLR MARUTHI NAGAR KORLAGUNTA X TIRUPATHI ANP 517501</t>
  </si>
  <si>
    <t>FLAT NO 504 RS NO 722/A MAHESWARI HEIGHT GONADALA ROAD NUNNA  MUNNA NEAR ELECTRICAL POWER GRID NUNNA VIJAYAWADA ANP 521212</t>
  </si>
  <si>
    <t>"8/34, PEDDA KOMMAVARI PALLI QUATERS"    PUTTAPARTHI ANP 515134</t>
  </si>
  <si>
    <t>"514,5th floor,satyacomforts apartments" "9thline ,dwarakanagar" guntur guntur GUNTUR ANP 522034</t>
  </si>
  <si>
    <t>NEW FAMOUS TRADING COMPANY D N 49 181 UP MAIN ROAD PULIVENDULA PULIVENDULA PRODDATUR ANP 516390</t>
  </si>
  <si>
    <t>WATERHEALTH INDIA PVT LTD "Water Hhealth India Pvt Ltd, Shope No. 1 &amp; 2, Plot No. 42," "Block No.c-2, Abdul Azeez Street, Kanuru, New Auto Nagar," "Block No.c-2, Abdul Azeez Street, Kanuru, New Auto Nagar," VIJAYAWADA ANP 520007</t>
  </si>
  <si>
    <t>ENMAS O &amp; M SERVICES PRIVATE LIMITED 3-121 Moguluru Moguluru KANCHIKACHERLA ANP 521180</t>
  </si>
  <si>
    <t>Govt hospital Wyra Road Zp Center Zp Center Khammam TNG 507001</t>
  </si>
  <si>
    <t>GOVERNMENT OF TELANGANA GROUND FLOOR MANDAL AGRICULTURE OFFICE KETHUPALLY AGRICULTURE OFFICE KETHUPALLY SURYAPET TNG 508211</t>
  </si>
  <si>
    <t>YOGI NI FASHIONS SHOP NO 5 BJP OFFICE ROAD KUKATPALLY BJP OFFICE ROAD KUKATPALLY Hyderabad TNG 500072</t>
  </si>
  <si>
    <t>SRR MENS WEAR VEMULAWADA MANDAL KARIMNAGAR VEMULAWADA MANDAL KARIM NAGAR VEMULAWADA MANDAL KARIM NAGAR Karimnagar TNG 505302</t>
  </si>
  <si>
    <t>COGNIZANT TECHNOLOGY SERVICES PRIVATE LIMITED Mindspace Buliding No 12 A   Hyderabad TNG 500081</t>
  </si>
  <si>
    <t>ABS ASSOCIATES 20 1 472 5H C  MARUTHI NAGAR KORLAGUNT TIRUPATI KORLAGUNT TIRUPATI TIRUPATHI ANP 517501</t>
  </si>
  <si>
    <t>SUPREME FACILITY MANGEMENT RAILWAY STATION PLAT FORM NO 06 AND 07 CALL TAX ROAD OPP DRM OFFICE CALL TAX ROAD OPP DRM OFFICE VIJAYAWADA ANP 520001</t>
  </si>
  <si>
    <t>HUAWEI TELECOMMUNICATIONS INDIA PRIVATE LIMITED "Marthalli,bangalore"   BANGALORE KAR 560037</t>
  </si>
  <si>
    <t>RELIANCE JIO INFOCOMM LTD H NO 8-6-49 TO 51 GOLLAM MUDIVARI STREET SAT TENAPALLI GUNTUR SAT TENAPALLI GUNTUR NARASAPURAM ANP 522403</t>
  </si>
  <si>
    <t>PUTTAPARTHI</t>
  </si>
  <si>
    <t>NARASARAOPET</t>
  </si>
  <si>
    <t>ICICI Bank Secured Coral Credit Card</t>
  </si>
  <si>
    <t>ICICI Rubyx PLT Credit Card (AMEX)</t>
  </si>
  <si>
    <t>ICICI Bank Expressions Credit Card</t>
  </si>
  <si>
    <t>0000000017293746</t>
  </si>
  <si>
    <t>0000000092346755</t>
  </si>
  <si>
    <t>0000000084539810</t>
  </si>
  <si>
    <t>0000000153263894</t>
  </si>
  <si>
    <t>0000000147694884</t>
  </si>
  <si>
    <t>0000000148762508</t>
  </si>
  <si>
    <t>0000000109178340</t>
  </si>
  <si>
    <t>0000000204206310</t>
  </si>
  <si>
    <t>0000000161230935</t>
  </si>
  <si>
    <t>0000000119191650</t>
  </si>
  <si>
    <t>0000000101664931</t>
  </si>
  <si>
    <t>0000000146454396</t>
  </si>
  <si>
    <t>0000000095609154</t>
  </si>
  <si>
    <t>0000000155313171</t>
  </si>
  <si>
    <t>PRUDHVI/GTR , 8185079989</t>
  </si>
  <si>
    <t>Customer house shifted 
Customer calls not responding</t>
  </si>
  <si>
    <t>We went to the customer's previous address, but the customer was not available there. They said they had shifted to another house. However, we called the customer. The customer responded and said he would pay the amount in two day</t>
  </si>
  <si>
    <t>PRASHANTH</t>
  </si>
  <si>
    <t>Customer house door lock customer mobile responding customer proceed to legal notice</t>
  </si>
  <si>
    <t>Customer PTP on today evening</t>
  </si>
  <si>
    <t>30TH J</t>
  </si>
  <si>
    <t xml:space="preserve">CUSTOMER GIVEN WORKING ADDRESS VISITED CUSTOMER NOT AVAILABLE HERE GOING FOR NEW WORKING ADDRESS CUSTOMER MOBILE RINGING BUT NOT ANSWERING // SHAFIULLA </t>
  </si>
  <si>
    <t>12121-ECS PAYMENTS</t>
  </si>
  <si>
    <t>12118 - NEFT PAYMENT RECEIVED</t>
  </si>
  <si>
    <t>12111-ICICI BANK COLLECTION PAYMENT</t>
  </si>
  <si>
    <t>12101-INFINITY PYMT RCVD</t>
  </si>
  <si>
    <t>Customer home adress visit and Customer prasent Living in Hyderabd and Call not Answer and They aren't even answering calls from the tenants living in their house</t>
  </si>
  <si>
    <t>Cust house door locked and no respond to calls revisit and update // Revisited cust house door locked neighbours said cust family went to out station and no respond to calls // Revisited cust house door locked and no respond to calls // Visited to cust traced address no such person</t>
  </si>
  <si>
    <t>Customer given address visit customer not available not living in address, call not answer</t>
  </si>
  <si>
    <t>Customer given address visit customer shifted mother live mother not responding</t>
  </si>
  <si>
    <t>customer shifted this address 3 years ago number not working</t>
  </si>
  <si>
    <t>Customer visit home address meet her wife rachana customer not available talk to customer phone customer mother admit hospital due health problem customer also health problem job loss ask the some time</t>
  </si>
  <si>
    <t>Customer shifted frm here // Customer new address door locked // Customer live but present not available family members available informed by wife call not answering</t>
  </si>
  <si>
    <t>4315813560038000</t>
  </si>
  <si>
    <t>374740145657002</t>
  </si>
  <si>
    <t>4315811661159006</t>
  </si>
  <si>
    <t>4315812040227001</t>
  </si>
  <si>
    <t>4315814599057003</t>
  </si>
  <si>
    <t>4375514870088001</t>
  </si>
  <si>
    <t>4035621495885000</t>
  </si>
  <si>
    <t>4315811838100016</t>
  </si>
  <si>
    <t>4748460726717023</t>
  </si>
  <si>
    <t>4315811960083022</t>
  </si>
  <si>
    <t>4035623170147011</t>
  </si>
  <si>
    <t>4315812967475013</t>
  </si>
  <si>
    <t>4315814717678003</t>
  </si>
  <si>
    <t>4315811741891008</t>
  </si>
  <si>
    <t>4315811513504003</t>
  </si>
  <si>
    <t>4315812153364005</t>
  </si>
  <si>
    <t>4748469369827007</t>
  </si>
  <si>
    <t>4315813339392001</t>
  </si>
  <si>
    <t>4315812257887000</t>
  </si>
  <si>
    <t>4375512058953004</t>
  </si>
  <si>
    <t>4315812050816008</t>
  </si>
  <si>
    <t>6529190053247001</t>
  </si>
  <si>
    <t>6529190047567001</t>
  </si>
  <si>
    <t>4035622553587009</t>
  </si>
  <si>
    <t>6528681385441008</t>
  </si>
  <si>
    <t>6528682109309000</t>
  </si>
  <si>
    <t>MR Bareddy Siva Prasad</t>
  </si>
  <si>
    <t>MR SIDDHARTHA KASAGANI</t>
  </si>
  <si>
    <t>MR Bodireddy Nanda Kumar</t>
  </si>
  <si>
    <t>MR BOJJAM ANIL</t>
  </si>
  <si>
    <t>MR Thumu Venkat</t>
  </si>
  <si>
    <t>MR VEMULA AMBADAS</t>
  </si>
  <si>
    <t>MR ANKAMMA RAJU KUNCHALA</t>
  </si>
  <si>
    <t>MR Kalakota Santhosh</t>
  </si>
  <si>
    <t>MR SEELA YESWANTH REDDY</t>
  </si>
  <si>
    <t>MR Cheruku Naveen Babu</t>
  </si>
  <si>
    <t>MR GOLLA PAUL SUDHAKAR</t>
  </si>
  <si>
    <t>MR Katamreddy Vinay</t>
  </si>
  <si>
    <t>MS Sri Sravya Alapati</t>
  </si>
  <si>
    <t>MS Dudekula Kousar Bhanu</t>
  </si>
  <si>
    <t>Mr PERNAPATI OBANNA</t>
  </si>
  <si>
    <t>MR Chereddy Ramabhupal Reddy</t>
  </si>
  <si>
    <t>MR KASAGANI SIDDHARTHA</t>
  </si>
  <si>
    <t>MR Matha Bala Yogi</t>
  </si>
  <si>
    <t>MR Chandanapu Trimurthulu</t>
  </si>
  <si>
    <t>MR POTHAMSHETTI HARSHAVARDHAN</t>
  </si>
  <si>
    <t>MR SHAIK IMRAN</t>
  </si>
  <si>
    <t>MS KARANAM PRIYA</t>
  </si>
  <si>
    <t>MR K VINOD</t>
  </si>
  <si>
    <t>MR SRINIVAS GOUD PANDLA</t>
  </si>
  <si>
    <t>MR KOMMU KRISHNA</t>
  </si>
  <si>
    <t>MR Mohmmad Tajuddin</t>
  </si>
  <si>
    <t>8790444536</t>
  </si>
  <si>
    <t>9491251351</t>
  </si>
  <si>
    <t>9533384688</t>
  </si>
  <si>
    <t>7036949901</t>
  </si>
  <si>
    <t>9494501334</t>
  </si>
  <si>
    <t>9849332328</t>
  </si>
  <si>
    <t>6309183780</t>
  </si>
  <si>
    <t>9533951148</t>
  </si>
  <si>
    <t>7989967635</t>
  </si>
  <si>
    <t>9652290907</t>
  </si>
  <si>
    <t>9490096189</t>
  </si>
  <si>
    <t>9676791105</t>
  </si>
  <si>
    <t>8522900150</t>
  </si>
  <si>
    <t>9398819256</t>
  </si>
  <si>
    <t>9704908633</t>
  </si>
  <si>
    <t>9703339884</t>
  </si>
  <si>
    <t>9703489555</t>
  </si>
  <si>
    <t>8121857747</t>
  </si>
  <si>
    <t>9346723993</t>
  </si>
  <si>
    <t>9441844535</t>
  </si>
  <si>
    <t>7569999842</t>
  </si>
  <si>
    <t>9032284126</t>
  </si>
  <si>
    <t>9666939376</t>
  </si>
  <si>
    <t>9553252890</t>
  </si>
  <si>
    <t>9849917904</t>
  </si>
  <si>
    <t>9441526531</t>
  </si>
  <si>
    <t xml:space="preserve">4 23   Cuddapah PRODDATUR ANP 516362 </t>
  </si>
  <si>
    <t xml:space="preserve">7-23 GOVERNMENT COLLEGE ROAD KOYYALAGUDEM GOVT COLLEGE ROAD Eluru ANP 534312 </t>
  </si>
  <si>
    <t xml:space="preserve">"4/5,,"  Anumpalli Anumpalli village RAYACHOTI ANP 516269 </t>
  </si>
  <si>
    <t xml:space="preserve">"H NO,41-1-209 BOLLIKUNTA,MANDAL," "KHILA WARANGAL,BOLLIKUNTA," WARANGAL TELANGANA 506005  WARANGAL TNG 506005 </t>
  </si>
  <si>
    <t xml:space="preserve">68.8.16.2B Near.Ideal.College Ashok.Nagar East Godavari KAKINADA ANP 533003 </t>
  </si>
  <si>
    <t xml:space="preserve">H NO 16 2 1 63 1 SHIVAJI NAGAR GODAVARIKANI RGM VEGTABLE MARKET Karimnagar TNG 505209 </t>
  </si>
  <si>
    <t xml:space="preserve">2-121H VTC MADDIPADU MADDIPADU NEAR MAIN ROAD Prakasam ANP 523211 </t>
  </si>
  <si>
    <t xml:space="preserve">2-7-643 SUBEDARI EXCISE COLONY NEAR VENKATESHWARA SWAMY TEMPLE WARANGAL TNG 506001 </t>
  </si>
  <si>
    <t xml:space="preserve">"4-10-15/2," PRASHANTHI NAGAR PULIVENDULA back side of RTC BUSTAND KADAPA ANP 516390 </t>
  </si>
  <si>
    <t xml:space="preserve">1-7-76/8 Srinivasa Colony Srinivasa Colony Mahabubnagar WANAPARTHY TNG 509210 </t>
  </si>
  <si>
    <t xml:space="preserve">9-11-35/5 ROYAPETA JONAH ROAD NEAR MISSION HIGH SCHOOL BHIMAVARAM ANP 534275 </t>
  </si>
  <si>
    <t xml:space="preserve">18-10-1 SAMARLKOT GANDHINAGAR East Godavari KAKINADA ANP 533440 </t>
  </si>
  <si>
    <t xml:space="preserve">3.120.1 andhra.colony ..andhra.colony Adilabad ADILABAD TNG 504215 </t>
  </si>
  <si>
    <t xml:space="preserve">18-2-856 Ananthapuramu Venugopal Nagar Venugopal Nagar ANAPARTHI ANP 515001 </t>
  </si>
  <si>
    <t xml:space="preserve">"10/255-1,SHANTHINAGAR,MYDUKURU,MYDEKUR"    PRODDATUR ANP 516172 </t>
  </si>
  <si>
    <t xml:space="preserve">11-302-D Nandyala RTC Colony Raithunagaram NANDYAL ANP 518502 </t>
  </si>
  <si>
    <t xml:space="preserve">"7-23, GOVT COLLAGE ROAD,,KOYYALAGUDEM MA" NDALAM  NR GOVT COLLAGE ELURU ANP 534312 </t>
  </si>
  <si>
    <t xml:space="preserve">D NO 2 17 5 KONDAVARI STREET KONDAVARI STREET NEAR SACHIVALAYAM RAJAHMUNDRY ANP 533103 </t>
  </si>
  <si>
    <t xml:space="preserve">2-29 bandaru vari veedhi bandaru vari veedhi West Godavari BHIMAVARAM ANP 534124 </t>
  </si>
  <si>
    <t xml:space="preserve">HIGH SCHOOL KONTALA KANALA HIGH SCHOOL KONTALA KANALA   NANDYAL ANP 518593 </t>
  </si>
  <si>
    <t xml:space="preserve">"4-408,PAPAMPETA K L D ROAD,PAPAMPETA," ANANTAPUR ANANTAPUR ANANTAPUR ANAPARTHI ANP 515004 </t>
  </si>
  <si>
    <t xml:space="preserve">4-2-660-1 somnathnagar "YUVAJANA COLONY,BACK SIDE OF RAMALAYAM,ANANTA"  Anantapur ANA ANP 515004 </t>
  </si>
  <si>
    <t xml:space="preserve">6-19IEEJA old bus stand  IEEJAJogulamba Gadwal MAB TNG 509127 </t>
  </si>
  <si>
    <t xml:space="preserve">5-73/1 TURPU BAZAR VALLAPURAM NADIGUDEM NEAR MAIN ROAD CENTRE SURYAPET TNG 508234 </t>
  </si>
  <si>
    <t xml:space="preserve">"1-139,CHOUTAPALLY,,PARVATHAGIRI,PARVATHA" GIRI  NEAR BUS STOP WARANGAL TNG 506365 </t>
  </si>
  <si>
    <t xml:space="preserve">H NO 7-60 Maddur mandal - Warangal WARANGAL TNG 506367 </t>
  </si>
  <si>
    <t>JOHNSON LIFTS PRIVATE LIMITED PRODDATUR THALLAMAPURAM  KADAPA THALLAMAPURAM  KADAPA PRODDATUR ANP 516362</t>
  </si>
  <si>
    <t>Sri krishna foods Hig-106 "Aphb colony , Gachibowli" "Aphb colony , Gachibowli" HYDERABAD TNG 500032</t>
  </si>
  <si>
    <t>APSFL APSFL NOC NEAR AU DISTANCE EDUCATION  CHINNA WALTA NEAR AU DISTANCE EDUCATION  CHINNA WALTA VISHAKAPATNAM ANP 530017</t>
  </si>
  <si>
    <t>Not Applicable "Parkal, warangal, h no 2-13/1 market road" "Parkal, warangal, h no 2-13/1 mar" "Parkal, warangal, h no 2-13/1 mar" WARANGAL TNG 506164</t>
  </si>
  <si>
    <t>PARKAM.PLASTIC Parekhplast.India.Ltd.Plot No.28.APSEZ.D.notified.area.Lalam.Koduru No.28.APSEZ.D.notified.area.Lalam.Koduru ANAKAPALLE ANP 531011</t>
  </si>
  <si>
    <t>PARIMALA SAREE CENTER CLOTHES PARIMALA SAREE CENTER CLOTHES SHIVAJI NAGAR SHIVAJI NAGAR Karimnagar TNG 505209</t>
  </si>
  <si>
    <t>MEDICAL COLLEGE RIMS COLLEGE ONGOLE ONGOLE ONGOLE ANP 523001</t>
  </si>
  <si>
    <t>HOTMAAX "2-7-643 EXCISE COLONY, HANAMKONDA, WARAN" TELANGANA WARANGAL TELANGANA WARANGAL WARANGAL TNG 506001</t>
  </si>
  <si>
    <t>VIT VELLORE VIT KATPADI VELLORE VELLORE VELLORE TMN 632014</t>
  </si>
  <si>
    <t>RASTRASTER ENGINNERS PVTLTD BABHUKHAN MILINIMUM CENTER SOMAJIGUDA SOMAJIGUDA HYDERABAD TNG 500082</t>
  </si>
  <si>
    <t>BLUE PAL "G92V38W, ADDAGUTTA, SAMATHA NAGAR" "KUKATPALLY, HYDERABAD, TELANGANA" "KUKATPALLY, HYDERABAD, TELANGANA" HYDERABAD TNG 500090</t>
  </si>
  <si>
    <t>CHANDANA BROTHERS SHOPPING MALL PVT LTD MAIN ROAD SURYARAOPETA SURYARAOPETA KAKINADA ANP 533001</t>
  </si>
  <si>
    <t>SPECTRAFORCE.TECHNOLOGIES.INDIA..PSPFT SPECTRAFORCE.TECHNOLIGIES SELENIUM.. SELENIUM.. HYDERABAD TNG 500032</t>
  </si>
  <si>
    <t>MAHAVEER DIGITAL SHOPPY "15-591, RAJU ROAD" ANANTAPUR ANANTAPUR ANAPARTHI ANP 515001</t>
  </si>
  <si>
    <t>na mydekur mydekur mydekur PRODDATUR ANP 516172</t>
  </si>
  <si>
    <t>SRKT TRANSPORTS 11-302-D NANDYAL RTC COLONY NANDYAL RTC COLONY NANDYAL ANP 518502</t>
  </si>
  <si>
    <t>ERNST YOUNG LLP "83/1 RAIDURGAM PLOT NO 22,23,24,3132 AND" 33 HITECH CITY MADHAPUR 33 HITECH CITY MADHAPUR HYDERABAD TNG 500081</t>
  </si>
  <si>
    <t>CHANAKYA MMA CO OP SOCIETY ACHANTAVARI STREET NEAR SUBRAMANYESWARA TEMPLE NEAR NEAR SUBRAMANYESWARA TEMPLE NEAR TANUKU ANP 534211</t>
  </si>
  <si>
    <t>AGRICULTURE 2-29 "BANDARUVARI STREET, PENUMANTRA" "BANDARUVARI STREET, PENUMANTRA" BHIMAVARAM ANP 534124</t>
  </si>
  <si>
    <t>HIGH SCHOOL KONTALA KANALA HIGH SCHOOL KONTALA KANALA   NANDYAL ANP 518593</t>
  </si>
  <si>
    <t>Precision tech serve Pvt ltd 4/408 "Kld road Anantapur Vidhyaranya nagar,pap" "Kld road Anantapur Vidhyaranya nagar,pap" ANAPARTHI ANP 515004</t>
  </si>
  <si>
    <t>"SKYVIEW-Building No. 20, 14th &amp; 15th Floor" Partly SEZ Developer in Survey No. 83/1 of Ra   HYD TNG 500081</t>
  </si>
  <si>
    <t>OLD BUSTAND OLD BUSTAND   MAB TNG 509127</t>
  </si>
  <si>
    <t>ADVENTGLOBAL SOLUTION PVT LTD "6 WHITE FIELD ROAD ,LAXMI CYBER CITY" KONDAPUR KONDAPUR HYDERABAD TNG 500081</t>
  </si>
  <si>
    <t>VIRTUSA CONSULTING SERVICES PRIVATE LIMI SY NO 115 NANAKRAMGUDA SERILINGAMPALLY HYDERABAD HYDERABAD HYDERABAD TNG 500032</t>
  </si>
  <si>
    <t>BUSINESSBUSINESSS MADDUR WARANGAL MANDAL WARANGAL MANDAL WARANGAL TNG 506367</t>
  </si>
  <si>
    <t>ELURU</t>
  </si>
  <si>
    <t>PRAKASAM</t>
  </si>
  <si>
    <t>TANUKU</t>
  </si>
  <si>
    <t>30TH JUNE</t>
  </si>
  <si>
    <t>0000000024697132</t>
  </si>
  <si>
    <t>0000000014152210</t>
  </si>
  <si>
    <t>0000000018526933</t>
  </si>
  <si>
    <t>0000000019804755</t>
  </si>
  <si>
    <t>0000000028544348</t>
  </si>
  <si>
    <t>0000000011015268</t>
  </si>
  <si>
    <t>0000000028250630</t>
  </si>
  <si>
    <t>0000000019152581</t>
  </si>
  <si>
    <t>0000000016758780</t>
  </si>
  <si>
    <t>0000000019573429</t>
  </si>
  <si>
    <t>0000000026465661</t>
  </si>
  <si>
    <t>0000000022383942</t>
  </si>
  <si>
    <t>0000000029042252</t>
  </si>
  <si>
    <t>0000000018822098</t>
  </si>
  <si>
    <t>0000000018064161</t>
  </si>
  <si>
    <t>0000000020098356</t>
  </si>
  <si>
    <t>0000000024015033</t>
  </si>
  <si>
    <t>0000000023989548</t>
  </si>
  <si>
    <t>0000000020378952</t>
  </si>
  <si>
    <t>0000000027928631</t>
  </si>
  <si>
    <t>0000000019834604</t>
  </si>
  <si>
    <t>0000000033307115</t>
  </si>
  <si>
    <t>0000000032992183</t>
  </si>
  <si>
    <t>0000000020823015</t>
  </si>
  <si>
    <t>0000000030487289</t>
  </si>
  <si>
    <t>0000000032553667</t>
  </si>
  <si>
    <t>Customer given address visit customer not available informed to mother, trying by call</t>
  </si>
  <si>
    <t>374740328044002</t>
  </si>
  <si>
    <t>374742290454003</t>
  </si>
  <si>
    <t>376944884932000</t>
  </si>
  <si>
    <t>4375513087031002</t>
  </si>
  <si>
    <t>4375513090679003</t>
  </si>
  <si>
    <t>4375516954958009</t>
  </si>
  <si>
    <t>4375519873834004</t>
  </si>
  <si>
    <t>4748460156387008</t>
  </si>
  <si>
    <t>4748460163007003</t>
  </si>
  <si>
    <t>4748460164588001</t>
  </si>
  <si>
    <t>4748469300375009</t>
  </si>
  <si>
    <t>4748469318929003</t>
  </si>
  <si>
    <t>4748469332636006</t>
  </si>
  <si>
    <t>4748469391057003</t>
  </si>
  <si>
    <t>4748469409037005</t>
  </si>
  <si>
    <t>4748469410937003</t>
  </si>
  <si>
    <t>4748469444148007</t>
  </si>
  <si>
    <t>4748469451613000</t>
  </si>
  <si>
    <t>4748469455278008</t>
  </si>
  <si>
    <t>4748469461089019</t>
  </si>
  <si>
    <t>4748469473711006</t>
  </si>
  <si>
    <t>4748469553609005</t>
  </si>
  <si>
    <t>4748469556430003</t>
  </si>
  <si>
    <t>4748469573035009</t>
  </si>
  <si>
    <t>4748469589462007</t>
  </si>
  <si>
    <t>4748469608884009</t>
  </si>
  <si>
    <t>4748469614100002</t>
  </si>
  <si>
    <t>4748469636064004</t>
  </si>
  <si>
    <t>4748469639543012</t>
  </si>
  <si>
    <t>4748469848361008</t>
  </si>
  <si>
    <t>4748469864745001</t>
  </si>
  <si>
    <t>5241930490430002</t>
  </si>
  <si>
    <t>5241930539358008</t>
  </si>
  <si>
    <t>5241930757824004</t>
  </si>
  <si>
    <t>5241930818785012</t>
  </si>
  <si>
    <t>5241930860298005</t>
  </si>
  <si>
    <t>5241933805506003</t>
  </si>
  <si>
    <t>5241937844318015</t>
  </si>
  <si>
    <t>Mr KUNTA SAI</t>
  </si>
  <si>
    <t>Mrs MEKALA BINDU</t>
  </si>
  <si>
    <t>MR CHANDA NAVEEN KUMAR</t>
  </si>
  <si>
    <t>MR Bellamkonda Joseph Thambi</t>
  </si>
  <si>
    <t>Mr Kosaraju Manohar</t>
  </si>
  <si>
    <t>MR KUDUMALA GANGA REDDY</t>
  </si>
  <si>
    <t>MR GosulaBala Mahendra Reddy</t>
  </si>
  <si>
    <t>MR Karandekar Nagesh</t>
  </si>
  <si>
    <t>MR Telugu Uday Kumar</t>
  </si>
  <si>
    <t>MR SATYA HARI PRASAD NUKALA</t>
  </si>
  <si>
    <t>Mr BEJAWADA SATHISH</t>
  </si>
  <si>
    <t>MS DANGE SAVITHA</t>
  </si>
  <si>
    <t>Mr PALLE YAGNE SHWAR</t>
  </si>
  <si>
    <t>MR VEERAMALLU SAI RAM</t>
  </si>
  <si>
    <t>MR CHUNDURI SAI KOMAL</t>
  </si>
  <si>
    <t>MR TUMMALAPALLI CHANDRA SEKHAR</t>
  </si>
  <si>
    <t>MR S MOHAN KRISHNA</t>
  </si>
  <si>
    <t>MS SAMANA SURYAKUMARI</t>
  </si>
  <si>
    <t>MS MANDA JYOTHSNA</t>
  </si>
  <si>
    <t>MR POTHURAJU VENKATESH</t>
  </si>
  <si>
    <t>MS CHIPPADA VASAVI DEVI</t>
  </si>
  <si>
    <t>MR BODDELA VIJAYA KUMAR</t>
  </si>
  <si>
    <t>MS KARRA SHOBHA</t>
  </si>
  <si>
    <t>MR NANGI NARAYANA REDDY</t>
  </si>
  <si>
    <t>MS MAERLA BINDU MADHAVI</t>
  </si>
  <si>
    <t>MR CHANDOLU SYAM BABU</t>
  </si>
  <si>
    <t>MR KAVALIPATI ANAND KUMAR</t>
  </si>
  <si>
    <t>MS MEDISETTI VENKATALAKSHMI</t>
  </si>
  <si>
    <t>MR SUNKARI SAI</t>
  </si>
  <si>
    <t>MR MUDAVATH NAIK</t>
  </si>
  <si>
    <t>Mr KANDIKA ANUDEEP</t>
  </si>
  <si>
    <t>MR AVIRNENI LINGARAO</t>
  </si>
  <si>
    <t>MR I VEENA REDDY</t>
  </si>
  <si>
    <t>MS THOTTULA INDRANI</t>
  </si>
  <si>
    <t>MR SHAIK IRFAN</t>
  </si>
  <si>
    <t>MR MAHESHWARLA VENKATARAJENDRA PR</t>
  </si>
  <si>
    <t>MR AKULA SRIKANTH</t>
  </si>
  <si>
    <t>9642941155</t>
  </si>
  <si>
    <t>9848328537</t>
  </si>
  <si>
    <t>7780749304</t>
  </si>
  <si>
    <t>9133754143</t>
  </si>
  <si>
    <t>8919926992</t>
  </si>
  <si>
    <t>7760219159</t>
  </si>
  <si>
    <t>9160245694</t>
  </si>
  <si>
    <t>7794847754</t>
  </si>
  <si>
    <t>9542678010</t>
  </si>
  <si>
    <t>9394678899</t>
  </si>
  <si>
    <t>9640891157</t>
  </si>
  <si>
    <t>8523064017</t>
  </si>
  <si>
    <t>9603769877</t>
  </si>
  <si>
    <t>9346100609</t>
  </si>
  <si>
    <t>9505455999</t>
  </si>
  <si>
    <t>9182444492</t>
  </si>
  <si>
    <t>9666562748</t>
  </si>
  <si>
    <t>9346499245</t>
  </si>
  <si>
    <t>9949200273</t>
  </si>
  <si>
    <t>9666440323</t>
  </si>
  <si>
    <t>9542270174</t>
  </si>
  <si>
    <t>9866027679</t>
  </si>
  <si>
    <t>7659865259</t>
  </si>
  <si>
    <t>7799442170</t>
  </si>
  <si>
    <t>7093140770</t>
  </si>
  <si>
    <t>8328488640</t>
  </si>
  <si>
    <t>9000202538</t>
  </si>
  <si>
    <t>9666113528</t>
  </si>
  <si>
    <t>9949839991</t>
  </si>
  <si>
    <t>9603252106</t>
  </si>
  <si>
    <t>9676066007</t>
  </si>
  <si>
    <t>9030040073</t>
  </si>
  <si>
    <t>9492155701</t>
  </si>
  <si>
    <t>7780304452</t>
  </si>
  <si>
    <t>9542028124</t>
  </si>
  <si>
    <t>9000093136</t>
  </si>
  <si>
    <t>8341852197</t>
  </si>
  <si>
    <t>"H NO,15-3-686 L B NAGAR,GODAVARIKHANI," RAMAGUNDAM   RAMAGUNDAM TNG 505209</t>
  </si>
  <si>
    <t>"19-3,MARKANDEYA,-41/1 FLR,COLONY," "GODAVARIKHANI,RAMAGUNDAM,RAMAGUNDAM"   MEDAK TNG 503001</t>
  </si>
  <si>
    <t>3-10-435/3 CHANDRA NAGAR CHANDRA NAGAR SRM FUNCTION HALL NIZAMABAD TNG 503001</t>
  </si>
  <si>
    <t>3-150 attaluru attaluru Guntur NARASAPURAM ANP 522436</t>
  </si>
  <si>
    <t>"6-123-4,GURAJA ROAD,OPP HARSHAPLOTS, MUDINEPALLE"    MUDINEPALLI ANP 521325</t>
  </si>
  <si>
    <t>"3/615-1 UP REDDY NAGAR Y,M R COLONY,PRODDATUR" - CUDDAPAH - CUDDAPAH ANP 516360</t>
  </si>
  <si>
    <t>1.61A VALLURU GOTUR Cuddapah PRODDATUR ANP 516293</t>
  </si>
  <si>
    <t>3.81.A Mudgal Machkal Adilabad ADILABAD TNG 504102</t>
  </si>
  <si>
    <t>H NO 45 335 LABOUR COLONY LABOUR COLONY Kurnool KURNOOL ANP 518005</t>
  </si>
  <si>
    <t>"25-9-7-, PEDDETI VARI STREET LOSAR CHANA" "L ROAD , SIVARAOPETA"  NEAR D N R COLLEGE BHIMAVARAM ANP 534202</t>
  </si>
  <si>
    <t>"2-61,KONDRAPOLU,KONDRAPOLU,NALGONDA"    NALGONDA TNG 508355</t>
  </si>
  <si>
    <t>HOUSE NUMBER 4-27 NAGAPOORBALKONDA MANDALJALALPUR NIZAMABAD  MAIN ROAD NIZAMABAD TNG 503217</t>
  </si>
  <si>
    <t>H NO 1-10 BANGARIGADDA BANGARIGADDA  MAIN ROAD NALGONDA TNG 508255</t>
  </si>
  <si>
    <t>"4-200,YAMUNAPALLI NARASAPURAM,ROAD,,TADE" RU WG 534202  NEAR RAMALAYAM BHIMAVARAM ANP 534202</t>
  </si>
  <si>
    <t>"50-95-5/1/3 SHIRDI MARG,.,SEETHAMMADHARA" ",,VISAKHAPATNAM,URBAN"  NEAR SEETHAMMADHARA VISHAKAPATNAM ANP 530013</t>
  </si>
  <si>
    <t>"3-276/6, MADHAPATNAM, SAMARLAKOTA MANDAL" "MADHAVAPATNAM, EAST GODAVARI, ANDHRA" PRADESH BESIDE RAMALAYAM KAKINADA ANP 533005</t>
  </si>
  <si>
    <t>D.NO.28-6-36 HOUSING BOARD COLONY ANANTAPUR NEAR LIG BUSSTOP ANAPARTHI ANP 515001</t>
  </si>
  <si>
    <t>"7-2-29,NAGESWARARAO STREET," "RAMARAOPETA,KAKINADA" "EAST GODAVARI,ANDHRA PRADESH" BESIDE POST OFFICE KAKINADA ANP 533004</t>
  </si>
  <si>
    <t>HNO 2-2 ACHHUMAIPALLY DUBBAK MANDAL CHEEKODE MEDAK NEAR HANUMAN TEMPLE MEDAK TNG 502108</t>
  </si>
  <si>
    <t>30-8-3/1 SURYANARAYANA PURAM KASIKAYALA VARI STREET EAST GODAVARI KAKINADA ANP 533001</t>
  </si>
  <si>
    <t>2-87 KOVVURU MANDAL NEAR GANDHI STATUE NEAR GANDHI STATUE West Godavari ANP 534342</t>
  </si>
  <si>
    <t>50/348/H27 KOTLA PEDDA NAGIREDDY COLONY POST B -CAMP KURNOOOL ANDHRAPRADESH TEMPLE KURNOOL ANP 518002</t>
  </si>
  <si>
    <t>BALAJI NAGAR BIHAIND SBNRM SCHOOL "KOMAROLU,KOMAROLU" PRAKASAM NEAR MAIN ROAD NANDYAL ANP 523373</t>
  </si>
  <si>
    <t>1 YARASANI VARI PALLI YARASANI VARI PALLI  HINDUPUR ANP 515581</t>
  </si>
  <si>
    <t>H NO 9-211 PENUGONDA MANDALAM GHATALADIBBA MERLA VARI TOTA BHIMAVARAM ANP 534326</t>
  </si>
  <si>
    <t>4-68 CHINTALLANKA CHINTALLANKA  GUNTUR ANP 522324</t>
  </si>
  <si>
    <t>4-8 NEAR MPUP SCHOOL PANCHAYATHI VEEDHI "KAVALIPURAM , IRAGAVARAM MANDALAM" BHIMAVARAM ANP 534222</t>
  </si>
  <si>
    <t>5-62/1 K ILLINDALAPARRU DURGAMMA TEMPLE STREET IRGAVARAM MANDALAM BHIMAVARAM ANP 534217</t>
  </si>
  <si>
    <t>"H NO,2-69/3" "KOTHAPALLI,JAMMIKUNTA MANDALAM,,KOTHAPALLI"  Karimnagar ADL TNG 505122</t>
  </si>
  <si>
    <t>H NO 386 "SRINIVASA COLONY NEAR,PAMALAYA SCHOOL MAHABUB"  Mahabubnagar MAB TNG 509001</t>
  </si>
  <si>
    <t>"1-17,TEKULAGUDEM,HANAMKONDA,KAZIPET"    WARANGAL TNG 506003</t>
  </si>
  <si>
    <t>"7-1-508 MANKAMMATHOTA,NEAR,HANUMAN TEMPL" "E,"  NEAR HUNUMAN TEMPLE ADILABAD TNG 505001</t>
  </si>
  <si>
    <t>"8-109, JAI HANUMAN STREET, SAI NAGAR" PALAMANER PALAMANER NEAR KOLI HUT PALAMANER ANP 517408</t>
  </si>
  <si>
    <t>"H NO,3-124 DHARMARAM B,DICHPALLY MANDAL," ",DHARMARAM"  DHARMAPURAM NIZAMABAD TNG 503230</t>
  </si>
  <si>
    <t>"22/377 MOULANA AZAD,STREET-2,MAULANA AZA" "D, PRODDATUR"  STREET 2 PRODDATUR ANP 516360</t>
  </si>
  <si>
    <t>"28/342 REDDIGARI STREET,RAMESWARAM,PRODDATUR" - CUDDAPAH - CUDDAPAH ANP 516360</t>
  </si>
  <si>
    <t>"H NO,2-10-944 BANK COLONY,HANMAKONDA," WADDEPALLE RURAL WARANGAL - WARANGAL ANP 506370</t>
  </si>
  <si>
    <t>Sai Lb nagar Godavarikhani Godavarikhani RAMAGUNDAM TNG 505209</t>
  </si>
  <si>
    <t>Elancer it solutions Hyderabad Gachibowli Gachibowli HYDERABAD TNG 500032</t>
  </si>
  <si>
    <t>ALKEM LABORATORIES LIMITED C/O PADMALAYA MEDICAL AGENCIES "7-10-935/2, RP ROAD NIZAMABAD" "7-10-935/2, RP ROAD NIZAMABAD" NIZAMABAD TNG 503001</t>
  </si>
  <si>
    <t>ITC PSPD SARAPAKA Burgampad Bhadradri Kothagudem Burgampad Bhadradri Kothagudem KHAMMAM TNG 507128</t>
  </si>
  <si>
    <t>Not Applicable 6-123/4 Guraja Road Guraja Road MUDINEPALLI ANP 521325</t>
  </si>
  <si>
    <t>ICICI BANK LIMITED ICICI PLOT NO 12 SORVEY 115/27 GACHIBOWL NANKRAMGUDA NANKRAMGUDA Rangareddy TNG 500032</t>
  </si>
  <si>
    <t>MGB.MOTOR.AND.AUTO.AGENCIES.PVT.LTD OPPITE.GURUKUL.VIDYAPEET.HIGH.SCHOOL NEAY.Y.JUNCTION. NEAY.Y.JUNCTION. CUDDAPAH ANP 516001</t>
  </si>
  <si>
    <t>OPTIVAL.HEALTH.SOLUTIONS.PVT.LTD KPHB.4TH.PHASE. RTO.OFFICE.ROAD.HYDERABAD.. RTO.OFFICE.ROAD.HYDERABAD.. HYDERABAD TNG 500072</t>
  </si>
  <si>
    <t>GEOJIT INVESTMENT SERVICES LTD CIVIL LINE ROAD PADIVATTOM KOCHI PADIVATTOM KOCHI COCHIN KER 682024</t>
  </si>
  <si>
    <t>SATYA HARI PRASAD NUKALA "1-101, NEAR PANCHAYATHI OFFICE"   BHIMAVARAM ANP 534239</t>
  </si>
  <si>
    <t>CAPGEMINI TECHNOLOGY SERVICES Hyd Hyd Hyd HYDERABAD TNG 500082</t>
  </si>
  <si>
    <t>OTHERS GOVERMENTGOVERMENT OF TELANGANA MP UPSKODICHERA MANDAL MADNOOR KAMAREDDY   NIZAMABAD TNG 503111</t>
  </si>
  <si>
    <t>BEQISOFT TECHNOLOGIES PVT LTD BSK 2ND STAGE BANGALORE Bangarigadda nalgonda Bangarigadda nalgonda BANGALORE KAR 560070</t>
  </si>
  <si>
    <t>WHISK SOFTWARE PRIVATE LIMITED "LEVEL-2, N HEIGHTS, PLOT NO 38" "SERILINGAMPALLY MANDAL, HITECH CITY ROAD" "SERILINGAMPALLY MANDAL, HITECH CITY ROAD" HYDERABAD TNG 500081</t>
  </si>
  <si>
    <t>MYTECH GLOBAL PRIVATE LIMITED "6-3-883/6/B, 2ND FLOOR," SINGHANIA TOWERS SINGHANIA TOWERS HYDERABAD TNG 500082</t>
  </si>
  <si>
    <t>AXIS BANK LIMITED "AXIS BANK, 12/2/32, VINAYA COMPLEX, DANT" "VARI STREET, KAKINADA, ANDHRA PRADESH" "VARI STREET, KAKINADA, ANDHRA PRADESH" KAKINADA ANP 533001</t>
  </si>
  <si>
    <t>MPL UP  SCHOOL SHANTHI NAGAR DHARMAVARAM ANANTAPUR DIST DHARMAVARAM ANANTAPUR DIST HINDUPUR ANP 515671</t>
  </si>
  <si>
    <t>GOVERNMENT OF ANDHRA PRADESH "MUNICIPAL OFFICE,KAKINADA" "EAST GODAVARI,ANDHRA PRADESH" "EAST GODAVARI,ANDHRA PRADESH" KAKINADA ANP 533003</t>
  </si>
  <si>
    <t>ICICI BANK LIMITED 8-2-293A 1268 PLOT NO 1259 ROAD NO 36 JUBILEE HILLS ROAD NO 36 JUBILEE HILLS HYDERABAD TNG 500033</t>
  </si>
  <si>
    <t>RELIANCE RETAIL LIMITED SURYARAOPETA RELIANCE SMART RELIANCE SMART KAKINADA ANP 533001</t>
  </si>
  <si>
    <t>EASTERN POWER DISTRIBUTION COMPANY OF AP JAMPET RD ANNAPURANAMMA PETA RAJAMAHENDRAVARAM RAJAMAHENDRAVARAM RAJAHMUNDRY ANP 533101</t>
  </si>
  <si>
    <t>SVN CONSTRUCTIONS 50/348/H27 KOTHLA PEDDA NAGIREDDY COLONY KURNOOL NAGIREDDY COLONY KURNOOL KURNOOL ANP 518002</t>
  </si>
  <si>
    <t>IDBI BANK LIMITED IDBI BANK LIMITED TALLAM COMPLEX "STATION ROAD,CHIRALA ,PRAKASAM" "STATION ROAD,CHIRALA ,PRAKASAM" Prakasam ANP 523155</t>
  </si>
  <si>
    <t>LUXOFT INDIA LLP "GROUND FLOOR ,GARDENIA 2D BUILDING" EMBASSY TECH VILLAGE EMBASSY TECH VILLAGE BANGALORE KAR 560103</t>
  </si>
  <si>
    <t>MAHINDRA RURAL HOUSING FINANCE LTD D NO 33-73 1ST FLOOR CHERUKUWADA PENUGONDA CHERUKUWADA PENUGONDA BHIMAVARAM ANP 534320</t>
  </si>
  <si>
    <t>GOVERNMENT OF AP "SACHIVALAYAM,PESARULANKA" "KOLLURU,GUNTUR,BAPATLA" "KOLLURU,GUNTUR,BAPATLA" GUNTUR ANP 522324</t>
  </si>
  <si>
    <t>DEPARTMENT OF POSTS "BANK COLONY,BHIMAVARAM" WEST GODAVARI WEST GODAVARI BHIMAVARAM ANP 534202</t>
  </si>
  <si>
    <t>DEPARTMENT OF POSTS "SHIVALAYAM STREET, WEST GODAVARI" TALLAPUDI TALLAPUDI West Godavari ANP 534341</t>
  </si>
  <si>
    <t>TOWER 02 SY NO 107 VILLAGE KOKAPET GAR LAXMI INFOBAHN 12TH FLOOR   HYD TNG 500075</t>
  </si>
  <si>
    <t>MPPS GALIGUDDA VILL BALANAGAR MANDAL Industrial Estate Mbn   MBG TNG 509002</t>
  </si>
  <si>
    <t>Not Applicable 1-17TEKULAGUDEMHANAMKONDAKAZIPET 1-17TEKULAGUDEMHANAMKONDAKAZIPET 1-17TEKULAGUDEMHANAMKONDAKAZIPET WARANGAL TNG 506003</t>
  </si>
  <si>
    <t>SRI SRINIVASA WINES KOYYUR JAYASHANKAR BHUPALAPALLY JAYASHANKAR BHUPALAPALLY WARANGAL TNG 506169</t>
  </si>
  <si>
    <t>AMAZON DEVELOPMENT CENTRE INDIA PRIVATE "BAGMANE CONSTELLATION BUSINESS PARK," "DODDANEKUNDI,BANGALORE" "DODDANEKUNDI,BANGALORE" BANGALORE KAR 560037</t>
  </si>
  <si>
    <t>INDRANI GENERAL STORES DHARMAPURAM DICHPALLY DICHPALLY NIZAMABAD TNG 503230</t>
  </si>
  <si>
    <t>ADROIT NEO TECH SOLUTIONS PVT LTD 8TH FLORE KHAN LATEEF  KHAN ESTATE ABIDS KHAN LATEEF  KHAN ESTATE ABIDS HYDERABAD TNG 500001</t>
  </si>
  <si>
    <t>GAR CORPORATION PVT LTD SURVEY NO 83/P KOKAPET VILLAGE   Rangareddy TNG 500075</t>
  </si>
  <si>
    <t>KINTETSU GLOBAL IT INC QCITY 2ND FLOOR BLOCK  B GACHIBOWLI HYDERABAD GACHIBOWLI HYDERABAD HYDERABAD TNG 500032</t>
  </si>
  <si>
    <t>NIZAMABAD</t>
  </si>
  <si>
    <t>VISAKHAPATNAM</t>
  </si>
  <si>
    <t>WEST GODAVARI</t>
  </si>
  <si>
    <t>ICICI Bank LeadtheNew Coral Credit Card</t>
  </si>
  <si>
    <t>0000000017993028</t>
  </si>
  <si>
    <t>0000000027273441</t>
  </si>
  <si>
    <t>0000000028720544</t>
  </si>
  <si>
    <t>0000000021898428</t>
  </si>
  <si>
    <t>0000000022532002</t>
  </si>
  <si>
    <t>0000000016161274</t>
  </si>
  <si>
    <t>0000000014380644</t>
  </si>
  <si>
    <t>0000000030474925</t>
  </si>
  <si>
    <t>0000000031023248</t>
  </si>
  <si>
    <t>0000000031180824</t>
  </si>
  <si>
    <t>0000000023115594</t>
  </si>
  <si>
    <t>0000000023438629</t>
  </si>
  <si>
    <t>0000000023621233</t>
  </si>
  <si>
    <t>0000000024247795</t>
  </si>
  <si>
    <t>0000000024415316</t>
  </si>
  <si>
    <t>0000000024433326</t>
  </si>
  <si>
    <t>0000000024878882</t>
  </si>
  <si>
    <t>0000000024973864</t>
  </si>
  <si>
    <t>0000000025017099</t>
  </si>
  <si>
    <t>0000000025090762</t>
  </si>
  <si>
    <t>0000000025291574</t>
  </si>
  <si>
    <t>0000000026509073</t>
  </si>
  <si>
    <t>0000000026561168</t>
  </si>
  <si>
    <t>0000000026870305</t>
  </si>
  <si>
    <t>0000000027224391</t>
  </si>
  <si>
    <t>0000000027783343</t>
  </si>
  <si>
    <t>0000000027975544</t>
  </si>
  <si>
    <t>0000000029030204</t>
  </si>
  <si>
    <t>0000000029224124</t>
  </si>
  <si>
    <t>0000000033328369</t>
  </si>
  <si>
    <t>0000000033808963</t>
  </si>
  <si>
    <t>0000000026741538</t>
  </si>
  <si>
    <t>0000000028833389</t>
  </si>
  <si>
    <t>0000000031401630</t>
  </si>
  <si>
    <t>0000000032002926</t>
  </si>
  <si>
    <t>0000000032394286</t>
  </si>
  <si>
    <t>0000000013458580</t>
  </si>
  <si>
    <t>0000000031460273</t>
  </si>
  <si>
    <t>SRINIU/WEST , 9154934446</t>
  </si>
  <si>
    <t>OGL</t>
  </si>
  <si>
    <t>VSP</t>
  </si>
  <si>
    <t>MUJEEB/CHITTOOR , 6281127494</t>
  </si>
  <si>
    <t>LOHITH/ELLURU , 9705411758</t>
  </si>
  <si>
    <t>AJEES/OOGOLE , 7093700713</t>
  </si>
  <si>
    <t>RAMU/VSP , 9703803858</t>
  </si>
  <si>
    <t>4375511068310007</t>
  </si>
  <si>
    <t>5241939108506004</t>
  </si>
  <si>
    <t>5241939110377006</t>
  </si>
  <si>
    <t>5241939199865012</t>
  </si>
  <si>
    <t>5241939247964015</t>
  </si>
  <si>
    <t>Mr. MUKPESHWAR VADDIRAJU</t>
  </si>
  <si>
    <t>Mr VEERANKI RAJAGOPAL</t>
  </si>
  <si>
    <t>MR ALUWALA MADHUSUDHAN</t>
  </si>
  <si>
    <t>Mr KONDURU VIJAYAKUMAR</t>
  </si>
  <si>
    <t>Mr M A IMTIYAZ</t>
  </si>
  <si>
    <t>9885831831</t>
  </si>
  <si>
    <t>8000446699</t>
  </si>
  <si>
    <t>9494557787</t>
  </si>
  <si>
    <t>9440534410</t>
  </si>
  <si>
    <t>8686515151</t>
  </si>
  <si>
    <t>"2-18,GXXXXXXXXXXXXXXX" "NA,HasXXXXXXXXXXXXXXX" Hanamkonda Near Gramapanchyath WARANGAL TNG 506015</t>
  </si>
  <si>
    <t>"1-103,XXXXXXXXXXXXXXXXXXXXXXXXXXXX" NUZIVIXXXXXXXXXXX   NUZVID ANP 521201</t>
  </si>
  <si>
    <t>HNO-3-XXXXXXXXXXXXXXXXXXX KISHANXXXXXXXXXXXXXXX NIZAMABAD NEAR GOVT HOSPITAL NIZAMABAD TNG 503217</t>
  </si>
  <si>
    <t>"5/518,XXXXXXXXXXXXXXXXXXXXXXXX"    CUDDAPAH ANP 516115</t>
  </si>
  <si>
    <t>"H NO,4XXXXXXXXXXXXXXXXXXXXXXXXXXXXXXXXXXXX"    NIZAMABAD TNG 503235</t>
  </si>
  <si>
    <t>SYNECTXXXXXXXXXXXXXXXXXXXXXXXXXXXXX 5TH FLXXXXXXXXXXXXXXXXXX NANAKRAMGUDA NANAKRAMGUDA Rangareddy TNG 500032</t>
  </si>
  <si>
    <t>Not ApXXXXXXXX "1-103,XXXXXXXXXXXXXXXXX" NUZUVIDU MANDALAM NUZUVIDU MANDALAM NUZVID ANP 521201</t>
  </si>
  <si>
    <t>LAXMI XXXXXXXXXXXXXXXXXXX LAXMI XXXXXXXXXXXXXXXXXXXXXXXXXXXXXXX KISAN NAGAR KISAN NAGAR NIZAMABAD TNG 503217</t>
  </si>
  <si>
    <t>Gkb plXXX KadapaXXXXXXXXXX Rajampet Rajampet CUDDAPAH ANP 516115</t>
  </si>
  <si>
    <t>DeltacXXX MIG-1 Balaji Nagar Balaji Nagar HYDERABAD TNG 500072</t>
  </si>
  <si>
    <t>0000000008370686</t>
  </si>
  <si>
    <t>0000000019977071</t>
  </si>
  <si>
    <t>0000000020006259</t>
  </si>
  <si>
    <t>0000000028650129</t>
  </si>
  <si>
    <t>0000000029427605</t>
  </si>
  <si>
    <t>MADHUSUDHAN/TS , 8367481163</t>
  </si>
  <si>
    <t>NAGARAJU/TS , 6281603130</t>
  </si>
  <si>
    <t>SUBBU ,  9985844576</t>
  </si>
  <si>
    <t>1ST JU</t>
  </si>
  <si>
    <t>Visited Customer Residence Address Customer Not Available Inform To His Mother Sir // Visited Customer Residence Address Customer Not Available  Meet Customer Mother  she Inform To His Son Revisit Evining Sir</t>
  </si>
  <si>
    <t>BHARAT CHANDRA</t>
  </si>
  <si>
    <t>MANIKANTA</t>
  </si>
  <si>
    <t>SK MUJEEB</t>
  </si>
  <si>
    <t>Customer given address not found call not answering</t>
  </si>
  <si>
    <t>KISHORE/GTR , 8688104987</t>
  </si>
  <si>
    <t>cmr not live in this address, cmr mother went to work , cmr living in Guntur</t>
  </si>
  <si>
    <t>Customer given address visit address not found, call not answer trying to alternative // Customer given address visit address not available, call not answer // Customer alternative address visit address customer met trying to payment</t>
  </si>
  <si>
    <t>I have Visited customer given Street address can't find customer house customer call answered given ptp by Tommorow</t>
  </si>
  <si>
    <t>Left msg to cust's mother and said Prasent cust staying in hyd no contactable and cust no respond to calls</t>
  </si>
  <si>
    <t>Customer office address visit customer not available door lock call response ptp on today</t>
  </si>
  <si>
    <t>Customer address visit customer not available msg left to family customer call response ptp on 3rd</t>
  </si>
  <si>
    <t>Customer house address shifted phone not answering</t>
  </si>
  <si>
    <t>4035620105518001</t>
  </si>
  <si>
    <t>4035622861590018</t>
  </si>
  <si>
    <t>4315812422003004</t>
  </si>
  <si>
    <t>4315812436016000</t>
  </si>
  <si>
    <t>4315812508909009</t>
  </si>
  <si>
    <t>4315812556195014</t>
  </si>
  <si>
    <t>4315812557331006</t>
  </si>
  <si>
    <t>4315812682529011</t>
  </si>
  <si>
    <t>4315812780368007</t>
  </si>
  <si>
    <t>4315812782528004</t>
  </si>
  <si>
    <t>4315812909992000</t>
  </si>
  <si>
    <t>4315812930391008</t>
  </si>
  <si>
    <t>4315812976597005</t>
  </si>
  <si>
    <t>4315813036628004</t>
  </si>
  <si>
    <t>4315813045412002</t>
  </si>
  <si>
    <t>4315813108212000</t>
  </si>
  <si>
    <t>4315813135824009</t>
  </si>
  <si>
    <t>4315813149530006</t>
  </si>
  <si>
    <t>4315813316527009</t>
  </si>
  <si>
    <t>4315813356768000</t>
  </si>
  <si>
    <t>4315813409857008</t>
  </si>
  <si>
    <t>4315813439945005</t>
  </si>
  <si>
    <t>4315813508493010</t>
  </si>
  <si>
    <t>4315813537325001</t>
  </si>
  <si>
    <t>4315813565903018</t>
  </si>
  <si>
    <t>4315813569467002</t>
  </si>
  <si>
    <t>4315813572890000</t>
  </si>
  <si>
    <t>4315813723156004</t>
  </si>
  <si>
    <t>4315813789860002</t>
  </si>
  <si>
    <t>4315813799581002</t>
  </si>
  <si>
    <t>4315813800741009</t>
  </si>
  <si>
    <t>4315813933298000</t>
  </si>
  <si>
    <t>4315813933638007</t>
  </si>
  <si>
    <t>4315813981831009</t>
  </si>
  <si>
    <t>4315813993789013</t>
  </si>
  <si>
    <t>4315814014037002</t>
  </si>
  <si>
    <t>4315814022313007</t>
  </si>
  <si>
    <t>4315814091857017</t>
  </si>
  <si>
    <t>4315814197288026</t>
  </si>
  <si>
    <t>4315814200394001</t>
  </si>
  <si>
    <t>4315814298411006</t>
  </si>
  <si>
    <t>4315814358731004</t>
  </si>
  <si>
    <t>4315814455049003</t>
  </si>
  <si>
    <t>4315814536823004</t>
  </si>
  <si>
    <t>4315814599310006</t>
  </si>
  <si>
    <t>4315814610887008</t>
  </si>
  <si>
    <t>4315814616078008</t>
  </si>
  <si>
    <t>4315814690739004</t>
  </si>
  <si>
    <t>4315814723128001</t>
  </si>
  <si>
    <t>4315814736432002</t>
  </si>
  <si>
    <t>4315814843501004</t>
  </si>
  <si>
    <t>4315814857658005</t>
  </si>
  <si>
    <t>4315814974639003</t>
  </si>
  <si>
    <t>4315814993087002</t>
  </si>
  <si>
    <t>4315815017812002</t>
  </si>
  <si>
    <t>4315815025151005</t>
  </si>
  <si>
    <t>4315815038498013</t>
  </si>
  <si>
    <t>4315815051283003</t>
  </si>
  <si>
    <t>4315815054467009</t>
  </si>
  <si>
    <t>4315815567313005</t>
  </si>
  <si>
    <t>4315815585208005</t>
  </si>
  <si>
    <t>4315815594162003</t>
  </si>
  <si>
    <t>4315815996303007</t>
  </si>
  <si>
    <t>4375514866531006</t>
  </si>
  <si>
    <t>4375515516934003</t>
  </si>
  <si>
    <t>4375518565313004</t>
  </si>
  <si>
    <t>5241931204111029</t>
  </si>
  <si>
    <t>MR DECHANI SUBASH REDDY</t>
  </si>
  <si>
    <t>MR GADDALA NARESH</t>
  </si>
  <si>
    <t>MR Budda Ravi Chand</t>
  </si>
  <si>
    <t>MR Namani Shiva</t>
  </si>
  <si>
    <t>MR Varkala Ganesh Reddy</t>
  </si>
  <si>
    <t>MR SHANMUKHA REDDY VUYYURU</t>
  </si>
  <si>
    <t>MR Podila Bheemesh Paparao</t>
  </si>
  <si>
    <t>MR BATHULA SRINU</t>
  </si>
  <si>
    <t>MR Gurram Markonda</t>
  </si>
  <si>
    <t>MR Mandala Ravi Teja</t>
  </si>
  <si>
    <t>Mr G VENKATESWARA RAO</t>
  </si>
  <si>
    <t>MR Budharapu Srinivas</t>
  </si>
  <si>
    <t>MR Golla Sarat Kumar</t>
  </si>
  <si>
    <t>MR Dara Ganesh</t>
  </si>
  <si>
    <t>Mr KASIMKOTA  SIVASANKAR</t>
  </si>
  <si>
    <t>MR Basava Naveen Kumar</t>
  </si>
  <si>
    <t>MR Undam Chakravarthi</t>
  </si>
  <si>
    <t>MR SHAIK GOUSE PASHA</t>
  </si>
  <si>
    <t>MR Godugu Anjaneyulu</t>
  </si>
  <si>
    <t>MR Prashanth Pittala</t>
  </si>
  <si>
    <t>MR Mohammed Mujahid</t>
  </si>
  <si>
    <t>MR EJJADA NAGARJUNA</t>
  </si>
  <si>
    <t>MR KAPARTHI ANIRUDH</t>
  </si>
  <si>
    <t>MR A M Valli</t>
  </si>
  <si>
    <t>MR Ailaveni Vikas</t>
  </si>
  <si>
    <t>Ms KUMMETHA MADHU KEERTHI</t>
  </si>
  <si>
    <t>MR Digudari Satya Sandeep</t>
  </si>
  <si>
    <t>MR Vydadi Somaraju</t>
  </si>
  <si>
    <t>MR Shaik Mahammad Rafi</t>
  </si>
  <si>
    <t>MR Dubba Akhilesh</t>
  </si>
  <si>
    <t>MR Suraboina Srinivasa Babu</t>
  </si>
  <si>
    <t>MR MD FAZALUDDIN</t>
  </si>
  <si>
    <t>MR Birudugadda Srikanth</t>
  </si>
  <si>
    <t>MR BHUKYA HARIDAS RATHOD</t>
  </si>
  <si>
    <t>MR Vantala Chetan Kumar</t>
  </si>
  <si>
    <t>MR Tadi Krishna Prasad</t>
  </si>
  <si>
    <t>MR ORUGANTI SAI KUMAR</t>
  </si>
  <si>
    <t>MR Batthula Ajay Paul</t>
  </si>
  <si>
    <t>MR Devarasetty Madhu Mohan</t>
  </si>
  <si>
    <t>Mr NAGENDRA  THUMMURU</t>
  </si>
  <si>
    <t>MR Pasupuleti Mohan Teja</t>
  </si>
  <si>
    <t>MR PITANI SRINIVAS</t>
  </si>
  <si>
    <t>MR Esakonu Sateesh</t>
  </si>
  <si>
    <t>MR Nadakuduti Mohana Rao</t>
  </si>
  <si>
    <t>MR Resu Thirupathi</t>
  </si>
  <si>
    <t>MR Mutyala Vishal Kumar</t>
  </si>
  <si>
    <t>MS Nemmala Raga Sudha</t>
  </si>
  <si>
    <t>MR Yarati Omprakash</t>
  </si>
  <si>
    <t>MR Bollam Rakesh</t>
  </si>
  <si>
    <t>MR Mamindla Sridhar</t>
  </si>
  <si>
    <t>MR UMAKANT BHANUDAS BIRADAR</t>
  </si>
  <si>
    <t>MR Kande Saikumar</t>
  </si>
  <si>
    <t>MR Ashok Vattipally</t>
  </si>
  <si>
    <t>MR Kanakam Manish</t>
  </si>
  <si>
    <t>MR KARRI SHANMUKH SRINIVAS</t>
  </si>
  <si>
    <t>MR AJMERA CHANDRAVAMSHI</t>
  </si>
  <si>
    <t>MR Komarapu Sandeep</t>
  </si>
  <si>
    <t>MS C Soundarya</t>
  </si>
  <si>
    <t>MS Bada Naga Mani</t>
  </si>
  <si>
    <t>MR GARANDAL RAGHAVENDRA SINGH</t>
  </si>
  <si>
    <t>MR. KIMMANUEL KIMMANUEL</t>
  </si>
  <si>
    <t>MR BALAKRISHNA BOGINENI</t>
  </si>
  <si>
    <t>MR MD JAKEER</t>
  </si>
  <si>
    <t>MR. SHAIK IMRAN PASHA</t>
  </si>
  <si>
    <t>9494274788</t>
  </si>
  <si>
    <t>9704684873</t>
  </si>
  <si>
    <t>8686670811</t>
  </si>
  <si>
    <t>9010896090</t>
  </si>
  <si>
    <t>9640501117</t>
  </si>
  <si>
    <t>9441137889</t>
  </si>
  <si>
    <t>9985275939</t>
  </si>
  <si>
    <t>9885959049</t>
  </si>
  <si>
    <t>7416470147</t>
  </si>
  <si>
    <t>8247549079</t>
  </si>
  <si>
    <t>9705559997</t>
  </si>
  <si>
    <t>8790847125</t>
  </si>
  <si>
    <t>9490497801</t>
  </si>
  <si>
    <t>9515634397</t>
  </si>
  <si>
    <t>9177691266</t>
  </si>
  <si>
    <t>9160608085</t>
  </si>
  <si>
    <t>9866190352</t>
  </si>
  <si>
    <t>8019486323</t>
  </si>
  <si>
    <t>9703857464</t>
  </si>
  <si>
    <t>9676458680</t>
  </si>
  <si>
    <t>9676186252</t>
  </si>
  <si>
    <t>9989565726</t>
  </si>
  <si>
    <t>9652695455</t>
  </si>
  <si>
    <t>9502515425</t>
  </si>
  <si>
    <t>7095831231</t>
  </si>
  <si>
    <t>7093869891</t>
  </si>
  <si>
    <t>8919923107</t>
  </si>
  <si>
    <t>7989770141</t>
  </si>
  <si>
    <t>7286043253</t>
  </si>
  <si>
    <t>9966453629</t>
  </si>
  <si>
    <t>9703087024</t>
  </si>
  <si>
    <t>9704607336</t>
  </si>
  <si>
    <t>9676363793</t>
  </si>
  <si>
    <t>7306534535</t>
  </si>
  <si>
    <t>7095322113</t>
  </si>
  <si>
    <t>9640743125</t>
  </si>
  <si>
    <t>9505803986</t>
  </si>
  <si>
    <t>9160411844</t>
  </si>
  <si>
    <t>7799066426</t>
  </si>
  <si>
    <t>8179336627</t>
  </si>
  <si>
    <t>9629668688</t>
  </si>
  <si>
    <t>9848713273</t>
  </si>
  <si>
    <t>8008034600</t>
  </si>
  <si>
    <t>9966331430</t>
  </si>
  <si>
    <t>8008329528</t>
  </si>
  <si>
    <t>8106098019</t>
  </si>
  <si>
    <t>9492729778</t>
  </si>
  <si>
    <t>9642078701</t>
  </si>
  <si>
    <t>9652270581</t>
  </si>
  <si>
    <t>9912838421</t>
  </si>
  <si>
    <t>9963319398</t>
  </si>
  <si>
    <t>9110583706</t>
  </si>
  <si>
    <t>9949236389</t>
  </si>
  <si>
    <t>8179071381</t>
  </si>
  <si>
    <t>9676347545</t>
  </si>
  <si>
    <t>8500651131</t>
  </si>
  <si>
    <t>9703900295</t>
  </si>
  <si>
    <t>7386252112</t>
  </si>
  <si>
    <t>7569374336</t>
  </si>
  <si>
    <t>9866696974</t>
  </si>
  <si>
    <t>9849687156</t>
  </si>
  <si>
    <t>9177778444</t>
  </si>
  <si>
    <t>7995300869</t>
  </si>
  <si>
    <t>9100662426</t>
  </si>
  <si>
    <t>1-12 KARVANGA THALLAPALLY NEAR BUS STOP WANAPARTHY TNG 509385</t>
  </si>
  <si>
    <t>6-78 BASAWAPUR GADDALAPALLI KARIMNAGAR HUZURABAD TNG 505473</t>
  </si>
  <si>
    <t>70-1-301 3rd line kidambi nagar I P D Colony I P D Colony sangadigunta GUNTUR ANP 522003</t>
  </si>
  <si>
    <t>1-82 - - KALWAKURTHY MANDAL WANAPARTHY TNG 509320</t>
  </si>
  <si>
    <t>12-281 THILAK NAGAR THILAK NAGAR KALWAKURTHY (PO M) WANAPARTHY TNG 509324</t>
  </si>
  <si>
    <t>NO 25-215 SANJEEVA NAGAR NANDYAL   BACKSIDE RAMALAYAM TEMPLE NANDYAL ANP 518501</t>
  </si>
  <si>
    <t>4-1-243 ROTARY NAGAR 5TH WARD Khammam KHAMMAM TNG 507002</t>
  </si>
  <si>
    <t>11-10-689/9 KHAMMAM BURHAN PURAM KHAMMAM URBAN KHAMMAM TNG 507001</t>
  </si>
  <si>
    <t>1-51   Mahabubnagar WANAPARTHY TNG 509375</t>
  </si>
  <si>
    <t>9/314 SAI PETA SAI PETA Cuddapah CUDDAPAH ANP 516001</t>
  </si>
  <si>
    <t>"3-122,MAIN STREET VARIGHEDU,ATTILI," WESTGODAVARI-534225   BHIMAVARAM ANP 534225</t>
  </si>
  <si>
    <t>H.NO.3-33/1 "VILL-POODUR, MDL-KODIMIAL" "VILL-POODUR, MDL-KODIMIAL" POODUR VILLAGE KARIMNAGAR TNG 505501</t>
  </si>
  <si>
    <t>VENKAYYA NAIDU STREET BESIDE SBI MAIN BRANCH RKS ROSEMILK MSS PLAZA BHIMAVARAM BHIMAVARAM ANP 534201</t>
  </si>
  <si>
    <t>2-3 gopepalli gopepalli Anantapur HINDUPUR ANP 515501</t>
  </si>
  <si>
    <t>"10-5-21 VEERRAGHAVA,PYRAMID,SAMALKOTA EAST," "GODAVARI,ANDHRAPRADESH"   KAKINADA ANP 533440</t>
  </si>
  <si>
    <t>11-689 Edulapuram "Road No-8, T N G O S Colony" Karunagiri Church KHAMMAM TNG 507003</t>
  </si>
  <si>
    <t>NC-83 bhadradri kothagudem rudrampur Khammam KHAMMAM TNG 507119</t>
  </si>
  <si>
    <t>"HO NO,DUDEKALA BAZAR,3-33/1,CHINTAKANI," "CHINTAKANI,CHINTAKANI"   KHAMMAM TNG 507208</t>
  </si>
  <si>
    <t>H NO 9 31 1 SRIRAM NAGAR COLONY PEERZADIGUDA NEAR BUS DEPOT HYDERABAD TNG 500098</t>
  </si>
  <si>
    <t>215 somagudem Bharath Colony Adilabad ADILABAD TNG 504251</t>
  </si>
  <si>
    <t>7 656 Bangarugadda Bangarugadda Nalgonda SURYAPET TNG 508207</t>
  </si>
  <si>
    <t>7-2-36/1 MAVULLAMMA PETA PALAKOL NEAR CANAL ROAD PALAKOL ANP 534260</t>
  </si>
  <si>
    <t>10 8 129 GAJULPET    NIZAMABAD TNG 503001</t>
  </si>
  <si>
    <t>62 2 16 JAGANNAIKPUR Sareef Street J RAMARAO PETA KAKINADA ANP 533002</t>
  </si>
  <si>
    <t>21 2 87 11 a Markandeya Colony Markandeya Colony Gouthami Sai Degree College PEDDAPALLI TNG 505209</t>
  </si>
  <si>
    <t>"16-1267-3-A,SREENIVASAPURAM,TADIPATRI," ANANTAPUR -515411   ANANTAPUR ANP 515411</t>
  </si>
  <si>
    <t>2 16 magam Gandhi bajar street East Godavari AMALAPURAM ANP 533577</t>
  </si>
  <si>
    <t>1 4 031B Mettakuru Ramabai Nagar Puducherry KAKINADA ANP 533464</t>
  </si>
  <si>
    <t>3 92 Vallur Vallur Cuddapah PRODDATUR ANP 516293</t>
  </si>
  <si>
    <t>15 2 497 godavarikhani L B nagar Karim Nagar PEDDAPALLI TNG 505209</t>
  </si>
  <si>
    <t>DOOR.NUMBER.5.21.25 BRODIPETA.2.3 ..BRODIPETA.2.3 Guntur GUNTUR ANP 522002</t>
  </si>
  <si>
    <t>m60.190.3 Mandamarri k.k.5.colony Adilabad ADILABAD TNG 504231</t>
  </si>
  <si>
    <t>1.51 Mandavalli ..Mandavalli Krishna GUDIVADA ANP 521345</t>
  </si>
  <si>
    <t>11.2.153 OPPOSITE.TO.TELEPHONE.EXCHANGE ..OPPOSITE.TO.TELEPHONE.EXCHANGE OPPOSITE TO TELEPHONE EXCHANGE KHAMMAM TNG 507117</t>
  </si>
  <si>
    <t>9.4 Mandalam.Kethepally Ippalagudem Nalgonda SURYAPET TNG 508211</t>
  </si>
  <si>
    <t>6.118.2 Kadali Kadali Tadi vari group AMALAPURAM ANP 533248</t>
  </si>
  <si>
    <t>HOUSE NUMBER 4-4-68 KHAMMAM URBAN GUTTALA BAZAR NEAR SAI LEELA COLD STORAGE KHAMMAM TNG 507003</t>
  </si>
  <si>
    <t>20c.1.14.bosu.bomma.road.gandhi.nagar 20c.1.14.bosu.bomma.road.gandhi.nagar ..20c.1.14.bosu.bomma.road.gandhi.nagar West Godavari ELURU ANP 534001</t>
  </si>
  <si>
    <t>1.13.A Jammalamadugu.Mandalam Goriganur.Village Cuddapah PRODDATUR ANP 516434</t>
  </si>
  <si>
    <t>"1-42,OBULAPURAM,H/O NARUKULLAPADU VIA" "MYLAVARAM, REDDYGUDEM MANDAL"   VIJAYAWADA ANP 521230</t>
  </si>
  <si>
    <t>16.2.24.3 POORNANANDAM.PETA LAKSHMANA.RAO.STREET Krishna VIJAYAWADA ANP 520003</t>
  </si>
  <si>
    <t>10-24 KOTHAPETA KOPPISETTI VARI VEEDHI  AMALAPURAM ANP 533223</t>
  </si>
  <si>
    <t>HOUSE.NO.18.2.167 ASR.COLONY. BHADRACHALAM. MONDAY CHURCH KHAMMAM TNG 507111</t>
  </si>
  <si>
    <t>25.5.91.1 Bhimavaram.Mandal Balusimudi.Road West Godavari BHIMAVARAM ANP 534202</t>
  </si>
  <si>
    <t>Anumamula.market.warangal madhusala.bar.Balaji.Nagar kasibugga.road Sudhakar hotel WARANGAL TNG 506002</t>
  </si>
  <si>
    <t>11.1.1775.10 kanteshwar housing.board.bay.pass.road behind sai baba temple NIZAMABAD TNG 503002</t>
  </si>
  <si>
    <t>10.2.2.21 Nidadavole Near.a.b.s.town.hall East Godavari TADEPALLIGUDEM ANP 534301</t>
  </si>
  <si>
    <t>H.No.2.6.86 siricilla.mandal sanjeevaiah.nagar Karim Nagar GodavariKhani TNG 505301</t>
  </si>
  <si>
    <t>House.Number.4.114 Vanchangiri Kapu.Wada Warangal WARANGAL TNG 506330</t>
  </si>
  <si>
    <t>3.87.1  .. Karimnagar KARIMNAGAR TNG 505303</t>
  </si>
  <si>
    <t>5.109.7LAXMI.NAGAR.COLONY.POLICE..STATIO NEAR.JILHA ..NEAR.JILHA NEAR JILHA JEDCHERLA TNG 509301</t>
  </si>
  <si>
    <t>H.No.6.34 Manakondur.Mandalam Gattududdenapalli Karimnagar HYDERABAD TNG 505469</t>
  </si>
  <si>
    <t>1.212 KONAPURAM ..KONAPURAM CHENNARAOPET MANDALAM WARANGAL TNG 506332</t>
  </si>
  <si>
    <t>H.NO.6.59 Manakondur.Mandalam Gattududdenapalli Karimnagar HYDERABAD TNG 505469</t>
  </si>
  <si>
    <t>52.11.50.2.TURANGI.ROAD...PADMANABHA.NAG KAKINADA.KAKINADA ..  KAKINADA ANP 533002</t>
  </si>
  <si>
    <t>NO 3 188 1 DANDEPALLY DANDEPALLY DANDEPALLE POST OFFICE STREET ADILABAD POST OFFICE STREET ADILABAD TNG 504206</t>
  </si>
  <si>
    <t>5.98.Velamapet..Chintalapudi. Eluru.District ..Eluru.District Near ramalayam ELURU ANP 534460</t>
  </si>
  <si>
    <t>3831 Greamspet Gandla.Street  CHITTOOR ANP 517002</t>
  </si>
  <si>
    <t>.. Ananthavarappadu.. VATTICHERUKURU  GUNTUR ANP 522017</t>
  </si>
  <si>
    <t>h. no .21 / 31 / 6 s k d colony 5 road Adoni Near csi Church   KURNOOL ANP 518301</t>
  </si>
  <si>
    <t>DNO 24 211 RAJEV NAGAR KONDAPALLI KONDAPALLI   VIJAYAWADA ANP 521228</t>
  </si>
  <si>
    <t>"2-29,,Dadalur" "Chandra cherla," O C Colony kanagani Palli Mandalam Dadalur  HINDUPUR ANP 515641</t>
  </si>
  <si>
    <t>H NO  1 58 PAPAGAL TADOOR NAGARKURNOOL BESIDE RTC BUS STAND Mahbubnagar TNG 509209</t>
  </si>
  <si>
    <t>REAL ESTATE 1-12 "THALLAPALLY,KARVANGA" "THALLAPALLY,KARVANGA" WANAPARTHY TNG 509385</t>
  </si>
  <si>
    <t>SOUTHERN EDUCATION INSTITUTION DEVIYAKURICHI SEALEM TAMILNADU SALEM SALEM SALEM TMN 636112</t>
  </si>
  <si>
    <t>MUTHOOT FINCORP LTD "D.NO 24-16-54/2, 1ST FLOOR," "NALLACHERUVU, 6TH LANE, MAIN ROAD OPP SB" "NALLACHERUVU, 6TH LANE, MAIN ROAD OPP SB" GUNTUR ANP 522003</t>
  </si>
  <si>
    <t>JAGADGURUAUTOMOBILES SRIPURAM ROAD OPP SRINIVASA HOSPETAL OPP SRINIVASA HOSPETAL WANAPARTHY TNG 509209</t>
  </si>
  <si>
    <t>CONTRACTOR "12-281,THILAK NAGAR" KALWAKURTHY KALWAKURTHY WANAPARTHY TNG 509324</t>
  </si>
  <si>
    <t>GOVT OF AP EDUCATIONAL DEPARTMENT MPUP SCHOOL CHELLURU SIRIVALLA MD NANDHYA NANDHYA NANDYAL ANP 518112</t>
  </si>
  <si>
    <t>9 TO 9  ONLINE SERVICES ROTARY NAGAR OPP TO VIJAYA MILK DAIRY KHAMMAM OPP TO VIJAYA MILK DAIRY KHAMMAM KHAMMAM TNG 507002</t>
  </si>
  <si>
    <t>SRKBUILDING MATIRIELS 11-10-689/1 "BURHANPURAM,KHAMMAM" "BURHANPURAM,KHAMMAM" KHAMMAM TNG 507001</t>
  </si>
  <si>
    <t>TELANGANA STATE POLICE 1-51 CHANDAPUR ACHAMPET NAGARKURNOOL-509 NAGARKURNOOL MAHABOOB NAGAR NAGARKURNOOL MAHABOOB NAGAR WANAPARTHY TNG 509375</t>
  </si>
  <si>
    <t>SACHIVALAYAM "9/516,AGADI,KADAPA" SAIPETA KADAPA SAIPETA KADAPA CUDDAPAH ANP 516001</t>
  </si>
  <si>
    <t>NA 3-122 main street varighedu West godavari West godavari BHIMAVARAM ANP 534225</t>
  </si>
  <si>
    <t>JNTUH COLLEGE OF ENGINEERING VILL-NACHUPALLY "MDL-KODIMIAL, DIST-JAGTIAL" "MDL-KODIMIAL, DIST-JAGTIAL" KARIMNAGAR TNG 505501</t>
  </si>
  <si>
    <t>INVENTURUS KNOWLEDGE SOLUTIONS "IKS HEALTH PVT LTD, BLOCK-1" "11TH FLOOR, UPPAL MAIN RD,UPPAL DIST, HY" "11TH FLOOR, UPPAL MAIN RD,UPPAL DIST, HY" HYDERABAD TNG 500039</t>
  </si>
  <si>
    <t>COGNIZANT TECH SOLU IND PVT LTD 5/535 OLD MAHABALIPURAM RD THORAIPAKKAM OLD MAHABALIPURAM RD THORAIPAKKAM CHENNAI TMN 600096</t>
  </si>
  <si>
    <t>NA 10-5-21 "Veeragapuram STREET, samalkot" "Veeragapuram STREET, samalkot" KAKINADA ANP 533440</t>
  </si>
  <si>
    <t>MEGHA MEAT MARKET REDDIPALL MAIN ROAD MAIN ROAD KHAMMAM TNG 507003</t>
  </si>
  <si>
    <t>UNSCHOOL KUKATPALLY NEAR JNTUH COLLEGE NEAR JNTUH COLLEGE HYDERABAD TNG 500072</t>
  </si>
  <si>
    <t>Bigtensor Chava ramayya nagar Opposite to bomma school Opposite to bomma school KHAMMAM TNG 507002</t>
  </si>
  <si>
    <t>BAJAJ FINSERV LIMITED BHOODHAN POCHAMPALLY YADADRI BHUVANAGIRI YADADRI BHUVANAGIRI NALGONDA TNG 508284</t>
  </si>
  <si>
    <t>SINGARENI COLLIERIES CO LIMITED Q NO 215  BHARATH COLONY  SOMAGUDEM Q NO 215  BHARATH COLONY  SOMAGUDEM Q NO 215  BHARATH COLONY  SOMAGUDEM ADILABAD TNG 504251</t>
  </si>
  <si>
    <t>FAMOUS POULTRY BAZAAR 13 87 TAKA ROAD TAKA ROAD SURYAPET TNG 508207</t>
  </si>
  <si>
    <t>AP STATE GOVERNMENT "TAHSILDAR OFFICE," "KALLA, NEAR MEESEVA" "KALLA, NEAR MEESEVA" BHIMAVARAM ANP 534237</t>
  </si>
  <si>
    <t>IT America India Pvt Ltd A3  3rd Floor  Q2  Cyber Towers Hitech City Hitech City HYDERABAD TNG 500081</t>
  </si>
  <si>
    <t>GOVGOVERNMENT GENERAL HOSPITAL J RAMARAO PETA SHAREEF STRSTREET D NO 62 2 16 SHAREEF STRSTREET D NO 62 2 16 KAKINADA ANP 533002</t>
  </si>
  <si>
    <t>SPACE PLANNERZ 21 2 87 11 A MARKENDEYA COLONY GODAVARIKHANI MARKENDEYA COLONY GODAVARIKHANI PEDDAPALLI TNG 505209</t>
  </si>
  <si>
    <t>Madhu keerth 1 132 A Narayanapuram Near RAMAlayam temple A Narayanapuram Near RAMAlayam temple ANAPARTHI ANP 515004</t>
  </si>
  <si>
    <t>YOUTUBE DNO2 16 GANDHI BAZAR STREET  MAGAM AINAVILLI MANDAL EAST GODHAVARI AINAVILLI MANDAL EAST GODHAVARI AMALAPURAM ANP 533577</t>
  </si>
  <si>
    <t>DURGA PRASAD KIRANA 1 4 031B RAMABAINAGAR YANAM RAMABAINAGAR YANAM KAKINADA ANP 533464</t>
  </si>
  <si>
    <t>CSQUARE UNISEX HHAIR SASALON RR COMPL3X RAILWAY KODUR RAILWAY KODUR CUDDAPAH ANP 516101</t>
  </si>
  <si>
    <t>THE SINGARENI COLLIERIES COMPANY LIMITED GDK 2 INCLINE GODVARIKHANI GODVARIKHANI PEDDAPALLI TNG 505209</t>
  </si>
  <si>
    <t>SRI.SAI.VIGNESWARA.CABLE.NETWORNETWORKS GARDENS.7TH.LINE BESIDE.CAPITAL.HOTEL.ROAD. BESIDE.CAPITAL.HOTEL.ROAD. GUNTUR ANP 522007</t>
  </si>
  <si>
    <t>AYTHA.SRIDHAR.COAL.TRANSPORT.CONTRACTOR SRIRAMPUR.OPEN.COST SRIRAMPUR.OPENCOST.SRIRAMPUR.OPEN.COST SRIRAMPUR.OPENCOST.SRIRAMPUR.OPEN.COST ADILABAD TNG 504208</t>
  </si>
  <si>
    <t>STATE.BANK.OF.INDIA DNO.19.157.A1.MUNUSABGARI.STREET BETHAVOLU.GUDIVADA BETHAVOLU.GUDIVADA GUDIVADA ANP 521301</t>
  </si>
  <si>
    <t>BYJUS.THINK..AND.LEARN.PVT.LIMITED Gold.leaf.building.3rd.floor Chikkadapply..Street.number.4. Chikkadapply..Street.number.4. HYDERABAD TNG 500029</t>
  </si>
  <si>
    <t>BUSINESS OFFICERS.COLONY.NAKREKAL NAKREKAL.OPPOSITE.PETROL.BUNK. NAKREKAL.OPPOSITE.PETROL.BUNK. SURYAPET TNG 508211</t>
  </si>
  <si>
    <t>SIDHVI.INFRA.PROJECTS.LIMITED 2.3.9..SRINAGAR..KAKINADA.AP 2.3.9..SRINAGAR..KAKINADA.AP. 2.3.9..SRINAGAR..KAKINADA.AP. KAKINADA ANP 533003</t>
  </si>
  <si>
    <t>MUTHOOT FINCORP LTD "8/3/208,GR FLR,UNNAM NARSAIAH BLDNG" "WYRA ROAD,KHAMMAM" "WYRA ROAD,KHAMMAM" KHAMMAM TNG 507001</t>
  </si>
  <si>
    <t>BETHANY.ENTERPRICES POWERPETA.RAILWAY.GATE KANKANALAVARI.STREET. KANKANALAVARI.STREET. ELURU ANP 534002</t>
  </si>
  <si>
    <t>SELF.EMPLOYED 26.858 GURUVAIAH.THOTA. GURUVAIAH.THOTA. PRODDATUR ANP 516360</t>
  </si>
  <si>
    <t>Foresee india pvt ltd Plot -631 flat-403 "Jks kvr heights , matrusrinagar ,miyapur" "Jks kvr heights , matrusrinagar ,miyapur" HYDERABAD TNG 500049</t>
  </si>
  <si>
    <t>LORRY.OFFICE 16.2.24.3.PURNANANDAMPET LAXMANA.RAO.STREET. LAXMANA.RAO.STREET. VIJAYAWADA ANP 520003</t>
  </si>
  <si>
    <t>GOVERNMENT OF ANDHRA PRADESH PANCHYAT RAJ DEPARTMENT  KOTHAPETA GRAMA SACHIVALAYAM  2    AVIDI V GRAMA SACHIVALAYAM  2    AVIDI V AMALAPURAM ANP 533229</t>
  </si>
  <si>
    <t>ANETICA.CONSULTANT.PVT UB.ROAD OPPOSITE.MOHAN.RAO.HOSPITAL..BHADRACHALA OPPOSITE.MOHAN.RAO.HOSPITAL..BHADRACHALA KHAMMAM TNG 507111</t>
  </si>
  <si>
    <t>LALITHAA.JEWELLERY.MART.PVT.LTD Lalithaa.jewellery Bn.road.Mavullama.temple. Bn.road.Mavullama.temple. BHIMAVARAM ANP 534202</t>
  </si>
  <si>
    <t>BHAGYALAXMI.CEMENT.BRICKS Anumamula.market.warangal madhusala.bar.Balaji.Nagar.kasibugga.roa madhusala.bar.Balaji.Nagar.kasibugga.roa WARANGAL TNG 506002</t>
  </si>
  <si>
    <t>VISHAL HOUSE.NO.11.1.1775.10 KCR.COLONY.BYPASS.ROAD.NIZAMABAD KCR.COLONY.BYPASS.ROAD.NIZAMABAD NIZAMABAD TNG 503002</t>
  </si>
  <si>
    <t>SREE.TUTION D.NO10.2.2 OPP.CHRUCH.NEAR.ABS.TOWN.HALL OPP.CHRUCH.NEAR.ABS.TOWN.HALL TADEPALLIGUDEM ANP 534301</t>
  </si>
  <si>
    <t>LADDU.PRAKASH.PHOTOGRAPHY 2.6.86.SANJEEVAIAH.NAGAR.SIRCILLA. PUNJAB.NATIONAL.BANK.OPPOSITE.LINE. PUNJAB.NATIONAL.BANK.OPPOSITE.LINE. GodavariKhani TNG 505301</t>
  </si>
  <si>
    <t>INDIAN.ARMY 4.114..VANCHANGIRI GEESUGONDA.WARANGAL GEESUGONDA.WARANGAL WARANGAL TNG 506330</t>
  </si>
  <si>
    <t>MSN.LIFE.SCIENCES.PRIVATE.LIMITED 455.E CHANDAM.PET.MEDAK CHANDAM.PET.MEDAK MEDAK TNG 502255</t>
  </si>
  <si>
    <t>Hetero.Labs.Limited HETERO.DRUGS.LIMITED. Jadcherla..Sez.pullapalli Jadcherla..Sez.pullapalli JEDCHERLA TNG 509301</t>
  </si>
  <si>
    <t>SAIKUMAR HUZURABAD. H.NO.12.296.HUZURABAD..KARIMNAGAR H.NO.12.296.HUZURABAD..KARIMNAGAR HYDERABAD TNG 505468</t>
  </si>
  <si>
    <t>SIDDHARTHA.DEGREE..COLLEGE Siddhartha.Degree.Pg.college SIDDHARTHA.NAGAR.. SIDDHARTHA.NAGAR.. WARANGAL TNG 506132</t>
  </si>
  <si>
    <t>SRI.BALAJI.ELOTRANICS.AND.MOBILES HUZURABAD NEAR.BUS.STOP. NEAR.BUS.STOP. HYDERABAD TNG 505468</t>
  </si>
  <si>
    <t>HCL.TECHNOLOGIES.LIMITED 4.79.5.hardware.park.Srisailam.highway.r Tukkuguda.rangareddy Tukkuguda.rangareddy HYDERABAD TNG 501359</t>
  </si>
  <si>
    <t>THE SINGARENI COLLIERIES COMPANY LIMITED IK1A INCLINE INDARAM POST AND MONDAL ADILABAD ADILABAD ADILABAD TNG 504216</t>
  </si>
  <si>
    <t>POLICE.DEPARTMENT Fathima.Manzil.Apartment. Panjagutta. Panjagutta. HYDERABAD TNG 500082</t>
  </si>
  <si>
    <t>SUN.LIFE.GLOBAL.SOLUTIONS.PRIVATE We.work.kalamandhir Marthalli.Bengaluru Marthalli.Bengaluru BANGALORE KAR 560037</t>
  </si>
  <si>
    <t>VENKATA.RAJESH.POULTRY.FRAMS Ananthavarapaddu Poultry.frams. Poultry.frams. GUNTUR ANP 522017</t>
  </si>
  <si>
    <t>h. no .21 / 31 / 6 s k d colony 5 road Adoni   KURNOOL ANP 518301</t>
  </si>
  <si>
    <t>KANNAMALA COMPUTER HARDWARE GROUND FLOOR RAJEEVNAGAR KONDAPALI   VIJAYAWADA ANP 521228</t>
  </si>
  <si>
    <t>SREENIDHI INFRA PVT LTD PLOT NO 508 ROAD NO 22 JUBILEE HILLS NEAR PEDDAMMA TEMPLE JUBILEE HILLS NEAR PEDDAMMA TEMPLE Hyderabad TNG 500033</t>
  </si>
  <si>
    <t>GOVERMENT OF TELANGANA DIRECTORATE OF EC COLLECTORATE COMPLEX 3RD FLOOR NO 303 NO 303 Mahbubnagar TNG 509209</t>
  </si>
  <si>
    <t>AURORAS SCIENTIFIC AND TECHNOLOGICAL   RESEAR ASTRA "BANDLAGUDA KESHAVGIRI POST, CHANDRAYANAGUTT" "BANDLAGUDA KESHAVGIRI POST, CHANDRAYANAGUTT" Rangareddy TNG 500005</t>
  </si>
  <si>
    <t>PALAKOL</t>
  </si>
  <si>
    <t>TADEPALLIGUDEM</t>
  </si>
  <si>
    <t>CHITTOOR</t>
  </si>
  <si>
    <t>ICICI Bank Ferrari Fan Platinum Credit Card</t>
  </si>
  <si>
    <t>1ST JULY</t>
  </si>
  <si>
    <t>0000000019620941</t>
  </si>
  <si>
    <t>0000000022991889</t>
  </si>
  <si>
    <t>0000000020828342</t>
  </si>
  <si>
    <t>0000000020855369</t>
  </si>
  <si>
    <t>0000000021024877</t>
  </si>
  <si>
    <t>0000000021146912</t>
  </si>
  <si>
    <t>0000000021150014</t>
  </si>
  <si>
    <t>0000000021470217</t>
  </si>
  <si>
    <t>0000000021756342</t>
  </si>
  <si>
    <t>0000000021766157</t>
  </si>
  <si>
    <t>0000000022172978</t>
  </si>
  <si>
    <t>0000000022245109</t>
  </si>
  <si>
    <t>0000000022419881</t>
  </si>
  <si>
    <t>0000000022684896</t>
  </si>
  <si>
    <t>0000000022724349</t>
  </si>
  <si>
    <t>0000000023005944</t>
  </si>
  <si>
    <t>0000000023115333</t>
  </si>
  <si>
    <t>0000000023188331</t>
  </si>
  <si>
    <t>0000000023915016</t>
  </si>
  <si>
    <t>0000000024046447</t>
  </si>
  <si>
    <t>0000000024230919</t>
  </si>
  <si>
    <t>0000000024317978</t>
  </si>
  <si>
    <t>0000000024562907</t>
  </si>
  <si>
    <t>0000000024653623</t>
  </si>
  <si>
    <t>0000000024713077</t>
  </si>
  <si>
    <t>0000000024722831</t>
  </si>
  <si>
    <t>0000000024733201</t>
  </si>
  <si>
    <t>0000000025209996</t>
  </si>
  <si>
    <t>0000000025498411</t>
  </si>
  <si>
    <t>0000000025532337</t>
  </si>
  <si>
    <t>0000000025535620</t>
  </si>
  <si>
    <t>0000000026074790</t>
  </si>
  <si>
    <t>0000000026075856</t>
  </si>
  <si>
    <t>0000000026298019</t>
  </si>
  <si>
    <t>0000000026343502</t>
  </si>
  <si>
    <t>0000000026423093</t>
  </si>
  <si>
    <t>0000000026456864</t>
  </si>
  <si>
    <t>0000000026701905</t>
  </si>
  <si>
    <t>0000000027066901</t>
  </si>
  <si>
    <t>0000000027078599</t>
  </si>
  <si>
    <t>0000000027420153</t>
  </si>
  <si>
    <t>0000000027606923</t>
  </si>
  <si>
    <t>0000000027969411</t>
  </si>
  <si>
    <t>0000000028337995</t>
  </si>
  <si>
    <t>0000000028545307</t>
  </si>
  <si>
    <t>0000000028592024</t>
  </si>
  <si>
    <t>0000000028608705</t>
  </si>
  <si>
    <t>0000000028942872</t>
  </si>
  <si>
    <t>0000000029063045</t>
  </si>
  <si>
    <t>0000000029104736</t>
  </si>
  <si>
    <t>0000000029588955</t>
  </si>
  <si>
    <t>0000000029655545</t>
  </si>
  <si>
    <t>0000000030173663</t>
  </si>
  <si>
    <t>0000000030253153</t>
  </si>
  <si>
    <t>0000000030352091</t>
  </si>
  <si>
    <t>0000000030385980</t>
  </si>
  <si>
    <t>0000000030435336</t>
  </si>
  <si>
    <t>0000000030487468</t>
  </si>
  <si>
    <t>0000000030499669</t>
  </si>
  <si>
    <t>0000000033017658</t>
  </si>
  <si>
    <t>0000000033095153</t>
  </si>
  <si>
    <t>0000000033141105</t>
  </si>
  <si>
    <t>0000000034887329</t>
  </si>
  <si>
    <t>0000000010982940</t>
  </si>
  <si>
    <t>0000000010871775</t>
  </si>
  <si>
    <t>0000000014750967</t>
  </si>
  <si>
    <t>0000000010223959</t>
  </si>
  <si>
    <t>Customer not available contact by phone given ptp on 4th</t>
  </si>
  <si>
    <t>4375518299675017</t>
  </si>
  <si>
    <t>4375512092546004</t>
  </si>
  <si>
    <t>4375519032825000</t>
  </si>
  <si>
    <t>4375513046862000</t>
  </si>
  <si>
    <t>4375519125826006</t>
  </si>
  <si>
    <t>4375514093849007</t>
  </si>
  <si>
    <t>4375519436147019</t>
  </si>
  <si>
    <t>5241934124033000</t>
  </si>
  <si>
    <t>4375512066285001</t>
  </si>
  <si>
    <t>4375518892264003</t>
  </si>
  <si>
    <t>4748469582784001</t>
  </si>
  <si>
    <t>4375519628862003</t>
  </si>
  <si>
    <t>4035620073882009</t>
  </si>
  <si>
    <t>4035620536422005</t>
  </si>
  <si>
    <t>4035620610584001</t>
  </si>
  <si>
    <t>4035620747348007</t>
  </si>
  <si>
    <t>4035621264708003</t>
  </si>
  <si>
    <t>4035621408103004</t>
  </si>
  <si>
    <t>4035621416552002</t>
  </si>
  <si>
    <t>4035621732789007</t>
  </si>
  <si>
    <t>4102021192315005</t>
  </si>
  <si>
    <t>4315812800243016</t>
  </si>
  <si>
    <t>4748467777615006</t>
  </si>
  <si>
    <t>4748467780490009</t>
  </si>
  <si>
    <t>MR BOJJANAPALLI SIVAKUMAR</t>
  </si>
  <si>
    <t>MR. GUNTHOTI  SASIKANTH</t>
  </si>
  <si>
    <t>Mr CHANDRASEKHAR Potluri Rao</t>
  </si>
  <si>
    <t>MR MUDAVATH SHANKAR</t>
  </si>
  <si>
    <t>MR KATA BATHINA RAMAIAH</t>
  </si>
  <si>
    <t>MR. AMMATI PRABHAKAR</t>
  </si>
  <si>
    <t>Mr SUMAN E Kumar</t>
  </si>
  <si>
    <t>MR RAMACHANDRUNI VSRK SUDARSHAN</t>
  </si>
  <si>
    <t>MR GORREMUTCHU KUMAR</t>
  </si>
  <si>
    <t>Mr Anjaneyulu Surubula</t>
  </si>
  <si>
    <t>MR PANDI SAIDULU</t>
  </si>
  <si>
    <t>Mr BASHA Mabu A</t>
  </si>
  <si>
    <t>MR BETHARASI MOHAN KRISHNA YADAV</t>
  </si>
  <si>
    <t>MR REPALLE CHANDRASEKHAR</t>
  </si>
  <si>
    <t>MR CHAGALAMARRI HUSSANAIAH</t>
  </si>
  <si>
    <t>MR MANDLI NAGARJUNA</t>
  </si>
  <si>
    <t>MR NAGISETTI MAHESH</t>
  </si>
  <si>
    <t>MR VUTHURI RAJU</t>
  </si>
  <si>
    <t>MR CHINTAKAYALA PRANEETH</t>
  </si>
  <si>
    <t>Mrs SHAIK AMEEN SAHEB GARI NA</t>
  </si>
  <si>
    <t>Ms. VEERA SURADA VEERA VENKATA SATYA NAR</t>
  </si>
  <si>
    <t>MR Reddy Sai Teja</t>
  </si>
  <si>
    <t>MR THATHARI KIRAN KUMAR</t>
  </si>
  <si>
    <t>MR VENNA VARDHANREDDY</t>
  </si>
  <si>
    <t>9603131032</t>
  </si>
  <si>
    <t>9063553255</t>
  </si>
  <si>
    <t>9553320124</t>
  </si>
  <si>
    <t>9959982780</t>
  </si>
  <si>
    <t>9014602830</t>
  </si>
  <si>
    <t>9603575883</t>
  </si>
  <si>
    <t>9959523345</t>
  </si>
  <si>
    <t>9000970074</t>
  </si>
  <si>
    <t>9030588036</t>
  </si>
  <si>
    <t>9949784199</t>
  </si>
  <si>
    <t>9000236061</t>
  </si>
  <si>
    <t>9985074756</t>
  </si>
  <si>
    <t>7780177445</t>
  </si>
  <si>
    <t>9008987688</t>
  </si>
  <si>
    <t>9581818435</t>
  </si>
  <si>
    <t>9949093734</t>
  </si>
  <si>
    <t>9959293174</t>
  </si>
  <si>
    <t>9966069666</t>
  </si>
  <si>
    <t>9063075591</t>
  </si>
  <si>
    <t>7285959837</t>
  </si>
  <si>
    <t>8639692425</t>
  </si>
  <si>
    <t>8464936408</t>
  </si>
  <si>
    <t>9032838908</t>
  </si>
  <si>
    <t>7842426667</t>
  </si>
  <si>
    <t>"1-205-J-23B INDO FACTRY,BACK SIDE,MARKAPURAM," MARKAPUR PRAKASAM - PRAKASAM ANP 523316</t>
  </si>
  <si>
    <t>"1-92/2B VIDYANAGAR 6TH,LINE,.,MULAGUNTAPADU, MULAGUNTAPADU"    KANDUKUR ANP 523101</t>
  </si>
  <si>
    <t>"1-203-A-185,VIDYANAGAR,MARKAPUR"    NANDYAL ANP 523316</t>
  </si>
  <si>
    <t>"7-9/7,,Laxminarsimha Colony" ",GT Narayana school" Wanaparthy Happy Bakery WANAPARTHY TNG 509103</t>
  </si>
  <si>
    <t>"1/137,KONDU MACHUPALLI,MADHAVARAM,MADHAVARAM," VONTIMITTA CUDDAPAH - CUDDAPAH ANP 516247</t>
  </si>
  <si>
    <t>53 4 5 45 INDIRA NAGAR MOGALDAJUPURAM GUNTUR BAPANAIH NAGAR BACK SIDE MASIDHU STREET VIJAYAWADA ANP 520008</t>
  </si>
  <si>
    <t>"#-7-31/1 MANAKONDUR-VI, MANAKONDUR MA KARIMNAGAR"    Karimnagar TNG 505469</t>
  </si>
  <si>
    <t>wb-3-225T nagar T nagarward-24 T nagar Guntur GTR ANP 522101</t>
  </si>
  <si>
    <t>"10-4-165/3 SINIK PURI,COLONY,SUB STATION SB," "STATION,RAMANJUNEYA COLONY MANDAL KOTH"   BHADRADRI KOTHAGUDEM TNG 507101</t>
  </si>
  <si>
    <t>"1-146, 1-1 TO 1-415 NALLAGARLAPADU (V) RAMPICHERLA (MANDAL)"    GUNTUR ANP 522315</t>
  </si>
  <si>
    <t>"PARSAI PALLE JAJIREDDY,GUDEM,MANDALAM,,P" ARSAI PALLE  .. NALGONDA TNG 508279</t>
  </si>
  <si>
    <t>H NO 4-119 OBULAMPALLY VI ALLAGADDA MD KURNOOL DT    NANDYAL ANP 518543</t>
  </si>
  <si>
    <t>"D NO 4/1764/9,JONNA VEERAIAH COLONY" KLD ANANTAPUR ANANTAPUR NR MAIN ROAD ANAPARTHI ANP 515001</t>
  </si>
  <si>
    <t>"H NO,4/166-1 SC COLONY R K DUDYALA,, R K" "DUDYALA,R KANTHALAPADU,"  . KURNOOL ANP 518004</t>
  </si>
  <si>
    <t>"1/11,LINGALADINNE MYDEKUR,CUDDAPAH,S MYD" "UKUR,"  XXX PRODDATUR ANP 516172</t>
  </si>
  <si>
    <t>2-164 SANJEEVAPURAM BUKKARAYASAMUDRAM MAIN ROAD ANANTAPUR ANP 515701</t>
  </si>
  <si>
    <t>"1-4,KASUKARRU KASUKARRU,.,CHINTALAPUDI,." ",PONNUR"  NEAR TEMPLE GUNTUR ANP 522124</t>
  </si>
  <si>
    <t>H NO 1-27/1 MEDIPALLE MANDAL KONDAPOOR ROAD NEAR BY MOD BAZAR LOOK KARIMNAGAR TNG 505453</t>
  </si>
  <si>
    <t>3/119-1 GANGAMMA TEMPLE STREET JAMMALAMA DUGU  NEAR BUSTOP PRODDATUR ANP 516434</t>
  </si>
  <si>
    <t>"11-92,MANGALA STREET MANGALA,STREET," PORUMAMILLA   CUDDAPAH ANP 516193</t>
  </si>
  <si>
    <t>5147/7 SURADA PETA UKOTTAPALLI UPPADA    KKN ANP 533448</t>
  </si>
  <si>
    <t>11-54/1 amalapuram mandal near ramakrishna samithi konkapalli peruru AMALAPURAM ANP 533201</t>
  </si>
  <si>
    <t>H NO 3 4 119 RAYAPURA COLONY TRANSFORMER HANAMKONDA WARANGAL WARANGAL TNG 506011</t>
  </si>
  <si>
    <t>"5-82/1,THOTAGARI,ATMAKUR,ATMAKUR"    KURNOOL ANP 518422</t>
  </si>
  <si>
    <t>KALPATARU POWER TRANSMISSION LTD JUNCTION POINT ED TPJ DG SAKARUR JUNCTION KARUR JUNCTION KARUR TMN 639001</t>
  </si>
  <si>
    <t>"1-92/2B VIDYANAGAR 6TH,LINE,.,MULAGUNTAPADU, MULAGUNTAPADU"   KANDUKUR ANP 523101</t>
  </si>
  <si>
    <t>ONGC "1-203-a-185,vidhyanagar,markapur"Markapur Markapur NANDYAL ANP 518501</t>
  </si>
  <si>
    <t>REVENUE COLLECTORATE WANAPARTHYCOLLECTORATE WANAPARTHY COLLECTORATE WANAPARTHY Mahbubnagar TNG 509103</t>
  </si>
  <si>
    <t>RANDSTAD INDIA PRIVATE LIMITED SRI VENKATESWARA DISTRIBUTORSSHOP NO 4 D NO 18-169 GFANESHAM ENCCLACE SHOP NO 4 D NO 18-169 GFANESHAM ENCCLACE ANAPARTHI ANP 515001</t>
  </si>
  <si>
    <t>BADHETECH SOLUTIONS PRIVATE LIMITED FLAT NO 19 2ND LINE LIC COLONYADHERA PRADESH ADHERA PRADESH VIJAYAWADA ANP 520008</t>
  </si>
  <si>
    <t>RELIANCE LIFE INSURANCE CO LTD- ADVISORS Ambedkar RoadKarimnagar Karimnagar Karimnagar TNG 505001</t>
  </si>
  <si>
    <t>11 Vidyanagar 3rd line up stair of tvs show roomGUNTUR GUNTUR GTR ANP 522007</t>
  </si>
  <si>
    <t>"10-4-165/3 SINIK PURI,COLONY,SUB STATION SB," "STATION,RAMANJUNEYA COLONY MANDAL KOTH"  BHADRADRI KOTHAGUDEM TNG 507101</t>
  </si>
  <si>
    <t>R.S. BROTHERS RETAIL INDIA PVT LTD RompicherlaRompicherla Rompicherla NARASARAOPET ANP 522315</t>
  </si>
  <si>
    <t>SPACE KONSTRYST PRIVATE LIMITE "NO,2-4-118/44A, SOUTH SWAROOP NAGAR""UPPAL," "UPPAL," HYDERABAD TNG 500039</t>
  </si>
  <si>
    <t>HDFC BANK LIMITED Hdfc Bank LtdJyothi Nagar Pillar No 87 Mehdipatnam Jyothi Nagar Pillar No 87 Mehdipatnam Hyderabad TNG 500008</t>
  </si>
  <si>
    <t>MAERSK GLOBAL SERVICE CENTRES INDIA PRIV "PARK,7 TH BUILDING,VIMAN NAGAR"PUNE PUNE PUNE MAH 411014</t>
  </si>
  <si>
    <t>WIPRO LIMITED "EC3, INDRA NAGAR, ELECTRONICS CITY""PHASE 1, ELECTRONIC CITY," "PHASE 1, ELECTRONIC CITY," BANGALORE KAR 560100</t>
  </si>
  <si>
    <t>COGNIZANT TECHNOLOGY SOLUTIONS INDIA PRI DLF CYBERCITY PLOT NO 129 103 131 APHBCOLONY HYDERBAD COLONY HYDERBAD HYDERABAD TNG 500019</t>
  </si>
  <si>
    <t>CGI INFORMATION SYSTEMS AND MANAGEMENT C TOWER2 95/2ELECTRONIC CITY PHASE1 BENGULURU ELECTRONIC CITY PHASE1 BENGULURU BANGALORE KAR 560100</t>
  </si>
  <si>
    <t>INFOSYS LIMITED "NO 44 INFOSYS AVENUE HOSUR ROAD,""ELECTRONIC CITY PHASE 1," "ELECTRONIC CITY PHASE 1," BANGALORE KAR 560100</t>
  </si>
  <si>
    <t>CAPGEMINI TECHNOLOGY SERVICES INDIA LIMI "BUILDING NO 164,165 EPIP INDUSTRIAL AREA"EPIP ZONE PHASE2 WHITEFIELD BANGALORE EPIP ZONE PHASE2 WHITEFIELD BANGALORE BANGALORE KAR 560066</t>
  </si>
  <si>
    <t>DATA SOFTWARE RESEARCH COMPANY PRIVATE L NO 138 OLD MAHABALIPURAMSHOLINGAPURAM SHOLINGAPURAM CHENNAI TMN 600100</t>
  </si>
  <si>
    <t>Not Applicable Porumamillacuddapah cuddapah CUDDAPAH ANP 516193</t>
  </si>
  <si>
    <t>5147/7 SURADA PETA UKOTTAPALLI UPPADA   KKN ANP 533448</t>
  </si>
  <si>
    <t>NIVA CORP "D. NO 11-54/1 ,NEAR RAMA KRISHNA SAMITHI"KONKAPALLY AMALAPURAM KONKAPALLY AMALAPURAM AMALAPURAM ANP 533201</t>
  </si>
  <si>
    <t>NATIONAL INSTITUTE OF TECHNOLOGY WARANGAL NATIONAL INSTITUTE OFTECHNOLOGY WARANGAL TECHNOLOGY WARANGAL WARANGAL TNG 506011</t>
  </si>
  <si>
    <t>VVVR TRANSPORT H no 5-82/1Thotagiri Thotagiri ATMAKUR ANP 518422</t>
  </si>
  <si>
    <t>ICICI Bank MasterCard Coral Credit Card</t>
  </si>
  <si>
    <t>ICICI Gold Business Card (BCCL-V)</t>
  </si>
  <si>
    <t>0000000013958626</t>
  </si>
  <si>
    <t>0000000034595884</t>
  </si>
  <si>
    <t>0000000013072416</t>
  </si>
  <si>
    <t>0000000012032063</t>
  </si>
  <si>
    <t>0000000013349806</t>
  </si>
  <si>
    <t>0000000010494926</t>
  </si>
  <si>
    <t>0000000013682096</t>
  </si>
  <si>
    <t>0000000012417430</t>
  </si>
  <si>
    <t>0000000029878278</t>
  </si>
  <si>
    <t>0000000012651106</t>
  </si>
  <si>
    <t>0000000027056853</t>
  </si>
  <si>
    <t>0000000014415778</t>
  </si>
  <si>
    <t>0000000019371141</t>
  </si>
  <si>
    <t>0000000022674513</t>
  </si>
  <si>
    <t>0000000023134584</t>
  </si>
  <si>
    <t>0000000023885352</t>
  </si>
  <si>
    <t>0000000026683540</t>
  </si>
  <si>
    <t>0000000027544428</t>
  </si>
  <si>
    <t>0000000027611693</t>
  </si>
  <si>
    <t>0000000030776516</t>
  </si>
  <si>
    <t>1000000000739220</t>
  </si>
  <si>
    <t>0000000021828588</t>
  </si>
  <si>
    <t>0000000017956698</t>
  </si>
  <si>
    <t>0000000017979335</t>
  </si>
  <si>
    <t>KUMAR/ELLURU , 8639680560</t>
  </si>
  <si>
    <t>SRINU/GTR , 9704963641</t>
  </si>
  <si>
    <t>M</t>
  </si>
  <si>
    <t>Ssd@9291</t>
  </si>
  <si>
    <t>KARUNAKAR</t>
  </si>
  <si>
    <t>2ND JU</t>
  </si>
  <si>
    <t>Customer given permanent house address visited sir his not available living in Hyderabad phone call not responding inform to his mother // customer residence address visited customer not available this address shifted this address customer Sir phone not lifting sir</t>
  </si>
  <si>
    <t>Customer visit office address meet customer PTP 10th</t>
  </si>
  <si>
    <t xml:space="preserve"> customer paymet on 1 date // Feedback waiting from coustmer</t>
  </si>
  <si>
    <t>Customer address visit ch not msg left to family call response asking time call back in evening sir // Customer address visit ch not msg left to family call response asking time call back in evening sir // Customer ptp on today evening sir // Customer address visit Waiting for payment sir</t>
  </si>
  <si>
    <t>Customer given address visit customer not available , trying by call / Customer given address visit customer not available , relatives met trying to payment // Customer given address visit customer not available , trying by call</t>
  </si>
  <si>
    <t>12103-CASH PYMT RCVD</t>
  </si>
  <si>
    <t>12124 - UPI Payment Received</t>
  </si>
  <si>
    <t>cmr not there at home , cmr living in Hyderabad, cmr answered call and willing to pay on Sunday</t>
  </si>
  <si>
    <t>Customer address visit customer not available msg left to family call not answering sir</t>
  </si>
  <si>
    <t xml:space="preserve"> customer paymet on 10th date</t>
  </si>
  <si>
    <t>mr not living inthis address, cmr answered call and given ptp on 4 th of this month</t>
  </si>
  <si>
    <t>Custmor go to Marrage  inform  mother sir</t>
  </si>
  <si>
    <t xml:space="preserve"> customer paymet on 8th date</t>
  </si>
  <si>
    <t>Customer home adress visit and Customer prasent not in home is going work purpose and call answer ptp on Monday</t>
  </si>
  <si>
    <t>customer paymet on week</t>
  </si>
  <si>
    <t>Customer house address visited sir his not available phone call not responding inform to his family members given commitment on 5 th</t>
  </si>
  <si>
    <t>4315811929250001</t>
  </si>
  <si>
    <t>Chaganti Rami Reddy</t>
  </si>
  <si>
    <t>5-129, Edlapadu, pathuru, NARASAPURAM, ANP, 522233, INDIA</t>
  </si>
  <si>
    <t>4315810013780030</t>
  </si>
  <si>
    <t>MARUBOINA SOMASWARAIAH</t>
  </si>
  <si>
    <t>KOTHURU,NELLORE,RURAL, NELLORE, ANP, 524004, INDIA</t>
  </si>
  <si>
    <t>cmr  not at given address, cmr not answering calls , required kyc details</t>
  </si>
  <si>
    <t>Custmor not lived this a dress
Phone not respond</t>
  </si>
  <si>
    <t>Custmor not working sir  shifted  rajahmundry</t>
  </si>
  <si>
    <t>Customer PTP on today 2pm // Waiting for location</t>
  </si>
  <si>
    <t>ustomer paymet on monday</t>
  </si>
  <si>
    <t>3RD JU</t>
  </si>
  <si>
    <t xml:space="preserve"> cmr not at home , waiting for cmr , cmr call not answering</t>
  </si>
  <si>
    <t>Customer given address visit customer address not found no information from neighbors, trying by call</t>
  </si>
  <si>
    <t>Customer house address not found mobile responding will have to pay today evening ptp</t>
  </si>
  <si>
    <t>SP</t>
  </si>
  <si>
    <t>Customer house address visit customer not in a home customer working in Hyderabad customer mobile responding call back evening</t>
  </si>
  <si>
    <t xml:space="preserve"> customer paymet on monday</t>
  </si>
  <si>
    <t>customer live ptp given today evening // customer live call responded he said all ready talk to hari sir</t>
  </si>
  <si>
    <t>Cust not at home left msg to cust's father and said he will call today evng will update // Cust not available at home met cust's father and said need some time will update</t>
  </si>
  <si>
    <t>Customer not ready to pay
Customer financial problem 
Proceed to legal</t>
  </si>
  <si>
    <t>GANESH/GTR , 7013441521</t>
  </si>
  <si>
    <t>VALLI/GTR , 9963854572</t>
  </si>
  <si>
    <t>Customer house address visit customer house door lock but customer mobile responding proceed to legal notice</t>
  </si>
  <si>
    <t>Customer not available contact by phone .he not responding.he msg me that he will meet tomorrow afternoon sir // Customer refused to pay because of finance problem..</t>
  </si>
  <si>
    <t xml:space="preserve"> cm
Not available 
Phone not respond</t>
  </si>
  <si>
    <t>4TH JU</t>
  </si>
  <si>
    <t>Ch will pay in 2days // Ch will pay tomorrow</t>
  </si>
  <si>
    <t>Customer address not found 
Customer calls not responding</t>
  </si>
  <si>
    <t>Customer address visited and customer here permanent address he is in hyderabad he taken legal action sent to notices to bank</t>
  </si>
  <si>
    <t>Customer given address visit, address not found , alternative address visit customer not met informed to relatives, trying by call</t>
  </si>
  <si>
    <t>CUSTOMER PAYMENT IN TOMMOROW EVINING SIR PHONE PTP</t>
  </si>
  <si>
    <t>4315812311949002</t>
  </si>
  <si>
    <t>4315812313651002</t>
  </si>
  <si>
    <t>4315812313752008</t>
  </si>
  <si>
    <t>4315812314490004</t>
  </si>
  <si>
    <t>4315812314608001</t>
  </si>
  <si>
    <t>4315812423264001</t>
  </si>
  <si>
    <t>4315812451079008</t>
  </si>
  <si>
    <t>4315812489802009</t>
  </si>
  <si>
    <t>4315812499783025</t>
  </si>
  <si>
    <t>4315812536734007</t>
  </si>
  <si>
    <t>4315812569639016</t>
  </si>
  <si>
    <t>4315812654533017</t>
  </si>
  <si>
    <t>4315812654746007</t>
  </si>
  <si>
    <t>4315812670498005</t>
  </si>
  <si>
    <t>4315812681820007</t>
  </si>
  <si>
    <t>4315812690454004</t>
  </si>
  <si>
    <t>4315812769223009</t>
  </si>
  <si>
    <t>4315812772322004</t>
  </si>
  <si>
    <t>4315812801647017</t>
  </si>
  <si>
    <t>4315812912679008</t>
  </si>
  <si>
    <t>4315812945326007</t>
  </si>
  <si>
    <t>4315812971303011</t>
  </si>
  <si>
    <t>4315813039838022</t>
  </si>
  <si>
    <t>4315813044604013</t>
  </si>
  <si>
    <t>4315813068916004</t>
  </si>
  <si>
    <t>4315813241455003</t>
  </si>
  <si>
    <t>4315813260538002</t>
  </si>
  <si>
    <t>4315813273743003</t>
  </si>
  <si>
    <t>4315813307575009</t>
  </si>
  <si>
    <t>4315813375728001</t>
  </si>
  <si>
    <t>4315813385882004</t>
  </si>
  <si>
    <t>4315813389799006</t>
  </si>
  <si>
    <t>4315813412656009</t>
  </si>
  <si>
    <t>4315813439464007</t>
  </si>
  <si>
    <t>4315813468746019</t>
  </si>
  <si>
    <t>4315813493454001</t>
  </si>
  <si>
    <t>4315813505550002</t>
  </si>
  <si>
    <t>4315813549376000</t>
  </si>
  <si>
    <t>4315813553034008</t>
  </si>
  <si>
    <t>4315813579672005</t>
  </si>
  <si>
    <t>4315813631194006</t>
  </si>
  <si>
    <t>4315813658052004</t>
  </si>
  <si>
    <t>4315813660947001</t>
  </si>
  <si>
    <t>4315813685327007</t>
  </si>
  <si>
    <t>4315813690835002</t>
  </si>
  <si>
    <t>4315813711778009</t>
  </si>
  <si>
    <t>4315813762386009</t>
  </si>
  <si>
    <t>4315813772533004</t>
  </si>
  <si>
    <t>4315813876475003</t>
  </si>
  <si>
    <t>4315813880372006</t>
  </si>
  <si>
    <t>4315813912244009</t>
  </si>
  <si>
    <t>4315813964654006</t>
  </si>
  <si>
    <t>4315813971836000</t>
  </si>
  <si>
    <t>4315813982365007</t>
  </si>
  <si>
    <t>4315814052340011</t>
  </si>
  <si>
    <t>4315814271431005</t>
  </si>
  <si>
    <t>4315814355611001</t>
  </si>
  <si>
    <t>4315814364882007</t>
  </si>
  <si>
    <t>4315814421010006</t>
  </si>
  <si>
    <t>4315814441909005</t>
  </si>
  <si>
    <t>4315814466108004</t>
  </si>
  <si>
    <t>4315814518543034</t>
  </si>
  <si>
    <t>4315814605142005</t>
  </si>
  <si>
    <t>4315814663724009</t>
  </si>
  <si>
    <t>4315814736176005</t>
  </si>
  <si>
    <t>4315814787026000</t>
  </si>
  <si>
    <t>4315814815629007</t>
  </si>
  <si>
    <t>4315814820358006</t>
  </si>
  <si>
    <t>4315814857928002</t>
  </si>
  <si>
    <t>4315814859788008</t>
  </si>
  <si>
    <t>4315814892218013</t>
  </si>
  <si>
    <t>4315814917150001</t>
  </si>
  <si>
    <t>4315814918149002</t>
  </si>
  <si>
    <t>4315814921790008</t>
  </si>
  <si>
    <t>4315814941221000</t>
  </si>
  <si>
    <t>4315814958244010</t>
  </si>
  <si>
    <t>4315814968517009</t>
  </si>
  <si>
    <t>4315814978739007</t>
  </si>
  <si>
    <t>4315815002014002</t>
  </si>
  <si>
    <t>4315815031512000</t>
  </si>
  <si>
    <t>4315815068433005</t>
  </si>
  <si>
    <t>4315815096334001</t>
  </si>
  <si>
    <t>4315815163395000</t>
  </si>
  <si>
    <t>4315815171301016</t>
  </si>
  <si>
    <t>4315815382528001</t>
  </si>
  <si>
    <t>4315815454249007</t>
  </si>
  <si>
    <t>4315815513799000</t>
  </si>
  <si>
    <t>4315815595256002</t>
  </si>
  <si>
    <t>4315815595968002</t>
  </si>
  <si>
    <t>4315815613303000</t>
  </si>
  <si>
    <t>4315815618682002</t>
  </si>
  <si>
    <t>4315815650333001</t>
  </si>
  <si>
    <t>4315815672714006</t>
  </si>
  <si>
    <t>4315815793729008</t>
  </si>
  <si>
    <t>4315815851205008</t>
  </si>
  <si>
    <t>4315815941839006</t>
  </si>
  <si>
    <t>4315816087275005</t>
  </si>
  <si>
    <t>4315816112927000</t>
  </si>
  <si>
    <t>4375516371827001</t>
  </si>
  <si>
    <t>4035625076499008</t>
  </si>
  <si>
    <t>4035625701305000</t>
  </si>
  <si>
    <t>4035625827765004</t>
  </si>
  <si>
    <t>4035625829849004</t>
  </si>
  <si>
    <t>4035625833710002</t>
  </si>
  <si>
    <t>4035625838039001</t>
  </si>
  <si>
    <t>4035627878007005</t>
  </si>
  <si>
    <t>4315812373259001</t>
  </si>
  <si>
    <t>4315815041367015</t>
  </si>
  <si>
    <t>5241933733522007</t>
  </si>
  <si>
    <t>6528682308786008</t>
  </si>
  <si>
    <t>4035620661650008</t>
  </si>
  <si>
    <t>4315810486742004</t>
  </si>
  <si>
    <t>4315811742274006</t>
  </si>
  <si>
    <t>4315812637894007</t>
  </si>
  <si>
    <t>4375518060274008</t>
  </si>
  <si>
    <t>4501720933669011</t>
  </si>
  <si>
    <t>4501721009168003</t>
  </si>
  <si>
    <t>4501721090978005</t>
  </si>
  <si>
    <t>4501721382995006</t>
  </si>
  <si>
    <t>4501721390442009</t>
  </si>
  <si>
    <t>4501721440247002</t>
  </si>
  <si>
    <t>4501721615762009</t>
  </si>
  <si>
    <t>4501721630918008</t>
  </si>
  <si>
    <t>4501721827013001</t>
  </si>
  <si>
    <t>4629864303724001</t>
  </si>
  <si>
    <t>5241933924831001</t>
  </si>
  <si>
    <t>MR Bhukya Pavan Kumar</t>
  </si>
  <si>
    <t>MR Chappidi Veera Prathap</t>
  </si>
  <si>
    <t>MR Veera Nagender Jillala</t>
  </si>
  <si>
    <t>MS Maddi Rajya Lakshmi</t>
  </si>
  <si>
    <t>MR RAGI REDDY</t>
  </si>
  <si>
    <t>MR SANDHI PRASANTH KUMAR</t>
  </si>
  <si>
    <t>MR Jumbarthi Sai Kiran</t>
  </si>
  <si>
    <t>MS Pasupuleti Gayatridevi</t>
  </si>
  <si>
    <t>MR Majeed Khan</t>
  </si>
  <si>
    <t>MR ESAMPALLY SANDEEP</t>
  </si>
  <si>
    <t>MR PALWANCHA BHANU PRASAD</t>
  </si>
  <si>
    <t>MR Pasham Prashanth</t>
  </si>
  <si>
    <t>MR Sirimella Rajesh</t>
  </si>
  <si>
    <t>Mr DOGIPARTHI VIJAY KUMAR</t>
  </si>
  <si>
    <t>MR Borra Sri Pranava</t>
  </si>
  <si>
    <t>MR VANAPARTI SAI PRAKASH</t>
  </si>
  <si>
    <t>MR Mulenti Vamsidhar Reddy</t>
  </si>
  <si>
    <t>MR Matteddu Siva</t>
  </si>
  <si>
    <t>MR Aadi Hareesh</t>
  </si>
  <si>
    <t>MR VELDANDI NARESH</t>
  </si>
  <si>
    <t>MR Pullabhatla Raghavamaneendra S</t>
  </si>
  <si>
    <t>Mr SAI Dasi Charan</t>
  </si>
  <si>
    <t>MR Bavandla Narender</t>
  </si>
  <si>
    <t>Mr POLISETTI  VINEEL</t>
  </si>
  <si>
    <t>MR Chemmati Anil</t>
  </si>
  <si>
    <t>MR Basani Akhil Kumar</t>
  </si>
  <si>
    <t>MR Malapeddu Siddaiah</t>
  </si>
  <si>
    <t>MR Muddangala Punith</t>
  </si>
  <si>
    <t>MR BATHINA KUMAR</t>
  </si>
  <si>
    <t>MR Shaik Suhail Ahamed</t>
  </si>
  <si>
    <t>MR Goda Hruday Venkatesh</t>
  </si>
  <si>
    <t>MR Bangari Venkateswarlu</t>
  </si>
  <si>
    <t>MR Sikile Sanjesh</t>
  </si>
  <si>
    <t>MR Mohammad Azharuddin</t>
  </si>
  <si>
    <t>MR Rajanala Kesavarao</t>
  </si>
  <si>
    <t>MR Shaik Rasheed Pasha</t>
  </si>
  <si>
    <t>MR MOHAMMAD ABDUL RIYAZ</t>
  </si>
  <si>
    <t>MS Bella Aruna</t>
  </si>
  <si>
    <t>MR Ayinaparthi Venkata Sai</t>
  </si>
  <si>
    <t>MR Egala Rajesh</t>
  </si>
  <si>
    <t>MR VANDANAPU RAMAKRISHNA</t>
  </si>
  <si>
    <t>MR Kalli Durga Prasad</t>
  </si>
  <si>
    <t>MR Vijay Dasari</t>
  </si>
  <si>
    <t>MR BULLE UMESH</t>
  </si>
  <si>
    <t>MR Thota Anil</t>
  </si>
  <si>
    <t>MR Venkata Srinivas</t>
  </si>
  <si>
    <t>MR PothiReddy Viswanadha Reddy</t>
  </si>
  <si>
    <t>MR NAGENDRABABU VEERANKI</t>
  </si>
  <si>
    <t>MR Konkimalla Durga Prasad</t>
  </si>
  <si>
    <t>MR BHAVARJI MAHEEDHAR B</t>
  </si>
  <si>
    <t>MR Yekkaladevi Sreenath</t>
  </si>
  <si>
    <t>MR MERUGU SUDHARSHAN</t>
  </si>
  <si>
    <t>MR DASARI NAVEEN KUMAR</t>
  </si>
  <si>
    <t>MR Enugurthi Nagaraju</t>
  </si>
  <si>
    <t>Mr MADHU BEPALA</t>
  </si>
  <si>
    <t>MR Vaddi Pamuleti</t>
  </si>
  <si>
    <t>MR KOTA LAKSHMANARAO</t>
  </si>
  <si>
    <t>MS. PATHLOTHU RAJEEVI RATHOD</t>
  </si>
  <si>
    <t>MR Shaik Moulana Azad</t>
  </si>
  <si>
    <t>MR CHILUKOTI Gopi Krishna</t>
  </si>
  <si>
    <t>MR LOLLA DAVID RAJU</t>
  </si>
  <si>
    <t>MR Gaddam Rama Krishna</t>
  </si>
  <si>
    <t>MR Tholikonda Surya Teja</t>
  </si>
  <si>
    <t>MR MALLURIGIRISATYA SAVAN KUMAR</t>
  </si>
  <si>
    <t>MR Pyapili Ram Kumar</t>
  </si>
  <si>
    <t>MR GaneshulaSurya Rama Krishna</t>
  </si>
  <si>
    <t>MR Aleti Ravinder Reddy</t>
  </si>
  <si>
    <t>MR Vadlapatla Dinesh</t>
  </si>
  <si>
    <t>MR K Raghu</t>
  </si>
  <si>
    <t>MR SwarnaSai Krishna Manohar</t>
  </si>
  <si>
    <t>MR S MANOJ</t>
  </si>
  <si>
    <t>MR Yagnam Sivaprasad</t>
  </si>
  <si>
    <t>MR Videm Bharani</t>
  </si>
  <si>
    <t>MR Kanuku Chiranjeevi</t>
  </si>
  <si>
    <t>MR BANALA SRIRAM</t>
  </si>
  <si>
    <t>MR Budda Uday Kumar</t>
  </si>
  <si>
    <t>MR Choppari Maruthi</t>
  </si>
  <si>
    <t>MR Valmiki Murali Krishna</t>
  </si>
  <si>
    <t>MS MAKHAM NEELIMA</t>
  </si>
  <si>
    <t>MR AITHA MOHAN</t>
  </si>
  <si>
    <t>MR KALIDASU VINAY</t>
  </si>
  <si>
    <t>MR Janagam Venkatesh</t>
  </si>
  <si>
    <t>MR Abdul Elfan Majeed</t>
  </si>
  <si>
    <t>MR PATNEEDI SURYANARAYANA</t>
  </si>
  <si>
    <t>MS SIVALA PRASANNA</t>
  </si>
  <si>
    <t>MR Bulikonda Kiran Kumar</t>
  </si>
  <si>
    <t>MR Kudukuntla Saivardhan</t>
  </si>
  <si>
    <t>MR MADURI AMARENDER</t>
  </si>
  <si>
    <t>MR Gadivenuka Aravind Goud</t>
  </si>
  <si>
    <t>MR R Lakshman Rao</t>
  </si>
  <si>
    <t>MR SATPUR VIJAY KUMAR</t>
  </si>
  <si>
    <t>MR VINNAKOTA AJAY</t>
  </si>
  <si>
    <t>MR ACHANTA MANI KANTA</t>
  </si>
  <si>
    <t>MR DAVIREDDY YESWANTH SAI</t>
  </si>
  <si>
    <t>MR SHAIK MAHAMMAD RAFI</t>
  </si>
  <si>
    <t>MR SAYAM BHARATH</t>
  </si>
  <si>
    <t>MRS SATALA NAGAMANI</t>
  </si>
  <si>
    <t>MR PASUPULETI SIVA</t>
  </si>
  <si>
    <t>MS JANNU SWARUPA</t>
  </si>
  <si>
    <t>MR MODDUNAGALLA RAVINDRA</t>
  </si>
  <si>
    <t>MR. Raghu  Raghu Ram</t>
  </si>
  <si>
    <t>MR BANDARU REDDY</t>
  </si>
  <si>
    <t>MR BHUKYA SIDDU BHUKYA SIDDU SRI INDRA</t>
  </si>
  <si>
    <t>MR DAGGUPATI NARSIMHA</t>
  </si>
  <si>
    <t>MR Kavuru Rajasekhar</t>
  </si>
  <si>
    <t>MR MOHAMMAD ZULFAQAR</t>
  </si>
  <si>
    <t>MR Kalluri Suresh</t>
  </si>
  <si>
    <t>MR MANDLI REDDY</t>
  </si>
  <si>
    <t>MR SAMMIREDDY HARIKRISHNA REDDY</t>
  </si>
  <si>
    <t>MR MANOHAR REDDY NANDALURU</t>
  </si>
  <si>
    <t>MR YADAGANI AVINASH</t>
  </si>
  <si>
    <t>MR G RAJU G</t>
  </si>
  <si>
    <t>MR MANCHALA REDDY</t>
  </si>
  <si>
    <t>Mr KOSGI SRINIVAS</t>
  </si>
  <si>
    <t>MS TEKI BALASAI PRASANNA</t>
  </si>
  <si>
    <t>Mr BAGAIAHGARI KALYAN REDDY</t>
  </si>
  <si>
    <t>Mr NALAVALA ARJUN</t>
  </si>
  <si>
    <t>MR VENKATA KRISHNA ERIGINENI</t>
  </si>
  <si>
    <t>Mrs MOHAMMAD SAMEERA</t>
  </si>
  <si>
    <t>MR P GURUMOHAN</t>
  </si>
  <si>
    <t>MR N SUBHAKARA RAO</t>
  </si>
  <si>
    <t>Mr. KATARU CHANDRA</t>
  </si>
  <si>
    <t>MR PONNAM HAREESH</t>
  </si>
  <si>
    <t>9553533925</t>
  </si>
  <si>
    <t>9492156296</t>
  </si>
  <si>
    <t>7207627178</t>
  </si>
  <si>
    <t>7989343512</t>
  </si>
  <si>
    <t>8919018619</t>
  </si>
  <si>
    <t>9966170701</t>
  </si>
  <si>
    <t>9494763513</t>
  </si>
  <si>
    <t>8309741804</t>
  </si>
  <si>
    <t>9030914201</t>
  </si>
  <si>
    <t>9849061520</t>
  </si>
  <si>
    <t>9963222857</t>
  </si>
  <si>
    <t>9885215856</t>
  </si>
  <si>
    <t>9866047532</t>
  </si>
  <si>
    <t>8125555205</t>
  </si>
  <si>
    <t>9666553598</t>
  </si>
  <si>
    <t>8106261781</t>
  </si>
  <si>
    <t>9014606006</t>
  </si>
  <si>
    <t>9010349909</t>
  </si>
  <si>
    <t>9491721666</t>
  </si>
  <si>
    <t>9652653822</t>
  </si>
  <si>
    <t>8500945146</t>
  </si>
  <si>
    <t>9553244345</t>
  </si>
  <si>
    <t>9885599379</t>
  </si>
  <si>
    <t>9912451451</t>
  </si>
  <si>
    <t>8125533572</t>
  </si>
  <si>
    <t>9573576096</t>
  </si>
  <si>
    <t>9885553860</t>
  </si>
  <si>
    <t>9652547292</t>
  </si>
  <si>
    <t>7731907076</t>
  </si>
  <si>
    <t>8121710754</t>
  </si>
  <si>
    <t>9912112541</t>
  </si>
  <si>
    <t>8897787870</t>
  </si>
  <si>
    <t>7207887227</t>
  </si>
  <si>
    <t>9441840460</t>
  </si>
  <si>
    <t>9948561100</t>
  </si>
  <si>
    <t>8688088843</t>
  </si>
  <si>
    <t>8985898297</t>
  </si>
  <si>
    <t>9100515215</t>
  </si>
  <si>
    <t>9010455091</t>
  </si>
  <si>
    <t>9010959491</t>
  </si>
  <si>
    <t>7993107375</t>
  </si>
  <si>
    <t>9177214387</t>
  </si>
  <si>
    <t>9966372054</t>
  </si>
  <si>
    <t>9705248431</t>
  </si>
  <si>
    <t>9505805138</t>
  </si>
  <si>
    <t>8106652014</t>
  </si>
  <si>
    <t>9603509044</t>
  </si>
  <si>
    <t>9966601096</t>
  </si>
  <si>
    <t>8712953767</t>
  </si>
  <si>
    <t>9866193718</t>
  </si>
  <si>
    <t>7730050686</t>
  </si>
  <si>
    <t>9505615923</t>
  </si>
  <si>
    <t>8143852361</t>
  </si>
  <si>
    <t>7330620772</t>
  </si>
  <si>
    <t>9177348840</t>
  </si>
  <si>
    <t>9966858281</t>
  </si>
  <si>
    <t>9492674599</t>
  </si>
  <si>
    <t>8309594238</t>
  </si>
  <si>
    <t>9553376858</t>
  </si>
  <si>
    <t>9182274309</t>
  </si>
  <si>
    <t>9441090016</t>
  </si>
  <si>
    <t>6301970524</t>
  </si>
  <si>
    <t>9912925122</t>
  </si>
  <si>
    <t>9032497340</t>
  </si>
  <si>
    <t>8886822422</t>
  </si>
  <si>
    <t>9989302431</t>
  </si>
  <si>
    <t>9640433488</t>
  </si>
  <si>
    <t>9985669779</t>
  </si>
  <si>
    <t>9014642418</t>
  </si>
  <si>
    <t>7207301515</t>
  </si>
  <si>
    <t>9908767241</t>
  </si>
  <si>
    <t>7981337837</t>
  </si>
  <si>
    <t>6302292241</t>
  </si>
  <si>
    <t>8186989732</t>
  </si>
  <si>
    <t>6281001934</t>
  </si>
  <si>
    <t>9573511318</t>
  </si>
  <si>
    <t>9390511980</t>
  </si>
  <si>
    <t>8187052499</t>
  </si>
  <si>
    <t>9533855661</t>
  </si>
  <si>
    <t>8886750504</t>
  </si>
  <si>
    <t>8096298771</t>
  </si>
  <si>
    <t>7730962188</t>
  </si>
  <si>
    <t>8184832507</t>
  </si>
  <si>
    <t>7794045027</t>
  </si>
  <si>
    <t>9880690617</t>
  </si>
  <si>
    <t>9346843593</t>
  </si>
  <si>
    <t>7569886666</t>
  </si>
  <si>
    <t>9398525437</t>
  </si>
  <si>
    <t>8978989759</t>
  </si>
  <si>
    <t>9989328612</t>
  </si>
  <si>
    <t>7760773840</t>
  </si>
  <si>
    <t>7286844888</t>
  </si>
  <si>
    <t>7093445323</t>
  </si>
  <si>
    <t>9666055561</t>
  </si>
  <si>
    <t>9494560636</t>
  </si>
  <si>
    <t>8074597652</t>
  </si>
  <si>
    <t>9666460587</t>
  </si>
  <si>
    <t>9573911737</t>
  </si>
  <si>
    <t>9739959847</t>
  </si>
  <si>
    <t>9581758358</t>
  </si>
  <si>
    <t>9505379508</t>
  </si>
  <si>
    <t>9555959559</t>
  </si>
  <si>
    <t>7702207906</t>
  </si>
  <si>
    <t>7893218492</t>
  </si>
  <si>
    <t>9000060783</t>
  </si>
  <si>
    <t>9014544235</t>
  </si>
  <si>
    <t>8074966045</t>
  </si>
  <si>
    <t>9553088030</t>
  </si>
  <si>
    <t>9700071417</t>
  </si>
  <si>
    <t>9618435790</t>
  </si>
  <si>
    <t>7396897519</t>
  </si>
  <si>
    <t>7093953709</t>
  </si>
  <si>
    <t>9666683159</t>
  </si>
  <si>
    <t>7416617828</t>
  </si>
  <si>
    <t>7702211101</t>
  </si>
  <si>
    <t>9000442266</t>
  </si>
  <si>
    <t>9676720586</t>
  </si>
  <si>
    <t>8520010647</t>
  </si>
  <si>
    <t>8897462483</t>
  </si>
  <si>
    <t>9390388842</t>
  </si>
  <si>
    <t>9348366867</t>
  </si>
  <si>
    <t>7799456432</t>
  </si>
  <si>
    <t>Surya Thanda Surya Thanda Surya Thanda Khammam KHAMMAM TNG 507168</t>
  </si>
  <si>
    <t>1-14 Pasarlapudilanka Main road Near canal bridz AMALAPURAM ANP 533247</t>
  </si>
  <si>
    <t>15-2-27/3 nehru basthi nehru basthi Khammam KHAMMAM TNG 507118</t>
  </si>
  <si>
    <t>3-69b Pasumarru Nayee Brahmana Street Guntur GUNTUR ANP 522616</t>
  </si>
  <si>
    <t>"13-208/2 GOURISHANKAR ,COLONY," "BADEPALLY JADCHERLA,JADCHERLA,MAHABUBNAGAR"   JADCHERLA TNG 509301</t>
  </si>
  <si>
    <t>"H NO,26-6-3 DASULLA VARI,STREET,NEAR CHU" "BALUSUMUDI,BHIMAVARAM"   BHIMAVARAM ANP 534201</t>
  </si>
  <si>
    <t>4-2-11/1 i b road i b road Karimnagar KARIMNAGAR TNG 505326</t>
  </si>
  <si>
    <t>5-2-246/C/1/5 MUSTHAFA NAGAR KHAMMAM TOWN SRI SAI GANESH NAGAR BEHIND PETROL BUNK KHAMMAM TNG 507001</t>
  </si>
  <si>
    <t>18-154/1 Kalwakurthy Jhansi Laxmi Bai Road Market Road WANAPARTHY TNG 509324</t>
  </si>
  <si>
    <t>"HNO2-,SAMMAIAH NAGAR,1-433 FLR,HANAMKOND" VIDYARANYAPURI   WARANGAL TNG 506009</t>
  </si>
  <si>
    <t>"4-121,GANGANAMMA TEMPLE STREET,GOLLAPUDI"    VIJAYAWADA ANP 521225</t>
  </si>
  <si>
    <t>H.No 7-146 Mandal - Ramannapet Hanuman Nagar Yadadri. NALGONDA TNG 508113</t>
  </si>
  <si>
    <t>HNO 17-5-204 warangal ursu karimabad karimabad WARANGAL TNG 506002</t>
  </si>
  <si>
    <t>"2-3-38/36 CURRENT OFFICE,ROAD,BURMPET," NARASARAOPET   GUNTUR ANP 522601</t>
  </si>
  <si>
    <t>"8-16-27,Rajgopal nagar 1st line" Kakani road  Near church GUNTUR ANP 522002</t>
  </si>
  <si>
    <t>"4-20,GUNDARAM ELLANTHAKUNTA,GUNDARAMPS"    KARIMNAGAR TNG 505528</t>
  </si>
  <si>
    <t>6-141 Mekalasompally B C Colony Mahabubnagar ATMAKUR TNG 509132</t>
  </si>
  <si>
    <t>32-427-8 guttakindha palli ward 32 near k h degree collage HINDUPUR ANP 515671</t>
  </si>
  <si>
    <t>1-87B OC COLANY OC COLANY West Godavari TADEPALLIGUDEM ANP 534112</t>
  </si>
  <si>
    <t>"2-78,PADHMASHALI WADA,PARKAL,PULIGILLA"    WARANGAL TNG 506164</t>
  </si>
  <si>
    <t>Q No 41 Inside Cotton Mill Inside Cotton Mill Pillala Marri Road MAHBOOBNAGAR TNG 509001</t>
  </si>
  <si>
    <t>5-18/1 KANDUGULA  HUZURABAD KARIMNAGAR    Karimnagar TNG 505101</t>
  </si>
  <si>
    <t>19-145/1 KALWAKURTHY G.P. ROAD KALWAKURTHY WANAPARTHY TNG 509324</t>
  </si>
  <si>
    <t>"7-185,YOUTH CLUB ROAD,VENKATA RAJU NAGAR," "BHIMAVARAM,MANDALAM CHINAMIRAM" WEST GODAVARI - WEST GODAVARI ANP 534204</t>
  </si>
  <si>
    <t>HNO.2-35/22 Sikindrapur Sikindrapur Sikindrapur NIZAMABAD TNG 503175</t>
  </si>
  <si>
    <t>H NO 2 8 443 SRINAGAR COLONY NGOS COLONY WADDEPALLY BESIDE REDDY FUNCTION HALL WARANGAL TNG 506001</t>
  </si>
  <si>
    <t>9 129 pathakadapa Ukkayapalli - CUDDAPAH ANP 516002</t>
  </si>
  <si>
    <t>3 18 Irala N Mittoor Chittoor CHITTOOR ANP 517130</t>
  </si>
  <si>
    <t>"13-90,RAMALAYAM STREET,CHEBROLU," "GOLLAPROLU MANDAL,CHEBROLU"   EAST GODAVARI ANP 533449</t>
  </si>
  <si>
    <t>15 14 71 A R T C COLONY OPP INDIAN BLOOMS ENGLISH MEDIAM SCHOOL Guntur GUNTUR ANP 522002</t>
  </si>
  <si>
    <t>mc 453 Mallaram P V colony Near Singareni school KHAMMAM TNG 507125</t>
  </si>
  <si>
    <t>70 19 112 3a Godari Gunta Kalakarula Colony East Godavari KAKINADA ANP 533003</t>
  </si>
  <si>
    <t>H No 1 7 2 Akiveedu Mandalam Ajjamuru Garuvu Near Asha Jyothi Hospital BHIMAVARAM ANP 534235</t>
  </si>
  <si>
    <t>16 11 717 2 MANDAL KHILA WARANGAL CHINTAL OPP RATION SHOP WARANGAL TNG 506013</t>
  </si>
  <si>
    <t>1 10   Krishna GUDIVADA ANP 521311</t>
  </si>
  <si>
    <t>H NO 16 88 AYYAGARIPETA NETHAJI ROAD Khammam KHAMMAM TNG 507303</t>
  </si>
  <si>
    <t>6 2 333 SRI NAGAR COLONY BESIDE B C HOSTAL HYD ROAD C HOSTAL HYD ROAD C HOSTAL HYD ROAD NALGONDA TNG 508001</t>
  </si>
  <si>
    <t>9 55 81 Bestavaripeta B C Colony Prakasam NANDYAL ANP 523334</t>
  </si>
  <si>
    <t>2 102 Ganapavaram Mandalam Main Road Near Water Tank TADEPALLIGUDEM ANP 534198</t>
  </si>
  <si>
    <t>3 17A 14 2 GODARI GUNTA SITARAM NAGAR RAMALAYAM KAKINADA ANP 533003</t>
  </si>
  <si>
    <t>3/238/A PANDARIPURAM 7TH LANE CHILAKALURIPET KANDIMALLA 1ST GATE COMPANY GUNTUR ANP 522616</t>
  </si>
  <si>
    <t>7 61 1 seethayyammapeta seethayyammapeta shankavaram KAKINADA ANP 533444</t>
  </si>
  <si>
    <t>1 100146 A 1 Kotha Thimmapur Amma Garden Road Mancherial ADILABAD TNG 504209</t>
  </si>
  <si>
    <t>1-42 ITUKALAPALLI ITUKALAPALLI ANANTAPUR ANANTAPUR ANP 515721</t>
  </si>
  <si>
    <t>H NO 20 10 198 Fort Warangal kapu wada middle fort WARANGAL TNG 506002</t>
  </si>
  <si>
    <t>H NO 3 3 588 A SAINAGER SAINAGER NEAR VISHWAVIKAS SCHOOL NIZAMABAD TNG 503001</t>
  </si>
  <si>
    <t>1 103 BURGAMPAHAD MANDAL LAXMIPURAM LAXMIPURAM BHADRACHALAM TNG 507114</t>
  </si>
  <si>
    <t>H.No.8.69.. eluru.mandal.. Komadavole..rural. KOMADOVOLU NEAR RACHA BANDA ELURU ANP 534004</t>
  </si>
  <si>
    <t>1.4.10 nazerpet durga.prasad.vari.veedhi oppossite zanda chettu VIJAYAWADA ANP 522201</t>
  </si>
  <si>
    <t>"2-8,NUKALA VARI STREET,KANUMOLU," "BAPULAPADU MANDAL,KANUMOLU"  BUS STOP VIJAYAWADA ANP 521106</t>
  </si>
  <si>
    <t>1.1.85 Ramagundam Shivaji.Nagar Near Railway Station PEDDAPALLI TNG 505208</t>
  </si>
  <si>
    <t>1.35.NEAR.SANTHOSHI.MATHA.TEMPLE. KOLANUPAKA.ROAD.ALAIR.MANDAL.ALAIR ..  NALGONDA TNG 508101</t>
  </si>
  <si>
    <t>16-432 CHILAKALURIPET 2ND FLOOR SALAM GARI THOTA GUNTUR ANP 522616</t>
  </si>
  <si>
    <t>4.1.71.7 Nirmal Naidu.wada Naidu wada ADILABAD TNG 504106</t>
  </si>
  <si>
    <t>"IVRCL LTD,KAMTA SADAN,KAMTA SINGH LANE" "EAST BORING CANAL ROAD,NEAR ORO DENTAL"   PATNA BIH 800001</t>
  </si>
  <si>
    <t>3.258 Rameswaram Eswar.Reddy.Nagar Cuddapah PRODDATUR ANP 516360</t>
  </si>
  <si>
    <t>"11-22-57/1," "RAMIREDDYPET," NARSARAOPET OPPOSITE VAGDEVI DEGREE COLLEGE GUNTUR ANP 522601</t>
  </si>
  <si>
    <t>"2-41,THANDA MOLKACHARLA,BALAJEE FLR," "MULKACHARLA,NALGONDA,MANDAL DAMARACHARLA" NALGONDA - NALGONDA TNG 508207</t>
  </si>
  <si>
    <t>53.7.978 r.t.c.colony.main.road ..r.t.c.colony.main.road near saibaba temple GUNTUR ANP 522001</t>
  </si>
  <si>
    <t>8.8.154..Shukravara.Peta Khammam..Khammam.Urban Khammam..Urban. BACK SIDE OF CHINNA RAMALAYAM KHAMMAM TNG 507001</t>
  </si>
  <si>
    <t>N.29.SURYALATHA.SPINNING.MILLS.LTD.MIDJI PROJECT.URKONDAPETA.MAHABUBNAGAR ..  WANAPARTHY TNG 509320</t>
  </si>
  <si>
    <t>4.29  .. Karimnagar KARIMNAGAR TNG 505454</t>
  </si>
  <si>
    <t>1.5.472.2 kamareddy gandhi.nagar.colony sirisilla road NIZAMABAD TNG 503111</t>
  </si>
  <si>
    <t>26.5.3.4 Surya.tejas.Nagar ..Surya.tejas.Nagar Palakol PALAKOL ANP 534260</t>
  </si>
  <si>
    <t>10.11 Rasal.Dar.Street ..Rasal.Dar.Street Near Masoom Basha Dargh KURNOOL ANP 518001</t>
  </si>
  <si>
    <t>1.149 Kolanka Main.Road East Godavari KAKINADA ANP 533450</t>
  </si>
  <si>
    <t>2.68 Bheemadevara.Pally Dharmaram Karimnagar HYDERABAD TNG 505471</t>
  </si>
  <si>
    <t>SITAVNILAYAM OPP.BALATRIPURADEVI.TEMPLE. TADEPALLE NEAR BEST COLLEGE TADEPALLIGUDEM ANP 534101</t>
  </si>
  <si>
    <t>4.6 renigunta.rodu renigunta.rodu Chittoor TIRUPATHI ANP 517503</t>
  </si>
  <si>
    <t>1.42A  .. Krishna GUDIVADA ANP 521263</t>
  </si>
  <si>
    <t>02.07.s3.120.1..Katikirangadi.Street Tirupati..Near.Balavinayakaswamy.Temple Tirupati..Urban. NEAR BALAVINAYAKASWAMI TEMPLE TIRUPATHI ANP 517501</t>
  </si>
  <si>
    <t>9.418 rajampeta yarraballi opp R T C bus stand CUDDAPAH ANP 516115</t>
  </si>
  <si>
    <t>4.229A Kolimi.Street ..Kolimi.Street Opp Infant Jesus High school CUDDAPAH ANP 516115</t>
  </si>
  <si>
    <t>1.4.249.109.4.4.10.3 Balaji.nagar ..Balaji.nagar Near Hyderabad kakatiya school SURYAPET TNG 508213</t>
  </si>
  <si>
    <t>6-47/1/5 ROAD NO 1 MANASA NAGAR ANJANAPURI COLONY SURYAPET TNG 508213</t>
  </si>
  <si>
    <t>9.101 kakinada.rural jayaprakash.nagar near water tank KAKINADA ANP 533016</t>
  </si>
  <si>
    <t>H.NO.3.57.1 korutla.mandal ..korutla.mandal Karimnagar KARIMNAGAR TNG 505330</t>
  </si>
  <si>
    <t>House.no.77.Singapore.Township Putlampalli ..Putlampalli Near rims hospital CUDDAPAH ANP 516002</t>
  </si>
  <si>
    <t>11-116 CHANDRA NAGAR COLONY CHANDRA NAGAR COLONY  SURYAPET TNG 508204</t>
  </si>
  <si>
    <t>12.108.1 velisala.vari.veedhi ..velisala.vari.veedhi near sivani junior college SURYAPET TNG 508206</t>
  </si>
  <si>
    <t>21-8-4 YARRAPRAGADA VAARI VEEDHI "GADEPALLI, WEST GODAVARI,TANUKU"  BESIDE ANNAPURNAMA SCHOOL TANUKU ANP 534211</t>
  </si>
  <si>
    <t>1.39.2  .. Nalgonda NALGONDA TNG 508253</t>
  </si>
  <si>
    <t>70.19.124.17A Godarigunta B.C.colony Jayaprakas Nagar KAKINADA ANP 533001</t>
  </si>
  <si>
    <t>MN.RD.BIKKAVOLU.MANDALAM.MELLURU.MELLURU  ..  RAMACHANDRAPURAM ANP 533255</t>
  </si>
  <si>
    <t>"11-28,BOMMAKAPALLI,BOMMAKAPALLI,,PEDDA T" HIPPASAMUDRAM  NEAR SACHIVALAYAM CHITTOOR ANP 517391</t>
  </si>
  <si>
    <t>ROOM.NO.211..RAJAHAMSA.GUEST.HOUSE RTC.BUS.STAND.ROAD ANANTAPUR DIWAKAR BUS DEPOT ANAPARTHI ANP 515001</t>
  </si>
  <si>
    <t>42.242.B.Sri.Sai.girls.hostel. RTC.colony..wanaparthy ..RTC.colony..wanaparthy Near old jagruti jr college WANAPARTHY TNG 509103</t>
  </si>
  <si>
    <t>18-66/2C1 HARI PRIYA NAGAR NEAR NEW BUS STAND  TELANGANA MEDAK TNG 502103</t>
  </si>
  <si>
    <t>594 wargal.mandal nemtoor  MEDAK TNG 502334</t>
  </si>
  <si>
    <t>111 Kallur Indiramma.Circle Kurnool KURNOOL ANP 518002</t>
  </si>
  <si>
    <t>11.25.138.KOTHAWDA.MG.M.ROAD.WARANGAL  ..  WARANGAL TNG 506002</t>
  </si>
  <si>
    <t>"87 1085 1 D, Ganesh Nagar Near" Ramchandra mission Kurnool   KURNOOL ANP 518002</t>
  </si>
  <si>
    <t>3.28.. peddapuram.mandalam.. Chinabrahmadevam NEAR RAMALAYAM PATURU PEDDAPURAM ANP 533437</t>
  </si>
  <si>
    <t>"3rdFloor 2,SriSaianandanilayam SER" center Prasadampadu Ser centre   VIJAYAWADA ANP 521108</t>
  </si>
  <si>
    <t>10/280 yeraguntla bypass road Nearby cinehub theater Proddatur   PRODDATUR ANP 516360</t>
  </si>
  <si>
    <t>NO 6 2 2 8 1 BALAJI NAGAR HYDERABAS ROAD JALGAON JALGAON Warangal TNG 506166</t>
  </si>
  <si>
    <t>3-209/XXXXXXXXXXXXXXXXXXXXXXXXXXXXXXXXXXX SCHOOLXXXXXXXXXXXXXXXXXXXXX   NALGONDA TNG 508206</t>
  </si>
  <si>
    <t>"5-28,AXXXXXXXXXXXXXXXXXXXXXXXXXXXXXXXXXXX" KARAKUXXXX   EAST GODAVARI ANP 533006</t>
  </si>
  <si>
    <t>"5-244,XXXXXXXXXX"    KARIMNAGAR TNG 505101</t>
  </si>
  <si>
    <t>3-361-XXXXXXXXXXXXXXXXXXXXXXXXXXXXXXXXX    ANANTAPUR ANP 515001</t>
  </si>
  <si>
    <t>"1-155,XXXXXXXXXXXXXXXXXXXXXXXXXXXXX"    WARANGAL TNG 506349</t>
  </si>
  <si>
    <t>"3-182,XXXXXXXXXXXXXXXXXXXXXXXXXXXXXXX" PEDDAVXXXXXXXXXXXXXXX   SURYAPET TNG 508204</t>
  </si>
  <si>
    <t>1.133.X NarasaXXXXX Mallipudi.vari.Meraka lakshmaneswaram BHIMAVARAM ANP 534275</t>
  </si>
  <si>
    <t>H NO 4XXXXXX GAJULAXXXXXXXXXXXXXXXXXXXXXXX  NR GOVT AREA HOSPITAL Khammam TNG 507101</t>
  </si>
  <si>
    <t>KAKANIXXXXXXXXXXX KAKANIXXXXXXXXXXX ..KAKANI.VARI.PALEM Guntur NARASAPURAM ANP 522614</t>
  </si>
  <si>
    <t>"1-133,KATTAKINDA PALLI,KATTAKINDA PALLI," ...  KATTAKINDA PALLI ANAPARTHI ANP 515002</t>
  </si>
  <si>
    <t>"00,MUTHULURUPADU,BHUMAYAPALLE,MUTHULURUPADU"  CUDDAPAH - CUDDAPAH ANP 516203</t>
  </si>
  <si>
    <t>"1-14," "RAMASAMUDRAM,"   CUDDAPAH ANP 516107</t>
  </si>
  <si>
    <t>1-76 unguturu mandalam ramalayam street pedda vellamilli TADEPALLIGUDEM ANP 534411</t>
  </si>
  <si>
    <t>HNO 7-278 KC CAMP CHINTHAGATTU   Warangal TNG 506001</t>
  </si>
  <si>
    <t>"13/16-1 SHIVA REDDY,STREET,KASAPURAM ROAD," "GUNTAKAL,ANANTAPUR"   ANANTAPUR ANP 515801</t>
  </si>
  <si>
    <t>"H NO,10-43 THIMMAPUR KOTHUR,MANDAL,.," THIMMAPUR   KALWAKURTHY TNG 509325</t>
  </si>
  <si>
    <t>"NALLAM RESIDENCY, FLAT NO T2" "NEELAPAN CENTER, CINEMA RAOD" "NEAR SAI BABA TEMPLE, KAKINADA" NEELAPAN CENTER KAKINADA ANP 533001</t>
  </si>
  <si>
    <t>"2-10-957,JYOTHINAGAR,KARIMNAGAR," BESIDE MORE SUPER MARKET LANE   ADILABAD TNG 505001</t>
  </si>
  <si>
    <t>"10-23/2 S C COLONY NEAR,HIGH,SCHOOL,KALWAKOLE"    MAHABUBNAGAR TNG 509102</t>
  </si>
  <si>
    <t>HNO 7-32/1 CHAITANYA NAGAR MIRYALA GUDA NALGONDA NEAR ADITYA SCHOOL SURYAPET TNG 508207</t>
  </si>
  <si>
    <t>"2-10-288 TO 291/C/101,GMR," "BRINDAVAN APARTMENT,WADDEPALLE  RURAL"   WARANGAL TNG 506370</t>
  </si>
  <si>
    <t>"3/127-1 MUDIREDDIPALLE,.,.,."    CUDDAPAH ANP 516173</t>
  </si>
  <si>
    <t>12A-19 "HARIJANA BASTI M,M PURAM,VILLAGE,PULLA," West Godavari West Godavari WGD ANP 534401</t>
  </si>
  <si>
    <t>"306,3rd floor,KALLAM APARTMENTS" "NRT ROAD,NRT ROAD" NALLAPADU NALLAPADU RAILWAY STATION ROAD GUNTUR ANP 522005</t>
  </si>
  <si>
    <t>House Number 2-105/69/21 Thirumala Nadha Swamy Colony near by government hospital Ghanpur (Station) WARANGAL WARANGAL TNG 506143</t>
  </si>
  <si>
    <t>MGNREGS SURYATHANDA ENENKOOR  KHAMMAM ENENKOOR  KHAMMAM KHAMMAM TNG 507168</t>
  </si>
  <si>
    <t>DEVI SRI TRAVELS PASARLAPUDI ESSAR PETROL BUNK ESSAR PETROL BUNK AMALAPURAM ANP 533247</t>
  </si>
  <si>
    <t>SCCL CIVIL DEPT. 5 INCLINE AREA RUDRAMPUR 5 INCLINE AREA RUDRAMPUR KHAMMAM TNG 507119</t>
  </si>
  <si>
    <t>LAKSHMI DRY FRUITS 3-69B PASUMARRU CHILAKALURIPET GUNTUR CHILAKALURIPET GUNTUR GUNTUR ANP 522616</t>
  </si>
  <si>
    <t>VIGNESHWARA CONSTRUCTIONS "KHATA NO 364/438, PLOT NO 1547, SAILONG, GHASIURA, Kendujhar" "KHATA NO 364/438, PLOT NO 1547, SAILONG, GHASIPURA, Kendujhar" "KHATA NO 364/438, PLOT NO 1547, SAILONG, GHASIPURA, Kendujhar" KEONJHAR ORA 758015</t>
  </si>
  <si>
    <t>Vibhu media "105-b, usha enclave" B-bloCk B-bloCk HYDERABAD TNG 500073</t>
  </si>
  <si>
    <t>ELECTRONIC I B ROAD KORATLA KORATLA KORATLA KORATLA KARIMNAGAR TNG 505326</t>
  </si>
  <si>
    <t>VIJAYA ENGINEERING COLLEGE THANIKELLA AMMAPALAM WYRA ROAD AMMAPALAM WYRA ROAD KHAMMAM TNG 507001</t>
  </si>
  <si>
    <t>WEDDING DECORATIONS KALWAKURTHI BUS STAND ROAD KALWAKURTHI KALWAKURTHI KALWAKURTHI KALWAKURTHI WANAPARTHY TNG 509324</t>
  </si>
  <si>
    <t>SRS BUSINESS SOLUTIONS INDIA PVT LTD "Plot 55, sathsurya complex 2nd floor," "Kavurihills watertank, madhapur" "Kavurihills watertank, madhapur" HYDERABAD TNG 500045</t>
  </si>
  <si>
    <t>Sri sai venkatrama constructions 7-28 Saipuram colony road Saipuram colony road VIJAYAWADA ANP 521225</t>
  </si>
  <si>
    <t>POOJITHA AGRO INDUSTRY VANASTALIPURAM HYDERABAD HYDERABAD HYDERABAD TNG 500070</t>
  </si>
  <si>
    <t>VANI VIDYANIKETAN HIGH SCHOOL "SRR THOTA , KAREAMABAD WARANGAL" "SRR THOTA, KAREAMABAD, WARANGAL" "SRR THOTA, KAREAMABAD, WARANGAL" WARANGAL TNG 506002</t>
  </si>
  <si>
    <t>D vijay kumar Current office line Burmpet Burmpet GUNTUR ANP 522601</t>
  </si>
  <si>
    <t>VET MEDICALS VET MEDICALS PW MARKET MG ROAD PW MARKET MG ROAD VIZIANAGARAM ANP 535002</t>
  </si>
  <si>
    <t>RMSI PRIVATE LIMITED Near in orbit mall Madhapur Madhapur HYDERABAD TNG 500081</t>
  </si>
  <si>
    <t>SEED ORGANISER GADWAL JOGULAMBA GADWAL JOGULAMBA GADWAL ATMAKUR TNG 509132</t>
  </si>
  <si>
    <t>SRI VIJAYA LAKSHMI VEGTABLE NURSURY MANSANPALLY X ROAD MAHESWARAM MAHESWARAM WANAPARTHY TNG 509325</t>
  </si>
  <si>
    <t>PANCHAYAT RAJ AND RURAL DEVELOPMENT RAJIV BHAVAN AVAPADU AVAPADU AVAPADU AVAPADU TADEPALLIGUDEM ANP 534112</t>
  </si>
  <si>
    <t>CURATIO HEALTHCARE PVT ltd Kachiguda Chappal bazar Chappal bazar HYDERABAD TNG 500027</t>
  </si>
  <si>
    <t>CHANDRASHEKHARA VEDA PATHASHALA Q41 SRI CHENDRA SHEKHARA VEDA PATHASHALA IN SIDE COTTON  RAJ industries IN SIDE COTTON  RAJ industries MAHBOOBNAGAR TNG 509001</t>
  </si>
  <si>
    <t>Self "Jammikunta Road, Huzurabad 505468"   Karimnagar TNG 505001</t>
  </si>
  <si>
    <t>TELANGANA STATE BAR COUNCIL 19-145/1 GP ROAD GP ROAD WANAPARTHY TNG 509324</t>
  </si>
  <si>
    <t>Vasundhara Youth clUb road Venkat raju nagar Venkat raju nagar BHIMAVARAM ANP 534204</t>
  </si>
  <si>
    <t>MGNREGS 2-35/22 SIKINDRAPUR  JAKRANPALLY SIKINDRAPUR  JAKRANPALLY NIZAMABAD TNG 503175</t>
  </si>
  <si>
    <t>BAJAJ FINSERVE KUC X ROAD NAIMNAGAR HANAMKONDA NAIMNAGAR HANAMKONDA WARANGAL TNG 506001</t>
  </si>
  <si>
    <t>DAHUA TECHNOLOGY INDIA 9TH FLOOR TOWER A DLF CYBER GREENS  PHASE III DLF CYBER GREENS  PHASE III GURGAON HAR 122002</t>
  </si>
  <si>
    <t>PANCHAYATRAJ DEPARTMENT 35 ERLAMPALLI VILLAGE IRALA MANDAL CHITTOOR DISTRICT IRALA MANDAL CHITTOOR DISTRICT CHITTOOR ANP 517130</t>
  </si>
  <si>
    <t>MOTHERSONSUMI INFOTECH DESIGNS "4-204, simhadri nagar, valskapakala, kakinada" "4-204, simhadri nagar, valskapakala, kakinada" "4-204, simhadri nagar, valskapakala, kakinada" KAKINADA ANP 533004</t>
  </si>
  <si>
    <t>HDFC BANK LIMITED GROUND FLOOR GANDURI BUILDING  14TH LINE GANDURI BUILDING  14TH LINE GUNTUR ANP 522002</t>
  </si>
  <si>
    <t>CAPGEMINI TECHNOLOGY SERVICES INDIA LTD MC 453 PV COLONY MALLARAM NEAR SINGARENI HIGH SCHOOL MALLARAM NEAR SINGARENI HIGH SCHOOL KHAMMAM TNG 507125</t>
  </si>
  <si>
    <t>JNTUK COLLEGE OF ENGINEERING IIT OPPOSITE KAKINADA TO PITHAPURAM ROAD OPPOSITE KAKINADA TO PITHAPURAM ROAD KAKINADA ANP 533003</t>
  </si>
  <si>
    <t>SURVEY SETTLEMENTS AND LAND RECORDS CHINAKAPAVARAM GRAMASACHIVALAYAM CHINAKAPAVARAM MAIN ROAD CHINAKAPAVARAM MAIN ROAD BHIMAVARAM ANP 534235</t>
  </si>
  <si>
    <t>ACCENTURE SOLUTIONS PRIVATE LIMITED MEENAKSHI TECHMOVA C8CQHVF  FINANCIAL DISTRICT NANAKRAMGUDA C8CQHVF  FINANCIAL DISTRICT NANAKRAMGUDA HYDERABAD TNG 500032</t>
  </si>
  <si>
    <t>VARSITY EDUCATION MANAGEMENT PVT LTD 40 1 1 5 1  SFD PLAZA NARA CHANDRABABU NAIDU COLONY  BESIDE BA NARA CHANDRABABU NAIDU COLONY  BESIDE BA VIJAYAWADA ANP 520010</t>
  </si>
  <si>
    <t>NEON SCIENTIFICS AND SURGICALS 16 88 NETHAJI ROAD NETHAJI ROAD KHAMMAM TNG 507303</t>
  </si>
  <si>
    <t>MOHAMMAD INDUSTRIES BLOCK NUMBER 1  NH 9 ROAD NARKETPALLY VILLAGE  MANDAL NALGONDA DIS NARKETPALLY VILLAGE  MANDAL NALGONDA DIS NALGONDA TNG 508254</t>
  </si>
  <si>
    <t>AMAZON DEVELOPMENT CENTRE PVT LTD SY NO 107 P KOKAPET VILLAGE GANDIPET MANDAL GANDIPET MANDAL HYDERABAD TNG 500075</t>
  </si>
  <si>
    <t>RELIANCE JIOMART TADEPALLIGUDEM CWC WAREHOUSE NALLAJARLA ROAD NALLAJARLA ROAD TADEPALLIGUDEM ANP 534101</t>
  </si>
  <si>
    <t>ACCENTURE SOLUTIONS PRIVATE LIMITED 3 17A 14 2  SITARAM NAGAR  GUDARIGUNTA EAST GODAVARI  ANDHRA PRADESH EAST GODAVARI  ANDHRA PRADESH KAKINADA ANP 533003</t>
  </si>
  <si>
    <t>TECH MAHINDRA LIMITED DEPARTMENT OF ANIMAL HUSBANDRY  3RD FLOOR NTR ADMINISTRTIVEBLOCK VIJAYAWADA FLOOR NTR ADMINISTRTIVEBLOCK VIJAYAWADA VIJAYAWADA ANP 520001</t>
  </si>
  <si>
    <t>DEPARTMENT OF POST CHENDHURTHI CHENDHURTHI CHENDHURTHI KAKINADA ANP 533449</t>
  </si>
  <si>
    <t>SCCL 1 100146 A 1 AMMA GARDENS AMMA GARDENS ADILABAD TNG 504209</t>
  </si>
  <si>
    <t>SBI LIFE INSURANCE CO LTD ANANTAPUR ANATAPUR MANDAL ANATAPUR MANDAL ANANTAPUR ANP 515721</t>
  </si>
  <si>
    <t>PANCHAYTH RAJ MALLAREDDYPALLY 2 160 MALLAREDDYPALLY 2 160 MALLAREDDYPALLY WARANGAL TNG 506006</t>
  </si>
  <si>
    <t>TEA KAHANI TEA KAHANI VARNI CHOWRASTA OPP SBI BANK VARNI CHOWRASTA OPP SBI BANK NIZAMABAD TNG 503001</t>
  </si>
  <si>
    <t>ITC LIMITED SARAPAKA BHADRACHALAM BHADRACHALAM KHAMMAM TNG 507128</t>
  </si>
  <si>
    <t>LAKSHMI.STONE.DEPOT KODELU NEAR.RACHA.BANDA. NEAR.RACHA.BANDA. ELURU ANP 534004</t>
  </si>
  <si>
    <t>TATA.CONSULTANCY.SERVICES.LIMITED 1.4.10 DURGA.PRASAD.VARI.STREET..NAZAR.PET DURGA.PRASAD.VARI.STREET..NAZAR.PET VIJAYAWADA ANP 522201</t>
  </si>
  <si>
    <t>OEC INDIA SERVICES PRIVATE LIMITED "CHENNAI ONE IT PARK,MODULE 7,3RD FLOOR," PHASE 2 PALLAVARAM PHASE 2 PALLAVARAM CHENNAI TMN 600097</t>
  </si>
  <si>
    <t>SAPTHAVARNAM.PRINT.N.ADS OPP..GOVT.DEGREE.COLLEGE NEAR.RAJESH.THEATRE. NEAR.RAJESH.THEATRE. PEDDAPALLI TNG 505209</t>
  </si>
  <si>
    <t>TECH.MAHINDRA.BUSINESS.SERVICES.LIMITED Ohiri.towers. Sebastian.road Sebastian.road HYDERABAD TNG 500003</t>
  </si>
  <si>
    <t>GLENMARK SRILALSHMI VENKATESHWADR 24-28 GROUND FL NEAR VIJAY BANK ROAD CHILAKALURIPET NEAR VIJAY BANK ROAD CHILAKALURIPET GUNTUR ANP 522616</t>
  </si>
  <si>
    <t>COGNIZANT.TECHNOLOGY.AND.SOLUTIONS PLOT.NO.129 APHB.COLONY. APHB.COLONY. HYDERABAD TNG 500019</t>
  </si>
  <si>
    <t>PITTI LAMINATIONS LTD Survey No-53 Macharam Village Macharam Village MAHABUBNAGAR TNG 509202</t>
  </si>
  <si>
    <t>GEMINI.JANAPATI ROOM.NO.196 VIVEKANANDA.CLOTH.MARKET..KORRPADU.RIAD VIVEKANANDA.CLOTH.MARKET..KORRPADU.RIAD PRODDATUR ANP 516360</t>
  </si>
  <si>
    <t>SAMSUNG INDIA ELECTRONICS PRIVATE LIMITE SAMSUNG PALAZA AND RR VIJAY LAXMI "ELECTRONICS,ARUNDAPET,NARSARAOPET" "ELECTRONICS,ARUNDAPET,NARSARAOPET" GUNTUR ANP 522601</t>
  </si>
  <si>
    <t>ICICI PRUDENTIAL LIFE INSURANCE CO LTD ICICI PRULIFE TOWERS 1089 APPASAHEB MARATHE MARG PRABHADEVI MUMBAI MARATHE MARG PRABHADEVI MUMBAI MUMBAI MAH 400025</t>
  </si>
  <si>
    <t>ANDHRA.PRADESH.STATE.URDU.ACADEMY FLOT.NO.1.2.MALAVIKAS.VILLA..OLD.MIG HOUSING.BOARD.COLONY..VIJAYAWADA. HOUSING.BOARD.COLONY..VIJAYAWADA. VIJAYAWADA ANP 520012</t>
  </si>
  <si>
    <t>REVENUE.SECTOR Old.municipal.office Station.road.Khammam. Station.road.Khammam. KHAMMAM TNG 507001</t>
  </si>
  <si>
    <t>Suryalatha.spinning.mills.ltd.urkonda Suryalatha.spinning.mills.ltd.urkonda Room.nomber.N.29 Room.nomber.N.29 WANAPARTHY TNG 509320</t>
  </si>
  <si>
    <t>GEBBS.HEALTHCARE.SOLUTIONS.PVT.LTD Thane...Belapur.Rd Raheja.Mindspace..Airoli.East.Thane...Be Raheja.Mindspace..Airoli.East.Thane...Be MUMBAI MAH 400708</t>
  </si>
  <si>
    <t>SHREE.NARASIMH.SVAAAMI.CEMENT.WORKS SIRICILLA.ROAD. GANDHI.NAGAR.COLONY..BESIDE.PASHA.HOTEL. GANDHI.NAGAR.COLONY..BESIDE.PASHA.HOTEL. NIZAMABAD TNG 503111</t>
  </si>
  <si>
    <t>MOBILECOMM.TECHNOLOGIES.INDIA.PVT.LTD 25.1.17 OPP.ASNM.DEGREE.COLLEGE.MAIN.GATE. OPP.ASNM.DEGREE.COLLEGE.MAIN.GATE. PALAKOL ANP 534260</t>
  </si>
  <si>
    <t>NS.TECHNOSOFT 3RD.FLOOR.VIPRAS.ELITE.PATRIKA.NAGAR. HITECH.CITY.. HITECH.CITY.. HYDERABAD TNG 500072</t>
  </si>
  <si>
    <t>SATYA.PRASANNA.KIRANA.STORE KRISHNA.LAYAM.VEEDI KOLANKA. KOLANKA. KAKINADA ANP 533450</t>
  </si>
  <si>
    <t>NXT.GEN.COMPUTER.SOLUTIONS SHOP.NO.41 NEW.AENNAPURNA.COMPLEX.PARKING.PLACE. NEW.AENNAPURNA.COMPLEX.PARKING.PLACE. ADILABAD TNG 505001</t>
  </si>
  <si>
    <t>INFOTEL.INDIA PARAMAHAMSA YOGANANDA.ROAD. YOGANANDA.ROAD. BANGALORE KAR 560071</t>
  </si>
  <si>
    <t>APSRTC MANGALAM.DEPOT MANGALAM. MANGALAM. TIRUPATHI ANP 517507</t>
  </si>
  <si>
    <t>ANNAPURNA.COMUNICATIONS 1.42A.KORNIPADU KORNIPADU.. KORNIPADU.. GUDIVADA ANP 521263</t>
  </si>
  <si>
    <t>S.V.WORKERS BESTS.STREET TIRUPATI. TIRUPATI. TIRUPATHI ANP 517501</t>
  </si>
  <si>
    <t>WATER.RESOURCES.DEPARTMENT NEAR.KOTI.REDDY.CIRCLE OPP.TRAFFIC.POLICE.STATION. OPP.TRAFFIC.POLICE.STATION. CUDDAPAH ANP 516115</t>
  </si>
  <si>
    <t>SCON.DESIGN.INDIA.PVT.LTD 1ST.FLOOR..VINOD.REDDY.COMPLEX. WHITEFIELD.MAIN.ROAD.. WHITEFIELD.MAIN.ROAD.. BANGALORE KAR 560035</t>
  </si>
  <si>
    <t>CHOICE.EQUITY.BROKING.PVT.LTD 1.8.43.1.A3.7 Srinivas.colony.Road.no.6. Srinivas.colony.Road.no.6. SURYAPET TNG 508213</t>
  </si>
  <si>
    <t>OPTUM GLOBAL SOLUTIONS INDIA PRIVATE LIM BUILDING NO 14 MINDSPACE RIADURG HYDERABAD TELANGANA HYDERABAD TELANGANA HYDERABAD TNG 500081</t>
  </si>
  <si>
    <t>SRI.VENTAKTESWARA.TOURS.AND.TRAVELS 9.101..JAYAPRAKASH.NAGAR NEAR.BODDU.CHERUWU.WATER.TANK..TURANGI.K NEAR.BODDU.CHERUWU.WATER.TANK..TURANGI.K KAKINADA ANP 533016</t>
  </si>
  <si>
    <t>SAISITICABLE.NETWORK Yousufnagar.Mudhiraj.sanga bhavanam...yousufnagar. bhavanam...yousufnagar. KARIMNAGAR TNG 505330</t>
  </si>
  <si>
    <t>RIMS 1.210 Siddalapuram.road. Siddalapuram.road. ANANTAPUR ANP 515701</t>
  </si>
  <si>
    <t>NEELIMA TAILOR "HNO 11-116 , CHANDRA NAGAR COLONY" RAGHUNADHAPALEM RAGHUNADHAPALEM SURYAPET TNG 508204</t>
  </si>
  <si>
    <t>DESIGNANDBUILD 12.108.1.velishala.vari.veedi. kodad.m..kodad. kodad.m..kodad. SURYAPET TNG 508206</t>
  </si>
  <si>
    <t>DEPARTMENT OF POSTS "VENKATARYAPURAM, TANUKU" WEST GODAVARI WEST GODAVARI TANUKU ANP 534211</t>
  </si>
  <si>
    <t>AVN.INST.OF.ENGG.AND.TECH 1.57.2 V.MAHAMMADABAD..M.NARAYANPUR. V.MAHAMMADABAD..M.NARAYANPUR. NALGONDA TNG 508253</t>
  </si>
  <si>
    <t>STAR.LIFE.GYM 9.111 Ramanayyapeta. Ramanayyapeta. KAKINADA ANP 533005</t>
  </si>
  <si>
    <t>CAPGEMINI.TECHNOLOGY.SERVICES.INDIA.LTD Banglore. Capgemini.epip.phase.2. Capgemini.epip.phase.2. BANGALORE KAR 560066</t>
  </si>
  <si>
    <t>ICICI BANK LIMITED "7-419/1 NGO COLONY," NEAR NALLA RATHIMEDDE KADAPA NEAR NALLA RATHIMEDDE KADAPA CUDDAPAH ANP 516002</t>
  </si>
  <si>
    <t>RAJAHAMSA.BUILDERS RAJAHAMSA.DELUX.APARTMENTS. RTC.BUS.STAND.ROAD.ANANTAPUR RTC.BUS.STAND.ROAD.ANANTAPUR ANAPARTHI ANP 515001</t>
  </si>
  <si>
    <t>SRI.SAI.GIRLS.HOSTEL 42.242.B.Sri.Sai.girls.hostel. RTC.colony..wanaparthy. RTC.colony..wanaparthy. WANAPARTHY TNG 509103</t>
  </si>
  <si>
    <t>VIGHNESHWARA TRADERS VIGHNESHWARA TRADERS MR. MADURI AMARENDER VILLAGE CHINNAKODUR MEDAK AMARENDER VILLAGE CHINNAKODUR MEDAK MEDAK TNG 502276</t>
  </si>
  <si>
    <t>LIFE.SLIMMING.AND.COSMETIC.PVT.LTD Hitech.City Hitechcity. Hitechcity. HYDERABAD TNG 500081</t>
  </si>
  <si>
    <t>SRI.VENKATESHWARA.TRADERS 51.15A.26 Plot.no.7.baba.brundavan.nagar.Sbi.colon Plot.no.7.baba.brundavan.nagar.Sbi.colon KURNOOL ANP 518003</t>
  </si>
  <si>
    <t>Kalanjali.Gifts.novelties Kalanjali.Gifts.novelties. 3.3.55.tailor.street.Hanamkonda..Opposit 3.3.55.tailor.street.Hanamkonda..Opposit WARANGAL TNG 506001</t>
  </si>
  <si>
    <t>"MANYATA TECH PARK BLOCK D4,CYPRUS ," "NAGAVARA , BENGALURU"   BANGALORE KAR 560045</t>
  </si>
  <si>
    <t>KBK.BIOTECH.PVT.LTD CHINNABRAHMADEVAM. PEDDAPURAM.MANDAL.KAKINADA.DISTRICT. PEDDAPURAM.MANDAL.KAKINADA.DISTRICT. PEDDAPURAM ANP 533437</t>
  </si>
  <si>
    <t>Prime hill crest 3rd floor Beside DGP office   GUNTUR ANP 522302</t>
  </si>
  <si>
    <t>10 280 YERAGUNTLA BYPASS ROAD NEAR CINEHUB THEATER PRODDATUR   PRODDATUR ANP 516360</t>
  </si>
  <si>
    <t>MAHINDRA AND MAHINDRA FIN SERVICES LTD 2 7 136 1ST FLOOR SRI RAJA RAJESHWAR COM JANGAON BUS STAND ROAD JANGAON BUS STAND ROAD Warangal TNG 506166</t>
  </si>
  <si>
    <t>Owner XXXXXXXXXXXXX 3-182 XXXXXXXXXXXXXXX MATTAMPALLY mandalam MATTAMPALLY mandalam SURYAPET TNG 508204</t>
  </si>
  <si>
    <t>LUMINOXXXXXXXXXXXXXXXXXXXXXXXXXXXXX MALLIPXXXXXXXXXX Lakshmaneswaram. Lakshmaneswaram. BHIMAVARAM ANP 534275</t>
  </si>
  <si>
    <t>RISNIGXXXXXXXXXX M G ROXXXXXXXXXXXXX   Khammam TNG 507101</t>
  </si>
  <si>
    <t>SQUAREXXXXXXXXXXXXXXXXXX 4TH.FLXXXXXXXXXXX WHITE.HOUSE.BUILDING. WHITE.HOUSE.BUILDING. HYDERABAD TNG 500016</t>
  </si>
  <si>
    <t>TATA CONSULTANCY SERVICES LIMITED "MAAN,SAHAYADRI PARK,PLOT NO.2 AND 3,PH-3" "RAJIV GANDHI INFOTECH PARK,HINJEWDI,PUNE" "RAJIV GANDHI INFOTECH PARK,HINJEWDI,PUNE" PUNE MAH 411057</t>
  </si>
  <si>
    <t>ADECCO INDIA PRIVATE LIMITED AMOGH PLAZA 6-3-186/5/A RAJ BHAVAN ROAD KAKATIYA HOTEL BEGUMPET HYDERABAD ROAD KAKATIYA HOTEL BEGUMPET HYDERABAD Hyderabad TNG 500016</t>
  </si>
  <si>
    <t>STANDARD and POORS SOUTH ASIA SERVICES "Building no 5, divyasree Orion, raidurg," "Hyderabad, Telangana 500008" "Hyderabad, Telangana 500008" HYDERABAD TNG 500008</t>
  </si>
  <si>
    <t>AMITY UNIVERSITY NOIDA SECTOR-125 SECTOR-125 NOIDA UTP 201301</t>
  </si>
  <si>
    <t>GOVT OF TELANGANA KAKATHIYA LONGWALL PROJECT BASUVAPUR WARANGAL BASUVAPUR WARANGAL Warangal TNG 506368</t>
  </si>
  <si>
    <t>HCL TECHNOLOGIES LTD HCL TECHN Nil Nil Nil GUNTAKAL ANP 515801</t>
  </si>
  <si>
    <t>Hyd Hyd hyd hyd KALWAKURTHY TNG 509325</t>
  </si>
  <si>
    <t>AXIS BANK LIMITED MARK HARITAGE MAIN ROAD YANAM YANAM KAKINADA ANP 533464</t>
  </si>
  <si>
    <t>CGI INFORMATION SYSTEMS AND KARIMNAGAR KARIMNAGAR KARIMNAGAR KARIMNAGAR TNG 505002</t>
  </si>
  <si>
    <t>Not Applicable 15-115/1/A housing board colony nagarkurnool nagarkurnool MAHABUBNAGAR TNG 509209</t>
  </si>
  <si>
    <t>MCS SOLUTIONS PRIVATE LIMITED DEV X 4TH FLOOR B WING PURVA SUMMIT WHITEFIELD ROAD WHITEFIELD ROAD HYDERABAD TNG 500081</t>
  </si>
  <si>
    <t>Not Applicable 2-10-288 to 291/c/101 Gmr brindavan apartment Gmr brindavan apartment WARANGAL TNG 506370</t>
  </si>
  <si>
    <t>INFOSYS TECHNOLOGIES "3/127,mudireddy palli,cuddapah,Andhra Pradesh ,516173" "3/127,mudireddy palli, cuddapah,Andhra Pradesh" "3/127,mudireddy palli, cuddapah,Andhra Pradesh" PRODDATUR ANP 516173</t>
  </si>
  <si>
    <t>ELECTRONIC CITY PHASE 1 NO 44 INFOSYS AVENUE HOSUR RD Bangalore Bangalore BNG KAR 560100</t>
  </si>
  <si>
    <t>"7/1,Arundalpet,Gunt" ur   GUNTUR ANP 522601</t>
  </si>
  <si>
    <t>OVATION SERVICES PRIVATE LIMITED 8 2 624 1 3RD FLOOR H1 POINT BUILDNG ROAD NO 10 BANJARAHILLS BUILDNG ROAD NO 10 BANJARAHILLS HYDERABAD ANP 500034</t>
  </si>
  <si>
    <t>RAMACHANDRAPURAM</t>
  </si>
  <si>
    <t>GUNTAKAL</t>
  </si>
  <si>
    <t>ICICI Bank Coral American Express Credit Card</t>
  </si>
  <si>
    <t>ICICI Bank Instant  Platinum Chip Credit Card</t>
  </si>
  <si>
    <t>4TH JULY</t>
  </si>
  <si>
    <t>0000000020527103</t>
  </si>
  <si>
    <t>0000000020532557</t>
  </si>
  <si>
    <t>0000000020532778</t>
  </si>
  <si>
    <t>0000000020533786</t>
  </si>
  <si>
    <t>0000000020533930</t>
  </si>
  <si>
    <t>0000000020830039</t>
  </si>
  <si>
    <t>0000000020892701</t>
  </si>
  <si>
    <t>0000000020974730</t>
  </si>
  <si>
    <t>0000000021001528</t>
  </si>
  <si>
    <t>0000000021105297</t>
  </si>
  <si>
    <t>0000000021181283</t>
  </si>
  <si>
    <t>0000000021379479</t>
  </si>
  <si>
    <t>0000000021380313</t>
  </si>
  <si>
    <t>0000000021425742</t>
  </si>
  <si>
    <t>0000000021468580</t>
  </si>
  <si>
    <t>0000000021493691</t>
  </si>
  <si>
    <t>0000000021719524</t>
  </si>
  <si>
    <t>0000000021729721</t>
  </si>
  <si>
    <t>0000000021833080</t>
  </si>
  <si>
    <t>0000000022186353</t>
  </si>
  <si>
    <t>0000000022295175</t>
  </si>
  <si>
    <t>0000000022399964</t>
  </si>
  <si>
    <t>0000000022699405</t>
  </si>
  <si>
    <t>0000000022718840</t>
  </si>
  <si>
    <t>0000000022827140</t>
  </si>
  <si>
    <t>0000000023578471</t>
  </si>
  <si>
    <t>0000000023693706</t>
  </si>
  <si>
    <t>0000000023742401</t>
  </si>
  <si>
    <t>0000000023866283</t>
  </si>
  <si>
    <t>0000000024102929</t>
  </si>
  <si>
    <t>0000000024153437</t>
  </si>
  <si>
    <t>0000000024170167</t>
  </si>
  <si>
    <t>0000000024239289</t>
  </si>
  <si>
    <t>0000000024315953</t>
  </si>
  <si>
    <t>0000000024405778</t>
  </si>
  <si>
    <t>0000000024501250</t>
  </si>
  <si>
    <t>0000000024549139</t>
  </si>
  <si>
    <t>0000000024672298</t>
  </si>
  <si>
    <t>0000000024680243</t>
  </si>
  <si>
    <t>0000000024745756</t>
  </si>
  <si>
    <t>0000000024895029</t>
  </si>
  <si>
    <t>0000000024984935</t>
  </si>
  <si>
    <t>0000000024991842</t>
  </si>
  <si>
    <t>0000000025062575</t>
  </si>
  <si>
    <t>0000000025081856</t>
  </si>
  <si>
    <t>0000000025168657</t>
  </si>
  <si>
    <t>0000000025389369</t>
  </si>
  <si>
    <t>0000000025426424</t>
  </si>
  <si>
    <t>0000000025835990</t>
  </si>
  <si>
    <t>0000000025851687</t>
  </si>
  <si>
    <t>0000000025964315</t>
  </si>
  <si>
    <t>0000000026212358</t>
  </si>
  <si>
    <t>0000000026242113</t>
  </si>
  <si>
    <t>0000000026299303</t>
  </si>
  <si>
    <t>0000000026545160</t>
  </si>
  <si>
    <t>0000000027334944</t>
  </si>
  <si>
    <t>0000000027598596</t>
  </si>
  <si>
    <t>0000000027627965</t>
  </si>
  <si>
    <t>0000000027848963</t>
  </si>
  <si>
    <t>0000000027922555</t>
  </si>
  <si>
    <t>0000000028010386</t>
  </si>
  <si>
    <t>0000000028244181</t>
  </si>
  <si>
    <t>0000000028571103</t>
  </si>
  <si>
    <t>0000000028807066</t>
  </si>
  <si>
    <t>0000000029103929</t>
  </si>
  <si>
    <t>0000000029331433</t>
  </si>
  <si>
    <t>0000000029452216</t>
  </si>
  <si>
    <t>0000000029476098</t>
  </si>
  <si>
    <t>0000000029656619</t>
  </si>
  <si>
    <t>0000000029662083</t>
  </si>
  <si>
    <t>0000000029823010</t>
  </si>
  <si>
    <t>0000000029949084</t>
  </si>
  <si>
    <t>0000000029953085</t>
  </si>
  <si>
    <t>0000000029969989</t>
  </si>
  <si>
    <t>0000000030044317</t>
  </si>
  <si>
    <t>0000000030109795</t>
  </si>
  <si>
    <t>0000000030144475</t>
  </si>
  <si>
    <t>0000000030197484</t>
  </si>
  <si>
    <t>0000000030287946</t>
  </si>
  <si>
    <t>0000000030408956</t>
  </si>
  <si>
    <t>0000000030579638</t>
  </si>
  <si>
    <t>0000000030737579</t>
  </si>
  <si>
    <t>0000000031082001</t>
  </si>
  <si>
    <t>0000000031128175</t>
  </si>
  <si>
    <t>0000000031959074</t>
  </si>
  <si>
    <t>0000000032366005</t>
  </si>
  <si>
    <t>0000000032748751</t>
  </si>
  <si>
    <t>0000000033149266</t>
  </si>
  <si>
    <t>0000000033152443</t>
  </si>
  <si>
    <t>0000000033234845</t>
  </si>
  <si>
    <t>0000000033257952</t>
  </si>
  <si>
    <t>0000000033404644</t>
  </si>
  <si>
    <t>0000000033509609</t>
  </si>
  <si>
    <t>0000000033990119</t>
  </si>
  <si>
    <t>0000000034191413</t>
  </si>
  <si>
    <t>0000000034691476</t>
  </si>
  <si>
    <t>0000000035233493</t>
  </si>
  <si>
    <t>0000000035353123</t>
  </si>
  <si>
    <t>0000000010826905</t>
  </si>
  <si>
    <t>0000000020225976</t>
  </si>
  <si>
    <t>0000000028609726</t>
  </si>
  <si>
    <t>0000000033725684</t>
  </si>
  <si>
    <t>0000000033824016</t>
  </si>
  <si>
    <t>0000000034030597</t>
  </si>
  <si>
    <t>0000000034255315</t>
  </si>
  <si>
    <t>0000000032359265</t>
  </si>
  <si>
    <t>0000000020725576</t>
  </si>
  <si>
    <t>0000000030447975</t>
  </si>
  <si>
    <t>0000000012634733</t>
  </si>
  <si>
    <t>0000000033072995</t>
  </si>
  <si>
    <t>0000000023436154</t>
  </si>
  <si>
    <t>0000000015054823</t>
  </si>
  <si>
    <t>0000000018824264</t>
  </si>
  <si>
    <t>0000000021333373</t>
  </si>
  <si>
    <t>0000000012760911</t>
  </si>
  <si>
    <t>0000000021918110</t>
  </si>
  <si>
    <t>0000000023765236</t>
  </si>
  <si>
    <t>0000000026109070</t>
  </si>
  <si>
    <t>0000000025365062</t>
  </si>
  <si>
    <t>0000000025471140</t>
  </si>
  <si>
    <t>0000000026205669</t>
  </si>
  <si>
    <t>0000000027532784</t>
  </si>
  <si>
    <t>0000000028062707</t>
  </si>
  <si>
    <t>0000000029947503</t>
  </si>
  <si>
    <t>0000000016036870</t>
  </si>
  <si>
    <t>3RD JULY</t>
  </si>
  <si>
    <t>374740292993002</t>
  </si>
  <si>
    <t>374740309080009</t>
  </si>
  <si>
    <t>374740425895009</t>
  </si>
  <si>
    <t>374741123336007</t>
  </si>
  <si>
    <t>4375518265443002</t>
  </si>
  <si>
    <t>4748460106958007</t>
  </si>
  <si>
    <t>4748460154708007</t>
  </si>
  <si>
    <t>4748469283816003</t>
  </si>
  <si>
    <t>4748469344937004</t>
  </si>
  <si>
    <t>4748469346011014</t>
  </si>
  <si>
    <t>4748469385302001</t>
  </si>
  <si>
    <t>4748469402094003</t>
  </si>
  <si>
    <t>4748469423484001</t>
  </si>
  <si>
    <t>4748469431836002</t>
  </si>
  <si>
    <t>4748469432890008</t>
  </si>
  <si>
    <t>4748469456427000</t>
  </si>
  <si>
    <t>4748469490765001</t>
  </si>
  <si>
    <t>4748469500325002</t>
  </si>
  <si>
    <t>4748469515601009</t>
  </si>
  <si>
    <t>4748469561674009</t>
  </si>
  <si>
    <t>4748469570841003</t>
  </si>
  <si>
    <t>4748469590066011</t>
  </si>
  <si>
    <t>4748469784579001</t>
  </si>
  <si>
    <t>4748469802511002</t>
  </si>
  <si>
    <t>4748469811539002</t>
  </si>
  <si>
    <t>4748469825578004</t>
  </si>
  <si>
    <t>5241930443695008</t>
  </si>
  <si>
    <t>5241930487727006</t>
  </si>
  <si>
    <t>5241930492254004</t>
  </si>
  <si>
    <t>5241930525015000</t>
  </si>
  <si>
    <t>5241930535603001</t>
  </si>
  <si>
    <t>5241930635941020</t>
  </si>
  <si>
    <t>5241930683250001</t>
  </si>
  <si>
    <t>5241934239222001</t>
  </si>
  <si>
    <t>Mr METIKALA EPHRAIM</t>
  </si>
  <si>
    <t>Mr SHEGGARI MADHUSUDHAN GOUD</t>
  </si>
  <si>
    <t>MR CHITHALURI RAVINDAR</t>
  </si>
  <si>
    <t>MR TAMATAM REDDY</t>
  </si>
  <si>
    <t>MR YASARENI SURESH SURESH</t>
  </si>
  <si>
    <t>MR POTHULAPADU SUDARSANREDDY</t>
  </si>
  <si>
    <t>MR Kurupudi Venkatesh</t>
  </si>
  <si>
    <t>MR TARIMELA BABU</t>
  </si>
  <si>
    <t>MR GOLLA AVINASH</t>
  </si>
  <si>
    <t>MR KOLKONDI VENKATESH</t>
  </si>
  <si>
    <t>MR SREEVISHNU UPPUNUTHULA</t>
  </si>
  <si>
    <t>MR KOTARI JAYAPRAKASH</t>
  </si>
  <si>
    <t>MR GUGULOTHU NAGESWARARAO</t>
  </si>
  <si>
    <t>MR LEVAKU RAJASEKHAR REDDY</t>
  </si>
  <si>
    <t>MR KOLE RANGA NAYAKULU</t>
  </si>
  <si>
    <t>MS KOTARI NEERAJA VENKATA</t>
  </si>
  <si>
    <t>MR SAKE RADHAKRISHNA</t>
  </si>
  <si>
    <t>MR KONERU MANOJ</t>
  </si>
  <si>
    <t>MS LANKALAPALLI KRISHNA MANI</t>
  </si>
  <si>
    <t>MR MALLEMPALLI NISHANTH</t>
  </si>
  <si>
    <t>MR REMIDALA VEERABABU</t>
  </si>
  <si>
    <t>MR MARTHA NARESH KUMAR</t>
  </si>
  <si>
    <t>MR BODDU MANOHARAM</t>
  </si>
  <si>
    <t>MR Lonare Suresh</t>
  </si>
  <si>
    <t>MR TANUGUNDALA  TANUGUNDALA VENKATAREDDY</t>
  </si>
  <si>
    <t>MR PENCHIKALA ADITHYA</t>
  </si>
  <si>
    <t>MR ALURU</t>
  </si>
  <si>
    <t>MR AMBALA SATEESH</t>
  </si>
  <si>
    <t>MR NAVEEN KUMAR CHILAKALA</t>
  </si>
  <si>
    <t>MR POLI SUDHAKAR</t>
  </si>
  <si>
    <t>MR REDDY LOVA KRISHNA PRASAD</t>
  </si>
  <si>
    <t>MS NANDURI LAKSHMI RADHA</t>
  </si>
  <si>
    <t>MR CHAKALI RAMA MOHAN</t>
  </si>
  <si>
    <t>Mr DONDAPATI MOHAN REDDY</t>
  </si>
  <si>
    <t>9059487788</t>
  </si>
  <si>
    <t>9848564428</t>
  </si>
  <si>
    <t>9908978533</t>
  </si>
  <si>
    <t>9962447361</t>
  </si>
  <si>
    <t>9246978787</t>
  </si>
  <si>
    <t>9703602072</t>
  </si>
  <si>
    <t>9100899629</t>
  </si>
  <si>
    <t>9100793952</t>
  </si>
  <si>
    <t>7799386464</t>
  </si>
  <si>
    <t>9985880062</t>
  </si>
  <si>
    <t>9949248315</t>
  </si>
  <si>
    <t>7981585809</t>
  </si>
  <si>
    <t>9949398318</t>
  </si>
  <si>
    <t>9866101278</t>
  </si>
  <si>
    <t>9490601554</t>
  </si>
  <si>
    <t>9949928372</t>
  </si>
  <si>
    <t>9492594549</t>
  </si>
  <si>
    <t>9000885813</t>
  </si>
  <si>
    <t>9701294155</t>
  </si>
  <si>
    <t>8309783015</t>
  </si>
  <si>
    <t>9059159720</t>
  </si>
  <si>
    <t>9000131558</t>
  </si>
  <si>
    <t>9390996488</t>
  </si>
  <si>
    <t>9010784111</t>
  </si>
  <si>
    <t>7981021864</t>
  </si>
  <si>
    <t>8374399727</t>
  </si>
  <si>
    <t>9505287297</t>
  </si>
  <si>
    <t>7207687611</t>
  </si>
  <si>
    <t>7349668978</t>
  </si>
  <si>
    <t>9866662480</t>
  </si>
  <si>
    <t>8712349857</t>
  </si>
  <si>
    <t>8885920184</t>
  </si>
  <si>
    <t>9642801704</t>
  </si>
  <si>
    <t>9440282581</t>
  </si>
  <si>
    <t>"49/50,A-87F-17E,LAKSHMI FLR,NAGAR,KURNOOL," "KURNOOL,CHRISTIAN ASSEMBELY CHARCH"   KURNOOL ANP 518002</t>
  </si>
  <si>
    <t>"1-1-4,YADAGIRIBAGH,1/4/C,VINAYAKNAGAR," NIZAMABAD   NIZAMABAD TNG 503003</t>
  </si>
  <si>
    <t>YADADRI GREEN LEVELS BUNK ST 2ND RT 5TH HOUSE 13 144 29 PILLAMARRI BS INDIAN PETROL BUNK SURYAPET ANP 508213</t>
  </si>
  <si>
    <t>"26/913-1 NAGENDRA NAGAR,PRODDATUR,.,.,."    CUDDAPAH ANP 516360</t>
  </si>
  <si>
    <t>"3-87,CHINNAKODUR MANDAL,CHERLA ANKIREDDI" "PALLE,"  . MEDAK TNG 502267</t>
  </si>
  <si>
    <t>2 148 PANCHALINGALA  PO  MEAIN ROAD DEVA GONDIPARLA PANCHALINGALAPO GONDIPARLA KURNOOL ANP 518004</t>
  </si>
  <si>
    <t>SARPAVARAM. GOPINATH.COLONY. 5.223.10 OPPOSITE STREET GOPINATH COLONY KAKINADA ANP 533005</t>
  </si>
  <si>
    <t>"H NO,80/11-76-8 ADITHYA NAGAR,NAGAR"    KURNOOL ANP 518002</t>
  </si>
  <si>
    <t>11-101/A AMBADKAR STREET  GUNTUR GUNTUR ANP 522304</t>
  </si>
  <si>
    <t>"1-6-16/1/A," PAULSAGUTTA  BEHIND LIC OFFICE MAHBOOBNAGAR TNG 509001</t>
  </si>
  <si>
    <t>H NO 1 77 ARVAYYAPALLE RAMTHEERTHAM SHANIGARAM  NEAR MAIN ROAD WARANGAL TNG 506349</t>
  </si>
  <si>
    <t>8/351-A GODUGUPETA  KRISHNA MACHILIPATNAM ANP 521001</t>
  </si>
  <si>
    <t>"H NO 5-30/24/1,PSR NAGAR" "NELAKONDAPALLI,KHAMMAM"  NEAR WATER PUMP KHAMMAM TNG 507166</t>
  </si>
  <si>
    <t>1/126 VEDURURU VEDURURU NEAR RAMALAYAM PRODDATUR ANP 516355</t>
  </si>
  <si>
    <t>D NO E 2 LAKEVIEW APARTMENT PRASANTH NAG "MADANAPALLI ,MADANAPALLE ,,ANDHRA"  MAIN ROAD MADANAPALLE ANP 517325</t>
  </si>
  <si>
    <t>8/351-A GODUGU PETA  NEAR SANKAR MATAM MACHILIPATNAM ANP 521001</t>
  </si>
  <si>
    <t>HOUSE NO 17/1075-D-B1 RAJENDRANAGAR GUNTAKAL ANANTAPUR BHASYAM SCHOOL ANDHRA PRADESH GUNTAKAL ANP 515801</t>
  </si>
  <si>
    <t>"1/59-1 MAIN BAZAR,CUDDAPAH,RAILWAY KODUR" ","  NEAR TEMPLE CUDDAPAH ANP 516101</t>
  </si>
  <si>
    <t>3-49 RAZOLE MANDALAM RUDRA VARI MERAKA NEAR VINAYAKA TEMPLE AMALAPURAM ANP 533244</t>
  </si>
  <si>
    <t>3-82 KODAD WATER TANK BAZAR SRI ANJANEYA TEMPLE SURYAPET TNG 508206</t>
  </si>
  <si>
    <t>1-1-36 ASHOK NAGAR BHADRACHALAM ROAD ABOVE UNION BANK  UNION BANK KHAMMAM TNG 507117</t>
  </si>
  <si>
    <t>H NO 1-64 RAYAPARTHY PARKAL RAIPARTHY NEAR GOVT HOSPITAL WARANGAL TNG 506164</t>
  </si>
  <si>
    <t>"5-72,PEDAPETA ELURUPADU KALLA,MANDALAM,," "ELURUPADU,ELURUPADU"  NEAR RCM CHURCH BHIMAVARAM ANP 534236</t>
  </si>
  <si>
    <t>7.236 Rajampet ..Rajampet T R Nagar ADILABAD TNG 504293</t>
  </si>
  <si>
    <t>"BHUPATHI PALLE,BHUPATHIPALLE"    PRAKASAM ANP 523332</t>
  </si>
  <si>
    <t>H NO 2-104/AMALLELA MADUGU KHAMMAM  MALLELA MADUGUBhadradri Kothagudem KAM TNG 507128</t>
  </si>
  <si>
    <t>"C-3 ,MOGALPAHAD,NTPC,RAJIV SWAGRU,RAMAGUNDAM," NEAR IOC PETROLBUNK   KARIMNAGAR TNG 505215</t>
  </si>
  <si>
    <t>HNO 2-182  BIDRAYI BAZAR CHILUKUR MANDALAM NALGONDA NEAR BODRAYI SURYAPET TNG 508206</t>
  </si>
  <si>
    <t>"2-1-82/3 TEKULAPALLI,KHAMMAM,KHAMMAM  UR" BAN  MAIN ROAD KHAMMAM TNG 507002</t>
  </si>
  <si>
    <t>"2/48 R GOLLAPALLI RANGAMPALLE," PULLAMPETA KADAPA DISTRICT YSR KADAPA NEAR RAMALAYAM CUDDAPAH ANP 516107</t>
  </si>
  <si>
    <t>"1-102,CHIVARI PETA KARAPA,MANDALAM,BHAVA" "RAM, Z  BHAVARAM"  NEAR BY RAITHU BAROSA KAKINADA ANP 533462</t>
  </si>
  <si>
    <t>14-221/1 RANGASWAMI BAZAR   VIJAYAWADA ANP 521175</t>
  </si>
  <si>
    <t>"48/3,SUNKULAMMA VEEDI OWK,MANDAL" "UPPALAPADU, UPPALAPADU, KURNOOL" ANDHRAPRADESH NEAR SUNKULAMMA VEEDI OWK NANDYAL ANP 518122</t>
  </si>
  <si>
    <t>"10-104-6/NA JAWAHAR,NAGAR," "COLONY NEAR PUTTURU,HOSPITAL,MARKAPUR"   NANDYAL ANP 523316</t>
  </si>
  <si>
    <t>WHISK SOFTWARE PVT LTD "LEVEL-2,N-HEIGHTS,PLOT NO-38" "SERILINGAMPALLY MANDAL,HITECH CITY ROAD," "SERILINGAMPALLY MANDAL,HITECH CITY ROAD," HYDERABAD TNG 500081</t>
  </si>
  <si>
    <t>MADHU SUDAN GOUD "1-1-4 YADHGIRIBAG ,1/4/C VINAYAKANAGAR" NIZAMABAD NIZAMABAD NIZAMABAD TNG 503003</t>
  </si>
  <si>
    <t>GOVERNMENT OF TELANGANA ZPHS SCHOOL THIMMAPUR JAJIREDUGUDEM M JAJIREDUGUDEM M SURYAPET ANP 508224</t>
  </si>
  <si>
    <t>INFOSYS TECHNOLOGIES INFOSYS 26/1913-1 Nagendra Nagar Nagendra Nagar PRODDATUR ANP 516360</t>
  </si>
  <si>
    <t>KRM ROADS INDIA PRIVATE LIMITE 138 OLD MAHABAIPURAM ROAD SHOLINGANALLUR CHENNAI CHENNAI CHENNAI TMN 600100</t>
  </si>
  <si>
    <t>Sukhi 135 7 maharashtra Maharashtra Maharasthra Maharashtra Maharasthra MUMBAI MAH 400607</t>
  </si>
  <si>
    <t>INDIINDIAN.RAILWAYS KAKINADA.NEW.PORT.RAILWAY.STATION. NEAR.SAMBAMURTY.NAGAR. NEAR.SAMBAMURTY.NAGAR. KAKINADA ANP 533005</t>
  </si>
  <si>
    <t>HCL TECHNOLOGIES LTD HCL TECHN Pheonix infocity pvt ltd Hi Tech City Hi Tech City HYDERABAD TNG 500081</t>
  </si>
  <si>
    <t>QUESS CORP LIMITED 2-1-79 NGR RATHANA ARCRADE MUNISWAMY NAIDU MUNISWAMY NAIDU VIJAYAWADA ANP 522201</t>
  </si>
  <si>
    <t>TSSPDCL OFFICE OF DIVISIONAL ENG TSSPDCL MATTUGUDDA TSSPDCL MATTUGUDDA MAHBOOBNAGAR TNG 509001</t>
  </si>
  <si>
    <t>GOVERNMENT OF TELANGANA TSWRS JR B ETURNAGARAM MANGAPETA MULUGU WARANGAL MANGAPETA MULUGU WARANGAL BHOOPALPALLY TNG 506172</t>
  </si>
  <si>
    <t>ACCENTURE SOLUTIONS PRIVATE LIMITED "1A,1B,TECH PARK,MADHAPUR" TELANGANA TELANGANA HYDERABAD TNG 500001</t>
  </si>
  <si>
    <t>GOVT OF TELANGANAS SECONDARY EDUCATION MPPS RAVI GUDEM NELLAKONDAPALLI KHAMMAM KHAMMAM KHAMMAM TNG 507160</t>
  </si>
  <si>
    <t>CSG SYSTEMS INTERNATIONAL INDIA PRIVATE EMVASSY TECH VILLAGE GROUND FLOOR BLOCK 7B DEVARABISANAHALLI BANGALORE BLOCK 7B DEVARABISANAHALLI BANGALORE BANGALORE KAR 560103</t>
  </si>
  <si>
    <t>GOVERNMENT OF AP "A P T W RESIDENTIAL SCHOOL, BESIDE MLL H" "MLL HOSPITAL, PUNGANUR ROAD, MADANAPALLI" "MLL HOSPITAL, PUNGANUR ROAD, MADANAPALLI" MADANAPALLE ANP 517325</t>
  </si>
  <si>
    <t>INFOSYS LIMITED "POCHARAM VILLAGE,MAIN ROAD" "POCHARAM,SECUNDERABAD,HYDERABAD" "POCHARAM,SECUNDERABAD,HYDERABAD" HYDERABAD TNG 500088</t>
  </si>
  <si>
    <t>GOVERNMENT OF ANDHRA PRADESH "S NO 1125,LINGADAHAL VILLAGE,LINGADAHAL" "VILLAGE SACHIVALAYAM,BOMMANAHAL MANDAL" "VILLAGE SACHIVALAYAM,BOMMANAHAL MANDAL" ANANTAPUR ANP 515871</t>
  </si>
  <si>
    <t>TEKGENCE INC PVT LTD DR NO 40-25-17 MUMMANENI RESIDENCY NETAJ I RD PATAMATALANKA I RD PATAMATALANKA VIJAYAWADA ANP 520010</t>
  </si>
  <si>
    <t>LEGATO HEALTH TECHNOLOGIES LLP "TOWER 1, 9TH FLOOR, GAR CORP-LAXMI" "INFOBOHN SEZ, ORR SERVICE ROAD KOKAPET" "INFOBOHN SEZ, ORR SERVICE ROAD KOKAPET" HYDERABAD TNG 500075</t>
  </si>
  <si>
    <t>TATA CONSULTANCY SERVICES LIMITED 12TH FLOOR COSMOS TOWERS 2 ISB ROAD FINANCIAL DISTRICT GACHIBOWLI NANAKRAMAG FINANCIAL DISTRICT GACHIBOWLI NANAKRAMAG HYDERABAD TNG 500032</t>
  </si>
  <si>
    <t>MANAPPURAM FINANCE LIMITED "1-1-36,MANAUGURU BRANCH 1711,ASHOK NAGAR" "BADRACHALAM RD,KHAMMAM,TELANGANA" "BADRACHALAM RD,KHAMMAM,TELANGANA" KHAMMAM TNG 507117</t>
  </si>
  <si>
    <t>ATYATI TECHNOLOGIES PRIVATE LIMITED D NO 12-140/6/2A A1ST FLOOR HUZURABAD HUZURABAD HYDERABAD TNG 505468</t>
  </si>
  <si>
    <t>BAJAJ FINANCE LIMITED MAVULAMMA TEMPLE   BHIMAVARAM ANP 534201</t>
  </si>
  <si>
    <t>KURNOOL.SEEDS.PRIVATE.LIMITED H.NO.7.236 TARAKA.RAM.NAGAR. TARAKA.RAM.NAGAR. ADILABAD TNG 504293</t>
  </si>
  <si>
    <t>BHADRACHALAM TOWN BHADRADRI KOTHAGUDEM D NO 12-2-116 UDAY BHASKAR ROAD   KAM TNG 507111</t>
  </si>
  <si>
    <t>Vijayabhaskar Gdk Gdk Gdk KARIM NAGAR TNG 505215</t>
  </si>
  <si>
    <t>WIPRO LIMITED ALSO WIPRO TECHNOLOGIES A WIPRO LTD NANAKRAM GUDA GACHIBOWLI GACHIBOWLI HYDERABAD TNG 500032</t>
  </si>
  <si>
    <t>HILABS INDIA PRIVATE LIMITED "990,12TH MAIN 1ST CROSS RD HAL 2ND STAGE" INDRANAGAR INDRANAGAR BANGALORE KAR 560038</t>
  </si>
  <si>
    <t>TRJA CONSTRUCTIONS HNO 2/48 RANGAMPALLI PULLAMPET PULLAMPET CUDDAPAH ANP 516107</t>
  </si>
  <si>
    <t>GOVERNMENT OF ANDHRA PRADESH MPPP SCHOOL CHINTAPALLI PEDAPUDI MANDALAM PEDAPUDI MANDALAM RAJAHMUNDRY ANP 533344</t>
  </si>
  <si>
    <t>LTI MINDTREE "-BUILDING NO. 20, 14TH  15TH FLOOR" PARTLY SEZ DEVELOPER IN SURVEY NO. 83/1 PARTLY SEZ DEVELOPER IN SURVEY NO. 83/1 HYDERABAD TNG 500081</t>
  </si>
  <si>
    <t>QUINNOX CONSULTANCY SERVICES LIMITED "2324,3RD FLOOR,AMR TECH PARK-4,HOSUR" "MAIN ROAD, BANGALORE" "MAIN ROAD, BANGALORE" BANGALORE KAR 560068</t>
  </si>
  <si>
    <t>Tata Consultancy Services Ltd Press club Markapur Markapur NANDYAL ANP 523316</t>
  </si>
  <si>
    <t>MADANAPALLE</t>
  </si>
  <si>
    <t>0000000017449212</t>
  </si>
  <si>
    <t>0000000017764550</t>
  </si>
  <si>
    <t>0000000019256181</t>
  </si>
  <si>
    <t>0000000017965158</t>
  </si>
  <si>
    <t>0000000013782956</t>
  </si>
  <si>
    <t>0000000024734004</t>
  </si>
  <si>
    <t>0000000030299620</t>
  </si>
  <si>
    <t>0000000022719070</t>
  </si>
  <si>
    <t>0000000023759159</t>
  </si>
  <si>
    <t>0000000023774668</t>
  </si>
  <si>
    <t>0000000024177900</t>
  </si>
  <si>
    <t>0000000024350789</t>
  </si>
  <si>
    <t>0000000024560138</t>
  </si>
  <si>
    <t>0000000024681724</t>
  </si>
  <si>
    <t>0000000024694929</t>
  </si>
  <si>
    <t>0000000025030910</t>
  </si>
  <si>
    <t>0000000025532203</t>
  </si>
  <si>
    <t>0000000025656318</t>
  </si>
  <si>
    <t>0000000025917662</t>
  </si>
  <si>
    <t>0000000026682601</t>
  </si>
  <si>
    <t>0000000026822900</t>
  </si>
  <si>
    <t>0000000027239367</t>
  </si>
  <si>
    <t>0000000031499768</t>
  </si>
  <si>
    <t>0000000032051669</t>
  </si>
  <si>
    <t>0000000032275447</t>
  </si>
  <si>
    <t>0000000032754128</t>
  </si>
  <si>
    <t>0000000019592714</t>
  </si>
  <si>
    <t>0000000026421982</t>
  </si>
  <si>
    <t>0000000026928858</t>
  </si>
  <si>
    <t>0000000028267285</t>
  </si>
  <si>
    <t>0000000028675775</t>
  </si>
  <si>
    <t>0000000030240264</t>
  </si>
  <si>
    <t>0000000030713964</t>
  </si>
  <si>
    <t>0000000018191190</t>
  </si>
  <si>
    <t xml:space="preserve">"2/32-B,MUCH MARRI,MUCHHU MARRI"    CUDDAPAH ANP 516444 </t>
  </si>
  <si>
    <t xml:space="preserve">"2-5,GADDAMPALLE,GADDAMPALLE,GADDAMPALLE"    MAHABUB NAGAR TNG 509385 </t>
  </si>
  <si>
    <t>ANNAVARAM</t>
  </si>
  <si>
    <t>Customer house shifted 
Customer calls not responding // Customer Address Live
She will Pay By Tomorrow EOD</t>
  </si>
  <si>
    <t>Visited custmor office addres
Custmor go to field phone respond today evining ptp</t>
  </si>
  <si>
    <t>Visted custmor son adress
Paid  stab sir</t>
  </si>
  <si>
    <t>Customer house address visit customer house door lock neighbours told customer shifted to Hyderabad customer mobile not responding</t>
  </si>
  <si>
    <t>Customer had paid 3000 rupees .not share screenshot. We have seen in his phone .</t>
  </si>
  <si>
    <t>S SEKHAR</t>
  </si>
  <si>
    <t>SIVARAU</t>
  </si>
  <si>
    <t>4035620103751000</t>
  </si>
  <si>
    <t>4035620225392006</t>
  </si>
  <si>
    <t>4035620529693000</t>
  </si>
  <si>
    <t>4035620551135003</t>
  </si>
  <si>
    <t>4035620649886013</t>
  </si>
  <si>
    <t>4035620657479008</t>
  </si>
  <si>
    <t>4035620689363006</t>
  </si>
  <si>
    <t>4035620698476005</t>
  </si>
  <si>
    <t>4035620701148005</t>
  </si>
  <si>
    <t>4035620713355002</t>
  </si>
  <si>
    <t>4035620713822001</t>
  </si>
  <si>
    <t>4035620760808002</t>
  </si>
  <si>
    <t>4035620765095001</t>
  </si>
  <si>
    <t>4035620823267006</t>
  </si>
  <si>
    <t>4035620846855001</t>
  </si>
  <si>
    <t>4035620871144008</t>
  </si>
  <si>
    <t>4035620881145003</t>
  </si>
  <si>
    <t>4035620890827005</t>
  </si>
  <si>
    <t>4035620930127002</t>
  </si>
  <si>
    <t>4035620942331006</t>
  </si>
  <si>
    <t>4035621020054007</t>
  </si>
  <si>
    <t>4035621024369005</t>
  </si>
  <si>
    <t>4035621041464003</t>
  </si>
  <si>
    <t>4035621062859008</t>
  </si>
  <si>
    <t>4035621139641009</t>
  </si>
  <si>
    <t>4035621284272006</t>
  </si>
  <si>
    <t>4035621288317005</t>
  </si>
  <si>
    <t>4035621356181002</t>
  </si>
  <si>
    <t>4035621360800001</t>
  </si>
  <si>
    <t>4035621386813004</t>
  </si>
  <si>
    <t>4035621411325008</t>
  </si>
  <si>
    <t>4035621425943002</t>
  </si>
  <si>
    <t>4035621570417000</t>
  </si>
  <si>
    <t>4035621577431004</t>
  </si>
  <si>
    <t>4035621670720014</t>
  </si>
  <si>
    <t>4035621691822005</t>
  </si>
  <si>
    <t>4035621770930000</t>
  </si>
  <si>
    <t>4035621869204010</t>
  </si>
  <si>
    <t>4035621890421005</t>
  </si>
  <si>
    <t>4035622016513006</t>
  </si>
  <si>
    <t>4035622197080007</t>
  </si>
  <si>
    <t>4085110062223000</t>
  </si>
  <si>
    <t>4085110097078007</t>
  </si>
  <si>
    <t>4102020107614007</t>
  </si>
  <si>
    <t>4102020174045002</t>
  </si>
  <si>
    <t>4102020352023003</t>
  </si>
  <si>
    <t>4102021001541007</t>
  </si>
  <si>
    <t>4102021004818006</t>
  </si>
  <si>
    <t>4102021051318009</t>
  </si>
  <si>
    <t>4102021103906009</t>
  </si>
  <si>
    <t>4102021108338000</t>
  </si>
  <si>
    <t>4102021122525004</t>
  </si>
  <si>
    <t>4102021165550000</t>
  </si>
  <si>
    <t>4102021165957015</t>
  </si>
  <si>
    <t>4102021184412000</t>
  </si>
  <si>
    <t>4102021193414005</t>
  </si>
  <si>
    <t>4315810631958000</t>
  </si>
  <si>
    <t>4315813358441044</t>
  </si>
  <si>
    <t>4375517411308002</t>
  </si>
  <si>
    <t>4375519925051003</t>
  </si>
  <si>
    <t>4748467721594000</t>
  </si>
  <si>
    <t>4748469420798015</t>
  </si>
  <si>
    <t>MR TATIMAKULA VINOD KUMARREDDY</t>
  </si>
  <si>
    <t>MR RAJESH NAKARAKANTI</t>
  </si>
  <si>
    <t>MR MAMIDALA PRADEEP KUMAR</t>
  </si>
  <si>
    <t>MR MOTHKURI ASHOK</t>
  </si>
  <si>
    <t>MR BOKKU SHIVA KUMAR REDDY</t>
  </si>
  <si>
    <t>MS MANDA VANAJA</t>
  </si>
  <si>
    <t>MR PAVANKUMAR R</t>
  </si>
  <si>
    <t>MR SANAPUREDDY MANOHAR REDDY</t>
  </si>
  <si>
    <t>MR MOHAMMED AZARUDDIN</t>
  </si>
  <si>
    <t>MR KODADHALA MALLESH</t>
  </si>
  <si>
    <t>MR KONJETI LOKESH KUMAR</t>
  </si>
  <si>
    <t>MR THANDA SAIDULU</t>
  </si>
  <si>
    <t>MS NAGA DEEPIKA KOTHAPALLI</t>
  </si>
  <si>
    <t>MR RAJU THIRUPATHI</t>
  </si>
  <si>
    <t>MR KUMMETHA KUMARREDDY</t>
  </si>
  <si>
    <t>MS JULATHOTA SUJATHAMMA</t>
  </si>
  <si>
    <t>MR ALLAMRAJU SUBRAHMANYAM</t>
  </si>
  <si>
    <t>MR RATHOD JAIPAL</t>
  </si>
  <si>
    <t>MR PENTA RAJ KUMAR</t>
  </si>
  <si>
    <t>MR YELIJALA MAHESH</t>
  </si>
  <si>
    <t>MR SURAKARAPU NAVEEN</t>
  </si>
  <si>
    <t>MR GUJJULA YASHWANTH REDDY</t>
  </si>
  <si>
    <t>MR YERRA KUMAR</t>
  </si>
  <si>
    <t>MR AGARAM CHANDRAKEERTHI REDDY</t>
  </si>
  <si>
    <t>Mr KADAMMA GARI SURESH</t>
  </si>
  <si>
    <t>MR RATHOD CHANDULAL</t>
  </si>
  <si>
    <t>MR PURUD SHEKAR</t>
  </si>
  <si>
    <t>MR GUGULOTH RAJENDER NAIK</t>
  </si>
  <si>
    <t>MR CHINTA LIMBADRI</t>
  </si>
  <si>
    <t>MR KUNCHANGI RAJESH</t>
  </si>
  <si>
    <t>Mr SURENDRA SINGH</t>
  </si>
  <si>
    <t>MR NANDINI DHANAVATHU</t>
  </si>
  <si>
    <t>MR KARNI KUMAR</t>
  </si>
  <si>
    <t>MR K SAPTHAGIRI</t>
  </si>
  <si>
    <t>MR MALLIPAMU GANGADHAR</t>
  </si>
  <si>
    <t>MR REPALLE JASWANTH KUMAR</t>
  </si>
  <si>
    <t>MS YEGGONI NAGA SHIRISHA</t>
  </si>
  <si>
    <t>MR BOWJANKU ASHOK</t>
  </si>
  <si>
    <t>Mr PREM KUMAR K S</t>
  </si>
  <si>
    <t>MR GOGULAKONDA AKASH</t>
  </si>
  <si>
    <t>MR BANDLAMUDI BHARATH BANDLAMUDI BHARATH KUMAR</t>
  </si>
  <si>
    <t>MR RACHANANE MUNI TEJA</t>
  </si>
  <si>
    <t>MR SARIPALLI NARESH VARMA</t>
  </si>
  <si>
    <t>MR BOGA SATHISH KUMAR</t>
  </si>
  <si>
    <t>MR VIJAYA KUMAR YAADAMREDDY</t>
  </si>
  <si>
    <t>Ms. WASEEM  SULTANA</t>
  </si>
  <si>
    <t>Ms. DILEEP T DILEEP KUMAR</t>
  </si>
  <si>
    <t>Ms. SIVA THATIKONDA SIVA PRASAD</t>
  </si>
  <si>
    <t>MS NASEEM SULTANA</t>
  </si>
  <si>
    <t>MR NAMBURI VENKATA NARAYANA</t>
  </si>
  <si>
    <t>Ms. RAJASEKHAR NANNURU</t>
  </si>
  <si>
    <t>MR SHAIK ISMAIL</t>
  </si>
  <si>
    <t>MR RUDRARAJU VEERAVENKATA SATYANA</t>
  </si>
  <si>
    <t>Ms. NAGA KASULA NAGA MALLESWARI</t>
  </si>
  <si>
    <t>MR TIRUMANI SURYA PRAKASH</t>
  </si>
  <si>
    <t>Ms. ANDE LAXMAN</t>
  </si>
  <si>
    <t>Mr SOLASA BMLS VENKATA RATNA</t>
  </si>
  <si>
    <t>MR Jibran Shorida Mohammed</t>
  </si>
  <si>
    <t>Mr Mandala Srinivas</t>
  </si>
  <si>
    <t>MR RAMELLI ASHANNA</t>
  </si>
  <si>
    <t>MR PENUBAKULA PRASAD</t>
  </si>
  <si>
    <t>MR G SOMASEKHAR</t>
  </si>
  <si>
    <t>9553440018</t>
  </si>
  <si>
    <t>9959166888</t>
  </si>
  <si>
    <t>7207775868</t>
  </si>
  <si>
    <t>9550193831</t>
  </si>
  <si>
    <t>7997126760</t>
  </si>
  <si>
    <t>6303579239</t>
  </si>
  <si>
    <t>9491274545</t>
  </si>
  <si>
    <t>9110501534</t>
  </si>
  <si>
    <t>7842473037</t>
  </si>
  <si>
    <t>8465820097</t>
  </si>
  <si>
    <t>7396476692</t>
  </si>
  <si>
    <t>9398579863</t>
  </si>
  <si>
    <t>6309428669</t>
  </si>
  <si>
    <t>9502862562</t>
  </si>
  <si>
    <t>9502808864</t>
  </si>
  <si>
    <t>9618355305</t>
  </si>
  <si>
    <t>8374297043</t>
  </si>
  <si>
    <t>9676218854</t>
  </si>
  <si>
    <t>8374772172</t>
  </si>
  <si>
    <t>9014498961</t>
  </si>
  <si>
    <t>7729953019</t>
  </si>
  <si>
    <t>9515206457</t>
  </si>
  <si>
    <t>9705081622</t>
  </si>
  <si>
    <t>7095630177</t>
  </si>
  <si>
    <t>9000593438</t>
  </si>
  <si>
    <t>9177440557</t>
  </si>
  <si>
    <t>8977148917</t>
  </si>
  <si>
    <t>9866351508</t>
  </si>
  <si>
    <t>9603921104</t>
  </si>
  <si>
    <t>6303212758</t>
  </si>
  <si>
    <t>8855907773</t>
  </si>
  <si>
    <t>9390585418</t>
  </si>
  <si>
    <t>9666977755</t>
  </si>
  <si>
    <t>9652346665</t>
  </si>
  <si>
    <t>9949022528</t>
  </si>
  <si>
    <t>9640976956</t>
  </si>
  <si>
    <t>7995859500</t>
  </si>
  <si>
    <t>9676243730</t>
  </si>
  <si>
    <t>9538221687</t>
  </si>
  <si>
    <t>8712234122</t>
  </si>
  <si>
    <t>9515343620</t>
  </si>
  <si>
    <t>9000007318</t>
  </si>
  <si>
    <t>9397334455</t>
  </si>
  <si>
    <t>9959651618</t>
  </si>
  <si>
    <t>9494576222</t>
  </si>
  <si>
    <t>8919581747</t>
  </si>
  <si>
    <t>9963554718</t>
  </si>
  <si>
    <t>9701069243</t>
  </si>
  <si>
    <t>9505950909</t>
  </si>
  <si>
    <t>9441321276</t>
  </si>
  <si>
    <t>9440155064</t>
  </si>
  <si>
    <t>9908362277</t>
  </si>
  <si>
    <t>9959229666</t>
  </si>
  <si>
    <t>9963303333</t>
  </si>
  <si>
    <t>9777699999</t>
  </si>
  <si>
    <t>9133421773</t>
  </si>
  <si>
    <t>9550377731</t>
  </si>
  <si>
    <t>7893470939</t>
  </si>
  <si>
    <t>7396840555</t>
  </si>
  <si>
    <t>9000294920</t>
  </si>
  <si>
    <t>9398769196</t>
  </si>
  <si>
    <t>9989019688</t>
  </si>
  <si>
    <t>5/13 THUVVAPALLI KOTHAGANGIREDDY PALLI NANMANDALAM CIDDAPAH NEAR TEMPLE CUDDAPAH ANP 516218</t>
  </si>
  <si>
    <t>"D.NO.3-91/1,YELLANDA,YELLANDA," WARDHANAPET MANDALAAM   WARANGAL TNG 506313</t>
  </si>
  <si>
    <t>"HNO 8-3-104/1/2," BHAGATH NAGAR KARIMNAGAR NEAR BHAGATH SINGH STATUE ADILABAD TNG 505001</t>
  </si>
  <si>
    <t>"2-2-39/A BESTA BAZAR,.,MAHABUBABAD,.," ...  "OPP AXIS BANK , OPP SAINATH JEWELLER." BHEEMARAM TNG 506101</t>
  </si>
  <si>
    <t>"H NO 12-118/A,VENKAT REDDY BUILDING" "OFFICRA COLONY,NAKREKAL MANDAL,NEXT TO" "KRISHNAVENI HIGH SCHOOL,NALGONDA" NEAR NARAYAN REDDY FUNCTION HALL ROAD SURYAPET TNG 508211</t>
  </si>
  <si>
    <t>"7-135,MAIN ROAD ,GHANTASALA GHANTASALA" KRISHNA ANDHARAPRADESH  BUS STOP MACHILIPATNAM ANP 521133</t>
  </si>
  <si>
    <t>"8-83,PAVANSUTHA HOLIDAYS,SUBHASH ROAD," BESIDE BANGALORE BAKERY   ANANTAPUR ANP 515001</t>
  </si>
  <si>
    <t>"9/4/88,BOVILLAVARIPALLI" CHENNAMPALLI PANCHAYATHI BADVELMUNICIPALITY NEAR MAIN ROAD CUDDAPAH ANP 516502</t>
  </si>
  <si>
    <t>"2-369/3 RAJEEV NAGAR,AMRUTHA,.,,CHILDREN" "S HOSPITAL,BHUPALPALLY"  OPPOSITE SURYA HOSPITAL WARANGAL TNG 506169</t>
  </si>
  <si>
    <t>2 130 1 MUSHAMPALLY NALGONDA NALGONDA  NALGONDA TNG 508247</t>
  </si>
  <si>
    <t>"6-45/1,NANDIVELUGU,NANDIVELUGU" ...  .NEAR MAIN ROAD GUNTUR ANP 522306</t>
  </si>
  <si>
    <t>HNO 2-113 NARKETPAL MANDAL AKKENEPALLI LINGOTAM NALGONDA NEAR MARKETPALLY NALGONDA TNG 508254</t>
  </si>
  <si>
    <t>"1 116,RAMACHANDRAPURAM,KANDULAPALEM EAST" ", GODAVARI ANDHRA,PRADESH 533262"  . KAKINADA ANP 533262</t>
  </si>
  <si>
    <t>"7-8/2,RAJOLLA PALLI,ATHMAKUR,ATHMAKUR" ...  NEAR ANGANWADI SCHOOL KARIMNAGAR TNG 505526</t>
  </si>
  <si>
    <t>"2-5A,EDIGA STREET,SIMHADRIPURAM,,SIMHADR" "IPURAM,SIMHADRIPURAM"  GANGAIAH COOLDRINKS SHOP PRODDATUR ANP 516454</t>
  </si>
  <si>
    <t>"2/294-2 MARUTHI NAGAR,MARUTHI,NAGAR CUDD" "APAH,,CUDDAPAH"  MAIN ROAD CUDDAPAH ANP 516001</t>
  </si>
  <si>
    <t>D NO 7-180 SHANKHAVARAM MANDALAM ANNAVARAM RATNAGIRI RESORTS BACK SIDE KAKINADA ANP 533406</t>
  </si>
  <si>
    <t>"1-38,LAL TEKIDI LAL TEKIDI,WALGANDA,.,.," ".,."  ADILABAD ADILABAD TNG 504346</t>
  </si>
  <si>
    <t>HNO 11 25 977/3/1 KOTHAWADA WARANGAL WARANGAL NEAR MAIN ROAD WARANGAL TNG 506002</t>
  </si>
  <si>
    <t>"NO 2-30," "MALLIKARJUN NAGAR, NALGONDA MANDALAM" "CHARLAPALLY, NALGONDA" NR HP GAS NALGONDA TNG 508001</t>
  </si>
  <si>
    <t>4-145 ANUMULA MANDALAM  RANGUNDLA TANDA SURYAPET TNG 508202</t>
  </si>
  <si>
    <t>MIRYALAGUDA   "H NO 18-742, ASHOK NAGAR" MERAYALAGUDA TNG 508207</t>
  </si>
  <si>
    <t>"16-9-394,,PUPPALAGUTTA,,NEAR WATAR TANK,"    WARANGAL TNG 506002</t>
  </si>
  <si>
    <t>H NO.408/2-3-13/A/1 "SAI BALAJI TOWERS,UP STAIRS OF BIG C" "RAICHUR ROAD,MAHABUBNAGAR" NEAR ASHOK TALKIES MAHBOOBNAGAR TNG 509001</t>
  </si>
  <si>
    <t>"VIDAPANAKAL,B C COLONY PALTHUR,VIDAPANAKAL," PALTHUR   ANANTAPUR ANP 515731</t>
  </si>
  <si>
    <t>"5-1,ANJANI TANDA ANJANI,TANDA,TANDA,KUSL" "I,"  ANJANI TANDA ADILABAD TNG 504104</t>
  </si>
  <si>
    <t>"12-17,HANUMAN VIDI" "BADEPALLY,JADCHERLA" JADCHERLA NEAR IYENGAR BAKERY OPP JEDCHERLA TNG 509301</t>
  </si>
  <si>
    <t>35/4/49 KANAKA DURGA COLONY GOPALPURAM WARANGAL NEAR SBI BANK WARANGAL TNG 506015</t>
  </si>
  <si>
    <t>"H NO,1 85 NANDIPET NIZAMABAD," NANDIPET  NEAR HANUMAN TEMPLE NIZAMABAD TNG 503212</t>
  </si>
  <si>
    <t>H NO 5-289 VEERAIAH NAGAR HALIYA NEAR NAGARJUNA COLLEGE SURYAPET TNG 508377</t>
  </si>
  <si>
    <t>"P NO,1 VALIGONDA ROAD,CHOUTUPPAL OPP MS," GLASS WORKS   NALGONDA TNG 508252</t>
  </si>
  <si>
    <t>1-3 "RA 0001,MIRYALAGUDA RAVINDRA NAGAR" OPP DURGA PRASAD HOUSE NEAR GREEN CITY SURYAPET TNG 508207</t>
  </si>
  <si>
    <t>"6-39 MOSRA,NARNI NIZAMABAD" ...  MOBILE 8099998778 NEAR GANDHI STATUE NIZAMABAD TNG 503206</t>
  </si>
  <si>
    <t>"69/1-B-6 JOHARAPURAM B,CAMP,SANGAREDDY" ...  HANUMAN TEMPEL KURNOOL ANP 518001</t>
  </si>
  <si>
    <t>4-55 "CINEMA CENTER THONDANGI,CINIMA CENTER,,THONDA" Thondangi East Godavari KKN ANP 533408</t>
  </si>
  <si>
    <t>3-45 V.KOTHAPALEM   GUDIVADA ANP 521328</t>
  </si>
  <si>
    <t>26-607-Z-22E NANDYAL V C COLONY  NANDYAL ANP 518501</t>
  </si>
  <si>
    <t>7-92 NAMBURIVARIPALEM NAMBURIVARIPALEM  Prakasam ANP 523201</t>
  </si>
  <si>
    <t>"6-4 B,KOTTAPALLI B KOTTAPALLI,CHINAGANIPALLE," CHINAGANIPALLE   HINDUPUR ANP 515556</t>
  </si>
  <si>
    <t>"2-5-32 SIKHWADI,KARIMNAGAR,KARIMNAGAR"    KARIMNAGAR TNG 505001</t>
  </si>
  <si>
    <t>"4-58,NEAR BRAHMAM TEMPLE,GOTTUMUKKALA," GOTTUMUKKALA   KRISHNA ANP 521180</t>
  </si>
  <si>
    <t>"14-3,MUCHERLA STREET,JAMMALAMADUGU" CUDDAPAH ANDHRA PRADESH  ATM PRODDATUR ANP 516434</t>
  </si>
  <si>
    <t>"1-88,UPPULURU TOOMU NEAR,KALUVA,UNDI" "MANDALAM,KOLAMURU,WEST GODAVARI" ANDHRA PRADESH XX BHIMAVARAM ANP 534199</t>
  </si>
  <si>
    <t>H NO 6 5 264 SAI NAGAR KARIM NAGAR   NEAR SAI BABA TEMPLE KARIMNAGAR ANP 505001</t>
  </si>
  <si>
    <t>"SY NO,BODHAN,554,NEAR BUS STAND"    NZM TNG 503185</t>
  </si>
  <si>
    <t>"NEAR,MODALIYARS FUNCTION HALL," "934/3 CHINTHALA,STREET PUNGANUR, CHITTOOR ANDHRA PRADESH 517247"   MDN ANP 517247</t>
  </si>
  <si>
    <t>"3/605/10,YSR DISTRICT," SARASWATHI VIDHYAMANDIRAM ROAD   PRO ANP 516360</t>
  </si>
  <si>
    <t>5 17 JANGAON SURYAPET ROAD   DURGAMMA TEMPLE WARANGAL TNG 506167</t>
  </si>
  <si>
    <t>H NO 22 3 142 22 DAMMAPETA X ROAD SHIVA NAGAR PALWANKHA WAY BRIDZE KATTA KHAMMAM TNG 507118</t>
  </si>
  <si>
    <t>16174CROWN TALKIES ROAD TILAK "NAGAR GUNTAKAL,ANANTAPUR, ANDHRA PRADESH 515801"   GTK ANP 515801</t>
  </si>
  <si>
    <t>H NO 199 1 STAN PURAM MAMATA NAGAR CHAITANYA TECHNO SCHOOL KURNOOL  KURNOOL ANP 518006</t>
  </si>
  <si>
    <t>2 132 GAADIRAJU VARI MERAKA BEHIND SEETHAMARAJU STATUE KUMARAGIRI  AMALAPURAM ANP 533220</t>
  </si>
  <si>
    <t>TSRCOTTONGINNING MILLGROUND171 "VISNU PRIYA COMPLEX,BONTHAPADU ROAD, KAMMA SESHAIAH GROUND GUNTUR"   GTR ANP 522003</t>
  </si>
  <si>
    <t>DOOR NO 19 10 33 10 NEAR SENT ANNS SCHOOL BHIMAVARAM NEAR SENT ANNS SCHOOL ROAD BANK COLONY BANK COLONY BHIMAVARAM ANP 534201</t>
  </si>
  <si>
    <t>4173 SARANGAPURSARANGAPUR    ADL TNG 504110</t>
  </si>
  <si>
    <t>2-64/1 BLAKU-1 PRAKKILANKA TALLAPUDIMANDAL   West Godavari ANP 534341</t>
  </si>
  <si>
    <t>",,12-3-103/3/A/2" "KHADERPURA,." SIDDIPET Siddipet - SIDDIPET TNG 502103</t>
  </si>
  <si>
    <t>H NO 12-403 REDDY COLONY WARD 20 MANCHERIAL    MANCHIRYAL ANP 504208</t>
  </si>
  <si>
    <t>H NO-5-44/2 5 44 2 KOWTHA KOWTHA NEAR HANUMAN TEMPLE5 Adilabad TNG 504304</t>
  </si>
  <si>
    <t>21-10/3 86A SRWA 359 3RD LINE SRINAGAR COLONY  NR-SRI NAGAR COLONY VIJAYAWADA ANP 520011</t>
  </si>
  <si>
    <t>"306, RAMALAYAM RD, CHANDRA SHAKER REDDY" "COLONY, KORLAGUNTA, TIRUPATHI" ANDHRA PRADESH BESIDE SK HOTEL TIRUPATHI ANP 517501</t>
  </si>
  <si>
    <t>VALUELABS SERVICES PRIVATE LIMITED PLOT 41 HITECITY PHASE 2.MADHAPUR HYDERABAD HYDERABAD HYDERABAD TNG 500081</t>
  </si>
  <si>
    <t>Fido property 3rd floor Sv Asha arcade Above dominos Miyapur Above dominos Miyapur HYDERABAD TNG 500050</t>
  </si>
  <si>
    <t>SHREE CEMENT LIMITED MANKAMMATHOTA KARIMNAGAR KARIMNAGAR ADILABAD TNG 505001</t>
  </si>
  <si>
    <t>LARSENTOUBRO INFOTECH LIMITED "THE SKYVIEW-BUILDING NO. 20, 14TH  15TH" FLOORPARTLY SEZ DEVELOPER IN SURVEY NO. FLOORPARTLY SEZ DEVELOPER IN SURVEY NO. HYDERABAD TNG 500081</t>
  </si>
  <si>
    <t>CAPGEMINI TECHNOLOGY SERVICES INDIA LIMI "115/32/35,I S B ROAD,FINALCIAL DISTRICT" "NANAKARNMGUDA,GACHIBOWLI VILLAGE" "NANAKARNMGUDA,GACHIBOWLI VILLAGE" HYDERABAD TNG 500032</t>
  </si>
  <si>
    <t>CAPGEMINI TECHNOLOGY SERVICES INDIA LIMI BSRK COMPLEX OPPOSITE HP PETROL BANK JAMMICHETTU CENTER MOGHULRAJPURAM JAMMICHETTU CENTER MOGHULRAJPURAM VIJAYAWADA ANP 520010</t>
  </si>
  <si>
    <t>RELIANCE LIFE INSURANCE CO LTD Anantapur Anantapur Anantapur ANANTAPUR ANP 515001</t>
  </si>
  <si>
    <t>GOVERNMENT OF  HYDROLOGY DIVISION GOVERNMENT OF INDIA HYDROLOGY DEVISIONSI NANDIPALLI CHENNAMPALLI POST NANDIPALLI CHENNAMPALLI POST CUDDAPAH ANP 516502</t>
  </si>
  <si>
    <t>INFOSYS LIMITED "NO 41,POCHARAM VILLAGE" RANGAREDDY RANGAREDDY HYDERABAD TNG 500088</t>
  </si>
  <si>
    <t>SRI RENUKA YELLAMMA POULTRY FROM NEAR NALGONDA NALGONDA NALGONDA NALGONDA TNG 508247</t>
  </si>
  <si>
    <t>MARICO LTD NELLORE   GUNTUR ANP 522306</t>
  </si>
  <si>
    <t>INFOSYS LIMITED SYNO 210 MANIKONDA VILLAGE LINGAMPALLY RANGAREDDY LINGAMPALLY RANGAREDDY HYDERABAD TNG 500019</t>
  </si>
  <si>
    <t>INFOSYS LIMITED "NO 138,OLD MAHABALIPURAM ROAD" SHOLIGANALLUR SHOLIGANALLUR CHENNAI TMN 600011</t>
  </si>
  <si>
    <t>SRI ANJANEYA HARWESTERS D NO 7-8/2 RAJOLLA ATHMAKUR RAJOLLA ATHMAKUR KARIMNAGAR TNG 505526</t>
  </si>
  <si>
    <t>INFOSYS LIMITED INFOSYS LTD SY NO-210 MANIKONDA VILLAGE GACHIBOWLI MANIKONDA VILLAGE GACHIBOWLI HYDERABAD TNG 500019</t>
  </si>
  <si>
    <t>GOVT OF AP VIDYA SAGAR AIDED UPPER PRIMARY SCHOOL V "VISVANATHAPURAM C. K DINNE KADAPA ,CUDDA" "VISVANATHAPURAM C. K DINNE KADAPA ,CUDDA" CUDDAPAH ANP 516004</t>
  </si>
  <si>
    <t>GOVERNMENT OF ANDHRA PRADESH D NO 7-180 ANNAVARAM ANNAVARAM KAKINADA ANP 533406</t>
  </si>
  <si>
    <t>INFOSYS LIMITED PLOT NO 1 RAJIV GANDHI INFOTECH PARK HINJEWADI PHASE 2 PIMPRI CHINCHWAD HINJEWADI PHASE 2 PIMPRI CHINCHWAD PUNE MAH 411057</t>
  </si>
  <si>
    <t>SBA TECH SOULTIONS PRIVATE LIMITED 1102 WALNUT BUILDING T 7 LBS ROAD KANJURMARG MUMBAI KANJURMARG MUMBAI MUMBAI MAH 400078</t>
  </si>
  <si>
    <t>GOVERNMENT OF TELANGANA "12TH BATTALION, ANNAPARTHI," MALLIKARJUNA NAGAR MALLIKARJUNA NAGAR NARASAPURAM ANP 522660</t>
  </si>
  <si>
    <t>MAHINDRA RURAL HOUSING FINANCE LTD "5-16,1ST FLOOR,SHOP NO-2" "SRILAXMI NARSIMHA CONPLEX,HALIYA,NALGOND" "SRILAXMI NARSIMHA CONPLEX,HALIYA,NALGOND" SURYAPET TNG 508202</t>
  </si>
  <si>
    <t>VIT UNIVERSITY VELLORE VELLORE INSTITUTE OF TECHNOLOGY KATPADI TO THRIUVALAM ROAD KATPADI KATPADI TO THRIUVALAM ROAD KATPADI VELLORE TMN 632014</t>
  </si>
  <si>
    <t>Not Applicable Nil Nil Nil WARANGAL TNG 506002</t>
  </si>
  <si>
    <t>ZEE ENTERTAINMENT ENTERPRISES LIMITED RMZ ECOSPACE 1B BUILDING BANGLORE BANGLORE BANGALORE KAR 560103</t>
  </si>
  <si>
    <t>Not Applicable Palthur Palthur Palthur ANANTAPUR ANP 515731</t>
  </si>
  <si>
    <t>SELF H.NO 5-1 ANJANI TANDA 5-1 ANJANI TANDA ADILABAD TNG 504104</t>
  </si>
  <si>
    <t>SHEKAR TRADERS HNO 12-17 "HANUMAN STREET,JADCHERLA" "HANUMAN STREET,JADCHERLA" JEDCHERLA TNG 509301</t>
  </si>
  <si>
    <t>KAKATIYA INSTITUTE OF TECHNOLOGY AND SCI BLOCK 3 DEPARTMENT EEE KAKATIYA INSTITUT "OF T3CHNOLOGY ,, AND SCIENCE  HASABAPART" "OF T3CHNOLOGY ,, AND SCIENCE  HASABAPART" WARANGAL TNG 506015</t>
  </si>
  <si>
    <t>GOVERNMENT OF TELANGANA DIVISIONAL ENGINEER ELECTRICAL TSNPDCL OFFICE TSNPDCL OFFICE NIZAMABAD TNG 503001</t>
  </si>
  <si>
    <t>TELANGANA STATE POWER GENERATION CORPORA LEFT CANAL POWER HOUSE NAGARJUNA SAGAR NAGARJUNA SAGAR SURYAPET TNG 508202</t>
  </si>
  <si>
    <t>RAMDEV PLYWOOD AND HARDWARE PLOT NO 11/12 CHOUTUPPAL CHOUTUPPAL NALGONDA TNG 508252</t>
  </si>
  <si>
    <t>BON BLOCK TECHNOLOGIES PRIVATE LIMITED RR TOWERS 8TH FLOOR SHIPPO INDUSTRIAL AREA CHENNAI TAMIL NADU AREA CHENNAI TAMIL NADU CHENNAI TMN 600032</t>
  </si>
  <si>
    <t>TVS CREDIT SERVICES LIMITED KURNOOL   KURNOOL ANP 518001</t>
  </si>
  <si>
    <t>NO 39 DGS CAMPUS PHASE-1 HOSUR RD UNIVERSAL BLOCK DXC TECHNOLOGY DIGITAL PARK ELECTRONIC CITY ELECTRONIC CITY BNG KAR 560100</t>
  </si>
  <si>
    <t>ZEN QUALITY ASSURANCE PRIVATE LIMITED "1ST FLOOR, ATRIA THE V ASCENDAS IT" "SOFTWARE UNITS LAYOUT, MADHAPUR" "SOFTWARE UNITS LAYOUT, MADHAPUR" HYDERABAD TNG 500081</t>
  </si>
  <si>
    <t>SOPRA STERIAPVT LTD 2/G-2 SIPCOT IT PARK SIRUSERI KANCHIPURAM TAMIL NADU 603103 KANCHIPURAM TAMIL NADU 603103 CHENNAI TMN 603103</t>
  </si>
  <si>
    <t>NARAYANA EDUCATIONAL SOCIETY 9/99 COURT CENTRE NARAYANA JUNIOR COLLA OUNGUL PRAKSHAN DISTRICT OUNGUL PRAKSHAN DISTRICT ONGOLE ANP 523001</t>
  </si>
  <si>
    <t>Not Applicable 6-4 bkottapalli b kottapallichinaganipal chinagani palle chinagani palle HINDUPUR ANP 515556</t>
  </si>
  <si>
    <t>knr 8-6-236/4/B Mallikarjuana colony Kothirampur Mallikarjuana colony Kothirampur KARIM NAGAR TNG 505002</t>
  </si>
  <si>
    <t>SANDISK INDIA DEVICE DESIGN CENTRE PVT "SYNO15/3AND16,SALARPURIAHALLMARK,1ST,2ND" ",3RDFLOOR,MARATHAHALLI SARJAPUROUTERRING" ",3RDFLOOR,MARATHAHALLI SARJAPUROUTERRING" BANGALORE KAR 560103</t>
  </si>
  <si>
    <t>GOACHIEV TECHNOLOGIES PVT LTD "MANYATA EMBASSY,BUSINESS PARK,GROUND FLR" "E-1 BLK,BEACH OUTER RING RD," "E-1 BLK,BEACH OUTER RING RD," BANGALORE KAR 560045</t>
  </si>
  <si>
    <t>LAXMI GANAPATHI GARMENTS H NO 6 5 264 SAI NAGAR KARIM NAGAR   KARIMNAGAR ANP 505001</t>
  </si>
  <si>
    <t>VIJAYA FABRICATION WORKS BLOCK NO B 909 PLOT NO 205 NEW AUTO NAGAR NAGAR VIJAYAWADA ANP 520007</t>
  </si>
  <si>
    <t>AYESHA AGENCIES 6 36 NELUTLA LINGALGANPUR JANGAON JANGAON WARANGAL TNG 506167</t>
  </si>
  <si>
    <t>SRI LAXMI NARAYANA ENGINEERING WORKS H NO 22 3 142 22 SHIVA NAGAR SHIVA NAGAR KHAMMAM TNG 507118</t>
  </si>
  <si>
    <t>S A FATRADERS 39 107 PARK ROAD OSMANIA COLLEGE OSMANIA COLLEGE KURNOOL ANP 518001</t>
  </si>
  <si>
    <t>SATYAM AQUA 2 219 KUMARA GIRI POLAVARAM MANDAL INDIA AP INDIA AP AMALAPURAM ANP 533220</t>
  </si>
  <si>
    <t>SURYA FILLING STATION DOOR NO 1 282 1 NH 216 HIGHWAY ROAD NAGIDIPALEM BHEEMAVARAM VILLAGE BHEEMAVARAM MANDAL BHEEMAVARAM VILLAGE BHEEMAVARAM MANDAL BHIMAVARAM ANP 534239</t>
  </si>
  <si>
    <t>INFOSYS LTD "Room no.1,annaporneshwari building" Konnapana agrahara Konnapana agrahara BANGALORE KAR 560100</t>
  </si>
  <si>
    <t>247 INTOUCH MAXIMUS TOWER 2A MIND SPACE HI TECH CITY MIND SPACE HI TECH CITY HYDERABAD TNG 500089</t>
  </si>
  <si>
    <t>Business Reddy Colony Mancherial Mancherial MANCHIRYAL ANP 504208</t>
  </si>
  <si>
    <t>VENKATESHWARA AGENCISES H NO 11 24 VENKATESHWARA AGENCISES MAMRO PALLI ARMOOR MAMRO PALLI ARMOOR Nizamabad TNG 503224</t>
  </si>
  <si>
    <t>DR PRASADS ORTHODONTIC SUPER SPECIALITY DENTAL 23-11-86 SATYA NARYNA PURAM   VIJAYAWADA ANP 520011</t>
  </si>
  <si>
    <t>SBI LIFE INSURANCE CO LTD "19-3-13/M, 3RD FLOOR, UP STATIS HERO" "HONDA SHOW ROOM, RENUHUNTA TIRUPATI, AP" "HONDA SHOW ROOM, RENUHUNTA TIRUPATI, AP" TIRUPATHI ANP 517501</t>
  </si>
  <si>
    <t>Mine Credit Card by ICICI Bank Visa Card</t>
  </si>
  <si>
    <t>Manchester United Platinum Credit Card by ICICI Bank</t>
  </si>
  <si>
    <t>7TH JULY</t>
  </si>
  <si>
    <t>0000000019610571</t>
  </si>
  <si>
    <t>0000000020358466</t>
  </si>
  <si>
    <t>0000000022612188</t>
  </si>
  <si>
    <t>0000000022754475</t>
  </si>
  <si>
    <t>0000000023378224</t>
  </si>
  <si>
    <t>0000000023415334</t>
  </si>
  <si>
    <t>0000000023569371</t>
  </si>
  <si>
    <t>0000000023619090</t>
  </si>
  <si>
    <t>0000000023635089</t>
  </si>
  <si>
    <t>0000000023702627</t>
  </si>
  <si>
    <t>0000000023704873</t>
  </si>
  <si>
    <t>0000000023965532</t>
  </si>
  <si>
    <t>0000000023992182</t>
  </si>
  <si>
    <t>0000000024353205</t>
  </si>
  <si>
    <t>0000000024494251</t>
  </si>
  <si>
    <t>0000000024639052</t>
  </si>
  <si>
    <t>0000000024714250</t>
  </si>
  <si>
    <t>0000000024781731</t>
  </si>
  <si>
    <t>0000000025026159</t>
  </si>
  <si>
    <t>0000000025096073</t>
  </si>
  <si>
    <t>0000000025493486</t>
  </si>
  <si>
    <t>0000000025512699</t>
  </si>
  <si>
    <t>0000000025599776</t>
  </si>
  <si>
    <t>0000000025715485</t>
  </si>
  <si>
    <t>0000000026093531</t>
  </si>
  <si>
    <t>0000000026765721</t>
  </si>
  <si>
    <t>0000000026782050</t>
  </si>
  <si>
    <t>0000000027179521</t>
  </si>
  <si>
    <t>0000000027202862</t>
  </si>
  <si>
    <t>0000000027377447</t>
  </si>
  <si>
    <t>0000000027570536</t>
  </si>
  <si>
    <t>0000000027677245</t>
  </si>
  <si>
    <t>0000000028973405</t>
  </si>
  <si>
    <t>0000000029026149</t>
  </si>
  <si>
    <t>0000000030097946</t>
  </si>
  <si>
    <t>0000000030351478</t>
  </si>
  <si>
    <t>0000000031159881</t>
  </si>
  <si>
    <t>0000000032242835</t>
  </si>
  <si>
    <t>0000000032565488</t>
  </si>
  <si>
    <t>0000000033862238</t>
  </si>
  <si>
    <t>0000000035413206</t>
  </si>
  <si>
    <t>0000000024903617</t>
  </si>
  <si>
    <t>0000000026237020</t>
  </si>
  <si>
    <t>1000000000155090</t>
  </si>
  <si>
    <t>1000000000233746</t>
  </si>
  <si>
    <t>1000000000320342</t>
  </si>
  <si>
    <t>1000000000498501</t>
  </si>
  <si>
    <t>1000000000502823</t>
  </si>
  <si>
    <t>1000000000560161</t>
  </si>
  <si>
    <t>1000000000626242</t>
  </si>
  <si>
    <t>1000000000632231</t>
  </si>
  <si>
    <t>1000000000651229</t>
  </si>
  <si>
    <t>1000000000703519</t>
  </si>
  <si>
    <t>1000000000704063</t>
  </si>
  <si>
    <t>1000000000727852</t>
  </si>
  <si>
    <t>1000000000741482</t>
  </si>
  <si>
    <t>0000000015443056</t>
  </si>
  <si>
    <t>0000000024052300</t>
  </si>
  <si>
    <t>0000000015788633</t>
  </si>
  <si>
    <t>0000000014721170</t>
  </si>
  <si>
    <t>0000000017462878</t>
  </si>
  <si>
    <t>0000000024535265</t>
  </si>
  <si>
    <t>4315812713756005</t>
  </si>
  <si>
    <t>4315813219045000</t>
  </si>
  <si>
    <t>4315813509472005</t>
  </si>
  <si>
    <t>4315814013195009</t>
  </si>
  <si>
    <t>4315814024184000</t>
  </si>
  <si>
    <t>4315814381439005</t>
  </si>
  <si>
    <t>4315815060282004</t>
  </si>
  <si>
    <t>4315815121663002</t>
  </si>
  <si>
    <t>4315815657805001</t>
  </si>
  <si>
    <t>4035626014854007</t>
  </si>
  <si>
    <t>4315812669970006</t>
  </si>
  <si>
    <t>4035621033749007</t>
  </si>
  <si>
    <t>4035622547961021</t>
  </si>
  <si>
    <t>4035622814971000</t>
  </si>
  <si>
    <t>4035623241714005</t>
  </si>
  <si>
    <t>4035623370302002</t>
  </si>
  <si>
    <t>4315810543021004</t>
  </si>
  <si>
    <t>4315811574620011</t>
  </si>
  <si>
    <t>4315811721637009</t>
  </si>
  <si>
    <t>4315812222706004</t>
  </si>
  <si>
    <t>4315812697109007</t>
  </si>
  <si>
    <t>4375513225785006</t>
  </si>
  <si>
    <t>4375513398792003</t>
  </si>
  <si>
    <t>4748468351305006</t>
  </si>
  <si>
    <t>4748468566094007</t>
  </si>
  <si>
    <t>4748468816869000</t>
  </si>
  <si>
    <t>5176537097728008</t>
  </si>
  <si>
    <t>5241936723510007</t>
  </si>
  <si>
    <t>6528690172901009</t>
  </si>
  <si>
    <t>4315814997797002</t>
  </si>
  <si>
    <t>4748461032483003</t>
  </si>
  <si>
    <t>4748461245403004</t>
  </si>
  <si>
    <t>4748461293504000</t>
  </si>
  <si>
    <t>4748464724275000</t>
  </si>
  <si>
    <t>4748464728431005</t>
  </si>
  <si>
    <t>4748464734721001</t>
  </si>
  <si>
    <t>4748464737624012</t>
  </si>
  <si>
    <t>4748464743901008</t>
  </si>
  <si>
    <t>4748464746806006</t>
  </si>
  <si>
    <t>4748464747359005</t>
  </si>
  <si>
    <t>5241935735333002</t>
  </si>
  <si>
    <t>5241935759709004</t>
  </si>
  <si>
    <t>5241935806799008</t>
  </si>
  <si>
    <t>MR MALLELA SADANANDAM</t>
  </si>
  <si>
    <t>MR Bala Mallesham Bhukala</t>
  </si>
  <si>
    <t>MR MARAM KUMAR REDDY</t>
  </si>
  <si>
    <t>MR Gurram Somasekhar</t>
  </si>
  <si>
    <t>MR VINJAMURI RAVITEJA</t>
  </si>
  <si>
    <t>MR MOREEL SANTHOSH</t>
  </si>
  <si>
    <t>MR NEKKALAPU SAI LAKSHMAN</t>
  </si>
  <si>
    <t>MR Saila Santosh Kumar</t>
  </si>
  <si>
    <t>MS YERUVA himabindu</t>
  </si>
  <si>
    <t>MR MALLESH UDUTHALA</t>
  </si>
  <si>
    <t>MR Kopparam Thrivikram</t>
  </si>
  <si>
    <t>MR MAHAMMAD AHAMAD</t>
  </si>
  <si>
    <t>MR KOTHA RAMA KOTESWARA PRASANTH</t>
  </si>
  <si>
    <t>MR BITRA PRASAD</t>
  </si>
  <si>
    <t>MR NARAMAMIDI SURYACHANDRA SEKHAR</t>
  </si>
  <si>
    <t>MR NANDIKONDA ESWAR</t>
  </si>
  <si>
    <t>MR VASKURI SRINIVASULU</t>
  </si>
  <si>
    <t>MR GUJJA RAJ KUMAR</t>
  </si>
  <si>
    <t>MR Madhu Kumar Dorapalli</t>
  </si>
  <si>
    <t>MR Rekapalli Sandeep Kumar</t>
  </si>
  <si>
    <t>MR AKHEEL ABDUL</t>
  </si>
  <si>
    <t>MR BEDIDE YADAGIRI</t>
  </si>
  <si>
    <t>MS KOMMA JYOTHI</t>
  </si>
  <si>
    <t>MR DUDEKULA DASTAGIRI</t>
  </si>
  <si>
    <t>MR KOTA CHAKRADHAR</t>
  </si>
  <si>
    <t>MR SHANMUKHA NAGA VINAY KUKKALA</t>
  </si>
  <si>
    <t>Mr. LODDIPALLI SRIHARI</t>
  </si>
  <si>
    <t>MR BANDARU NEELENDRA</t>
  </si>
  <si>
    <t>MR Chavala Rameshbabu</t>
  </si>
  <si>
    <t>MR Chukka Ravinder</t>
  </si>
  <si>
    <t>MR KADIYALA SAI KARTHIK</t>
  </si>
  <si>
    <t>MR GUNDETI SRINIVAS</t>
  </si>
  <si>
    <t>MS NATI JOSLIN</t>
  </si>
  <si>
    <t>MR PANDUGA BALAKISHAN</t>
  </si>
  <si>
    <t>MR NOSSAM ZAKEER HUSSAIN</t>
  </si>
  <si>
    <t>MR KANDA VENKATA RAMARAO</t>
  </si>
  <si>
    <t>MS KUPPILI PRIYANKA</t>
  </si>
  <si>
    <t>MR SAKINALA AMRUTHARAJU</t>
  </si>
  <si>
    <t>MR DUMAVATH HARIJANA NAIK</t>
  </si>
  <si>
    <t>MS MUTYALA LAVANYA</t>
  </si>
  <si>
    <t>MR MASHETTY SREENIVAS</t>
  </si>
  <si>
    <t>MR PAMISETTY LAKSHMINARAYANA</t>
  </si>
  <si>
    <t>MS PATTAPAGALU NAGALAKSHMI</t>
  </si>
  <si>
    <t>8712333202</t>
  </si>
  <si>
    <t>9032626216</t>
  </si>
  <si>
    <t>9985333500</t>
  </si>
  <si>
    <t>9177750999</t>
  </si>
  <si>
    <t>9666665122</t>
  </si>
  <si>
    <t>9666644553</t>
  </si>
  <si>
    <t>9603738270</t>
  </si>
  <si>
    <t>9000874233</t>
  </si>
  <si>
    <t>9010927540</t>
  </si>
  <si>
    <t>6300209634</t>
  </si>
  <si>
    <t>8333046460</t>
  </si>
  <si>
    <t>9030915131</t>
  </si>
  <si>
    <t>8686016064</t>
  </si>
  <si>
    <t>9866663922</t>
  </si>
  <si>
    <t>9849723955</t>
  </si>
  <si>
    <t>9505630305</t>
  </si>
  <si>
    <t>9000378838</t>
  </si>
  <si>
    <t>9666918909</t>
  </si>
  <si>
    <t>9966073943</t>
  </si>
  <si>
    <t>9989759789</t>
  </si>
  <si>
    <t>9154194440</t>
  </si>
  <si>
    <t>9849333576</t>
  </si>
  <si>
    <t>8523053573</t>
  </si>
  <si>
    <t>9866868495</t>
  </si>
  <si>
    <t>8374910377</t>
  </si>
  <si>
    <t>9985998685</t>
  </si>
  <si>
    <t>9490444678</t>
  </si>
  <si>
    <t>7842523742</t>
  </si>
  <si>
    <t>9849762407</t>
  </si>
  <si>
    <t>9573632994</t>
  </si>
  <si>
    <t>9347086913</t>
  </si>
  <si>
    <t>9849449812</t>
  </si>
  <si>
    <t>9381101913</t>
  </si>
  <si>
    <t>9949179625</t>
  </si>
  <si>
    <t>6302787323</t>
  </si>
  <si>
    <t>8919169408</t>
  </si>
  <si>
    <t>8639364857</t>
  </si>
  <si>
    <t>9666639630</t>
  </si>
  <si>
    <t>9705709749</t>
  </si>
  <si>
    <t>6300525953</t>
  </si>
  <si>
    <t>9550512051</t>
  </si>
  <si>
    <t>9440458255</t>
  </si>
  <si>
    <t>8790036312</t>
  </si>
  <si>
    <t>"8-19/2,NARSINGPALLYVILLAGE,NYAVANDI,SIRK"    NIZAMABAD TNG 503165</t>
  </si>
  <si>
    <t>H NO 3-5-76/7/A3 VEERABADRA NAGAR RAJAMPET ROAD LAXMIDEVI TEMPLE HYDERABAD TNG 502001</t>
  </si>
  <si>
    <t>78 74 ABBAVARAM EGUVA FLR RAYACHOTI CUDD    CUDDAPAH ANP 516269</t>
  </si>
  <si>
    <t>631.A..2nd.Floor Municipal.Office.Circle Mosque.Road Beside Karur Vysya Bank TIRUPATHI ANP 517501</t>
  </si>
  <si>
    <t>C.26.2. HYDERABAD.ROAD ..HYDERABAD.ROAD KONDAMALLI PALLI GodavariKhani TNG 508243</t>
  </si>
  <si>
    <t>H.NO.3.56.GANDHI.CHOWK.BANSWADA.DESAIPET DESAIPET ..  NIZAMABAD TNG 503187</t>
  </si>
  <si>
    <t>1.26B.VISSANNAPETA.MANDALAM.KORLAMANDA  ..  GUDIVADA ANP 521214</t>
  </si>
  <si>
    <t>RoyalSundaramin.Hno.26.II.152. Medikonda.building.2nd.floor. 1St.cross. Goldfiled Yamaha showroom NELLORE ANP 524004</t>
  </si>
  <si>
    <t>11.605.2..5.1.ANNAPURNA.NAGAR GORANTLA.. Gorantla STAMBALAGARUV GUNTUR ANP 522034</t>
  </si>
  <si>
    <t>"2-98 DODLAPAHAD DODLAPAHAD AVURUPALLI,MA" DGUL MANDAL AURPALLY  NEAR MAIN ROAD WANAPARTHY TNG 509321</t>
  </si>
  <si>
    <t>8-143 kalyanadurgam gandhi chowk s l v electrical ANANTAPUR ANP 515761</t>
  </si>
  <si>
    <t>"51-9-38 RAMARAO PETA,KRISHNA,,BHAVANI HO" "SPITAL,ROAD,PALACOLE"  BUS STOP PALAKOL ANP 534260</t>
  </si>
  <si>
    <t>"FLAT NO.11," "8, SESHADRI BLOCK, SRIHARI NIVASAM.," GUNTUR - GUNTUR ANP 522034</t>
  </si>
  <si>
    <t>"1-10/1A ST COLONY,CHERUKUPALLI" GUNTUR  NEAR URDU SCHOOL GUNTUR ANP 522309</t>
  </si>
  <si>
    <t>2-97 RAMALAYAM VEEDHI   West Godavari ANP 534313</t>
  </si>
  <si>
    <t>"FLAT 302, SRI GAYATRI ARCADE" "GAYATRI NAGAR 7TH LINE, INNER RING ROAD"  BACK SIDE OF AV DRIVE IN RESTAURANT GUNTUR ANP 522034</t>
  </si>
  <si>
    <t>"3-42,," Near Santa Market "Kalla, Seesali" Seesali WEST GODAVARI ANP 534237</t>
  </si>
  <si>
    <t>16-3-567 JANGAREDDY GUDAM   ADJACENT TO PARIM TOWERS JANGAREDDIGUDUM ANP 534447</t>
  </si>
  <si>
    <t>1-1-119/A/2/1 Suryapet Thallagadda Nalgonda SURYAPET TNG 508213</t>
  </si>
  <si>
    <t>27-9-14/205 NSC bose road NSC bose road West Godavari TANUKU ANP 534211</t>
  </si>
  <si>
    <t>19 28 GRND FLR NEAR BSNL KRISHNA ANDHRA PRADESH VELLAMPETA KRISHNA ANDHRA PRADESH VELLAMPETA KRISHNA ANDHRA PRADESH VELLAMPETA GUDIVADA ANP 521333</t>
  </si>
  <si>
    <t>H NO 2 7 52 KURMAVADA JANGAON NEAR ICICI BANK WARANGAL ANP 506167</t>
  </si>
  <si>
    <t>H.NO.4-7-3/1/A/2 BALAJI NAGAR SANGAREDDY NEAR TARA DEGREE COLLEGE HYDERABAD TNG 502001</t>
  </si>
  <si>
    <t>"4-40,MAIN ROAD,ALLUR,ALLUR" ...  NEAR TEMPLE NANDYAL ANP 518134</t>
  </si>
  <si>
    <t>"15-135,KODURU,KODURU" "KRISHNA,ANDHRA PRADESH"  XX GUDIVADA ANP 521328</t>
  </si>
  <si>
    <t>3 93 2 CHINTHALAGARUVU VADDIPARRU    BHIMAVARAM ANP 534267</t>
  </si>
  <si>
    <t>"1/506,1/506/9," khooni moholla khooni moholla -alpha school safari builders KURNOOL ANP 518301</t>
  </si>
  <si>
    <t>"NO 11/19/13," "RAMI REDDY PETANARASARAOPETA," GUNTUR NEAR TEMPLE GUNTUR ANP 522601</t>
  </si>
  <si>
    <t>2 LINE GUNTUR URBAN GUNTUR H NO 35-3-361 VINGAL RAO NAGAR  ARUNDALPETGuntur GTR ANP 522002</t>
  </si>
  <si>
    <t>H.NO.1.30 manakondur.mandal ..manakondur.mandal Karimnagar KARIMNAGAR TNG 505505</t>
  </si>
  <si>
    <t>"D.NO-13-594/25," "6TH FLOOR, SAI GOKULAHERITAGE APPARTMENT" "GOPURAM STREET, PUTTAPARTHI" ABOVE GOKULA SUPER BAZAR PUTTAPARTHI ANP 515134</t>
  </si>
  <si>
    <t>"7-139/2, ,UPPAL,,KAMALAPUR MANDALAM,"    KARIMNAGAR TNG 505101</t>
  </si>
  <si>
    <t>"FLATNO 102 SRINIVASA,RESIDENCY,MARUTHI,," "NAGAR BHIMAVARAM,BHIMAVARAM, MANDLAM" WEST GODAVRI ANDHRAPRADESH NR KALI MATA MANDIR BHIMAVARAM ANP 534201</t>
  </si>
  <si>
    <t>H-NO 3-90 CHERIAL MANDAL CHUNCHANAKOTA WARANGAL WARANGAL TNG 506223</t>
  </si>
  <si>
    <t>9-11-21 ALLAGADDA MEDARA STREET KURNOOL NANDYAL ANP 518543</t>
  </si>
  <si>
    <t>1-48/2 GOLLAPROLU MANDALAM KOTTAURU EAST GODAVARI KAKINADA ANP 533449</t>
  </si>
  <si>
    <t>3-8/1 VAKALAPUDI VENKATESWARA NAGAR SURYA MAHAL KAKINADA ANP 533005</t>
  </si>
  <si>
    <t>2-65-A DEVANAKONDA NEAR BUSTAND KURNOOL ROAD  KURNOOL ANP 518465</t>
  </si>
  <si>
    <t>6-25 BODE NAIK THANDA  DORNALA NANDYAL ANP 523331</t>
  </si>
  <si>
    <t>1-193 ADDATEEGALA MANDALAM LIBRARY STREET  KAKINADA ANP 533428</t>
  </si>
  <si>
    <t>"H NO.1-10-205/4," GRAIN MARKET JANGAON WARANGAL NEAR GRAIN MARKET WARANGAL TNG 506167</t>
  </si>
  <si>
    <t>"31-180,RAM NAGAR RAM NAGAR DHARMAVARAM" "DHARMAVARAM,ANANTAPUR"  NEAR MAIN ROAD HINDUPUR ANP 515671</t>
  </si>
  <si>
    <t>"DO NO 22-12-40/9,TANUKU MANDALAM," "MUTYALA VARI STREET,BESIDE OF CHURCH," "SOCIETY BACK SIDE,TANUKU MANDALAM" BESIDE OF CHURCH TANUKU ANP 534211</t>
  </si>
  <si>
    <t>Intense technologies Pvt Ltd "A1, Vikrampuri" Secunderabad Secunderabad HYDERABAD TNG 500009</t>
  </si>
  <si>
    <t>RAPIDO HYDERABAD PATANCHERU PATANCHERU HYDERABAD TNG 502001</t>
  </si>
  <si>
    <t>Diverse lynx india priVate limited Noida Noida Noida NOIDA UTP 201301</t>
  </si>
  <si>
    <t>UMESH.FASHIONS 631.A.MOSQUE.ROAD MUNICIPAL.OFFICE.CIRCLE. MUNICIPAL.OFFICE.CIRCLE. TIRUPATHI ANP 517501</t>
  </si>
  <si>
    <t>YOUGHEE.VASHTRALAYAM.H KONDAMALLEPALLY HYD.ROAD.. HYD.ROAD.. GodavariKhani TNG 508243</t>
  </si>
  <si>
    <t>Govt.of.Telangana H.no.3.56 Gandhi.chowk. Gandhi.chowk. NIZAMABAD TNG 503187</t>
  </si>
  <si>
    <t>Triumph.motorcycles 1.26b.Korlamanda. Korlamanda.. Korlamanda.. GUDIVADA ANP 521214</t>
  </si>
  <si>
    <t>ROYALSUNDARAM.GENERAL.INSURANCE.COMPANY RoyalSundaramin.Hno.26.II.152. Medikonda.building.2nd.floor..1St.cross. Medikonda.building.2nd.floor..1St.cross. NELLORE ANP 524004</t>
  </si>
  <si>
    <t>YBS.INFRA.PVT.LTD hname.sudhama.1lane srikrishnaderayanagar..thurakapalemroad. srikrishnaderayanagar..thurakapalemroad. GUNTUR ANP 522002</t>
  </si>
  <si>
    <t>ICICI BANK LIMITED BP 4 TECHNOPOLIS BUIDING 4TH FLOOR SECTOR LAKE CITY KOLKATHA SECTOR LAKE CITY KOLKATHA KOLKATA WBL 700091</t>
  </si>
  <si>
    <t>ACRONOTICS PRIVATE LIMITED "NO.507, 4TH BLOCK, 1ST PHASE, HBR LAYOUT" "OUTG ROAD, BENGALURU, KARNATAKA 560043" "OUTG ROAD, BENGALURU, KARNATAKA 560043" BANGALORE KAR 560043</t>
  </si>
  <si>
    <t>TEST YANTRA SOFTWARE SOLUTIONS INDIA PRI 88 3RD FLOOR BRIGADE CHAMBERS GANDHI BAZAR MAIN RD BASAVANAGUDI GANDHI BAZAR MAIN RD BASAVANAGUDI BANGALORE KAR 560004</t>
  </si>
  <si>
    <t>EXPLEO SOLUTIONS LIMITED RAJIV GANDHI SALAI KANDANCHAVADI KANDANCHAVADI CHENNAI TMN 600096</t>
  </si>
  <si>
    <t>GOVERNMENT OF AP KARUMURU REPALLE GUNTUR GUNTUR GUNTUR ANP 522265</t>
  </si>
  <si>
    <t>HANU SOFTWARE SOLUTIONS INDIA PRIVATE GLOBLE  DELIVAR CENTER INDIA UNIT F2 FIRST FLOOR PLOT NO 6 GRETAR NOIDA FIRST FLOOR PLOT NO 6 GRETAR NOIDA NOIDA UTP 201308</t>
  </si>
  <si>
    <t>PRICEWATER HOUSE COOPERS PRIVATE LIMITED SALARPURIA SATTVA KNOWLEDGE CITY OCTAVE BUILDING NO 2 - UNIT 2 8TH FLOOR OCTAVE BUILDING NO 2 - UNIT 2 8TH FLOOR HYDERABAD TNG 500081</t>
  </si>
  <si>
    <t>RELIANCE JIO RELIANCE CORPORATE IC LTD   HINDUPUR ANP 515551</t>
  </si>
  <si>
    <t>CHAITANYA GODAVARI GRAMEENA BANK O/O CHAITANYA GODAVARI GRAMEENA BANK JANGAREDDY GUDDEM BRANCH JANGAREDDY GUDDEM BRANCH JANGAREDDIGUDUM ANP 534447</t>
  </si>
  <si>
    <t>TECH MAHINDRA LIMITED 1-10 HIECTCITY HIECTCITY HYDERABAD TNG 500082</t>
  </si>
  <si>
    <t>BHARTI AXA LIFE INSURANCE "D NO 6-9-14, 2ND FLOOR" SIVALAYAM STREET T NAGAR SIVALAYAM STREET T NAGAR RAJAHMUNDRY ANP 533101</t>
  </si>
  <si>
    <t>ICICI BANK LIMITED 10-88 Above varasanjivani hospital Beside venk Above varasanjivani hospital Beside venk GUDIVADA ANP 521333</t>
  </si>
  <si>
    <t>JAYA LAXMI ELETRINCALS YDERABAD ROAD ROAD WARANGAL ANP 506167</t>
  </si>
  <si>
    <t>JYOTHISAREE CENTER SANGAREDDY H NO 4-7-3/1/A/2 H NO 4-7-3/1/A/2 HYDERABAD TNG 502001</t>
  </si>
  <si>
    <t>TERADATA INDIA PRIVATE LIMITED PRESTIGE PEGASUS 3RD FLOOR 14 MARATHALLI SARJAPUR RD AMBLIPURA HARALUR SARJAPUR RD AMBLIPURA HARALUR BANGALORE KAR 560103</t>
  </si>
  <si>
    <t>WIPRO LIMITED ALSO WIPRO TECHNOLOGIES A "SY NO 64, SERILLINGAMPALLIMADHAPUR, NEAR" "HITEC CITY,PATRIKA NAGAR,HYDERABAD" "HITEC CITY,PATRIKA NAGAR,HYDERABAD" HYDERABAD TNG 500081</t>
  </si>
  <si>
    <t>COGNIZANT TECHNOLOGY SOLUTIONS INDIA PVT LTD MANYATA EMBASSY BUSINESS PARK NEAR NAGAWARA NEAR NAGAWARA BANGALORE KAR 560045</t>
  </si>
  <si>
    <t>"MBM,frst floor,sanchR BHAVAN" CUDDAPAH   CUDDAPAH ANP 516001</t>
  </si>
  <si>
    <t>LUXOFT INDIA LLP "GROUND FLOOR,GARDENIA 2D BUILDING," "EMBASSY TECH VILLAGE,DEVARABISANHALI" "EMBASSY TECH VILLAGE,DEVARABISANHALI" BANGALORE KAR 560103</t>
  </si>
  <si>
    <t>SACHIVALAYAM 20 LINE ARCH CENTER GUNTUR URBAN DOOR NO 34-113/1 SARADA COLONY 153 WARD   GTR ANP 522002</t>
  </si>
  <si>
    <t>TELANGANA.STATE.POLICE.DEPARTMENT SIRCILLA..SARDAPUR 17TH.BATTALION. 17TH.BATTALION. GodavariKhani TNG 505301</t>
  </si>
  <si>
    <t>FLIPKART INTERNET PRIVATE LIMITED "FLIPKART INTERNET PVT LTD," "ALYSSA BEGONIA AND CLOVER, EMBASSYTECH" "ALYSSA BEGONIA AND CLOVER, EMBASSYTECH" BANGALORE KAR 560103</t>
  </si>
  <si>
    <t>The Crescents College of Busin 44-8-1 Janpak Janpak WARANGAL TNG 506013</t>
  </si>
  <si>
    <t>CAPGEMINI TECHNOLOGY SERVICES INDIA LIMI PLOT NO.14 RAJIV GANDHI INFOTECH PARK PHASE 3 MIDC SEZ VILLAGE MAN PUNE PHASE 3 MIDC SEZ VILLAGE MAN PUNE PUNE MAH 411057</t>
  </si>
  <si>
    <t>GOVERNMENT OF TELANGANA "H NO 12-5-139/A/1,GANESH NAGAR," SIDDIPET SIDDIPET MEDAK TNG 502103</t>
  </si>
  <si>
    <t>RELIANCE SMSL LIMITED "C/O RELIANCE SMART,SY NO 23/1,OLDWARD 16" "BLOCK 1,TB ROAD,ALLAGADDA,NR OLD BUSSTOP" "BLOCK 1,TB ROAD,ALLAGADDA,NR OLD BUSSTOP" NANDYAL ANP 518543</t>
  </si>
  <si>
    <t>GREENKO ENERGIES PRIVATE LIMITED "GREENKO CAMP OFFICE,GREENKO GANI SOLAR P" "BRAMHANAPALLI,ORVAKAL,KURNOOL" "BRAMHANAPALLI,ORVAKAL,KURNOOL" KURNOOL ANP 518010</t>
  </si>
  <si>
    <t>GOVT OF ANDHRA PRADES VENKATANAGAR -01 KAKINADA KAKINADA KAKINADA ANP 533003</t>
  </si>
  <si>
    <t>GOVERNMENT OF ANDHRA PRADESH "SY NO 01,NELATHALAMARRI SACHIVALAYAM" "DEVANKONDA MANDAL,KURNOOL" "DEVANKONDA MANDAL,KURNOOL" KURNOOL ANP 518465</t>
  </si>
  <si>
    <t>GOVERNMENT OF ANDHRA PRADESH "SY NO 01,CHINNAGUDIPADU SACHIVALAYAM" "DORAKONDA  MANDAL,PRAKASAM,BESIDE RBK" "DORAKONDA  MANDAL,PRAKASAM,BESIDE RBK" NANDYAL ANP 523331</t>
  </si>
  <si>
    <t>GOVERNMENT OF ANDHRA PRADESH 3-18  EAST LAKSHMIPURAM PANCHAYAT OFFICE EAST LAKSHMIPURAM YELESWARAM KAKINADA EAST LAKSHMIPURAM YELESWARAM KAKINADA KAKINADA ANP 533429</t>
  </si>
  <si>
    <t>COGNIZANT TECHNOLOGY SOLUTIONS INDIA PRI "PLOT NO.129-132, DLF BUILDING APHB COLON" Y GACHIBOWLI SERILINGAMPALLY Y GACHIBOWLI SERILINGAMPALLY HYDERABAD TNG 500019</t>
  </si>
  <si>
    <t>CROP AND ANIMAL PRODUCTION HUNTING AND R "9/368,KPT STREET" ANANTAPUR ANANTAPUR HINDUPUR ANP 515671</t>
  </si>
  <si>
    <t>STATE GOVERNMENT "STATE GOVERNMENT OF ANDHRAPRADESH," "AREA HOSPITAL,PALACOLE,PALACOLE" "AREA HOSPITAL,PALACOLE,PALACOLE" PALAKOL ANP 534260</t>
  </si>
  <si>
    <t>JANGAREDDIGUDUM</t>
  </si>
  <si>
    <t>0000000021557910</t>
  </si>
  <si>
    <t>0000000023476077</t>
  </si>
  <si>
    <t>0000000024568444</t>
  </si>
  <si>
    <t>0000000026420277</t>
  </si>
  <si>
    <t>0000000026463150</t>
  </si>
  <si>
    <t>0000000027679556</t>
  </si>
  <si>
    <t>0000000030532921</t>
  </si>
  <si>
    <t>0000000030878455</t>
  </si>
  <si>
    <t>0000000033437554</t>
  </si>
  <si>
    <t>0000000025233314</t>
  </si>
  <si>
    <t>0000000021423706</t>
  </si>
  <si>
    <t>0000000025561168</t>
  </si>
  <si>
    <t>0000000020766579</t>
  </si>
  <si>
    <t>0000000022692777</t>
  </si>
  <si>
    <t>0000000027552106</t>
  </si>
  <si>
    <t>0000000030251625</t>
  </si>
  <si>
    <t>0000000015159599</t>
  </si>
  <si>
    <t>0000000018246597</t>
  </si>
  <si>
    <t>0000000018737568</t>
  </si>
  <si>
    <t>0000000020272424</t>
  </si>
  <si>
    <t>0000000021514294</t>
  </si>
  <si>
    <t>0000000016400488</t>
  </si>
  <si>
    <t>0000000019051324</t>
  </si>
  <si>
    <t>0000000021193660</t>
  </si>
  <si>
    <t>0000000022965306</t>
  </si>
  <si>
    <t>0000000025584972</t>
  </si>
  <si>
    <t>0000000025051779</t>
  </si>
  <si>
    <t>0000000034408931</t>
  </si>
  <si>
    <t>0000000030274070</t>
  </si>
  <si>
    <t>0000000020268323</t>
  </si>
  <si>
    <t>0000000022905020</t>
  </si>
  <si>
    <t>0000000023526743</t>
  </si>
  <si>
    <t>0000000025082646</t>
  </si>
  <si>
    <t>0000000025434340</t>
  </si>
  <si>
    <t>0000000026434377</t>
  </si>
  <si>
    <t>0000000027048129</t>
  </si>
  <si>
    <t>0000000028307657</t>
  </si>
  <si>
    <t>0000000028801397</t>
  </si>
  <si>
    <t>0000000028906201</t>
  </si>
  <si>
    <t>0000000026203428</t>
  </si>
  <si>
    <t>0000000027341304</t>
  </si>
  <si>
    <t>0000000031816950</t>
  </si>
  <si>
    <t>3 3 UPPALAKALAVAGUNTA PEDANA   PENANA GUDIVADA ANP S</t>
  </si>
  <si>
    <t>LEELAPRASAD/RJY , 6281320071</t>
  </si>
  <si>
    <t>4035620847712003</t>
  </si>
  <si>
    <t>4315810016495016</t>
  </si>
  <si>
    <t>4315810077489080</t>
  </si>
  <si>
    <t>4315810168894008</t>
  </si>
  <si>
    <t>4315810504790019</t>
  </si>
  <si>
    <t>4315810542102003</t>
  </si>
  <si>
    <t>4315810624403006</t>
  </si>
  <si>
    <t>4315810645435003</t>
  </si>
  <si>
    <t>4315810675165017</t>
  </si>
  <si>
    <t>4315812424049005</t>
  </si>
  <si>
    <t>4315812528870009</t>
  </si>
  <si>
    <t>4315813997126006</t>
  </si>
  <si>
    <t>4315814312194000</t>
  </si>
  <si>
    <t>4315814565707003</t>
  </si>
  <si>
    <t>4315814576350009</t>
  </si>
  <si>
    <t>4375513527088000</t>
  </si>
  <si>
    <t>4375517881706008</t>
  </si>
  <si>
    <t>4375517909427009</t>
  </si>
  <si>
    <t>4375519488585009</t>
  </si>
  <si>
    <t>4501720803438000</t>
  </si>
  <si>
    <t>4501720836189000</t>
  </si>
  <si>
    <t>4501720856020002</t>
  </si>
  <si>
    <t>4501720942674002</t>
  </si>
  <si>
    <t>4501721032465004</t>
  </si>
  <si>
    <t>4501721051342001</t>
  </si>
  <si>
    <t>4501721054371007</t>
  </si>
  <si>
    <t>4501721062698003</t>
  </si>
  <si>
    <t>4501721073576008</t>
  </si>
  <si>
    <t>4501721085990015</t>
  </si>
  <si>
    <t>4501721135961008</t>
  </si>
  <si>
    <t>4501721155667006</t>
  </si>
  <si>
    <t>4501721158145000</t>
  </si>
  <si>
    <t>4501721165038008</t>
  </si>
  <si>
    <t>4501721171268003</t>
  </si>
  <si>
    <t>4501721175731006</t>
  </si>
  <si>
    <t>4501721176717004</t>
  </si>
  <si>
    <t>4501721191660007</t>
  </si>
  <si>
    <t>4501721193686000</t>
  </si>
  <si>
    <t>4501721229585002</t>
  </si>
  <si>
    <t>4501721272602001</t>
  </si>
  <si>
    <t>4501721381653002</t>
  </si>
  <si>
    <t>4501721396366004</t>
  </si>
  <si>
    <t>4501721410038001</t>
  </si>
  <si>
    <t>4501721635956003</t>
  </si>
  <si>
    <t>4501721734045005</t>
  </si>
  <si>
    <t>4501721812879010</t>
  </si>
  <si>
    <t>4501721885961000</t>
  </si>
  <si>
    <t>4748469529262004</t>
  </si>
  <si>
    <t>6530750092718002</t>
  </si>
  <si>
    <t>MR GONEPALLI SRIKANTH</t>
  </si>
  <si>
    <t>Mr A PRASHANTH</t>
  </si>
  <si>
    <t>MR. IMTHIAJ SYED</t>
  </si>
  <si>
    <t>Mr Mokurala Srikanthgoud</t>
  </si>
  <si>
    <t>MR PALAPARTHI DINESH DINESH</t>
  </si>
  <si>
    <t>MR KODALA BHAGEERATHA REDDY</t>
  </si>
  <si>
    <t>MR ABDULKHADAR VALI SHAIK</t>
  </si>
  <si>
    <t>MR MANOHAR GOLLA</t>
  </si>
  <si>
    <t>MR. NARENDER NAGULA</t>
  </si>
  <si>
    <t>MR Lingamdinne Venkata Sudharshan</t>
  </si>
  <si>
    <t>MR Kadam Ravi Kumar</t>
  </si>
  <si>
    <t>MR Chukka Leela Manohar</t>
  </si>
  <si>
    <t>MR EDARA NITHIN</t>
  </si>
  <si>
    <t>MR Kompallivenkata Subramanya Sar</t>
  </si>
  <si>
    <t>MR. MD ASIF</t>
  </si>
  <si>
    <t>MR VIJENDAR KAMPELLI</t>
  </si>
  <si>
    <t>MR KIRAN KUMAR C</t>
  </si>
  <si>
    <t>MR SIVA BABU YALAMANCHILI</t>
  </si>
  <si>
    <t>Mrs CHANDANAREDDY T</t>
  </si>
  <si>
    <t>MR DESBOINA VENKATA SATYANARAYANA</t>
  </si>
  <si>
    <t>MR MOTHUKURI SRAVAN PRASAD</t>
  </si>
  <si>
    <t>MR N SREEKANTH</t>
  </si>
  <si>
    <t>MS THOTA RAMANUSHA</t>
  </si>
  <si>
    <t>Mr ANDE PARMESHA</t>
  </si>
  <si>
    <t>MR RAMBARAPU KUMAR</t>
  </si>
  <si>
    <t>MRS KAJA SUREKHA</t>
  </si>
  <si>
    <t>MR MARELLA SIVARAMAKRISHNA</t>
  </si>
  <si>
    <t>MS DUDARI HANI</t>
  </si>
  <si>
    <t>MR BANOTHU NARESH</t>
  </si>
  <si>
    <t>MR PERUMANDLA PRASAD</t>
  </si>
  <si>
    <t>MR VENGALA REDDY SOMA</t>
  </si>
  <si>
    <t>MR BANDARU VINOD KUMAR</t>
  </si>
  <si>
    <t>MR GOPALAKRISHAN V</t>
  </si>
  <si>
    <t>MR PEDAPUDI MANIKANTA</t>
  </si>
  <si>
    <t>MR KANTIPUDI SUDHAKAR</t>
  </si>
  <si>
    <t>MS MABBU SIRISHA</t>
  </si>
  <si>
    <t>MR VELPUKONDA MANOHAR</t>
  </si>
  <si>
    <t>MR MAHAMMAD ISMAIEL</t>
  </si>
  <si>
    <t>MR KIRAN MEDABOYINA</t>
  </si>
  <si>
    <t>MR NITTALA SIVA KRISHNA SAI</t>
  </si>
  <si>
    <t>MS TADIPARTHI VIJAYA SREE</t>
  </si>
  <si>
    <t>Mr SONNATHI  SREENATH</t>
  </si>
  <si>
    <t>MR VADDI PRASANA KUMAR</t>
  </si>
  <si>
    <t>MS RASAKONDA ANITHA</t>
  </si>
  <si>
    <t>MR MOHAMMAD MOIZUDDIN</t>
  </si>
  <si>
    <t>MR GUGULOTH SANTHOSH</t>
  </si>
  <si>
    <t>MR PANDI SAI SRI HARSHA</t>
  </si>
  <si>
    <t>MR PEDADA UMA MAHESWARA</t>
  </si>
  <si>
    <t>9704536326</t>
  </si>
  <si>
    <t>9676742794</t>
  </si>
  <si>
    <t>7710092017</t>
  </si>
  <si>
    <t>9705439999</t>
  </si>
  <si>
    <t>7036555954</t>
  </si>
  <si>
    <t>9700417917</t>
  </si>
  <si>
    <t>9948271373</t>
  </si>
  <si>
    <t>9989909340</t>
  </si>
  <si>
    <t>9848946400</t>
  </si>
  <si>
    <t>9908924061</t>
  </si>
  <si>
    <t>7087954442</t>
  </si>
  <si>
    <t>7382077677</t>
  </si>
  <si>
    <t>9059701910</t>
  </si>
  <si>
    <t>9292959338</t>
  </si>
  <si>
    <t>8106312354</t>
  </si>
  <si>
    <t>9441546408</t>
  </si>
  <si>
    <t>9985258143</t>
  </si>
  <si>
    <t>9573327201</t>
  </si>
  <si>
    <t>9676202720</t>
  </si>
  <si>
    <t>9392967282</t>
  </si>
  <si>
    <t>7659076007</t>
  </si>
  <si>
    <t>9573167958</t>
  </si>
  <si>
    <t>9848933599</t>
  </si>
  <si>
    <t>9032813407</t>
  </si>
  <si>
    <t>9533133161</t>
  </si>
  <si>
    <t>8341371139</t>
  </si>
  <si>
    <t>8978845834</t>
  </si>
  <si>
    <t>9182288272</t>
  </si>
  <si>
    <t>6305241311</t>
  </si>
  <si>
    <t>9704053025</t>
  </si>
  <si>
    <t>7095849565</t>
  </si>
  <si>
    <t>8187089205</t>
  </si>
  <si>
    <t>9912947665</t>
  </si>
  <si>
    <t>9154477571</t>
  </si>
  <si>
    <t>7793943793</t>
  </si>
  <si>
    <t>7569399106</t>
  </si>
  <si>
    <t>9618756378</t>
  </si>
  <si>
    <t>8341737672</t>
  </si>
  <si>
    <t>9959638024</t>
  </si>
  <si>
    <t>8500707042</t>
  </si>
  <si>
    <t>8790147174</t>
  </si>
  <si>
    <t>9440485230</t>
  </si>
  <si>
    <t>9885675572</t>
  </si>
  <si>
    <t>9014134881</t>
  </si>
  <si>
    <t>9989933764</t>
  </si>
  <si>
    <t>9603590216</t>
  </si>
  <si>
    <t>8686010370</t>
  </si>
  <si>
    <t>9052121244</t>
  </si>
  <si>
    <t>1 1/26 NAMILIKONDA KARIMNAGAR KODIMIAL  KARIMNAGAR KARIMNAGAR TNG 505501</t>
  </si>
  <si>
    <t>"4-20,TANOOR,TANOOR,TANOOR"    Adilabad TNG 504102</t>
  </si>
  <si>
    <t>"24-84, NEAR TTD KALYANA MANDAPAM" KONERUPET NUJIVEED XXX NUZVID ANP 521201</t>
  </si>
  <si>
    <t>"2-6-1,RAMNAGAR,56/A FLR,SANGAREDDY, SANGAREDDY,SANGAREDDY"    Medak TNG 502001</t>
  </si>
  <si>
    <t>"14-2-21/A MRUTHYUM JAI,NAGAR,ROY PETA," "NARASAPURAM,NARASAPURAM" WEST GODAVARI - WEST GODAVARI ANP 534275</t>
  </si>
  <si>
    <t>HNO 2/66B NO 2/66B O C COLONY D CHERLOPALLE  NEAR RAMALAYAM HINDUPUR ANP 515672</t>
  </si>
  <si>
    <t>D NO 2-9 MAIN ROAD  NEAR TEMPLE NANDYAL ANP 523330</t>
  </si>
  <si>
    <t>H NO 20-1-98/43 NO 124 M JAI BHEEM NAGAR NR BUS STAND COLONY Karimnagar TNG 505209</t>
  </si>
  <si>
    <t>"3-27,ground fl,Pruthviraj nilayam" "Street 4,Street 4" Argul Near water tank NIZAMABAD TNG 503224</t>
  </si>
  <si>
    <t>House Number 10/184-2 Badvel Road Badvel Road Cuddapah PRODDATUR ANP 516172</t>
  </si>
  <si>
    <t>3/109   Kurnool KURNOOL ANP 518405</t>
  </si>
  <si>
    <t>77.30.1.10 prakash.nagar fire.station.road Krishna VIJAYAWADA ANP 520015</t>
  </si>
  <si>
    <t>FLAT NUMBER 404 E V R RESIDENCY TENALI EDARA RAMAIHA STREET N T R CENTRE VIJAYAWADA ANP 522201</t>
  </si>
  <si>
    <t>3.4.14.A..THAMMIRI.VARI.STREET VIDYADHARAPURAM..CHERUVU.CENTER Vijayawada..Urban. SITARA VIJAYAWADA ANP 520012</t>
  </si>
  <si>
    <t>WATER COLONY NASPUR MANCHERIAL ND 1976 NAGARJUNA COLONY BESIDE Adilabad Mancherial ADL TNG 504302</t>
  </si>
  <si>
    <t>1-12 MUTHOJIPET   NEAR POST OFFICE Warangal TNG 506132</t>
  </si>
  <si>
    <t>"6TH LANE,5-41-7, FLR,6 LANE,BRODIPETA,GUNTUR," NEAR GURUVAYA SCHOOL BACKSIDE GUNTUR - GUNTUR ANP 522002</t>
  </si>
  <si>
    <t>MAIN ROAD SRUGAVARAM ROWTHALPUDI  KAKINADA ANP 533446</t>
  </si>
  <si>
    <t>"1-1,KALIVERU,CHARLA," KOTHAGATLA-LINGALA CROSS ROADS   KHAMMAM TNG 507140</t>
  </si>
  <si>
    <t>HNO 4-2-75/2/1/2 SRINIVASA NAGAR DASTA COLONY NEAR AYYAPPA SWAMY TEMPLE BESID3 SATYAM KIRANAM KHAMMAM TNG 507003</t>
  </si>
  <si>
    <t>3-8-289/1 GUTTALA BAZAR  KHAMMAM KHAMMAM TNG 507001</t>
  </si>
  <si>
    <t>2-4-25 BHAVANI NAGAR   MEHBOOBNAGAR TNG 509125</t>
  </si>
  <si>
    <t>13-26-28 NEAR ST ANNS SCHOOL  CHINNA APPARAO THOTA BHIMAVARAM ANP 534201</t>
  </si>
  <si>
    <t>"HNO,3-143 PITTAM PALLE,KAPARTHY," "KHURD CHITYALA,MANDAL"   NALGONDA TNG 508114</t>
  </si>
  <si>
    <t>"DOOR,NO 20 7 41/6 YADAVULA,VARI," "STREET SUNKARA,PADDAYYA VARI," STREET BHIMAVARAM  WEST GODAVARI ANP 534201</t>
  </si>
  <si>
    <t>"2-12-82 VIDYARANYAPURI,OPPOSITE," "KU POLICE STATION,HANAMKONDA," WARANGAL ANDHRAPRADESH 506009  WARANGAL TNG 506009</t>
  </si>
  <si>
    <t>5-1-104 SIDDHARTHA NAGAR  BESIDE ST ARNOLDS HIGH SCHOOL HYDERABAD TNG 502001</t>
  </si>
  <si>
    <t>"3-30-14,3RD LINE,PEDDACHERUVU,NARASARAOPET," 3-30-14   GUNTUR ANP 522601</t>
  </si>
  <si>
    <t>7-1-364/12/2A PADMAKSHI COLONY HANMAKONDA SAIBABA TEMPLE SREE RAM NAGAR WARANGAL TNG 506001</t>
  </si>
  <si>
    <t>4-2-338 KOTHURJENDDA SHUBASH NAGAR HANAMKONDA NEAR MAIN ROAD WARANGAL TNG 506001</t>
  </si>
  <si>
    <t>",2-4-21," ",PWD COLONY," PULIVENDULA NEAR TTD KADAPA ANP 516390</t>
  </si>
  <si>
    <t>15/28/3 MARUTHINAGAR NANDIKOTKUR SHIVALAYAM TEMPLE KURNOOL ANP 518401</t>
  </si>
  <si>
    <t>"8-101,PALEM(P) BIJENEPAL,NAGARKURNOOL," OLD HOSPITAL STREET   MAHBUBNAGAR TNG 509215</t>
  </si>
  <si>
    <t>16-2-11 KABADI VEEDHI PEDDAPURAM MANDALAM PEDDAPURAM EAST GODAVARI EAST GODAVARI BUS STOP PEDDAPURAM ANP 533437</t>
  </si>
  <si>
    <t>8-63 GANDHINAGAR - 10  SATHUPALLI MANDALAM KHAMMAM TNG 507303</t>
  </si>
  <si>
    <t>"6-2-1107,NALGONDA,VT COLONY"    NALGONDA TNG 508001</t>
  </si>
  <si>
    <t>16-9-1095 "AC REDDY NAGAR,WARANGAL" "WARANGAL,SHIVANAGAR" NEAR BY KIRANAM SHOP WARANGAL TNG 506002</t>
  </si>
  <si>
    <t>"RAIN,THREE PARK DWARAKA,KRISHNA," "MAPLE BLOCK FLOT,328 NATIONAL,HIGH ROAD"   GUNTUR ANP 522508</t>
  </si>
  <si>
    <t>"4-182,HANMAPUR,HANUMAPUR"    NALGONDA TNG 508116</t>
  </si>
  <si>
    <t>1-84/1 BALLIPADU    West Godavari ANP 534340</t>
  </si>
  <si>
    <t>DOOR NO. 2-184 BAR -1 MORTI COLONY GANGNAPALLI RORAL EAST WIPER P-SHREENIVASRAV KAKINADA GANGNAPALLI KAKINADA RORAL EAST KAKINADA ANP 533006</t>
  </si>
  <si>
    <t>"10-76,RAM NAGAR COLONY,NAGARKURNOOL," NAGARKURNOOL   MAHABUBNAGAR TNG 509209</t>
  </si>
  <si>
    <t>D/O 1-61 THIMAPURAM AMBEEDKAR STREET   AMBEDKAR STREET KAKINADA ANP 533005</t>
  </si>
  <si>
    <t>H NO 6-24-116 NIZAMABAD DUBBA NIZAMABAD NIZAMABAD TNG 503002</t>
  </si>
  <si>
    <t>4-6-45 MOGHALPURA   PEDDAPALLI TNG 505172</t>
  </si>
  <si>
    <t>H no 3-78Kodakandla Mandalam Devuni bai thanda Pochampally  Kodakandla MandalamJangoan WNL TNG 506317</t>
  </si>
  <si>
    <t>"22 52,NAMBURU GUNTUR ANDHRA,PRADESH,5225" 08  NEAR WATER TANK GUNTUR ANP 522508</t>
  </si>
  <si>
    <t>2-32 KOTABOMMALI SURYANARAYANA PURAM  SRIKAKULAM ANP 532432</t>
  </si>
  <si>
    <t>HCL TECHNOLOGIES LIMITED TOWER 8 MAGARPATA MAGARPATA PUNE MAH 411028</t>
  </si>
  <si>
    <t>SS health Care services AND surgicals Bhainsa Opp sbi bank Opp sbi bank Adilabad TNG 504103</t>
  </si>
  <si>
    <t>INDIAN INSTITUTE OF CHEMICAL TECHNOLOGY NR JOHNSON GRAMMAR SCHOOL   Hyderabad TNG 500023</t>
  </si>
  <si>
    <t>Shiva ganga water trchologies "2-6-1,ramnagar,56/a Flr,sangareddy, Sangareddy,sangareddy" Sangareddy Sangareddy Medak TNG 502001</t>
  </si>
  <si>
    <t>TVS EDUCATIONAL SOCIETY APOLLO TYRES SIPCOT INDUSTRIAL GROWTH CENTRE 10 RAGADAM CENTRE 10 RAGADAM CHENNAI TMN 602105</t>
  </si>
  <si>
    <t>SRINIVASA RAMANUJAM INSTITUTE OF TECHNOLOGY ROTARYPURAM VILLEGE ROTARYPURAM VILLEGE ANANTAPUR ANP 515701</t>
  </si>
  <si>
    <t>PENNA CEMENT INDUSTRIES LTD D NO 1-10 MAIN ROAD PENNA COLONY BOAY REDDY PALLI YADAK MANDALAM REDDY PALLI YADAK MANDALAM ANANTAPUR ANP 515408</t>
  </si>
  <si>
    <t>FRIENDS INTERNET FRIENDS INTERNET   Karimnagar TNG 505209</t>
  </si>
  <si>
    <t>INFOR INDIA PRIVATE LIMITED INFOR INDIA LTD QCITY BULG NR WIPRO CIRCLE NR WIPRO CIRCLE Rangareddy TNG 500032</t>
  </si>
  <si>
    <t>WIPRO LIMITED SARJAPUR ROAD BANGALORE BANGALORE BANGALORE KAR 560035</t>
  </si>
  <si>
    <t>VIRTUSA CONSULTING SERVICES PVT LTD "SY NO115, NANAKRAMGUDA VILLAGE" "SANGAREDDY DISTRICT, HYDERABAD TELANGANA" "SANGAREDDY DISTRICT, HYDERABAD TELANGANA" HYDERABAD TNG 500032</t>
  </si>
  <si>
    <t>SIVA.SAI.VASTRALAYAM 77.28.1.1 FIRE.STATION.ROAD.PRAKASH.NAGAR.. FIRE.STATION.ROAD.PRAKASH.NAGAR.. VIJAYAWADA ANP 520015</t>
  </si>
  <si>
    <t>CAPGEMINI TECHNOLOGY SERVICES INDIA LIMI "73/1,SUMMIT TOWER A" "WHITE FIELD,BENGALURU" "WHITE FIELD,BENGALURU" BANGALORE KAR 560048</t>
  </si>
  <si>
    <t>SARMA.TUTORIAL 3.4.14 V.d.puram. V.d.puram. VIJAYAWADA ANP 520012</t>
  </si>
  <si>
    <t>SRIRAMPUR SRP OPEN CAST PROJECT SINGARENI COLLIERIES CO LIMITED Adilabad Adilabad ADL TNG 504302</t>
  </si>
  <si>
    <t>CIVIL CONTRACTOR HN0-1-21 MUTHOJIPET   Warangal TNG 506132</t>
  </si>
  <si>
    <t>ARYA DEVELOPERS NO 138 2ND FLOOR KODIGEHALLI MAIN ROAD SAHAKAR NAGAR SAHAKAR NAGAR BANGALORE KAR 560092</t>
  </si>
  <si>
    <t>VENKATESARA HATCHERIES PVT LTD 391 1A SRIKRISHNAPATNAM VILLAGE RAJ RAJAMUNDRY RAJAMUNDRY RAJAHMUNDRY ANP 533294</t>
  </si>
  <si>
    <t>OWIT India services ltd "Unit 4, Level 6," SS Tech Park SS Tech Park HYDERABAD TNG 500032</t>
  </si>
  <si>
    <t>GOVT OF TS VETERINARY ASSISTANT SURGEON VETERINARY HOSPITAL KOYACHALAKA RAGHUNATHAPALAS RAGHUNATHAPALAS KHAMMAM TNG 507003</t>
  </si>
  <si>
    <t>SHRIRAM TRANSPORT FINANCE COMPANY LTD "HNO. 1-88 , MBR COMPLEX" 4TH FLOOR HURZURNAGAR ROAD 4TH FLOOR HURZURNAGAR ROAD SURYAPET TNG 508206</t>
  </si>
  <si>
    <t>HCL TECHNOLOGIES LTD HCL TECHN HNO 2-4-25 "Bhavaninagar,Gadwal,Jogulamba Gadwal dist" "Bhavaninagar,Gadwal,Jogulamba Gadwal dist" MAHABUBNAGAR TNG 509125</t>
  </si>
  <si>
    <t>ACCENTURE SOLUTIONS PRIVATE LIMITED DIVYA SHREE ORION TOWER NAGA HILLS ROAD NAGA HILLS ROAD HYDERABAD TNG 500032</t>
  </si>
  <si>
    <t>sfc restarunt beside bustand choutuppal mandalam choutuppal mandalam NALGONDA TNG 508252</t>
  </si>
  <si>
    <t>GETRONICS SOLUTIONS INDIA PVT "DNO 4-68/2, Narayanamma thota" Brodipeta 5th street Brodipeta 5th street PALAKOL ANP 534260</t>
  </si>
  <si>
    <t>Not Applicable Nil Nil Nil WARANGAL TNG 506009</t>
  </si>
  <si>
    <t>MTR FOODS PRIVATE LIMITED 80 BOMMASAN DRA INDUSTRIAL AREA HEBBAGODI HEBBAGODI BANGALORE KAR 560099</t>
  </si>
  <si>
    <t>SMARTSOC SOLUTIONS PVT LTD Sri Sai homes apartments flat no 512 Madhuranagr issapalem check post Madhuranagr issapalem check post GUNTUR ANP 522601</t>
  </si>
  <si>
    <t>TRANSCO SALIVAGU JOGAMPALLI JOGAMPALLI WARANGAL TNG 506164</t>
  </si>
  <si>
    <t>GOVERNMENT OF TELANGANA 2-9-135/3 VIKASNAGAR HANAMKONDA VIKASNAGAR HANAMKONDA WARANGAL TNG 506001</t>
  </si>
  <si>
    <t>VALUELABS LLP VALUE  LABS PLOT 41 HITECH CITY MADHAPUR BESIDE DELLL INTR MADHAPUR BESIDE DELLL INTR Hyderabad TNG 500081</t>
  </si>
  <si>
    <t>SPANDANA SPHOORTY FINANCIAL LIMITED D NO 15/9K/16 MARUTHI NAGAR NANDIKOTKUR KURNOOL NANDIKOTKUR KURNOOL KURNOOL ANP 518401</t>
  </si>
  <si>
    <t>NARAYANA EDUCATIONAL SOCIETY Nagarkurnool Nagarkurnool Nagarkurnool MAHABUBNAGAR TNG 509209</t>
  </si>
  <si>
    <t>APPSTEK SOLUTIONS PVT LTD 17TH FLOOR KAPIL TOWERS FINANCIAL DISTRICT GACHIBOWLI HYDERABAD DISTRICT GACHIBOWLI HYDERABAD HYDERABAD TNG 500032</t>
  </si>
  <si>
    <t>MUNCIPAL OFFICE SATHUPALLY KHAMMAM KHAMMAM KHAMMAM TNG 507001</t>
  </si>
  <si>
    <t>Tsredco 6-2-910 Viveshwarya bhavan Viveshwarya bhavan HYDERABAD TNG 500004</t>
  </si>
  <si>
    <t>DEPARTMENT OF POST NAKKALAGUTTA HANAMKONDA HANAMKONDA WARANGAL TNG 506001</t>
  </si>
  <si>
    <t>Apton Inc Flat number Mapleb328 "Namburu, Rain Tree park" "Namburu, Rain Tree park" GUNTUR ANP 522508</t>
  </si>
  <si>
    <t>ACCENTURE SOLUTIONS PVT LTD "Sez,IT/ITES, nanakramguda vill sherlingampally mandal, ranga reddy dis" Hyd Hyd HYDERABAD TNG 500008</t>
  </si>
  <si>
    <t>AAKASH EDUCATIONAL SERVICES LTD AAKASH INSTITUTE SECOND FLOOR ESHA ELEGANZA SECOND FLOOR ESHA ELEGANZA BELGAUM KAR 590006</t>
  </si>
  <si>
    <t>JANRAL HOSPITAL GOVT GOVT. JANRAL HOSPITAL KAKINADA EAST GODAVARI DISTRICT EAST GODAVARI DISTRICT KAKINADA ANP 533001</t>
  </si>
  <si>
    <t>Not Applicable 22 20 2 nagarkurnool nagarkurnool MAHABUBNAGAR TNG 509209</t>
  </si>
  <si>
    <t>ONGC NO 1-61 AMBEDKAR STREET EAST GODAVARI   KAKINADA ANP 533005</t>
  </si>
  <si>
    <t>DURGA ENTERPRISES LTD H NO 6-22-270 GOUTHAM NAGAR COLONY NIZAM NEAR GOVT GIRIRAJ COLLEGE NEAR GOVT GIRIRAJ COLLEGE NIZAMABAD TNG 503002</t>
  </si>
  <si>
    <t>INDIAN OIL CORPN LIMITED PEDDAPALLE PEDDAPALLE PEDDAPALLE PEDDAPALLI TNG 505172</t>
  </si>
  <si>
    <t>HUZURABAD BRANCH LIC INDIA   HYD TNG 505468</t>
  </si>
  <si>
    <t>WISELINK GLOBAL SERVICES PVT LTD "NO.102,SRI BRUNDHAVAM RESIDENCY,HITEC CI" "BLOCK NO.1,PATRIKA NAGAR,MADHAPUR," "BLOCK NO.1,PATRIKA NAGAR,MADHAPUR," HYDERABAD TNG 500081</t>
  </si>
  <si>
    <t>SRIKAKULAM</t>
  </si>
  <si>
    <t>Manchester United Signature Credit Card by ICICI Bank</t>
  </si>
  <si>
    <t>ICICI Bank MakeMyTrip Travel Credit Card - RuPay</t>
  </si>
  <si>
    <t>0000000024499215</t>
  </si>
  <si>
    <t>0000000012648990</t>
  </si>
  <si>
    <t>0000000013118391</t>
  </si>
  <si>
    <t>0000000013787438</t>
  </si>
  <si>
    <t>0000000015082892</t>
  </si>
  <si>
    <t>0000000015155965</t>
  </si>
  <si>
    <t>0000000015409081</t>
  </si>
  <si>
    <t>0000000015505415</t>
  </si>
  <si>
    <t>0000000015654423</t>
  </si>
  <si>
    <t>0000000020831043</t>
  </si>
  <si>
    <t>0000000021086596</t>
  </si>
  <si>
    <t>0000000026357392</t>
  </si>
  <si>
    <t>0000000027474488</t>
  </si>
  <si>
    <t>0000000028440981</t>
  </si>
  <si>
    <t>0000000028475079</t>
  </si>
  <si>
    <t>0000000009906689</t>
  </si>
  <si>
    <t>0000000011865322</t>
  </si>
  <si>
    <t>0000000011926564</t>
  </si>
  <si>
    <t>0000000013860375</t>
  </si>
  <si>
    <t>0000000018172098</t>
  </si>
  <si>
    <t>0000000023968063</t>
  </si>
  <si>
    <t>0000000025441800</t>
  </si>
  <si>
    <t>0000000022128367</t>
  </si>
  <si>
    <t>0000000024478511</t>
  </si>
  <si>
    <t>0000000025135439</t>
  </si>
  <si>
    <t>0000000025205795</t>
  </si>
  <si>
    <t>0000000025445912</t>
  </si>
  <si>
    <t>0000000025722424</t>
  </si>
  <si>
    <t>0000000026004087</t>
  </si>
  <si>
    <t>0000000027044034</t>
  </si>
  <si>
    <t>0000000027441823</t>
  </si>
  <si>
    <t>0000000027454215</t>
  </si>
  <si>
    <t>0000000027566660</t>
  </si>
  <si>
    <t>0000000027720702</t>
  </si>
  <si>
    <t>0000000027891792</t>
  </si>
  <si>
    <t>0000000027926770</t>
  </si>
  <si>
    <t>0000000028463372</t>
  </si>
  <si>
    <t>0000000028546710</t>
  </si>
  <si>
    <t>0000000021813176</t>
  </si>
  <si>
    <t>0000000022847613</t>
  </si>
  <si>
    <t>0000000025335762</t>
  </si>
  <si>
    <t>0000000025556371</t>
  </si>
  <si>
    <t>0000000025773514</t>
  </si>
  <si>
    <t>0000000028253100</t>
  </si>
  <si>
    <t>0000000033373423</t>
  </si>
  <si>
    <t>0000000029394617</t>
  </si>
  <si>
    <t>0000000033859635</t>
  </si>
  <si>
    <t>0000000026140914</t>
  </si>
  <si>
    <t>0000000033521290</t>
  </si>
  <si>
    <t>4035622551380001</t>
  </si>
  <si>
    <t>4035622600040002</t>
  </si>
  <si>
    <t>4035622606138008</t>
  </si>
  <si>
    <t>4035622628287007</t>
  </si>
  <si>
    <t>4035622724370004</t>
  </si>
  <si>
    <t>4035622737164006</t>
  </si>
  <si>
    <t>4035622772208023</t>
  </si>
  <si>
    <t>4035622796865006</t>
  </si>
  <si>
    <t>4035622858487004</t>
  </si>
  <si>
    <t>4035622876657000</t>
  </si>
  <si>
    <t>4035622906609005</t>
  </si>
  <si>
    <t>4035622973848007</t>
  </si>
  <si>
    <t>4035622990813000</t>
  </si>
  <si>
    <t>4035623002914000</t>
  </si>
  <si>
    <t>4035623026534008</t>
  </si>
  <si>
    <t>4035623031195001</t>
  </si>
  <si>
    <t>4035623121812002</t>
  </si>
  <si>
    <t>4035623153654009</t>
  </si>
  <si>
    <t>4035623369154000</t>
  </si>
  <si>
    <t>4035623421677006</t>
  </si>
  <si>
    <t>4035623426869004</t>
  </si>
  <si>
    <t>4035623441220001</t>
  </si>
  <si>
    <t>4035627458909000</t>
  </si>
  <si>
    <t>4035627501039003</t>
  </si>
  <si>
    <t>4035627565939007</t>
  </si>
  <si>
    <t>4035627665307006</t>
  </si>
  <si>
    <t>4035627749566007</t>
  </si>
  <si>
    <t>4035628146490007</t>
  </si>
  <si>
    <t>4315812550573000</t>
  </si>
  <si>
    <t>4315813363671007</t>
  </si>
  <si>
    <t>4315813698251004</t>
  </si>
  <si>
    <t>4315813742272006</t>
  </si>
  <si>
    <t>4315813803605003</t>
  </si>
  <si>
    <t>4315814057656015</t>
  </si>
  <si>
    <t>4315814475727000</t>
  </si>
  <si>
    <t>4315814952393003</t>
  </si>
  <si>
    <t>4375513125212002</t>
  </si>
  <si>
    <t>4375513125214008</t>
  </si>
  <si>
    <t>4748467945341006</t>
  </si>
  <si>
    <t>4748467954761011</t>
  </si>
  <si>
    <t>4748468039270002</t>
  </si>
  <si>
    <t>4748468051554002</t>
  </si>
  <si>
    <t>4748468323103000</t>
  </si>
  <si>
    <t>4748468390160008</t>
  </si>
  <si>
    <t>4748468534347016</t>
  </si>
  <si>
    <t>4748468653057008</t>
  </si>
  <si>
    <t>4748468655229019</t>
  </si>
  <si>
    <t>4748468707147029</t>
  </si>
  <si>
    <t>4748468799227002</t>
  </si>
  <si>
    <t>4748468799584014</t>
  </si>
  <si>
    <t>4748468865769002</t>
  </si>
  <si>
    <t>4748468880331002</t>
  </si>
  <si>
    <t>4748468912775002</t>
  </si>
  <si>
    <t>4748468956523003</t>
  </si>
  <si>
    <t>4748468957083007</t>
  </si>
  <si>
    <t>4748468995075015</t>
  </si>
  <si>
    <t>4748468998583007</t>
  </si>
  <si>
    <t>5241933885434001</t>
  </si>
  <si>
    <t>5241933889512000</t>
  </si>
  <si>
    <t>5241933982020000</t>
  </si>
  <si>
    <t>5241936602096003</t>
  </si>
  <si>
    <t>5241936721151002</t>
  </si>
  <si>
    <t>5241936750920004</t>
  </si>
  <si>
    <t>5241936841988010</t>
  </si>
  <si>
    <t>6528680932941007</t>
  </si>
  <si>
    <t>MR VADLURI PRADEEP KUMAR</t>
  </si>
  <si>
    <t>MR CHINTHA SRINIVAS</t>
  </si>
  <si>
    <t>MR KHAJA NAZEEMUDDIN</t>
  </si>
  <si>
    <t>MS GUMMI HARITHA</t>
  </si>
  <si>
    <t>MR KANAPARTHI SRINIVAS</t>
  </si>
  <si>
    <t>MR TATIKONDA NARESH</t>
  </si>
  <si>
    <t>MR NEERATI CHANDRAIAH</t>
  </si>
  <si>
    <t>MR MEDISETTI SHYAM KIRAN</t>
  </si>
  <si>
    <t>MS RASINENI HEMAVATHI</t>
  </si>
  <si>
    <t>MR SINGAVARAPU SRINIVAS</t>
  </si>
  <si>
    <t>MR DHARLA HARISH</t>
  </si>
  <si>
    <t>MS URKONDA SRAVANI</t>
  </si>
  <si>
    <t>MR NISSANKARARAO RAVITEJA</t>
  </si>
  <si>
    <t>MS KARUR DURGA</t>
  </si>
  <si>
    <t>MR BODAGOLLA ANJANEYULU</t>
  </si>
  <si>
    <t>MR MOHAMMED NAZEERUDDIN</t>
  </si>
  <si>
    <t>MR BOMMISETTY SIVAIAH</t>
  </si>
  <si>
    <t>MR KOTLA AYYASWAMULU</t>
  </si>
  <si>
    <t>MR P SUBHASH REDDY</t>
  </si>
  <si>
    <t>MS M REBAKA</t>
  </si>
  <si>
    <t>MR SHANKULA KIRAN</t>
  </si>
  <si>
    <t>MR G KUMAR</t>
  </si>
  <si>
    <t>MR VADITHYA NAGESH</t>
  </si>
  <si>
    <t>MR KODELA SAI KUMAR</t>
  </si>
  <si>
    <t>MR GOVADA SAI</t>
  </si>
  <si>
    <t>MR BITLA HARISH</t>
  </si>
  <si>
    <t>Mr GADIBAVI SAI KALYANI</t>
  </si>
  <si>
    <t>MS KOTHAPALLY  KOTHAPALLY SOUJANYA</t>
  </si>
  <si>
    <t>MR Vanaparthi Veerachary</t>
  </si>
  <si>
    <t>MS BODDU PRASANNA BINDU</t>
  </si>
  <si>
    <t>MR BAYANA REDDY</t>
  </si>
  <si>
    <t>MR A Maheswar REDDY</t>
  </si>
  <si>
    <t>MR GSurya Narayana Reddy</t>
  </si>
  <si>
    <t>MR Burra Chandrasen</t>
  </si>
  <si>
    <t>MR VDVara Prasad Gadi</t>
  </si>
  <si>
    <t>MR Gonugopula Raju</t>
  </si>
  <si>
    <t>MR ERUGU YELLAIAH</t>
  </si>
  <si>
    <t>MR THALLA ROLAND PAUL</t>
  </si>
  <si>
    <t>MS ADEPU MEENA KUMARI</t>
  </si>
  <si>
    <t>MR VENKATA DURGA PRASAD BATHINA</t>
  </si>
  <si>
    <t>MR G NAGARAJU</t>
  </si>
  <si>
    <t>MRS POOJA AGARWAL</t>
  </si>
  <si>
    <t>MR PITLA PRAVEEN</t>
  </si>
  <si>
    <t>MS PUTTA SRAVANI</t>
  </si>
  <si>
    <t>Mr J VINOD</t>
  </si>
  <si>
    <t>MS RAMIJABI S</t>
  </si>
  <si>
    <t>MR GUNDU SAIMAHESH</t>
  </si>
  <si>
    <t>MR VARUN U</t>
  </si>
  <si>
    <t>Mr ALUVALA  NAGARAJU</t>
  </si>
  <si>
    <t>MR NARENDER M</t>
  </si>
  <si>
    <t>Mr PERABATTULA CHINA PULLAYA</t>
  </si>
  <si>
    <t>MR TEPALLI NAGARJUNA</t>
  </si>
  <si>
    <t>MR SHAIK NASEERUDDIN</t>
  </si>
  <si>
    <t>Mr KADAM RAM MOHAN RAO</t>
  </si>
  <si>
    <t>MR VENKATESH VADDI</t>
  </si>
  <si>
    <t>MS NAVALURU SRAVYA</t>
  </si>
  <si>
    <t>MR GUDIBOINA KRISHNA</t>
  </si>
  <si>
    <t>MR FAROOQI ASHWAQ</t>
  </si>
  <si>
    <t>MR GANDIKOTA KRISHNA CHAITHANYA</t>
  </si>
  <si>
    <t>MR THOKALA SAI MAHESHBABU</t>
  </si>
  <si>
    <t>MR MAHESH MAHESH</t>
  </si>
  <si>
    <t>MR PRATHI YUGANDHAR</t>
  </si>
  <si>
    <t>MS AMGOTHU ARUNA</t>
  </si>
  <si>
    <t>MR KODALI KUMAR</t>
  </si>
  <si>
    <t>MR BOLLIKONDA ESHWAR</t>
  </si>
  <si>
    <t>9948603320</t>
  </si>
  <si>
    <t>8919514178</t>
  </si>
  <si>
    <t>9441460185</t>
  </si>
  <si>
    <t>7731913294</t>
  </si>
  <si>
    <t>9299998633</t>
  </si>
  <si>
    <t>6300953704</t>
  </si>
  <si>
    <t>8919105495</t>
  </si>
  <si>
    <t>9553049679</t>
  </si>
  <si>
    <t>8897601168</t>
  </si>
  <si>
    <t>9959240344</t>
  </si>
  <si>
    <t>9177189397</t>
  </si>
  <si>
    <t>7010489840</t>
  </si>
  <si>
    <t>8179664342</t>
  </si>
  <si>
    <t>6305461703</t>
  </si>
  <si>
    <t>7093988299</t>
  </si>
  <si>
    <t>7675901687</t>
  </si>
  <si>
    <t>7729025623</t>
  </si>
  <si>
    <t>8179797108</t>
  </si>
  <si>
    <t>6361973094</t>
  </si>
  <si>
    <t>8106876174</t>
  </si>
  <si>
    <t>9701694352</t>
  </si>
  <si>
    <t>8125695041</t>
  </si>
  <si>
    <t>8499955425</t>
  </si>
  <si>
    <t>8499885116</t>
  </si>
  <si>
    <t>8919483255</t>
  </si>
  <si>
    <t>7036487859</t>
  </si>
  <si>
    <t>7780371136</t>
  </si>
  <si>
    <t>8331912780</t>
  </si>
  <si>
    <t>9542514241</t>
  </si>
  <si>
    <t>9550357959</t>
  </si>
  <si>
    <t>9642252985</t>
  </si>
  <si>
    <t>9959268405</t>
  </si>
  <si>
    <t>9494492911</t>
  </si>
  <si>
    <t>8328535599</t>
  </si>
  <si>
    <t>9951590969</t>
  </si>
  <si>
    <t>9963834447</t>
  </si>
  <si>
    <t>9912271520</t>
  </si>
  <si>
    <t>9247884319</t>
  </si>
  <si>
    <t>7989059754</t>
  </si>
  <si>
    <t>9966614409</t>
  </si>
  <si>
    <t>9844185539</t>
  </si>
  <si>
    <t>8686532560</t>
  </si>
  <si>
    <t>9666961254</t>
  </si>
  <si>
    <t>9392902135</t>
  </si>
  <si>
    <t>9963116529</t>
  </si>
  <si>
    <t>9705874581</t>
  </si>
  <si>
    <t>7675012033</t>
  </si>
  <si>
    <t>9591436460</t>
  </si>
  <si>
    <t>8522834254</t>
  </si>
  <si>
    <t>7995862900</t>
  </si>
  <si>
    <t>9989343393</t>
  </si>
  <si>
    <t>7981625699</t>
  </si>
  <si>
    <t>7601089668</t>
  </si>
  <si>
    <t>7396450978</t>
  </si>
  <si>
    <t>8951291475</t>
  </si>
  <si>
    <t>9390773374</t>
  </si>
  <si>
    <t>9177407001</t>
  </si>
  <si>
    <t>7386140404</t>
  </si>
  <si>
    <t>8885758572</t>
  </si>
  <si>
    <t>9949977970</t>
  </si>
  <si>
    <t>8501969363</t>
  </si>
  <si>
    <t>7997674177</t>
  </si>
  <si>
    <t>9110312867</t>
  </si>
  <si>
    <t>9551745979</t>
  </si>
  <si>
    <t>9398847610</t>
  </si>
  <si>
    <t>2-231/1 POOSALA ROAD  KARIMNAGAR KARIMNAGAR TNG 505185</t>
  </si>
  <si>
    <t>3-45 TIMMAMPET DUGGONDI MANDAL TIMMAMPET NEAR ZP HIGH SCHOOL WARANGAL TNG 506331</t>
  </si>
  <si>
    <t>H-NO-9-132 FAKEER GUTTA UTNOOR NEAR MAJID ADILABAD TNG 504311</t>
  </si>
  <si>
    <t>5-69 ANTHAMMAGUDEM VILKAGE POCHAMPALLI NALGONDA NALGONDA NEAR HANUMAN TEMPLE NALGONDA TNG 508284</t>
  </si>
  <si>
    <t>2-2-13 GANDHI NAGAR VEMULAWADA NEAR HANUMAN TEMPLE KARIMNAGAR TNG 505302</t>
  </si>
  <si>
    <t>"5-73/12/2," KORUTLA MADHAPUR NEAR GRAMAPANCHATATH PEDDAPALLI TNG 505172</t>
  </si>
  <si>
    <t>9-32/A SHABAD HARIJANAVADA SHABAD WANAPARTHY TNG 509217</t>
  </si>
  <si>
    <t>"2-67,THALLAPALEM" RAMACHANDRAPURAM  NAVARATNALA GARUVU RAMACHANDRAPURAM ANP 533255</t>
  </si>
  <si>
    <t>"MITTAPALLI MITTAPALLI,.,MITTAPALLI" ...  . HINDUPUR ANP 515591</t>
  </si>
  <si>
    <t>"6-14 PANCHAYATHI,DAGGARA BADAMPUDI" "UNGUTURU VUNGUTURU,WEST GODAVARI"  NEAR PANCHAYATHI OFFICE TADEPALLIGUDEM ANP 534411</t>
  </si>
  <si>
    <t>10-20 CHIKKUDUGUNTA RAMANIJAVARAN MANUGURU NR BTS POWER PLANT KHAMMAM TNG 507117</t>
  </si>
  <si>
    <t>"9-37,NANDANAVANAM TOWNSHIP,BESIDE,MADHUC" "ON,,GRANIT KHAMMAM,RURAL,MUTHAGUDEM"  "NEAR BY KARTHEKEYA VENTURE,MADHUCON GRAN" KHAMMAM TNG 507163</t>
  </si>
  <si>
    <t>NEHRU NAGAR 11 TH LANE  NEAR TO NEW GUNTUR RAILWAY STATION GUNTUR ANP 522001</t>
  </si>
  <si>
    <t>"2-220,GARLADINNE GARLADINNE,.,GARLADINNE" ",.,"  NEAR MAIN ROAD ANANTAPUR ANP 515731</t>
  </si>
  <si>
    <t>HNO 30/35 PEDDAMADIGA PALLI KANCHIPATI VANDA PALLIT SUNDUPALLE CUDDAPAH CUDDAPAH NR MAIN ROAD CUDDAPAH ANP 516130</t>
  </si>
  <si>
    <t>3-34 "VENKATAPUR,INAVOLE" WARANGAL NEAR BUSSTAND WARANGAL TNG 506003</t>
  </si>
  <si>
    <t>3/91 OBULREDDY GARI PALLI SUDDAMALLA "NEAR TO RAMALAYAM,NEAR BY NARAYANA SWAMY TEMPLE" CUDDAPAH ANP 516504</t>
  </si>
  <si>
    <t>1-79   TADAKANAPALLE POST KURNOOL ANP 518218</t>
  </si>
  <si>
    <t>2/109 NANDIPALLI  VANAMPULA PANCHAYATHI  BADVEL MANDALAM VANAMPULA CUDDAPAH NEAR BY NANDIPALLI CUDDAPAH ANP 516502</t>
  </si>
  <si>
    <t>4-29CHINNA "CHOWK,SRI KRISHNADEVARAYA COLONY"  Y.S.R. CUP ANP 516002</t>
  </si>
  <si>
    <t>7-54AVANIGADDA 7TH WARD  AVANIGADDAKrishna VJW ANP 521121</t>
  </si>
  <si>
    <t>6-1-422 "LAKSHMI NAGAR,LAKSHMI,NAGAR,"  Anantapur ANA ANP 515001</t>
  </si>
  <si>
    <t>"2-36,AMRABAD MANDALAM,IPPALAPALLE,IPPALAPALLE"    MAHABUB NAGAR TNG 509201</t>
  </si>
  <si>
    <t>3-142/2D KALWAKURTHY SUBHASH NAGAR  WANAPARTHY TNG 509324</t>
  </si>
  <si>
    <t>"2-56,CHINAHARIZANAWADA MOVVA,MANDAL,KOSU" "RU,,KOSURU"  MAIN ROAD GUDIVADA ANP 521150</t>
  </si>
  <si>
    <t>"9-36/2,MULUGU,GHANPUR MANDAL,CHELPUR," DUBBAPALLE   WARANGAL TNG 506168</t>
  </si>
  <si>
    <t>"1-11,SANAGALAGUDURU,SANAGALAGUDURU,PUTLURU," SANAGALAGUDURU ANANTAPUR   TADPATRI ANP 515411</t>
  </si>
  <si>
    <t>"11-24 W/O SWAMY 11-24,MANDAL DHARMARAM," DHARMA RAM   KARIMNAGAR TNG 505416</t>
  </si>
  <si>
    <t>2-44/1 laxmipoor laxmipoor Karimnagar KARIMNAGAR TNG 505530</t>
  </si>
  <si>
    <t>HOUSING BOARD COLONY 5 4 23 BHONGIR    NALGONDA TNG 508116</t>
  </si>
  <si>
    <t>"11/56,GANESH PURAM VILLAGE,VALLURU MANDALAM," VALLUR   CUDDAPAH ANP 516293</t>
  </si>
  <si>
    <t>6 9 10G PATAMATALANKA NEAR AIRTEL OFFICE 3RD FLOOR VIJAYAWADA ANP 520010</t>
  </si>
  <si>
    <t>4 106   JULEPALLE NANDYAL ANP 518674</t>
  </si>
  <si>
    <t>1.289 Mudigubba Mudigubba Mudigubba HINDUPUR ANP 515511</t>
  </si>
  <si>
    <t>1.49  .. West Godavari BHIMAVARAM ANP 534320</t>
  </si>
  <si>
    <t>6.29 Kachapur ..Kachapur Nizamabad NIZAMABAD TNG 503101</t>
  </si>
  <si>
    <t>HARIJANVADA MIRYALA   HARIJANVADA MIRYALA SURYAPET ANP 508221</t>
  </si>
  <si>
    <t>HNO 1-13-104/D MISSION COMPOUND MEDA   CHURCH MEDAK ANP 502110</t>
  </si>
  <si>
    <t>H.NO3-5-153 KOTAGALLI NIZAAMABAD NIZAMABAD NEAR USHAMAYURI THEATRE NIZAMABAD TNG 503001</t>
  </si>
  <si>
    <t>"CHAPARALA VARI STREET,30-19-9-1,VIJAYAWA" "DA, URBAN" SEETHARAMPURSM OPP ICON SCHOOL VIJAYAWADA ANP 520004</t>
  </si>
  <si>
    <t>1-19A BUGANIPALLI VI KALLAGERI PO GORANTLA MANDAL HINDUPUR TK   ANANTAPUR ANP 515241</t>
  </si>
  <si>
    <t>"1-7-143/1,VIVEKANANDA NAGAR,COLLECTOR BANGL"    MAHABUB NAGAR TNG 509001</t>
  </si>
  <si>
    <t>H NO 2-88 RENJAL  RENJAL NIZAMABAD TNG 503235</t>
  </si>
  <si>
    <t>"PUTTA,BALIREDDY 2 SAMBATURU,SAMBATURU" "SAMBATURU,CUDDAPAH ANDHRA,PRADESH" CUDDAPAH ATM PRODDATUR ANP 516289</t>
  </si>
  <si>
    <t>"13-221 THUGUNDRAM,.,THUGUNDRAM,GANGADHAR," NELLORE TUNGUNDRAM   CHITTOOR ANP 517421</t>
  </si>
  <si>
    <t>"H.NO.1-170,EDC COLONIY,PULICHERI,REDDIV" "ARIPALLE,CHITTOOR"  MAIN ROAD TIRUPATHI ANP 517172</t>
  </si>
  <si>
    <t>"BANGARU MAISAMMA TEMPLE,BAZAR,,GATTIKAL" "ATHMAKUR S,GATTIKAL,NALGONDA" ANDHRAPRADESH . SURYAPET TNG 508222</t>
  </si>
  <si>
    <t>"4-78,OC COLONY SREEDHARGATTA,BOMMANAHAL," "ANANTHAPUR,SREEDHARAGHATTU"   ANANTAPUR ANP 515871</t>
  </si>
  <si>
    <t>"3-7-828 BANK COLONY 1ST,LANE,KARIMNAGAR"    ADILABAD TNG 505001</t>
  </si>
  <si>
    <t>"1-3-62/A GODUGUGERI,NARAYANPET,NARAYANPET," MAHABOOBNAGAR NARAYANPET   MAHABUB NAGAR TNG 509210</t>
  </si>
  <si>
    <t>"2-76/3 VAKALAGARUVU,VAKALAGARUVU," VAAKALA GARUVU   AMALAPURAM ANP 533218</t>
  </si>
  <si>
    <t>"3-146-14-6-74,AMMACHERUVU MITTA,MADANAPALLE"    CHITTOOR ANP 517325</t>
  </si>
  <si>
    <t>"15-306 BANDLAMITTA,STREET,.,,BANDLAMITTA" "STREET,CUDDAPAH"  NEAR BY SHARAD HIGH SCHOOL CUDDAPAH ANP 516001</t>
  </si>
  <si>
    <t>"5-15,DILAWAR PUR DILAWAR PUR,."    ADILABAD TNG 504306</t>
  </si>
  <si>
    <t>"1-08,BAPANA KALINI" SETTIPALLE   ANANTAPUR ANP 515110</t>
  </si>
  <si>
    <t>"D/O,RAMESH KUMAR 3-791,VARADARAJASWAMY," "TEMPLE,VARADARAJASWAMY TEMPLE AP"   CHITTOOR ANP 517644</t>
  </si>
  <si>
    <t>1-3-15 KAZIPET RAHAMATH NAGAR  WARANGAL TNG 506003</t>
  </si>
  <si>
    <t>16-186 MOMEEN STREET   NEAR URDU SCHOOL HINDUPUR ANP 515541</t>
  </si>
  <si>
    <t>12 B C COLONY VANNEDODDI ANANTAPUR GOOTY ANDHARA PRADESH  B C COLONY NEAR RAMASWAMY TEMPLE ANANTAPUR ANP 515401</t>
  </si>
  <si>
    <t>"11-4-180 RAJAS GARDEN,4TH LINE," "NEAR T T D KALYANA,MANDAPAM"  NEARVTTD KALAYANAMANDAPAM GUNTUR ANP 522001</t>
  </si>
  <si>
    <t>HNO 5-5/1 KOILKONDA X ROAD MAHABUBNAGAR NEAR PETROL PUMP MAHBOOBNAGAR TNG 509001</t>
  </si>
  <si>
    <t>2-15 KRUTHIVENNU MANDALAM GANDHI NAGAR ENDAPALLI GUDIVADA ANP 521324</t>
  </si>
  <si>
    <t>"H NO 4-64,SAIRAM THANDA" JULURUPADU  NEAR BADRAI KHAMMAM TNG 507166</t>
  </si>
  <si>
    <t>"25 9 385 FLAT NO 3,KAVER HEIGHTS,7 3 LAN" "E,,GUNTUR ANDHRA PRADESH"  GUNTUR GUNTUR ANP 522007</t>
  </si>
  <si>
    <t>"2-67,SEEROLE KURAVI MANDAL,KURAVI MANDAL" ", SEEROLE"  NEAR BUS STOP WARANGAL TNG 506105</t>
  </si>
  <si>
    <t>GOVERNMENT OF TELANGANA 5-262 IQBALAHMED NAGAR MANCHERIAL IQBALAHMED NAGAR MANCHERIAL ADILABAD TNG 504208</t>
  </si>
  <si>
    <t>INTERIOR DESIGNERS TIMMAMPET TIMMAMPET TIMMAMPET WARANGAL TNG 506331</t>
  </si>
  <si>
    <t>GOVARMENT OF TELANGANA DISTRIC EDUCATION OFFICE ADILABAD ADILABAD ADILABAD TNG 504001</t>
  </si>
  <si>
    <t>HARITHA BOTIQUE POCHAMPALLI NALGONDA NALGONDA NALGONDA TNG 508284</t>
  </si>
  <si>
    <t>SURYA SRI IMITATION JEWELLERS 2-2-13 "GANDHI NAGAR,VEMULAWADA" "GANDHI NAGAR,VEMULAWADA" KARIMNAGAR TNG 505302</t>
  </si>
  <si>
    <t>GK ESTATES TEACHERS COLONY PEDDAPALLI PEDDAPALLI PEDDAPALLI TNG 505172</t>
  </si>
  <si>
    <t>GOVERNMENT OF TELANGANA SECONDARY EDUCAT MANDAL PARISHAT PRIMARY SCHOOL "AIRPORT COLONY," "AIRPORT COLONY," RANGAREDDY TNG 501218</t>
  </si>
  <si>
    <t>TATA CONSULTANCY SERVICES LIMITED "1/G1,SPICOT IT PARK," NAVALUR PO SIRUSERI NAVALUR PO SIRUSERI CHENNAI TMN 600119</t>
  </si>
  <si>
    <t>INFOSYS LIMITED 44 INFOSYS AVENUE ELERCTIONC CITY HOSUR HOSUR BANGALORE KAR 560100</t>
  </si>
  <si>
    <t>GOVERNMENT OF ANDHRA PRADESH MPPS SCHOOL BADAMPUDI WEST GODAVAR WEST GODAVAR TADEPALLIGUDEM ANP 534411</t>
  </si>
  <si>
    <t>GOVT OF TELAGANA STATEPOWERGENERATION 10-20 CHIKKUDUGUNTA RAMANIJAVARAN MANUGURU RAMANIJAVARAN MANUGURU KHAMMAM TNG 507117</t>
  </si>
  <si>
    <t>INTEQ SOFTWARE PRIVATE LIMITED "1365,ROADNO.45,JUBILEE HILLS" HYDERABAD HYDERABAD HYDERABAD TNG 500033</t>
  </si>
  <si>
    <t>APEX FUND SERVICES LLP INORBIT MALL VEGAS BUILDING HITECH CITY HYDERABAD HITECH CITY HYDERABAD HYDERABAD TNG 500081</t>
  </si>
  <si>
    <t>GIRIKON SOLUTIONS PRIVATE LIMITED 206 2ND FLOOR BRIGADE IRV NALLURHALLI WHITEFIELD BANGALORE WHITEFIELD BANGALORE BANGALORE KAR 560066</t>
  </si>
  <si>
    <t>DRDA DEPARTMENT DRDA OFFICE T SUNDUPALLI MANDAL CUDDAPAH   CUDDAPAH ANP 516130</t>
  </si>
  <si>
    <t>RENTAL INCOME AND AGRICULTURE 3-34 "VENKATAPUR,INAVOLE,WARANGAL" "VENKATAPUR,INAVOLE,WARANGAL" WARANGAL TNG 506006</t>
  </si>
  <si>
    <t>COGNIZANT TECHNOLOGY SOLUTIONS INDIA PRI "PLAT NO 129/130/131/132, DLF CYBER CITY" GACHIBOWLI  ROAD AP HP COLONY HYDERABAD GACHIBOWLI  ROAD AP HP COLONY HYDERABAD HYDERABAD TNG 500019</t>
  </si>
  <si>
    <t>QUESS CORP LIMITED "8TH FLOOR," "KHIVIRAJ BUILDING,480,ANNA SALAI" "KHIVIRAJ BUILDING,480,ANNA SALAI" CHENNAI TMN 600035</t>
  </si>
  <si>
    <t>OJAS INNOVATIVE TECHNOLOGIES PVT LTD RAMKY SELENIUM  TOWER B 5TH FLOOR FINANCIAL DISTRICT NANAKRAMGUDA GACHIBOW FINANCIAL DISTRICT NANAKRAMGUDA GACHIBOW HYDERABAD TNG 500032</t>
  </si>
  <si>
    <t>RIMS GOVT GENERAL HOSPITAL PUTLAMPALLI KADAPA CUDDAPAH   CUP ANP 516002</t>
  </si>
  <si>
    <t>unit 3 Plot No 2 6th Floor KPMG salarcuria Knowledge City   HYD TNG 500082</t>
  </si>
  <si>
    <t>ALUMURU RUDRAMPET ANANTAPUR SANAPA ROAD   ANA ANP 515001</t>
  </si>
  <si>
    <t>RADHAKRISHNA HOSPITALITY SERVI H no 63 Bachupally indra nagar Bachupally indra nagar RANGAREDDY TNG 500090</t>
  </si>
  <si>
    <t>COGNIZANT TECHNOLOGY SOLUTIONS INDIA PRI DLF GACCHABOLLI LAXMI NAGAR HYDERNBAD TE DLF GACCHABOLLI LAXMI NAGAR HYDERNBAD TE DLF GACCHABOLLI LAXMI NAGAR HYDERNBAD TE HYDERABAD TNG 500032</t>
  </si>
  <si>
    <t>HCL TECHNOLOGIES LIMITED "PLOT  17, SOFTWARE UNITS LAYOUT,INORBIT" "MALL RD, VITTAL RAO NAGAR, HITEC CITY," "MALL RD, VITTAL RAO NAGAR, HITEC CITY," HYDERABAD TNG 500081</t>
  </si>
  <si>
    <t>Harish 9-36/2 dhubbapaly chelpur "Mdl -Ghanpur mulugu, dist-jayashanker" "Mdl -Ghanpur mulugu, dist-jayashanker" WARANGAL TNG 506168</t>
  </si>
  <si>
    <t>not applicable tadipatri tadipatri tadipatri TADPATRI ANP 515411</t>
  </si>
  <si>
    <t>A LAXMIPOOR BEJJANKI SIDDIPET BEJJANKI SIDDIPET KARIMNAGAR TNG 505530</t>
  </si>
  <si>
    <t>Bharathi Dharma Infrastructures Housing board colony Bhongir Bhongir NALGONDA TNG 508116</t>
  </si>
  <si>
    <t>B RAMAKRISHNA REDDY 11-56 GANGAYAPALLI VALLUR VALLUR CUDDAPAH ANP 516001</t>
  </si>
  <si>
    <t>APUIAML 4 TH FLOOR NTR ADMINISTRATIVE BLOOK VIJAYAWADA NTR ADMINISTRATIVE BLOOK VIJAYAWADA VIJAYAWADA ANP 520013</t>
  </si>
  <si>
    <t>SRINIVAS NAGAR SRINIVAS CENTER SRINIVAS NAGAR SRINIVAS NAGAR NANDYAL ANP 518501</t>
  </si>
  <si>
    <t>SAILAJA.SARRY.CENTER MUDHIGBBA 1.567. 1.567. HINDUPUR ANP 515511</t>
  </si>
  <si>
    <t>ELETIPADU.PACS MAIN.ROAD. ELETIPADU. ELETIPADU. BHIMAVARAM ANP 534320</t>
  </si>
  <si>
    <t>PINE.LABS.PVT.LTD 8.2.594.1.A.1.ROAD.NO.01 BANJARAHILLS.. BANJARAHILLS.. HYDERABAD TNG 500034</t>
  </si>
  <si>
    <t>GOVERNMENT OF TELANGANA SCHOOL EDUCATION PS BANDARAMARAM THUGATHURTHY   SURYAPET ANP 508221</t>
  </si>
  <si>
    <t>ZILLA PARISHATH HIGH SCHOOL RAJPALLY ZPHS HIGH SCHOOL   MEDAK ANP 502117</t>
  </si>
  <si>
    <t>SAINIVI TECHNOLOGIE SERVICES H.NO9-4-41/2B/1 HASMATHPET OLD BOWENPALLY HASMATHPET OLD BOWENPALLY HYDERABAD TNG 500009</t>
  </si>
  <si>
    <t>INSPIREDGE IT SOLUTIONS MVP COLONY. SECTOR 8 VISAKHAPATNAM VISAKHAPATNAM VISHAKAPATNAM ANP 530017</t>
  </si>
  <si>
    <t>Adecco India Pvt ltd "No 73/1,13th floor,summit b" "Brigade metropolis,gorudacharpalya,mahadevapura,white field,bangalore" "Brigade metropolis,gorudacharpalya,mahadevapura,white field,bangalore" BANGALORE KAR 560048</t>
  </si>
  <si>
    <t>Pooja agarwal 1-7-143/1 Vivekananda masher police  line Vivekananda masher police  line NALGONDA TNG 509001</t>
  </si>
  <si>
    <t>EXIDE LIFE INSURANCE COMPANY LTD "5-6-570/3C,1ST FLOOR,BEHIND AXIS BANK" "NIZAMBAD,TELANGANA" "NIZAMBAD,TELANGANA" NIZAMABAD TNG 503001</t>
  </si>
  <si>
    <t>HCL TECHNOLOGIES LIMITED "ETA TECHNO PARK 33,RAJIVGANDHI SALAI" "NAVALLUR,CHENGALPATTU,CHENNAI" "NAVALLUR,CHENGALPATTU,CHENNAI" CHENNAI TMN 603103</t>
  </si>
  <si>
    <t>INFOSYS TECHNOLOGIES / INFOSYS 13-221 Thugundram thugundram gangadhar Thugundram thugundram gangadhar CHITTOOR ANP 517421</t>
  </si>
  <si>
    <t>GOVERNMENT EDUCATION DEPARTMENT "ZPH SCHOOL,PULICH ERILA,CHITTOOR," CHITTOOR CHITTOOR TIRUPATHI ANP 517172</t>
  </si>
  <si>
    <t>TATA CONSULTANCY SERVICES LIMITED NO 2-56 1 36 PHASE - II GACHIBOWLI ROAD "TCS SYNERGY PARK, SERI LINGAMPALLY, GACH" "TCS SYNERGY PARK, SERI LINGAMPALLY, GACH" HYDERABAD TNG 500019</t>
  </si>
  <si>
    <t>Varun 77 ground floor GVR Plaza opposite to central mall Bangalore 560103 77 ground floor GVR Plaza opposite to central mall Bangalore 560103 77 ground floor GVR Plaza opposite to central mall Bangalore 560103 BANGALORE KAR 560103</t>
  </si>
  <si>
    <t>NAGARAJU 3-7-828 BANK COLONY KARIMNAGAR KARIMNAGAR ADILABAD TNG 505001</t>
  </si>
  <si>
    <t>Narender M 1-3-62/A Godugugari Narayanpet Godugugari Narayanpet NAGARKURNOOL TNG 509210</t>
  </si>
  <si>
    <t>Redchillies entertainment pvt NA1 NA2 NA2 AMALAPURAM ANP 533218</t>
  </si>
  <si>
    <t>ETEAM INFOSERVICES PVT LTD NOT NOT NOT CHITTOOR ANP 517352</t>
  </si>
  <si>
    <t>WIPRO ENTERPRISES PVT LTD WIPRO LTM BUILDING NO 12 D 2 / 3/ 4/ FLOOR RAHEJ MINDA SPACE 2 / 3/ 4/ FLOOR RAHEJ MINDA SPACE HYDERABAD TNG 500081</t>
  </si>
  <si>
    <t>Not Applicable Icici bank ltd Nirmal Nirmal ADILABAD TNG 504106</t>
  </si>
  <si>
    <t>Venkatesh "33/34,HN0 4, Aswani Nilayam, 9th cross, 11th main road," "Vidya jyothi nagar, Begur main road, Hongasandra, Bangalore" "Vidya jyothi nagar, Begur main road, Hongasandra, Bangalore" BANGALORE KAR 560068</t>
  </si>
  <si>
    <t>INCRED FINANCIAL SERVICES LTD No No No SRIKALAHASTHI ANP 517644</t>
  </si>
  <si>
    <t>ICICI BANK LIMITED 1ST FLOOR  BALASAMUDRAM ADVOCATES COLONY  HANAMKONDA TELANGANA COLONY  HANAMKONDA TELANGANA WARANGAL TNG 506003</t>
  </si>
  <si>
    <t>TVS EDUCATIONAL SOCIETY BLOCK NO 3 KIA INDUSTRIAL PARK AMMA VARI PALLI YERRAMANCHI VILLAGE AMMA VARI PALLI YERRAMANCHI VILLAGE HINDUPUR ANP 515110</t>
  </si>
  <si>
    <t>FISERV INDIA PRIVATE LIMITED TRION BUSINESS PARK NAGAR  ROAD KARGIL VIJAY NAGAR  WADGAON SHERIPUNE VIJAY NAGAR  WADGAON SHERIPUNE PUNE MAH 411014</t>
  </si>
  <si>
    <t>CENTRAPRISE PRIVATE LIMITED HYDERABAD NIJAMPET NIJAMPET HYDERABAD TNG 500090</t>
  </si>
  <si>
    <t>GOVENRMENT OF TEPANGANA GANDEED MAHABUBNAGAR MAHABUBNAGAR MAHBOOBNAGAR TNG 509337</t>
  </si>
  <si>
    <t>COGNIZANT TECHNOLOGY SOLUTIONS INDIA PRI COGNIZANT DLF HYDERABAD GACHIBOWLI GACHIBOWLI HYDERABAD TNG 500081</t>
  </si>
  <si>
    <t>GOVT OF TELANGANA SECONDARY EDUCATION "MPPS,THAKKELLAGUDEM,GUNDALA"   KHAMMAM TNG 507123</t>
  </si>
  <si>
    <t>BERNHARD SCHULTE SHIPMANAGEMENT I PVT LT EGA TRADE CENTRE 5 TH FLOOR 5 TH FLOOR CHENNAI TMN 600010</t>
  </si>
  <si>
    <t>XTGLOBAL INFOTECH LIMITED "PLOT NO 31, 3RD FLOOR, TOWER A, FINANCIA" "L DISTRICT, NANAKARAMGUDA" "L DISTRICT, NANAKARAMGUDA" HYDERABAD TNG 500032</t>
  </si>
  <si>
    <t>9TH JULY</t>
  </si>
  <si>
    <t>0000000020785352</t>
  </si>
  <si>
    <t>0000000021224179</t>
  </si>
  <si>
    <t>0000000021289100</t>
  </si>
  <si>
    <t>0000000021444334</t>
  </si>
  <si>
    <t>0000000022099811</t>
  </si>
  <si>
    <t>0000000022186305</t>
  </si>
  <si>
    <t>0000000022400494</t>
  </si>
  <si>
    <t>0000000022546833</t>
  </si>
  <si>
    <t>0000000022975287</t>
  </si>
  <si>
    <t>0000000023076655</t>
  </si>
  <si>
    <t>0000000023304850</t>
  </si>
  <si>
    <t>0000000023900667</t>
  </si>
  <si>
    <t>0000000024074884</t>
  </si>
  <si>
    <t>0000000024241110</t>
  </si>
  <si>
    <t>0000000024509372</t>
  </si>
  <si>
    <t>0000000024557067</t>
  </si>
  <si>
    <t>0000000025794767</t>
  </si>
  <si>
    <t>0000000026219270</t>
  </si>
  <si>
    <t>0000000030198174</t>
  </si>
  <si>
    <t>0000000033007534</t>
  </si>
  <si>
    <t>0000000033251165</t>
  </si>
  <si>
    <t>0000000034290347</t>
  </si>
  <si>
    <t>0000000027882707</t>
  </si>
  <si>
    <t>0000000028407265</t>
  </si>
  <si>
    <t>0000000029259855</t>
  </si>
  <si>
    <t>0000000030062482</t>
  </si>
  <si>
    <t>0000000030858200</t>
  </si>
  <si>
    <t>0000000035566314</t>
  </si>
  <si>
    <t>0000000021133111</t>
  </si>
  <si>
    <t>0000000024064166</t>
  </si>
  <si>
    <t>0000000025109599</t>
  </si>
  <si>
    <t>0000000025310207</t>
  </si>
  <si>
    <t>0000000025547630</t>
  </si>
  <si>
    <t>0000000026569723</t>
  </si>
  <si>
    <t>0000000028049043</t>
  </si>
  <si>
    <t>0000000030089220</t>
  </si>
  <si>
    <t>0000000015569168</t>
  </si>
  <si>
    <t>0000000015569173</t>
  </si>
  <si>
    <t>0000000019881640</t>
  </si>
  <si>
    <t>0000000020066243</t>
  </si>
  <si>
    <t>0000000018070313</t>
  </si>
  <si>
    <t>0000000018181955</t>
  </si>
  <si>
    <t>0000000020775253</t>
  </si>
  <si>
    <t>0000000021630094</t>
  </si>
  <si>
    <t>0000000022722288</t>
  </si>
  <si>
    <t>0000000023759826</t>
  </si>
  <si>
    <t>0000000023789091</t>
  </si>
  <si>
    <t>0000000024513475</t>
  </si>
  <si>
    <t>0000000025461063</t>
  </si>
  <si>
    <t>0000000025462520</t>
  </si>
  <si>
    <t>0000000026019078</t>
  </si>
  <si>
    <t>0000000026135793</t>
  </si>
  <si>
    <t>0000000026423569</t>
  </si>
  <si>
    <t>0000000026860850</t>
  </si>
  <si>
    <t>0000000026862860</t>
  </si>
  <si>
    <t>0000000027209013</t>
  </si>
  <si>
    <t>0000000027239362</t>
  </si>
  <si>
    <t>0000000014807530</t>
  </si>
  <si>
    <t>0000000014922454</t>
  </si>
  <si>
    <t>0000000017651408</t>
  </si>
  <si>
    <t>0000000018169351</t>
  </si>
  <si>
    <t>0000000024801514</t>
  </si>
  <si>
    <t>0000000026699856</t>
  </si>
  <si>
    <t>0000000031080667</t>
  </si>
  <si>
    <t>0000000029450723</t>
  </si>
  <si>
    <t>LAXMAN/SKLM , 9966690320</t>
  </si>
  <si>
    <t>30548_Surcharge_Offus_trxns_CR</t>
  </si>
  <si>
    <t>4035620027506001</t>
  </si>
  <si>
    <t>4035620083958005</t>
  </si>
  <si>
    <t>4035620142888003</t>
  </si>
  <si>
    <t>4035620166487005</t>
  </si>
  <si>
    <t>4035620173435005</t>
  </si>
  <si>
    <t>4035620212448027</t>
  </si>
  <si>
    <t>4035620265636007</t>
  </si>
  <si>
    <t>4035620316987003</t>
  </si>
  <si>
    <t>4035620399313002</t>
  </si>
  <si>
    <t>4035620506261003</t>
  </si>
  <si>
    <t>4035620660517018</t>
  </si>
  <si>
    <t>4035620712865001</t>
  </si>
  <si>
    <t>4035620762518013</t>
  </si>
  <si>
    <t>4035620856402009</t>
  </si>
  <si>
    <t>4035620925274009</t>
  </si>
  <si>
    <t>4035620957556000</t>
  </si>
  <si>
    <t>4035621032417002</t>
  </si>
  <si>
    <t>4035621091710008</t>
  </si>
  <si>
    <t>4035621209846009</t>
  </si>
  <si>
    <t>4035621327243014</t>
  </si>
  <si>
    <t>4035621386901007</t>
  </si>
  <si>
    <t>4035621431666001</t>
  </si>
  <si>
    <t>4035621559494004</t>
  </si>
  <si>
    <t>4035621757835008</t>
  </si>
  <si>
    <t>4035622204092003</t>
  </si>
  <si>
    <t>4085110048245002</t>
  </si>
  <si>
    <t>4102020141744000</t>
  </si>
  <si>
    <t>4102020452814004</t>
  </si>
  <si>
    <t>4102021006833003</t>
  </si>
  <si>
    <t>4102021103377011</t>
  </si>
  <si>
    <t>4102021196381003</t>
  </si>
  <si>
    <t>4315812473428001</t>
  </si>
  <si>
    <t>4748467812321008</t>
  </si>
  <si>
    <t>5176532509019005</t>
  </si>
  <si>
    <t>5241936721694019</t>
  </si>
  <si>
    <t>6528681980547001</t>
  </si>
  <si>
    <t>4375515465137004</t>
  </si>
  <si>
    <t>4375519653051001</t>
  </si>
  <si>
    <t>4375514693817008</t>
  </si>
  <si>
    <t>5241933138610001</t>
  </si>
  <si>
    <t>5241933348510009</t>
  </si>
  <si>
    <t>4501720834654005</t>
  </si>
  <si>
    <t>4748468457546032</t>
  </si>
  <si>
    <t>MR KUDUMULA RAJESH</t>
  </si>
  <si>
    <t>MR SUGALI AKKULAPPA NAIK</t>
  </si>
  <si>
    <t>MR ADLA THIRUPATHI</t>
  </si>
  <si>
    <t>MR BABU JAVVAJI</t>
  </si>
  <si>
    <t>MR BOIRAGONI KARUNAKAR</t>
  </si>
  <si>
    <t>MR RAJULA REDDY</t>
  </si>
  <si>
    <t>MR SAMBANGI TIRUPATHI RAO</t>
  </si>
  <si>
    <t>MR PATHAN FAROOQ</t>
  </si>
  <si>
    <t>MR SANJEET KUMAR V</t>
  </si>
  <si>
    <t>MR PUNYAMANTHULA RAO</t>
  </si>
  <si>
    <t>MR DEGALA KASIBABU</t>
  </si>
  <si>
    <t>MR DEVINENI KOTESWARARAO</t>
  </si>
  <si>
    <t>MR RUPIREDDY REDDY</t>
  </si>
  <si>
    <t>MR SAKE RAJESWARI</t>
  </si>
  <si>
    <t>MR KOLA RAMAKRISHNA</t>
  </si>
  <si>
    <t>MR KADARI UMESH</t>
  </si>
  <si>
    <t>MR VELDI JAGADEESH</t>
  </si>
  <si>
    <t>MR KARUKONDA KUMAR</t>
  </si>
  <si>
    <t>MS GAJULA ANUSHA</t>
  </si>
  <si>
    <t>MR SANDURU PRASAD</t>
  </si>
  <si>
    <t>Mr PARVATHI GANESH</t>
  </si>
  <si>
    <t>MR KOPPULA BABU</t>
  </si>
  <si>
    <t>MR GORA RAJABABU</t>
  </si>
  <si>
    <t>MR MORA REDDY</t>
  </si>
  <si>
    <t>MRS D JAYA D JAYA LAKSHMI</t>
  </si>
  <si>
    <t>MR PAMIREDDY REDDY</t>
  </si>
  <si>
    <t>MR GANESWARA RAO JAYVADY</t>
  </si>
  <si>
    <t>MS MOPURU NEERAJA</t>
  </si>
  <si>
    <t>Ms. DUSANAPUDI SATYANARAYANA</t>
  </si>
  <si>
    <t>MR SHAIK JOHNY BASWA</t>
  </si>
  <si>
    <t>Ms. SADIQ MOHAMMED SADIQ AHMED</t>
  </si>
  <si>
    <t>MR Shaik Yakub Pasha</t>
  </si>
  <si>
    <t>Mrs TAMMIREDDY  ANJANA DEVI</t>
  </si>
  <si>
    <t>Mr. KANDULA SANTOSH KUMAR</t>
  </si>
  <si>
    <t>MS DARAM SRUNGARAM</t>
  </si>
  <si>
    <t>MR Gudivada Chaithanya</t>
  </si>
  <si>
    <t>MR PRADEEP KUMAR N</t>
  </si>
  <si>
    <t>MR DAMERLA PAVAN KUMAR YADAV</t>
  </si>
  <si>
    <t>MR. CHENCHURAMARAO KESANA</t>
  </si>
  <si>
    <t>MR. P SANTHOSHKUMAR</t>
  </si>
  <si>
    <t>MS. RACHERLA YADAMMA</t>
  </si>
  <si>
    <t>MR CHERUKUPALLI PRASHANTH REDDY</t>
  </si>
  <si>
    <t>MRS KHAMMAMPATI RAJESWARI</t>
  </si>
  <si>
    <t>9848509143</t>
  </si>
  <si>
    <t>8801661118</t>
  </si>
  <si>
    <t>9676276919</t>
  </si>
  <si>
    <t>9948325262</t>
  </si>
  <si>
    <t>9676022844</t>
  </si>
  <si>
    <t>8985654385</t>
  </si>
  <si>
    <t>9912344449</t>
  </si>
  <si>
    <t>9949803781</t>
  </si>
  <si>
    <t>9133775558</t>
  </si>
  <si>
    <t>9542512606</t>
  </si>
  <si>
    <t>9632232299</t>
  </si>
  <si>
    <t>9618338881</t>
  </si>
  <si>
    <t>9193545454</t>
  </si>
  <si>
    <t>9885727330</t>
  </si>
  <si>
    <t>9640405304</t>
  </si>
  <si>
    <t>9640019178</t>
  </si>
  <si>
    <t>8367388102</t>
  </si>
  <si>
    <t>8978655733</t>
  </si>
  <si>
    <t>8317692884</t>
  </si>
  <si>
    <t>9703607197</t>
  </si>
  <si>
    <t>7013372779</t>
  </si>
  <si>
    <t>9538567708</t>
  </si>
  <si>
    <t>9705746039</t>
  </si>
  <si>
    <t>7893901222</t>
  </si>
  <si>
    <t>8121338133</t>
  </si>
  <si>
    <t>9618964134</t>
  </si>
  <si>
    <t>9160722225</t>
  </si>
  <si>
    <t>7013586681</t>
  </si>
  <si>
    <t>9949696160</t>
  </si>
  <si>
    <t>9642296672</t>
  </si>
  <si>
    <t>8125918091</t>
  </si>
  <si>
    <t>8121563666</t>
  </si>
  <si>
    <t>9948324888</t>
  </si>
  <si>
    <t>9949270007</t>
  </si>
  <si>
    <t>8919723476</t>
  </si>
  <si>
    <t>9154548548</t>
  </si>
  <si>
    <t>9849314711</t>
  </si>
  <si>
    <t>8886621112</t>
  </si>
  <si>
    <t>9848044333</t>
  </si>
  <si>
    <t>9966775754</t>
  </si>
  <si>
    <t>9989584327</t>
  </si>
  <si>
    <t>9701917799</t>
  </si>
  <si>
    <t>8008194628</t>
  </si>
  <si>
    <t>"11-145/4/A AMBEDKAR,COLONY," "NEAR Z P U S SCHOOL,KODADA MANDALAM,KODAD" NALGONDA - NALGONDA ANP 508206</t>
  </si>
  <si>
    <t>2 145 3 SARADA NAGAR DHARMAVARAM NEAR MUNCIPAL OFFICE  HINDUPUR ANP 515671</t>
  </si>
  <si>
    <t>3-2 SHANKARAPATNAM MANDAL  KARIMNAGAR HYDERABAD TNG 505490</t>
  </si>
  <si>
    <t>"H.NO1-60 MEDAK MANDALAM," "FAREEDIPUR,MEDAK"  OPP GOVT SCHOOL MEDAK TNG 502130</t>
  </si>
  <si>
    <t>H No 7-29 Akinepalle IPPALAPALLI busstand Mogulapalle Mandal Akinepalle WARANGAL TNG 506366</t>
  </si>
  <si>
    <t>"1/1842 GANDHI NAGAR,.,YERRAMUKKAPALLI,."    CUDDAPAH ANP 516004</t>
  </si>
  <si>
    <t>FLAT NO 201 KAKINADA SURYA PRIDE HOME R T O OFFICE ROAD NEAR TELEPHONE EXECHANGE OFFICE KAKINADA ANP 533005</t>
  </si>
  <si>
    <t>"3-293, AKKAYAPALLY, NEAR TAJ LORRY KATA" CUDDAPAH ANDHRA PRADESH NEAR TAJ LORRY KATA CUDDAPAH ANP 516003</t>
  </si>
  <si>
    <t>HNO 6 6 203 PADMA NAGAR JAGTIAL KARIMNAGAR DIST  KARIMNAGAR TNG 505327</t>
  </si>
  <si>
    <t>"6-2-15A MIRPAKAYALA,VEEDHI," "MARKET CENTER KOTHA,GUDI PITHPAURAM," PITHAPURAM  EAST GODAVARI ANP 533450</t>
  </si>
  <si>
    <t>"11-765/4 NAGARALU,NAGARALU,GORANTLA,.,.," ...  NEAR ATM GUNTUR ANP 522034</t>
  </si>
  <si>
    <t>MUDIVEMULA MUDIVEMULA  NEAR RAMALAYAM NANDYAL ANP 523326</t>
  </si>
  <si>
    <t>"HOUSE,NUMBER - 1-7-1324 ROAD,NUMBER -,,5" "NEAR EKASHILA,PARK ADVOCATES,"  NEAR EKASHILA PARK WARANGAL TNG 506001</t>
  </si>
  <si>
    <t>12 2 403 ASHOK NAGAR NEAR RAMNARESH FUNC "ANANTAPUR ANANTHAPURAMU , ,ANDHR"  MAIN ROAD ANAPARTHI ANP 515001</t>
  </si>
  <si>
    <t>"HOUSE,NUMBER 1-77 BC COLONY,GOPAVARAM,,G" UNTUPALLE GOPAVARAM  . KHAMMAM TNG 507202</t>
  </si>
  <si>
    <t>2-50 RAVIRALA RAVIRALA WARANGAL WARANGAL TNG 506368</t>
  </si>
  <si>
    <t>H NO 7-1327 BANGARUGADDA MIRYALAGUDA NEAR BEERAPPA TEMPLE SURYAPET TNG 508207</t>
  </si>
  <si>
    <t>"H NO,24-3-118/1 PRAKASHREDDY,PET NEAR,,C" "HURCH SUBEDARI,HANAMKODA"  NEAR MAIN ROAD WARANGAL TNG 506001</t>
  </si>
  <si>
    <t>H NO 7 2 RATNAPUR KAMANPURA RATNAPUT  KARIMNAGAR TNG 505212</t>
  </si>
  <si>
    <t>000 PEDDAPANJANI MANDALAM GUNDLAPALLE - CHITTOOR ANP 517414</t>
  </si>
  <si>
    <t>"H NO-4-61,KOTHAPALLI MANDAL" MANCHERIAL WARD NO - 9 VAMPALLE NEAR MAIN ROAD ADILABAD TNG 504209</t>
  </si>
  <si>
    <t>"12/371,GANDHI NGR,KRISHNA,NUZVID"    KRISHNA ANP 521201</t>
  </si>
  <si>
    <t>5 3 129 2/A/1 ASHOK NAGAr BHARATHI VIDYA KENDRAM HIGH SChool  100 MTS MPP SCHOOL ADILABAD TNG 505001</t>
  </si>
  <si>
    <t>"10,110 G 9 3 NEAR SATSANG,SAI BABA,,MAND" "IRAM JAWAHAR,NAGAR COLONY,MARKAPUR"  JAWAHARNAGAR COLONY NANDYAL ANP 523316</t>
  </si>
  <si>
    <t>"28-343/B,RAMNAGAR COLONY,CHITTOOR," RAMNAGAR COLONY   CHITTOOR ANP 517001</t>
  </si>
  <si>
    <t>"1/105,MAIN ROAD GOOTY,ANANTHAPURAM,,ANDH" "RAPRADESH,515401"  ANANTAPUR ANANTAPUR ANP 515401</t>
  </si>
  <si>
    <t>D NO 3 147 GUTLA PADU VILLAGE   MAIN ROAD BHIMAVARAM ANP 534239</t>
  </si>
  <si>
    <t>26 853 GURAVAEAH THOTA PRODDATUR   GURAVAEAH THOTA PRODDATUR ANP 516360</t>
  </si>
  <si>
    <t>"1223,RAMALAYAM STREET,/1,TILLAPUDI VILLAGE," PALACOLE MANDAL   BHV ANP 534245</t>
  </si>
  <si>
    <t>JOHNPAHAD ROAD NALGONDA DAMERA CHERLA  NAGAR PASS SCHOOL SURYAPET TNG 508355</t>
  </si>
  <si>
    <t>8209 KATTAVARI STREETWYCHIPETA "GANDHIBOMMA,NTR"   VJW ANP 520001</t>
  </si>
  <si>
    <t>1-67 Pogallapalli Pogallapalli Khammam KHAMMAM TNG 507115</t>
  </si>
  <si>
    <t>"3-52,GUDIVADAROAD OPP,RAMALAYAM,MANDAVAL" "LI,,MANDAL LOKUMUDI LOKAMUDI" KRISHNA NEAR MAIN ROAD GUDIVADA ANP 521333</t>
  </si>
  <si>
    <t>S/O RAJESHWAR KANDULA H NO 3 2 70 CHINTA "CHINTAKUNTAWADA NIRMAL ADILABAD ,NIRMAL"  MAIN ROAD ADILABAD TNG 504106</t>
  </si>
  <si>
    <t>"H NO 7-1-85/13,SAI BALAJI TOWNSHHIPPERAM" AMPETA ROAD JANGAREDDIGUDEM NEAR PARK JANGAREDDIGUDUM ANP 534447</t>
  </si>
  <si>
    <t>6 334 1 Gudipadu Road Gudipadu Road Khammam KHAMMAM TNG 507303</t>
  </si>
  <si>
    <t>H NO 1 1 1392 1 VENKATDRI NAGAR KAZIPET NEAR FCI GODOWNS Warangal TNG 506003</t>
  </si>
  <si>
    <t>8-17-174/63/A 8TH WARD SOCIETY COLONY "GIDDALUR, RACHERLA GATE CENTER" PRAKASAM XXX NANDYAL ANP 523357</t>
  </si>
  <si>
    <t>"FLAT NO 402 4TH FLOOR PINEVIW RESIDENCY," MAHATHMA GANDHI INNER RING ROAD  NEAR AMARAVATI TIFFINS GUNTUR ANP 522034</t>
  </si>
  <si>
    <t>NO 55-2-232 FOREST COLONY BHEEMARAM HASANPARTHY OPP CRPF CAMP LANE HANAMKONDA Warangal TNG 506015</t>
  </si>
  <si>
    <t>H NO 13 3 195 PATAKMAHILA KOMAL COTTAGE NEAR ZP HIGH SCHOOL Warangal TNG 506002</t>
  </si>
  <si>
    <t>3-164 MALLAREDDYPALLI MULUGU WARANGAL NEAR MAIN ROAD WARANGAL TNG 506349</t>
  </si>
  <si>
    <t>"H NO,2-84 VISWANADHAPURAM,.,MUCHARAM"    KHAMMAM TNG 507209</t>
  </si>
  <si>
    <t>RAJESH ENTERPRISES "H.NO-6-1-132/69,2ND FLOOR,FAIR VIEW APTS" "PADMARAO NAGAR,SECUNDERABAD" "PADMARAO NAGAR,SECUNDERABAD" HYDERABAD ANP 500061</t>
  </si>
  <si>
    <t>SELF EMPLOYEE 2 145 3 SARADA NAGAR SARADA NAGAR HINDUPUR ANP 515671</t>
  </si>
  <si>
    <t>EDLA PLOUTRY FRAM KOTHAGATTU SHANKARA PATNUM KARIM NAGAR KARIM NAGAR HYDERABAD TNG 505490</t>
  </si>
  <si>
    <t>SAMSUNG AUTHORIZED SERVITE SENTRE "1-9-2-2/5VKR COMPLEX FATHENAGAR ," MEDAK MEDAK MEDAK TNG 502110</t>
  </si>
  <si>
    <t>CAPGEMINI TECHNOLOGY SERVICES INDIA LIMI "SY NO 115/32 AND 35,ISB ROAD" "NANAKARAMGUDA,GACHIBOWLI" "NANAKARAMGUDA,GACHIBOWLI" HYDERABAD TNG 500032</t>
  </si>
  <si>
    <t>Nihanth Reddy Kadapa Kadapa Kadapa CUDDAPAH ANP 516001</t>
  </si>
  <si>
    <t>SR LOGISTICS ACHAMPETA JUNCTION   KAKINADA ANP 533005</t>
  </si>
  <si>
    <t>IRON BOLT BUSINESS "3-293-19-1, AKKAYAPALLY," CUDDAPAH CUDDAPAH CUDDAPAH ANP 516003</t>
  </si>
  <si>
    <t>SIDDANTH ENTERPRISES 6 6 203 PADMANAGAR JAGTIAL JAGTIAL KARIMNAGAR TNG 505327</t>
  </si>
  <si>
    <t>HATCH p eswara rao eswara rao PITHAPURAM ANP 533450</t>
  </si>
  <si>
    <t>INFOSYS LIMITED SY NO 210 ISB ROAD LINGAMPALLY RD MANIKONDA JAGIR MANIKONDA JAGIR HYDERABAD TNG 500032</t>
  </si>
  <si>
    <t>WALKING TREE TECHNOLOGIES PVT LTD 9TH FLOOR 903 MANJEERA TRINITY CORPORATE MANJEERA TRINITY CORPORATE HYDERABAD TNG 500072</t>
  </si>
  <si>
    <t>LAXMI SAI DEVELOPERS "2-4-1204/8/10/110, KUDAENCLVE" HANAMKONA HANAMKONA WARANGAL TNG 506004</t>
  </si>
  <si>
    <t>GOVERMENT OF AP "ZP HIGH SCHOOL BOYS NARPALA ,GUNTAKAL ," GUNTAKAL GUNTAKAL ANAPARTHI ANP 515001</t>
  </si>
  <si>
    <t>SVS FACILITY MANAGEMENT SERVICES PVT LTD NO 138 OLD MAHABALIPURAM SHOLINGANALLUR SHOLINGANALLUR CHENNAI TMN 600100</t>
  </si>
  <si>
    <t>PANCHAYAT RAJ DEPARTMENT ROTIBANDATHANDA MAHABUBABAD MAHABUBABAD WARANGAL TNG 506104</t>
  </si>
  <si>
    <t>HDB FINANCIAL SERVICES LIMITED HDFC BANK CONSUMAR LOANS DURABLE LOANS "MIRYALAGUDA,SAGAR ROAD" "MIRYALAGUDA,SAGAR ROAD" SURYAPET TNG 508207</t>
  </si>
  <si>
    <t>INSEMI TECHNOLOGY SERVICES PRIVATE LIMIT NEILRAO TOWERS EPIPPHASE 1 WHITEFIELD BANGALORE WHITEFIELD BANGALORE BANGALORE KAR 560066</t>
  </si>
  <si>
    <t>SELF EMPLOYED METPALLY POLICE STATION METPALLY METPALLY KARIMNAGAR TNG 505326</t>
  </si>
  <si>
    <t>GOVERNMENT OF ANDHRAPRADESH "CHALAMANGALAM,CHALAMANGALAM" "PEDDAPANJANI MANDAL,CHITTOOR" "PEDDAPANJANI MANDAL,CHITTOOR" PALAMANER ANP 517408</t>
  </si>
  <si>
    <t>STAR HEALTH AND ALLIED INSURANCE COMPANY "H NO 12-429/1 ISLAMPURA,BELLAMPALLY CHOW" MANCHERIAL MANCHERIAL ADILABAD TNG 504208</t>
  </si>
  <si>
    <t>INFOSYS BPM LTD Infosys phase 2 Phase2 Phase2 PUNE MAH 411057</t>
  </si>
  <si>
    <t>INDIAN BANK ZONAL OFFICE 2ND FLOOR CVRN ROAD KARIMNAGAR BEHIND KARCHI BAKERY BEHIND KARCHI BAKERY ADILABAD TNG 505001</t>
  </si>
  <si>
    <t>VIGNESWARA NATURAL STONES PLOT NO 20 INDUSTRIAL STREET INDUSTRIAL STREET NANDYAL ANP 523316</t>
  </si>
  <si>
    <t>INFOSYS LIMITED ISB ROAD LINGAMPALLY RD MANIKONDA JAGIR MANIKONDA JAGIR HYDERABAD TNG 500032</t>
  </si>
  <si>
    <t>S S AQUA TRADERS D NO 3 77 BESIDE OLD ATM ANDHRA BANK MAIN ROAD GUTLAPADU VILLAGE BANK MAIN ROAD GUTLAPADU VILLAGE BHIMAVARAM ANP 534239</t>
  </si>
  <si>
    <t>SRI VARASIDDI VINAYAKASEEDS AND DESICIDE 9 659 2 3 MYDDHWR ROAD PRODDASUR   PRODDATUR ANP 516360</t>
  </si>
  <si>
    <t>KGF INDIA POULTRY TRADERS DAMERCHERLA GRAM PANCHAYAT PANCHAYAT SURYAPET TNG 508355</t>
  </si>
  <si>
    <t>NAVA BHARAT VENTURES LIMITED "Q NO F-42, NAVA NAGAR COLONY" SIIL CAMPUS POST PALWANCHA SIIL CAMPUS POST PALWANCHA KHAMMAM TNG 507154</t>
  </si>
  <si>
    <t>GOVERNMENT OF ANDHRA PRADESH WATER RESOU ZILLA PARISHAD HIGH SCHOOL TAMARAKOLLU VLJ TAMARAKOLLU VLJ GUDIVADA ANP 521343</t>
  </si>
  <si>
    <t>BANDHAN BANK LIMITED BANDHAN BANK LIMITED NEAR SURYA TOWERS P "PRAGATI NAGAR NIZAMABAD ,NIZAMABAD ," "PRAGATI NAGAR NIZAMABAD ,NIZAMABAD ," NIZAMABAD TNG 503001</t>
  </si>
  <si>
    <t>GOVT OF AP "GOVT JUNIOR COLLEGE,BUTTEYAGUDEM" PALACOLE PALACOLE ELURU ANP 534448</t>
  </si>
  <si>
    <t>INSTITUTE OF LANAGUAGE AND MANAGEMENT 6 334 1 GUDIPADU ROAD SATHUPALLY GUDIPADU ROAD SATHUPALLY KHAMMAM TNG 507303</t>
  </si>
  <si>
    <t>PRAKASH TOURS AND TRAVELS H NO 1 1 1392 1 VENKATADRI NAGAR ROD NO 4 KAZIPET ROD NO 4 KAZIPET Warangal TNG 506003</t>
  </si>
  <si>
    <t>INFOSYS LIMITED "V6RHG3P, NEDUNCHEZIAN SALAI," "SHOLINGANALLUR, CHENNAI" "SHOLINGANALLUR, CHENNAI" CHENNAI TMN 600119</t>
  </si>
  <si>
    <t>GOVERNMENT OF ANDHRA PRADESH "DGP OFFICE MANGALAGIRI," "GUNTUR," "GUNTUR," VIJAYAWADA ANP 522503</t>
  </si>
  <si>
    <t>VIL MEDIA PRIVATE LIMITED C/O V6 OFFICE BALASAMUDRAM HANAMKONDA BESIDE DR K MANOHAR CLINIC BESIDE DR K MANOHAR CLINIC Warangal TNG 506001</t>
  </si>
  <si>
    <t>GOVT OF TELANGANA MAHATHMAGANDHI MEDICAL HOSPITAL MGM WARANGAL MGM WARANGAL Warangal TNG 506002</t>
  </si>
  <si>
    <t>WISHWORKS CYBER GATEWAY C BLOCK 2 FLOOR HITECH CITY HYDERABAD HITECH CITY HYDERABAD HYDERABAD TNG 500081</t>
  </si>
  <si>
    <t>HATCH 2-84 Viswanadhapuram Viswanadhapuram KHAMMAM TNG 507209</t>
  </si>
  <si>
    <t>10TH JULY</t>
  </si>
  <si>
    <t>0000000018959626</t>
  </si>
  <si>
    <t>0000000019472061</t>
  </si>
  <si>
    <t>0000000019870987</t>
  </si>
  <si>
    <t>0000000020032885</t>
  </si>
  <si>
    <t>0000000020089314</t>
  </si>
  <si>
    <t>0000000020299967</t>
  </si>
  <si>
    <t>0000000020572647</t>
  </si>
  <si>
    <t>0000000020978272</t>
  </si>
  <si>
    <t>0000000021692820</t>
  </si>
  <si>
    <t>0000000022466557</t>
  </si>
  <si>
    <t>0000000023431039</t>
  </si>
  <si>
    <t>0000000023700314</t>
  </si>
  <si>
    <t>0000000023975131</t>
  </si>
  <si>
    <t>0000000024546866</t>
  </si>
  <si>
    <t>0000000025001850</t>
  </si>
  <si>
    <t>0000000025168297</t>
  </si>
  <si>
    <t>0000000025554787</t>
  </si>
  <si>
    <t>0000000025863591</t>
  </si>
  <si>
    <t>0000000026410124</t>
  </si>
  <si>
    <t>0000000027001149</t>
  </si>
  <si>
    <t>0000000027378156</t>
  </si>
  <si>
    <t>0000000027726070</t>
  </si>
  <si>
    <t>0000000028889683</t>
  </si>
  <si>
    <t>0000000031005016</t>
  </si>
  <si>
    <t>0000000035502010</t>
  </si>
  <si>
    <t>0000000024388571</t>
  </si>
  <si>
    <t>1000000000197151</t>
  </si>
  <si>
    <t>1000000000438232</t>
  </si>
  <si>
    <t>1000000000505179</t>
  </si>
  <si>
    <t>1000000000625564</t>
  </si>
  <si>
    <t>1000000000749841</t>
  </si>
  <si>
    <t>0000000020938774</t>
  </si>
  <si>
    <t>0000000018196128</t>
  </si>
  <si>
    <t>0000000024898560</t>
  </si>
  <si>
    <t>0000000032339084</t>
  </si>
  <si>
    <t>0000000011401630</t>
  </si>
  <si>
    <t>0000000014563099</t>
  </si>
  <si>
    <t>0000000009266285</t>
  </si>
  <si>
    <t>0000000009389240</t>
  </si>
  <si>
    <t>0000000010338192</t>
  </si>
  <si>
    <t>0000000023793791</t>
  </si>
  <si>
    <t>0000000022133690</t>
  </si>
  <si>
    <t>PRAVEEN/VJW , 8897201397</t>
  </si>
  <si>
    <t>SRINIVAS/PEDDAPALLI , 9908649882</t>
  </si>
  <si>
    <t>5TH JU</t>
  </si>
  <si>
    <t>5TH NU</t>
  </si>
  <si>
    <t>I have Visited Customer Given house address customer not available in home Customer son available Customer call answered given ptp by Tuesday</t>
  </si>
  <si>
    <t>I have Visited Customer Given house address customer not available in home Customer aunty available Customer call answered Saying that from past 3 months im suffering from paralysis Customer present in Tirupati hospital customer need time to pay</t>
  </si>
  <si>
    <t xml:space="preserve">Custmor not lived  this village    </t>
  </si>
  <si>
    <t>6TH JU</t>
  </si>
  <si>
    <t>Customer live in address but customer staying in another address family issues and not responding family members calls</t>
  </si>
  <si>
    <t>Customer given address skip call not working need to kyc sir @Samba Garu</t>
  </si>
  <si>
    <t>Feedback address not found in correct address
Customer call not responding</t>
  </si>
  <si>
    <t>Customer address skip call response call back in evening come to office address saying sir // Customer office address visit customer not available door lock</t>
  </si>
  <si>
    <t>Customer visit home address door lock customer live talk to customer phone PTP 11TH</t>
  </si>
  <si>
    <t>Costumer present not available call answered PTP on Wednesday sir</t>
  </si>
  <si>
    <t>The customer's address is not yet known. We are looking for it. // We went to the customer's current address but the customer was not available. The customer was in America and their mother was there. We informed their mother. // I visited the customer's current address but she is not available I informed her mother // I visited the customer's current address but customer is not available at home, I informed her father and she is PTP today evening</t>
  </si>
  <si>
    <t>Customer house door locked 
Customer calls not responding</t>
  </si>
  <si>
    <t>Customer Adress visit and Customer prasent in goto work and infome is wife and  Customer call Answer asked settlement but I convinced them to pay the Stab amount and Customer meet in evening Choutuppal</t>
  </si>
  <si>
    <t>CUSTOMER NAME : SURUB7LA ANJINEYULU 
CUSTOMER NOT LIVING IN GIVING ADDRESS CUSTOMER SHIFTED BY NARSARAVUPETA PEYMENT IN NYBYARS</t>
  </si>
  <si>
    <t>Customer house address skip phone not answering need kyc details</t>
  </si>
  <si>
    <t>Customer house address skip phone not answering confirmation nearby customer shifted to Hyderabad</t>
  </si>
  <si>
    <t>Customer live in address and here parents living customer job in hyderabad he said prasent he have health problems and asking time</t>
  </si>
  <si>
    <t>customer not available in adders call not responding</t>
  </si>
  <si>
    <t>isited customer given address. Customer not available, family members available  // In call customer says will be pay early</t>
  </si>
  <si>
    <t>Customer Adress visit and Customer Rented Adress in few months back and customer village Urumadla and Customer sufferd Financial issue and Customer death in Last  month is Susi</t>
  </si>
  <si>
    <t>Neighbours said Prasent cust staying in hyd and cust number switched off</t>
  </si>
  <si>
    <t xml:space="preserve">Customer not available his wife also out of station 
Customer live in hyderabad.not responding for calls .
Informed to his brother . Sir </t>
  </si>
  <si>
    <t>Visted custmor office address ptp tomorrow</t>
  </si>
  <si>
    <t>Custmor ptp  tomorrow</t>
  </si>
  <si>
    <t>Customer house address visit customer not in a home customer mother told informed to customer customer mobile not responding</t>
  </si>
  <si>
    <t>Customer village adress visit and Customer and Family prasent living Hyderabd Boduppal and Customer call Answer ptp on Tommorow</t>
  </si>
  <si>
    <t>I have Visited Customer work address Customer not available here Customer vacated Shop before 2 months ago Customer call answered Saying that I'm not able to pay because of my daughter health issues I don't have funds now customer is in Nims Hospital Hyderabad</t>
  </si>
  <si>
    <t xml:space="preserve"> Customer house visit sir customer not available call not responding family shipped  to Hyderabad sir</t>
  </si>
  <si>
    <t xml:space="preserve"> Customer house visit sir customer shift to Hyderabad sir neighbours enquiry sir</t>
  </si>
  <si>
    <t>Customer office address visit customer not available skip enquiry not available not working ther // Customer home address visit customer not available skip address no identity person</t>
  </si>
  <si>
    <t>Door locked</t>
  </si>
  <si>
    <t>I have Visited Customer given house address customer not available at home address &amp; is in Hyderabad location for work purpose 
Customer father stays here &amp; I intimate him</t>
  </si>
  <si>
    <t>Customer office address visited sir his not available phone call not responding</t>
  </si>
  <si>
    <t>Customer Given House address visited but customer not available at home Living at Hyderabad  responding phone calls given PTP 09/07/26</t>
  </si>
  <si>
    <t>7TH JU</t>
  </si>
  <si>
    <t>Feedback customer not staying in this address he's family live call responded he said payment don</t>
  </si>
  <si>
    <t>customer shop not available and phone not responding</t>
  </si>
  <si>
    <t>stomer address not found and calls not answered need kyc sir // Customer shifted to another address and calls not receved need kyc</t>
  </si>
  <si>
    <t xml:space="preserve"> customer not available home address he's mother live she said inform to customer</t>
  </si>
  <si>
    <t>Visited Customer Residence Customer Not Available Inform To His Mother</t>
  </si>
  <si>
    <t>Customer address visit customer not available msg left mother inform to family</t>
  </si>
  <si>
    <t>Customer house shifted 
Customer calls not responding // Customer address visited 
Customer PTP on 8th</t>
  </si>
  <si>
    <t>Customer live in address and customer not at home met his brother and said today or tomorrow he will amount</t>
  </si>
  <si>
    <t>Visited Customer Residence Address Customer Not Available Customer Brother Saying Customer Job Loss</t>
  </si>
  <si>
    <t xml:space="preserve"> customer shifted this address number not working</t>
  </si>
  <si>
    <t>customer shifted this address cm staying in manuguru 
Told by neighbour's call not responding</t>
  </si>
  <si>
    <t>Customer working address visited but customer not available removed business two year's back conformed by present living renters customer not responding phone calls going home address // Customer given House address visited but customer not available at address shifted from given address confirmed by neighbour's customer not responding phone calls customer shifted to raipudi // Customer new working address visited customer shifted from this address also conformed by present living worker's</t>
  </si>
  <si>
    <t>Visited Customer Given Adress Customer Not Working Heare  Need kyc Sir // Visited Customer Office Adress Customer Not Available Inform To workers Revisit Again Sir</t>
  </si>
  <si>
    <t>Costumer present not available call answered PTP today evening sir</t>
  </si>
  <si>
    <t>customer house door locked , office address visited cs not available mes cal back tomarrow //  customer giving office  hours address    closed customer phone calls not respond</t>
  </si>
  <si>
    <t>Customer given address visit customer not available door locked, informed to neighbors, call not answer // Customer given address visit customer not available informed to mother call not answer</t>
  </si>
  <si>
    <t>I have Visited Customer given village house address Customer not available here found house was locked enquired neighbours Customer staying in khammam from past 3 years Customer mobile is in Switchoff</t>
  </si>
  <si>
    <t>VISITED CUSTOMER GIVEN HOUSE ADDRESS CUSTOMER PRESENT NOT AVAILABLE AT HOME RESPONDED TO PHONE CALL ASKING SETTLEMENT DUE TO JOB LOSS CUSTOMER RAISED MAIL FOR CUSTOMER CARE // VISITED CUSTOMER GIVEN HOUSE ADDRESS CUSTOMER  NOT AVAILABLE AT HOME  LIVING AT TADAPALLIGUDEM RESPONDED TO PHONE CALL ASKING SETTLEMENT DUE TO JOB LOSS CUSTOMER RAISED MAIL FOR CUSTOMER CARE RTP RESPONSE FROM CUSTOMER</t>
  </si>
  <si>
    <t>VISITED CUSTOMER GIVEN HOUSE ADDRESS CUSTOMER NOT AVAILABLE IN THIS ADDRESS RESPOND TO PHONE CALL SAID THAT CALL BACK TOMORROW WANT TO REVISIT AGAIN FOR WORKING ADDRESS</t>
  </si>
  <si>
    <t xml:space="preserve"> cmr house door locked, cmr not answering call and revisit required</t>
  </si>
  <si>
    <t>Cm job loss sir cm cant pay now cm going to labour work sir.</t>
  </si>
  <si>
    <t>Cm home is in lock cm not answering the calls sir.</t>
  </si>
  <si>
    <t>Customer given address visit address not found, trying by call</t>
  </si>
  <si>
    <t>Visited Customer Residence Address Customer Live Customer Given Commitment On 11th Sir</t>
  </si>
  <si>
    <t>8TH JU</t>
  </si>
  <si>
    <t>Customer address visit customer not available msg left to mother customer in hyd // Customer address visit customer not available msg left to mother customer in hyd
Customer call not answering sir</t>
  </si>
  <si>
    <t>eet Customer Given Commitment Tommorow Sir</t>
  </si>
  <si>
    <t xml:space="preserve"> customer shifted this address 1 year ago told by owners // Feedback visited customer 2nd address customer live he argued with me he's said not paid amount</t>
  </si>
  <si>
    <t>Customer given House address visited but customer not available shifted two years back confirmed by neighbour's customer responded to mobile call said that call back evening</t>
  </si>
  <si>
    <t>customer not available at given address mobile number switch off by local enquiry customer absconding family members shift to another location // customer not available at given address mobile number switch off by local enquiry customer absconding police department also searching family members shift to another location....</t>
  </si>
  <si>
    <t>Customer address visit customer not available skip address need k</t>
  </si>
  <si>
    <t>Visited Customer Given Adress Customer Shifted // Visited Customer 2nd Adress  here also Shifted // Visited Customer Work Adress Customer Not Working Heare</t>
  </si>
  <si>
    <t>Customer address door lock call not answering 
Neighbours enquiry customer not identified yet call not answering sir</t>
  </si>
  <si>
    <t>I have Visited customer Work address Customer not available Customer call not answering // ReVisited customer Work address Customer is in live given ptp by Tommorow Eod //  customer Work address Customer not available Customer is in leave call not answering // ReVisited customer Work address Customer not available Called to Customer husband Saying that till not yet received funds will try to pay by 4pm</t>
  </si>
  <si>
    <t>10TH JU</t>
  </si>
  <si>
    <t>No Such Person // Visited Customer 3rd Adress Shifted 3years Back Sir</t>
  </si>
  <si>
    <t>mr not at home , cnr mother there and cmr answered call willing to pay Today, cmr lives in Hyderabad</t>
  </si>
  <si>
    <t>Cust said he went to outside cust relation expired he will call back today evening will update</t>
  </si>
  <si>
    <t>Customer house shifted 
Customer phone PTP on Tuesday:7th // Customer work address visited 
Customer transfer // Customer work address visited 
Customer PTP on today evening</t>
  </si>
  <si>
    <t>I have Visited Customer Given address customer given shop address customer not available worker available customer call not answering need to revisit // ReVisited Customer Given Shop address Found shop was closed Customer call not answering // ReVisited Customer Given Shop address Customer not available here Customer brother available Customer call answered Customer refused to Pay</t>
  </si>
  <si>
    <t>Customer given address visit address not found, trying to alternative call not answer // Customer given address visit customer not available informed to mother she saying customer not living here working in hyderabad call to him we don't know his financial matters, we have health issues</t>
  </si>
  <si>
    <t>Cm home adress is live cm unable to pay sir cm talking very rong and family members also shouting sir.</t>
  </si>
  <si>
    <t>cmr not living inthis address, cmr family shifted to Hyderabad, cmr answered call and given ptp Today evening</t>
  </si>
  <si>
    <t>Remark Customer Phone Switch Off Customer Out Of Station Inform To Customer Father Sir</t>
  </si>
  <si>
    <t>Custmor go to job   phne respond  tomorrow ptp / /Custmor go to out station</t>
  </si>
  <si>
    <t>Visited Customer Given Adress House Sold // Visited  Customer 2nd Adress Customer Asking Time // Visited Customer Given Adress Customer Live Customer Given Commitment Tommorow S</t>
  </si>
  <si>
    <t>Customer living residencial address visited sir door locked 🔐 not available went to out side phone call not responding</t>
  </si>
  <si>
    <t>Customer address visit customer not available door lock call response ptp on Friday sir</t>
  </si>
  <si>
    <t>Customer address not tracout . Customer not responding for calls . Today evening 5 pm we will visit near his second address sir  // Customer given ptp today evening or tomorrow sir // Customer told that pay will done by his son . I have contacted his son he is in Hyderabad he told that he had just 3000 rupees he will adjust reaming amount &amp; he will pay today night sir</t>
  </si>
  <si>
    <t xml:space="preserve">Customer live in hyderabad.not boday at house . Customer not responding for calls . Left msg in WhatsApp to customer. // Customer given ptp today evening by 7pm sir // Meet to customer.he give ptp tomorrow afternoon by 4 pm sir </t>
  </si>
  <si>
    <t>Customer not available at house he live in Hyderabad.he phone switch off.
He mother told that they paid 5 day back big amount. To ICICI Bank . &amp; They take time to pay credit card amount.for this month last sir
Visited along with magbool basha // Customer not available they parents also not responding sir</t>
  </si>
  <si>
    <t>VISITED CUSTOMER GIVEN HOUSE ADDRESS CUSTOMER LIVE RESPONDED ABOUT PAYMENT SAID THAT CALL BACK TOMORROW // Ch asking time to pay jobless</t>
  </si>
  <si>
    <t>9TH JU</t>
  </si>
  <si>
    <t>Customer address visit customer not available msg left to brother 
Customer new no 070953 00196
Call back in evening // Customer address visit customer not available msg left to brother 
Customer new no 070953 00196</t>
  </si>
  <si>
    <t>Customer address skip call not working need to kyc and alternative numbers</t>
  </si>
  <si>
    <t xml:space="preserve">Customer given House address and working address visited but customer not available shifted from this address confirmed by neighbour's and told new address want to revist for new working address customer calls not answering // Customer new working address visited customer live waiting for customer // Customer new working address visited customer live given PTP tomorrow // </t>
  </si>
  <si>
    <t>Customer not available 
Customer phone PTP on 10th</t>
  </si>
  <si>
    <t xml:space="preserve"> customer sold this house shifted to Hyderabad call not responding</t>
  </si>
  <si>
    <t>Cust husband respond to call and said given ptp on 11th</t>
  </si>
  <si>
    <t>customer not available cm father live call responded PTP given today evening</t>
  </si>
  <si>
    <t>Customer given House address visited but customer not available at home enquired with parent's customer left home Long back ago with family customer mobile number ringing but not answering will revisit again and discuss with customer father // Customer given House address revisited no one is there at home door locked customer calls not answering</t>
  </si>
  <si>
    <t>customer not available at house he was living in Telangana not lifting my phone call mess pass to mother.... // customer not available at house he was living in Telangana not lifting my phone call mess pass to family her father agreed to ptp today night or tomorrow morning..</t>
  </si>
  <si>
    <t>Customer visit home address meet customer PTP 14th</t>
  </si>
  <si>
    <t>cm paid the stab amount yesterday night sir please check once sir</t>
  </si>
  <si>
    <t>customer not available at given address door lock not lifting my phone call waiting for customer response.... // customer available he said financial issue asking for settlement not ready to pay right now he going to legal try to convince.... //  customer available he said financial issue asking for settlement not ready to pay right now he going to legal try to convince.... // customer not available by call conversation he said financial issue asking for settlement not ready to pay right now he going to legal try to convince.... // customer not available by call conversation he said financial issue asking for settlement not ready to pay right now he going to legal try to convince....</t>
  </si>
  <si>
    <t>Visited Customer Given Adress Customer Not Available Door locked // Visited Customer Residence Customer Not Intrest To pay</t>
  </si>
  <si>
    <t>Cmr given address visited customer present not available cmr livng in Hyderabad in job purpose in fom to is brother sir</t>
  </si>
  <si>
    <t>Feedback customer paymet wensday // Feedback customer paymet 7k remaing amount 4o clock</t>
  </si>
  <si>
    <t>Meet Customer Given Commitment Tommorow Sir</t>
  </si>
  <si>
    <t>Remark Customer Out Of Cuntry Inform To Customer Father Call Back Evening Sir</t>
  </si>
  <si>
    <t>Cmr given address visited customer given PTP today evening 7 pm sir</t>
  </si>
  <si>
    <t>Feedback customer office adders visit asking 2 days time</t>
  </si>
  <si>
    <t>cmr not there at home , cmr answered call , waiting for c</t>
  </si>
  <si>
    <t>Cus house visited.cus live.discussed about the payment.willing to pay tomorrow eod</t>
  </si>
  <si>
    <t xml:space="preserve">Visited near customer work place .hear also no one give proper respond sir </t>
  </si>
  <si>
    <t>ustomer given address visit customer not available door locked, customer call not answer</t>
  </si>
  <si>
    <t>Customer address visit customer not available door lock call response no founds available ask for time // Customer address door lock 
Call response no founds available not ready to pay asking for time facing financial issues saying // Customer address door lock call not answering sir</t>
  </si>
  <si>
    <t>customer not available</t>
  </si>
  <si>
    <t>Customer address visit customer not available msg left to father customer in camp msg left to family // Customer address visit customer not available customer family aslo no response call not answering sir</t>
  </si>
  <si>
    <t>Customer visit New home address meet customer PTP 14th</t>
  </si>
  <si>
    <t>Customer told that still he did not adjust amount . 
If he adjusted amount he will pay today or tomorrow</t>
  </si>
  <si>
    <t>Customer given address visit address not found trying to alternative // Customer given address visit customer not available not living in address sold house information from neighbors // Customer not at home right now 
Calls not answering // Visited the customer address however the customer called the cops &amp; refused to pay the amount...!</t>
  </si>
  <si>
    <t>4073520211461000</t>
  </si>
  <si>
    <t>4073520213398010</t>
  </si>
  <si>
    <t>4073520450231007</t>
  </si>
  <si>
    <t>4375518448403006</t>
  </si>
  <si>
    <t>4375518741776009</t>
  </si>
  <si>
    <t>4748460733594019</t>
  </si>
  <si>
    <t>4748461212057007</t>
  </si>
  <si>
    <t>4748461242001009</t>
  </si>
  <si>
    <t>4748461279438009</t>
  </si>
  <si>
    <t>4748464712414009</t>
  </si>
  <si>
    <t>4748464721790001</t>
  </si>
  <si>
    <t>4748464723994007</t>
  </si>
  <si>
    <t>4748464726028035</t>
  </si>
  <si>
    <t>4748464727040005</t>
  </si>
  <si>
    <t>4748464727051002</t>
  </si>
  <si>
    <t>4748464731034002</t>
  </si>
  <si>
    <t>4748464731607005</t>
  </si>
  <si>
    <t>4748464731956006</t>
  </si>
  <si>
    <t>4748464732390007</t>
  </si>
  <si>
    <t>4748464735021005</t>
  </si>
  <si>
    <t>4748464736358018</t>
  </si>
  <si>
    <t>4748464737551017</t>
  </si>
  <si>
    <t>4748464740598005</t>
  </si>
  <si>
    <t>4748464743133008</t>
  </si>
  <si>
    <t>4748464745301009</t>
  </si>
  <si>
    <t>4748464748270003</t>
  </si>
  <si>
    <t>4902470004366007</t>
  </si>
  <si>
    <t>5241935707036005</t>
  </si>
  <si>
    <t>5241935715148008</t>
  </si>
  <si>
    <t>5241935716628008</t>
  </si>
  <si>
    <t>5241935725547009</t>
  </si>
  <si>
    <t>5241935727966009</t>
  </si>
  <si>
    <t>5241935730156010</t>
  </si>
  <si>
    <t>5241935739232002</t>
  </si>
  <si>
    <t>5241935744275004</t>
  </si>
  <si>
    <t>5241935759431005</t>
  </si>
  <si>
    <t>5241935767108009</t>
  </si>
  <si>
    <t>5241935774612001</t>
  </si>
  <si>
    <t>5241935779026009</t>
  </si>
  <si>
    <t>5241935791549012</t>
  </si>
  <si>
    <t>5241935793955001</t>
  </si>
  <si>
    <t>5241935802340005</t>
  </si>
  <si>
    <t>6528690000796001</t>
  </si>
  <si>
    <t>6528690158588002</t>
  </si>
  <si>
    <t>6528690194293005</t>
  </si>
  <si>
    <t>6528680469876006</t>
  </si>
  <si>
    <t>MS VELPULA PRIYA DARSHINI</t>
  </si>
  <si>
    <t>MR PATHAN YAKHUB KHAN</t>
  </si>
  <si>
    <t>MR GANNAMANENI PRAVEEN KUMAR</t>
  </si>
  <si>
    <t>MR CHANDRAGIRI SRIKAR BABU</t>
  </si>
  <si>
    <t>MR KONDA YAZNAPALLAPA RAJU</t>
  </si>
  <si>
    <t>MR BELLAM GOPI</t>
  </si>
  <si>
    <t>MR BOYAPATI GEORGE REDDY</t>
  </si>
  <si>
    <t>MR ANUMASULA SUDHAKAR REDDY</t>
  </si>
  <si>
    <t>MR VINOD UPLANCHIWAR</t>
  </si>
  <si>
    <t>MR PANDUGA RAKESH</t>
  </si>
  <si>
    <t>MR ESLAVATH MANYAM</t>
  </si>
  <si>
    <t>MR THOTA SRINIVAS</t>
  </si>
  <si>
    <t>MR CHARUGONDLA POORNA MANIKANTA</t>
  </si>
  <si>
    <t>MR GANDI VIJAYKUMAR</t>
  </si>
  <si>
    <t>MR KOMARAGIRI RAMU</t>
  </si>
  <si>
    <t>MR BATHINI SRAVAN KUMAR</t>
  </si>
  <si>
    <t>MR MALUGA MANIKANTA</t>
  </si>
  <si>
    <t>MR U CHINNA VENKANNA</t>
  </si>
  <si>
    <t>MR THUNIKI PRASAD</t>
  </si>
  <si>
    <t>MR ALISHETTY SAMPATH</t>
  </si>
  <si>
    <t>MR RATLAVATH SUDHAKAR</t>
  </si>
  <si>
    <t>MR KANNETI VAMSHI</t>
  </si>
  <si>
    <t>MR KOLE MURALIKRISHNA</t>
  </si>
  <si>
    <t>MR MAMIDI VEERABABU</t>
  </si>
  <si>
    <t>MR KADIVENDI RAMANA CHARY</t>
  </si>
  <si>
    <t>MR PUCHAKAYALA SIVAPRASAD</t>
  </si>
  <si>
    <t>MR KUNCHA VENUGOPAL</t>
  </si>
  <si>
    <t>MR CHINAPURAM JAGADEESH</t>
  </si>
  <si>
    <t>MR VARAPRASAD RAO KUCHADI</t>
  </si>
  <si>
    <t>MR RODDA YADAGIRI</t>
  </si>
  <si>
    <t>MS JYOTHI BODA</t>
  </si>
  <si>
    <t>MR DOSETTY SARALA</t>
  </si>
  <si>
    <t>MR KOTA NAVEEN KUMAR</t>
  </si>
  <si>
    <t>MR DARSI KRISHNARAO</t>
  </si>
  <si>
    <t>MR RAMOLLA SESHU</t>
  </si>
  <si>
    <t>MS DAMMA PUSHPALA</t>
  </si>
  <si>
    <t>MR HARISH MUVVA</t>
  </si>
  <si>
    <t>MR CHELLA YASWANTH</t>
  </si>
  <si>
    <t>MR PUTCHA PAVAN KUMAR REDDY</t>
  </si>
  <si>
    <t>MR SURYANARAYANA PATNEEDI</t>
  </si>
  <si>
    <t>MR SATHISHKUMAR BOGA</t>
  </si>
  <si>
    <t>MR ANUGANDULA KIRAN</t>
  </si>
  <si>
    <t>MR Sydana Kumar</t>
  </si>
  <si>
    <t>MR Salijamula Haribabu</t>
  </si>
  <si>
    <t>MR NARINA TIRUMALA SATYA SAI MANI</t>
  </si>
  <si>
    <t>8520970772</t>
  </si>
  <si>
    <t>9985782728</t>
  </si>
  <si>
    <t>9951151236</t>
  </si>
  <si>
    <t>9966882888</t>
  </si>
  <si>
    <t>9398800797</t>
  </si>
  <si>
    <t>9908229920</t>
  </si>
  <si>
    <t>9989457513</t>
  </si>
  <si>
    <t>9493195395</t>
  </si>
  <si>
    <t>8074964943</t>
  </si>
  <si>
    <t>8008117027</t>
  </si>
  <si>
    <t>7013907865</t>
  </si>
  <si>
    <t>9989710539</t>
  </si>
  <si>
    <t>8143340327</t>
  </si>
  <si>
    <t>7396300511</t>
  </si>
  <si>
    <t>8341797228</t>
  </si>
  <si>
    <t>9908949101</t>
  </si>
  <si>
    <t>9705552733</t>
  </si>
  <si>
    <t>8978789976</t>
  </si>
  <si>
    <t>9398272098</t>
  </si>
  <si>
    <t>9676838162</t>
  </si>
  <si>
    <t>8897204004</t>
  </si>
  <si>
    <t>8184884701</t>
  </si>
  <si>
    <t>6281548719</t>
  </si>
  <si>
    <t>9603345955</t>
  </si>
  <si>
    <t>8099822390</t>
  </si>
  <si>
    <t>9010413611</t>
  </si>
  <si>
    <t>9494503310</t>
  </si>
  <si>
    <t>9505618368</t>
  </si>
  <si>
    <t>9490671881</t>
  </si>
  <si>
    <t>9491453333</t>
  </si>
  <si>
    <t>9912524801</t>
  </si>
  <si>
    <t>9676469952</t>
  </si>
  <si>
    <t>7386409207</t>
  </si>
  <si>
    <t>9440693722</t>
  </si>
  <si>
    <t>9550210718</t>
  </si>
  <si>
    <t>7702271710</t>
  </si>
  <si>
    <t>9771012345</t>
  </si>
  <si>
    <t>9573308520</t>
  </si>
  <si>
    <t>8500930507</t>
  </si>
  <si>
    <t>7013906392</t>
  </si>
  <si>
    <t>9666657584</t>
  </si>
  <si>
    <t>9640857143</t>
  </si>
  <si>
    <t>9908470428</t>
  </si>
  <si>
    <t>9666129160</t>
  </si>
  <si>
    <t>"HNO.31-3-707, PARIMALA" "COLONY WADDEPALLY,ROAD" 19HANUMAKONDA WARANGAL NEAR TEJA INTERNATIONAL SCHOOL WARANGAL TNG 506001</t>
  </si>
  <si>
    <t>3-247/4/A KODAD MANDAL NAYANAGAR KRISHNA PRIYA THEATRE LINE SURYAPET TNG 508206</t>
  </si>
  <si>
    <t>5-8-1000/3 KAMAREDDY ASHOK NAGAR COLONY KAMAREDDY NIZAMABAD TNG 503111</t>
  </si>
  <si>
    <t>H NO 18-3-3 GODAVARIKHANI GANESH NAGAR KARIMNAGAR PEDDAPALLI TNG 505209</t>
  </si>
  <si>
    <t>H NO 61 312 8 KOBBARI THOTA 3RD LINE KRISHNA LANKA VIJAYAWADA VIJAYAWADA NEAR DISNEE LAND KRISHNA LANKA VIJAYAWADA ANP 520013</t>
  </si>
  <si>
    <t>ROOM NO 114 A HOSTEL DIVIS LABS LINGOJI GUDEM  NEAR DIVIS LABS NALGONDA ANP 508252</t>
  </si>
  <si>
    <t>1-81 REDDYPALEM WARDHANNAPET NANDANAM WARANGAL BESIDE GRAMPANCHAYATHI WARANGAL TNG 506313</t>
  </si>
  <si>
    <t>HNO 2-78/3/2 SEETHARAMPUR TOWN KARIMNAGAR NEAR ANDHRA BANK ADILABAD TNG 505001</t>
  </si>
  <si>
    <t>"4-7-,BRAHMANWADA,44,BRAHMANWADA,ADILABAD"    ADILABAD TNG 504001</t>
  </si>
  <si>
    <t>"H NO 4-162, SARDHAR PET" "PAIDIPALLI, HANAMKONDA" WARANGAL OPP HANUMAN TEMPLE WARANGAL TNG 506006</t>
  </si>
  <si>
    <t>5-78 BANAY GANI TAANDA  MAHBUBNAGAR MAHBOOBNAGAR TNG 509381</t>
  </si>
  <si>
    <t>55-1-172 RAMARAM  WARANGAL WARANGAL TNG 506015</t>
  </si>
  <si>
    <t>"H NO 9-47-7A,KUMMARI STREET,CHITINAGAR," "VIJAYWADA URBAN,KRISHNA" OPP RAJA HIGH SCHOOL NEAR KBN COLLEGE VIJAYAWADA ANP 520001</t>
  </si>
  <si>
    <t>HOUSE NUMBER 36-7-87 MANDAL GEESUGONDA DHARMARAM WARANGAL WARANGAL TNG 506330</t>
  </si>
  <si>
    <t>3-6-56 SURYAPET KOTHAGUDEM BAZAR KOTHAGUDEM BAZAR SURYAPET TNG 508213</t>
  </si>
  <si>
    <t>3-1-149/2 KAKATHIYA COLONY HANAMKONDA HANAMKONDA SHARATH HOSPITAL BACK SIDE WARANGAL TNG 506001</t>
  </si>
  <si>
    <t>6-131   NALGONDA NALGONDA TNG 508112</t>
  </si>
  <si>
    <t>4-14 MANOPAD MANDAL NEW SC COLONY MANOPAD MAHBOOBNAGAR TNG 509128</t>
  </si>
  <si>
    <t>H NO 2-27/3 GHANPUR MANDAL BANGLAPALLY WARANGAL WARANGAL TNG 506345</t>
  </si>
  <si>
    <t>8-1-157 "NANDISWARA COLONY ,KATTARAMPUR" KARIMNAGAR NEAR GOVT SCHOOL KARIMNAGAR TNG 505525</t>
  </si>
  <si>
    <t>"HOUSE NO 1-69, CHAKALPALLY," "KULKA CHARLA,MARRIKAL," "K.V RANGAREDDY,MAHABOOB NAGAR" NEAR WATER TANK MAHBOOBNAGAR TNG 509340</t>
  </si>
  <si>
    <t>3-243 ANJANAPURAM  KHAMMAM KHAMMAM TNG 507165</t>
  </si>
  <si>
    <t>2-46 BUCHINAIDU KANDRIGA GAJULA PELLURU  TIRUPATHI ANP 517645</t>
  </si>
  <si>
    <t>H NO 4-122 SIRIPURAM   SURYAPET TNG 508234</t>
  </si>
  <si>
    <t>H NO 1-75/2 PARAKAL MANDAL SEETHARAMPURAM  WARANGAL TNG 506164</t>
  </si>
  <si>
    <t>3-109 SARABHAVARAM BUS STEND DAGGARA ESAT GODAVARI RAJA RAJASWARVRI TUMPAL KAKINADA ANP 533430</t>
  </si>
  <si>
    <t>"26-03-2434/2B V NAGAR, NEAR SADHANA" "SCHOOL , NELLORE , NELLORE  2" NELLORE NEAR SADHANA SCHOOL NELLORE ANP 524003</t>
  </si>
  <si>
    <t>"H NO 1-17/3 , BARANGEDGI   VILLAGE" NIZAMABAD NIZAMABAD BIRKOOR  MANDAL NIZAMABAD TNG 503321</t>
  </si>
  <si>
    <t>"H NO 7-118/1, KOTHAGUDEM  AREA" CHENNUR ADILABAD NEAR CHENNUR BUS STAND ADILABAD TNG 504201</t>
  </si>
  <si>
    <t>"571132/2 HOUSING BOARD COLONY," OPPOSITE WATER TANK KARIMNAGAR NEAR HOUSING BOARD COLONY ADILABAD TNG 505001</t>
  </si>
  <si>
    <t>"H NO-2-57/2,ADAVIKESHVAPUR" "WARANGAL,"  NEAR MAIN ROAD WARANGAL TNG 506167</t>
  </si>
  <si>
    <t>"D NO 1-132 ,KUDERU" CHOLASAMUDRAM ANANTAPUR NEAR MAIN ROAD ANANTAPUR ANP 515711</t>
  </si>
  <si>
    <t>1-7-883/6/504 VIVEKANANDA COLONY "SRIJA HOMES,HUNTER ROAD HANAMKODA" WARANGAL NEAR RAJ HOTEL WARANGAL TNG 506001</t>
  </si>
  <si>
    <t>"8-85/2 PEDAKURAPADU,.,PEDAKURAPADU,.," ".GUNTUR ,,ANDHRA PRADESH ,INDIA"  MAIN ROAD NARASAPURAM ANP 522402</t>
  </si>
  <si>
    <t>H NO 4-13 GUNDLAKUNTA CUDDAPAH CUDDAPAH NEAR POST OFFICE PRODDATUR ANP 516431</t>
  </si>
  <si>
    <t>H NO 17-11 OLD MANCHERIAL MANCHERIAL NEAR WATER TANK ADILABAD TNG 504208</t>
  </si>
  <si>
    <t>1-11-5A 05 WARD RAILPET BAPATLA GUNTUR NEAR RAILPET 5 WARD GUNTUR ANP 522101</t>
  </si>
  <si>
    <t>"6/62, KUTHALA VANDLA PALLI" PARAMATIKONA "CHINNAMANDEM,  CUDDAPAH" NEAR MAIN ROAD CUDDAPAH ANP 516214</t>
  </si>
  <si>
    <t>"2/116 AGADUR,CUDDAPAH," THONDUR MANDALM CUDDAPAH NEAR BUSSTAND PRODDATUR ANP 516421</t>
  </si>
  <si>
    <t>MN RD BIKKAVOLU MANDALAM MELLURU MELLURU MAIN ROAD RAMACHANDRAPURAM ANP 533255</t>
  </si>
  <si>
    <t>SAI NAGAR H NO.6-5-264 KARIMNAGAR NEAR SAI NAGAR ADILABAD TNG 505001</t>
  </si>
  <si>
    <t>"13,167 1 VIDYA NAGAR,KHANAPUR,ADILABAD," ...  OPP KNR DEGREE COLLEGE ADILABAD TNG 504203</t>
  </si>
  <si>
    <t>H NO 7-145 SEETHARAMPURAM VATLURU VILLAGE PEDDAPADU MANDAL ELURU DISTRICT  PEDAPADUWest Godavari ELU ANP 534007</t>
  </si>
  <si>
    <t>312 Idamakallu Edamakallu Po idamakallu Praka 312 Idamakallu  IdamakalluPrakasam ONG ANP 523369</t>
  </si>
  <si>
    <t>"32-6-5/2, POLISETTI VARI STREET" PALAKOL MANDALAM WEST GODAVARI NEAR MAIN ROAD PALAKOL ANP 534260</t>
  </si>
  <si>
    <t>GOVERNMENT OF TELANGANA VARALAPALLI HANUMAKONDA   HYDERABAD TNG 505471</t>
  </si>
  <si>
    <t>EMBITEL TECHNOLOGIES INDIA PVT LTD UNIT NO 208 TO 216 2ND FLOOR DELTA BLOCK RAMAGONDANAHALLI RAMAGONDANAHALLI BANGALORE KAR 560066</t>
  </si>
  <si>
    <t>AMRUTHA GRAND HOTEL 5-8-1000/3  ASHOK NAGAR "KAMAREDDY TOWN, KAMAREDDY DISTT NIZAMA" "KAMAREDDY TOWN, KAMAREDDY DISTT NIZAMA" NIZAMABAD TNG 503111</t>
  </si>
  <si>
    <t>ADECCO INDIA PVT LTD 19-7-63 LAXMINAGAR GODAVARIKHANI GODAVARIKHANI PEDDAPALLI TNG 505209</t>
  </si>
  <si>
    <t>PMJ GEMS AND JEWELLERS PVT LTD D NO 40 5 1 B MOGALRAJ PURAM PINNAMANENI POLIY CLINIC ROAD VIJAYAWADA POLIY CLINIC ROAD VIJAYAWADA VIJAYAWADA ANP 520010</t>
  </si>
  <si>
    <t>DIVIS LABS LTD LINGOJI GUDEM V CHOUTUPPAL M   NALGONDA ANP 508252</t>
  </si>
  <si>
    <t>COGNIZANT TECHNOLOGY SOLUTIONS INDIA PRI 115/535 MAHABALIPURAM ROAD MAHABALIPURAM ROAD CHENNAI TMN 600097</t>
  </si>
  <si>
    <t>GOVERNMENT OF TELANGANA ZPHS SULTANABAD SULTANABAD KARIMNAGAR TNG 505185</t>
  </si>
  <si>
    <t>ICICI PRUD LIFE ADV H-No-4--7-44 Brahmanvada Brahmanvada NIZAMABAD TNG 504001</t>
  </si>
  <si>
    <t>QUESS CORP LIMITED "GMRGS COMPLEX, 2ND FLOOT" "KRISHPUR, HANAMKONDA" "KRISHPUR, HANAMKONDA" WARANGAL TNG 506001</t>
  </si>
  <si>
    <t>GOVERNMENT OF TELANGANA "UPS MUMMALLA,KOTHAK" "WANAPARTHY," "WANAPARTHY," MAHBOOBNAGAR TNG 509381</t>
  </si>
  <si>
    <t>OPTUM GLOBAL SOLUTIONS INDIA PRIVATE LIM "7TH AND 8TH LEVEL, BUILDING NO H04" GACHIBOWLI GACHIBOWLI HYDERABAD TNG 500081</t>
  </si>
  <si>
    <t>PAI INTERNATIONAL ELECTRONICS LIMITED "H NO 29-37-15,ELURU ROAD,VIJAYAWADA" OPP RAM MANDIRAM OPP RAM MANDIRAM VIJAYAWADA ANP 520002</t>
  </si>
  <si>
    <t>WIPRO LIMITED ALSO WIPRO TECHNOLOGIES A SURVEY NO.124 AND PART OF 132/P SEZ "VATTINAGULAPALLY,GOPAN PALLY" "VATTINAGULAPALLY,GOPAN PALLY" HYDERABAD TNG 501301</t>
  </si>
  <si>
    <t>RELIANCE SMSL LIMITED "1-6-64,SUDHA BANK ROAD" "VANIJYA BHAVAN CENTER,SURYAPET" "VANIJYA BHAVAN CENTER,SURYAPET" SURYAPET TNG 508213</t>
  </si>
  <si>
    <t>ORANGE RETAIL FINANCE INDIA PVT LTD MULUGU ROAD WARANGAL WARANGAL WARANGAL TNG 506001</t>
  </si>
  <si>
    <t>HDB FINANCIAL SERVICES LIMITED 3-388/2 FIRST FLOOR GANESH NAGAR CHOUTUPPAL NALGONDA CHOUTUPPAL NALGONDA NALGONDA TNG 508252</t>
  </si>
  <si>
    <t>MANDAL PRAJA PARISHAD OFFICE MANOPAD MANOPAD MANOPAD MAHBOOBNAGAR TNG 509128</t>
  </si>
  <si>
    <t>TELANGANA STATE POWER GENERATION CORPORA 0/0 SE/0 M-11/KTPP CHELPUR GHANPUR CHELPUR GHANPUR WARANGAL TNG 506168</t>
  </si>
  <si>
    <t>SHRIRAM TRANSPORT FINANCE COMPANY LIMITE MUKARAMPURA KARIMNAGAR KARIMNAGAR ADILABAD TNG 505001</t>
  </si>
  <si>
    <t>WIPRO LIMITED ALSO WIPRO TECHNOLOGIES A "203, 115/1, ISB RD,FINANCIAL DISTRICT," "NANAKRAMGUDA ,GATCHIBOWLI" "NANAKRAMGUDA ,GATCHIBOWLI" HYDERABAD TNG 500032</t>
  </si>
  <si>
    <t>WIPRO LIMITED ALSO WIPRO TECHNOLOGIES A BUILDING NO 12D 2ND 3RD AND 4TH FLOOR IT SEZ RAHEJAMINDSPACEHITECHCITYMADHAPUR IT SEZ RAHEJAMINDSPACEHITECHCITYMADHAPUR HYDERABAD TNG 500081</t>
  </si>
  <si>
    <t>GOVERNMENT OF ANDRA PRADESH WEST WARATHUR SACHIVALAYAM BUCHINAIDU KANDRIGA BUCHINAIDU KANDRIGA TIRUPATHI ANP 517541</t>
  </si>
  <si>
    <t>GOVT PS POLARAM THANDA SCHOOL GOVT PS PALARAM THANDA POLARAM THANDA VILLAGE ANANTHAGIRI  MANDAL SURYAPET DI VILLAGE ANANTHAGIRI  MANDAL SURYAPET DI SURYAPET TNG 508206</t>
  </si>
  <si>
    <t>TRANSMISSION CORPORATION OF TELANGANA LI SALIVAGU JOGAMPALLI JOGAMPALLI WARANGAL TNG 506164</t>
  </si>
  <si>
    <t>GOVERNMENT OF AP GRAMA SACHIVALAYAM GAJJANAPUDI VILLAGE PRATHIPADU MANDAL EAST GODAVARI PRATHIPADU MANDAL EAST GODAVARI KAKINADA ANP 533430</t>
  </si>
  <si>
    <t>GOVT OF EDUCATION  DEPARTMENT "KOVURU  , SUBSTATION , PATURU ROAD" "KOVURU , NELLORE" "KOVURU , NELLORE" NELLORE ANP 524137</t>
  </si>
  <si>
    <t>NORTHERN  POWER DISTRIBUTION OF TELANGAN ELECTRICITY  REVENUE  OFFICE  TSNPDCL "BODHAN,  NIZAMABAD" "BODHAN,  NIZAMABAD" NIZAMABAD TNG 503185</t>
  </si>
  <si>
    <t>GOVT OF EDUCATION DEPARTMENT ZPHS  SIRSA VILLAGE  MANDAL KOTAPALLY MANCHERIAL MANCHERIAL ADILABAD TNG 504201</t>
  </si>
  <si>
    <t>GOVERNMENT OF TELANGANA RAMAGUNDAM MUNICIPAL CORPORATION MUNICIPAL ADMINISTRATION DEPARTMENT MUNICIPAL ADMINISTRATION DEPARTMENT PEDDAPALLI TNG 505208</t>
  </si>
  <si>
    <t>GOVT OF TELANGANA WARANGAL   WARANGAL TNG 506302</t>
  </si>
  <si>
    <t>COGNIZANT TECHNOLOGY SOLUTIONS INDIA PRI MANYATA EMBASSY BUSSINESS PARK "OUTER RING ROAD,F3 BUILDING" "OUTER RING ROAD,F3 BUILDING" BANGALORE KAR 560045</t>
  </si>
  <si>
    <t>ZPSS GIRLS HIGH SCHOOL "HASANPARTHY,HANAMKODA"   WARANGAL TNG 506003</t>
  </si>
  <si>
    <t>INFOSYS LIMITED "SURVEY NO 41 PT ,50PT ,POCHARAM VILLAGE," "VILLAGE,SINGAPORE TOWNSHIP PO, GHATKESAR" "VILLAGE,SINGAPORE TOWNSHIP PO, GHATKESAR" HYDERABAD TNG 500088</t>
  </si>
  <si>
    <t>WELSPUN ENTERPRISES LIMITED SULTANPUR ROAD INFORNT OF OLD RTO OFFICE GOWRI GINJ RELIANCE SMAART POINT TIKADIA GOWRI GINJ RELIANCE SMAART POINT TIKADIA SULTANPUR UTP 227409</t>
  </si>
  <si>
    <t>GOVT OF TELANGANA TSMS SCHOOL MANDAMARRI MANDAMARRI ADILABAD TNG 504231</t>
  </si>
  <si>
    <t>HARISH MUVVA MADHAPUR SERILINGAMPALLY 190/7/B/MS/402/ NR MADHAPUR NR MADHAPUR HYDERABAD TNG 500018</t>
  </si>
  <si>
    <t>CAPGEMINI TECHNOLOGY SERVICES INDIA LIMI "155-156 , EPIP ZONE PHASE 2" BROOKEFILED BROOKEFILED BANGALORE KAR 560066</t>
  </si>
  <si>
    <t>AGRICULTURE AND REAL ESTATE 2/116 AGADUR THONDUR MANDALM CUDDAPAH CUDDAPAH PRODDATUR ANP 516421</t>
  </si>
  <si>
    <t>CAPGEMINI TECHNOLOGY SERVICES INDIA LIMI CAPGEMINI TECHNOLOGY SERVICES INDIA LIMI "SUMMIT TOWER A 73/1,WHITFIELD MAIN ROAD" "SUMMIT TOWER A 73/1,WHITFIELD MAIN ROAD" BANGALORE KAR 560037</t>
  </si>
  <si>
    <t>LAXMI GANAPATHI HANDLOOMS SAI NAGAR 6-5-167/B KARIMNAGAR 6-5-167/B KARIMNAGAR ADILABAD TNG 505001</t>
  </si>
  <si>
    <t>SRI OM SAI GENUINE COMPUTERS "12-72,MAIN ROAD VIDHYA NAGAR" KHANAPUR KHANAPUR ADILABAD TNG 504203</t>
  </si>
  <si>
    <t>"SY NO P322-44M, MDR17 SEETHARANAPURAM SACHIVA" VATLURU PANCHAYATI PEDAPADU MANDAL ELURU   ELU ANP 534007</t>
  </si>
  <si>
    <t>PULLALACHERUVU MANDAL PRAKASAM S NO 128 MARRIVEMULA VILLAGE SACHIVALAYAM   ONG ANP 523328</t>
  </si>
  <si>
    <t>PREME NARINA COUTURE "BANUGIRI STREET, PALAKOL" WEST GODAVARI WEST GODAVARI PALAKOL ANP 534260</t>
  </si>
  <si>
    <t>ICICI Bank Business Platinum Card</t>
  </si>
  <si>
    <t>11TH JULY</t>
  </si>
  <si>
    <t>0000000023613514</t>
  </si>
  <si>
    <t>0000000023676370</t>
  </si>
  <si>
    <t>0000000030054121</t>
  </si>
  <si>
    <t>0000000013934510</t>
  </si>
  <si>
    <t>0000000016229862</t>
  </si>
  <si>
    <t>0000000016966739</t>
  </si>
  <si>
    <t>0000000022489092</t>
  </si>
  <si>
    <t>0000000022859237</t>
  </si>
  <si>
    <t>0000000023342004</t>
  </si>
  <si>
    <t>0000000023899289</t>
  </si>
  <si>
    <t>0000000024902304</t>
  </si>
  <si>
    <t>0000000025054290</t>
  </si>
  <si>
    <t>0000000025274206</t>
  </si>
  <si>
    <t>0000000025344316</t>
  </si>
  <si>
    <t>0000000025345198</t>
  </si>
  <si>
    <t>0000000025703605</t>
  </si>
  <si>
    <t>0000000025833497</t>
  </si>
  <si>
    <t>0000000025892947</t>
  </si>
  <si>
    <t>0000000025946783</t>
  </si>
  <si>
    <t>0000000026485584</t>
  </si>
  <si>
    <t>0000000026769848</t>
  </si>
  <si>
    <t>0000000027039567</t>
  </si>
  <si>
    <t>0000000027690519</t>
  </si>
  <si>
    <t>0000000028114093</t>
  </si>
  <si>
    <t>0000000028485726</t>
  </si>
  <si>
    <t>0000000029007853</t>
  </si>
  <si>
    <t>1000000000457546</t>
  </si>
  <si>
    <t>0000000024969350</t>
  </si>
  <si>
    <t>0000000025319453</t>
  </si>
  <si>
    <t>0000000025366282</t>
  </si>
  <si>
    <t>0000000025786373</t>
  </si>
  <si>
    <t>0000000025889996</t>
  </si>
  <si>
    <t>0000000025976235</t>
  </si>
  <si>
    <t>0000000026384677</t>
  </si>
  <si>
    <t>0000000026626857</t>
  </si>
  <si>
    <t>0000000027328032</t>
  </si>
  <si>
    <t>0000000027695567</t>
  </si>
  <si>
    <t>0000000028197073</t>
  </si>
  <si>
    <t>0000000028517075</t>
  </si>
  <si>
    <t>0000000029629457</t>
  </si>
  <si>
    <t>0000000029872383</t>
  </si>
  <si>
    <t>0000000030976277</t>
  </si>
  <si>
    <t>0000000027285011</t>
  </si>
  <si>
    <t>0000000033773626</t>
  </si>
  <si>
    <t>0000000035626845</t>
  </si>
  <si>
    <t>0000000028501492</t>
  </si>
  <si>
    <t>Customer Given House address visited but no such name of person in this area conformed by neighbour's and renters of this area customer mobile number ringing but not answering need alternative address or kyc of this customer</t>
  </si>
  <si>
    <t>11TH JU</t>
  </si>
  <si>
    <t>Cus house visited but currently door locked.call also not responding.revisit again // Cus house visited but completely shifted from here 4 months back.conformed by the neighbours.call also not responding.need kyc</t>
  </si>
  <si>
    <t>Customer shop address visit customer not available door lock call response ptp on tomorrow s / / Customer shop address visit customer not available door lock call response ptp on today sir</t>
  </si>
  <si>
    <t>cmr not live , cmr answered call  and  given ptp on Saturday // cmr given PTP today and waiting for payment</t>
  </si>
  <si>
    <t>Remark Customer Phone Not Answer Customer Given Address Shifted Sir</t>
  </si>
  <si>
    <t>Feedback customer paymet today or monday</t>
  </si>
  <si>
    <t>Cmr given address visited customer provide was fake address mobile number switch off sir</t>
  </si>
  <si>
    <t>Customer Adress Visit and Customer prasent in office and Customer call Answer ptp on Monday</t>
  </si>
  <si>
    <t>14TH JU</t>
  </si>
  <si>
    <t>Customer live in address and customer went to work house locked // Customer live in address and customer went to work house locked customer asking settlement he is not ready to pay amount</t>
  </si>
  <si>
    <t>customer not available he not able to pay right now proceed with court order</t>
  </si>
  <si>
    <t>Customer  address visited 
Customer shop shifted</t>
  </si>
  <si>
    <t xml:space="preserve"> Cmr given address visited customer live cmr spoke to maximum will pay today evening 4pm sir // Cmr given address visited customer live cmr spoke to maximum will pay today evening 4pm sir // Cmr given address visited customer live cmr spoke to maximum will pay today evening 4pm sir // Cmr given address visited customer given PTP today afternoon 12 pm sir</t>
  </si>
  <si>
    <t>12TH JU</t>
  </si>
  <si>
    <t>15TH JU</t>
  </si>
  <si>
    <t>customer asking time</t>
  </si>
  <si>
    <t>Customer visit home address door lock ask the nighbour no one not respond phone call not working</t>
  </si>
  <si>
    <t>Customer given House address visited but customer door number not found in this area Will revisit again customer mobile number ringing but not answering</t>
  </si>
  <si>
    <t>Customer live in address and customer given ptp today eveing // Customer live in address and waiting at customer home for payment</t>
  </si>
  <si>
    <t xml:space="preserve">I have Visited Customer given house address customer not available here Customer parents available called to customer with his father mobile Customer call Answered given ptp on Monday
Customer father mobile </t>
  </si>
  <si>
    <t>Column1</t>
  </si>
  <si>
    <t>02-07-2026 , CUS PAID STAB AMOUNT</t>
  </si>
  <si>
    <t>ALREADY REMOVED CASE</t>
  </si>
  <si>
    <t>CUS PAID STAB AMOUNT , 10-07-26</t>
  </si>
  <si>
    <t>PTP 11-07-2026</t>
  </si>
  <si>
    <t>06-07-2026 , CUS PAID STAB AMOUNT</t>
  </si>
  <si>
    <t>09-07-2026 , CUS PAID STAB AMOUNT</t>
  </si>
  <si>
    <t>08-07-2026 , CUS PAID STAB AMOUNT</t>
  </si>
  <si>
    <t>03-07-2026 , CUS PAID ENR AMOUNT</t>
  </si>
  <si>
    <t>REMOVED CASE</t>
  </si>
  <si>
    <t>CUS CALLS NOT RESPONDING</t>
  </si>
  <si>
    <t>CUS MBL NUM SWITCHOFF</t>
  </si>
  <si>
    <t>PTP 15-07-2026</t>
  </si>
  <si>
    <t>CUS CALLS NOT ESPONDING</t>
  </si>
  <si>
    <t>PTP 12-07-2026</t>
  </si>
  <si>
    <t>04-07-2026 , CUS PAID STAB AMOUNT</t>
  </si>
  <si>
    <t>DEATH CASE</t>
  </si>
  <si>
    <t>30TH CARD GAME</t>
  </si>
  <si>
    <t>CUS CALLS NOT RESPONDING//CUS ESCLATED THE MAIL TO THE BANK</t>
  </si>
  <si>
    <t>CUSTOMER SAID PAY ON 6th</t>
  </si>
  <si>
    <t>CUSTOMER MOBILE RINGING NOT RESPONDING</t>
  </si>
  <si>
    <t>CUSTOMER SAID PAY ON 2ND</t>
  </si>
  <si>
    <t>CUSTOMER MOBILE RINGING NOT ANSWERING</t>
  </si>
  <si>
    <t xml:space="preserve">CUSTOMER NOT ABLE TO PAY THE PAYMENT/ REFUSE TO PAY THE PAYMENT </t>
  </si>
  <si>
    <t>CUSTOMER CALLS NOT ANSWERING</t>
  </si>
  <si>
    <t>CUSTOMER NOT ABLE TO PAY THE PAYMENT DUE CARD LIMIT DECREASE</t>
  </si>
  <si>
    <t>CUSTOMER MOBILE RINGING NOT RESPONDING/ CUSTOMER PAID AMOUNT</t>
  </si>
  <si>
    <t>CUSTOMER SAYS NOT ABLE TO PAY / REPAYMENT ISSUES</t>
  </si>
  <si>
    <t>CUSTOMER PAID AMOUNT</t>
  </si>
  <si>
    <t>CUSTOMR PAID AMOUNT</t>
  </si>
  <si>
    <t>CUSTOMER CALL BACK FOR PAYMENT UPDATE</t>
  </si>
  <si>
    <t>Cus working address visited but security was not allowing inside.calls also not responding.</t>
  </si>
  <si>
    <t xml:space="preserve"> have Visited Customer given house address customer not available found house locked customer call not answering need to revisit // ReVisited Customer given house address customer not available Customer brother available Customer present is in out of town customer call not answering customer brother mobile num
9848115782 // Customer paid 5,000/- Remaining amount given ptp by Tommorow // ReVisited Customer given house address customer not available in home customer went to tirupati Customer call not answering customer father mobile num
9849562193</t>
  </si>
  <si>
    <t>16TH JU</t>
  </si>
  <si>
    <t>Customer visit office address meet customer PTP 15th</t>
  </si>
  <si>
    <t>Feedback customer tacking with bank</t>
  </si>
  <si>
    <t>Cmr hse address cmr meet sir cmr some time sir // Customer house address cmr ptp sir // Remark Customer Phone Not Answer Customer Out Of Station Inform To Customer Father Sir</t>
  </si>
  <si>
    <t>Customer PTP on 5th // Customer not available 
Inform in customer mother 
Customer calls not responding // Customer PTP on 8th // Waiting for location / ustomer work address visited 
Waiting for location // Waiting for location</t>
  </si>
  <si>
    <t>Visited custmor office address CMS  not working sir</t>
  </si>
  <si>
    <t>Custmor go to Marrage
Inform  mother</t>
  </si>
  <si>
    <t>CUSTOMER NOT AVAILABLE AT SHOP SIR.RESPONDED TO THE MESSAGE GIVEN PTP TO 2 DAYS // CUSTOMER NOT AVAILABLE AT HOME.RESPONDED TO THE CALL.HE TOLD COMPLETED THE PAYMENT SIR</t>
  </si>
  <si>
    <t xml:space="preserve">Customer given permanent house address visited sir his available given payment commitment tomorrow morning // Customer given permanent house address visited sir his available customer said refused to pay intentionally defaulter  // Customer given permanent house address visited sir  his not available phone call not responding inform to his sister </t>
  </si>
  <si>
    <t>Customer live in address and customer went to paddy field call answered given ptp on 6th date // Customer live in address and customer went to out waiting customer home only // Visited customer address 
Customer not at home right now because his wife got hospitalized 
Customer phone switched off his mother said he went to hospital I will infrom to him // Visited customer address customer not responding calls</t>
  </si>
  <si>
    <t>Costumer present not available inform to his mother call back today evening sir // Costumer present not available inform to his mother waiting for costumer response sir</t>
  </si>
  <si>
    <t>Customer given address visit customer not available information from neighbors customer not living in address shifted to other place, call not answer</t>
  </si>
  <si>
    <t>Customer given permanent house address area visited sir address not found then given office address visited sir office shutter closed 🔐 customer phone call not reachable</t>
  </si>
  <si>
    <t>customer house door locked and phone respond agree payment on 2 days</t>
  </si>
  <si>
    <t>Customer given permanent house address visited sir his not available meet his mother and wife informed  given PTP commitment 15 th Wednesday</t>
  </si>
  <si>
    <t xml:space="preserve">Customer given permanent house address visited sir door locked 🔐 customer not available phone call not responding inform to neighbour </t>
  </si>
  <si>
    <t>Customer Account lien Marked customer funds transfer into the Savings account 
Check and confirm madam &amp; SIR
Please mail to the backend team for auto debit</t>
  </si>
  <si>
    <t>13TH JU</t>
  </si>
  <si>
    <t>m shifted from here sir and cm call not answering</t>
  </si>
  <si>
    <t>Visited Customer Given Adress Customer Asking Settlement Sir</t>
  </si>
  <si>
    <t>cmr there at home , cmr  was going to legal proceedings</t>
  </si>
  <si>
    <t>Customer address visited and customer shifted to another address and customer mobile switched off need kyc sir</t>
  </si>
  <si>
    <t>Visited Customer Given Adress Customer Not Available Customer Staying in Hyd Phone Call Not Answering Sir</t>
  </si>
  <si>
    <t>Feedback customer not available to adders talking with Aditya sir</t>
  </si>
  <si>
    <t>Customer live in address and customer saying his card limit redused and he is asking time not ready to pay amount</t>
  </si>
  <si>
    <t>Visited Customer Residence Address Customer Live Given Commitment Tommorow Sir</t>
  </si>
  <si>
    <t xml:space="preserve">Visit near near customer work place . Customer not available.contact by phone he told that he will meet with branch managar. To asking some time to pay amount . Because of he has finance problem. </t>
  </si>
  <si>
    <t>Customer visit home customer not available prasent living in this address her brother customer shifted to Vijayawada customer not respond phone call</t>
  </si>
  <si>
    <t>Customer shifted to another address and calls not answering need kyc</t>
  </si>
  <si>
    <t>Customer not available in from to father  phone answer commitment in 2 days</t>
  </si>
  <si>
    <t>Customer given permanent house address visited sir his not available living in America inform to his parents</t>
  </si>
  <si>
    <t>ustomer address visit customer not available msg left father customer in hyd call not answering inform pass to family</t>
  </si>
  <si>
    <t>Customer shifted to another address 1year back customer job in Indian bank manager and he not answered calls need kyc</t>
  </si>
  <si>
    <t>visited Cs address was live Cs was not convincing for the payment Cs making Argument&amp; Telling He Will File case on us</t>
  </si>
  <si>
    <t>I have Visited Customer given house address customer not available found house locked enquired rented ppl about customer saying that from past 2-3 weeks Customer is in Hyderabad yashoda hospital his husband met with an accident customer call not answering customer mother mobile num
8985535231 // ReVisited Customer given house address customer not available found house locked enquired rented ppl about customer saying that from past 2-3 weeks Customer is in Hyderabad yashoda hospital his husband met with an accident customer call not answering customer mother mobile num</t>
  </si>
  <si>
    <t>Visited Customer Residence Address Customer Not Available Confirm to Niebours Call Not Answering Sir</t>
  </si>
  <si>
    <t>Customer address visit customer not available msg left to mother customer in hy</t>
  </si>
  <si>
    <t>Customer commitment tomorrow evening.</t>
  </si>
  <si>
    <t xml:space="preserve">Customer is in Bangalore. Contact by phone he asking  for settlement. Because of job loss .his family members also not responding properly </t>
  </si>
  <si>
    <t>Customer commitment tomorrow evening</t>
  </si>
  <si>
    <t>Visited Customer Given Adress Customer Not Available Staying in Hyderabad Confirm to Niebours Call Not Answering Sir</t>
  </si>
  <si>
    <t>I have Visited Customer given house address Customer not available  here Customer Sold this  house before 3 yrs ago Customer mobile is in Switchoff</t>
  </si>
  <si>
    <t xml:space="preserve">Customer Adress visit but this adress parents adress and customer living in Hyderabd Husaband home and Customer not lifiting calls and Customer father ( 8978245331 </t>
  </si>
  <si>
    <t>Customer commitment 16th.</t>
  </si>
  <si>
    <t>Visited Customer Given Adress Customer Expired</t>
  </si>
  <si>
    <t>Customer visit home address not available inform to relation phone call not respond</t>
  </si>
  <si>
    <t>Customer given address visit customer not available informed to relatives, customer call not answer</t>
  </si>
  <si>
    <t>cmr not living in this address and cmr phone not answering</t>
  </si>
  <si>
    <t>cmr not answering calls and cmr given house address visited and cmr not live in this address</t>
  </si>
  <si>
    <t xml:space="preserve"> cmr not there at given location and cmr living in Hyderabad, cmr answered call and request to call back</t>
  </si>
  <si>
    <t>Custmor shifted // Waiting for custmor school sir</t>
  </si>
  <si>
    <t>4035620602032001</t>
  </si>
  <si>
    <t>4035620657356008</t>
  </si>
  <si>
    <t>4035620666868001</t>
  </si>
  <si>
    <t>4035620722728009</t>
  </si>
  <si>
    <t>4035620725653014</t>
  </si>
  <si>
    <t>4035620824655001</t>
  </si>
  <si>
    <t>4035621294869007</t>
  </si>
  <si>
    <t>4035621391307000</t>
  </si>
  <si>
    <t>4035621650930005</t>
  </si>
  <si>
    <t>4035621919006001</t>
  </si>
  <si>
    <t>4085110045775001</t>
  </si>
  <si>
    <t>4102020120636011</t>
  </si>
  <si>
    <t>4102021159640007</t>
  </si>
  <si>
    <t>4102021169631004</t>
  </si>
  <si>
    <t>4315810965741006</t>
  </si>
  <si>
    <t>MR SYED MOHAMMED IMRAN</t>
  </si>
  <si>
    <t>MR BUREGARI CHARAN</t>
  </si>
  <si>
    <t>MR GUNDUBOGULA MADHU KUMAR</t>
  </si>
  <si>
    <t>MR BAKKURI PRAGATHI KUMAR</t>
  </si>
  <si>
    <t>MR MARELLA VENKATESH</t>
  </si>
  <si>
    <t>MR CHINTARAO CHINTAPALLI</t>
  </si>
  <si>
    <t>MS BANAVATH KRISHNAVENI</t>
  </si>
  <si>
    <t>MR ANJAN KUMAR</t>
  </si>
  <si>
    <t>MS POOLA USHARANI</t>
  </si>
  <si>
    <t>MR Ponugumati Kumar</t>
  </si>
  <si>
    <t>MR KODALI RAMESH</t>
  </si>
  <si>
    <t>MR AMBATIPATI RAMALINGA MURTHY</t>
  </si>
  <si>
    <t>MR LAKKISETTI VEERAVENKATA SATYAS</t>
  </si>
  <si>
    <t>Ms. RAMESH KATTAMURI</t>
  </si>
  <si>
    <t>MS APPARI SHANTHI PRIYA</t>
  </si>
  <si>
    <t>8688167892</t>
  </si>
  <si>
    <t>8125952100</t>
  </si>
  <si>
    <t>8297881191</t>
  </si>
  <si>
    <t>9010008884</t>
  </si>
  <si>
    <t>9618478632</t>
  </si>
  <si>
    <t>9848798129</t>
  </si>
  <si>
    <t>7702231155</t>
  </si>
  <si>
    <t>7032237385</t>
  </si>
  <si>
    <t>6305399366</t>
  </si>
  <si>
    <t>6303355243</t>
  </si>
  <si>
    <t>7093453226</t>
  </si>
  <si>
    <t>9704554666</t>
  </si>
  <si>
    <t>9490719773</t>
  </si>
  <si>
    <t>9290995083</t>
  </si>
  <si>
    <t>9550038222</t>
  </si>
  <si>
    <t>"42/257/2  ,NGO COLONY" CHINNA CHOWK CUDDAPAH NEAR RAVI THEARE CUDDAPAH ANP 516002</t>
  </si>
  <si>
    <t>"3-79,THUJALPUR THUJALPUR,DOMAKONDA,.,.,." ....  NEAR HANUMAN TEMPLE NIZAMABAD TNG 503125</t>
  </si>
  <si>
    <t>"1-36,GUNDUBOGULA VARI MERAKA,NEAR," "ELIMENTARY SCHOOL,ANTARVEDI," DEVASTHANAM SAKHINETIPALLI MAN . AMALAPURAM ANP 533252</t>
  </si>
  <si>
    <t>HNO 3-6/8 MORTAD MANDALSHETPALLE NIZAMABAD  NR MAIN ROAD BALKONDA TNG 503218</t>
  </si>
  <si>
    <t>"14/160 NAKASH STREET,KADAPA,14/160" ...  NEAR AMEEN PEER DARGA CUDDAPAH ANP 516001</t>
  </si>
  <si>
    <t>"14-7-5,RAIPET,WESTGODVARI" "MARUTHINILAYAM ,NARASAPURAM" WEST GODAVARI SRI HARI RAJU APPARTMENTS BHIMAVARAM ANP 534275</t>
  </si>
  <si>
    <t>4-3/1 KRISHNAPURAM MADHIRA KHAMMAM NEAR TEMPLE KHAMMAM TNG 507203</t>
  </si>
  <si>
    <t>"503 ,GOVERNMENT MEDICAL COLLEGE" MAHABUBNAGAR  EDIRI MAHBOOBNAGAR TNG 509001</t>
  </si>
  <si>
    <t>1-128 VELLAMADDI VELLAMADDI  HINDUPUR ANP 515501</t>
  </si>
  <si>
    <t>H NO 4-79pedhavegi mandal goginepalli  pedhavegi mandalWest Godavari ELU ANP 534002</t>
  </si>
  <si>
    <t>"1-52/2 MADHIRAPADU,MADHIRAPADU,MADHIRAPA" "DU,"  .... GUDIVADA ANP 521311</t>
  </si>
  <si>
    <t>"46-10-12 OLD HOSPITAL ST,JAGANNAICKPUR" - KAKINADA - KAKINADA ANP 533002</t>
  </si>
  <si>
    <t>7 366 MAIN ROAD THATIPAKA RAZOLE MANDAL RAZOLE   AMALAPURAM ANP 533249</t>
  </si>
  <si>
    <t>MAIN ROAD D NO 102 NEARMACHERLA BUSSTAND PIDUGURALLA   PDG ANP 522413</t>
  </si>
  <si>
    <t>3-30 MAIN ROAD DEVARAPALLI   PANCHAYATHI OFFICE AMALAPURAM ANP 533223</t>
  </si>
  <si>
    <t xml:space="preserve">QUALITYKIOSK TECHNOLOGIES PRIVATE LIMITE "RUPA SOLITAIRE,C WING,419 A,SECTOR 1" "MILLENIUM BUSSINESS PARK,MBP,MAHAPE" "MILLENIUM BUSSINESS PARK,MBP,MAHAPE" THANE MAH 400710 </t>
  </si>
  <si>
    <t xml:space="preserve">INFOSYS LIMITED SURVEY NO 210 ISB ROAD LINGAMPALLY ROAD MANIKONDA JAGIR ROAD MANIKONDA JAGIR HYDERABAD TNG 500032 </t>
  </si>
  <si>
    <t xml:space="preserve">PERSISTENT SYSTEMS LIMITED TOWER C MAROL CHS RD GAMDEVI MAROL ANDHERI EAST GAMDEVI MAROL ANDHERI EAST MUMBAI MAH 400059 </t>
  </si>
  <si>
    <t xml:space="preserve">GOVERNMENT OF TELANGANA MPPS THIMMAPUR MANDALNIZAMABAD   BALKONDA TNG 503218 </t>
  </si>
  <si>
    <t xml:space="preserve">IBM INDIA PRIVATE LIMITED "XJ2V33R, BENGALURU, EMBASSY GOLF LINKS" "BUSINESS PARK, CHALLAGHATTA, BENGALURU," "BUSINESS PARK, CHALLAGHATTA, BENGALURU," BANGALORE KAR 560071 </t>
  </si>
  <si>
    <t xml:space="preserve">KLCP HOLDINGS WORK FROM HOME "NARASAPURAM,WESTGODAVARI" "NARASAPURAM,WESTGODAVARI" BHIMAVARAM ANP 534275 </t>
  </si>
  <si>
    <t xml:space="preserve">CAPGEMINI TECHNOLOGY SERVICES INDIA LIMI "NANAKRAM GUDA   ,GACCHIBOWLI" HYDERABAD HYDERABAD HYDERABAD TNG 500008 </t>
  </si>
  <si>
    <t xml:space="preserve">GOVERNMENT MEDICAL COLLEGE MAHABUBNAGAR GOVERNMENT MEDICAL COLLEGE MAHABUBNAGAR EDIRA VILLAGE EDIRA VILLAGE MAHBOOBNAGAR TNG 509001 </t>
  </si>
  <si>
    <t xml:space="preserve">GOVERNMENT OF ANDHRA PRADESH GOVERNMENT HIGH SCHOOL KADIRI "R AND B BUNGALOW,  KADIRI" "R AND B BUNGALOW,  KADIRI" HINDUPUR ANP 515591 </t>
  </si>
  <si>
    <t xml:space="preserve">SHRI VIDYALAYA JUNIOR COLLEGE NR PETH KELURU   ELU ANP 534006 </t>
  </si>
  <si>
    <t xml:space="preserve">EITACIES SOLUTION  INDIA PVT LTD "410 PSR TOWERS,STREET NO 4" "GACHIBOWLI,HYDERABAD" "GACHIBOWLI,HYDERABAD" HYDERABAD TNG 500032 </t>
  </si>
  <si>
    <t xml:space="preserve">HEALTH CARE MEDICAL AND SURGICALS HEALTH CARE MEDICAL AND SURGICALS D NO 27 5 21 3 BHUDDVARAPU VARI STREET D NO 27 5 21 3 BHUDDVARAPU VARI STREET KAKINADA ANP 533001 </t>
  </si>
  <si>
    <t xml:space="preserve">SRI RAGHAVENDRASWAMY BUILDING MATERILAS 7 252 TATIPAKA RAZOLE MANDAL MAIN ROAD DR  BR AMBHEDKAR KONASEEMA MAIN ROAD DR  BR AMBHEDKAR KONASEEMA AMALAPURAM ANP 533249 </t>
  </si>
  <si>
    <t xml:space="preserve">MAIN ROAD D NO 102 NEARMACHERLA BUSSTAND PIDUGURALLA   PDG ANP 522413 </t>
  </si>
  <si>
    <t xml:space="preserve">B.V.C INSTITUTE OF TECHNOLOGY AND SCIENCE MAIN ROAD BHATALAPALEM   AMALAPURAM ANP 533201 </t>
  </si>
  <si>
    <t>13TH JULY</t>
  </si>
  <si>
    <t>0000000023076713</t>
  </si>
  <si>
    <t>0000000023414609</t>
  </si>
  <si>
    <t>0000000023460915</t>
  </si>
  <si>
    <t>0000000023753064</t>
  </si>
  <si>
    <t>0000000023771417</t>
  </si>
  <si>
    <t>0000000024361582</t>
  </si>
  <si>
    <t>0000000026816052</t>
  </si>
  <si>
    <t>0000000027411090</t>
  </si>
  <si>
    <t>0000000029873064</t>
  </si>
  <si>
    <t>0000000032930983</t>
  </si>
  <si>
    <t>0000000024319612</t>
  </si>
  <si>
    <t>1000000000171146</t>
  </si>
  <si>
    <t>1000000000696433</t>
  </si>
  <si>
    <t>1000000000708915</t>
  </si>
  <si>
    <t>0000000016807664</t>
  </si>
  <si>
    <t>4035622672103001</t>
  </si>
  <si>
    <t>4035622814843001</t>
  </si>
  <si>
    <t>4035622819182025</t>
  </si>
  <si>
    <t>4035622844959009</t>
  </si>
  <si>
    <t>4035622896931005</t>
  </si>
  <si>
    <t>4035622897386001</t>
  </si>
  <si>
    <t>4035622899471009</t>
  </si>
  <si>
    <t>4035622911235002</t>
  </si>
  <si>
    <t>4035622965714001</t>
  </si>
  <si>
    <t>4035622972918009</t>
  </si>
  <si>
    <t>4035622999217005</t>
  </si>
  <si>
    <t>4035623058257007</t>
  </si>
  <si>
    <t>4035623060013000</t>
  </si>
  <si>
    <t>4035623075558007</t>
  </si>
  <si>
    <t>4035623080575004</t>
  </si>
  <si>
    <t>4035623174746016</t>
  </si>
  <si>
    <t>4035623179120001</t>
  </si>
  <si>
    <t>4035623217913003</t>
  </si>
  <si>
    <t>4035623235593001</t>
  </si>
  <si>
    <t>4035623331753004</t>
  </si>
  <si>
    <t>4035623384426003</t>
  </si>
  <si>
    <t>4035623390520005</t>
  </si>
  <si>
    <t>4035623399689009</t>
  </si>
  <si>
    <t>4035623413483009</t>
  </si>
  <si>
    <t>4035627401350005</t>
  </si>
  <si>
    <t>4035627481300003</t>
  </si>
  <si>
    <t>4035627538035008</t>
  </si>
  <si>
    <t>4035627572203009</t>
  </si>
  <si>
    <t>4035627588976010</t>
  </si>
  <si>
    <t>4035627744515009</t>
  </si>
  <si>
    <t>4035627794315003</t>
  </si>
  <si>
    <t>4035627885340001</t>
  </si>
  <si>
    <t>4035627915167002</t>
  </si>
  <si>
    <t>4035628024285008</t>
  </si>
  <si>
    <t>4035628039284004</t>
  </si>
  <si>
    <t>4315813089141004</t>
  </si>
  <si>
    <t>4315813945663001</t>
  </si>
  <si>
    <t>4315814430029005</t>
  </si>
  <si>
    <t>4315814455657003</t>
  </si>
  <si>
    <t>4315814840416016</t>
  </si>
  <si>
    <t>4375513147622006</t>
  </si>
  <si>
    <t>4375513168972009</t>
  </si>
  <si>
    <t>4375513296518005</t>
  </si>
  <si>
    <t>4375513366352004</t>
  </si>
  <si>
    <t>4375513385306007</t>
  </si>
  <si>
    <t>4375513747227008</t>
  </si>
  <si>
    <t>4375513772426020</t>
  </si>
  <si>
    <t>4375513896994002</t>
  </si>
  <si>
    <t>4375516928031008</t>
  </si>
  <si>
    <t>4375519976395010</t>
  </si>
  <si>
    <t>4748467943323006</t>
  </si>
  <si>
    <t>4748468442067003</t>
  </si>
  <si>
    <t>4748468492830003</t>
  </si>
  <si>
    <t>4748468556047007</t>
  </si>
  <si>
    <t>4748468566979009</t>
  </si>
  <si>
    <t>4748468646881019</t>
  </si>
  <si>
    <t>4748468684232000</t>
  </si>
  <si>
    <t>4748468695840007</t>
  </si>
  <si>
    <t>4748468730482005</t>
  </si>
  <si>
    <t>4748468873110009</t>
  </si>
  <si>
    <t>5241936721599002</t>
  </si>
  <si>
    <t>5241936858781001</t>
  </si>
  <si>
    <t>6528681863231004</t>
  </si>
  <si>
    <t>4375514453306002</t>
  </si>
  <si>
    <t>4375514461417007</t>
  </si>
  <si>
    <t>4375517648881003</t>
  </si>
  <si>
    <t>4375519629008002</t>
  </si>
  <si>
    <t>4375519792414003</t>
  </si>
  <si>
    <t>4748466719616007</t>
  </si>
  <si>
    <t>5241931170545010</t>
  </si>
  <si>
    <t>4315810294157007</t>
  </si>
  <si>
    <t>4501720941369000</t>
  </si>
  <si>
    <t>4501720971838007</t>
  </si>
  <si>
    <t>4501721168913009</t>
  </si>
  <si>
    <t>4501721630771001</t>
  </si>
  <si>
    <t>4501721859059005</t>
  </si>
  <si>
    <t>4315811013672003</t>
  </si>
  <si>
    <t>4315811366842005</t>
  </si>
  <si>
    <t>4748469390465009</t>
  </si>
  <si>
    <t>MR PRAVEEN KUSUMA</t>
  </si>
  <si>
    <t>MR INTI VENKATAIAH</t>
  </si>
  <si>
    <t>MR M LINGAN</t>
  </si>
  <si>
    <t>MR CHOUDARAPU SIDDARTHA</t>
  </si>
  <si>
    <t>MR MUDAVATH CHINNA KASINAYAK</t>
  </si>
  <si>
    <t>MR YEDOTI VENKATESWARLU</t>
  </si>
  <si>
    <t>MR PEDDAGAMALLA ABHINAY KUMAR</t>
  </si>
  <si>
    <t>MR S GIRIDHAR</t>
  </si>
  <si>
    <t>MR DUDI GANGADHAR</t>
  </si>
  <si>
    <t>MR BELLAMKONDA KOTESWARA RAO</t>
  </si>
  <si>
    <t>MR MYLA SEKHAR</t>
  </si>
  <si>
    <t>MR RACHABATTUNI HEMANTH</t>
  </si>
  <si>
    <t>MR YENUGU SUNAND KUMAR</t>
  </si>
  <si>
    <t>MR K CHANDRA SEKHAR</t>
  </si>
  <si>
    <t>MR MANALA SAICHARAN</t>
  </si>
  <si>
    <t>MR DUBBAKA SRIKANTH</t>
  </si>
  <si>
    <t>MR NAKIREKANTI CHANDRA</t>
  </si>
  <si>
    <t>MS BALSUGURI TEJASWINI</t>
  </si>
  <si>
    <t>MR AKSHAY KUMAR TALARE</t>
  </si>
  <si>
    <t>MS MUDDI BHAGYA</t>
  </si>
  <si>
    <t>MR MARAMULLA DAVIDRAJU</t>
  </si>
  <si>
    <t>MR DAMISETTY GANESH</t>
  </si>
  <si>
    <t>MS POTNARSAM RAVALIKA</t>
  </si>
  <si>
    <t>MR PIDAMARTHI RAM KUMAR</t>
  </si>
  <si>
    <t>Mr DAMMALA VEERA VENKATA SAT</t>
  </si>
  <si>
    <t>MRS KOTTOLLA LAXMI</t>
  </si>
  <si>
    <t>MR SHEKAR KANTAMOLLA</t>
  </si>
  <si>
    <t>MR JILLELLA SAHADEVUDU</t>
  </si>
  <si>
    <t>MR P REDDY</t>
  </si>
  <si>
    <t>Mr ARAVA VENKATA PADMA SAI</t>
  </si>
  <si>
    <t>MS KOKKILIGADDA JASMINE</t>
  </si>
  <si>
    <t>MR INALA NARESH</t>
  </si>
  <si>
    <t>Mrs JAYAVARAPU VEERANGA SATYA</t>
  </si>
  <si>
    <t>MR SRINIVAS REDDY KOMPELLI</t>
  </si>
  <si>
    <t>MR PEDAPATI NAGENDRABABU</t>
  </si>
  <si>
    <t>MR Boddu Sathvik</t>
  </si>
  <si>
    <t>MR Payam Yeshwanthdora</t>
  </si>
  <si>
    <t>MR RaghuPhani Pradeep Kumar</t>
  </si>
  <si>
    <t>MR Jelli Prema Vishal</t>
  </si>
  <si>
    <t>MS EERPA VIJAYA</t>
  </si>
  <si>
    <t>MR NAGA DHANUNJAYARAM NANDAM</t>
  </si>
  <si>
    <t>MR AN RAJU</t>
  </si>
  <si>
    <t>MR VALASA HARI PRASAD</t>
  </si>
  <si>
    <t>MR SHAIK BASHEER AHMED</t>
  </si>
  <si>
    <t>MR RAFIQUE MOHAMMAD</t>
  </si>
  <si>
    <t>MR THOKALA MAHESHBABU</t>
  </si>
  <si>
    <t>MR ABDUT TAWAB</t>
  </si>
  <si>
    <t>MR TARADAPU RAJU</t>
  </si>
  <si>
    <t>MR RAJU GAIKOTI</t>
  </si>
  <si>
    <t>MR METLA VENKATA RAMANA</t>
  </si>
  <si>
    <t>MR MUDDIREDDIGARI VENKATARAMANARE</t>
  </si>
  <si>
    <t>MS LAKSHMI MEKALA</t>
  </si>
  <si>
    <t>MR CHENNURI ASHOK KUMAR</t>
  </si>
  <si>
    <t>MR TALLAPAKA KRISHNA</t>
  </si>
  <si>
    <t>MR AMBATI DURGA LAKSHMI SATYANARA</t>
  </si>
  <si>
    <t>Mr CHALLA KARUNAKAR</t>
  </si>
  <si>
    <t>MR PAMARTHY ANIL KUMAR</t>
  </si>
  <si>
    <t>Mr VANTARI KONDAL REDDY</t>
  </si>
  <si>
    <t>MR UPPALAPATI PRASAD</t>
  </si>
  <si>
    <t>MR CHENNA SRI RAM</t>
  </si>
  <si>
    <t>MR MARRIBOINA HARSHAVARDHAN</t>
  </si>
  <si>
    <t>MR ALURU SURESH</t>
  </si>
  <si>
    <t>MR. BATHULA PAVAN KUMAR</t>
  </si>
  <si>
    <t>MR. RAMESH JAVVAJI</t>
  </si>
  <si>
    <t>MR GOUTHAM REDDY THANGIRALA</t>
  </si>
  <si>
    <t>Mr K Srinivasulu</t>
  </si>
  <si>
    <t>MR LAVUDIYA NAYAK</t>
  </si>
  <si>
    <t>MR. SIVANNARAYANA MANYAM</t>
  </si>
  <si>
    <t>MR. SRINIVAS NOMULA</t>
  </si>
  <si>
    <t>MR SREEKANTH KE</t>
  </si>
  <si>
    <t>MS CHELLUBOINA SRUTHI</t>
  </si>
  <si>
    <t>MR POLA RAVI BABU</t>
  </si>
  <si>
    <t>Mr MAHESHWARAM UMAMAHESHWAR</t>
  </si>
  <si>
    <t>MR SAMMANGI SRI SAMMANGI SRI BHARGAV</t>
  </si>
  <si>
    <t>MR Ganupala Raviprakash</t>
  </si>
  <si>
    <t>MR AMJURI SATYA SWAROOP</t>
  </si>
  <si>
    <t>8897001517</t>
  </si>
  <si>
    <t>9492869703</t>
  </si>
  <si>
    <t>7997229757</t>
  </si>
  <si>
    <t>9398136297</t>
  </si>
  <si>
    <t>9573152276</t>
  </si>
  <si>
    <t>9704625821</t>
  </si>
  <si>
    <t>8328530604</t>
  </si>
  <si>
    <t>9014329830</t>
  </si>
  <si>
    <t>9908062444</t>
  </si>
  <si>
    <t>9490007040</t>
  </si>
  <si>
    <t>7981848132</t>
  </si>
  <si>
    <t>9581986516</t>
  </si>
  <si>
    <t>9177355344</t>
  </si>
  <si>
    <t>7416754156</t>
  </si>
  <si>
    <t>9652447037</t>
  </si>
  <si>
    <t>7032046571</t>
  </si>
  <si>
    <t>9603157031</t>
  </si>
  <si>
    <t>9515980737</t>
  </si>
  <si>
    <t>9381363398</t>
  </si>
  <si>
    <t>6303683561</t>
  </si>
  <si>
    <t>7337308147</t>
  </si>
  <si>
    <t>8317525157</t>
  </si>
  <si>
    <t>9704827908</t>
  </si>
  <si>
    <t>9014619794</t>
  </si>
  <si>
    <t>9989534831</t>
  </si>
  <si>
    <t>6300782373</t>
  </si>
  <si>
    <t>9573224835</t>
  </si>
  <si>
    <t>9398039667</t>
  </si>
  <si>
    <t>9182197189</t>
  </si>
  <si>
    <t>9494780512</t>
  </si>
  <si>
    <t>8790751198</t>
  </si>
  <si>
    <t>9618013525</t>
  </si>
  <si>
    <t>9010720678</t>
  </si>
  <si>
    <t>9010161113</t>
  </si>
  <si>
    <t>9553383537</t>
  </si>
  <si>
    <t>8686567972</t>
  </si>
  <si>
    <t>9347786633</t>
  </si>
  <si>
    <t>8886988955</t>
  </si>
  <si>
    <t>7032464090</t>
  </si>
  <si>
    <t>9959104748</t>
  </si>
  <si>
    <t>9550044922</t>
  </si>
  <si>
    <t>9553355820</t>
  </si>
  <si>
    <t>6309575712</t>
  </si>
  <si>
    <t>9985104620</t>
  </si>
  <si>
    <t>9502353850</t>
  </si>
  <si>
    <t>9948282430</t>
  </si>
  <si>
    <t>8897331103</t>
  </si>
  <si>
    <t>9849762044</t>
  </si>
  <si>
    <t>9849133666</t>
  </si>
  <si>
    <t>9042335855</t>
  </si>
  <si>
    <t>7799333943</t>
  </si>
  <si>
    <t>9603856494</t>
  </si>
  <si>
    <t>7799110369</t>
  </si>
  <si>
    <t>9550248998</t>
  </si>
  <si>
    <t>9989470147</t>
  </si>
  <si>
    <t>8179302224</t>
  </si>
  <si>
    <t>9059545775</t>
  </si>
  <si>
    <t>7680066182</t>
  </si>
  <si>
    <t>9392640513</t>
  </si>
  <si>
    <t>6304470461</t>
  </si>
  <si>
    <t>8519873165</t>
  </si>
  <si>
    <t>9550516234</t>
  </si>
  <si>
    <t>9704893203</t>
  </si>
  <si>
    <t>9966316162</t>
  </si>
  <si>
    <t>9182015954</t>
  </si>
  <si>
    <t>8187029925</t>
  </si>
  <si>
    <t>9640381416</t>
  </si>
  <si>
    <t>8801706060</t>
  </si>
  <si>
    <t>9493704561</t>
  </si>
  <si>
    <t>9573043735</t>
  </si>
  <si>
    <t>9441412152</t>
  </si>
  <si>
    <t>9502360884</t>
  </si>
  <si>
    <t>8143788172</t>
  </si>
  <si>
    <t>9866144759</t>
  </si>
  <si>
    <t>8073756094</t>
  </si>
  <si>
    <t>2-375 DABA GARDENS AMALAPURAM AMALAPURAM NEAR EDARAPALLI BRIDGE AMALAPURAM ANP 533201</t>
  </si>
  <si>
    <t>2-87 PEDDAVEDU MATTAMPALLY NEAR WATER TANK SURYAPET TNG 508204</t>
  </si>
  <si>
    <t>"2-476, GURUKULA MADUGU,VEERNAMALA" "CHITTOOR, ANDHRAPRADESH"  ATM CHITTOOR ANP 517401</t>
  </si>
  <si>
    <t>"HOUSE,NO 4-36 PEDDA EDGI PEDDA,EDGI,.,.," .  .. NIZAMABAD TNG 503305</t>
  </si>
  <si>
    <t>10-03-69 AGANDHINAGAR PRAKASAM NEAR VIVEKANANDA SCHOOL NANDYAL ANP 523316</t>
  </si>
  <si>
    <t>"1/59,MAIN ROAD ,OPP RTC BUSSTAND" CHITVEL POST AND MANDAL CHITVEL CUDDAPAH CHITVEL NEAR MAIN ROAD CUDDAPAH ANP 516104</t>
  </si>
  <si>
    <t>H NO -2-5 PRAKASH NAGAR CHINTALPUDI MANDALAM PRAGADAVARAM RAMALAYAM TEMPULE ELURU ANP 534461</t>
  </si>
  <si>
    <t>"0-0,MITTOOR VENGAM PALLE,IRALA,.,.,." ...  MAIN ROAD CHITTOOR ANP 517129</t>
  </si>
  <si>
    <t>"3-64,PANCHAYATI SCHOOL VADDA,.,SANKARAGU" "PTAM,,MALIKIPURAM"  NEAR BUS STAND AMALAPURAM ANP 533250</t>
  </si>
  <si>
    <t>"7-19/A BHADRAIAH NAGAR,CHILUKURU MANDALA" "M, BETHAVOLU"  ATM SURYAPET TNG 508204</t>
  </si>
  <si>
    <t>"1-11 , MAINBAZAAR ,,SC COLONY,CHINTAKOMM" "ADINNE , ALLAGADDA,KURNOOL"  BUS STOP NANDYAL ANP 518543</t>
  </si>
  <si>
    <t>21-6-14 OPPOSITE TO TDP OFFICE RAMALINGESGWARA PET SATYANARAYA PARK ROAD VIJAYAWADA ANP 522201</t>
  </si>
  <si>
    <t>FLAT NO 3 GF ABHINANDANA APARTMENT KK RAJU GREEN CITY ELURU  NEAR WATER TANK ELURU ANP 534001</t>
  </si>
  <si>
    <t>PLOT NO 16 Kurnool GKR TOWNSHIP opp. CRR school NH 7 DINNEDEVARAPADU Kurnool KURNOOL ANP 518002</t>
  </si>
  <si>
    <t>"3-111,,Chandrupatla" "," Opp bustand Kalluru Mandal Chandrupatla KHAMMAM TNG 507209</t>
  </si>
  <si>
    <t>"3-28,MAIN STREET,DUBBAKAVANIPETA,POLAKI," TALASAMUDRAM  . SRIKAKULAM ANP 532429</t>
  </si>
  <si>
    <t>1-55 IMMAMPET SURYAPET  NEAR GRAMAPANCHAYITHI SURYAPET TNG 508213</t>
  </si>
  <si>
    <t>"7 WARD,7-12,HANAMKONDA,KADIPIKONDA" ...  NEAR WARANGAL TNG 506003</t>
  </si>
  <si>
    <t>H NO 1-48/B MADNOOR MANDAL LIMBOOR  NIZAMABAD TNG 503309</t>
  </si>
  <si>
    <t>"2/19,AMBAKA PALLI AMBAKA,PALLE,CUDDAPAH," ",CHINNAKUDALA"  MAIN ROAD PRODDATUR ANP 516396</t>
  </si>
  <si>
    <t>"6-150,YELESWARAM,MAIN RAOD,SIRIPURAM" ...  NEAR AMBEDKAR STATUE KAKINADA ANP 533432</t>
  </si>
  <si>
    <t>H NO 2-46 ELURU MANDAL  NEAR RANAMMA TEMPLE ELURU ANP 534002</t>
  </si>
  <si>
    <t>"H NO,2-84/1" "MAHALINGI TANOOR,MAHALINGI,,MAHALINGI"  Nirmal ADL TNG 504103</t>
  </si>
  <si>
    <t>3-5-131/2/A/R5 SURYAPET MANDALAM "HANUMAN NAGAR, INDIAN OIL PETROL BUNK BA" SURYAPET POST SURYAPET TNG 508213</t>
  </si>
  <si>
    <t>"4-130,KARANAM GARI THOTA,KARANAM GARI THOTA," GOLLAPROLU   KAKINADA ANP 533445</t>
  </si>
  <si>
    <t>"INTI,NAN 3-72/4 BIRKOOR,MANDALAM," "BOMMANDEVPALLE,BOMMANDEVPALLE"   NIZAMABAD TNG 503301</t>
  </si>
  <si>
    <t>"2-34,HANWADA MANDAL,NAGINONI PALLY,HANWA" "DA,"  HOUSE NO.-2-34 MAHBOOBNAGAR TNG 509334</t>
  </si>
  <si>
    <t>"2-78/1 SC COLONY,SREERANGAPURAM,RUDRAVAR" "AM,,SREERANGAPURAM"  NEAR CHURCH NANDYAL ANP 518583</t>
  </si>
  <si>
    <t>"1-115,PAIPADU WADDEPALLE,MANDAL,PAIPADU," ",PAIPADU"  NEAR BY GOVT SCHOOL MAHBOOBNAGAR TNG 509126</t>
  </si>
  <si>
    <t>"2-104,NANDAMURUGARUVU NEAR,SCHOOL," "VEERAVASARAM,MANDALAM,NANDAMURUGARUVU"   BHIMAVARAM ANP 534245</t>
  </si>
  <si>
    <t>"H NO,8-6-238/1" "KOTHIRAMPUR,NEAR,near Indian gas godown, Koth" Karimnagar Karimnagar ADL TNG 505001</t>
  </si>
  <si>
    <t>H NO 6 125/1 NEAR VISWAKAVI school CHINAMEERAm   BHIMAVARAM ANP 534202</t>
  </si>
  <si>
    <t>"DULLA VARI VEEDHI,31-3-6 FLR,WARD 30," "SURYANARAYANAPURAM,KAKINADA URBAN"   KAKINADA ANP 533001</t>
  </si>
  <si>
    <t>"21-303/3-5,BHAGWANTHAM WADA,MANCHERIAL," LAXMI NAGAR   ADILABAD TNG 504208</t>
  </si>
  <si>
    <t>"2-41,THONDANGI,SC COLONY FLR,MANDALAM," KOMMANAPALLE   KAKINADA ANP 533449</t>
  </si>
  <si>
    <t>HOUSENUMBER.3.7.335.57 KHAMMAM.URBAN MANCHIKANTI.NAGAR.2 NEAR SUNGLORY SCHOOL KHAMMAM TNG 507003</t>
  </si>
  <si>
    <t>5.117 LAXMI.DEVIPALLI SANJAY.NAGAR Khammam KHAMMAM TNG 507101</t>
  </si>
  <si>
    <t>H.NO.4.100 Nadigudem.Mandal ..Nadigudem.Mandal Nalgonda SURYAPET TNG 508234</t>
  </si>
  <si>
    <t>81.255.37 BACHUM.PALLI ..BACHUM.PALLI Cuddapah CUDDAPAH ANP 516002</t>
  </si>
  <si>
    <t>H NO 11-19 SUDIMALLA YELLANDU   NEAR MAZID KHAMMAM ANP 507123</t>
  </si>
  <si>
    <t>"PADMASALILA VEEDI,4-105/1,MAMIDIKUDURU," "ADURRU,NEAR WATER TANK" EAST GODAVARI - EAST GODAVARI ANP 533247</t>
  </si>
  <si>
    <t>4-73 WADDEPALLE MANDAL PEDDA THANDRAPAPADU MANI ROAD MAHBOOBNAGAR TNG 509135</t>
  </si>
  <si>
    <t>4-22 DIGUVA BOPARAJU PALEM PETTU TIRUPATI PALEM PUTTU CHITTOOR ANP 517581</t>
  </si>
  <si>
    <t>7-10-194 LINGAM BHIE COLONY GADWAL GADWAL LINGAMU BAVI COLONY MAHBOOBNAGAR TNG 509125</t>
  </si>
  <si>
    <t>1-3/1 RAJIPETA BESIDE GOVT SCHOOL RAJIPET  WARANGAL TNG 506164</t>
  </si>
  <si>
    <t>"11-4-180 RAJAS GARDEN,4TH LINE," "NEAR T T D KALYANA,MANDAPAM"   GUNTUR ANP 522001</t>
  </si>
  <si>
    <t>"4-88,GP ROAD,KOTHUR"    RANGAREDDY TNG 509228</t>
  </si>
  <si>
    <t>H NO 1 67 GIRNUR GIRNUR ADIWABAD NEAR GOVERNMENT SCHOOL OPP VENKATESHWARA Adilabad TNG 504307</t>
  </si>
  <si>
    <t>H NO 6-2-P594 HYDERABAD ROAD JANGAON  SRIVILLAS COLONY WARANGAL ANP 506167</t>
  </si>
  <si>
    <t>D NO 1-4-6/2 MAIN ROAD AMALAPURAM   BESIDE SRI CHAITANYA TECHNO SCHOOL AMALAPURAM ANP 533201</t>
  </si>
  <si>
    <t>4-30A KESAPURAM KESAPURAM ANANTAPUR HINDUPUR ANP 515144</t>
  </si>
  <si>
    <t>"87-5-364 1ST LINE NETAJI,NAGAR," "AMBEDKAR STATUE,LALPURAM ROAD"  ISWARYA APARTMENTS OPPOSITE GUNTUR ANP 522004</t>
  </si>
  <si>
    <t>13-25/3 SEETHANAGARAM PATTABI RAMULA COLONY GUNTUR GUNTUR ANP 522501</t>
  </si>
  <si>
    <t>"20/420 GANDLA STREET,KADAPA,CUDDAPAH"    CUDDAPAH ANP 516001</t>
  </si>
  <si>
    <t>"1-25,RAMALAYAM STREET,PEDDAPURAM MANDALA" "M, GUDIVADA"  NEAR RAMALAYAM PEDDAPURAM ANP 533437</t>
  </si>
  <si>
    <t>"H NO,5-10 SAIDAPOOR MANDAL,.,DUDDANAPALLI"    KARIMNAGAR TNG 505472</t>
  </si>
  <si>
    <t>"2-47/2 BARRIPADU,BANTUMILLI MANDAL,BARRI" PADU  NEAR BY  TEMPLE GUDIVADA ANP 521369</t>
  </si>
  <si>
    <t>2-2 GAJWEL MANDAL KYASARAM DACHARAM  MAIN ROAD MEDAK TNG 502278</t>
  </si>
  <si>
    <t>"3-39,MUDINEPALLI MUDINEPALLE,.,.,."    KRISHNA ANP 521325</t>
  </si>
  <si>
    <t>S/O VENKATA H.NO 1-75/2 KUSUMANCHI MANDAL OPPOSITE ROAD VILLAGE JEELACHERUVU NEAR BY KRISHNMURTI KIRANA SHOP KHAMMAM TNG 507170</t>
  </si>
  <si>
    <t>1/199 1ST WARD VILLAGE KALLUR  Y.S.R. CUP ANP 516355</t>
  </si>
  <si>
    <t>10-6-39/2 SRINIVAS COLONY OPP SRI RAMA TVS SHOWROOM MAHABUBNAGAR TELANGANA MAHBOOBNAGAR TNG 509001</t>
  </si>
  <si>
    <t>VIJAYA KRISHNA RESIDENCY 1ST FLOOR NO 101 CHUTTUGUNTA CHUTTUGUNTA H NO 25-16-121 BESIDE SBI BANK GUNTUR ANP 522004</t>
  </si>
  <si>
    <t>"2-7,,Sri laxmi Nilayam"  "Kazipet, Hanamk" Tharalpally WARANGAL TNG 506003</t>
  </si>
  <si>
    <t>"3-31,S B H ROAD,OPPOSITE S B H,KESHAVAPUR," MULUG WARANGAL - WARANGAL TNG 506343</t>
  </si>
  <si>
    <t>"H NO 2-63,GADWAL(RURAL),GADWAL, CHENUGONIPALLE GADWAL MANDAL"    Mahbubnagar TNG 509125</t>
  </si>
  <si>
    <t>6 4 5 MELLA CHERUVU GUDIMALKAP URAM  NALGONDA ANP 508246</t>
  </si>
  <si>
    <t>H NO 17 10 41A DURGAMMAGUDI VEEDHI SANJAY NAGAR  BESIDE KANAKA DURGA TEMPLE KAKINADA ANP 533001</t>
  </si>
  <si>
    <t>"7/1,DEENDAYAL,393/1,RAMNAGAR," "KAZIPET, HANAMKONDA,KADIPIKONDA" WARANGAL - WARANGAL TNG 506003</t>
  </si>
  <si>
    <t>"H NO 13-87,KODUMUR,KURNOOL"    KURNOOL ANP 518464</t>
  </si>
  <si>
    <t>"1-99,ANTARVEDI PALEM NEAR,CHERUVU,GATTU," SAKHINETIPALLI   EAST GODAVARI ANP 533252</t>
  </si>
  <si>
    <t>"H NO 13-149, BANDIREVU THUMU PEDAPADU" "MANDALAM , WEST GODAVARI" WEST GODAVARI PEDAPADU ELURU ANP 534437</t>
  </si>
  <si>
    <t>"HNO,1-118,KUNOOR,WARANGAL,ZAFFARGARH MANDAL"    WARANGAL TNG 506143</t>
  </si>
  <si>
    <t>"H NO,4-130 DENDULURU WEST,GODAVARI,."    WEST GODAVARI ANP 534432</t>
  </si>
  <si>
    <t>H No 25-236-1 Sanjeeva Nagar Sanjeeva Nagar Kurnool NANDYAL ANP 518501</t>
  </si>
  <si>
    <t>1-257/1 MADHAVAPATNAM SAMARLAKOTA EAST GODAVARI ANDHRAPRADESH BESIDE COMMUNITY HALL KAKINADA ANP 533005</t>
  </si>
  <si>
    <t>KUSUMA ASSOCIATES 2-375 DABA GARDENS AMALAPURAM AMALAPURAM AMALAPURAM ANP 533201</t>
  </si>
  <si>
    <t>NCL INDUSTRIES LIMITED MAIN ROAD MATTAMPALLY MATTAMPALLY SURYAPET TNG 508204</t>
  </si>
  <si>
    <t>ACCENTURE SOLUTIONS PRIVATE LIMITED IBC KNOWEDGE PARK TOWER BANGALORE BANGALORE BANGALORE KAR 560029</t>
  </si>
  <si>
    <t>TATA CONSULTANCY SERVICES LIMITED "1/124,9TH FLOOR,MOUNT POONAMALEE RD," "DLF IT PARK RD, BLOCK 9 MANAPAKKAM" "DLF IT PARK RD, BLOCK 9 MANAPAKKAM" CHENNAI TMN 600089</t>
  </si>
  <si>
    <t>GOVERNMENT OF ANDRAPRADESH GOVERNMENT BC COLLEGE "BOYS HOSTEL,JAVAHARNAGAR" "BOYS HOSTEL,JAVAHARNAGAR" NANDYAL ANP 523316</t>
  </si>
  <si>
    <t>SREE SRINIVASA TRADERS 1/59 MAIN ROAD OPP.APSRTC BUSSTAND OPP.APSRTC BUSSTAND CUDDAPAH ANP 516104</t>
  </si>
  <si>
    <t>NTT DATA BUSINESS SOLUTIONS PVT LTD BLOCK-2 2FLORV D7 PLOT NO -123 EPIP PHASE -2 WHITEFIELD INDUSTRIAL RAEA EPIP PHASE -2 WHITEFIELD INDUSTRIAL RAEA BANGALORE KAR 560066</t>
  </si>
  <si>
    <t>TATA CONSULTANCY SERVICES LIMITED "GODREJ  BOYCE COMPLEX, PLANT NO. 12, L" "S MARG, GODREJ  BOYCE INDUSTRY ESTATE," "S MARG, GODREJ  BOYCE INDUSTRY ESTATE," MUMBAI MAH 400079</t>
  </si>
  <si>
    <t>INFOSYS LIMITED 44 INFOSYS AVENUE ELECTRONICS CITY HOSUR ROAD BANGLORE HOSUR ROAD BANGLORE BANGALORE KAR 560100</t>
  </si>
  <si>
    <t>TVS CREDIT SERVICES LIMITED "2ND AND 3RD,10,SARDAR PATEL ROAD," "BEGUMPET, TELANGANA" "BEGUMPET, TELANGANA" HYDERABAD TNG 500016</t>
  </si>
  <si>
    <t>EUCLID INNOVATIONS PVT LTD "6TH FLOOR SLN TERMINUS,KONDAPUR TO GACHI" BOWLIROAD BESIDES BOTANCAL GARDEN BOWLIROAD BESIDES BOTANCAL GARDEN HYDERABAD TNG 500032</t>
  </si>
  <si>
    <t>INMORPHIS SERVICES PRIVATE LIMITED "ANJUMAN K, ARR TOWER NO-77,1,28" 1ST FLOOR P LING RAO ROAD NEAR RICH MONT 1ST FLOOR P LING RAO ROAD NEAR RICH MONT BANGALORE KAR 560027</t>
  </si>
  <si>
    <t>ICICI HOME FINANCE COMPANY LIMITED HOUSE NO 23B-5-7 4 FLOOR VASAVI PLAZA RR PETA ELURU 4 FLOOR VASAVI PLAZA RR PETA ELURU ELURU ANP 534002</t>
  </si>
  <si>
    <t>SADGURU HEALTHCARE SERVICES PVT LTD OASIS FERTILITY KURNOOL KURNOOL KURNOOL ANP 518002</t>
  </si>
  <si>
    <t>SAMIKA DESIGN S UNIT F 3  133  OLD MUMBAI HAIWAY BIODIVERSITY COMPLEX GACHIBOWLI BIODIVERSITY COMPLEX GACHIBOWLI HYDERABAD TNG 500032</t>
  </si>
  <si>
    <t>AASAN SOFTWARE PRIVATE LIMITED JAYARAM NAGAR THIRUVANMIYUR CHENNAI CHENNAI CHENNAI TMN 600041</t>
  </si>
  <si>
    <t>LIFE INSURANCE CORPORATION OF INDIAPLICA JAGGAIAHPET JAGGAIAHPET JAGGAIAHPET SURYAPET TNG 508213</t>
  </si>
  <si>
    <t>WIPRO LIMITED ALSO WIPRO TECHNOLOGIES A WIPRO LIMITED BLOCK E NANAKRAMGUDA HYDERABAD TELANGANA HYDERABAD TELANGANA HYDERABAD TNG 500081</t>
  </si>
  <si>
    <t>DBS TECHNOLOGY SERVICES INDIA PVT LTD "D.NO1 98 9/3/33,35 37/4,PLOT NO 28 TO" "IMAGE GARDENS RD, SILICON VALLEY" "IMAGE GARDENS RD, SILICON VALLEY" HYDERABAD TNG 500081</t>
  </si>
  <si>
    <t>ORACLECERNER HEALTHCARESOLUTIONINDIAPVT "GROUND FLOOR,WING B-BLOCK,H2 MOUNTAIN" "ASH MANYATA EMBASSY BUSINESS PARK,BANGAL" "ASH MANYATA EMBASSY BUSINESS PARK,BANGAL" BANGALORE KAR 560045</t>
  </si>
  <si>
    <t>MUTHOOT HOUSING FINANCE COMPANY LIMITED KAKINADA MAIN ROAD TEMPLE STREET NEAR HDFC BANK NEAR HDFC BANK KAKINADA ANP 533001</t>
  </si>
  <si>
    <t>TATA CAPITAL LIMITED TATA CAPITAL 2ND FLOOR GUDIVADA GUDIVADA GUDIVADA ANP 521301</t>
  </si>
  <si>
    <t>"350,HEBBAL ELECTRONIC CITY" HOOTAGALLI MYSURU   MYS KAR 570027</t>
  </si>
  <si>
    <t>GOVT OF TELANGANA GST DEPARTMENT H.NO4-51/4 "BESIDE IOC PETROL PUMP, KHAMMAM, X" "BESIDE IOC PETROL PUMP, KHAMMAM, X" SURYAPET TNG 508206</t>
  </si>
  <si>
    <t>Not Applicable 4-130 Karanam gari thota Gollaprolu Gollaprolu KAKINADA ANP 533445</t>
  </si>
  <si>
    <t>Not Applicable 738809780184 Bommandevpally Bommandevpally NIZAMABAD TNG 503301</t>
  </si>
  <si>
    <t>SHEKHAR ENTERPRISES "UPPER GROUND FLOOR, HANWADA MANDAL," "MAHABUB NAGAR," "MAHABUB NAGAR," MAHBOOBNAGAR TNG 509334</t>
  </si>
  <si>
    <t>FACTSET SYSTEMS INDIA PRIVATE LIMITED "C9CF RRP,MADHURA NAGAR COLONY" "GACHIBOWLI,HYDERABAD" "GACHIBOWLI,HYDERABAD" HYDERABAD TNG 500032</t>
  </si>
  <si>
    <t>JAGADESHWAR REDDY SOLAR LIGHTS SHOP NO 2-1 KOILDINNE ROAD SHANTHINAGAR SHANTHINAGAR MAHBOOBNAGAR TNG 509126</t>
  </si>
  <si>
    <t>2104 nandamurugaruvu near school near school BHIMAVARAM ANP 534245</t>
  </si>
  <si>
    <t>BUILDING NO 1A ND 1B RAHEJA MIND SPACE MADHAP "HUDA TECHNO ENCLAVE, HITECH CITY, HYDERABAD" Hyderabad Hyderabad HYD TNG 500086</t>
  </si>
  <si>
    <t>H NO 2 16 4/1D THATAPARTI COMPLEX NEAR UNDI RAILWAY GATE   BHIMAVARAM ANP 534202</t>
  </si>
  <si>
    <t>Not Applicable 54-2-25 "yesu vaari street,jaganaikpur" "yesu vaari street,jaganaikpur" KAKINADA ANP 533001</t>
  </si>
  <si>
    <t>Andhra Pradesh Maritime board 1st floor Port administrative building Port administrative building KAKINADA ANP 533001</t>
  </si>
  <si>
    <t>BAJAJ.FINANCE.LIMITED KHAMMAM. KHAMMAM..KHAMMAM. KHAMMAM..KHAMMAM. KHAMMAM TNG 507002</t>
  </si>
  <si>
    <t>YASHWANTH SANJAY.NAGAR. LAXMIDEVIPALLY. LAXMIDEVIPALLY. KHAMMAM TNG 507101</t>
  </si>
  <si>
    <t>CONCENTRIX.DAKSH.SERVICES.INDIA.PVT.LTD CONCENTRIX.DASKSH.SERVICES.3RD.FLOOR MILLINEUM.TOWERS.BROOKFIELDS MILLINEUM.TOWERS.BROOKFIELDS BANGALORE KAR 560037</t>
  </si>
  <si>
    <t>GOVERNMENT.GENRAL.HOSPITAL.KADAPA GOVERNMENT.GENRAL.HOSPITAL. PUTLAMPALLI. PUTLAMPALLI. CUDDAPAH ANP 516001</t>
  </si>
  <si>
    <t>MEDICAL AND HEALTH DIPART MANT MAIN ROAD YELLANDU   KHAMMAM ANP 507123</t>
  </si>
  <si>
    <t>INFOSYS LIMITED SEZ SURVEY NO 41PT 50 PT POCHARAM VILLAG GHATKESAR MANDAL GHATKESAR MANDAL HYDERABAD ANP 500088</t>
  </si>
  <si>
    <t>SAINATHA MOTERS 4-73 WADDEPALLE WADDEPALLE MAHBOOBNAGAR TNG 509135</t>
  </si>
  <si>
    <t>EY GLOBAL DELIVERY SERVICES INDIA LLP 6TH FLOOR BLOCK-B LAXMI CYBER TOWER KOTHAGUDA KOTHAGUDA HYDERABAD TNG 500084</t>
  </si>
  <si>
    <t>GOVERNMENT OF TELAGNA IRGEIONS DEPRATMENT OF TELAGANA GADWAL GADWAL MAHBOOBNAGAR TNG 509125</t>
  </si>
  <si>
    <t>SAMEER DIGITALS 2 3 512 A 303 CHENNAREDDY NAGAR AMBERPET AMBERPET HYDERABAD ANP 500013</t>
  </si>
  <si>
    <t>Salaried "Centraprise global, plot no 32, OPP SBI Bank, Nizampet, kukatpally" "OPP Bata Showroom, Nizampet village main road, Kukatpally" "OPP Bata Showroom, Nizampet village main road, Kukatpally" RANGAREDDY TNG 500090</t>
  </si>
  <si>
    <t>KD supply chain solution pvt l Survey no 432 inmulnarva KOTHUR mandal KOTHUR mandal MAHABUBNAGAR TNG 509228</t>
  </si>
  <si>
    <t>BHARAT FINANCIAL INCLUSION LIMITED BHARAT FINANCIAL INCLUSION LTD DOOR NO 6 183 5 TEACHERS COLONY ICCHODA NO 6 183 5 TEACHERS COLONY ICCHODA Adilabad TNG 504307</t>
  </si>
  <si>
    <t>RENUKA ENTERPRICESS RENUKA ENTERPRICESS JANGAON SIDDIPET ROAD ROAD WARANGAL ANP 506167</t>
  </si>
  <si>
    <t>AMALAPURAM COMMUNICATION NETWORK D NO 1-4-6/2 MAIN ROAD AMALAPURAM   AMALAPURAM ANP 533201</t>
  </si>
  <si>
    <t>COGNIZANT TECHNOLOGY SOLUTIONS INDIA PRI BEGHMNE TECH PARK 65/2 /1 ADZ LRD 65/2 /1 ADZ LRD BANGALORE KAR 560093</t>
  </si>
  <si>
    <t>DISTRICT HOSPITAL TENALI CHENCHUPETA NEAR YARD NEAR YARD GUNTUR ANP 522202</t>
  </si>
  <si>
    <t>BRAND ON BRAND 13-21/3 PATABERAMBAR COLONY SITA NAGARR GUNTUR GUNTUR GUNTUR ANP 522501</t>
  </si>
  <si>
    <t>Not Applicable Kadapa Koti Reddy circle Koti Reddy circle CUDDAPAH ANP 516001</t>
  </si>
  <si>
    <t>VIVIEN BIO TECH LIMITED "RAMANAPUDI, 2-19" GUDIVADA GUDIVADA GUDIVADA ANP 521322</t>
  </si>
  <si>
    <t>POWER LINKS ICICI Bank ltd Mancheriyal Mancheriyal ADILABAD TNG 504208</t>
  </si>
  <si>
    <t>COGNIZANT TECHNOLOGY SOLUTIONS INDIA PRI COGNIZANT DLF CYBER SECURTY BLD  GACHIBO COGNIZANT DLF CYBER SECURTY BLD  GACHIBO COGNIZANT DLF CYBER SECURTY BLD  GACHIBO HYDERABAD TNG 500065</t>
  </si>
  <si>
    <t>WIPRO ENTERPRISES PVT LTD 8-38/1 OPPOSITE GOVERNMENT HOSPITAL GAJWEL GAJWEL MEDAK TNG 502278</t>
  </si>
  <si>
    <t>PPA WIPRO ENTERPRISES LTD Bagmane tech park Bangalore Bangalore BANGALORE KAR 560036</t>
  </si>
  <si>
    <t>TCS  PVT DECCAN PARK MADAPUR  HYDRABAD HYDRABAD HYDRABAD HYDERABAD TNG 500081</t>
  </si>
  <si>
    <t>B BLOCK 59/2 KADERANAHALLI BENGALURU HERITAGE BUILDING OUTER RING ROAD   BNG KAR 560070</t>
  </si>
  <si>
    <t>INFINITI RETAIL LTD "CROMA,AVANTHI COMOLEX," "RAJENDRA NAGAR,MAHABUB NAGAR" "RAJENDRA NAGAR,MAHABUB NAGAR" MAHBOOBNAGAR TNG 509001</t>
  </si>
  <si>
    <t>EXIDE LIFE INSURANCE COMPANY LTD EXIDE LIFE INSURANCE COMPANY LTD 3RD FLOOR RAGHU MANSION BRODIPET 4/1 3RD FLOOR RAGHU MANSION BRODIPET 4/1 GUNTUR ANP 522004</t>
  </si>
  <si>
    <t>BRISTLECONE INDIA LTD TECHMINDHRA HITECH LTD MADHAPUR MADHAPUR Hyderabad TNG 500081</t>
  </si>
  <si>
    <t>ICICI BANK LTD ICICI TOWERS SY NO:115-27 PLOT NO:12 NANAKRAMGUDA GACHIBOWLI NANAKRAMGUDA GACHIBOWLI HYDERABAD TNG 500032</t>
  </si>
  <si>
    <t>SElf employed Gadwal Noor Majid Noor Majid Mahbubnagar TNG 509125</t>
  </si>
  <si>
    <t>GLENDALE ACADEMY SUNCITY BANDLAGUDA JAGIR HYDERABAD 500086 HYDERABAD 500086 HYDERABAD ANP 500086</t>
  </si>
  <si>
    <t>BLUE CHIP CORPORTE INVESTMENT CENTRE LTD H NO 1 9 24 SRI RAM NAGAR SRI RAM NAGAR KAKINADA ANP 533001</t>
  </si>
  <si>
    <t>ZENSAR TECHNOLOGIES LTD 9TH FLOOR BLOCK 3 ZENSAR GACHIBOWLI DLF GACHIBOWLI DLF Rangareddy TNG 500019</t>
  </si>
  <si>
    <t>Sreekanth goud KE "13/87-2, kotthapeta street" Kodumur Kodumur KURNOOL ANP 518464</t>
  </si>
  <si>
    <t>CAPGEMINI TECHNOLOGY SERVICES Gachibowli financial district financial district HYDERABAD TNG 500081</t>
  </si>
  <si>
    <t>GOVERNMENT GOVT OF AP "II ADDITIONAL JUDICIAL, 1 CLASS" MAGISTRATE COURT ELURU MAGISTRATE COURT ELURU ELURU ANP 534001</t>
  </si>
  <si>
    <t>Not Applicable "H NO 31-3-334 Road No 8," "Sapthagiri colony, phase 2, waddepally" "Sapthagiri colony, phase 2, waddepally" WARANGAL TNG 506370</t>
  </si>
  <si>
    <t>SOUTH CENTRAL RAILWAY OFFICE OF THE CHIEF CREW CONTROLLER PLATFORM NO.1 RAILWAY STATION PLATFORM NO.1 RAILWAY STATION NANDYAL ANP 518501</t>
  </si>
  <si>
    <t>CYIENT LIMITED CYIENT LIMTED K13 KAKINADA AUTONAGAR KAKINADA EAST GODAVARI ANDHRAORADESH KAKINADA EAST GODAVARI ANDHRAORADESH KAKINADA ANP 533005</t>
  </si>
  <si>
    <t>0000000021725827</t>
  </si>
  <si>
    <t>0000000022692066</t>
  </si>
  <si>
    <t>0000000022715556</t>
  </si>
  <si>
    <t>0000000022864483</t>
  </si>
  <si>
    <t>0000000023207269</t>
  </si>
  <si>
    <t>0000000023209162</t>
  </si>
  <si>
    <t>0000000023241457</t>
  </si>
  <si>
    <t>0000000023340695</t>
  </si>
  <si>
    <t>0000000023797920</t>
  </si>
  <si>
    <t>0000000023887948</t>
  </si>
  <si>
    <t>0000000024198428</t>
  </si>
  <si>
    <t>0000000024951845</t>
  </si>
  <si>
    <t>0000000024970857</t>
  </si>
  <si>
    <t>0000000025147101</t>
  </si>
  <si>
    <t>0000000025230893</t>
  </si>
  <si>
    <t>0000000026508292</t>
  </si>
  <si>
    <t>0000000026564377</t>
  </si>
  <si>
    <t>0000000027162699</t>
  </si>
  <si>
    <t>0000000027429072</t>
  </si>
  <si>
    <t>0000000029179520</t>
  </si>
  <si>
    <t>0000000030832696</t>
  </si>
  <si>
    <t>0000000031149779</t>
  </si>
  <si>
    <t>0000000031632483</t>
  </si>
  <si>
    <t>0000000032626790</t>
  </si>
  <si>
    <t>0000000027298794</t>
  </si>
  <si>
    <t>0000000028145098</t>
  </si>
  <si>
    <t>0000000028913038</t>
  </si>
  <si>
    <t>0000000029304088</t>
  </si>
  <si>
    <t>0000000029394602</t>
  </si>
  <si>
    <t>0000000030798343</t>
  </si>
  <si>
    <t>0000000031322004</t>
  </si>
  <si>
    <t>0000000032546954</t>
  </si>
  <si>
    <t>0000000033022791</t>
  </si>
  <si>
    <t>0000000034665871</t>
  </si>
  <si>
    <t>0000000034861285</t>
  </si>
  <si>
    <t>0000000022924348</t>
  </si>
  <si>
    <t>0000000026140398</t>
  </si>
  <si>
    <t>0000000027881153</t>
  </si>
  <si>
    <t>0000000027971788</t>
  </si>
  <si>
    <t>0000000029580436</t>
  </si>
  <si>
    <t>0000000015754043</t>
  </si>
  <si>
    <t>0000000015944362</t>
  </si>
  <si>
    <t>0000000017339419</t>
  </si>
  <si>
    <t>0000000018709130</t>
  </si>
  <si>
    <t>0000000018879436</t>
  </si>
  <si>
    <t>0000000016080843</t>
  </si>
  <si>
    <t>0000000016276576</t>
  </si>
  <si>
    <t>0000000017626874</t>
  </si>
  <si>
    <t>0000000012633387</t>
  </si>
  <si>
    <t>0000000015142351</t>
  </si>
  <si>
    <t>0000000019850399</t>
  </si>
  <si>
    <t>0000000022026463</t>
  </si>
  <si>
    <t>0000000022443355</t>
  </si>
  <si>
    <t>0000000022860044</t>
  </si>
  <si>
    <t>0000000022973437</t>
  </si>
  <si>
    <t>0000000023684540</t>
  </si>
  <si>
    <t>0000000024246470</t>
  </si>
  <si>
    <t>0000000024404079</t>
  </si>
  <si>
    <t>0000000024829601</t>
  </si>
  <si>
    <t>0000000026062223</t>
  </si>
  <si>
    <t>0000000024887670</t>
  </si>
  <si>
    <t>0000000033068769</t>
  </si>
  <si>
    <t>0000000032021092</t>
  </si>
  <si>
    <t>0000000009220183</t>
  </si>
  <si>
    <t>0000000009236046</t>
  </si>
  <si>
    <t>0000000011306233</t>
  </si>
  <si>
    <t>0000000012830882</t>
  </si>
  <si>
    <t>0000000015649902</t>
  </si>
  <si>
    <t>0000000008927299</t>
  </si>
  <si>
    <t>0000000009304478</t>
  </si>
  <si>
    <t>0000000014353819</t>
  </si>
  <si>
    <t>0000000022105873</t>
  </si>
  <si>
    <t>0000000022723864</t>
  </si>
  <si>
    <t>0000000027694585</t>
  </si>
  <si>
    <t>0000000028058651</t>
  </si>
  <si>
    <t>0000000031901078</t>
  </si>
  <si>
    <t>0000000016898439</t>
  </si>
  <si>
    <t>0000000017779417</t>
  </si>
  <si>
    <t>0000000024238901</t>
  </si>
  <si>
    <t>30556_Fee_Transport_Rev</t>
  </si>
  <si>
    <t xml:space="preserve">Cm address not found
Need customer documents </t>
  </si>
  <si>
    <t>Customer visit home address meet customer PTP 18</t>
  </si>
  <si>
    <t>ustomer house shifted 
Customer calls not responding // Customer house shifted 
Customer calls not responding</t>
  </si>
  <si>
    <t>Customer house address visit customer house door lock customer mobile responding customer busy now call back 1 hour</t>
  </si>
  <si>
    <t>VAMSI/KDP , 9573098703</t>
  </si>
  <si>
    <t>customer adress not traced by local enquiry no person no him not lifting my phone call.... // customer adress not traced by local enquiry no person no him not lifting my phone call going to alternative adress.... // Alternative adress also not available.... // Feedback : customer not available at given address by local enquiry no person no him not responding my phone call...</t>
  </si>
  <si>
    <t>Cust not available at home respond to call and given ptp on 17th</t>
  </si>
  <si>
    <t>Customer office address visited sir his not available phone call not responding // Customer office address visited sir his  available given payment commitment to day evening</t>
  </si>
  <si>
    <t>Customer refused to pay by 18 th he asking time till month end. Because of his card used his friend.&amp; He death .</t>
  </si>
  <si>
    <t>Met the cust and given ptp on 17th</t>
  </si>
  <si>
    <t>Visited Customer Given Adress Customer Shifted Conform to Owner's Sir</t>
  </si>
  <si>
    <t>Customer brother stab Amount today evening paid me sir</t>
  </si>
  <si>
    <t>Customer not available 
Waiting for location // Customer PTP on today evening</t>
  </si>
  <si>
    <t>Custmor not lived this door no sir phone not respond // isited custmor office address he is not working // Visted custmor gas verfied address but his father go to Hyderabad</t>
  </si>
  <si>
    <t>Custmor ptp   2 // Custmor go to work
Phone not responded</t>
  </si>
  <si>
    <t>I have Visited customer given house address customer not available here Customer vacated this house before 8 months ago customer call answered saying that pls contact to my husband customer husband call not answering 
Customer husband mobile num</t>
  </si>
  <si>
    <t>Remark Customer Phone Not Connect Customer Out Of Station Inform To Customer mother Sir</t>
  </si>
  <si>
    <t>Left msg to cust's family member and cust no respond to calls will update // Left msg to cust's wife and cust no respond to calls will update</t>
  </si>
  <si>
    <t>Customer given House address visited but no one is there this name of person in this entire area customer mobile number not working need alternative address of this customer</t>
  </si>
  <si>
    <t>Customer Office adress visit and Customer prasnet in  out side of office and call Answer ptp on Thursday</t>
  </si>
  <si>
    <t xml:space="preserve">Cm no such person in this area </t>
  </si>
  <si>
    <t>Customer given address visit customer not available not living in address  customer relatives information, call not answer // I met him directly in his house. 
He is asking one month time for one time settlement to pay remaining amount.</t>
  </si>
  <si>
    <t>Feedback customer shifted this address number not working</t>
  </si>
  <si>
    <t>Cm mob not connecting  // Cus house visited but such kind of person was not living here.calls also not responding / Cus new house address traced and visited.but here also not available</t>
  </si>
  <si>
    <t xml:space="preserve"> CUSTOMER NOT STAYING IN GIVEN ADDRESS.RESPONDED TO THE CALL.HE TOLD GOING FOR SETTLEMENT.IF ANY QUERIES PLEASE COME TO MY ADDRESS.AND SENT TO PRESENT ADDRESS LOCATION</t>
  </si>
  <si>
    <t>Cus given address not found and cus is not responding to calls</t>
  </si>
  <si>
    <t>4035620097352005</t>
  </si>
  <si>
    <t>4035621222506002</t>
  </si>
  <si>
    <t>4035621250263005</t>
  </si>
  <si>
    <t>4035622036161000</t>
  </si>
  <si>
    <t>4035627584004007</t>
  </si>
  <si>
    <t>4315810223711007</t>
  </si>
  <si>
    <t>4315812506811017</t>
  </si>
  <si>
    <t>4315812978510006</t>
  </si>
  <si>
    <t>4315813357033008</t>
  </si>
  <si>
    <t>4315813694789015</t>
  </si>
  <si>
    <t>4315813722398003</t>
  </si>
  <si>
    <t>4315814004896003</t>
  </si>
  <si>
    <t>4315814377566001</t>
  </si>
  <si>
    <t>4315814934476009</t>
  </si>
  <si>
    <t>4375512977472011</t>
  </si>
  <si>
    <t>4501721671208012</t>
  </si>
  <si>
    <t>4748468796613006</t>
  </si>
  <si>
    <t>4748469632741001</t>
  </si>
  <si>
    <t>5241932065914014</t>
  </si>
  <si>
    <t>5241933774352009</t>
  </si>
  <si>
    <t>5241934119942009</t>
  </si>
  <si>
    <t>5241935742962017</t>
  </si>
  <si>
    <t>5241935800776002</t>
  </si>
  <si>
    <t>6528680217785004</t>
  </si>
  <si>
    <t>6528690066679018</t>
  </si>
  <si>
    <t>MR RAJASEKHAR REDDY VANKIREDDY</t>
  </si>
  <si>
    <t>MR BULAGONDLA LAVANYA KUMAR</t>
  </si>
  <si>
    <t>MR K ASHOK REDDY</t>
  </si>
  <si>
    <t>MS MOPATI BHAVYA</t>
  </si>
  <si>
    <t>Mr MUDAVATH HAMINA</t>
  </si>
  <si>
    <t>MR. NAGARJUNAS NAGARJUNA</t>
  </si>
  <si>
    <t>MR Kumbha Siva Anjaneyulu</t>
  </si>
  <si>
    <t>MR Dakarapu Satish</t>
  </si>
  <si>
    <t>MR Sollu Laxmi Narayana</t>
  </si>
  <si>
    <t>MR GAJULA VEERRAJU</t>
  </si>
  <si>
    <t>MR SYED RIYAZ</t>
  </si>
  <si>
    <t>MR VelugotlaVenkata Sampath Kumar</t>
  </si>
  <si>
    <t>MS GADDAM SUKANYA</t>
  </si>
  <si>
    <t>MR Pitta Avinash Raju</t>
  </si>
  <si>
    <t>MR. AKUMALLA KASIM VALI</t>
  </si>
  <si>
    <t>Mr ESWARA NARAYANA REDDY NAG</t>
  </si>
  <si>
    <t>MR BOYI REDDY</t>
  </si>
  <si>
    <t>MR KANDAVALLI RAMESH</t>
  </si>
  <si>
    <t>MR. ELIGETI RAMESH</t>
  </si>
  <si>
    <t>MR BANDARI SATISH</t>
  </si>
  <si>
    <t>MR BODIGE SANDEEP</t>
  </si>
  <si>
    <t>MR PUSALA NARAHARI</t>
  </si>
  <si>
    <t>MR VISLAVATH KRUSHNA</t>
  </si>
  <si>
    <t>MR BEEMIREDDY SUDHAKARREDDY</t>
  </si>
  <si>
    <t>MS ITHA SOWMYA</t>
  </si>
  <si>
    <t>9008610959</t>
  </si>
  <si>
    <t>9182824450</t>
  </si>
  <si>
    <t>7893372856</t>
  </si>
  <si>
    <t>7815800237</t>
  </si>
  <si>
    <t>9059366611</t>
  </si>
  <si>
    <t>9951958429</t>
  </si>
  <si>
    <t>9177031242</t>
  </si>
  <si>
    <t>8465023393</t>
  </si>
  <si>
    <t>9182947386</t>
  </si>
  <si>
    <t>8332813119</t>
  </si>
  <si>
    <t>9885487348</t>
  </si>
  <si>
    <t>9538666466</t>
  </si>
  <si>
    <t>9985880992</t>
  </si>
  <si>
    <t>9949340985</t>
  </si>
  <si>
    <t>9989660654</t>
  </si>
  <si>
    <t>9885522366</t>
  </si>
  <si>
    <t>9666350109</t>
  </si>
  <si>
    <t>9493789567</t>
  </si>
  <si>
    <t>9505805565</t>
  </si>
  <si>
    <t>9010941578</t>
  </si>
  <si>
    <t>9652636737</t>
  </si>
  <si>
    <t>9492010030</t>
  </si>
  <si>
    <t>9949661961</t>
  </si>
  <si>
    <t>9573360772</t>
  </si>
  <si>
    <t>9014726487</t>
  </si>
  <si>
    <t>"5-89/1,Gajulamandyam" Perumal Swamy Street Beside Perumal Swamy Temple Gajul "amandyam, Renigunta Gajulamandyam" TIRUPATHI ANP 517520</t>
  </si>
  <si>
    <t>20-940 KURABA STREET  ANANTHAPUR HINDUPUR ANP 515671</t>
  </si>
  <si>
    <t>10-2-211-6 S R NAGAR RAYADURG BHAM BHAM SWAMY TEMPLE ANANTAPUR ANP 515865</t>
  </si>
  <si>
    <t>"9-117/B VIJAYAPURAM,JEEVAKONA ROAD,TIRUPATI," TIRUPATI URBAN   CHITTOOR ANP 517501</t>
  </si>
  <si>
    <t>"H N,3-89 KOCHERU THANDA,MEDAK,MANDALAM," SHAMNAPUR   MEDAK TNG 502115</t>
  </si>
  <si>
    <t>NO 16 35 10/1 SAMBAMURTHY NAGAR  3RD STREET KAKINADA KAKINADA ANP 533001</t>
  </si>
  <si>
    <t>10 Guttikonda Yerukula Colony Guntur NARASAPURAM ANP 522413</t>
  </si>
  <si>
    <t>1-71/1 kothapalli krishna mudinepalli GUDIVADA ANP 521329</t>
  </si>
  <si>
    <t>H NO 3 47 KARIMNAGAR MANDALAM Malkapur  KARIMNAGAR TNG 505451</t>
  </si>
  <si>
    <t>H NO 12 615 GANAPAVARAM GAJULA VARI STREET West Godavari TADEPALLIGUDEM ANP 534198</t>
  </si>
  <si>
    <t>7 432 NARASARAMAIAH ST MOCHAMPETA YSR KA    CUDDAPAH ANP 516001</t>
  </si>
  <si>
    <t>BUILDING.NO.4. NALLA.SATYANARAYANA.ENCLVE .CHALLA.PALLI.ROAD. NEAR PARAM JYOTHI SCHOOL AMALAPURAM ANP 533201</t>
  </si>
  <si>
    <t>8.3.8..subbaramaiah.nagar badvel.munisipality.. Badvel BESIDE UV FASHIONS CUDDAPAH ANP 516227</t>
  </si>
  <si>
    <t>4.189.1 vakalapudi church.peta East Godavari KAKINADA ANP 533005</t>
  </si>
  <si>
    <t>4-7-411 Raghavendra Nagar Near Fire Station Hayathnagar Bus Depot Hayathnagar -Near Fire Station Rangareddy TNG 501505</t>
  </si>
  <si>
    <t>"1/28-2B VIJAYA NAGAR,COLONY"    CUDDAPAH ANP 516003</t>
  </si>
  <si>
    <t>"9-48-14 KUMMARI STREET,MAMATA," "HOSPITAL GANAPATHI,RAO ROAD," VIJAYAWADA URBAN  KRISHNA ANP 520001</t>
  </si>
  <si>
    <t>6-109 SC PETA   KAKINADA ANP 533408</t>
  </si>
  <si>
    <t>"10-62,CHOPPADANDI" KARIMNAGAR  NEAR MAIN ROAD HYDERABAD TNG 505415</t>
  </si>
  <si>
    <t>H NO 73 PADMASHALIWADA CHENNUR   NEAR SHIVALAYAM Adilabad TNG 504201</t>
  </si>
  <si>
    <t>"H-NO,1-10 CHOPPADANDI,MANDALAM,.,.,." - KARIMNAGAR - KARIMNAGAR ANP 505415</t>
  </si>
  <si>
    <t>HNO 4-163 PUSALA THANDASIKONDA MANDALGADKOLE  NEAR WATER TANK NIZAMABAD TNG 503165</t>
  </si>
  <si>
    <t>17-15-TE0010 TEACHERS COLONY NAGARKURNOOL  NEAR BUS STOP WANAPARTHY TNG 509209</t>
  </si>
  <si>
    <t>D.NO 2 /198  1 5 JAYANAGAR COLONY TADIPATRI ANANTHAPUR BESIDE VIJAYALAKSHMI THEATRE ANANTAPUR ANP 515411</t>
  </si>
  <si>
    <t>"HNO 13/485A, L B S NAGAR" CHINTAKUNTA "PRAKASAM, MARKAPUR" NEAR RAMALAYAM TEMPLE NANDYAL ANP 523329</t>
  </si>
  <si>
    <t>SUN PHARMACUTICAL INDUSTRIES LTD SUN PHARMA ROAD TANDALJA BARODA GUJARAT BARODA GUJARAT BARODA GUJ 390012</t>
  </si>
  <si>
    <t>SHQ SOLUTIONS INDIA PVT LTD "8-2-268/R/5, ARORA COLONY RD, SRI NAGAR," "SAGAR SOCIETY 2ND FLOOR, SRI LAKSHMI NA" "SAGAR SOCIETY 2ND FLOOR, SRI LAKSHMI NA" HYDERABAD TNG 500073</t>
  </si>
  <si>
    <t>AP MODEL SCHOOL RAYADURG   ANANTAPUR ANP 515865</t>
  </si>
  <si>
    <t>O2F INFO SOULTIONS Private Lim 6-5-177 Picchireddythopu Picchireddythopu NAIDUPETA ANP 524126</t>
  </si>
  <si>
    <t>Not Applicable H NO 3-89 KOCHERU THANDA MEDAK KOCHERU THANDA MEDAK MEDAK TNG 502115</t>
  </si>
  <si>
    <t>AVINEON INDIA PVT LTD PALECUS RAJ NAGAR D NO 35/4 7 HILLS ROAD ROAD NO 1 ROAD NO 1 KAKINADA ANP 533001</t>
  </si>
  <si>
    <t>UNIEX INTERNATIONAL COURIER "DOOR NO. 59-13-1, POLYCLINIC RD, GAYATRI" "GAYATRI NAGAR ,BENZ CIRCLE" "GAYATRI NAGAR ,BENZ CIRCLE" VIJAYAWADA ANP 520008</t>
  </si>
  <si>
    <t>GRAMA SACHIVALAYAM KOTHAPALLI MUDINEPALLI MANDAL KRISHNA DISTRICT MUDINEPALLI MANDAL KRISHNA DISTRICT GUDIVADA ANP 521329</t>
  </si>
  <si>
    <t>TSRTC KARIMNAGAR TSRTC WORKSHOP REKURTHI ROAD KARIMNAGAR REKURTHI ROAD KARIMNAGAR KARIMNAGAR TNG 505451</t>
  </si>
  <si>
    <t>VARALAKSHMI SHO MART UNDI ROAD GANAPAVARAM OPP PADMA PRIYA HOTEL GANAPAVARAM OPP PADMA PRIYA HOTEL GANAPAVARAM TADEPALLIGUDEM ANP 534198</t>
  </si>
  <si>
    <t>COGNIZANT TECH SOLU IND PVT LTD 7 432 Narsaramiah street Narsaramiah street CUDDAPAH ANP 516001</t>
  </si>
  <si>
    <t>HCL.TECHNOLOGIES.LIMITED PHEONIX.INFOCITY HITECH.CITY.. HITECH.CITY.. HYDERABAD TNG 500082</t>
  </si>
  <si>
    <t>KGBV.SCHOOL KGBV.SCHOOL B.MATTAM. B.MATTAM. CUDDAPAH ANP 516503</t>
  </si>
  <si>
    <t>HUE.DIGI.SOLUTIONS.PVT.LTD DNO.4.189.1..2ND.FLOOR 3RD.APSP.CHURCH.BACK.SIDE..CHURCH.PETA.S 3RD.APSP.CHURCH.BACK.SIDE..CHURCH.PETA.S KAKINADA ANP 533005</t>
  </si>
  <si>
    <t>PINNACLE INFOTECH SOLUTIONS PINNACLE INFOTECH SOLUTIONS S S B SARANI BIDHANNAGAR DIST-BURDWAN BIDHANNAGAR DIST-BURDWAN DURGAPUR WBL 713212</t>
  </si>
  <si>
    <t>Not Applicable 44/26-8-2-3 VIJAYANAGAR COLONY VIJAYANAGAR COLONY CUDDAPAH ANP 516003</t>
  </si>
  <si>
    <t>Boyi Girish reddy Vijayawada Vijayawada Vijayawada VIJAYAWADA ANP 520001</t>
  </si>
  <si>
    <t>GOVERNMENT OF ANDHRAPRADESH GRAMA SACHIVALAYAM A KOTHAPALLI THONDANGI MANDAL EAST GODAVARI THONDANGI MANDAL EAST GODAVARI KAKINADA ANP 533408</t>
  </si>
  <si>
    <t>OTHERS GOVERNMENT KARIMNAGAR RAJOLAPALLY VI GOAAPALLY MDL RAJOLAPALLY VI GOAAPALLY MDL HYDERABAD TNG 505415</t>
  </si>
  <si>
    <t>GOVT OT TELANGANA EDUCATION DEPARTMENT M P P S OTHUKULAPALLY   Adilabad TNG 504201</t>
  </si>
  <si>
    <t>AXIS BANK LIMITED 16-11-741/B/B PART 283 MOOSARAMBAGH DILSUKHNAGAR DILSUKHNAGAR Rangareddy TNG 500060</t>
  </si>
  <si>
    <t>GOVERNMENT EDUCATIONAL DEPARTMENT GOVT OF TELANGANA GADKOL MANDAL MANDAL ADILABAD TNG 504308</t>
  </si>
  <si>
    <t>STATE BANK OF INDIA FIRST FLOOR BUILDING 1 NAGARKURNOOL   WANAPARTHY TNG 509209</t>
  </si>
  <si>
    <t>GOVERNMENT OF ANDHRAPRADESH CHAPPIDI VENGANNAPALLI PUTLUR VENGANNAPALLI PUTLUR ANANTAPUR ANP 515414</t>
  </si>
  <si>
    <t>CAPGEMINI TECHNOLOGY SERVICES INDIA LIMI "IT PARK, 1,115/32 AND 35," "NANAKRAMGUDA, GACHIBOWLI" "NANAKRAMGUDA, GACHIBOWLI" HYDERABAD TNG 500032</t>
  </si>
  <si>
    <t>GHATKESAR</t>
  </si>
  <si>
    <t>14TH JULY</t>
  </si>
  <si>
    <t>0000000019566574</t>
  </si>
  <si>
    <t>0000000026461481</t>
  </si>
  <si>
    <t>0000000026614177</t>
  </si>
  <si>
    <t>0000000034044604</t>
  </si>
  <si>
    <t>0000000029361931</t>
  </si>
  <si>
    <t>0000000014126158</t>
  </si>
  <si>
    <t>0000000021018160</t>
  </si>
  <si>
    <t>0000000022427212</t>
  </si>
  <si>
    <t>0000000024047324</t>
  </si>
  <si>
    <t>0000000025098402</t>
  </si>
  <si>
    <t>0000000025206149</t>
  </si>
  <si>
    <t>0000000026387201</t>
  </si>
  <si>
    <t>0000000027666682</t>
  </si>
  <si>
    <t>0000000030015515</t>
  </si>
  <si>
    <t>0000000009655505</t>
  </si>
  <si>
    <t>0000000029822952</t>
  </si>
  <si>
    <t>0000000025443764</t>
  </si>
  <si>
    <t>0000000028839900</t>
  </si>
  <si>
    <t>0000000009397478</t>
  </si>
  <si>
    <t>0000000013097632</t>
  </si>
  <si>
    <t>0000000012220117</t>
  </si>
  <si>
    <t>0000000026520103</t>
  </si>
  <si>
    <t>0000000030721464</t>
  </si>
  <si>
    <t>0000000028073543</t>
  </si>
  <si>
    <t>0000000031238434</t>
  </si>
  <si>
    <t>4035620585120005</t>
  </si>
  <si>
    <t>4073520273102005</t>
  </si>
  <si>
    <t>4073520296190003</t>
  </si>
  <si>
    <t>4073520361776009</t>
  </si>
  <si>
    <t>4073520389136004</t>
  </si>
  <si>
    <t>4375518366697001</t>
  </si>
  <si>
    <t>4375518621220003</t>
  </si>
  <si>
    <t>4748460931314004</t>
  </si>
  <si>
    <t>4748461040835004</t>
  </si>
  <si>
    <t>4748461083187016</t>
  </si>
  <si>
    <t>4748461153472009</t>
  </si>
  <si>
    <t>4748461210715002</t>
  </si>
  <si>
    <t>4748461255270004</t>
  </si>
  <si>
    <t>4748461268971002</t>
  </si>
  <si>
    <t>4748461427159002</t>
  </si>
  <si>
    <t>4748461452528006</t>
  </si>
  <si>
    <t>4748461483354000</t>
  </si>
  <si>
    <t>4748461502042008</t>
  </si>
  <si>
    <t>4748464710891026</t>
  </si>
  <si>
    <t>4748464715248008</t>
  </si>
  <si>
    <t>4748464715752009</t>
  </si>
  <si>
    <t>4748464716150005</t>
  </si>
  <si>
    <t>4748464718273011</t>
  </si>
  <si>
    <t>4748464724745002</t>
  </si>
  <si>
    <t>4748464726574004</t>
  </si>
  <si>
    <t>4748464726608000</t>
  </si>
  <si>
    <t>4748464730474001</t>
  </si>
  <si>
    <t>4748464730632004</t>
  </si>
  <si>
    <t>4748464732388001</t>
  </si>
  <si>
    <t>4748464733083015</t>
  </si>
  <si>
    <t>4748464735251008</t>
  </si>
  <si>
    <t>4748464736599009</t>
  </si>
  <si>
    <t>4748464737418001</t>
  </si>
  <si>
    <t>4748464737972007</t>
  </si>
  <si>
    <t>4748464738006003</t>
  </si>
  <si>
    <t>4748464740173007</t>
  </si>
  <si>
    <t>4748464740381006</t>
  </si>
  <si>
    <t>4748464740382004</t>
  </si>
  <si>
    <t>4748464740942013</t>
  </si>
  <si>
    <t>4748464745112000</t>
  </si>
  <si>
    <t>4748464746546008</t>
  </si>
  <si>
    <t>4748464746832002</t>
  </si>
  <si>
    <t>4748464747319009</t>
  </si>
  <si>
    <t>4748464748051007</t>
  </si>
  <si>
    <t>4748464748959001</t>
  </si>
  <si>
    <t>4748464749793003</t>
  </si>
  <si>
    <t>4748464752491008</t>
  </si>
  <si>
    <t>4748469635087006</t>
  </si>
  <si>
    <t>5241935702541025</t>
  </si>
  <si>
    <t>5241935702741013</t>
  </si>
  <si>
    <t>5241935707136003</t>
  </si>
  <si>
    <t>5241935710765004</t>
  </si>
  <si>
    <t>5241935713493000</t>
  </si>
  <si>
    <t>5241935721113004</t>
  </si>
  <si>
    <t>5241935730183006</t>
  </si>
  <si>
    <t>5241935730333007</t>
  </si>
  <si>
    <t>5241935738987002</t>
  </si>
  <si>
    <t>5241935760986005</t>
  </si>
  <si>
    <t>5241935763039000</t>
  </si>
  <si>
    <t>5241935765482000</t>
  </si>
  <si>
    <t>5241935784584000</t>
  </si>
  <si>
    <t>5241935788511009</t>
  </si>
  <si>
    <t>5241935803827000</t>
  </si>
  <si>
    <t>5241935810086004</t>
  </si>
  <si>
    <t>6528690030605008</t>
  </si>
  <si>
    <t>6528690032443002</t>
  </si>
  <si>
    <t>6528690034556009</t>
  </si>
  <si>
    <t>6528690061833008</t>
  </si>
  <si>
    <t>6528690095035000</t>
  </si>
  <si>
    <t>6528690097568008</t>
  </si>
  <si>
    <t>6528690175120003</t>
  </si>
  <si>
    <t>MR KALYANKAR RAVIKUMAR</t>
  </si>
  <si>
    <t>MR CHALLA CHAKRADHAR</t>
  </si>
  <si>
    <t>MR BUDDI MAHESH</t>
  </si>
  <si>
    <t>MR SAVARAPU RAVI KUMAR</t>
  </si>
  <si>
    <t>MR GOLLA CHINNA RAYUDU</t>
  </si>
  <si>
    <t>MR J SUNITHA</t>
  </si>
  <si>
    <t>MR AEKU SURESH KUMAR</t>
  </si>
  <si>
    <t>MR MUDIYALA SAMPATH REDDY</t>
  </si>
  <si>
    <t>MR GOLLENA CHANDU</t>
  </si>
  <si>
    <t>MR SHAIK SAMEEMULLA</t>
  </si>
  <si>
    <t>MR PRODDUTURI DINESH KUMAR</t>
  </si>
  <si>
    <t>MR DEVANABOYINA MALLAIAH</t>
  </si>
  <si>
    <t>MR PALLAPOTHU BALA SUBRAMANYAM</t>
  </si>
  <si>
    <t>MR PENDAM SHIVA TEJA</t>
  </si>
  <si>
    <t>MR AKULA NAVEEN KUMAR</t>
  </si>
  <si>
    <t>MR BANAGANI NARAYANA</t>
  </si>
  <si>
    <t>MR KATURI JAGADEESH BABU</t>
  </si>
  <si>
    <t>MR THALLA SAMPATH</t>
  </si>
  <si>
    <t>MS GUNDA DIVYA</t>
  </si>
  <si>
    <t>MR UMMAREDDY NARESH</t>
  </si>
  <si>
    <t>MR SOPPARI NAVEEN</t>
  </si>
  <si>
    <t>MR VASIKARLA ADITHYA</t>
  </si>
  <si>
    <t>MR THALLAPALLI RAKSHITH</t>
  </si>
  <si>
    <t>MR YADLAPALLI SURENDRA</t>
  </si>
  <si>
    <t>MR MEDI SANTHOSH</t>
  </si>
  <si>
    <t>MR BOLLAM VAMSHI</t>
  </si>
  <si>
    <t>MR BIKKANOORI MALLESHAM</t>
  </si>
  <si>
    <t>MS MARINGANTI NIKITHA</t>
  </si>
  <si>
    <t>MR CHINTHA SAI RAJU</t>
  </si>
  <si>
    <t>MR MEDANKI CHANDRASEKHAR</t>
  </si>
  <si>
    <t>MR PAMARTHI ANIL</t>
  </si>
  <si>
    <t>MR BADINENI VINAY KUMAR</t>
  </si>
  <si>
    <t>MR VENNA SANDEEP</t>
  </si>
  <si>
    <t>MR SHAIK ARIF PASHA</t>
  </si>
  <si>
    <t>MR MALLE MALLIKARJUNA RAO</t>
  </si>
  <si>
    <t>MR KATHIMANDA SRIKIRAN</t>
  </si>
  <si>
    <t>MR NAGARAJU GARI RUDRAMUNI</t>
  </si>
  <si>
    <t>MR SHAIK HAMDI</t>
  </si>
  <si>
    <t>MR VASAMSETTI RAMA PRASAD</t>
  </si>
  <si>
    <t>MR KANAGANTI UDAY KIRAN</t>
  </si>
  <si>
    <t>MR KARRI SRINIVAS</t>
  </si>
  <si>
    <t>MR BATTHULA RAVITEJA</t>
  </si>
  <si>
    <t>MR KATTHULA RAJKUMAR</t>
  </si>
  <si>
    <t>MR RUPANI SRIKANTH</t>
  </si>
  <si>
    <t>MR MACHAVARAPU VINAY KUMAR</t>
  </si>
  <si>
    <t>MS PANDLA LAKSHMI MOHINI</t>
  </si>
  <si>
    <t>MR N KOTHAPALLI</t>
  </si>
  <si>
    <t>MR S ARUNKUMARREDDY</t>
  </si>
  <si>
    <t>MR KAMBHAM GOVARDHAN REDDY</t>
  </si>
  <si>
    <t>MR BACHU PEDDA BABU REDDY</t>
  </si>
  <si>
    <t>MR GARULE VISHAL</t>
  </si>
  <si>
    <t>MR MANGALI GANESH</t>
  </si>
  <si>
    <t>MR VARIKUTI VENKAT PAWAN</t>
  </si>
  <si>
    <t>MR SALAPALA JANARDHANAREDDY</t>
  </si>
  <si>
    <t>MR PANUGANTI LAKSHMANARAO</t>
  </si>
  <si>
    <t>MR ADIPELLI SRIKANTH</t>
  </si>
  <si>
    <t>MS POTHURAJU BALA SARASWATHI</t>
  </si>
  <si>
    <t>MR ASWAPURI JAYARAGHAVA</t>
  </si>
  <si>
    <t>MR MALIGELA SANGEETHA RAO</t>
  </si>
  <si>
    <t>MR TIRUMALARAJU VARMA</t>
  </si>
  <si>
    <t>MS VANITHA UIKKE</t>
  </si>
  <si>
    <t>MR SIVA INDLA</t>
  </si>
  <si>
    <t>MS CHELLURI AMBICA</t>
  </si>
  <si>
    <t>MR PULLA VARUN CHANDRA</t>
  </si>
  <si>
    <t>MR KASTURI SIVA SANKAR</t>
  </si>
  <si>
    <t>MR. SYED GHOUSE BASHA</t>
  </si>
  <si>
    <t>MR Thanda Sanjay Goud</t>
  </si>
  <si>
    <t>MS GODUMALA DIVYA</t>
  </si>
  <si>
    <t>MR SINGAMSETTI KUMAR</t>
  </si>
  <si>
    <t>9550885609</t>
  </si>
  <si>
    <t>9100584536</t>
  </si>
  <si>
    <t>9010391329</t>
  </si>
  <si>
    <t>7036931785</t>
  </si>
  <si>
    <t>9676009168</t>
  </si>
  <si>
    <t>9966733748</t>
  </si>
  <si>
    <t>7675830353</t>
  </si>
  <si>
    <t>8686863918</t>
  </si>
  <si>
    <t>9966696716</t>
  </si>
  <si>
    <t>8074355934</t>
  </si>
  <si>
    <t>7893613628</t>
  </si>
  <si>
    <t>9890489476</t>
  </si>
  <si>
    <t>7386802332</t>
  </si>
  <si>
    <t>9182393519</t>
  </si>
  <si>
    <t>9100686226</t>
  </si>
  <si>
    <t>9603227327</t>
  </si>
  <si>
    <t>9490593224</t>
  </si>
  <si>
    <t>9701956464</t>
  </si>
  <si>
    <t>9640510705</t>
  </si>
  <si>
    <t>9059277536</t>
  </si>
  <si>
    <t>9848120698</t>
  </si>
  <si>
    <t>7075797191</t>
  </si>
  <si>
    <t>8341875479</t>
  </si>
  <si>
    <t>8555066945</t>
  </si>
  <si>
    <t>9390281377</t>
  </si>
  <si>
    <t>9052526283</t>
  </si>
  <si>
    <t>8179490422</t>
  </si>
  <si>
    <t>9010101132</t>
  </si>
  <si>
    <t>8499878067</t>
  </si>
  <si>
    <t>9642684934</t>
  </si>
  <si>
    <t>7675026147</t>
  </si>
  <si>
    <t>7730900711</t>
  </si>
  <si>
    <t>8074927343</t>
  </si>
  <si>
    <t>9700154772</t>
  </si>
  <si>
    <t>9494623744</t>
  </si>
  <si>
    <t>8790219641</t>
  </si>
  <si>
    <t>9490028600</t>
  </si>
  <si>
    <t>7702593763</t>
  </si>
  <si>
    <t>9493117518</t>
  </si>
  <si>
    <t>9989888278</t>
  </si>
  <si>
    <t>9392952178</t>
  </si>
  <si>
    <t>8639199073</t>
  </si>
  <si>
    <t>8106231052</t>
  </si>
  <si>
    <t>9014467207</t>
  </si>
  <si>
    <t>9700016900</t>
  </si>
  <si>
    <t>7989313075</t>
  </si>
  <si>
    <t>9704474493</t>
  </si>
  <si>
    <t>9676665602</t>
  </si>
  <si>
    <t>9945805435</t>
  </si>
  <si>
    <t>8799604336</t>
  </si>
  <si>
    <t>9949040160</t>
  </si>
  <si>
    <t>9182515975</t>
  </si>
  <si>
    <t>8142363715</t>
  </si>
  <si>
    <t>6303242124</t>
  </si>
  <si>
    <t>8374627706</t>
  </si>
  <si>
    <t>8179567848</t>
  </si>
  <si>
    <t>9391278273</t>
  </si>
  <si>
    <t>9866288345</t>
  </si>
  <si>
    <t>9502925571</t>
  </si>
  <si>
    <t>9985231451</t>
  </si>
  <si>
    <t>9346111119</t>
  </si>
  <si>
    <t>9492328010</t>
  </si>
  <si>
    <t>9061877635</t>
  </si>
  <si>
    <t>9392662366</t>
  </si>
  <si>
    <t>9160098500</t>
  </si>
  <si>
    <t>9885110143</t>
  </si>
  <si>
    <t>9849500720</t>
  </si>
  <si>
    <t>9573989053</t>
  </si>
  <si>
    <t>8142646359</t>
  </si>
  <si>
    <t>9398001560</t>
  </si>
  <si>
    <t>"4 72,KURVAGADDA PALLY,ALWANPALLE GANGAPU" "R, MAHABUBNAGAR,JADCHERLA"  NEAR T SHIRT AHOP JEDCHERLA TNG 509301</t>
  </si>
  <si>
    <t>4 121 GANGAMMA TEMPLE STREET GOLLAPUDI  VIJAYAWADA ANP 521225</t>
  </si>
  <si>
    <t>HNO 7-13 KODIMIAL MANDAL POCHAMMA VEEDHI KARIMNAGAR KARIMNAGAR TNG 505501</t>
  </si>
  <si>
    <t>6-44/2 KHAMMAM VENKATA SUDHA NAGAR WARANGAL CROSS ROAD KHAMMAM TNG 507003</t>
  </si>
  <si>
    <t>6-2-651/A HUSSAINIPURA  KARIMNAGAR ADILABAD TNG 505001</t>
  </si>
  <si>
    <t>"4-92,," Indira colony Siripalli "Ainavilli , Mukteswaram" EAST GODAVARI ANP 533211</t>
  </si>
  <si>
    <t>S O GOLLA KOMALA KURUMURTHY 42 174 1 VENGAL RAO COLONY WARD 21 NR RDO OFFICE BHARATH PETROL BUNK P S WANAPARTHY ANP 509103</t>
  </si>
  <si>
    <t>1-114A AUTONAGAR ROAD PARAMAIAH KUNTA   BESIDE KALIKAMMA TEMPLE GUNTUR GUNTUR ANP 522001</t>
  </si>
  <si>
    <t>SHARADHA RESIDENCY SHANTINAGAR SPENCERS LINE "ADALATH , HANAMKONDA" WARANGAL TNG 506001</t>
  </si>
  <si>
    <t>3-499/2/2 NTR COLONY  GUNTUR GUNTUR ANP 522509</t>
  </si>
  <si>
    <t>H NO 1-63 HASANPARTHY MANDAL  WARANGAL WARANGAL TNG 506015</t>
  </si>
  <si>
    <t>"3-42,RAVELA,RAVELA" RAVELA  NEAR SUPER MARKET GUNTUR ANP 522018</t>
  </si>
  <si>
    <t>HI 11-1-1945/B/303 BHARGAVI RESIDENCY GANGASTHAN PHASE-1 MUBARAK NAGAR  NIZAMABAD NIZAMABAD TNG 503003</t>
  </si>
  <si>
    <t>"H NO 3-2-89, BESTHA BAJAR PATHA BAJAR" MAHABUBABAD WARANGAL DISTRICT NERA SHIVALAYAM TEMPLE BHEEMARAM TNG 506101</t>
  </si>
  <si>
    <t>10-123/1 AZAD ROAD  KHAMMAM KHAMMAM TNG 507203</t>
  </si>
  <si>
    <t>11-25-119/1 KOTHAWADA  WARANGAL WARANGAL TNG 506002</t>
  </si>
  <si>
    <t>HNO 6-237/A GUDIPADU ROAD AYYAGARPETA SATHUPALLE KHAMMAM ANDHARA PRADESH NEAR GOVT HIGH SCHOOL KHAMMAM TNG 507303</t>
  </si>
  <si>
    <t>D NO 112 RENUKA GATED COMMUNITY JNTU ANANTHAPUR NEAR BY THINMAYA NAGAR ANANTAPUR ANP 515722</t>
  </si>
  <si>
    <t>2-345 KARANAM GARI STREET KARANAM GARI STREET KRISHNA MACHILIPATNAM ANP 521165</t>
  </si>
  <si>
    <t>3-14-697/A HANUMAN NAGAR HANAMKONDA NEAR HANUMAN TEMPLE WARANGAL TNG 506001</t>
  </si>
  <si>
    <t>2-9-149/1/A VIKAS NAGAR HANAMKONDA WARANGAL NEAR VIKAS SCHOOL WARANGAL TNG 506001</t>
  </si>
  <si>
    <t>1-79 ANKUSAPOOR ANKUSAPOOR KARIMNAGAR HYDERABAD TNG 505405</t>
  </si>
  <si>
    <t>12-171 BHUPALPALLY SUBHASH COLONY WARANGAL WARANGAL TNG 506169</t>
  </si>
  <si>
    <t>4-7-239 KHAMMAM URBAN PRAKASH NAGAR KHAMMAM KHAMMAM TNG 507003</t>
  </si>
  <si>
    <t>4-5-23/3 JANGAON CHAMAN WARANGAL WARANGAL TNG 506167</t>
  </si>
  <si>
    <t>INDIRA COLONY INDIRA COLONY  2-28 ELURU ANP 534426</t>
  </si>
  <si>
    <t>1-34/1 CHENNARAO PETA MANDAL PAPAIAHPET VILLAGE WARANGAL WARANGAL TNG 506332</t>
  </si>
  <si>
    <t>H NO 9-82 MANAKONDUR MANDAL  KARIMNAGAR KARIMNAGAR TNG 505505</t>
  </si>
  <si>
    <t>H NO 2-15/1 THOGUTA MANDAL  MEDAK MEDAK TNG 502278</t>
  </si>
  <si>
    <t>4-20 GOLLAWADA  SEETHARAMANJANEYA SWAMY TEMPLE KARIMNAGAR TNG 505528</t>
  </si>
  <si>
    <t>11-17-27 KASHIBUGGA KASHIBUGGA WARANGAL WARANGAL TNG 506002</t>
  </si>
  <si>
    <t>2-113 KOTHA PALLI KOTHA PALLI KRISHNA MACHILIPATNAM ANP 521133</t>
  </si>
  <si>
    <t>1 40 CHINTHAPALLE POST KURAVI CHINTHAPALLE WARANGAL CHINTHAPALLE POST KURAVI WARANGAL TNG 506105</t>
  </si>
  <si>
    <t>H NO 3-161 METPALLY MANDAL ARAPET KARIMNAGAR KARIMNAGAR TNG 505325</t>
  </si>
  <si>
    <t>H.NO. 2-98/9-B-1 GHANPUR STATION VIDYANAGAR COLONY WARANGAL WARANGAL TNG 506143</t>
  </si>
  <si>
    <t>12-9 MARUTHY NAGAR   ELURU ANP 534460</t>
  </si>
  <si>
    <t>H.NO. 263 BC COLONY BC COLONY  NELLORE ANP 524201</t>
  </si>
  <si>
    <t>8-154 SANTHI NAGAR SAKHINETIPALLI  AMALAPURAM ANP 533251</t>
  </si>
  <si>
    <t>11-88 PHALARAM   HINDUPUR ANP 515271</t>
  </si>
  <si>
    <t>1-2-12 SAMARLAKOTA MANDALAM PENSION LINE  KAKINADA ANP 533440</t>
  </si>
  <si>
    <t>HNO 4-8-142 "MADAPURAM ROAD, PITHAPURAM VILLAGE" "PITHAPURAM, MANDAL" NEAR SATYA THEATRE KAKINADA ANP 533450</t>
  </si>
  <si>
    <t>TRIPURARAM MANDALAM LAKSHMI PURAM   NALGONDA TNG 508278</t>
  </si>
  <si>
    <t>3-35 CHIRRAYANAM CHIRRAYANAM  AMALAPURAM ANP 533212</t>
  </si>
  <si>
    <t>5-141 SURYARAOPALEM INDIRA COLONY UNDRAJAVARAM MANDALAM West Godavari ANP 534156</t>
  </si>
  <si>
    <t>4-44/3 SANGEM KUNTAPALLY  WARANGAL TNG 506330</t>
  </si>
  <si>
    <t>1-1-475/6 SURYAPET NEHRU NAGAR  SURYAPET TNG 508213</t>
  </si>
  <si>
    <t>15-4-225 ISREAL PET 2ND LINE   GUNTUR ANP 522001</t>
  </si>
  <si>
    <t>4-33 S.T COLONY   ELURU ANP 534460</t>
  </si>
  <si>
    <t>"D.NO 12-124, NEAR Y-JUNCTION" PERURUPETA AMALAPURAM MANDAL BESIDE KANAKADURGA TEMPLE AMALAPURAM ANP 533218</t>
  </si>
  <si>
    <t>7 440 GUMMAIAHGARIPALLI VIL AND POGORANTLA MANDAL  GORANTLA HINDUPUR ANP 515231</t>
  </si>
  <si>
    <t>1/78MOILLACHERUVUMOILLACHERUVU CUDDAPAH  NR GOVT SCHOOL PRODDATUR ANP 516321</t>
  </si>
  <si>
    <t>"1-40,CHOUTAPALLE KADAPA,.," CUDDAPAH  MAIN ROAD PRODDATUR ANP 516360</t>
  </si>
  <si>
    <t>"1-7, ANJI INDRAVELLI, ADILABAD" "NEAR TEMPLE, ADILABAD, TELANGANA" TELANGANA NEAR TEMPLE ADILABAD TNG 504346</t>
  </si>
  <si>
    <t>"DOOR NO 45,K NARASAPURAM" PEDDA PAPPURU ANANTAPUR NEAR RAMALAYAM ANANTAPUR ANP 515408</t>
  </si>
  <si>
    <t>"11, MYSOORIVARIPALLI" SURAPURAJUPALLI KODUR NEAR WATER TANK CUDDAPAH ANP 516101</t>
  </si>
  <si>
    <t>1-81 NARAYANAPURAM SITARAMARAJU NAGAR  MAIN ROAD ANAPARTHI ANP 515004</t>
  </si>
  <si>
    <t>HSNO 3-39 BANJARA COLONY DAMMAPETA  MAIN ROAD KHAMMAM TNG 507306</t>
  </si>
  <si>
    <t>0-05 MANDAL TALAMADUGU DORLI  ADILABAD TNG 504312</t>
  </si>
  <si>
    <t>D NO 5/90 NANDALUR CHUDDAPAH NANDALUR CUDDAPAH ANP 516150</t>
  </si>
  <si>
    <t>13-1-525-182 LECTURERS COLONEY  NEAR .MAIN ROAD ANAPARTHI ANP 515001</t>
  </si>
  <si>
    <t>C/O A SUJATA REDDEPPA REDDY NAIDU COLONY MARPURI KRISHNA MURTHY STREET MADANAPET  MAIN ROAD MADANAPALLE ANP 517325</t>
  </si>
  <si>
    <t>"2-273/1, GAYATRI NAGAR" KONGODU GOLLAPALEM KARAPA NEAR GAYATRI NAGAR KAKINADA ANP 533468</t>
  </si>
  <si>
    <t>DASNAPUR H NO.11-25/7 ADILABAD NEAR DASNAPUR ADILABAD TNG 504001</t>
  </si>
  <si>
    <t>787 "SRINAGAR 7/4 GUNTUR,"  Guntur GTR ANP 522002</t>
  </si>
  <si>
    <t>"DNO 23B-8-70, EEDAVARI STREET, RR PETA" "ELURU, WEST GODAVARI"  BESIDE SHOPPING MALLS ELURU ANP 534002</t>
  </si>
  <si>
    <t>25-6-8 KAZIPET VIDYA NAGAR KAZIPET WARANGAL TNG 506003</t>
  </si>
  <si>
    <t>10/682 PAGADALAPALLY  RLY KODUR CUDDAPAH ANP 516101</t>
  </si>
  <si>
    <t>1/26-4-a vijaya nagar colony CUDAPPAH CHEMMUMIAPET KADAPA gopal driving school CUDDAPAH ANP 516003</t>
  </si>
  <si>
    <t>H No 2 2 Hasanparthi Mandal Siddhapoor Warangal WARANGAL TNG 506006</t>
  </si>
  <si>
    <t>H.No.7.115 VILLAGE.VELLANKI HANUMAN.NAGAR Mandal ramannapet NALGONDA TNG 508113</t>
  </si>
  <si>
    <t>12-91/2 "CHALLAVARI PALEM,.,,ANKIREDDIPALEM RURAL"  "Dndl Smart City , Nallapdu Village Guntur MuGuntur" GTR ANP 522005</t>
  </si>
  <si>
    <t>VISION R PHOTOGRAPHY RNGRAO THOTA   JEDCHERLA TNG 509301</t>
  </si>
  <si>
    <t>B NET 4 121 GANGANAMMA TEMPLE STREET GOLLAPUDI GANGANAMMA TEMPLE STREET GOLLAPUDI VIJAYAWADA ANP 521225</t>
  </si>
  <si>
    <t>IIFL FINANCE LIMITED "H.NO 3/1/871,HIMABINDU COMPLEX, CVRN ROA" KARIMNAGAR KARIMNAGAR ADILABAD TNG 505001</t>
  </si>
  <si>
    <t>MUTHOOT FINCORP LTD GANDHICHOWK   KHAMMAM TNG 507003</t>
  </si>
  <si>
    <t>TEAMLEASE SERVICES LTD "8/5,403/3" RAGHAVENDRA NAGAR RAGHAVENDRA NAGAR ADILABAD TNG 505001</t>
  </si>
  <si>
    <t>UBIC EXPORTS PVT LTD BOSCH HEMA PLAZA PEDDA WALTAIR   VISHAKAPATNAM ANP 530017</t>
  </si>
  <si>
    <t>GOVERNENT OF TELANGANA GOVT DEGREE COLLEGE FOR WOMEN NANDHI HILLS WANAPARTHY HILLS WANAPARTHY WANAPARTHY ANP 509103</t>
  </si>
  <si>
    <t>INDIAN BANK ZONAL OFFICE SECOND FLOOR J K B COLLEGE ROAD ROAD GUNTUR ANP 522006</t>
  </si>
  <si>
    <t>GOVT OF TELANGANA NEHRU CENTER MAHABUBABAD MAHABUBABAD BHEEMARAM TNG 506101</t>
  </si>
  <si>
    <t>DCB BANK LTD 422 RAILWAY STATION ROAD NEAR GRAMA SACHIVALAYAM NEAR GRAMA SACHIVALAYAM GUNTUR ANP 522005</t>
  </si>
  <si>
    <t>MUTHOOT FINCORP LTD PARKAL   WARANGAL TNG 506164</t>
  </si>
  <si>
    <t>WIPRO LIMITED ALSO WIPRO TECHNOLOGIES A SEZ UNIT 1 AND 2 DIVYA SREE WHITE FIELD DIVYA SREE WHITE FIELD BANGALORE KAR 560037</t>
  </si>
  <si>
    <t>UNION BANK "UNION BANK OF INDIA,DWARAKANAGAR" "HYDERABAD ROAD,NIZAMABAD" "HYDERABAD ROAD,NIZAMABAD" NIZAMABAD TNG 503001</t>
  </si>
  <si>
    <t>GOVT OF TELANGANA REVENUE DEPARTMENT Z P P S JAMANDLAPALLY MAHABUBABAD MAHABUBABAD BHEEMARAM TNG 506101</t>
  </si>
  <si>
    <t>TATA CONSULTANCY SERVICES LIMITED "BLOCKS SDB1  SDB2, SY. NO. 255PART IBR" "IBRAHIPATNAM MANDAL,ADIBATLA" "IBRAHIPATNAM MANDAL,ADIBATLA" RANGAREDDY TNG 501510</t>
  </si>
  <si>
    <t>PROMANTRA SYNERGY SOLUTIONS LTD NO 6-3-698/A  PAVANI PLAZA  2ND FLOOR PA NJAGUTTA  HYDERABAD OPPOSITE TO JOYALLUK NJAGUTTA  HYDERABAD OPPOSITE TO JOYALLUK HYDERABAD TNG 500082</t>
  </si>
  <si>
    <t>QUESS CORP LIMITED 3/3/2 AMBLIPURA BELLANDUR GATE SARJAPUR RD BANGALORE GATE SARJAPUR RD BANGALORE BANGALORE KAR 560103</t>
  </si>
  <si>
    <t>MPUP SCHOOL RAPTHADU MANDAL GUNTAKAL ANANTHAPUR GUNTAKAL ANANTHAPUR ANANTAPUR ANP 515722</t>
  </si>
  <si>
    <t>WIPRO LIMITED ALSO WIPRO TECHNOLOGIES A "SY NO 203,115/1,ISB ROAD,FINANCIAL DISTR" "ICT,GACHIBOWLI,NANAKARAMGUDA" "ICT,GACHIBOWLI,NANAKARAMGUDA" HYDERABAD TNG 500032</t>
  </si>
  <si>
    <t>BANDHAN BANK LIMITED 11-23-1413 GROUND FLOOR POCHAMMAIDAN WARANGAL POCHAMMAIDAN WARANGAL WARANGAL TNG 506002</t>
  </si>
  <si>
    <t>HDB FINANCIAL SERVICES LIMITED 1-8-605/1 2ND FLOOR NAKKALAGUTTA HANAMKONDA NAKKALAGUTTA HANAMKONDA WARANGAL TNG 506001</t>
  </si>
  <si>
    <t>ZPHS THANGALLAPALLY THANGALLAPALLY THANGALLAPALLY HYDERABAD TNG 505405</t>
  </si>
  <si>
    <t>RELIANCE SMSL LIMITED LASHKAR SINGARAM NAYEEM NAGAR NAYEEM NAGAR WARANGAL TNG 506009</t>
  </si>
  <si>
    <t>RELIANCE SMSL LIMITED 11-91 NST ROAD KHAMMAM KHAMMAM KHAMMAM TNG 507002</t>
  </si>
  <si>
    <t>TATA CONSULTANCY SERVICES LIMITED PLOT NO 1 TECHNO ENCLAVE HITECH CITY MADHAPUR UNITS LAYOUT HITECH CITY MADHAPUR UNITS LAYOUT HYDERABAD TNG 500081</t>
  </si>
  <si>
    <t>RELIANCE SMSL LIMITED 3RD FLOOR ELURU PATHAPADA RD ELURU ELURU ELURU ANP 534002</t>
  </si>
  <si>
    <t>QUESS CORP LIMITED "301-306,3RD FLOOR,ABHIJEET-V ,OPP MAYOR" "BUNGLOW,MITHAKHALI,AHMEDABAD" "BUNGLOW,MITHAKHALI,AHMEDABAD" AHMEDABAD GUJ 380006</t>
  </si>
  <si>
    <t>CAPGEMINI TECHNOLOGY SERVICES INDIA LIMI "115/32,35 PLOT NO 1 ROAD NO 2" "GACHIBOWLI,NANAKRAMGUDA" "GACHIBOWLI,NANAKRAMGUDA" HYDERABAD TNG 500032</t>
  </si>
  <si>
    <t>SHRIRAM TRANSPORT FINANCE COMPANY LIMITE 2-90 1ST FLOOR 1ST FLOOR MEDAK TNG 502311</t>
  </si>
  <si>
    <t>RELIANCE RETAIL FINANCE LIMITED JAGTIAL ROAD KARIMNAGAR KARIMNAGAR ADILABAD TNG 505001</t>
  </si>
  <si>
    <t>V5 GLOBAL SERVICES PRIVATE LIMITED "POCHAMAIDAN,WARANGAL" WARANGAL WARANGAL WARANGAL TNG 506002</t>
  </si>
  <si>
    <t>GOVERNMENT OF ANDHRA PRADESH SURVY NO 623/1 SALEM PALEM SACHIVALAYAM KODURU MANADAL NEAR MAIN CENTER KODURU MANADAL NEAR MAIN CENTER GUDIVADA ANP 521328</t>
  </si>
  <si>
    <t>TEAMLEASE SERVICES LTD 4-3-10 "MARWADI BAZAR,MAHABUBABAD" "MARWADI BAZAR,MAHABUBABAD" BHEEMARAM TNG 506101</t>
  </si>
  <si>
    <t>WIPRO LIMITED ALSO WIPRO TECHNOLOGIES A "BUILDING NO-12D,2ND,3RD,4THFLOOR,IT SEZ" "RAHEJA MIND SPACE,HITECH CITY,MADHAPUR" "RAHEJA MIND SPACE,HITECH CITY,MADHAPUR" HYDERABAD TNG 500081</t>
  </si>
  <si>
    <t>WIPRO LIMITED ALSO WIPRO TECHNOLOGIES "SYNO.203,115/1ISB ROADFINANCIALDISTRICT" "GACHIBOWLI,NANAKARAMGUDA,HYD" "GACHIBOWLI,NANAKARAMGUDA,HYD" HYDERABAD TNG 500032</t>
  </si>
  <si>
    <t>GOVERNMENT OF ANDHRA PRADESH "PRAGADAVARAM , 2 SACHIVALAYAM" VELAGALAPALLI VELAGALAPALLI ELURU ANP 534461</t>
  </si>
  <si>
    <t>GOVERMENT OF ANDRAPRADESH KOMMI SACHIVALAYAM KONDAPURAM KONDAPURAM NELLORE ANP 524239</t>
  </si>
  <si>
    <t>GOVERNMENT OF ANDHRA PRADESH "RAMESWARAM 2 SACHIVALAYAM,KALUVAREVU" "CENTER,RAMESWARAM,SAKHINETIPALLI" "CENTER,RAMESWARAM,SAKHINETIPALLI" AMALAPURAM ANP 533251</t>
  </si>
  <si>
    <t>GOVERNMENT OF ANDHRA PRADESH VETERINARY HOSPITAL PENUKONADA PENUKONADA HINDUPUR ANP 515110</t>
  </si>
  <si>
    <t>RAK CERAMICS INDIA PRIVATE LIMITED S.NO 163 SAMARLKOTA VILLAGE SAMARLKOTA MANDAL KAKINADA SAMARLKOTA MANDAL KAKINADA KAKINADA ANP 533440</t>
  </si>
  <si>
    <t>GOVERNMENT OF ANDHRA PRADESH "WARD SACHIVALAYAM, 13-2-1/5A PITHAPURAM" "MANDAL, JAGGAYYA CHERUVU VILLAGE" "MANDAL, JAGGAYYA CHERUVU VILLAGE" KAKINADA ANP 533450</t>
  </si>
  <si>
    <t>EXIDE LIFE INSURANCE COMPANY LTD BDR COMPLEX "1ST FLOOR,NALGONDA" "1ST FLOOR,NALGONDA" NALGONDA TNG 508001</t>
  </si>
  <si>
    <t>GOVERNMENT OF ANDHRA PRADESH GEDDANAPALLI SACHIVALAYAM "KOTRENIKONDA MANDAL,DR BR AMBEDKAR KONAS" "KOTRENIKONDA MANDAL,DR BR AMBEDKAR KONAS" AMALAPURAM ANP 533212</t>
  </si>
  <si>
    <t>GOVERNMENT OF ANDHRA PRADESH SY.NO 170 KALDHARI GRAMA SACHIVALAYAM UNDRAJAVARAM MANDAL EAST GODAVARI UNDRAJAVARAM MANDAL EAST GODAVARI West Godavari ANP 534329</t>
  </si>
  <si>
    <t>HINDUJA LEYLAND FINANCE "H NO 15-1-237,F NO F5 F6, 4TH FLR" "CITYCENTRE COMPLEX,MULUGU RD,HANAMKONDA" "CITYCENTRE COMPLEX,MULUGU RD,HANAMKONDA" WARANGAL TNG 506001</t>
  </si>
  <si>
    <t>QUESS CORP LIMITED "C/O BAJAJ FINANCE LTD,HNO 1-4-249/153/1" "SR ANANTHULA COMPLEX,MG ROAD" "SR ANANTHULA COMPLEX,MG ROAD" SURYAPET TNG 508213</t>
  </si>
  <si>
    <t>SUN PHARMACEUTICAL INDUSTRIES LIMITED "SHOP NO 48,SANJEEVANI NILAYAM" "KAKUMANUVARI STREET, KOTHAPET" "KAKUMANUVARI STREET, KOTHAPET" GUNTUR ANP 522001</t>
  </si>
  <si>
    <t>GOVERNMENT OF ANDHRA PRADESH YERRAGUNTAPALLI VILLAGE BESIDE MAIN ROAD CHINTALAPUDI MANDAL ELURU DIST MAIN ROAD CHINTALAPUDI MANDAL ELURU DIST ELURU ANP 534460</t>
  </si>
  <si>
    <t>EVOKE TECHNOLOGIES PRIVATE LIMITED CAPELLA BLOCK 4TH 8TH FLOOR PLOT NO 17 MADHAPUR MADHAPUR HYDERABAD TNG 500081</t>
  </si>
  <si>
    <t>ACCENTURE SOLUTIONS PRIVATE LIMITED PRITECH SEZ BLOCK 7 OUTER ROAD BELLANDUR VILLAGE BELLANDUR VILLAGE BANGALORE KAR 560103</t>
  </si>
  <si>
    <t>WINJIT TECHNOLOGIES PVT LTD 1 ST FLOORPINE VALLEYEMBASSY GOLF BUILDING PARK BUILDING PARK BANGALORE KAR 560071</t>
  </si>
  <si>
    <t>COGNIZANT TECHNOLOGY SOLUTIONS PVT LTD COGNIZANT TECHNOLOGY SERVICES PVT LTD MADHAPUR HYDERABAD MADHAPUR HYDERABAD HYDERABAD TNG 500081</t>
  </si>
  <si>
    <t>AGRICULTURE "1-7, ANJI INDRAVELLI, ADILABAD," "NEAR TEMPLE, ADILABAD TELANGANA" "NEAR TEMPLE, ADILABAD TELANGANA" ADILABAD TNG 504346</t>
  </si>
  <si>
    <t>TECH ASPECT SOLUTIONSPTCAS 1ST FLOOR PLOTNO 83 HITECH CITY MADHAPUR HITECH CITY MADHAPUR HYDERABAD TNG 500081</t>
  </si>
  <si>
    <t>AGRICULTURE "11, MYSOORIVARIPALLI" KODUR KODUR CUDDAPAH ANP 516101</t>
  </si>
  <si>
    <t>REAL ESTATE QQ1-81 NARAYANAPURAM SITARAMARAJU NAGAR NAGAR ANAPARTHI ANP 515004</t>
  </si>
  <si>
    <t>BAJAJ FINANCIAL SECURITIES LIMITED HNO 5-44  ADAPA SATYANARAYANA STREET SATHUPALLY SATHUPALLY KHAMMAM TNG 507303</t>
  </si>
  <si>
    <t>RELIANCE SMSL LIMITED C/O RELIANCE DIGITAL H NO 3-2-29/15/B1 AMBEDKAR CHOWK ADILABAD AMBEDKAR CHOWK ADILABAD ADILABAD TNG 504001</t>
  </si>
  <si>
    <t>ZILLA PRAJA PARISHAD PANCHAYATHY ZILLA PRAJA PARISHAD PANCHAYAYHY "NEAR KOTIREDDY CIRCLE ,KADAPA" "NEAR KOTIREDDY CIRCLE ,KADAPA" CUDDAPAH ANP 516001</t>
  </si>
  <si>
    <t>RICE BUSINESS 13-1-525-182 LECTURERS COLONY COLONY ANAPARTHI ANP 515001</t>
  </si>
  <si>
    <t>ICICI PRUDENTIAL LIFE INSURANCE CO LIMIT MADANAPALLE   MADANAPALLE ANP 517325</t>
  </si>
  <si>
    <t>SRI MANVITHA INFRA DEVELOPERS "2-273/1, KARAPA" "GAYATRI NAGAR, GOLLAPALEM" "GAYATRI NAGAR, GOLLAPALEM" KAKINADA ANP 533468</t>
  </si>
  <si>
    <t>GOVERNMENT OF TELANGANA RIMS HOSPITAL ADILABAD ADILABAD ADILABAD TNG 504001</t>
  </si>
  <si>
    <t>NAGULAPALEM 5 33 TIRUMALA COMPLEX CHIRALAROAD NEAR INDIAN OIL PETROL BUNK PARCH   ONG ANP 523169</t>
  </si>
  <si>
    <t>BAJAJ CAPITAL INSURANCE BROKING LIMITED "2ND FLOOR, DNO 23B-9-6, JAYALAXMI CMPLX" "RRPETA, ELURU, WEST GODAVARI" "RRPETA, ELURU, WEST GODAVARI" ELURU ANP 534002</t>
  </si>
  <si>
    <t>COGNIZANT TECHNOLOGY SOLUTIONS INDIA PRI "SY NO 51P,58,59P,62P," "NANAKRAMGUDA VILLAGES,SERILINGAMPALLY" "NANAKRAMGUDA VILLAGES,SERILINGAMPALLY" HYDERABAD TNG 500008</t>
  </si>
  <si>
    <t>T SYSTEMS INFORMATION AND COMMUNICATION "UMIYA BUSINESS BAY TOWERII,4TH FLOOR CAS" "SENA BUSINESS PARK,OFF,OUTER RING RD,MAR" "SENA BUSINESS PARK,OFF,OUTER RING RD,MAR" BANGALORE KAR 560103</t>
  </si>
  <si>
    <t>AJANTA PHARMA LTD AJANTA PHARMA LIMITED H NO 376/16 BASANT NAGAR KACHIGUDA BASANT NAGAR KACHIGUDA Hyderabad TNG 500027</t>
  </si>
  <si>
    <t>SAI SIDDAPUR MANDA HASANPARTHI SIDDAPUR MANDAL HASANPARTHI SIDDAPUR MANDAL HASANPARTHI WARANGAL TNG 506002</t>
  </si>
  <si>
    <t>DIVYA.TAILORING.WORKS 13.11.120 VALIGONDA.ROAD..CHOUTUPPAL.. VALIGONDA.ROAD..CHOUTUPPAL.. NALGONDA TNG 508252</t>
  </si>
  <si>
    <t>"Sy. No. 30, 34, Avinash Hitech City 2" "Society, Plot H-01B, 35 &amp; 38, Gachibowli, Se"   HYD TNG 500081</t>
  </si>
  <si>
    <t>0000000022969042</t>
  </si>
  <si>
    <t>0000000026040162</t>
  </si>
  <si>
    <t>0000000027070766</t>
  </si>
  <si>
    <t>0000000028324469</t>
  </si>
  <si>
    <t>0000000028920612</t>
  </si>
  <si>
    <t>0000000013336551</t>
  </si>
  <si>
    <t>0000000015258878</t>
  </si>
  <si>
    <t>0000000019131516</t>
  </si>
  <si>
    <t>0000000020356916</t>
  </si>
  <si>
    <t>0000000020937052</t>
  </si>
  <si>
    <t>0000000021834065</t>
  </si>
  <si>
    <t>0000000022464226</t>
  </si>
  <si>
    <t>0000000023026481</t>
  </si>
  <si>
    <t>0000000023178148</t>
  </si>
  <si>
    <t>0000000026937221</t>
  </si>
  <si>
    <t>0000000027824438</t>
  </si>
  <si>
    <t>0000000029154946</t>
  </si>
  <si>
    <t>0000000029698691</t>
  </si>
  <si>
    <t>0000000023751595</t>
  </si>
  <si>
    <t>0000000024170198</t>
  </si>
  <si>
    <t>0000000024223109</t>
  </si>
  <si>
    <t>0000000024286052</t>
  </si>
  <si>
    <t>0000000024501892</t>
  </si>
  <si>
    <t>0000000025136462</t>
  </si>
  <si>
    <t>0000000025321911</t>
  </si>
  <si>
    <t>0000000025322211</t>
  </si>
  <si>
    <t>0000000025634154</t>
  </si>
  <si>
    <t>0000000025647404</t>
  </si>
  <si>
    <t>0000000025946740</t>
  </si>
  <si>
    <t>0000000026111104</t>
  </si>
  <si>
    <t>0000000026509731</t>
  </si>
  <si>
    <t>0000000026808043</t>
  </si>
  <si>
    <t>0000000027023540</t>
  </si>
  <si>
    <t>0000000027092021</t>
  </si>
  <si>
    <t>0000000027097856</t>
  </si>
  <si>
    <t>0000000027655376</t>
  </si>
  <si>
    <t>0000000027673141</t>
  </si>
  <si>
    <t>0000000027673150</t>
  </si>
  <si>
    <t>0000000027751929</t>
  </si>
  <si>
    <t>0000000028454640</t>
  </si>
  <si>
    <t>0000000028746934</t>
  </si>
  <si>
    <t>0000000028806754</t>
  </si>
  <si>
    <t>0000000028899349</t>
  </si>
  <si>
    <t>0000000028994893</t>
  </si>
  <si>
    <t>0000000029054216</t>
  </si>
  <si>
    <t>0000000029109543</t>
  </si>
  <si>
    <t>0000000029420206</t>
  </si>
  <si>
    <t>0000000028988308</t>
  </si>
  <si>
    <t>0000000024729136</t>
  </si>
  <si>
    <t>0000000024735915</t>
  </si>
  <si>
    <t>0000000024973412</t>
  </si>
  <si>
    <t>0000000025107017</t>
  </si>
  <si>
    <t>0000000025248669</t>
  </si>
  <si>
    <t>0000000025574227</t>
  </si>
  <si>
    <t>0000000025977116</t>
  </si>
  <si>
    <t>0000000025983250</t>
  </si>
  <si>
    <t>0000000026376065</t>
  </si>
  <si>
    <t>0000000027388885</t>
  </si>
  <si>
    <t>0000000027516916</t>
  </si>
  <si>
    <t>0000000027634923</t>
  </si>
  <si>
    <t>0000000029028145</t>
  </si>
  <si>
    <t>0000000029327255</t>
  </si>
  <si>
    <t>0000000031235476</t>
  </si>
  <si>
    <t>0000000032756989</t>
  </si>
  <si>
    <t>0000000029294932</t>
  </si>
  <si>
    <t>0000000029449863</t>
  </si>
  <si>
    <t>0000000029662501</t>
  </si>
  <si>
    <t>0000000031035156</t>
  </si>
  <si>
    <t>0000000032272082</t>
  </si>
  <si>
    <t>0000000032328031</t>
  </si>
  <si>
    <t>0000000034594642</t>
  </si>
  <si>
    <t>Costumer not willing to pay because of health and financial issues sir</t>
  </si>
  <si>
    <t>CUSTOMER GIVEN PTP TO TOD OR TOMORROW MORNING SIR</t>
  </si>
  <si>
    <t>4035623055504005</t>
  </si>
  <si>
    <t>4073520021601001</t>
  </si>
  <si>
    <t>4375518923520019</t>
  </si>
  <si>
    <t>4035621266560006</t>
  </si>
  <si>
    <t>4315813923781007</t>
  </si>
  <si>
    <t>4315814003595002</t>
  </si>
  <si>
    <t>5474670013848003</t>
  </si>
  <si>
    <t>MS UDATHA ANUSHA</t>
  </si>
  <si>
    <t>MR PAVAN CHAKRAVARTHI V</t>
  </si>
  <si>
    <t>MR POLASU LOKESH</t>
  </si>
  <si>
    <t>MR KANCHARLA PHANEENDRA</t>
  </si>
  <si>
    <t>MR MEDISETTI KUMAR</t>
  </si>
  <si>
    <t>MR Mohammed Muzammil Tabrez</t>
  </si>
  <si>
    <t>MR MALLESHWARAM VENKATA KRISHNARA</t>
  </si>
  <si>
    <t>8340886192</t>
  </si>
  <si>
    <t>9000033337</t>
  </si>
  <si>
    <t>9701067473</t>
  </si>
  <si>
    <t>9492907252</t>
  </si>
  <si>
    <t>8185953542</t>
  </si>
  <si>
    <t>9959951469</t>
  </si>
  <si>
    <t>9440911351</t>
  </si>
  <si>
    <t>"DR NO 2-10,SUSARLA VARI STREET" "KALUVOYA, NELLORE"  CHENNAKESAVA SWAMY TEMPLE GUDUR ANP 524343</t>
  </si>
  <si>
    <t>NO 18 6 LINGALA STREET PENUGONDA NEAR REDDY KJALYANAMANDAPAN BHIMAVARAM ANP 534320</t>
  </si>
  <si>
    <t>"37,333,1,PURUSHOTHA PATNAM,CHILAKALURIPE" "T,,NEAR WATER TANK"  NEAR BY WATER  TANK GUNTUR ANP 522616</t>
  </si>
  <si>
    <t>"8-2-29,,Kakinada (Urban)" Mallya agraharam Gandhinagar KAKINADA Near Krishna temple KAKINADA ANP 533004</t>
  </si>
  <si>
    <t>2.163.MEDISETTI.VARI.VEEDHI.KAJULURU.MAN KOLANKA.. ..  KAKINADA ANP 533464</t>
  </si>
  <si>
    <t>8.9.54.1 KHILLA ..KHILLA INSIDE FORT BAGH KHAMMAM TNG 507001</t>
  </si>
  <si>
    <t>18 36 SANJAY NAGAR COLONY NEAR U P S NAGARKURNOOL  A WANAPARTHY TNG 509209</t>
  </si>
  <si>
    <t>ANVHYA TECHNICAL SOLUTION PVT LTD "NO 37,SECRETARIAT COLONY RD," GACHIBOWLI GACHIBOWLI TNG 500032</t>
  </si>
  <si>
    <t>GOVERNMENT OF ADHRAPARADESH CO OPERATIVE 90 THE NARASAPURAM URBAN SOCIETY NARSAPURAM NARSAPURAM ANP 534275</t>
  </si>
  <si>
    <t>CLOUD4C SERVICES PRIVATE LIMITED PLOT NO-126 RAHEJA MINDSPACE OPP KNOWLEDGE CITY  HIGH TECH OPP KNOWLEDGE CITY  HIGH TECH TNG 500081</t>
  </si>
  <si>
    <t>MOLBIO BIAGANGOSTITS PVT LTD "GANESH, GANPATI TEMPLE RD" GOA 403722 GOA 403722 GOA 403722</t>
  </si>
  <si>
    <t>Padmaja.general.agency. 2.163.Medisetti.vari.veedhi. Kolanka Kolanka ANP 533464</t>
  </si>
  <si>
    <t>MODERN.REAL.ESTTES 89.54.1 INSIDE.FORT.BAGH.KHILLA INSIDE.FORT.BAGH.KHILLA TNG 507001</t>
  </si>
  <si>
    <t>RAMOJIRAO FUEL STATION SY NO 172 F SRIPURAM VILLAGE NAGARKURNOOL NAGARKURNOOL TNG 509209</t>
  </si>
  <si>
    <t>ICICI Gold Business Card (BCCL-M)</t>
  </si>
  <si>
    <t>15TH JULY</t>
  </si>
  <si>
    <t>0000000024915437</t>
  </si>
  <si>
    <t>0000000014407078</t>
  </si>
  <si>
    <t>0000000012733024</t>
  </si>
  <si>
    <t>0000000026691738</t>
  </si>
  <si>
    <t>0000000026017257</t>
  </si>
  <si>
    <t>0000000026382524</t>
  </si>
  <si>
    <t>1000000000758258</t>
  </si>
  <si>
    <t>Customer shifted from given address call not answering</t>
  </si>
  <si>
    <t>cmr not there at given address, cmr lives in banglore and cmr not answering calls and cmr house door locked</t>
  </si>
  <si>
    <t>Customer wife no 9959077734
Customer address skip call not answering sir @Hari Garu</t>
  </si>
  <si>
    <t>CUSTOMER NOT LIVING IN GIVING ADDRESS CUSTOMER MOBILE NOT ANSWERING SIR // CUSTOMER NOT LIVING IN GIVING ADDRESS CUSTOMER MOBILE NOT ANSWERING SIR</t>
  </si>
  <si>
    <t>customer not available at given address by local enquiry no person no him mobile number switch off need to KYC details sir //  customer not available at given address by local enquiry no person no him mobile number switch off .... // customer not available at given address by local enquiry no person no him mobile number switch off need to KYC details sir..... // customer not available at given address by local enquiry no person no him mobile number switch off.... // customer not available at given address by local enquiry no person no him mobile number switch off....</t>
  </si>
  <si>
    <t xml:space="preserve"> have Visited customer given village house address customer is in live given ptp on Saturday</t>
  </si>
  <si>
    <t>Cmr given address visited customer sid call back to evening 7 pm  // Cmr given address visited customer given PTP 15 th sir // Cmr given address visited customer given PTP today evening or tomorrow morning sir</t>
  </si>
  <si>
    <t>Customer live given PTP 18th</t>
  </si>
  <si>
    <t>Customer address visit customer available address customer asking for emi option // Customer address visit customer available asking for emi option facing financial issue</t>
  </si>
  <si>
    <t>Cmr given address visited security not allowed in this appartment cmr call not answering revisit again sir //  Cmr given address visited given PTP today afternoon 3 pm sir</t>
  </si>
  <si>
    <t>Remark Customer Phone Not Answer Customer Given Address Shifted Sir // Remark Customer Phone Not Connect Customer Given Second Address No Search Person Sir</t>
  </si>
  <si>
    <t>Address not found and cust no respond to calls will update</t>
  </si>
  <si>
    <t>I visited the customer's current address but he is not available at home and i called him and spoke to him He said he would make the payment tomorrow morning.</t>
  </si>
  <si>
    <t xml:space="preserve">  Cmr given address visited customer present not available at the home call not answering revisit again sir</t>
  </si>
  <si>
    <t>cmr not there at home , cmr answered call and given today Evening PTP</t>
  </si>
  <si>
    <t>Customer not available contact by phone he told 17000 rupees debit from his account // Customer asking for settlement sir</t>
  </si>
  <si>
    <t>Customer given House address visited customer not available at home customer father available at home discussed about card payment customer father said that call back tomorrow // Customer given working address visited customer not available door locked for shop calls not answering call back afternoon</t>
  </si>
  <si>
    <t>4375518515995009</t>
  </si>
  <si>
    <t>4375518586144008</t>
  </si>
  <si>
    <t>4748464704841003</t>
  </si>
  <si>
    <t>4748464742104000</t>
  </si>
  <si>
    <t>4748464743383017</t>
  </si>
  <si>
    <t>4748464745917002</t>
  </si>
  <si>
    <t>4748464746981007</t>
  </si>
  <si>
    <t>5241935723704008</t>
  </si>
  <si>
    <t>5241935736622007</t>
  </si>
  <si>
    <t>5241935769659009</t>
  </si>
  <si>
    <t>6528690087865000</t>
  </si>
  <si>
    <t>6528690140445006</t>
  </si>
  <si>
    <t>MR MOHAMMED FAROOQ</t>
  </si>
  <si>
    <t>MR SABBAVARAPU VENKATA GANESH</t>
  </si>
  <si>
    <t>MR MOHAMMAD MUJAHID ANWAR</t>
  </si>
  <si>
    <t>MR MIRIYALA VISWANADH</t>
  </si>
  <si>
    <t>MR ASHOK KUMAR GUMMADI</t>
  </si>
  <si>
    <t>MR PITTA PRASANNA</t>
  </si>
  <si>
    <t>MR CHILUKA KIRAN</t>
  </si>
  <si>
    <t>MR RANJIT KUMAR KORUKONDA</t>
  </si>
  <si>
    <t>MR ANNE PAVANKUMAR</t>
  </si>
  <si>
    <t>MR BADAKALA VENKATESHWARLU</t>
  </si>
  <si>
    <t>MR RAPOLU SAI SIDDARDHA</t>
  </si>
  <si>
    <t>MS AVVARU BHARGAVI</t>
  </si>
  <si>
    <t>9966827550</t>
  </si>
  <si>
    <t>9848414079</t>
  </si>
  <si>
    <t>9848197414</t>
  </si>
  <si>
    <t>7659964523</t>
  </si>
  <si>
    <t>9959361313</t>
  </si>
  <si>
    <t>9491656453</t>
  </si>
  <si>
    <t>8919978072</t>
  </si>
  <si>
    <t>9949562469</t>
  </si>
  <si>
    <t>8754427998</t>
  </si>
  <si>
    <t>9381577837</t>
  </si>
  <si>
    <t>9818338175</t>
  </si>
  <si>
    <t>9949580658</t>
  </si>
  <si>
    <t>19 204 MOMINABAD GUNTAKAL GUNTAKAL NEAR BULAN MASEED GUNTUR ANP 515801</t>
  </si>
  <si>
    <t>7 5 200 19 A BRINDAVAN MAHBOOBNAGAR BACKSIDE HIMALAYA RESTARANT COLONY Mahbubnagar TNG 509001</t>
  </si>
  <si>
    <t>5-8-315 NALGONDA SHAMS NAGAR NEAR DIET B T S NALGONDA TNG 508001</t>
  </si>
  <si>
    <t>11-89A WATER TANK BAZAR VADLAMUDI ROAD  GUNTUR ANP 522212</t>
  </si>
  <si>
    <t>16-42-111 INDIRA COLONY KAKINADA EAST GODAVARI NEAR BY ADITYA WOMENS DEGREE COLLEGE KAKINADA ANP 533001</t>
  </si>
  <si>
    <t>2-157/33 KOVVADA  SATTEMMA THOTA KAKINADA ANP 533006</t>
  </si>
  <si>
    <t>1-1-66/1000 URBAN COLONY  NEAR COMMUNITI HALL NALGONDA TNG 508116</t>
  </si>
  <si>
    <t>25-14-6 SAMBHUNI PERA PALAKOL WEST GODAVARI  NR MAIN ROAD PALAKOL ANP 534260</t>
  </si>
  <si>
    <t>NO 1 60 SIRIPURAM GUNTUR GUNTUR NEAR MAIN ROAD GUNTUR ANP 522304</t>
  </si>
  <si>
    <t>HNO 3-11 MEDIVEMULA MEEDIVEMULA KURNOOL MEDIVEMULA KURNOOL ANP 518002</t>
  </si>
  <si>
    <t>H NO 7-29/5 NAKREKAL MANDAL DOCTORS COLONY VENKATESHWARA THEATER LANE SURYAPET TNG 508211</t>
  </si>
  <si>
    <t>DOSAKAYALA VILLAGE TALLUR MANDAL H NO 1-25 MAIN ROAD  Prakasam ONG ANP 523252</t>
  </si>
  <si>
    <t>SOUTH CENTRAL RAILWAY SSC TRD OFFICE RAILWAY STATION ANANTAPUR ANANTAPUR ANAPARTHI ANP 515001</t>
  </si>
  <si>
    <t>SOUTHERN POWER DISTRIBUTION CO O O THE SPDCL VIDYUTH BHAVAN TSSPDCL METUGADDA S H 18 METUGADDA S H 18 Mahbubnagar TNG 509001</t>
  </si>
  <si>
    <t>MISSION BHAGIRATHA GRID SUB DIVISION AVANTHIPURAM HUZURNAGAR ROAD MIRYALAGUDA MANDAL NALGONDA MIRYALAGUDA MANDAL NALGONDA SURYAPET TNG 508207</t>
  </si>
  <si>
    <t>GOVERNMENT OF ANDHRA PRADEH "TAKKELLAPADU 2, GRAMA" "SACHIVALAYAM," "SACHIVALAYAM," GUNTUR ANP 522509</t>
  </si>
  <si>
    <t>GOVERNMENT OF ANDHRA PRADESH APEPDCL OSD/KKD TOWN SANJAY NAGAR PMC KAKINADA SANJAY NAGAR PMC KAKINADA KAKINADA ANP 533001</t>
  </si>
  <si>
    <t>ALIVIRA ANIMAL HEALTH LIMITED FLAT NO 104 TO 109 RAMKY PHARMA CITY VIZAG VIZAG ANAKAPALLE ANP 531019</t>
  </si>
  <si>
    <t>SOUTH CENTRAL RAILWAY "SY NO 115, LALAGUDA,SECUNDERABAD" HYDERABAD HYDERABAD HYDERABAD TNG 500017</t>
  </si>
  <si>
    <t>AP TRANSCO DEE LINES 132 KVSUB STATION AP TRANSCO NIDAVOLE AP TRANSCO NIDAVOLE TADEPALLIGUDEM ANP 534301</t>
  </si>
  <si>
    <t>HCL TECHNOLOGIES LIMITED "NO 20/3  NH 5, KESARAPALLI  GANNAVARAM" VIJAYAWADA VIJAYAWADA VIJAYAWADA ANP 521102</t>
  </si>
  <si>
    <t>GENPACT INDIA 12A GROUND FLOOR PRAKASH DEEP BUILDING 7 TOLSTOY MARG PRAKASH DEEP BUILDING 7 TOLSTOY MARG DELHI DEL 110001</t>
  </si>
  <si>
    <t>SABSIDIARY INTELLIGENCE BUREAU "CGO COMPLEX, AUTO NAGAR," VIJAYAWADA VIJAYAWADA VIJAYAWADA ANP 520007</t>
  </si>
  <si>
    <t>TALLUR MANDAL PRAKASAM S NO 150 DOSAKAYALA VILLAGE SACHIVALAYAM   ONG ANP 523252</t>
  </si>
  <si>
    <t>0000000014404773</t>
  </si>
  <si>
    <t>0000000014896797</t>
  </si>
  <si>
    <t>0000000023318088</t>
  </si>
  <si>
    <t>0000000027972947</t>
  </si>
  <si>
    <t>0000000028203298</t>
  </si>
  <si>
    <t>0000000028633299</t>
  </si>
  <si>
    <t>0000000028814234</t>
  </si>
  <si>
    <t>0000000025672839</t>
  </si>
  <si>
    <t>0000000026249950</t>
  </si>
  <si>
    <t>0000000027871080</t>
  </si>
  <si>
    <t>0000000032062896</t>
  </si>
  <si>
    <t>0000000033336993</t>
  </si>
  <si>
    <t>Customer house sale to others and shifted to another place and mother and father both are died and calls not lifting</t>
  </si>
  <si>
    <t>I have Visited customer given village house address customer not available customer went to school called to customer with his wife mobile customer call answered given ptp Fri // day // Custmor in banglor  inform mother</t>
  </si>
  <si>
    <t>Customer live in address and customer job in hyderabad call answered given ptp today eveing or tomorrow</t>
  </si>
  <si>
    <t xml:space="preserve"> CUSTOMER NOT AVAILABLE AT HOME INFORMED TO HIS ACCOUNTANT</t>
  </si>
  <si>
    <t>Customer house address not found mobile not responding give me kyc details // Customer house address not found mobile not responding // Customer house address not found mobile not responding</t>
  </si>
  <si>
    <t>CUSTOMER LEFT JOB IN GIVEN WORKING ADDRESS BEFORE 4 YEARS SIR</t>
  </si>
  <si>
    <t>Customer visit office address not available customer not responding phone call</t>
  </si>
  <si>
    <t>CUSTOMER NOT STAYING IN GIVEN ADDRESS SIR.HE IS STAYING IN HYDERABAD MANIKONDA AREA</t>
  </si>
  <si>
    <t>I have Visited customer work address customer is in live Customer paid 10,000/- remaining amount given ptp on Tommorow</t>
  </si>
  <si>
    <t>Customer visit home address meet her Brother PTP 18TH</t>
  </si>
  <si>
    <t>Cus given address not found and cus also not responding to calls and messages sir</t>
  </si>
  <si>
    <t>Cus given address live but cus house door locked and cus not responding to calls and messages sir</t>
  </si>
  <si>
    <t>Customer visit office address customer present not working this office present working at Hyderabad location talk to customer PTP 18TH</t>
  </si>
  <si>
    <t>cmr house door locked and cmr answered call and request to call back, revisit required</t>
  </si>
  <si>
    <t>Customer visit office address Not available ask nighbour no one not respond phone call not lifting</t>
  </si>
  <si>
    <t>VCostumer out of station calls also not responding sir</t>
  </si>
  <si>
    <t>Costumer present not available in given address present living in Bengaluru call answered call back today 10am sir</t>
  </si>
  <si>
    <t>waiting for payment, cmr father there at home, cmr answerd call // cmr not live in this address, cmr not answering calls and messages left to father</t>
  </si>
  <si>
    <t>customer not staying in this house he staying in Hyderabad he response call he hospitalized and job loss he need time to make payment</t>
  </si>
  <si>
    <t>Feedback customer paymet twommro</t>
  </si>
  <si>
    <t>Customer address shift customer shift Nellore call response ptp on today evening sir</t>
  </si>
  <si>
    <t>Cus working address visited but such kind of person was not working here.conformed by the HR department.calls also not responding</t>
  </si>
  <si>
    <t>Feedback visited customer loan address address not found house number not match call not responding</t>
  </si>
  <si>
    <t>Customer visit office address not available customer ask nighbour no one not respond phone not lifting // Customer visit home address not found home address ask nighbour no one not respond phone not lifting</t>
  </si>
  <si>
    <t>Visit Customer House Customer not available phone responding given PTP on tomorrow // Feedback: Visit Customer House waiting for customer</t>
  </si>
  <si>
    <t>Feedback customer not available phone not respond</t>
  </si>
  <si>
    <t>Customer address was not found waiting for tracing details sir // Customer address was not found waiting for tracing details sir</t>
  </si>
  <si>
    <t>Customer Given House address visited but customer not available at home living at others state customer parent's available at home left message to parents call back afternoon // Customer Given House address visited but customer not available at home living at others state customer parent's will do payment tomorrow</t>
  </si>
  <si>
    <t>Customer PTP on 20th</t>
  </si>
  <si>
    <t>Feedback customer paymet today or tomorrow</t>
  </si>
  <si>
    <t>Customer Adress visit and Customer ptp on Saturday</t>
  </si>
  <si>
    <t>FEED BACK: CUSTOMER SHIFTED TO RAJAMUNDRY SIR. INFORMED TO HIS FATHER</t>
  </si>
  <si>
    <t>Meet Customer Given Commitment On 18th Sir</t>
  </si>
  <si>
    <t>Cust staying in hyd respond to calls and said suffering vth health issues he heed some time will update</t>
  </si>
  <si>
    <t>House door locked and cust number switched off</t>
  </si>
  <si>
    <t>Cust shifted from given address confirmed by neighbours and cust number switched off // Visited to cust second address not available at home left msg to cust's mother will update</t>
  </si>
  <si>
    <t>Feedback customer live PTP given today evening // Feedback customer live customer argue with me He said not pay loan facing any legal issue</t>
  </si>
  <si>
    <t>Customer not available 
Customer calls not responding 
Inform in customer mother // Customer house door locked 
Customer living in Hyderabad 
waiting for location // Can't find address 
Customer calls not answering!</t>
  </si>
  <si>
    <t>Customer house address visit customer house door lock neighbours told customer shifted customer mobile not responding</t>
  </si>
  <si>
    <t>cmr not there , message left to the neighbour, cmr phone not available</t>
  </si>
  <si>
    <t>Custmor go to work  inform mother</t>
  </si>
  <si>
    <t>Customer given House address visited customer live but present not available at home responded to phone call Said that call back tomorrow // Customer given House address visited customer live but present not available at home responded to phone call given PTP 14/07/26 // Customer given House address revisited customer live but present not available at home responded to phone call given PTP tomorrow afternoon // Customer given House address revisited no one is there at home door locked customer mobile ringing but not answering call back evening revisit again tomorrow</t>
  </si>
  <si>
    <t>Customer live in address and customer given ptp tomorrow morning</t>
  </si>
  <si>
    <t>Visited Customer Residence Address Customer Not Available Inform To Customer Wife // Visited Customer Residence Address Customer Live Given Commitment On 15th Sir // Customer Asking Time Sir // Visited Customer Residence Waiting for Customer Sir // Waiting for Payment sir</t>
  </si>
  <si>
    <t>Customer given address visit customer not available informed to neighbors, call not answer // Customer given address visit customer not available informed to wife, trying by call // Customer given address visit waiting for customer // Customer given address Re-visit door locked, trying by call</t>
  </si>
  <si>
    <t>IMAM/GTR , 6302979798</t>
  </si>
  <si>
    <t>Customer  and Customer husband meet in Choutuppal and Customer &amp; Customer husband ptp on Saturday</t>
  </si>
  <si>
    <t>Customer Adress visit and Customer ptp on Monday // Customer Adress visit and Customer prasent Rajasthan in return to Tommorow and Customer ptp on Tommorow evening // Customer Adress visit and Customer ptp on 1 hour // Customer Adress visit and Waiting for Payment</t>
  </si>
  <si>
    <t>Customer told present he is busy he will talk tomorrow // Customer given ptp tomorrow sir</t>
  </si>
  <si>
    <t>Customer Adress visit and Customer ptp on Friday // Customer Adress visit and Customer prasent in home and Customer ptp on Tommorow morning</t>
  </si>
  <si>
    <t>17TH JU</t>
  </si>
  <si>
    <t>ustomer given House address visited customer not available at home responded to phone call said that call back afternoon // Customer given House address revisited customer injured with accident discussed about payment customer said that call back afternoon</t>
  </si>
  <si>
    <t>Customer live in address and customer given ptp today eveing or tomorrow</t>
  </si>
  <si>
    <t>customer not available and phone not responding</t>
  </si>
  <si>
    <t>USTOMER RESPONDED TO HIS MOTHER NUMBER.GIVEN PTP TO 20TH SIR</t>
  </si>
  <si>
    <t>Customer office address visit customer not in a office customer mobile not respondin // Customer office address visit customer not in a office customer mobile responding call back 1 hour // Customer working address visit customer not in a working address customer mobile not responding iam going to house visit // Customer working address visit customer not in a working address customer mobile responding but customer present in hospital some health issues customer asking some time // Customer house address visit customer house door lock neighbours told customer going to hospital customer mobile not responding</t>
  </si>
  <si>
    <t>Customer shifted to another address and calls no answering need kyc</t>
  </si>
  <si>
    <t>Customer given address not found and cus responded in call he said present he is not at home he went out side sir // Customer meet at out side and he reduced to pay the bill payment sir</t>
  </si>
  <si>
    <t>Customer Adress visit and  The customer has currently gone to Choutuppal and said he would meet and speak there in an 1 hour..</t>
  </si>
  <si>
    <t>Feedback customer staying in Hyderabad cm mother live she also not available call not responding</t>
  </si>
  <si>
    <t>Customer given House address visited customer not available living at Hyderabad customer family members available but present no one is there at home door locked customer mobile ringing but not answering will call back again revisit again after one hour // Customer given House address revisited customer not available living at Hyderabad calls not answering customer family members available at home left message to customer  // Customer given House address revisited customer not available living at Hyderabad not responding family members phone calls also discussed payment with customer brother not responding about payment RTP Response from customer brother</t>
  </si>
  <si>
    <t>Customer given address visited customer given PTP 18th sir 
  Brother pH No :Kanaka Raj: 79816 80342</t>
  </si>
  <si>
    <t>I Have Visited customer given working address no person available with that name here Customer call not answering need KYC details / /I Have Visited customer given house address Customer not available in home customer parents available Customer staying in Hyderabad called to customer with his father mobile Customer call answered given ptp Tommorow</t>
  </si>
  <si>
    <t>His family members spoke to already paid  24580/- norm amount
   Check it once sir</t>
  </si>
  <si>
    <t>Customer house address visit customer house door lock neighbours told customer shifted customer mobile switch off</t>
  </si>
  <si>
    <t>Costumer present not available calls not connecting inform to his mother revisit again sir // Costumer present not available call answered not willing to pay because of financial and health issues sir</t>
  </si>
  <si>
    <t>Customer live location present know</t>
  </si>
  <si>
    <t>Customer paid</t>
  </si>
  <si>
    <t>Visit customer address 
Customer not at home right now Customer given phone ptp by 16th // Customer House door locked 
Customer calls not responding 
Waiting for location</t>
  </si>
  <si>
    <t>AJAY</t>
  </si>
  <si>
    <t>emark Customer Phone Not Answer Customer Given Address Skip Sir</t>
  </si>
  <si>
    <t>Customer shifted to Hyderabad phone not answering in from to grand mother</t>
  </si>
  <si>
    <t>Cmr given address visited discussing about payment with father sir</t>
  </si>
  <si>
    <t xml:space="preserve"> Cmr given address visited customer not living in this place shifted from Hyderabad in job purpose cmr call answering given phone PTP today evening 7 pm sir</t>
  </si>
  <si>
    <t xml:space="preserve"> Cmr given working address visited cmr spoke to already paid norm amount 31430/- check it once sir</t>
  </si>
  <si>
    <t>Customer PTP on 16th // Waiting for location</t>
  </si>
  <si>
    <t>mr not at home , cmr house door locked, cmr answering calls, waiting for cmr parents //  waiting for cmr parents</t>
  </si>
  <si>
    <t>Cust not available respond to call and said cust need settlement</t>
  </si>
  <si>
    <t>Customer permanent house address visited sir his not available phone call not responding inform to his father</t>
  </si>
  <si>
    <t>Cust Shifted from given address confirmed by house owner and cust no respond to calls will update // Cust shifted from given address and no respond to calls</t>
  </si>
  <si>
    <t>I have Visited Customer given house address customer not available customer father available given ptp by Wednesday</t>
  </si>
  <si>
    <t>I have Visited Customer given working address customer not available here customer left from this working address before 2 yrs ago Customer call not answering need KYC details // I have Visited Customer given house address customer not available here found house locked enquired about customer he is not staying here &amp; customer mother father went to work purpose customer call not answering // I have Visited Customer Traced working address customer not available here Customer resigned here before 5 months ago customer call not answering</t>
  </si>
  <si>
    <t>4,5 laks just but not share screenshot plz check &amp; confirmed plz</t>
  </si>
  <si>
    <t xml:space="preserve">Visit near customer house &amp; work place also he not working at given address not responding for calls .  / Customer not available at given address. Visit again // Customer given ptp tomorrow evening by 7pm </t>
  </si>
  <si>
    <t>Count of ENR</t>
  </si>
  <si>
    <t>18TH JU</t>
  </si>
  <si>
    <t>Customer live in address and customer went to office call not received // Customer live in address and customer  given ptp today eveing</t>
  </si>
  <si>
    <t>Customer address skip call not answering sir</t>
  </si>
  <si>
    <t>Customer live in address he is job in another place police consitable he is asking settlement</t>
  </si>
  <si>
    <t>Customer address visit customer not available door lock call response ptp on Monday</t>
  </si>
  <si>
    <t>Address not found and cust no respond to calls revisit and update // ress not found and cust no respond to calls revisit and update</t>
  </si>
  <si>
    <t>ustomer live in address and customer went to office call answered given ptp on 20th date</t>
  </si>
  <si>
    <t>I have Visited Customer given house address Customer not available  in home Customer went outside informed to his parents Customer call not answering // REVisited Customer given house address customer Is in Live given ptp Tommorow</t>
  </si>
  <si>
    <t>Cust went to outside respond to call and said need settlement</t>
  </si>
  <si>
    <t>WITH THIS NAME NO ONE IS THEIR SIR IN THE GIVEN ADDRESS</t>
  </si>
  <si>
    <t>Customer is in Hyderabad 
He told that he can't pay this month.so he give Hyderabad address &amp; told that to come &amp; meet him in Hyderabad. // Customer live in hyderabad.he loss his job from last 1year .so he refused to pay . Sir &amp; he told that all ready mail to icici bank</t>
  </si>
  <si>
    <t>mr not available, message left to cmr sister and cmr phone not working // cmr not there waiting for cmr, cmr phone not working</t>
  </si>
  <si>
    <t>Remark Customer Phone Not Connect Customer Given Address Trancefar Kakinada 4Years Back Sir</t>
  </si>
  <si>
    <t>I have Visited Customer given house address customer not available here enquired neighbours Customer vacated this house before 3 yrs ago Customer mobile ringing but Customer not responding calls need kyc details // I have Visited Customer given house address customer not available here enquired neighbours Customer vacated this house before 3 yrs ago Customer mobile ringing but Customer not responding calls need kyc details // I have Visited Customer given Work address customer not available here office removed from here before 2yrs ago customer call not answering</t>
  </si>
  <si>
    <t>Cus given address was skip also cus not responded to calls sir</t>
  </si>
  <si>
    <t>Remark Customer PTP Evening Sir</t>
  </si>
  <si>
    <t>4035620735333003</t>
  </si>
  <si>
    <t>4035620813302003</t>
  </si>
  <si>
    <t>4035620966514008</t>
  </si>
  <si>
    <t>4073520230617012</t>
  </si>
  <si>
    <t>4073520457269000</t>
  </si>
  <si>
    <t>4315810795409006</t>
  </si>
  <si>
    <t>4315810799530005</t>
  </si>
  <si>
    <t>4315810827947007</t>
  </si>
  <si>
    <t>4315810955426006</t>
  </si>
  <si>
    <t>4315810960956013</t>
  </si>
  <si>
    <t>4315810978954000</t>
  </si>
  <si>
    <t>4315811058555014</t>
  </si>
  <si>
    <t>4315811074786015</t>
  </si>
  <si>
    <t>4315811100792003</t>
  </si>
  <si>
    <t>4315811208592008</t>
  </si>
  <si>
    <t>4315811238885000</t>
  </si>
  <si>
    <t>4315811252949005</t>
  </si>
  <si>
    <t>4315811280652001</t>
  </si>
  <si>
    <t>4315811285805000</t>
  </si>
  <si>
    <t>4315811315563009</t>
  </si>
  <si>
    <t>4315811364542003</t>
  </si>
  <si>
    <t>4315811391794015</t>
  </si>
  <si>
    <t>4315811634642005</t>
  </si>
  <si>
    <t>4315811819549009</t>
  </si>
  <si>
    <t>4315812485001010</t>
  </si>
  <si>
    <t>4315812806759007</t>
  </si>
  <si>
    <t>4315813109962009</t>
  </si>
  <si>
    <t>4315813947484000</t>
  </si>
  <si>
    <t>4315814087864001</t>
  </si>
  <si>
    <t>4315814169520018</t>
  </si>
  <si>
    <t>4315814339546000</t>
  </si>
  <si>
    <t>4315814822858003</t>
  </si>
  <si>
    <t>4315815433867002</t>
  </si>
  <si>
    <t>4375512453818000</t>
  </si>
  <si>
    <t>4748460775564011</t>
  </si>
  <si>
    <t>4748461284381004</t>
  </si>
  <si>
    <t>4748461324643009</t>
  </si>
  <si>
    <t>4748469370853000</t>
  </si>
  <si>
    <t>5241934175887007</t>
  </si>
  <si>
    <t>6528682307911003</t>
  </si>
  <si>
    <t>MR ANUJ ROY</t>
  </si>
  <si>
    <t>MR CHINTHALAPUDI SAIKRISHNA</t>
  </si>
  <si>
    <t>MR CHINTHAPALLY ANAND KUMAR</t>
  </si>
  <si>
    <t>MR. BUDUGU SANTHOSHREDDY</t>
  </si>
  <si>
    <t>MR SHAIK VULLIGADLA MOHAMMAD</t>
  </si>
  <si>
    <t>MS KAMMATI MANASA</t>
  </si>
  <si>
    <t>MR. GOPI SRIKANTH</t>
  </si>
  <si>
    <t>MR. SHIVAKUMAR PANDI</t>
  </si>
  <si>
    <t>MR BANDARI SHOBHANBABU</t>
  </si>
  <si>
    <t>MR RAVULAKOLANU PRASAD</t>
  </si>
  <si>
    <t>MR ISMAL PASHA</t>
  </si>
  <si>
    <t>MR M NAIK</t>
  </si>
  <si>
    <t>MR SHAIK SAIDA</t>
  </si>
  <si>
    <t>MR Gangula Seetha Rami</t>
  </si>
  <si>
    <t>MR Goskula Srinivas</t>
  </si>
  <si>
    <t>MR KIRAN KUMAR CHALLA</t>
  </si>
  <si>
    <t>MR SIVANAGAKUMAR MELLABOINA</t>
  </si>
  <si>
    <t>MR. PONNAGANTI DAVID</t>
  </si>
  <si>
    <t>MR M R Suresh</t>
  </si>
  <si>
    <t>MR Pedda Mallu Malleswara</t>
  </si>
  <si>
    <t>MR Merugu Vamshikrishna</t>
  </si>
  <si>
    <t>MR PRAVEEN GADDAM</t>
  </si>
  <si>
    <t>MR Yedire Sravan Pramod</t>
  </si>
  <si>
    <t>MR Penumallu V N</t>
  </si>
  <si>
    <t>MR Maneesh C Koppula</t>
  </si>
  <si>
    <t>MR Guguloth Rajender Naik</t>
  </si>
  <si>
    <t>MS Kota Pragathi</t>
  </si>
  <si>
    <t>MR YARAMALA REDDY</t>
  </si>
  <si>
    <t>MR VADAVALLI PAVAN KUMAR</t>
  </si>
  <si>
    <t>MR THATTA SAI MADHAVA</t>
  </si>
  <si>
    <t>MR. PACHARLA DEVENDRANAIDU</t>
  </si>
  <si>
    <t>MR VETTI SUBRAMANYAM TEJA</t>
  </si>
  <si>
    <t>MR G SREENATH</t>
  </si>
  <si>
    <t>MS GUJJALA CHANDRAKALAVATHI</t>
  </si>
  <si>
    <t>MR DEVENDRA KAVADI</t>
  </si>
  <si>
    <t>MR KUNDOORU REDDY</t>
  </si>
  <si>
    <t>MR Gunturu Nagaraju</t>
  </si>
  <si>
    <t>7001502230</t>
  </si>
  <si>
    <t>8790458518</t>
  </si>
  <si>
    <t>9014634680</t>
  </si>
  <si>
    <t>8985141213</t>
  </si>
  <si>
    <t>7036592824</t>
  </si>
  <si>
    <t>9989838974</t>
  </si>
  <si>
    <t>9533596596</t>
  </si>
  <si>
    <t>9908764433</t>
  </si>
  <si>
    <t>9441680184</t>
  </si>
  <si>
    <t>7702767575</t>
  </si>
  <si>
    <t>9966508072</t>
  </si>
  <si>
    <t>9177917626</t>
  </si>
  <si>
    <t>9492721202</t>
  </si>
  <si>
    <t>9441788258</t>
  </si>
  <si>
    <t>9948996396</t>
  </si>
  <si>
    <t>8722045222</t>
  </si>
  <si>
    <t>9160661235</t>
  </si>
  <si>
    <t>9848649409</t>
  </si>
  <si>
    <t>8712929000</t>
  </si>
  <si>
    <t>9440149632</t>
  </si>
  <si>
    <t>8886553747</t>
  </si>
  <si>
    <t>9963075095</t>
  </si>
  <si>
    <t>9440558014</t>
  </si>
  <si>
    <t>9885768879</t>
  </si>
  <si>
    <t>8800175140</t>
  </si>
  <si>
    <t>7013294882</t>
  </si>
  <si>
    <t>9886096144</t>
  </si>
  <si>
    <t>9642708713</t>
  </si>
  <si>
    <t>8688456207</t>
  </si>
  <si>
    <t>9000833693</t>
  </si>
  <si>
    <t>8297270087</t>
  </si>
  <si>
    <t>9014753292</t>
  </si>
  <si>
    <t>9848474245</t>
  </si>
  <si>
    <t>9182479795</t>
  </si>
  <si>
    <t>8790000738</t>
  </si>
  <si>
    <t>9640145262</t>
  </si>
  <si>
    <t>HOUSE NO 3 424 C O P SRINIWAS RAO 2ND FLOOR SRINIWASA NILAYAM "ROAD NO 14,TELANGANA" NEAR SRINIWASA NILAYAM ADILABAD TNG 504208</t>
  </si>
  <si>
    <t>18-1-397 TIRUPATI BHAVANI NAGAR CHITTOOR TIRUPATHI ANP 517501</t>
  </si>
  <si>
    <t>H NO 12 117 3 SANTHOSH NAGAAR ERRAKUNTA NAKIREKA MANDAL NAKREKAL  SURYAPET TNG 508211</t>
  </si>
  <si>
    <t>H NO 5-6-123/1 KAPUWADA MARUTHI NAGAR MARUTHI NAGAR OPP GAYATRI NAGAR Karimnagar TNG 505001</t>
  </si>
  <si>
    <t>HOUSE NO 9 "DWARKA SWEET HOMES, PRASANNAYANAPALLI"  NEAR BHAIRAVA NAGAR 20TH CROSS ANAPARTHI ANP 515002</t>
  </si>
  <si>
    <t>2/151-5 MARUTHI NAGAR   NEW SURIYAN HOSPITAL CUDDAPAH ANP 516001</t>
  </si>
  <si>
    <t>D NO 61-15-4 RAMALINGESWARA NAGAR RAMA LINGESWARA NAGAR ROAD YK MAIN ROAD VIJAYAWADA ANP 520013</t>
  </si>
  <si>
    <t>H NO 4-3-153 GAJULA RAJAM BASTI KOTHAGUDEM  NR GOVT AREA HOSPITAL Khammam TNG 507101</t>
  </si>
  <si>
    <t>"89,1ST,DOOR NO.59A-8-4-6/2" "VASAVI ,GURUNANAK COLONY" VASAVI NAGAR "OPP SWAPNA CLINC, BESIDE BASKI" VIJAYAWADA ANP 520008</t>
  </si>
  <si>
    <t>HNO 6-61 SAGARAVEEDHI PARKALMANDAL   NR SANTHOSH HOSPITAL WARANGAL ANP 506164</t>
  </si>
  <si>
    <t>H NO 28/184/L/5 SADIK NAGAR NADYALA   OPP SRI SHAILA HIGH SCHOOL NANDYAL ANP 518501</t>
  </si>
  <si>
    <t>"2-11-88,SARASWATHI NAGAR,GOPALPUR" "ROAD,HANAMKONDA,WARANGAL" TELANGANA . WARANGAL TNG 506009</t>
  </si>
  <si>
    <t>6/1061-e Guntakal bhagya nagar near Ganta church bhagya nagar Guntakal  GUNTAKAL ANP 515801</t>
  </si>
  <si>
    <t>"MANGALI BAZAR,12-181 FLR,JAGGAYYAPETA," "JAGGAYYAPETA,NEAR MAZID"   KRISHNA ANP 521175</t>
  </si>
  <si>
    <t>3-93   lingamguntla GUNTUR ANP 522601</t>
  </si>
  <si>
    <t>MPPS KONDAPOOR VELGATOOR JAGTIAL KONDAPOOR KARIMNAGAR TNG 505526</t>
  </si>
  <si>
    <t>D NO 23-1 FATHEKANPET 469 FLR ARIGELA VARI STRET  NR MAHALAXMI TEMPLE NELLORE ANP 524002</t>
  </si>
  <si>
    <t>7-11-174 4th line kakumanu vari thota donka road -donka road GUNTUR ANP 522002</t>
  </si>
  <si>
    <t>C O KRUPA NELAYAM DNO 24C 11 26P R R PET ELURU  2 BESIDE S E S D M H SCHOOL ELURU ANP 534002</t>
  </si>
  <si>
    <t>3-82/2 M N M Rice Mill M N M Rice Mill Kapu Street CHITTOOR ANP 517583</t>
  </si>
  <si>
    <t>3/40 gurrala chintala palli gurrala chinthala palli Cuddapah CUDDAPAH ANP 516218</t>
  </si>
  <si>
    <t>"103,8-3-38,,2/2/1/3/A/1, Vijaya Residency" "Laxmi Ganapathi Colony," Beside of Madhavi water plant Sapthagiri Colony Karimnagar KARIMNAGAR TNG 505001</t>
  </si>
  <si>
    <t>"8-7-59,Kothirampur"  Kothirampur Church Back side road KARIM NAGAR TNG 505001</t>
  </si>
  <si>
    <t>18/100a-3 Kurnool Shroff Bazar Kurnool KURNOOL ANP 518001</t>
  </si>
  <si>
    <t>4-123 Kothapalli Mandalam Society Street East Godavari KAKINADA ANP 533447</t>
  </si>
  <si>
    <t>S O  Koppula Sangeet Kumar House Number7 -17-369/13 5 th line Mallikharjuna Peta Guntur  Guntur Andhra Pradesh 522002 VIJAYAWADA GUNTUR ANP 522002</t>
  </si>
  <si>
    <t>4-11/1 Gopal puram kanaka durga colony Warangal WARANGAL TNG 506015</t>
  </si>
  <si>
    <t>2.8.600 Bhavani.Nagar ..Bhavani.Nagar Hanamkonda WARANGAL TNG 506001</t>
  </si>
  <si>
    <t>B14 SARVARAJUPETA PEDDANAPADU NR REMPOLE PRODDATUR ANP 516309</t>
  </si>
  <si>
    <t>15-108 TANUKU MANDALAM MASEED STREET  BHIMAVARAM ANP 534222</t>
  </si>
  <si>
    <t>6-130 TANUKU MANDALAM   West Godavari ANP 534156</t>
  </si>
  <si>
    <t>H NO 4-12-INJEDU (VIA POST) UYYALAVADA (MADAL) KURNOOL (DIST)  NANDYAL ANP 518155</t>
  </si>
  <si>
    <t>"5-7,," ",Sadasiva shankarapu" Nagalapuram Near water tank CHITTOOR ANP 517589</t>
  </si>
  <si>
    <t>15-1871 CHITTOOR POLICE QUARTERS CHITTOOR CHITTOOR ANP 517001</t>
  </si>
  <si>
    <t>7/82-0-15 BALIJAPALLI RAJAMPET GANGAMMA TEMPLE CUDDAPAH ANP 516115</t>
  </si>
  <si>
    <t>D NO 4/320 ACHARAMMA KOTTALA  MAIN ROAD GUNTAKAL ANP 515801</t>
  </si>
  <si>
    <t>"1-33,ANUMULA,,ANUMULA,NEAR KV COLONY" - - arumula NALGONDA TNG 508377</t>
  </si>
  <si>
    <t>22 25 1537 POTTISRIRAMULU NAGAR GUNTUR AMARAVATHI ROAD GUNTUR ANP 522002</t>
  </si>
  <si>
    <t>JINDAL POWER LTD JINDAL POWER LIMITED 3400 MEGHA WATT RAIGARH RAIGARH RAIGARH CHS 496107 \</t>
  </si>
  <si>
    <t>PRIEST HOUSE NO 18/1/455 BHAVANI NAGAR TIRUPATI ANDHRAPRADESH BHAVANI NAGAR TIRUPATI ANDHRAPRADESH TIRUPATHI ANP 517501 \</t>
  </si>
  <si>
    <t>HOME HOUSE NUMBER 12 117 3 SANTHOSH NAGAR SANTHOSH NAGAR SURYAPET TNG 508211 \</t>
  </si>
  <si>
    <t>SRI DURGAON LINE SERVICES D NO 5-6-123/1 GROUND FLOOR MARUTHI NAGAR KAPUWADA MARUTHI NAGAR KAPUWADA Karimnagar TNG 505001 \</t>
  </si>
  <si>
    <t>GOVERNMENT OF AP "TAHSILDAR OFFICE,RODDAM MANDAL" SRI SATHYA SAI DIST SRI SATHYA SAI DIST HINDUPUR ANP 515123 \</t>
  </si>
  <si>
    <t>GOVT OF PRICIPAL GOVT DIETRABACHOTY DEPARTMENT RAYA CHOTY   CUDDAPAH ANP 516001 \</t>
  </si>
  <si>
    <t>MAHINDRA RURAL HOUSING FINANCE LTD D NO 54-1/2D 4TH FLOOR SRI SURYA PREMIEAR VETERNORY COLONY NH 5 VETERNORY COLONY NH 5 VIJAYAWADA ANP 520008 \</t>
  </si>
  <si>
    <t>RISNIG FOOT WEAR M G ROAD KOTHAGUDEM   Khammam TNG 507101 \</t>
  </si>
  <si>
    <t>ING VYSYA BANK LTD HNO 3-3-798 GENERAL BAZAR SECUNDERABAD SECUNDERABAD Hyderabad TNG 500003 \</t>
  </si>
  <si>
    <t>GOVT OF TELANGANA MANDAL PARISHAD PRIMARY SCHOOL GOPALPURM   WARANGAL ANP 506348 \</t>
  </si>
  <si>
    <t>STATE BANK OF INDIA NUNNE PALLE ROAD 28/987/A 1ST FLOOR SAI BABA NAGAR NANDYAL SAI BABA NAGAR NANDYAL NANDYAL ANP 518501 \</t>
  </si>
  <si>
    <t>TAWAKKAL COMMUNICATIONS H NO 2-11-88 MAIN ROAD GOPALPUR GOPALPUR WARANGAL TNG 506009 \</t>
  </si>
  <si>
    <t>Ashok Naik 6/1061-e Bhagya Nagar Guntakal Guntakal GUNTAKAL ANP 515801 \</t>
  </si>
  <si>
    <t>Nagul saida "12-181, MANGALI bazar near mazid" Jaggayyapeta Jaggayyapeta JAGGAIAHPET ANP 521175 \</t>
  </si>
  <si>
    <t>CREDIBLENGINEERINGCONSTRUCTIONPROJECTLTD PLOT NO .32 SAGAR SOCIETY.ROAD NO 2 BANJARA HILLS HY SAGAR SOCIETY.ROAD NO 2 BANJARA HILLS HY HYDERABAD TNG 500034 \</t>
  </si>
  <si>
    <t>MPPS KONDAPOOR MPPS KONDAPOOR VELGATOOR JAGTIAL VELGATOOR JAGTIAL KARIMNAGAR TNG 505526 \</t>
  </si>
  <si>
    <t>RATNAM SCHOOL HARINADHA PURAM 2ND LINE   NELLORE ANP 524002 \</t>
  </si>
  <si>
    <t>SLEEK INTERNATIONAL PVT LTD 3RD FLOOR D G WING LOTUS CORPORATE PARK OFF WESTERN EXPRESS HIGWAY GOREGAON OFF WESTERN EXPRESS HIGWAY GOREGAON MUMBAI MAH 400063 \</t>
  </si>
  <si>
    <t>SUMUTOMO CHEMICAL INDIA PVT LTD BLOCK NO 2  PLAT NO 2 AUTO NAGAR  HYDERABAD AUTO NAGAR  HYDERABAD Rangareddy TNG 500070 \</t>
  </si>
  <si>
    <t>SAI RAM CLINIC 5-9 SENGUNDHA STREET SENGUNDHA STREET CHITTOOR ANP 517583 \</t>
  </si>
  <si>
    <t>AURORE LIFE SCIENCES PRIVATE LIMITED AURORE LIFE SCIENCES PRIVATE LIMITED "SURVEY NO- 180/2 ,180/3 , KHAZIPALLY VIL" "SURVEY NO- 180/2 ,180/3 , KHAZIPALLY VIL" HYDERABAD TNG 502319 \</t>
  </si>
  <si>
    <t>BUSINESS "9-5-212/1,SHIVANAGAR" NEAR TELIPHONE QUATERS NEAR TELIPHONE QUATERS KARIMNAGAR TNG 505002 \</t>
  </si>
  <si>
    <t>GENPACT INDIA PVT LTD BUILDING NO 8 RAHEJA MIND SPACE POCHARAM   Hyderabad TNG 500088 \</t>
  </si>
  <si>
    <t>TRIPURA JEWELLERS NO.3 SHARAFF BAZAR NEAR HPO NEAR HPO KURNOOL ANP 518001 \</t>
  </si>
  <si>
    <t>THOMSON REUTERS INDIA PRIVATE LIMITED MADHAPUR MADHAPUR MADHAPUR HYDERABAD TNG 500082 \</t>
  </si>
  <si>
    <t>INTERGRAPH CONSULTING PVT LTDPICOG BEGUMPET HYDERABAD HYDERABAD HYDERABAD TNG 500040 \</t>
  </si>
  <si>
    <t>KAKATIYA INSTITUTE OF TECHNOLOGY AND SCI DEPT. OF EEE BLOCK 3 BLOCK 3 WARANGAL TNG 506015 \</t>
  </si>
  <si>
    <t>NEW.SCIENCE.PG.COLLEGE HUNTER.ROAD HANAMKONDA. HANAMKONDA. WARANGAL TNG 506001 \</t>
  </si>
  <si>
    <t>GEMINI CONSULTING AND SERVICES INDIA PRI Q CITY B BLOCK 1ST FLOOR NANAKRAMGUDA NANAKRAMGUDA HYDERABAD TNG 500032 \</t>
  </si>
  <si>
    <t>APSACS GOVERNAMENT.HOSPITAL BESIDE.MARKETYARD. BESIDE.MARKETYARD. KAKINADA ANP 533401 \</t>
  </si>
  <si>
    <t>PERSISTENT SYSTEMS LIMITED TOWER C MAROL CHS RD GAMDEVI MAROL ANDHERI EAST GAMDEVI MAROL ANDHERI EAST MUMBAI MAH 400059 \</t>
  </si>
  <si>
    <t>WIPRO LIMITED ALSO WIPRO TECHNOLOGIES A C8GRRP4 WIPRO SEZ ROAD HYDERBAD HYDERBAD HYDERABAD TNG 500032 \</t>
  </si>
  <si>
    <t>DEPARTMENT OF POSTS "SHIVALAYAM STREET ,WEST GODAVARI" TALLAPUDI TALLAPUDI West Godavari ANP 534341 \</t>
  </si>
  <si>
    <t>UTC FIRE AND SECURITY INDIA PVT 20 10TH FLOOR BUILDING NO:12C RAHEJA MINDSPACE INORBIT MALL ROAD MADHAPUR RAHEJA MINDSPACE INORBIT MALL ROAD MADHAPUR HYDERABAD TNG 500081 \</t>
  </si>
  <si>
    <t>TURBOTECH ENGINEERS "SUNSHINE, HUDA COLONY, CHANDA" "NAGAR,HYDERABED" "NAGAR,HYDERABED" HYDERABAD TNG 500050 \</t>
  </si>
  <si>
    <t>OSI SYSTEMS PRIVATE LIMITED 4TH FLOOR ORION BLOCK SOFTWARE UNITS LAYOUT MADHAPUR LAYOUT MADHAPUR HYDERABAD TNG 500081 \</t>
  </si>
  <si>
    <t>EPAM SYSTEMS INDIA PVT LTD 11T FLR PLOT NO 2 PHASE 1 SURVEY NO 8341 SALARPURIA SATVVA KNOWLEDGE CITY RAIDURG SALARPURIA SATVVA KNOWLEDGE CITY RAIDURG HYDERABAD TNG 500081 \</t>
  </si>
  <si>
    <t>CENTRAL GOVT  OF AP SOUTH CENTRAL RAILWAY OPERATING DEPARTMENT OPERATING DEPARTMENT KURNOOL ANP 518468 \</t>
  </si>
  <si>
    <t>HOSPIRA HEALTHCARE INDIA PVT L Pfizer Heath Carr India put ltd Tease arch and development Tease arch and development CHENNAI TMN 602117 \</t>
  </si>
  <si>
    <t>MAHINDRA   MAHINDRA LIMITED 149 MANGALAGIRI MANGALAGIRI ROAD AGATHAVARAPADU MANGALAGIRI ROAD AGATHAVARAPADU GUNTUR ANP 522001 \</t>
  </si>
  <si>
    <t>18TH JULY</t>
  </si>
  <si>
    <t>0000000023823613</t>
  </si>
  <si>
    <t>0000000024297211</t>
  </si>
  <si>
    <t>0000000025219807</t>
  </si>
  <si>
    <t>0000000024350976</t>
  </si>
  <si>
    <t>0000000030166417</t>
  </si>
  <si>
    <t>0000000016228551</t>
  </si>
  <si>
    <t>0000000016246030</t>
  </si>
  <si>
    <t>0000000016353233</t>
  </si>
  <si>
    <t>0000000016790892</t>
  </si>
  <si>
    <t>0000000016800551</t>
  </si>
  <si>
    <t>0000000016833495</t>
  </si>
  <si>
    <t>0000000017002273</t>
  </si>
  <si>
    <t>0000000017042398</t>
  </si>
  <si>
    <t>0000000017087706</t>
  </si>
  <si>
    <t>0000000017384636</t>
  </si>
  <si>
    <t>0000000017452403</t>
  </si>
  <si>
    <t>0000000017476805</t>
  </si>
  <si>
    <t>0000000017611178</t>
  </si>
  <si>
    <t>0000000017627542</t>
  </si>
  <si>
    <t>0000000017694088</t>
  </si>
  <si>
    <t>0000000017774039</t>
  </si>
  <si>
    <t>0000000017819026</t>
  </si>
  <si>
    <t>0000000018423307</t>
  </si>
  <si>
    <t>0000000019103209</t>
  </si>
  <si>
    <t>0000000020964104</t>
  </si>
  <si>
    <t>0000000021847846</t>
  </si>
  <si>
    <t>0000000023011433</t>
  </si>
  <si>
    <t>0000000026145120</t>
  </si>
  <si>
    <t>0000000026688815</t>
  </si>
  <si>
    <t>0000000026984999</t>
  </si>
  <si>
    <t>0000000027562028</t>
  </si>
  <si>
    <t>0000000029487086</t>
  </si>
  <si>
    <t>0000000032198583</t>
  </si>
  <si>
    <t>0000000008472554</t>
  </si>
  <si>
    <t>0000000017688498</t>
  </si>
  <si>
    <t>0000000023395394</t>
  </si>
  <si>
    <t>0000000024083650</t>
  </si>
  <si>
    <t>0000000024023851</t>
  </si>
  <si>
    <t>0000000015536552</t>
  </si>
  <si>
    <t>0000000033070790</t>
  </si>
  <si>
    <t>ustomer given address visit address not found trying to alternative // Customer given office address visit customer not available not working transfer to other please no information from staff, customer call not answer // Customer given address visit address door locked trying to alternative</t>
  </si>
  <si>
    <t>Met the cust said going to through legal not ready to pay</t>
  </si>
  <si>
    <t>Customer given House address visited customer not living in this address enquired with house owner's they said this name of person not available in this house customer not responding phone calls going for working address // Customer given working address visited customer live at working address discussed about payment customer said that call back evening // Customer given working address visited customer present not available calls not answering left message to staff // Customer working address visited waiting for customer // Customer working address visited customer available customer waiting for money coming from outside said that call back evening / Customer working address visited waiting for customer</t>
  </si>
  <si>
    <t>Cus  given address not found but cus responded in call and said that he will do payment on 20th sir // Cus given address found, door locked and cus  not responding to given number sir // Cus given address Re-visit, but cus was skipped enquire with neighbors.,also cus not responding to calls sir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</si>
</sst>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font>
    <font>
      <b/>
      <sz val="11"/>
      <name val="Calibri"/>
      <family val="2"/>
    </font>
    <font>
      <sz val="11"/>
      <color theme="1"/>
      <name val="Calibri"/>
      <family val="2"/>
      <scheme val="minor"/>
    </font>
    <font>
      <sz val="8"/>
      <name val="Calibri"/>
      <family val="2"/>
      <scheme val="minor"/>
    </font>
    <font>
      <b/>
      <sz val="11"/>
      <color theme="1"/>
      <name val="Calibri"/>
      <family val="2"/>
      <scheme val="minor"/>
    </font>
  </fonts>
  <fills count="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5"/>
        <bgColor indexed="64"/>
      </patternFill>
    </fill>
    <fill>
      <patternFill patternType="solid">
        <fgColor theme="9"/>
        <bgColor indexed="64"/>
      </patternFill>
    </fill>
    <fill>
      <patternFill patternType="solid">
        <fgColor theme="4" tint="0.59999389629810485"/>
        <bgColor indexed="64"/>
      </patternFill>
    </fill>
    <fill>
      <patternFill patternType="solid">
        <fgColor rgb="FF002060"/>
        <bgColor indexed="64"/>
      </patternFill>
    </fill>
    <fill>
      <patternFill patternType="solid">
        <fgColor theme="5"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9" fontId="3" fillId="0" borderId="0" applyFont="0" applyFill="0" applyBorder="0" applyAlignment="0" applyProtection="0"/>
  </cellStyleXfs>
  <cellXfs count="65">
    <xf numFmtId="0" fontId="0" fillId="0" borderId="0" xfId="0"/>
    <xf numFmtId="14" fontId="0" fillId="0" borderId="2" xfId="0" applyNumberFormat="1" applyBorder="1" applyAlignment="1">
      <alignment horizontal="left" vertical="top"/>
    </xf>
    <xf numFmtId="14" fontId="0" fillId="0" borderId="1" xfId="0" applyNumberFormat="1" applyBorder="1" applyAlignment="1">
      <alignment horizontal="left" vertical="top"/>
    </xf>
    <xf numFmtId="0" fontId="0" fillId="2" borderId="4" xfId="0" applyFill="1" applyBorder="1" applyAlignment="1">
      <alignment horizontal="left" vertical="top"/>
    </xf>
    <xf numFmtId="0" fontId="0" fillId="2" borderId="5" xfId="0" applyFill="1" applyBorder="1" applyAlignment="1">
      <alignment horizontal="left" vertical="top"/>
    </xf>
    <xf numFmtId="0" fontId="0" fillId="3" borderId="5" xfId="0" applyFill="1" applyBorder="1" applyAlignment="1">
      <alignment horizontal="left" vertical="top"/>
    </xf>
    <xf numFmtId="0" fontId="0" fillId="4" borderId="5" xfId="0" applyFill="1" applyBorder="1" applyAlignment="1">
      <alignment horizontal="left" vertical="top"/>
    </xf>
    <xf numFmtId="0" fontId="0" fillId="5" borderId="5" xfId="0" applyFill="1" applyBorder="1" applyAlignment="1">
      <alignment horizontal="left" vertical="top"/>
    </xf>
    <xf numFmtId="0" fontId="0" fillId="2" borderId="6" xfId="0" applyFill="1" applyBorder="1" applyAlignment="1">
      <alignment horizontal="left" vertical="top"/>
    </xf>
    <xf numFmtId="0" fontId="0" fillId="0" borderId="3" xfId="0" applyBorder="1" applyAlignment="1">
      <alignment horizontal="left" vertical="top"/>
    </xf>
    <xf numFmtId="0" fontId="0" fillId="0" borderId="1" xfId="0" applyBorder="1" applyAlignment="1">
      <alignment horizontal="left" vertical="top"/>
    </xf>
    <xf numFmtId="0" fontId="0" fillId="0" borderId="7" xfId="0" applyBorder="1" applyAlignment="1">
      <alignment horizontal="left" vertical="top"/>
    </xf>
    <xf numFmtId="0" fontId="0" fillId="0" borderId="0" xfId="0"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10" fontId="0" fillId="6" borderId="0" xfId="0" applyNumberFormat="1" applyFill="1" applyAlignment="1">
      <alignment horizontal="center" vertical="center"/>
    </xf>
    <xf numFmtId="0" fontId="1" fillId="7" borderId="1" xfId="0" applyFont="1" applyFill="1" applyBorder="1" applyAlignment="1">
      <alignment horizontal="center" vertical="center"/>
    </xf>
    <xf numFmtId="0" fontId="2" fillId="3" borderId="1" xfId="0" applyFont="1" applyFill="1" applyBorder="1" applyAlignment="1">
      <alignment horizontal="center" vertical="center"/>
    </xf>
    <xf numFmtId="9" fontId="0" fillId="0" borderId="0" xfId="0" applyNumberFormat="1" applyAlignment="1">
      <alignment horizontal="center" vertical="center"/>
    </xf>
    <xf numFmtId="0" fontId="0" fillId="0" borderId="1" xfId="0" applyBorder="1" applyAlignment="1">
      <alignment horizontal="center" vertical="center"/>
    </xf>
    <xf numFmtId="10" fontId="0" fillId="0" borderId="0" xfId="1" applyNumberFormat="1" applyFont="1" applyAlignment="1">
      <alignment horizontal="center" vertical="center"/>
    </xf>
    <xf numFmtId="10" fontId="2" fillId="3" borderId="1" xfId="1" applyNumberFormat="1" applyFont="1" applyFill="1" applyBorder="1" applyAlignment="1">
      <alignment horizontal="center" vertical="center"/>
    </xf>
    <xf numFmtId="10" fontId="0" fillId="0" borderId="1" xfId="1" applyNumberFormat="1" applyFont="1" applyBorder="1" applyAlignment="1">
      <alignment horizontal="center" vertical="center"/>
    </xf>
    <xf numFmtId="1" fontId="0" fillId="0" borderId="1" xfId="0" applyNumberFormat="1" applyBorder="1" applyAlignment="1">
      <alignment horizontal="left" vertical="top"/>
    </xf>
    <xf numFmtId="1" fontId="0" fillId="3" borderId="1" xfId="0" applyNumberFormat="1" applyFill="1" applyBorder="1" applyAlignment="1">
      <alignment horizontal="left" vertical="top"/>
    </xf>
    <xf numFmtId="0" fontId="0" fillId="0" borderId="0" xfId="0" applyAlignment="1">
      <alignment horizontal="left" vertical="top" wrapText="1"/>
    </xf>
    <xf numFmtId="9" fontId="0" fillId="0" borderId="0" xfId="1" applyFont="1" applyAlignment="1">
      <alignment horizontal="center" vertical="center"/>
    </xf>
    <xf numFmtId="9" fontId="1" fillId="7" borderId="1" xfId="1" applyFont="1" applyFill="1" applyBorder="1" applyAlignment="1">
      <alignment horizontal="center" vertical="center"/>
    </xf>
    <xf numFmtId="9" fontId="0" fillId="0" borderId="1" xfId="1" applyFont="1" applyBorder="1" applyAlignment="1">
      <alignment horizontal="center" vertical="center"/>
    </xf>
    <xf numFmtId="0" fontId="0" fillId="0" borderId="1" xfId="0" pivotButton="1" applyBorder="1" applyAlignment="1">
      <alignment horizontal="center" vertical="center"/>
    </xf>
    <xf numFmtId="0" fontId="0" fillId="5" borderId="1" xfId="0" applyFill="1" applyBorder="1" applyAlignment="1">
      <alignment horizontal="center" vertical="center"/>
    </xf>
    <xf numFmtId="0" fontId="5" fillId="6" borderId="0" xfId="0" applyFont="1" applyFill="1" applyAlignment="1">
      <alignment horizontal="center" vertical="center"/>
    </xf>
    <xf numFmtId="10" fontId="5" fillId="6" borderId="0" xfId="0" applyNumberFormat="1" applyFont="1" applyFill="1" applyAlignment="1">
      <alignment horizontal="center" vertical="center"/>
    </xf>
    <xf numFmtId="0" fontId="0" fillId="0" borderId="0" xfId="0" applyAlignment="1">
      <alignment horizontal="left" vertical="top"/>
    </xf>
    <xf numFmtId="0" fontId="0" fillId="0" borderId="2" xfId="0" applyBorder="1" applyAlignment="1">
      <alignment horizontal="left" vertical="top"/>
    </xf>
    <xf numFmtId="1" fontId="0" fillId="0" borderId="0" xfId="0" applyNumberFormat="1" applyAlignment="1">
      <alignment horizontal="center" vertical="center"/>
    </xf>
    <xf numFmtId="1" fontId="0" fillId="0" borderId="3" xfId="0" applyNumberFormat="1" applyBorder="1" applyAlignment="1">
      <alignment horizontal="left" vertical="top"/>
    </xf>
    <xf numFmtId="1" fontId="0" fillId="0" borderId="2" xfId="0" applyNumberFormat="1" applyBorder="1" applyAlignment="1">
      <alignment horizontal="left" vertical="top"/>
    </xf>
    <xf numFmtId="0" fontId="0" fillId="0" borderId="9" xfId="0" applyBorder="1" applyAlignment="1">
      <alignment horizontal="left" vertical="top"/>
    </xf>
    <xf numFmtId="0" fontId="0" fillId="0" borderId="8" xfId="0" applyBorder="1" applyAlignment="1">
      <alignment horizontal="left" vertical="top"/>
    </xf>
    <xf numFmtId="1" fontId="0" fillId="3" borderId="7" xfId="0" applyNumberFormat="1" applyFill="1" applyBorder="1" applyAlignment="1">
      <alignment horizontal="left" vertical="top"/>
    </xf>
    <xf numFmtId="1" fontId="0" fillId="0" borderId="9" xfId="0" applyNumberFormat="1" applyBorder="1" applyAlignment="1">
      <alignment horizontal="left" vertical="top"/>
    </xf>
    <xf numFmtId="1" fontId="0" fillId="0" borderId="7" xfId="0" applyNumberFormat="1" applyBorder="1" applyAlignment="1">
      <alignment horizontal="left" vertical="top"/>
    </xf>
    <xf numFmtId="1" fontId="0" fillId="0" borderId="8" xfId="0" applyNumberFormat="1" applyBorder="1" applyAlignment="1">
      <alignment horizontal="left" vertical="top"/>
    </xf>
    <xf numFmtId="14" fontId="0" fillId="0" borderId="7" xfId="0" applyNumberFormat="1" applyBorder="1" applyAlignment="1">
      <alignment horizontal="left" vertical="top"/>
    </xf>
    <xf numFmtId="14" fontId="0" fillId="0" borderId="8" xfId="0" applyNumberFormat="1" applyBorder="1" applyAlignment="1">
      <alignment horizontal="left" vertical="top"/>
    </xf>
    <xf numFmtId="0" fontId="0" fillId="2" borderId="1" xfId="0" applyFill="1" applyBorder="1" applyAlignment="1">
      <alignment horizontal="left" vertical="top"/>
    </xf>
    <xf numFmtId="0" fontId="0" fillId="3" borderId="1" xfId="0" applyFill="1" applyBorder="1" applyAlignment="1">
      <alignment horizontal="left" vertical="top"/>
    </xf>
    <xf numFmtId="0" fontId="0" fillId="4" borderId="1" xfId="0" applyFill="1" applyBorder="1" applyAlignment="1">
      <alignment horizontal="left" vertical="top"/>
    </xf>
    <xf numFmtId="0" fontId="0" fillId="5" borderId="1" xfId="0" applyFill="1" applyBorder="1" applyAlignment="1">
      <alignment horizontal="left" vertical="top"/>
    </xf>
    <xf numFmtId="0" fontId="0" fillId="2" borderId="2" xfId="0" applyFill="1" applyBorder="1" applyAlignment="1">
      <alignment horizontal="left" vertical="top"/>
    </xf>
    <xf numFmtId="0" fontId="0" fillId="0" borderId="1" xfId="0" applyBorder="1" applyAlignment="1">
      <alignment horizontal="center" vertical="center" wrapText="1"/>
    </xf>
    <xf numFmtId="0" fontId="0" fillId="0" borderId="3" xfId="0" quotePrefix="1" applyBorder="1" applyAlignment="1">
      <alignment horizontal="left" vertical="top"/>
    </xf>
    <xf numFmtId="0" fontId="0" fillId="0" borderId="9" xfId="0" quotePrefix="1" applyBorder="1" applyAlignment="1">
      <alignment horizontal="left" vertical="top"/>
    </xf>
    <xf numFmtId="0" fontId="0" fillId="0" borderId="1" xfId="0" applyBorder="1" applyAlignment="1">
      <alignment horizontal="left" vertical="top" wrapText="1"/>
    </xf>
    <xf numFmtId="0" fontId="0" fillId="8" borderId="7" xfId="0" applyFill="1" applyBorder="1" applyAlignment="1">
      <alignment horizontal="left" vertical="top"/>
    </xf>
    <xf numFmtId="0" fontId="0" fillId="0" borderId="3" xfId="0" applyBorder="1" applyAlignment="1">
      <alignment horizontal="left" vertical="top" wrapText="1"/>
    </xf>
    <xf numFmtId="9" fontId="0" fillId="0" borderId="0" xfId="1" applyFont="1" applyBorder="1" applyAlignment="1">
      <alignment horizontal="center" vertical="center"/>
    </xf>
    <xf numFmtId="10" fontId="0" fillId="0" borderId="0" xfId="1" applyNumberFormat="1" applyFont="1" applyBorder="1" applyAlignment="1">
      <alignment horizontal="center" vertical="center"/>
    </xf>
    <xf numFmtId="0" fontId="0" fillId="0" borderId="0" xfId="0" applyNumberFormat="1" applyAlignment="1">
      <alignment horizontal="center" vertical="center"/>
    </xf>
    <xf numFmtId="0" fontId="0" fillId="0" borderId="1" xfId="0" applyNumberFormat="1" applyBorder="1" applyAlignment="1">
      <alignment horizontal="center" vertical="center"/>
    </xf>
    <xf numFmtId="0" fontId="0" fillId="0" borderId="1" xfId="0" applyNumberFormat="1" applyBorder="1" applyAlignment="1">
      <alignment horizontal="left" vertical="top"/>
    </xf>
    <xf numFmtId="0" fontId="0" fillId="0" borderId="7" xfId="0" applyNumberFormat="1" applyBorder="1" applyAlignment="1">
      <alignment horizontal="left" vertical="top"/>
    </xf>
  </cellXfs>
  <cellStyles count="2">
    <cellStyle name="Normal" xfId="0" builtinId="0"/>
    <cellStyle name="Percent" xfId="1" builtinId="5"/>
  </cellStyles>
  <dxfs count="455">
    <dxf>
      <alignment vertical="center" indent="0" readingOrder="0"/>
    </dxf>
    <dxf>
      <alignment horizontal="center" readingOrder="0"/>
    </dxf>
    <dxf>
      <fill>
        <patternFill>
          <bgColor theme="9"/>
        </patternFill>
      </fill>
    </dxf>
    <dxf>
      <alignment vertical="center" readingOrder="0"/>
    </dxf>
    <dxf>
      <alignment horizontal="center" readingOrder="0"/>
    </dxf>
    <dxf>
      <numFmt numFmtId="1" formatCode="0"/>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patternFill>
      </fill>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numFmt numFmtId="164" formatCode="0.00,,"/>
    </dxf>
    <dxf>
      <numFmt numFmtId="0" formatCode="General"/>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alignment vertical="center" readingOrder="0"/>
    </dxf>
    <dxf>
      <alignment horizontal="center" readingOrder="0"/>
    </dxf>
    <dxf>
      <numFmt numFmtId="1" formatCode="0"/>
    </dxf>
    <dxf>
      <numFmt numFmtId="1" formatCode="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numFmt numFmtId="14" formatCode="0.0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bgColor theme="9"/>
        </patternFill>
      </fill>
    </dxf>
    <dxf>
      <fill>
        <patternFill patternType="solid">
          <bgColor theme="4" tint="0.59999389629810485"/>
        </patternFill>
      </fill>
    </dxf>
    <dxf>
      <alignment vertical="center" readingOrder="0"/>
    </dxf>
    <dxf>
      <alignment horizontal="center" readingOrder="0"/>
    </dxf>
    <dxf>
      <font>
        <b/>
      </font>
    </dxf>
    <dxf>
      <numFmt numFmtId="1" formatCode="0"/>
    </dxf>
    <dxf>
      <numFmt numFmtId="1" formatCode="0"/>
    </dxf>
    <dxf>
      <alignment horizontal="center"/>
    </dxf>
    <dxf>
      <alignment vertical="center" indent="0" readingOrder="0"/>
    </dxf>
    <dxf>
      <alignment horizontal="center" readingOrder="0"/>
    </dxf>
    <dxf>
      <fill>
        <patternFill>
          <bgColor theme="9"/>
        </patternFill>
      </fill>
    </dxf>
    <dxf>
      <alignment vertical="center" readingOrder="0"/>
    </dxf>
    <dxf>
      <alignment horizontal="center" readingOrder="0"/>
    </dxf>
    <dxf>
      <numFmt numFmtId="1" formatCode="0"/>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patternFill>
      </fill>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numFmt numFmtId="164" formatCode="0.00,,"/>
    </dxf>
    <dxf>
      <numFmt numFmtId="0" formatCode="General"/>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alignment vertical="center" readingOrder="0"/>
    </dxf>
    <dxf>
      <alignment horizontal="center" readingOrder="0"/>
    </dxf>
    <dxf>
      <numFmt numFmtId="1" formatCode="0"/>
    </dxf>
    <dxf>
      <numFmt numFmtId="1" formatCode="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numFmt numFmtId="14" formatCode="0.0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bgColor theme="9"/>
        </patternFill>
      </fill>
    </dxf>
    <dxf>
      <fill>
        <patternFill patternType="solid">
          <bgColor theme="4" tint="0.59999389629810485"/>
        </patternFill>
      </fill>
    </dxf>
    <dxf>
      <alignment vertical="center" readingOrder="0"/>
    </dxf>
    <dxf>
      <alignment horizontal="center" readingOrder="0"/>
    </dxf>
    <dxf>
      <font>
        <b/>
      </font>
    </dxf>
    <dxf>
      <numFmt numFmtId="1" formatCode="0"/>
    </dxf>
    <dxf>
      <numFmt numFmtId="1" formatCode="0"/>
    </dxf>
    <dxf>
      <alignment horizontal="center"/>
    </dxf>
    <dxf>
      <alignment vertical="center" indent="0" readingOrder="0"/>
    </dxf>
    <dxf>
      <alignment horizontal="center" readingOrder="0"/>
    </dxf>
    <dxf>
      <fill>
        <patternFill>
          <bgColor theme="9"/>
        </patternFill>
      </fill>
    </dxf>
    <dxf>
      <alignment vertical="center" readingOrder="0"/>
    </dxf>
    <dxf>
      <alignment horizontal="center" readingOrder="0"/>
    </dxf>
    <dxf>
      <numFmt numFmtId="1" formatCode="0"/>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patternFill>
      </fill>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numFmt numFmtId="164" formatCode="0.00,,"/>
    </dxf>
    <dxf>
      <numFmt numFmtId="0" formatCode="General"/>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alignment vertical="center" readingOrder="0"/>
    </dxf>
    <dxf>
      <alignment horizontal="center" readingOrder="0"/>
    </dxf>
    <dxf>
      <numFmt numFmtId="1" formatCode="0"/>
    </dxf>
    <dxf>
      <numFmt numFmtId="1" formatCode="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numFmt numFmtId="14" formatCode="0.0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bgColor theme="9"/>
        </patternFill>
      </fill>
    </dxf>
    <dxf>
      <fill>
        <patternFill patternType="solid">
          <bgColor theme="4" tint="0.59999389629810485"/>
        </patternFill>
      </fill>
    </dxf>
    <dxf>
      <alignment vertical="center" readingOrder="0"/>
    </dxf>
    <dxf>
      <alignment horizontal="center" readingOrder="0"/>
    </dxf>
    <dxf>
      <font>
        <b/>
      </font>
    </dxf>
    <dxf>
      <numFmt numFmtId="1" formatCode="0"/>
    </dxf>
    <dxf>
      <numFmt numFmtId="1" formatCode="0"/>
    </dxf>
    <dxf>
      <alignment horizontal="center"/>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bgColor theme="9"/>
        </patternFill>
      </fill>
    </dxf>
    <dxf>
      <fill>
        <patternFill patternType="solid">
          <bgColor theme="4" tint="0.59999389629810485"/>
        </patternFill>
      </fill>
    </dxf>
    <dxf>
      <alignment vertical="center" readingOrder="0"/>
    </dxf>
    <dxf>
      <alignment horizontal="center" readingOrder="0"/>
    </dxf>
    <dxf>
      <font>
        <b/>
      </font>
    </dxf>
    <dxf>
      <numFmt numFmtId="1" formatCode="0"/>
    </dxf>
    <dxf>
      <numFmt numFmtId="1" formatCode="0"/>
    </dxf>
    <dxf>
      <alignment horizontal="center"/>
    </dxf>
    <dxf>
      <alignment vertical="center" indent="0" readingOrder="0"/>
    </dxf>
    <dxf>
      <alignment horizontal="center" readingOrder="0"/>
    </dxf>
    <dxf>
      <fill>
        <patternFill>
          <bgColor theme="9"/>
        </patternFill>
      </fill>
    </dxf>
    <dxf>
      <alignment vertical="center" readingOrder="0"/>
    </dxf>
    <dxf>
      <alignment horizontal="center" readingOrder="0"/>
    </dxf>
    <dxf>
      <numFmt numFmtId="1" formatCode="0"/>
    </dxf>
    <dxf>
      <alignment vertical="center" indent="0" readingOrder="0"/>
    </dxf>
    <dxf>
      <alignment horizontal="center" readingOrder="0"/>
    </dxf>
    <dxf>
      <numFmt numFmtId="14" formatCode="0.0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alignment vertical="center" readingOrder="0"/>
    </dxf>
    <dxf>
      <alignment horizontal="center" readingOrder="0"/>
    </dxf>
    <dxf>
      <numFmt numFmtId="1" formatCode="0"/>
    </dxf>
    <dxf>
      <numFmt numFmtId="1" formatCode="0"/>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patternFill>
      </fill>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numFmt numFmtId="164" formatCode="0.00,,"/>
    </dxf>
    <dxf>
      <numFmt numFmtId="0" formatCode="General"/>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bgColor theme="9"/>
        </patternFill>
      </fill>
    </dxf>
    <dxf>
      <fill>
        <patternFill patternType="solid">
          <bgColor theme="4" tint="0.59999389629810485"/>
        </patternFill>
      </fill>
    </dxf>
    <dxf>
      <alignment vertical="center" readingOrder="0"/>
    </dxf>
    <dxf>
      <alignment horizontal="center" readingOrder="0"/>
    </dxf>
    <dxf>
      <font>
        <b/>
      </font>
    </dxf>
    <dxf>
      <numFmt numFmtId="1" formatCode="0"/>
    </dxf>
    <dxf>
      <numFmt numFmtId="1" formatCode="0"/>
    </dxf>
    <dxf>
      <alignment horizontal="center"/>
    </dxf>
    <dxf>
      <alignment vertical="center" indent="0" readingOrder="0"/>
    </dxf>
    <dxf>
      <alignment horizontal="center" readingOrder="0"/>
    </dxf>
    <dxf>
      <fill>
        <patternFill>
          <bgColor theme="9"/>
        </patternFill>
      </fill>
    </dxf>
    <dxf>
      <alignment vertical="center" readingOrder="0"/>
    </dxf>
    <dxf>
      <alignment horizontal="center" readingOrder="0"/>
    </dxf>
    <dxf>
      <numFmt numFmtId="1" formatCode="0"/>
    </dxf>
    <dxf>
      <alignment vertical="center" indent="0" readingOrder="0"/>
    </dxf>
    <dxf>
      <alignment horizontal="center" readingOrder="0"/>
    </dxf>
    <dxf>
      <numFmt numFmtId="14" formatCode="0.0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alignment vertical="center" readingOrder="0"/>
    </dxf>
    <dxf>
      <alignment horizontal="center" readingOrder="0"/>
    </dxf>
    <dxf>
      <numFmt numFmtId="1" formatCode="0"/>
    </dxf>
    <dxf>
      <numFmt numFmtId="1" formatCode="0"/>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patternFill>
      </fill>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numFmt numFmtId="164" formatCode="0.00,,"/>
    </dxf>
    <dxf>
      <numFmt numFmtId="0" formatCode="General"/>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numFmt numFmtId="1" formatCode="0"/>
      <fill>
        <patternFill patternType="solid">
          <fgColor indexed="64"/>
          <bgColor rgb="FFFFFF0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dxf>
    <dxf>
      <border>
        <bottom style="thin">
          <color indexed="64"/>
        </bottom>
      </border>
    </dxf>
    <dxf>
      <fill>
        <patternFill patternType="solid">
          <fgColor indexed="64"/>
          <bgColor rgb="FF92D050"/>
        </patternFill>
      </fill>
      <alignment horizontal="left" vertical="top" textRotation="0" wrapText="0" indent="0" justifyLastLine="0" shrinkToFit="0" readingOrder="0"/>
      <border diagonalUp="0" diagonalDown="0" outline="0">
        <left style="thin">
          <color indexed="64"/>
        </left>
        <right style="thin">
          <color indexed="64"/>
        </right>
        <top/>
        <bottom/>
      </border>
    </dxf>
    <dxf>
      <alignment horizontal="center" readingOrder="0"/>
    </dxf>
    <dxf>
      <alignment vertical="center" readingOrder="0"/>
    </dxf>
    <dxf>
      <fill>
        <patternFill patternType="solid">
          <bgColor theme="9"/>
        </patternFill>
      </fill>
    </dxf>
    <dxf>
      <alignment horizontal="center" readingOrder="0"/>
    </dxf>
    <dxf>
      <alignment vertical="center" indent="0" readingOrder="0"/>
    </dxf>
    <dxf>
      <numFmt numFmtId="0" formatCode="General"/>
    </dxf>
    <dxf>
      <numFmt numFmtId="164" formatCode="0.00,,"/>
    </dxf>
    <dxf>
      <fill>
        <patternFill patternType="solid">
          <bgColor theme="9"/>
        </patternFill>
      </fill>
    </dxf>
    <dxf>
      <alignment horizontal="center" readingOrder="0"/>
    </dxf>
    <dxf>
      <alignment vertical="center" readingOrder="0"/>
    </dxf>
    <dxf>
      <alignment horizontal="center" readingOrder="0"/>
    </dxf>
    <dxf>
      <alignment vertical="center" indent="0" readingOrder="0"/>
    </dxf>
    <dxf>
      <fill>
        <patternFill>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patternFill>
      </fill>
    </dxf>
    <dxf>
      <fill>
        <patternFill patternType="solid">
          <bgColor theme="9"/>
        </patternFill>
      </fill>
    </dxf>
    <dxf>
      <alignment horizontal="center" readingOrder="0"/>
    </dxf>
    <dxf>
      <alignment vertical="center" readingOrder="0"/>
    </dxf>
    <dxf>
      <alignment horizontal="center" readingOrder="0"/>
    </dxf>
    <dxf>
      <alignment vertical="center" indent="0" readingOrder="0"/>
    </dxf>
    <dxf>
      <numFmt numFmtId="1" formatCode="0"/>
    </dxf>
    <dxf>
      <numFmt numFmtId="1" formatCode="0"/>
    </dxf>
    <dxf>
      <alignment horizontal="center" readingOrder="0"/>
    </dxf>
    <dxf>
      <alignment vertical="center" readingOrder="0"/>
    </dxf>
    <dxf>
      <fill>
        <patternFill patternType="solid">
          <bgColor theme="4" tint="0.59999389629810485"/>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numFmt numFmtId="14" formatCode="0.00%"/>
    </dxf>
    <dxf>
      <alignment horizontal="center" readingOrder="0"/>
    </dxf>
    <dxf>
      <alignment vertical="center" indent="0" readingOrder="0"/>
    </dxf>
    <dxf>
      <numFmt numFmtId="1" formatCode="0"/>
    </dxf>
    <dxf>
      <alignment horizontal="center" readingOrder="0"/>
    </dxf>
    <dxf>
      <alignment vertical="center" readingOrder="0"/>
    </dxf>
    <dxf>
      <fill>
        <patternFill>
          <bgColor theme="9"/>
        </patternFill>
      </fill>
    </dxf>
    <dxf>
      <alignment horizontal="center" readingOrder="0"/>
    </dxf>
    <dxf>
      <alignment vertical="center" indent="0" readingOrder="0"/>
    </dxf>
    <dxf>
      <alignment horizontal="center"/>
    </dxf>
    <dxf>
      <numFmt numFmtId="1" formatCode="0"/>
    </dxf>
    <dxf>
      <numFmt numFmtId="1" formatCode="0"/>
    </dxf>
    <dxf>
      <font>
        <b/>
      </font>
    </dxf>
    <dxf>
      <alignment horizontal="center" readingOrder="0"/>
    </dxf>
    <dxf>
      <alignment vertical="center" readingOrder="0"/>
    </dxf>
    <dxf>
      <fill>
        <patternFill patternType="solid">
          <bgColor theme="4" tint="0.59999389629810485"/>
        </patternFill>
      </fill>
    </dxf>
    <dxf>
      <fill>
        <patternFill>
          <bgColor theme="9"/>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fill>
        <patternFill patternType="solid">
          <bgColor theme="4" tint="0.59999389629810485"/>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fill>
        <patternFill patternType="solid">
          <bgColor theme="4" tint="0.59999389629810485"/>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alignment horizontal="center" readingOrder="0"/>
    </dxf>
    <dxf>
      <alignment vertical="center" inden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07/relationships/slicerCache" Target="slicerCaches/slicerCache4.xml"/><Relationship Id="rId5" Type="http://schemas.openxmlformats.org/officeDocument/2006/relationships/externalLink" Target="externalLinks/externalLink1.xml"/><Relationship Id="rId15" Type="http://schemas.openxmlformats.org/officeDocument/2006/relationships/theme" Target="theme/theme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drawings/drawing1.xml><?xml version="1.0" encoding="utf-8"?>
<xdr:wsDr xmlns:xdr="http://schemas.openxmlformats.org/drawingml/2006/spreadsheetDrawing" xmlns:a="http://schemas.openxmlformats.org/drawingml/2006/main">
  <xdr:twoCellAnchor editAs="oneCell">
    <xdr:from>
      <xdr:col>7</xdr:col>
      <xdr:colOff>216958</xdr:colOff>
      <xdr:row>0</xdr:row>
      <xdr:rowOff>0</xdr:rowOff>
    </xdr:from>
    <xdr:to>
      <xdr:col>8</xdr:col>
      <xdr:colOff>389717</xdr:colOff>
      <xdr:row>17</xdr:row>
      <xdr:rowOff>134470</xdr:rowOff>
    </xdr:to>
    <mc:AlternateContent xmlns:mc="http://schemas.openxmlformats.org/markup-compatibility/2006" xmlns:a14="http://schemas.microsoft.com/office/drawing/2010/main">
      <mc:Choice Requires="a14">
        <xdr:graphicFrame macro="">
          <xdr:nvGraphicFramePr>
            <xdr:cNvPr id="2" name="CYC">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CYC"/>
            </a:graphicData>
          </a:graphic>
        </xdr:graphicFrame>
      </mc:Choice>
      <mc:Fallback xmlns="">
        <xdr:sp macro="" textlink="">
          <xdr:nvSpPr>
            <xdr:cNvPr id="0" name=""/>
            <xdr:cNvSpPr>
              <a:spLocks noTextEdit="1"/>
            </xdr:cNvSpPr>
          </xdr:nvSpPr>
          <xdr:spPr>
            <a:xfrm>
              <a:off x="6609291" y="0"/>
              <a:ext cx="1030009" cy="3372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460375</xdr:colOff>
      <xdr:row>0</xdr:row>
      <xdr:rowOff>8466</xdr:rowOff>
    </xdr:from>
    <xdr:to>
      <xdr:col>9</xdr:col>
      <xdr:colOff>590550</xdr:colOff>
      <xdr:row>13</xdr:row>
      <xdr:rowOff>75141</xdr:rowOff>
    </xdr:to>
    <mc:AlternateContent xmlns:mc="http://schemas.openxmlformats.org/markup-compatibility/2006" xmlns:a14="http://schemas.microsoft.com/office/drawing/2010/main">
      <mc:Choice Requires="a14">
        <xdr:graphicFrame macro="">
          <xdr:nvGraphicFramePr>
            <xdr:cNvPr id="3" name="FPR">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FPR"/>
            </a:graphicData>
          </a:graphic>
        </xdr:graphicFrame>
      </mc:Choice>
      <mc:Fallback xmlns="">
        <xdr:sp macro="" textlink="">
          <xdr:nvSpPr>
            <xdr:cNvPr id="0" name=""/>
            <xdr:cNvSpPr>
              <a:spLocks noTextEdit="1"/>
            </xdr:cNvSpPr>
          </xdr:nvSpPr>
          <xdr:spPr>
            <a:xfrm>
              <a:off x="7043208" y="8466"/>
              <a:ext cx="1019175" cy="254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207931</xdr:colOff>
      <xdr:row>19</xdr:row>
      <xdr:rowOff>98362</xdr:rowOff>
    </xdr:from>
    <xdr:to>
      <xdr:col>8</xdr:col>
      <xdr:colOff>557181</xdr:colOff>
      <xdr:row>38</xdr:row>
      <xdr:rowOff>31127</xdr:rowOff>
    </xdr:to>
    <mc:AlternateContent xmlns:mc="http://schemas.openxmlformats.org/markup-compatibility/2006" xmlns:a14="http://schemas.microsoft.com/office/drawing/2010/main">
      <mc:Choice Requires="a14">
        <xdr:graphicFrame macro="">
          <xdr:nvGraphicFramePr>
            <xdr:cNvPr id="4" name="CALLER">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CALLER"/>
            </a:graphicData>
          </a:graphic>
        </xdr:graphicFrame>
      </mc:Choice>
      <mc:Fallback xmlns="">
        <xdr:sp macro="" textlink="">
          <xdr:nvSpPr>
            <xdr:cNvPr id="0" name=""/>
            <xdr:cNvSpPr>
              <a:spLocks noTextEdit="1"/>
            </xdr:cNvSpPr>
          </xdr:nvSpPr>
          <xdr:spPr>
            <a:xfrm>
              <a:off x="6526181" y="3717862"/>
              <a:ext cx="1206500" cy="3552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619125</xdr:colOff>
      <xdr:row>14</xdr:row>
      <xdr:rowOff>9525</xdr:rowOff>
    </xdr:from>
    <xdr:to>
      <xdr:col>9</xdr:col>
      <xdr:colOff>687916</xdr:colOff>
      <xdr:row>27</xdr:row>
      <xdr:rowOff>171451</xdr:rowOff>
    </xdr:to>
    <mc:AlternateContent xmlns:mc="http://schemas.openxmlformats.org/markup-compatibility/2006" xmlns:a14="http://schemas.microsoft.com/office/drawing/2010/main">
      <mc:Choice Requires="a14">
        <xdr:graphicFrame macro="">
          <xdr:nvGraphicFramePr>
            <xdr:cNvPr id="5" name="AREA">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6810375" y="2686051"/>
              <a:ext cx="695325" cy="26289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647140</xdr:colOff>
      <xdr:row>31</xdr:row>
      <xdr:rowOff>166968</xdr:rowOff>
    </xdr:from>
    <xdr:to>
      <xdr:col>9</xdr:col>
      <xdr:colOff>788208</xdr:colOff>
      <xdr:row>45</xdr:row>
      <xdr:rowOff>14568</xdr:rowOff>
    </xdr:to>
    <mc:AlternateContent xmlns:mc="http://schemas.openxmlformats.org/markup-compatibility/2006" xmlns:a14="http://schemas.microsoft.com/office/drawing/2010/main">
      <mc:Choice Requires="a14">
        <xdr:graphicFrame macro="">
          <xdr:nvGraphicFramePr>
            <xdr:cNvPr id="6" name="FOS NAM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FOS NAME"/>
            </a:graphicData>
          </a:graphic>
        </xdr:graphicFrame>
      </mc:Choice>
      <mc:Fallback xmlns="">
        <xdr:sp macro="" textlink="">
          <xdr:nvSpPr>
            <xdr:cNvPr id="0" name=""/>
            <xdr:cNvSpPr>
              <a:spLocks noTextEdit="1"/>
            </xdr:cNvSpPr>
          </xdr:nvSpPr>
          <xdr:spPr>
            <a:xfrm>
              <a:off x="7101728" y="6072468"/>
              <a:ext cx="1038785"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73</xdr:col>
      <xdr:colOff>16934</xdr:colOff>
      <xdr:row>17</xdr:row>
      <xdr:rowOff>42334</xdr:rowOff>
    </xdr:from>
    <xdr:to>
      <xdr:col>75</xdr:col>
      <xdr:colOff>438151</xdr:colOff>
      <xdr:row>30</xdr:row>
      <xdr:rowOff>89959</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0E462A5B-BE21-4B0C-6671-1094952C5A3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5771184" y="328083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73</xdr:col>
      <xdr:colOff>48683</xdr:colOff>
      <xdr:row>1</xdr:row>
      <xdr:rowOff>116417</xdr:rowOff>
    </xdr:from>
    <xdr:to>
      <xdr:col>75</xdr:col>
      <xdr:colOff>469900</xdr:colOff>
      <xdr:row>14</xdr:row>
      <xdr:rowOff>164042</xdr:rowOff>
    </xdr:to>
    <mc:AlternateContent xmlns:mc="http://schemas.openxmlformats.org/markup-compatibility/2006" xmlns:a14="http://schemas.microsoft.com/office/drawing/2010/main">
      <mc:Choice Requires="a14">
        <xdr:graphicFrame macro="">
          <xdr:nvGraphicFramePr>
            <xdr:cNvPr id="8" name="V DATE">
              <a:extLst>
                <a:ext uri="{FF2B5EF4-FFF2-40B4-BE49-F238E27FC236}">
                  <a16:creationId xmlns:a16="http://schemas.microsoft.com/office/drawing/2014/main" id="{08728C17-6B33-B016-8F27-A248ABBD5B9F}"/>
                </a:ext>
              </a:extLst>
            </xdr:cNvPr>
            <xdr:cNvGraphicFramePr/>
          </xdr:nvGraphicFramePr>
          <xdr:xfrm>
            <a:off x="0" y="0"/>
            <a:ext cx="0" cy="0"/>
          </xdr:xfrm>
          <a:graphic>
            <a:graphicData uri="http://schemas.microsoft.com/office/drawing/2010/slicer">
              <sle:slicer xmlns:sle="http://schemas.microsoft.com/office/drawing/2010/slicer" name="V DATE"/>
            </a:graphicData>
          </a:graphic>
        </xdr:graphicFrame>
      </mc:Choice>
      <mc:Fallback xmlns="">
        <xdr:sp macro="" textlink="">
          <xdr:nvSpPr>
            <xdr:cNvPr id="0" name=""/>
            <xdr:cNvSpPr>
              <a:spLocks noTextEdit="1"/>
            </xdr:cNvSpPr>
          </xdr:nvSpPr>
          <xdr:spPr>
            <a:xfrm>
              <a:off x="65802933" y="30691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ICICI%20FR%20RTP%20CASES%202026.xlsx" TargetMode="External"/><Relationship Id="rId2" Type="http://schemas.openxmlformats.org/officeDocument/2006/relationships/externalLinkPath" Target="file:///E:\SRAVANI%20OFFICE\sravani%2012-08-2024\sravani%20updated\ICICI\CC\ICICI%20FR\2026\ICICI%20FR%20RTP%20CASES%202026.xlsx" TargetMode="External"/><Relationship Id="rId1" Type="http://schemas.openxmlformats.org/officeDocument/2006/relationships/externalLinkPath" Target="/SRAVANI%20OFFICE/sravani%2012-08-2024/sravani%20updated/ICICI/CC/ICICI%20FR/2026/ICICI%20FR%20RTP%20CASES%202026.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JUNE''26%20FR/FR%20X-BKT%20JUNE''26.xlsx" TargetMode="External"/><Relationship Id="rId2" Type="http://schemas.openxmlformats.org/officeDocument/2006/relationships/externalLinkPath" Target="file:///E:\SRAVANI%20OFFICE\sravani%2012-08-2024\sravani%20updated\ICICI\CC\ICICI%20FR\2026\JUNE''26%20FR\FR%20X-BKT%20JUNE''26.xlsx" TargetMode="External"/><Relationship Id="rId1" Type="http://schemas.openxmlformats.org/officeDocument/2006/relationships/externalLinkPath" Target="/SRAVANI%20OFFICE/sravani%2012-08-2024/sravani%20updated/ICICI/CC/ICICI%20FR/2026/JUNE''26%20FR/FR%20X-BKT%20JUNE''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2">
          <cell r="A2" t="str">
            <v>6528682071007004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IS"/>
      <sheetName val="MAIN"/>
      <sheetName val="RE"/>
      <sheetName val="file"/>
      <sheetName val="Sheet1"/>
      <sheetName val="Sheet3"/>
    </sheetNames>
    <sheetDataSet>
      <sheetData sheetId="0" refreshError="1"/>
      <sheetData sheetId="1"/>
      <sheetData sheetId="2" refreshError="1"/>
      <sheetData sheetId="3" refreshError="1"/>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1.76498472222" createdVersion="4" refreshedVersion="8" minRefreshableVersion="3" recordCount="993" xr:uid="{00000000-000A-0000-FFFF-FFFFE7000000}">
  <cacheSource type="worksheet">
    <worksheetSource name="Table1"/>
  </cacheSource>
  <cacheFields count="49">
    <cacheField name="ACC.NO" numFmtId="0">
      <sharedItems/>
    </cacheField>
    <cacheField name="NAMES" numFmtId="0">
      <sharedItems/>
    </cacheField>
    <cacheField name="RTP" numFmtId="0">
      <sharedItems containsMixedTypes="1" containsNumber="1" containsInteger="1" minValue="0" maxValue="0"/>
    </cacheField>
    <cacheField name="FPR" numFmtId="0">
      <sharedItems containsBlank="1" count="18">
        <s v="ALL"/>
        <s v="SP"/>
        <s v="RE"/>
        <s v="LATE" u="1"/>
        <s v="NA" u="1"/>
        <s v="RTP" u="1"/>
        <m u="1"/>
        <e v="#N/A" u="1"/>
        <s v="Ramanathan" u="1"/>
        <s v="Aditya" u="1"/>
        <s v="RF" u="1"/>
        <s v="NORM" u="1"/>
        <s v="SUP" u="1"/>
        <s v="Raviteja" u="1"/>
        <s v="Madhu" u="1"/>
        <s v="Altaf" u="1"/>
        <s v="Grace" u="1"/>
        <s v="Ghouse" u="1"/>
      </sharedItems>
    </cacheField>
    <cacheField name="RE" numFmtId="0">
      <sharedItems containsString="0" containsBlank="1" containsNumber="1" containsInteger="1" minValue="1" maxValue="1"/>
    </cacheField>
    <cacheField name="CC" numFmtId="0">
      <sharedItems containsBlank="1"/>
    </cacheField>
    <cacheField name="Column1" numFmtId="0">
      <sharedItems containsBlank="1"/>
    </cacheField>
    <cacheField name="O/N" numFmtId="0">
      <sharedItems/>
    </cacheField>
    <cacheField name="CYC" numFmtId="0">
      <sharedItems containsSemiMixedTypes="0" containsString="0" containsNumber="1" containsInteger="1" minValue="1" maxValue="28" count="28">
        <n v="1"/>
        <n v="2"/>
        <n v="5"/>
        <n v="7"/>
        <n v="8"/>
        <n v="10"/>
        <n v="11"/>
        <n v="12"/>
        <n v="14"/>
        <n v="15"/>
        <n v="16"/>
        <n v="17"/>
        <n v="18"/>
        <n v="20"/>
        <n v="21"/>
        <n v="22"/>
        <n v="23"/>
        <n v="24"/>
        <n v="25"/>
        <n v="28"/>
        <n v="26"/>
        <n v="27"/>
        <n v="3" u="1"/>
        <n v="9" u="1"/>
        <n v="13" u="1"/>
        <n v="6" u="1"/>
        <n v="4" u="1"/>
        <n v="19" u="1"/>
      </sharedItems>
    </cacheField>
    <cacheField name="MOBILE" numFmtId="0">
      <sharedItems containsMixedTypes="1" containsNumber="1" containsInteger="1" minValue="9700423838" maxValue="9949297276"/>
    </cacheField>
    <cacheField name="BLOCK" numFmtId="0">
      <sharedItems containsBlank="1"/>
    </cacheField>
    <cacheField name="EXCESS LIMIT" numFmtId="0">
      <sharedItems containsSemiMixedTypes="0" containsString="0" containsNumber="1" minValue="-618059.07000000007" maxValue="513246.98"/>
    </cacheField>
    <cacheField name="CREDIT" numFmtId="0">
      <sharedItems containsString="0" containsBlank="1" containsNumber="1" containsInteger="1" minValue="20000" maxValue="1500000"/>
    </cacheField>
    <cacheField name="ENR" numFmtId="1">
      <sharedItems containsSemiMixedTypes="0" containsString="0" containsNumber="1" minValue="50053.68" maxValue="1630537"/>
    </cacheField>
    <cacheField name="EMI 0/S" numFmtId="1">
      <sharedItems containsBlank="1" containsMixedTypes="1" containsNumber="1" minValue="428.64" maxValue="516082.11"/>
    </cacheField>
    <cacheField name="CURR_BAL" numFmtId="1">
      <sharedItems containsString="0" containsBlank="1" containsNumber="1" minValue="7660.46" maxValue="1166443.6399999999"/>
    </cacheField>
    <cacheField name="PRI" numFmtId="1">
      <sharedItems containsString="0" containsBlank="1" containsNumber="1" minValue="4225.5" maxValue="1035413.55"/>
    </cacheField>
    <cacheField name="NORM" numFmtId="0">
      <sharedItems containsString="0" containsBlank="1" containsNumber="1" minValue="5570" maxValue="536072.31000000006"/>
    </cacheField>
    <cacheField name="STAB" numFmtId="1">
      <sharedItems containsString="0" containsBlank="1" containsNumber="1" minValue="1830" maxValue="480730"/>
    </cacheField>
    <cacheField name="PAID/UNPAID" numFmtId="0">
      <sharedItems count="2">
        <s v="UNPAID"/>
        <s v="PAID"/>
      </sharedItems>
    </cacheField>
    <cacheField name="STATUS" numFmtId="0">
      <sharedItems containsMixedTypes="1" containsNumber="1" containsInteger="1" minValue="181460" maxValue="181460" count="4">
        <s v="RF"/>
        <s v="NORM"/>
        <s v="STAB"/>
        <n v="181460" u="1"/>
      </sharedItems>
    </cacheField>
    <cacheField name="AMOUNT" numFmtId="0">
      <sharedItems containsSemiMixedTypes="0" containsString="0" containsNumber="1" minValue="0" maxValue="571518.47"/>
    </cacheField>
    <cacheField name="PENDING" numFmtId="1">
      <sharedItems containsSemiMixedTypes="0" containsString="0" containsNumber="1" minValue="-512148.47" maxValue="480730"/>
    </cacheField>
    <cacheField name="DATE" numFmtId="0">
      <sharedItems containsMixedTypes="1" containsNumber="1" containsInteger="1" minValue="0" maxValue="0" count="28">
        <n v="0"/>
        <s v="30TH J"/>
        <s v="23RD J"/>
        <s v="27TH J"/>
        <s v="1ST JU"/>
        <s v="26TH J"/>
        <s v="29TH J"/>
        <s v="2ND JU"/>
        <s v="24TH J"/>
        <s v="22ND J"/>
        <s v="25TH J"/>
        <s v="3RD JU"/>
        <s v="5TH JU"/>
        <s v="4TH JU"/>
        <s v="7TH JU"/>
        <s v="6TH JU"/>
        <s v="8TH JU"/>
        <s v="10TH JU"/>
        <s v="11TH JU"/>
        <s v="9TH JU"/>
        <s v="12TH JU"/>
        <s v="5TH NU"/>
        <s v="13TH JU"/>
        <s v="14TH JU"/>
        <s v="16TH JU"/>
        <s v="15TH JU"/>
        <s v="18TH JU"/>
        <s v="17TH JU"/>
      </sharedItems>
    </cacheField>
    <cacheField name="DONE BY" numFmtId="0">
      <sharedItems/>
    </cacheField>
    <cacheField name="MODE" numFmtId="0">
      <sharedItems containsMixedTypes="1" containsNumber="1" containsInteger="1" minValue="0" maxValue="0"/>
    </cacheField>
    <cacheField name="TEAM" numFmtId="0">
      <sharedItems/>
    </cacheField>
    <cacheField name="CALLER" numFmtId="0">
      <sharedItems containsBlank="1" count="37">
        <s v="RAGHU"/>
        <s v="SAMBA"/>
        <s v="MAHESH"/>
        <s v="SRINU"/>
        <s v="ANIL"/>
        <s v="HEMANTH"/>
        <s v="MAARI"/>
        <s v="CHAITANYA"/>
        <s v="RAMESH"/>
        <s v="SATISH"/>
        <s v="REMOVE"/>
        <s v="SIVA"/>
        <s v="HARI"/>
        <s v="AJAY"/>
        <m/>
        <s v="SRAVANI" u="1"/>
        <s v="VARSHA" u="1"/>
        <s v="MANI" u="1"/>
        <s v="SAI" u="1"/>
        <s v="SUDHAKAR" u="1"/>
        <s v="DURGA" u="1"/>
        <e v="#REF!" u="1"/>
        <s v="NA" u="1"/>
        <s v="NANDINI" u="1"/>
        <s v="MAGES" u="1"/>
        <s v="FARZANA" u="1"/>
        <s v="SURESH" u="1"/>
        <s v="AYESHA" u="1"/>
        <s v="PRATHYUSHA" u="1"/>
        <s v="RAMANA SIR" u="1"/>
        <s v="RENU" u="1"/>
        <s v="KADAPA" u="1"/>
        <s v="SUBBU" u="1"/>
        <s v="AKHIL" u="1"/>
        <s v="SAMEERA" u="1"/>
        <s v="CHENNAIAH" u="1"/>
        <s v="DEVI" u="1"/>
      </sharedItems>
    </cacheField>
    <cacheField name="CAT ALLO" numFmtId="0">
      <sharedItems containsBlank="1" containsMixedTypes="1" containsNumber="1" containsInteger="1" minValue="0" maxValue="0" count="6">
        <n v="0"/>
        <s v="CAT J"/>
        <s v="CAT I"/>
        <m/>
        <e v="#N/A"/>
        <s v="CAT C"/>
      </sharedItems>
    </cacheField>
    <cacheField name="ADD 1" numFmtId="0">
      <sharedItems/>
    </cacheField>
    <cacheField name="ADD 2" numFmtId="0">
      <sharedItems containsBlank="1"/>
    </cacheField>
    <cacheField name="LOCATION" numFmtId="0">
      <sharedItems/>
    </cacheField>
    <cacheField name="AREA" numFmtId="0">
      <sharedItems containsBlank="1" count="12">
        <s v="TS"/>
        <s v="KDP"/>
        <s v="NLR"/>
        <s v="VJW"/>
        <s v="EG&amp;WG"/>
        <s v="GTR"/>
        <s v="OGL"/>
        <s v="VSP"/>
        <m u="1"/>
        <s v="DPR" u="1"/>
        <s v="TC" u="1"/>
        <s v="MANI" u="1"/>
      </sharedItems>
    </cacheField>
    <cacheField name="FOS NAME" numFmtId="0">
      <sharedItems containsBlank="1" count="147">
        <s v="SAGAR/WARANGAL , 7396297747"/>
        <s v="DPR"/>
        <s v="LIKITH/KHAMMAM , 7981063429"/>
        <s v="SWAGATH/ADILABAD , 9666210999"/>
        <s v="TULASI/NELLORE , 8897907043"/>
        <s v="MANI/VJW , 7780356256"/>
        <s v="KOTI/MACHILIPATNAM , 8247838027"/>
        <s v="MADHU/NANDYAL , 9550812050"/>
        <s v="SANTHOSH/KARIMNAGAR , 9963176593"/>
        <s v="MAHESH/NIZAMABAD , 9177861515"/>
        <s v="ARAVIND/GTR , 9154094854"/>
        <s v="INAMUL/GTR , 8367073588"/>
        <s v="SRIKANTH/ANANTHAPUR , 9182336153"/>
        <s v="TUNI"/>
        <s v="TRISHANTH/KDP , 7780707644"/>
        <s v="NAYAB/PRODDATUR , 6305351203"/>
        <s v="PEDDAPALLI"/>
        <s v="SRIKANTH/NALGONDA , 9603185469"/>
        <s v="RABBANI/KURNOOL , 9052323785"/>
        <s v="MADHUSUDHAN/TS , 8367481163"/>
        <s v="KARUNAKAR/WARANGAL , 9989734512"/>
        <s v="SIVAKUMAR/NALGONDA , 9100418645"/>
        <s v="NO FOS"/>
        <s v="UDAY/KAKINADA , 9032220101"/>
        <s v="PRAVEEN/ADILABAD , 8639562425"/>
        <s v="SEKAR/TIRUPATI , 8500444601"/>
        <s v="RAKESH/WEST , 9121493562"/>
        <s v="KARTHIK/BADRACHALAM , 8688997363"/>
        <s v="KRISHNA/EAST , 8985743534"/>
        <s v="RANJITH/TS , 7794980652"/>
        <s v="RAJKUMAR/MEDAK , 7670935091"/>
        <s v="HARSHA/NANDIGAMA , 8639040413"/>
        <s v="KUMAR/ELLURU , 8639680560"/>
        <s v="SRINIU/WEST , 9154934446"/>
        <s v="NAGARAJU/TS , 6281603130"/>
        <s v="SRINIVAS/GTR , 9966922101"/>
        <s v="AJEES/OOGOLE , 7093700713"/>
        <s v="SRINU/GTR , 9704963641"/>
        <s v="PRASHANTH/TS , 9652386391"/>
        <s v="SRINIVAS/PEDDAPALLI , 9908649882"/>
        <s v="VALLI/GTR , 9963854572"/>
        <s v="SUBBU ,  9985844576"/>
        <s v="MUJEEB/CHITTOOR , 6281127494"/>
        <s v="GANESH/GTR , 7013441521"/>
        <s v="MEDAK"/>
        <s v="RAMU/VSP , 9703803858"/>
        <s v="PRAVEEN/VJW , 8897201397"/>
        <s v="ANNAVARAM"/>
        <s v="VAMSI/KDP , 9573098703"/>
        <s v="IMAM/GTR , 6302979798"/>
        <s v="LEELAPRASAD/RJY , 6281320071"/>
        <s v="LAXMAN/SKLM , 9966690320"/>
        <s v="KISHORE/GTR , 8688104987"/>
        <s v="SURYAPET"/>
        <s v="NALGONDA"/>
        <m/>
        <s v="RAKESH/WEST , 9921493222" u="1"/>
        <s v="LOHITH/ELLURU , 9705411758" u="1"/>
        <s v="PRUDHVI/GTR , 8185079989" u="1"/>
        <s v="MAHBOOBNAGAR" u="1"/>
        <s v="SATISH/PEDDAPALLI , 9866940714" u="1"/>
        <s v="SHIVA/MAHBOOBNAGAR , 8523001416" u="1"/>
        <s v="MANAIH/SANGAREDDY , 9440683493" u="1"/>
        <s v="V RAMANA/ANANTHAPUR , 9885633687" u="1"/>
        <s v="RAHUL/TS , 9642288392" u="1"/>
        <s v="GAFOOR/KDP , 9392457562" u="1"/>
        <s v="ANIL KUMAR/TS , 6305285702" u="1"/>
        <s v="B RANJITH/BADRACHALAM , 9154994666" u="1"/>
        <s v="SUDHAKAR/VJW , 7893124290" u="1"/>
        <s v="RAVI/MAHBOOBNAGAR , 7842719686" u="1"/>
        <s v="OS" u="1"/>
        <s v="HUZURABAD" u="1"/>
        <s v="NA" u="1"/>
        <s v="ESWARRAO/TIRUPATI , 9030151410" u="1"/>
        <s v="P KUMAR/NALGONDA , 9133682546" u="1"/>
        <s v="ARAVIND/GTR" u="1"/>
        <s v="SARAT/WANAPARTHY , 7075528506" u="1"/>
        <s v="SANGAREDDY" u="1"/>
        <s v="SAIHARI/KADAPA , 9381772983" u="1"/>
        <s v="SWAROOP/KADAPA , 8106788719" u="1"/>
        <s v="CHIRALA" u="1"/>
        <s v="SURAMPALEM" u="1"/>
        <s v="MADANAPALLE" u="1"/>
        <s v="KAKINADA" u="1"/>
        <s v="CHITTOOR" u="1"/>
        <s v="KIRAN/CHITTOOR , 9440471742" u="1"/>
        <s v="SUBBU , 9985844576" u="1"/>
        <s v="SRAVANI" u="1"/>
        <s v="CALLER" u="1"/>
        <s v="SURENDRA/GTR , 9052794389" u="1"/>
        <s v="NAGARAJU" u="1"/>
        <s v="VENKATRAMANA" u="1"/>
        <s v="GADWAL" u="1"/>
        <s v="TIRUPATHI" u="1"/>
        <s v="SANGAREDDY " u="1"/>
        <s v="VIJAYAWADA" u="1"/>
        <s v="PAVAN/KAKINADA , 6305142227" u="1"/>
        <s v="KISHORE/ANKP , 8074601644" u="1"/>
        <s v="NAGARAJU , 6281603130" u="1"/>
        <s v="GAFOOR/KURNOOL , 9392457562" u="1"/>
        <s v="SRINIU/WEST 9184934446" u="1"/>
        <s v="ABBAS/KURNOOL , 7993844855" u="1"/>
        <s v="B RANJITH/BHADRACHALAM,915994666" u="1"/>
        <s v="VENUGOPAL/KARIMNAGAR , 6281392390" u="1"/>
        <s v="PRASAD/VSP , 8008572515" u="1"/>
        <s v="KALYAN/MADANAPALLE , 6304776131" u="1"/>
        <s v="AMAR/GWK , 8500043923" u="1"/>
        <s v="TADEPALLIGUDEM" u="1"/>
        <s v="MACHERLA" u="1"/>
        <s v="GOWTHAM/NALGONDA , 8466828379" u="1"/>
        <s v="GANI , 7013441521" u="1"/>
        <s v="GAFOOR/GTR , 9392457562" u="1"/>
        <s v="ASHOK/GTR , 8497936372" u="1"/>
        <s v="KIRAN/MADANAPALLE , 9701432134" u="1"/>
        <s v="NARAYANA/KAKINADA , 9949928322" u="1"/>
        <s v="NARASIMHA/GTR , 6309581043" u="1"/>
        <s v="SRINIVAS/MEDAK , 9494059208" u="1"/>
        <s v="AJEES/ONGOLE , 7093700713" u="1"/>
        <s v="AJAY/KAKINADA , 7993949850" u="1"/>
        <s v="SRINIVAS/MEDAK , " u="1"/>
        <s v="ABHILASH/MEDAK,6303931254" u="1"/>
        <s v="PAVAN/GTR , 8019367695" u="1"/>
        <s v="PRADEEP , 7995803893" u="1"/>
        <s v="KAKINADAA" u="1"/>
        <s v="MANI , 7780356256" u="1"/>
        <s v="SATTIREDDY/KAKINADA , 9959229827" u="1"/>
        <s v="SAI KRISHNA/TS,9704787667" u="1"/>
        <s v="MANI" u="1"/>
        <s v="SHIVA/WARANGAL , 8309491566" u="1"/>
        <s v="KUMAR/KAKINADA , 9949560520" u="1"/>
        <s v="ESWARAIYYA/ANANTHAPUR , 7799440558" u="1"/>
        <s v="ABHILASH/MEDAK , 6303931254" u="1"/>
        <s v="GANESH/CHITTOOR , 8106171906" u="1"/>
        <s v="HINDUPUR" u="1"/>
        <s v="SHIVA/WARANGAL , 8309091026" u="1"/>
        <s v="MAHESH/NIZMABAD/9177861515" u="1"/>
        <s v="YAHENULLA/HINDUPUR , 8310676067" u="1"/>
        <s v="AMBRESH/PDT , 9573554482" u="1"/>
        <s v="MANI/SURYAPET , 7780356256" u="1"/>
        <s v="VIJAY/LOCAL , 8074557625" u="1"/>
        <s v="SRINIVASRAJU/JAGGAYAPETA , 6281792923" u="1"/>
        <s v="ANIL/GTR , 8247572446" u="1"/>
        <s v="SRINIVAS/WEST , 9010072805" u="1"/>
        <s v="SHIVA/SURYAPET , 8247053896" u="1"/>
        <s v="PRUDVI/KURNOOL , 9052769930" u="1"/>
        <s v="PRADEEP/NIZAMABAD , 7702511351" u="1"/>
        <s v="RK/GTR , 9640272121" u="1"/>
      </sharedItems>
    </cacheField>
    <cacheField name="MARC" numFmtId="0">
      <sharedItems containsBlank="1"/>
    </cacheField>
    <cacheField name="MARC ID" numFmtId="0">
      <sharedItems containsString="0" containsBlank="1" containsNumber="1" containsInteger="1" minValue="801174030" maxValue="845041675"/>
    </cacheField>
    <cacheField name="MARC PW" numFmtId="0">
      <sharedItems containsBlank="1"/>
    </cacheField>
    <cacheField name="TC DISPO" numFmtId="0">
      <sharedItems containsNonDate="0" containsString="0" containsBlank="1"/>
    </cacheField>
    <cacheField name="TC REMARK" numFmtId="0">
      <sharedItems containsNonDate="0" containsString="0" containsBlank="1"/>
    </cacheField>
    <cacheField name="VISITS" numFmtId="0">
      <sharedItems containsBlank="1" count="3">
        <s v="VISITED"/>
        <s v="NOT VISITED"/>
        <m u="1"/>
      </sharedItems>
    </cacheField>
    <cacheField name="FOS DISPO" numFmtId="0">
      <sharedItems containsBlank="1"/>
    </cacheField>
    <cacheField name="REMARKS" numFmtId="0">
      <sharedItems containsBlank="1" longText="1"/>
    </cacheField>
    <cacheField name="V DATE" numFmtId="0">
      <sharedItems containsBlank="1" count="132">
        <s v="30TH J"/>
        <m/>
        <s v="25TH J"/>
        <s v="26TH J"/>
        <s v="27TH J"/>
        <s v="29TH J"/>
        <s v="2ND JU"/>
        <s v="23RD J"/>
        <s v="24TH J"/>
        <s v="1ST JU"/>
        <s v="28TH J"/>
        <s v="3RD JU"/>
        <s v="4TH JU"/>
        <s v="6TH JU"/>
        <s v="7TH JU"/>
        <s v="8TH JU"/>
        <s v="10TH JU"/>
        <s v="11TH JU"/>
        <s v="9TH JU"/>
        <s v="5TH JU"/>
        <s v="13TH JU"/>
        <s v="14TH JU"/>
        <s v="16TH JU"/>
        <s v="15TH JU"/>
        <s v="12TH JU"/>
        <s v="17TH JU"/>
        <s v="18TH JU"/>
        <s v="27TH M" u="1"/>
        <s v="26TH M" u="1"/>
        <s v="1ST J" u="1"/>
        <s v="28TH M" u="1"/>
        <s v="2ND J" u="1"/>
        <s v="23RD M" u="1"/>
        <s v="29TH M" u="1"/>
        <s v="22ND M" u="1"/>
        <s v="30TH M" u="1"/>
        <s v="25TH M" u="1"/>
        <s v="5TH J" u="1"/>
        <s v="3RD J" u="1"/>
        <s v="31ST M" u="1"/>
        <s v="4TH J" u="1"/>
        <s v="8TH J" u="1"/>
        <s v="6TH J" u="1"/>
        <s v="10TH J" u="1"/>
        <s v="9TH J" u="1"/>
        <s v="11TH J" u="1"/>
        <s v="12TH J" u="1"/>
        <s v="16TH J" u="1"/>
        <s v="15TH J" u="1"/>
        <s v="13TH J" u="1"/>
        <s v="18TH J" u="1"/>
        <s v="19TH J" u="1"/>
        <s v="17TH J" u="1"/>
        <s v="20TH J" u="1"/>
        <s v="14TH J" u="1"/>
        <s v="21ST M" u="1"/>
        <s v="23RD A" u="1"/>
        <s v="1ST M" u="1"/>
        <s v="2ND M" u="1"/>
        <s v="30TH A" u="1"/>
        <s v="22ND A" u="1"/>
        <s v="20TH A" u="1"/>
        <s v="28TH A " u="1"/>
        <s v="27TH A" u="1"/>
        <s v="24TH A" u="1"/>
        <s v="25TH A" u="1"/>
        <s v="29TH A" u="1"/>
        <s v="4TH M" u="1"/>
        <s v="5TH M" u="1"/>
        <s v="6TH M" u="1"/>
        <s v="7TH M" u="1"/>
        <s v="11TH M" u="1"/>
        <s v="9TH M" u="1"/>
        <s v="8TH M" u="1"/>
        <s v="3RD M" u="1"/>
        <s v="12TH M" u="1"/>
        <s v="14TH M" u="1"/>
        <s v="13TH M" u="1"/>
        <s v="15TH M" u="1"/>
        <s v="16TH M" u="1"/>
        <s v="17TH M" u="1"/>
        <s v="18TH M" u="1"/>
        <s v="19TH M" u="1"/>
        <s v="20TH M" u="1"/>
        <s v="10TH M" u="1"/>
        <s v="21ST A" u="1"/>
        <s v="24TH M" u="1"/>
        <s v="1ST A" u="1"/>
        <s v="2ND A" u="1"/>
        <s v="3RD A" u="1"/>
        <s v="4TH A" u="1"/>
        <s v="7TH A" u="1"/>
        <s v="6TH A" u="1"/>
        <s v="9TH A" u="1"/>
        <s v="10TH A" u="1"/>
        <s v="11TH A" u="1"/>
        <s v="8TH A" u="1"/>
        <s v="14TH A" u="1"/>
        <s v="16TH A" u="1"/>
        <s v="13TH A" u="1"/>
        <s v="15TH A" u="1"/>
        <s v="17TH A" u="1"/>
        <s v="18TH A" u="1"/>
        <s v="12TH A" u="1"/>
        <s v="28TH F" u="1"/>
        <s v="26TH F" u="1"/>
        <s v="27TH F" u="1"/>
        <s v="24TH F" u="1"/>
        <s v="25TH F" u="1"/>
        <s v="23RD F" u="1"/>
        <s v="31ST J" u="1"/>
        <s v="2ND F" u="1"/>
        <s v="4TH F" u="1"/>
        <s v="5TH F" u="1"/>
        <s v="3RD F" u="1"/>
        <s v="6TH F" u="1"/>
        <s v="7TH F" u="1"/>
        <s v="10TH F" u="1"/>
        <s v="9TH F" u="1"/>
        <s v="11TH F" u="1"/>
        <s v="12TH F" u="1"/>
        <s v="8TH F" u="1"/>
        <s v="13TH F" u="1"/>
        <s v="14TH F" u="1"/>
        <s v="13THF " u="1"/>
        <s v="16TH F" u="1"/>
        <s v="18TH F" u="1"/>
        <s v="17TH F" u="1"/>
        <s v="20TH F" u="1"/>
        <s v="19TH F" u="1"/>
        <s v="21ST F" u="1"/>
        <s v="15TH F" u="1"/>
      </sharedItems>
    </cacheField>
    <cacheField name="LAST PAYMENT DATE" numFmtId="14">
      <sharedItems containsDate="1" containsBlank="1" containsMixedTypes="1" minDate="2022-05-30T00:00:00" maxDate="2026-06-26T00:00:00"/>
    </cacheField>
    <cacheField name="LAST PAYMENT AMOUNT" numFmtId="0">
      <sharedItems containsString="0" containsBlank="1" containsNumber="1" minValue="0" maxValue="508209.42"/>
    </cacheField>
    <cacheField name="CARD TYPE" numFmtId="0">
      <sharedItems containsBlank="1"/>
    </cacheField>
    <cacheField name="ALLOC DATE" numFmtId="0">
      <sharedItems/>
    </cacheField>
    <cacheField name="UCIC CODE" numFmtId="0">
      <sharedItems containsBlank="1"/>
    </cacheField>
    <cacheField name="DueDate" numFmtId="14">
      <sharedItems containsNonDate="0" containsDate="1" containsString="0" containsBlank="1" minDate="2026-06-19T00:00:00" maxDate="2026-07-17T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3">
  <r>
    <s v="4375517907318002"/>
    <s v="MR CHANDUPATLA MOHAN REDDY"/>
    <n v="0"/>
    <x v="0"/>
    <m/>
    <m/>
    <m/>
    <s v="N"/>
    <x v="0"/>
    <s v="9490124363"/>
    <s v="X"/>
    <n v="70895.949999999953"/>
    <n v="840000"/>
    <n v="910895.95"/>
    <n v="67122.89"/>
    <n v="843773.06"/>
    <n v="771437.05"/>
    <n v="180320"/>
    <n v="54428"/>
    <x v="0"/>
    <x v="0"/>
    <n v="0"/>
    <n v="54428"/>
    <x v="0"/>
    <s v="NA"/>
    <n v="0"/>
    <s v="SAMBA"/>
    <x v="0"/>
    <x v="0"/>
    <s v="H NO 2-8-320/7/3 RAGHVENDRA NAGAR TEACHERS COLONY WADDEPALLY HANMAKONDA  NEAR REDDY FUNCTION HALL Warangal TNG 506001 "/>
    <s v="BHAVANI JEWELLERS H NO 2-6-1366 BHAVANI NAGAR BHAVANI NAGAR HANMAKOND BHAVANI NAGAR HANMAKOND Warangal TNG 506001 "/>
    <s v="WARANGAL"/>
    <x v="0"/>
    <x v="0"/>
    <s v="AKHIL"/>
    <n v="801772792"/>
    <s v="Sgr@9290"/>
    <m/>
    <m/>
    <x v="0"/>
    <s v="SKIP"/>
    <s v="Cust house door locked and no respond to calls revisit and update // Revisited cust house door locked neighbours said cust family went to out station and no respond to calls // Revisited cust house door locked and no respond to calls // Visited to cust traced address no such person"/>
    <x v="0"/>
    <d v="2026-05-19T00:00:00"/>
    <n v="2"/>
    <s v="ICICI Bank Platinum Chip Credit Card"/>
    <s v="24TH JUNE"/>
    <s v="0000000011923381"/>
    <d v="2026-06-19T00:00:00"/>
  </r>
  <r>
    <s v="4200490025820005"/>
    <s v="MR SANKA YASHWANTH KRISHNA"/>
    <n v="0"/>
    <x v="1"/>
    <m/>
    <m/>
    <m/>
    <s v="N"/>
    <x v="0"/>
    <s v="7207002525"/>
    <s v="X"/>
    <n v="70895.949999999953"/>
    <n v="500000"/>
    <n v="536072.31000000006"/>
    <s v=""/>
    <n v="536072.31000000006"/>
    <n v="499255.75"/>
    <n v="536072.31000000006"/>
    <n v="74046.09"/>
    <x v="1"/>
    <x v="1"/>
    <n v="536072.31000000006"/>
    <n v="54428"/>
    <x v="0"/>
    <s v="D"/>
    <n v="0"/>
    <s v="SAMBA"/>
    <x v="1"/>
    <x v="1"/>
    <s v="D NO 6 5 557 ANDHRA BANK COLONY ANANTAPUR ANDHRA BANK COLONY  MARUTHI NAGAR EXTN ANAPARTHI ANP 515001 "/>
    <s v="STK FOREX AND LEISURE PVT LTD D NO 6 5 557 ANDHRA BANK COLONY MARUTI NAGAR EXIN ANANTAPUR ANDHRA PRADESH NAGAR EXIN ANANTAPUR ANDHRA PRADESH ANAPARTHI ANP 515001"/>
    <s v="ANAPARTHI"/>
    <x v="1"/>
    <x v="1"/>
    <s v="POORNIMA"/>
    <n v="802824019"/>
    <s v="Nihan@2421"/>
    <m/>
    <m/>
    <x v="0"/>
    <m/>
    <m/>
    <x v="1"/>
    <d v="2026-04-19T00:00:00"/>
    <n v="5799.48"/>
    <s v="ICICI Bank Business Black Advantage Credit Card"/>
    <s v="23RD JUNE"/>
    <s v="0000000158703414"/>
    <d v="2026-06-19T00:00:00"/>
  </r>
  <r>
    <s v="4375519428744005"/>
    <s v="Mr SATYA Settipalli Suraj"/>
    <n v="0"/>
    <x v="0"/>
    <m/>
    <m/>
    <m/>
    <s v="N"/>
    <x v="0"/>
    <s v="9705305370"/>
    <s v="X"/>
    <n v="13531.369999999995"/>
    <n v="270000"/>
    <n v="283531.37"/>
    <n v="9989.02"/>
    <n v="273542.34999999998"/>
    <n v="256364.08"/>
    <n v="66760"/>
    <n v="33290"/>
    <x v="1"/>
    <x v="1"/>
    <n v="273542.34999999998"/>
    <n v="-240252.34999999998"/>
    <x v="1"/>
    <s v="FE"/>
    <s v="30501-BBPS Payment received"/>
    <s v="SAMBA"/>
    <x v="2"/>
    <x v="0"/>
    <s v="&quot;2-49,WYRA,SIRIPURAM (K.G.),KHAMMAM&quot;    Khammam TNG 507165 "/>
    <s v="Clinwave Research private limited &quot;Hig 19, H No 1- 9 -25/19&quot; Dr A S Rao Nagar Dr A S Rao Nagar Hyderabad TNG 500062 "/>
    <s v="KHAMMAM"/>
    <x v="0"/>
    <x v="2"/>
    <s v="CHAITANYA"/>
    <n v="802555024"/>
    <s v="Ssde@9290"/>
    <m/>
    <m/>
    <x v="0"/>
    <s v="LIVE"/>
    <s v="I have Visited Customer given village house address Customer not available here Customer present in Hyderabad Customer father available Customer father given PTP by Saturday"/>
    <x v="2"/>
    <d v="2024-07-17T00:00:00"/>
    <n v="4975.45"/>
    <s v="ICICI Bank Coral Credit Card"/>
    <s v="24TH JUNE"/>
    <s v="0000000013666345"/>
    <d v="2026-06-19T00:00:00"/>
  </r>
  <r>
    <s v="6528690172431007"/>
    <s v="MR PASPULA KUMAR"/>
    <n v="0"/>
    <x v="0"/>
    <m/>
    <m/>
    <m/>
    <s v="N"/>
    <x v="0"/>
    <s v="9704245872"/>
    <s v="X"/>
    <n v="14012.399999999994"/>
    <n v="240000"/>
    <n v="254012.4"/>
    <n v="226451.82"/>
    <n v="27560.58"/>
    <n v="15440.85"/>
    <n v="27560.58"/>
    <n v="13081.61"/>
    <x v="1"/>
    <x v="2"/>
    <n v="15000"/>
    <n v="-1918.3899999999994"/>
    <x v="0"/>
    <s v="D"/>
    <s v="12103-CASH PYMT RCVD"/>
    <s v="SAMBA"/>
    <x v="0"/>
    <x v="0"/>
    <s v="1 3 65/1 bus dipo boiwada nirmal adilabad bus dipo boiwada  bus dipo boiwadaNirmal ADL TNG 504106 "/>
    <s v="PANCHAYATHIRAJ COMPLEX CHAINGATE NIRMAL URBAN S NO 156 MISSION BHAGEERATHA INTER DIVISIOM   ADL TNG 504106 "/>
    <s v="ADILABAD"/>
    <x v="0"/>
    <x v="3"/>
    <s v="KANTH"/>
    <n v="802794852"/>
    <s v="Ssd@9290"/>
    <m/>
    <m/>
    <x v="0"/>
    <s v="LIVE"/>
    <s v="Customer visit home address meet customer PTP 29th"/>
    <x v="3"/>
    <s v=""/>
    <n v="0"/>
    <s v="ICICI Bank HPCL Super Saver RuPay Credit Card"/>
    <s v="24TH JUNE"/>
    <s v="0000000034384066"/>
    <d v="2026-06-19T00:00:00"/>
  </r>
  <r>
    <s v="4315815570099005"/>
    <s v="MR Ketha Yeshwanth"/>
    <n v="0"/>
    <x v="0"/>
    <m/>
    <m/>
    <m/>
    <s v="N"/>
    <x v="0"/>
    <s v="7981091144"/>
    <s v="X"/>
    <n v="11844.75"/>
    <n v="160000"/>
    <n v="171844.75"/>
    <s v=""/>
    <n v="171844.75"/>
    <n v="153750"/>
    <n v="37040"/>
    <n v="7983.46"/>
    <x v="1"/>
    <x v="1"/>
    <n v="171844.75"/>
    <n v="-163861.29"/>
    <x v="1"/>
    <s v="FE"/>
    <s v="30501-BBPS Payment received"/>
    <s v="SAMBA"/>
    <x v="3"/>
    <x v="0"/>
    <s v="22230 deshaipet ..deshaipet  WARANGAL TNG 506006 "/>
    <s v="TATA.CONSULTANCY.SERVICES.LIMITED 22.2.30 DESHAIPET.ROAD. DESHAIPET.ROAD. WARANGAL TNG 506006 "/>
    <s v="WARANGAL"/>
    <x v="0"/>
    <x v="0"/>
    <s v="AKHIL"/>
    <n v="801772792"/>
    <s v="Sgr@9290"/>
    <m/>
    <m/>
    <x v="0"/>
    <s v="MESS"/>
    <s v="Cust not available at home left msg to cust's father and given ptp on today by EOD or tomorrow // Left msg to cust's father and said waiting for funds given ptp on Monday"/>
    <x v="4"/>
    <s v=""/>
    <n v="0"/>
    <s v="Amazon Pay ICICI Bank Credit Card"/>
    <s v="24TH JUNE"/>
    <s v="0000000033030826"/>
    <d v="2026-06-19T00:00:00"/>
  </r>
  <r>
    <s v="6528690178304000"/>
    <s v="MR Kirtibrata Nayak"/>
    <n v="0"/>
    <x v="0"/>
    <m/>
    <m/>
    <m/>
    <s v="N"/>
    <x v="0"/>
    <s v="9064190365"/>
    <s v="X"/>
    <n v="6317.0099999999948"/>
    <n v="80000"/>
    <n v="86317.01"/>
    <s v=""/>
    <n v="86317.01"/>
    <n v="79954.2"/>
    <n v="15920"/>
    <n v="3620"/>
    <x v="0"/>
    <x v="0"/>
    <n v="0"/>
    <n v="3620"/>
    <x v="0"/>
    <s v="NA"/>
    <n v="0"/>
    <s v="SAMBA"/>
    <x v="2"/>
    <x v="0"/>
    <s v="&quot;House No 119, Manubolu, Podalakuru Road&quot; &quot;Madamanuru, Sri Potti Sriramulu Nellore, Nell&quot;  ManuboluSri Potti Sriramulu Nellore NEL ANP 524405 "/>
    <s v="&quot;Plot No 20, Manubolu, Podalakuru Road&quot; &quot;Madamanuru, Sri Potti Sriramulu Nellore, Nell&quot;   NEL ANP 524405 "/>
    <s v="GUDUR"/>
    <x v="2"/>
    <x v="4"/>
    <s v="IMAMVALLI"/>
    <n v="802789320"/>
    <s v="Ssd@9290"/>
    <m/>
    <m/>
    <x v="0"/>
    <s v="SKIP"/>
    <s v="cm shifted from here last 3years and cm phone number switched off sir"/>
    <x v="4"/>
    <s v=""/>
    <n v="0"/>
    <s v="ICICI Bank HPCL Super Saver RuPay Credit Card"/>
    <s v="24TH JUNE"/>
    <s v="0000000034799197"/>
    <d v="2026-06-19T00:00:00"/>
  </r>
  <r>
    <s v="6528680696986008"/>
    <s v="MR GELLI SANJEEV KUMAR"/>
    <n v="0"/>
    <x v="0"/>
    <m/>
    <m/>
    <m/>
    <s v="N"/>
    <x v="1"/>
    <s v="9703308562"/>
    <s v="X"/>
    <n v="-136312.18"/>
    <n v="610000"/>
    <n v="473687.82"/>
    <n v="400599.86"/>
    <n v="73087.960000000006"/>
    <n v="60877.8"/>
    <n v="59460"/>
    <n v="25024"/>
    <x v="0"/>
    <x v="0"/>
    <n v="0"/>
    <n v="25024"/>
    <x v="0"/>
    <s v="NA"/>
    <n v="0"/>
    <s v="HARI"/>
    <x v="4"/>
    <x v="2"/>
    <s v="&quot;21-10/3-65 SRINAGAR 2ND,LANE,RAILWAY,TRA&quot; SATYANARAYANAPURAM VIJAYAWADA   VIJAYAWADA ANP 520011"/>
    <s v="APCOTE Plot no 95 road no 5 road no 5 VIJAYAWADA ANP 520008"/>
    <s v="VIJAYAWADA"/>
    <x v="3"/>
    <x v="5"/>
    <s v="SUDHAKAR"/>
    <n v="802913252"/>
    <s v="Ssd@9290"/>
    <m/>
    <m/>
    <x v="0"/>
    <s v="MESS"/>
    <s v="Customer shifted frm here // Customer new address door locked // Customer live but present not available family members available informed by wife call not answering"/>
    <x v="0"/>
    <d v="2026-04-29T00:00:00"/>
    <n v="888"/>
    <s v="ICICI Bank Coral RuPay Credit Card"/>
    <s v="22ND JUNE"/>
    <s v="0000000029011273"/>
    <d v="2026-06-20T00:00:00"/>
  </r>
  <r>
    <s v="4375513893496019"/>
    <s v="MR CHENNU KUMAR"/>
    <n v="0"/>
    <x v="0"/>
    <n v="1"/>
    <m/>
    <m/>
    <s v="N"/>
    <x v="1"/>
    <s v="7659895282"/>
    <s v="X"/>
    <n v="-28668.479999999981"/>
    <n v="500000"/>
    <n v="471331.52"/>
    <n v="218789.65"/>
    <n v="252541.87"/>
    <n v="228722.18"/>
    <n v="63080"/>
    <n v="20350"/>
    <x v="0"/>
    <x v="0"/>
    <n v="0"/>
    <n v="20350"/>
    <x v="0"/>
    <s v="NA"/>
    <n v="0"/>
    <s v="HARI"/>
    <x v="4"/>
    <x v="3"/>
    <s v="&quot;1-81,PULIGADDA,PULIGADDA,KRISHNA,PULIGADDA&quot;    KRISHNA ANP 521121"/>
    <s v="Self employe &quot;1-81, PULIGADDA,&quot; &quot;AVANIGADDA, KRISHNA&quot; &quot;AVANIGADDA, KRISHNA&quot; MACHILIPATNAM ANP 521121"/>
    <s v="MACHILIPATNAM"/>
    <x v="4"/>
    <x v="6"/>
    <s v="KOTI"/>
    <n v="801597759"/>
    <s v="Ssde@9290"/>
    <m/>
    <m/>
    <x v="0"/>
    <s v="MESS"/>
    <s v="Customer abcanding phone not answering in from to Mather"/>
    <x v="5"/>
    <d v="2025-10-20T00:00:00"/>
    <n v="7890.91"/>
    <s v="ICICI Bank HPCL Coral VISA Credit Card"/>
    <s v="26TH JUNE"/>
    <s v="0000000017583758"/>
    <d v="2026-06-20T00:00:00"/>
  </r>
  <r>
    <s v="4315811595587009"/>
    <s v="Mr HARSHA Sree Devisetti"/>
    <n v="0"/>
    <x v="0"/>
    <m/>
    <m/>
    <m/>
    <s v="N"/>
    <x v="1"/>
    <s v="9966533447"/>
    <s v="X"/>
    <n v="191648.14"/>
    <n v="244000"/>
    <n v="435648.14"/>
    <s v=""/>
    <n v="435648.14"/>
    <n v="400000"/>
    <n v="249280"/>
    <n v="168204"/>
    <x v="1"/>
    <x v="1"/>
    <n v="435648.14"/>
    <n v="-267444.14"/>
    <x v="2"/>
    <s v="TC"/>
    <s v="30501-BBPS Payment received"/>
    <s v="HARI"/>
    <x v="4"/>
    <x v="1"/>
    <s v="2-6 BANAGANAPALLI MANDAL MAIN STREET I KOTHAPETA NANDYAL ANP 518186"/>
    <s v="HARSHA ENTERPRISES H NO 2-95 ILLUNKOTHAPALLE BANAGANPALLI ILLUNKOTHAPALLE BANAGANPALLI NANDYAL ANP 518186 "/>
    <s v="NANDYAL"/>
    <x v="1"/>
    <x v="7"/>
    <s v="HARI"/>
    <n v="802388289"/>
    <s v="Ssd@9290"/>
    <m/>
    <m/>
    <x v="0"/>
    <m/>
    <m/>
    <x v="1"/>
    <d v="2026-05-10T00:00:00"/>
    <n v="36"/>
    <s v="Amazon Pay ICICI Bank Credit Card"/>
    <s v="20TH JUNE"/>
    <s v="0000000144004080"/>
    <d v="2026-06-20T00:00:00"/>
  </r>
  <r>
    <s v="6528680271233008"/>
    <s v="MR BHUKYA RAVI KUMAR"/>
    <n v="0"/>
    <x v="0"/>
    <m/>
    <m/>
    <m/>
    <s v="N"/>
    <x v="1"/>
    <s v="9912335408"/>
    <s v="X"/>
    <n v="12484.150000000023"/>
    <n v="383000"/>
    <n v="395484.15"/>
    <n v="75986.86"/>
    <n v="319497.28999999998"/>
    <n v="301387.11"/>
    <n v="83390"/>
    <n v="46939"/>
    <x v="1"/>
    <x v="1"/>
    <n v="319497.28999999998"/>
    <n v="-272558.28999999998"/>
    <x v="3"/>
    <s v="TC"/>
    <s v="30501-BBPS Payment received"/>
    <s v="HARI"/>
    <x v="5"/>
    <x v="3"/>
    <s v="H NO 4-60. BALLU NAYAK THANDA. MIRZAPUR HUSNABAD SIDDIPET HYDERABAD ANP 505466"/>
    <s v="School education MPP SCHOOL. VILLAGE VANGARA MADL BHEEMADEVARAPALLY. WARANGAL URBAN MADL BHEEMADEVARAPALLY. WARANGAL URBAN HYDERABAD ANP 505480"/>
    <s v="MEDAK"/>
    <x v="0"/>
    <x v="8"/>
    <s v="SUMANTH"/>
    <n v="802370852"/>
    <s v="Sgr@9290"/>
    <m/>
    <m/>
    <x v="0"/>
    <m/>
    <m/>
    <x v="1"/>
    <d v="2024-06-20T00:00:00"/>
    <n v="39000"/>
    <s v="ICICI Bank Sapphiro Visa Credit Card"/>
    <s v="26TH JUNE"/>
    <s v="0000000028146967"/>
    <d v="2026-06-20T00:00:00"/>
  </r>
  <r>
    <s v="6528680141351006"/>
    <s v="MR Guggilla Suman Goud"/>
    <n v="0"/>
    <x v="0"/>
    <m/>
    <m/>
    <m/>
    <s v="N"/>
    <x v="1"/>
    <s v="9000633577"/>
    <s v="X"/>
    <n v="-110181.32"/>
    <n v="500000"/>
    <n v="389818.68"/>
    <n v="227684.03"/>
    <n v="162134.65"/>
    <n v="142393.76"/>
    <n v="71720"/>
    <n v="31560"/>
    <x v="0"/>
    <x v="0"/>
    <n v="0"/>
    <n v="31560"/>
    <x v="0"/>
    <s v="NA"/>
    <n v="0"/>
    <s v="HARI"/>
    <x v="6"/>
    <x v="1"/>
    <s v="H NO 3-3-15 Met Pally Mandal Boyawada Karimnagar KARIMNAGAR TNG 505325"/>
    <s v="RAJALAKSHMI WINES METPALLY BOYA WARD HNO3-3-15  METPALLY BOYAWADA DISTRICT JA HNO3-3-15  METPALLY BOYAWADA DISTRICT JA KARIMNAGAR TNG 505325"/>
    <s v="KARIMNAGAR"/>
    <x v="0"/>
    <x v="9"/>
    <s v="D RAMU"/>
    <n v="802663344"/>
    <s v="Sgr@9290"/>
    <m/>
    <m/>
    <x v="0"/>
    <s v="LIVE"/>
    <s v=" customer paymet on 1 date // Feedback waiting from coustmer"/>
    <x v="6"/>
    <d v="2026-02-20T00:00:00"/>
    <n v="25690"/>
    <s v="ICICI Bank Coral RuPay Credit Card"/>
    <s v="22ND JUNE"/>
    <s v="0000000027939072"/>
    <d v="2026-06-20T00:00:00"/>
  </r>
  <r>
    <s v="6528681841755009"/>
    <s v="MR MADISHETTY PRAVEEN KUMAR"/>
    <n v="0"/>
    <x v="0"/>
    <m/>
    <m/>
    <m/>
    <s v="O"/>
    <x v="1"/>
    <s v="9030107333"/>
    <s v="X"/>
    <n v="-102340.89000000001"/>
    <n v="450000"/>
    <n v="347659.11"/>
    <n v="61523.54"/>
    <n v="286135.57"/>
    <n v="269932.78999999998"/>
    <n v="60590"/>
    <n v="37700"/>
    <x v="0"/>
    <x v="0"/>
    <n v="0"/>
    <n v="37700"/>
    <x v="0"/>
    <s v="NA"/>
    <n v="0"/>
    <s v="HARI"/>
    <x v="5"/>
    <x v="1"/>
    <s v="6-6-1046 SHIVAJI NAGAR Karimnagar NR SUBASHCHANDRA BOSE STATUE KARIM NAGAR TNG 505001"/>
    <s v="MEGHANA LADIES EMPORIUM NO 4-1-283 ANNAPURNA COMPLEC NR SAGAR   Karimnagar TNG 505101 "/>
    <s v="KARIMNAGAR"/>
    <x v="0"/>
    <x v="8"/>
    <s v="SUMANTH"/>
    <n v="802370852"/>
    <s v="Sgr@9290"/>
    <m/>
    <m/>
    <x v="0"/>
    <s v="LIVE"/>
    <s v="Customer address visited and customer asking settlement and he is not ready to pay amount"/>
    <x v="7"/>
    <s v=""/>
    <n v="0"/>
    <s v="ICICI Bank Coral RuPay Credit Card"/>
    <s v="20TH JUNE"/>
    <s v="0000000007953656"/>
    <d v="2026-06-20T00:00:00"/>
  </r>
  <r>
    <s v="6528682033785002"/>
    <s v="MR Bobba Venkateswara Rao"/>
    <n v="0"/>
    <x v="0"/>
    <m/>
    <m/>
    <m/>
    <s v="O"/>
    <x v="1"/>
    <s v="9985615707"/>
    <s v="X"/>
    <n v="-126859.65000000002"/>
    <n v="460000"/>
    <n v="333140.34999999998"/>
    <n v="233172.83"/>
    <n v="99967.52"/>
    <n v="89605.71"/>
    <n v="56710"/>
    <n v="28290"/>
    <x v="1"/>
    <x v="2"/>
    <n v="29000"/>
    <n v="-710"/>
    <x v="4"/>
    <s v="TC"/>
    <s v="30501-BBPS Payment received"/>
    <s v="HARI"/>
    <x v="7"/>
    <x v="1"/>
    <s v="9-19-4 perala andhra ratna nagar beside perala high school Prakasam ANP 523157"/>
    <s v="VENKY EDTID VISIONS &quot;VIJAYA COMPLEX , SHOP NO 116&quot; &quot;KURNOOL ROAD, ONGOLE&quot; &quot;KURNOOL ROAD, ONGOLE&quot; ONGOLE ANP 523001 "/>
    <s v="ONGOLE"/>
    <x v="5"/>
    <x v="10"/>
    <s v="INAMUL"/>
    <n v="802823175"/>
    <s v="Sgr@9290"/>
    <m/>
    <m/>
    <x v="0"/>
    <s v="LIVE"/>
    <s v="CUSTOMER PAYMENT IN SATURDAY EVINING SIR // CUSTOMER PAYMENT IN TODAY EVINING SIR // CUSTOMER PAYMENT IN TODAY EVINING SIR"/>
    <x v="5"/>
    <s v=""/>
    <n v="0"/>
    <s v="ICICI Sapphiro Master PLT Chip Card"/>
    <s v="20TH JUNE"/>
    <s v="0000000184887753"/>
    <d v="2026-06-20T00:00:00"/>
  </r>
  <r>
    <s v="4375514531051000"/>
    <s v="MR. M SHAFIULLA SHAIK"/>
    <n v="0"/>
    <x v="0"/>
    <m/>
    <m/>
    <m/>
    <s v="N"/>
    <x v="1"/>
    <s v="9441232423"/>
    <s v="X"/>
    <n v="11916.020000000019"/>
    <n v="290000"/>
    <n v="301916.02"/>
    <n v="1857.1"/>
    <n v="300058.92"/>
    <n v="284892.34000000003"/>
    <n v="70580"/>
    <n v="42940"/>
    <x v="1"/>
    <x v="2"/>
    <n v="43000"/>
    <n v="-60"/>
    <x v="4"/>
    <s v="TC"/>
    <s v="30501-BBPS Payment received"/>
    <s v="HARI"/>
    <x v="7"/>
    <x v="3"/>
    <s v="D NO 15-14-71/A RTC COLONY &quot;GUNTUR,GUNTUR,GUNTUR&quot; BESIDE INDIAN BLOOMS ENGLISH MEDIUM SCHO GUNTUR ANP 522002"/>
    <s v="OFFICE OF SUPERINTENDENT OF POLICE &quot;COLLECTOR OFFICE ROAD,ANKAMMA NAGAR&quot; &quot;R AND B QUATERS, GUNTUR&quot; &quot;R AND B QUATERS, GUNTUR&quot; GUNTUR ANP 522004"/>
    <s v="GUNTUR"/>
    <x v="5"/>
    <x v="11"/>
    <s v="INAMUL"/>
    <n v="802823175"/>
    <s v="Sgr@9290"/>
    <m/>
    <m/>
    <x v="0"/>
    <s v="SKIP"/>
    <s v="CUSTOMER GIVEN WORKING ADDRESS VISITED CUSTOMER NOT AVAILABLE HERE GOING FOR NEW WORKING ADDRESS CUSTOMER MOBILE RINGING BUT NOT ANSWERING // SHAFIULLA "/>
    <x v="0"/>
    <d v="2025-07-26T00:00:00"/>
    <n v="62490"/>
    <s v="MakeMyTrip ICICI Bank Signature Credit Card"/>
    <s v="26TH JUNE"/>
    <s v="0000000009380562"/>
    <d v="2026-06-20T00:00:00"/>
  </r>
  <r>
    <s v="6528681986924006"/>
    <s v="MR Arveti Chetan"/>
    <n v="0"/>
    <x v="0"/>
    <m/>
    <m/>
    <m/>
    <s v="N"/>
    <x v="1"/>
    <s v="8897279747"/>
    <s v="X"/>
    <n v="-8731.25"/>
    <n v="300000"/>
    <n v="291268.75"/>
    <s v=""/>
    <n v="291268.75"/>
    <n v="265787.75"/>
    <n v="42530"/>
    <n v="15470"/>
    <x v="1"/>
    <x v="1"/>
    <n v="291268.75"/>
    <n v="-275798.75"/>
    <x v="1"/>
    <s v="TC"/>
    <s v="30501-BBPS Payment received"/>
    <s v="HARI"/>
    <x v="8"/>
    <x v="1"/>
    <s v="13-584 Dharmavaram Indira Nagar Ananthapuramu HINDUPUR ANP 515671"/>
    <s v="AS ENTERPRISES &quot;13-584,INDIRA NAGAR,RS ROAD DHARMAVARAM&quot; DHARMAVARAM DHARMAVARAM HINDUPUR ANP 515671"/>
    <s v="HINDUPUR"/>
    <x v="1"/>
    <x v="12"/>
    <s v="POORNIMA"/>
    <n v="802824019"/>
    <s v="Nihan@2421"/>
    <m/>
    <m/>
    <x v="0"/>
    <s v="LIVE"/>
    <s v="Customer PTP on today evening"/>
    <x v="0"/>
    <s v=""/>
    <n v="0"/>
    <s v="ICICI Sapphiro Master PLT Chip Card"/>
    <s v="22ND JUNE"/>
    <s v="0000000032347424"/>
    <d v="2026-06-20T00:00:00"/>
  </r>
  <r>
    <s v="6528682005517003"/>
    <s v="MR Rangabatla Krishna Sastry"/>
    <n v="0"/>
    <x v="0"/>
    <m/>
    <m/>
    <m/>
    <s v="N"/>
    <x v="1"/>
    <s v="9441104844"/>
    <s v="X"/>
    <n v="-106837.65"/>
    <n v="360000"/>
    <n v="253162.35"/>
    <n v="93928.77"/>
    <n v="159233.57999999999"/>
    <n v="142952.07"/>
    <n v="35800"/>
    <n v="14230"/>
    <x v="1"/>
    <x v="1"/>
    <n v="35801"/>
    <n v="-21571"/>
    <x v="5"/>
    <s v="TC"/>
    <s v="30501-BBPS Payment received"/>
    <s v="HARI"/>
    <x v="7"/>
    <x v="1"/>
    <s v="Door.no.1.67.3 KANKIPATIVARIGRUVU SEETAMPURAM..TUNI NEAR YSR STATUE KAKINADA ANP 533401"/>
    <s v="APSACS GOVERNAMENT.HOSPITAL BESIDE.MARKETYARD. BESIDE.MARKETYARD. KAKINADA ANP 533401"/>
    <s v="KAKINADA"/>
    <x v="4"/>
    <x v="13"/>
    <s v="POORNIMA"/>
    <n v="802824019"/>
    <s v="Nihan@2421"/>
    <m/>
    <m/>
    <x v="0"/>
    <m/>
    <m/>
    <x v="1"/>
    <d v="2026-03-25T00:00:00"/>
    <n v="15000"/>
    <s v="ICICI Bank Coral RuPay Credit Card"/>
    <s v="22ND JUNE"/>
    <s v="0000000032375678"/>
    <d v="2026-06-20T00:00:00"/>
  </r>
  <r>
    <s v="6528682872648006"/>
    <s v="MR CHEVURU RAGHAVA REDDY"/>
    <n v="0"/>
    <x v="0"/>
    <m/>
    <m/>
    <m/>
    <s v="N"/>
    <x v="1"/>
    <s v="9542067166"/>
    <s v="X"/>
    <n v="5984.2799999999988"/>
    <n v="240000"/>
    <n v="245984.28"/>
    <s v=""/>
    <n v="245984.28"/>
    <n v="221848.63"/>
    <n v="42010"/>
    <n v="13320"/>
    <x v="1"/>
    <x v="1"/>
    <n v="245984.28"/>
    <n v="-232664.28"/>
    <x v="6"/>
    <s v="TC"/>
    <s v="30501-BBPS Payment received"/>
    <s v="HARI"/>
    <x v="6"/>
    <x v="3"/>
    <s v="1.2407..HOUSING.BOARD.COLONY HOUSING.BOARD.COLONY.. Cuddapah &quot;S O Chevuru Sidda Reddy,1 2407,HOUSING BOARD&quot; CUDDAPAH ANP 516001"/>
    <s v="SREE.VEERABHADRA.OIL.MILL 1.2407 Housing.Board.Colony.Kadapa. Housing.Board.Colony.Kadapa. CUDDAPAH ANP 516004"/>
    <s v="CUDDAPAH"/>
    <x v="1"/>
    <x v="14"/>
    <s v="PAVAN"/>
    <n v="802823180"/>
    <s v="Sgr@9290"/>
    <m/>
    <m/>
    <x v="0"/>
    <m/>
    <m/>
    <x v="1"/>
    <s v=""/>
    <n v="0"/>
    <s v="ICICI Bank Coral RuPay Credit Card"/>
    <s v="26TH JUNE"/>
    <s v="0000000034563580"/>
    <d v="2026-06-20T00:00:00"/>
  </r>
  <r>
    <s v="4748461141614001"/>
    <s v="MR MUNAGANTI KUMAR"/>
    <n v="0"/>
    <x v="0"/>
    <m/>
    <m/>
    <m/>
    <s v="N"/>
    <x v="1"/>
    <s v="9848181079"/>
    <s v="X"/>
    <n v="17738"/>
    <n v="220000"/>
    <n v="237738"/>
    <s v=""/>
    <n v="237738"/>
    <n v="214795"/>
    <n v="53670"/>
    <n v="20830"/>
    <x v="0"/>
    <x v="0"/>
    <n v="0"/>
    <n v="20830"/>
    <x v="0"/>
    <s v="NA"/>
    <s v="30501-BBPS Payment received"/>
    <s v="HARI"/>
    <x v="9"/>
    <x v="1"/>
    <s v="&quot;1-172,YARRAGADDA THANDA,KOTHURU,KUSUMANC&quot; &quot;HI,,KUSUMANCHI&quot;  OPP ANJANEYA TEMPLE KHAMMAM TNG 507159"/>
    <s v="TEAM LEASE INDIA PVT LTD HYDERBAD MADAPUR MADAPUR HYDERABAD TNG 500081"/>
    <s v="KHAMMAM"/>
    <x v="0"/>
    <x v="2"/>
    <s v="CHAITANYA"/>
    <n v="802555024"/>
    <s v="Ssde@9290"/>
    <m/>
    <m/>
    <x v="0"/>
    <s v="LIVE"/>
    <s v="I have Visited Customer given village house address Customer mother available Customer not available present in Hyderabad Customer call answered given PTP by Saturday"/>
    <x v="8"/>
    <d v="2026-02-02T00:00:00"/>
    <n v="41467"/>
    <s v="MakeMyTrip ICICI Bank Platinum Credit Card"/>
    <s v="22ND JUNE"/>
    <s v="0000000021695316"/>
    <d v="2026-06-20T00:00:00"/>
  </r>
  <r>
    <s v="6528680397546002"/>
    <s v="MR RAYAPUREDDY NIKHIL SRINIVASULA"/>
    <s v="RTP"/>
    <x v="0"/>
    <m/>
    <m/>
    <m/>
    <s v="N"/>
    <x v="1"/>
    <s v="9440010493"/>
    <s v="X"/>
    <n v="-2417.179999999993"/>
    <n v="240000"/>
    <n v="237582.82"/>
    <s v=""/>
    <n v="237582.82"/>
    <n v="214883.09"/>
    <n v="36350"/>
    <n v="14150"/>
    <x v="1"/>
    <x v="1"/>
    <n v="138350"/>
    <n v="-124200"/>
    <x v="1"/>
    <s v="TC"/>
    <s v="12118 - NEFT PAYMENT RECEIVED"/>
    <s v="HARI"/>
    <x v="9"/>
    <x v="3"/>
    <s v="2.577.1.BALAJI.NAGAR.BALAJI.NAGAR.PRODDA  ..  PRODDATUR ANP 516360"/>
    <s v="NET.SPEED.BROADBAND 3.1171 Dr.naraya.reddy.complex Dr.naraya.reddy.complex PRODDATUR ANP 516360"/>
    <s v="PRODDATUR"/>
    <x v="1"/>
    <x v="15"/>
    <s v="VSSK PRASAD"/>
    <n v="802349062"/>
    <s v="Ssd@9290"/>
    <m/>
    <m/>
    <x v="0"/>
    <m/>
    <m/>
    <x v="1"/>
    <d v="2026-03-02T00:00:00"/>
    <n v="12000"/>
    <s v="ICICI Bank Coral RuPay Credit Card"/>
    <s v="26TH JUNE"/>
    <s v="0000000028368371"/>
    <d v="2026-06-20T00:00:00"/>
  </r>
  <r>
    <s v="6528681229094005"/>
    <s v="MR RAVINDER REDDY PANUGATI"/>
    <n v="0"/>
    <x v="0"/>
    <m/>
    <m/>
    <m/>
    <s v="N"/>
    <x v="1"/>
    <s v="9866977416"/>
    <s v="X"/>
    <n v="-198252.76"/>
    <n v="430000"/>
    <n v="231747.24"/>
    <s v=""/>
    <n v="231747.24"/>
    <n v="215380"/>
    <n v="37370"/>
    <n v="10770"/>
    <x v="0"/>
    <x v="0"/>
    <n v="0"/>
    <n v="10770"/>
    <x v="0"/>
    <s v="NA"/>
    <n v="0"/>
    <s v="HARI"/>
    <x v="8"/>
    <x v="3"/>
    <s v="H NO 4-1-185/1 NTPC JOYOTHINAGAR SO KARIMNAGAR  NEAR MAIN GATE2 PEDDA PALLI ANP 505215"/>
    <s v="JIO RELIANCE CORPORATE IT PARK LTD SRI RAM NAGAR COLONEY GODAVARIKANI KARIMNAGAR 2ND FLOOR LAXMINILYAM KARIMNAGAR 2ND FLOOR LAXMINILYAM PEDDA PALLI ANP 505209"/>
    <s v="PEDDAPALLI"/>
    <x v="0"/>
    <x v="16"/>
    <s v="POORNIMA"/>
    <n v="802824019"/>
    <s v="Nihan@2421"/>
    <m/>
    <m/>
    <x v="1"/>
    <m/>
    <m/>
    <x v="1"/>
    <d v="2024-04-15T00:00:00"/>
    <n v="1025"/>
    <s v="ICICI Bank Coral RuPay Credit Card"/>
    <s v="26TH JUNE"/>
    <s v="0000000030093107"/>
    <d v="2026-06-20T00:00:00"/>
  </r>
  <r>
    <s v="6528681732350001"/>
    <s v="MR DUSSA SRINIVAS"/>
    <n v="0"/>
    <x v="0"/>
    <n v="1"/>
    <m/>
    <m/>
    <s v="N"/>
    <x v="1"/>
    <s v="9000577243"/>
    <s v="X"/>
    <n v="-4859.0100000000093"/>
    <n v="230000"/>
    <n v="225140.99"/>
    <s v=""/>
    <n v="225140.99"/>
    <n v="208994"/>
    <n v="36530"/>
    <n v="10450"/>
    <x v="0"/>
    <x v="0"/>
    <n v="0"/>
    <n v="10450"/>
    <x v="0"/>
    <s v="NA"/>
    <n v="0"/>
    <s v="HARI"/>
    <x v="9"/>
    <x v="3"/>
    <s v="&quot;590,,&quot; &quot;,Urban Colony&quot; Bhongir Near Water Tank BHONGIR TNG 508116"/>
    <s v="FINE TECH CORPORATION PVT LTD SHOP NO 301 310 406 AND 410 2ND  AND 3RD FLOOR SWARNA PALACE FLOOR SWARNA PALACE Nalgonda TNG 508001"/>
    <s v="NALGONDA"/>
    <x v="0"/>
    <x v="17"/>
    <s v="INAMUL"/>
    <n v="802823175"/>
    <s v="Sgr@9290"/>
    <m/>
    <m/>
    <x v="0"/>
    <s v="SKIP"/>
    <s v="Customer home adress visit and Customer prasent Living in Hyderabd and Call not Answer and They aren't even answering calls from the tenants living in their house"/>
    <x v="0"/>
    <s v=""/>
    <n v="0"/>
    <s v="ICICI Bank Coral RuPay Credit Card"/>
    <s v="26TH JUNE"/>
    <s v="0000000031542216"/>
    <d v="2026-06-20T00:00:00"/>
  </r>
  <r>
    <s v="6528680456653004"/>
    <s v="MR Markandeya Jaya Krishna"/>
    <n v="0"/>
    <x v="0"/>
    <n v="1"/>
    <m/>
    <m/>
    <s v="N"/>
    <x v="1"/>
    <s v="9581495649"/>
    <s v="X"/>
    <n v="-132847.57"/>
    <n v="330000"/>
    <n v="197152.43"/>
    <s v=""/>
    <n v="197152.43"/>
    <n v="181494.61"/>
    <n v="33360"/>
    <n v="9080"/>
    <x v="0"/>
    <x v="0"/>
    <n v="0"/>
    <n v="9080"/>
    <x v="0"/>
    <s v="NA"/>
    <n v="0"/>
    <s v="HARI"/>
    <x v="6"/>
    <x v="3"/>
    <s v="H.No.78.8.A.6.5.1 New.Krishna.nagar ..New.Krishna.nagar Kurnool KURNOOL ANP 518002"/>
    <s v="AARXZ.DESIGN.STUDIO PLOT.NO.17 LEPAKSHI.NAGAR.SATYA.COMPLEX LEPAKSHI.NAGAR.SATYA.COMPLEX KURNOOL ANP 518002"/>
    <s v="KURNOOL"/>
    <x v="1"/>
    <x v="18"/>
    <s v="SAMBA"/>
    <n v="801772794"/>
    <s v="Ssde@9876"/>
    <m/>
    <m/>
    <x v="0"/>
    <s v="SKIP"/>
    <s v="Customer skip from given address.not responding my calls . House lock  // Visited near customer sister she also not available "/>
    <x v="5"/>
    <d v="2024-08-21T00:00:00"/>
    <n v="6370"/>
    <s v="ICICI Bank Coral RuPay Credit Card"/>
    <s v="26TH JUNE"/>
    <s v="0000000028475356"/>
    <d v="2026-06-20T00:00:00"/>
  </r>
  <r>
    <s v="6528681119369004"/>
    <s v="MR ANURAG DUBEY"/>
    <n v="0"/>
    <x v="0"/>
    <m/>
    <m/>
    <m/>
    <s v="O"/>
    <x v="1"/>
    <s v="7275925608"/>
    <s v="X"/>
    <n v="-193750.54"/>
    <n v="390000"/>
    <n v="196249.46"/>
    <s v=""/>
    <n v="196249.46"/>
    <n v="179979.83"/>
    <n v="36860"/>
    <n v="18270"/>
    <x v="0"/>
    <x v="0"/>
    <n v="0"/>
    <n v="18270"/>
    <x v="0"/>
    <s v="NA"/>
    <n v="0"/>
    <s v="HARI"/>
    <x v="9"/>
    <x v="1"/>
    <s v="2ND FLOOR FLAT NO 201 VENKATESH NILAYAM FAROOW NAGAR SHADNAGAR BACK SIDE OF SBI BANK G TRAFFIC P S Hyderabad TNG 500001"/>
    <s v="AUROBINDO PHARMA LTD UNIT V11 SEZ SY NO 411 TO 458 GREEN INDUSTRIAL PARK POLEPALLY JADOHARLA INDUSTRIAL PARK POLEPALLY JADOHARLA Mahbubnagar TNG 509301"/>
    <s v="JEDCHERLA"/>
    <x v="0"/>
    <x v="19"/>
    <s v="SAMBA"/>
    <n v="801772794"/>
    <s v="Ssde@9876"/>
    <m/>
    <m/>
    <x v="1"/>
    <m/>
    <m/>
    <x v="1"/>
    <d v="2024-07-11T00:00:00"/>
    <n v="10000"/>
    <s v="ICICI Bank Coral RuPay Credit Card"/>
    <s v="22ND JUNE"/>
    <s v="0000000029852206"/>
    <d v="2026-06-20T00:00:00"/>
  </r>
  <r>
    <s v="6528683137089002"/>
    <s v="MR PENTA MOHAN"/>
    <n v="0"/>
    <x v="0"/>
    <m/>
    <m/>
    <m/>
    <s v="N"/>
    <x v="1"/>
    <s v="9966732121"/>
    <s v="X"/>
    <n v="13180"/>
    <n v="180000"/>
    <n v="193180"/>
    <s v=""/>
    <n v="193180"/>
    <n v="179894.31"/>
    <n v="42690"/>
    <n v="8300"/>
    <x v="0"/>
    <x v="0"/>
    <n v="0"/>
    <n v="8300"/>
    <x v="0"/>
    <s v="NA"/>
    <n v="0"/>
    <s v="HARI"/>
    <x v="5"/>
    <x v="1"/>
    <s v="h.no.11 16 15. Kashibugga kashibugga Warangal   WARANGAL TNG 506002"/>
    <s v="h.no.11 16 15 kashibugga    WARANGAL TNG 506002"/>
    <s v="WARANGAL"/>
    <x v="0"/>
    <x v="20"/>
    <s v="KARUNAKAR"/>
    <n v="801264672"/>
    <s v="Ssd@9291"/>
    <m/>
    <m/>
    <x v="0"/>
    <s v="LIVE"/>
    <s v="Visited Customer Residence Address Customer Live Customer Taken Injection order Sir"/>
    <x v="8"/>
    <s v=""/>
    <n v="0"/>
    <s v="ICICI Bank Coral RuPay Credit Card"/>
    <s v="22ND JUNE"/>
    <s v="0000000035323826"/>
    <d v="2026-06-20T00:00:00"/>
  </r>
  <r>
    <s v="6528680237063002"/>
    <s v="MS MUNIGELA PRAVALIKA"/>
    <n v="0"/>
    <x v="0"/>
    <n v="1"/>
    <m/>
    <m/>
    <s v="N"/>
    <x v="1"/>
    <s v="9346081562"/>
    <s v="X"/>
    <n v="-606.54999999998836"/>
    <n v="190000"/>
    <n v="189393.45"/>
    <s v=""/>
    <n v="189393.45"/>
    <n v="174029.6"/>
    <n v="32340"/>
    <n v="10270"/>
    <x v="0"/>
    <x v="0"/>
    <n v="0"/>
    <n v="10270"/>
    <x v="0"/>
    <s v="NA"/>
    <n v="0"/>
    <s v="HARI"/>
    <x v="8"/>
    <x v="3"/>
    <s v="H NO 4-45/4 GHANPUR STETION GHANPUR STETION  WARANGAL TNG 506144"/>
    <s v="QUESS CORP LIMITED HANAMKONDA WARANGAL WARANGAL WARANGAL TNG 506002"/>
    <s v="WARANGAL"/>
    <x v="0"/>
    <x v="20"/>
    <s v="KARUNAKAR"/>
    <n v="801264672"/>
    <s v="Ssd@9291"/>
    <m/>
    <m/>
    <x v="0"/>
    <s v="SKIP"/>
    <s v="Adress Not Found Required Kyc Sir"/>
    <x v="5"/>
    <d v="2024-06-16T00:00:00"/>
    <n v="9959.73"/>
    <s v="ICICI Sapphiro Master PLT Chip Card"/>
    <s v="26TH JUNE"/>
    <s v="0000000028100178"/>
    <d v="2026-06-20T00:00:00"/>
  </r>
  <r>
    <s v="6528681210084007"/>
    <s v="Mr AVADHANAM RAVINDRA PHANI"/>
    <n v="0"/>
    <x v="0"/>
    <m/>
    <m/>
    <m/>
    <s v="N"/>
    <x v="1"/>
    <s v="9963403424"/>
    <s v="X"/>
    <n v="-81473.37"/>
    <n v="250000"/>
    <n v="168526.63"/>
    <s v=""/>
    <n v="168526.63"/>
    <n v="130531.98"/>
    <n v="50730"/>
    <n v="36410"/>
    <x v="1"/>
    <x v="2"/>
    <n v="36500"/>
    <n v="-90"/>
    <x v="3"/>
    <s v="TC"/>
    <s v="30501-BBPS Payment received"/>
    <s v="HARI"/>
    <x v="7"/>
    <x v="3"/>
    <s v="&quot;000 T,V N R PURAM GARALAMADUGU,0,PULLAMPETA&quot;    CUDDAPAH ANP 516107"/>
    <s v="Raveendra phani kumar Narayana English mideium school Near SGS degree college LAKSHMIPURAM CIR Near SGS degree college LAKSHMIPURAM CIR TIRUPATHI ANP 517501"/>
    <s v="CUDDAPAH"/>
    <x v="1"/>
    <x v="14"/>
    <s v="PAVAN"/>
    <n v="802823180"/>
    <s v="Sgr@9290"/>
    <m/>
    <m/>
    <x v="0"/>
    <m/>
    <m/>
    <x v="1"/>
    <d v="2025-09-30T00:00:00"/>
    <n v="24550"/>
    <s v="ICICI Bank Coral RuPay Credit Card"/>
    <s v="26TH JUNE"/>
    <s v="0000000030057361"/>
    <d v="2026-06-20T00:00:00"/>
  </r>
  <r>
    <s v="4748464741033002"/>
    <s v="MR GUGGILLA SIVA RAMIREDDY"/>
    <n v="0"/>
    <x v="0"/>
    <m/>
    <m/>
    <m/>
    <s v="N"/>
    <x v="1"/>
    <s v="9121178534"/>
    <s v="X"/>
    <n v="15098.070000000007"/>
    <n v="150000"/>
    <n v="165098.07"/>
    <s v=""/>
    <n v="165098.07"/>
    <n v="148394.51"/>
    <n v="39090"/>
    <n v="8830"/>
    <x v="1"/>
    <x v="2"/>
    <n v="9000"/>
    <n v="-170"/>
    <x v="4"/>
    <s v="FE"/>
    <s v="30501-BBPS Payment received"/>
    <s v="HARI"/>
    <x v="4"/>
    <x v="3"/>
    <s v="0-0 PALACHERLA PALACHERLA  ANANTAPUR ANP 515722"/>
    <s v="GOVERNMENT OF ANDHRA PRADESH SANAPA GRAMA PANCHAYATH &quot;ATMAKUR,ANANTAPUR&quot; &quot;ATMAKUR,ANANTAPUR&quot; ANANTAPUR ANP 515751"/>
    <s v="ANANTAPUR"/>
    <x v="1"/>
    <x v="12"/>
    <s v="POORNIMA"/>
    <n v="802824019"/>
    <s v="Nihan@2421"/>
    <m/>
    <m/>
    <x v="0"/>
    <s v="LIVE"/>
    <s v="Customer PTP on 30th evening"/>
    <x v="5"/>
    <d v="2026-05-01T00:00:00"/>
    <n v="7000"/>
    <s v="Chennai Super Kings ICICI Bank Credit Card"/>
    <s v="26TH JUNE"/>
    <s v="0000000027768785"/>
    <d v="2026-06-20T00:00:00"/>
  </r>
  <r>
    <s v="4375515526509019"/>
    <s v="MR DASARI RAMESH"/>
    <n v="0"/>
    <x v="0"/>
    <n v="1"/>
    <m/>
    <m/>
    <s v="N"/>
    <x v="1"/>
    <s v="9182880323"/>
    <s v="X"/>
    <n v="9207.570000000007"/>
    <n v="150000"/>
    <n v="159207.57"/>
    <n v="59590.06"/>
    <n v="99617.51"/>
    <n v="90031.75"/>
    <n v="31890"/>
    <n v="12510"/>
    <x v="0"/>
    <x v="0"/>
    <n v="0"/>
    <n v="12510"/>
    <x v="0"/>
    <s v="NA"/>
    <n v="0"/>
    <s v="HARI"/>
    <x v="5"/>
    <x v="3"/>
    <s v="H NO 9-1-64/1 GODHAM GADDA  NEAR AYYAPPA GUDI Karimnagar TNG 505001"/>
    <s v="TVS CREDIT SERVICES LTD BY PASS ROAD KNR TO GDK HIGHWAY KNR TO GDK HIGHWAY Karimnagar TNG 505001"/>
    <s v="KARIMNAGAR"/>
    <x v="0"/>
    <x v="8"/>
    <s v="SUMANTH"/>
    <n v="802370852"/>
    <s v="Sgr@9290"/>
    <m/>
    <m/>
    <x v="0"/>
    <s v="MESS"/>
    <s v="Customer live in address and customer not at home and informed to his wife"/>
    <x v="4"/>
    <d v="2025-12-21T00:00:00"/>
    <n v="5000"/>
    <s v="ICICI Bank Coral Credit Card"/>
    <s v="26TH JUNE"/>
    <s v="0000000010935926"/>
    <d v="2026-06-20T00:00:00"/>
  </r>
  <r>
    <s v="4375514793051011"/>
    <s v="MR. SANKARAMADDI VAMSHI REDDY"/>
    <n v="0"/>
    <x v="0"/>
    <m/>
    <m/>
    <m/>
    <s v="N"/>
    <x v="1"/>
    <s v="9949733399"/>
    <s v="Y"/>
    <n v="-266801.78000000003"/>
    <n v="425000"/>
    <n v="158198.22"/>
    <s v=""/>
    <n v="158198.22"/>
    <n v="144252.92000000001"/>
    <n v="22540"/>
    <n v="8610"/>
    <x v="1"/>
    <x v="2"/>
    <n v="8700"/>
    <n v="-90"/>
    <x v="4"/>
    <s v="TC"/>
    <s v="30501-BBPS Payment received"/>
    <s v="HARI"/>
    <x v="7"/>
    <x v="3"/>
    <s v="NO 6-2-427 SRI NAGAR COLONY  HYD ROAD Nalgonda TNG 508001"/>
    <s v="VAMSI CIVIL CONTRACTS NO 1-7-207/2/4/E/6 THIRUMALA NAGAR   Nalgonda TNG 508213"/>
    <s v="SURYAPET"/>
    <x v="0"/>
    <x v="21"/>
    <s v="PAVAN"/>
    <n v="802823180"/>
    <s v="Sgr@9290"/>
    <m/>
    <m/>
    <x v="0"/>
    <m/>
    <m/>
    <x v="1"/>
    <d v="2025-06-24T00:00:00"/>
    <n v="10500"/>
    <s v="ICICI Bank HPCL Coral VISA Credit Card"/>
    <s v="26TH JUNE"/>
    <s v="0000000010187545"/>
    <d v="2026-06-20T00:00:00"/>
  </r>
  <r>
    <s v="4035628004828009"/>
    <s v="MR AYUDHAM VENKATESWARLU"/>
    <n v="0"/>
    <x v="0"/>
    <m/>
    <m/>
    <m/>
    <s v="N"/>
    <x v="1"/>
    <s v="6305031721"/>
    <s v="X"/>
    <n v="5224.2099999999919"/>
    <n v="150000"/>
    <n v="155224.21"/>
    <n v="78207.11"/>
    <n v="77017.100000000006"/>
    <n v="70208.98"/>
    <n v="51730"/>
    <n v="19870"/>
    <x v="1"/>
    <x v="1"/>
    <n v="77017.100000000006"/>
    <n v="-57147.100000000006"/>
    <x v="2"/>
    <s v="TC"/>
    <s v="30501-BBPS Payment received"/>
    <s v="HARI"/>
    <x v="8"/>
    <x v="1"/>
    <s v="2-40KOPPARRU KOPPARRU  Guntur GTR ANP 522015"/>
    <s v="CGI &quot;DLF Cyber City, Indira Nagar&quot;   HYD TNG 500032"/>
    <s v="GUNTUR"/>
    <x v="5"/>
    <x v="22"/>
    <s v="IMAMVALLI"/>
    <n v="802789320"/>
    <s v="Ssd@9290"/>
    <m/>
    <m/>
    <x v="0"/>
    <m/>
    <m/>
    <x v="1"/>
    <s v=""/>
    <n v="0"/>
    <s v="ICICI Bank HPCL Coral VISA Credit Card"/>
    <s v="22ND JUNE"/>
    <s v="0000000034413539"/>
    <d v="2026-06-20T00:00:00"/>
  </r>
  <r>
    <s v="6528680604530005"/>
    <s v="MS GRANDHI VENKATANAGR SURYAKUMAR"/>
    <n v="0"/>
    <x v="0"/>
    <m/>
    <m/>
    <m/>
    <s v="O"/>
    <x v="1"/>
    <s v="8686879988"/>
    <s v="X"/>
    <n v="-106060.23000000001"/>
    <n v="260000"/>
    <n v="153939.76999999999"/>
    <n v="77159.679999999993"/>
    <n v="76780.09"/>
    <n v="70189.679999999993"/>
    <n v="28860"/>
    <n v="12960"/>
    <x v="1"/>
    <x v="2"/>
    <n v="14000"/>
    <n v="-1040"/>
    <x v="0"/>
    <s v="D"/>
    <s v="30501-BBPS Payment received"/>
    <s v="HARI"/>
    <x v="7"/>
    <x v="1"/>
    <s v="KINGS OPERA APARTMENT HNO 19-1-322/1-203 BANK COLONY PEDDAPURAM  NEAR CHACHA SCHOOL PEDDAPURAM ANP 533437"/>
    <s v="SRI LAKSHMI ENTERPRISES HNO 19-1-390/3 SUDHA COLONY   PEDDAPURAM ANP 533437"/>
    <s v="PEDDAPURAM"/>
    <x v="4"/>
    <x v="23"/>
    <s v="UDAY"/>
    <n v="801436997"/>
    <s v="Ssd@9290"/>
    <m/>
    <m/>
    <x v="0"/>
    <s v="LIVE"/>
    <s v="Customer address visit ch not msg left to family call response asking time call back in evening sir // Customer address visit ch not msg left to family call response asking time call back in evening sir // Customer ptp on today evening sir // Customer address visit Waiting for payment sir"/>
    <x v="6"/>
    <d v="2024-07-15T00:00:00"/>
    <n v="60000"/>
    <s v="ICICI Bank Coral RuPay Credit Card"/>
    <s v="22ND JUNE"/>
    <s v="0000000028787207"/>
    <d v="2026-06-20T00:00:00"/>
  </r>
  <r>
    <s v="6528682033572004"/>
    <s v="MR Durgam Shyam Sunder"/>
    <n v="0"/>
    <x v="0"/>
    <m/>
    <m/>
    <m/>
    <s v="O"/>
    <x v="1"/>
    <s v="7416186352"/>
    <s v="X"/>
    <n v="-77624.48000000001"/>
    <n v="220000"/>
    <n v="142375.51999999999"/>
    <n v="102946.42"/>
    <n v="39429.1"/>
    <n v="34051.370000000003"/>
    <n v="32690"/>
    <n v="14930"/>
    <x v="1"/>
    <x v="2"/>
    <n v="15029.1"/>
    <n v="-99.100000000000364"/>
    <x v="7"/>
    <s v="TC"/>
    <s v="30501-BBPS Payment received"/>
    <s v="HARI"/>
    <x v="5"/>
    <x v="1"/>
    <s v="1.252.9.1 REBBENA EDAVELLY Komaram Bheem ADILABAD TNG 504292"/>
    <s v="PREM.KIRANA.AND.GENERAL.STORE EDAVELLY KAIRGAM. KAIRGAM. ADILABAD TNG 504292"/>
    <s v="ADILABAD"/>
    <x v="0"/>
    <x v="24"/>
    <s v="K RAMU"/>
    <n v="802898520"/>
    <s v="Ssd@9290"/>
    <m/>
    <m/>
    <x v="0"/>
    <s v="MESS"/>
    <s v="Customer given address visit customer not available , trying by call / Customer given address visit customer not available , relatives met trying to payment // Customer given address visit customer not available , trying by call"/>
    <x v="6"/>
    <s v=""/>
    <n v="0"/>
    <s v="ICICI Bank Coral RuPay Credit Card"/>
    <s v="22ND JUNE"/>
    <s v="0000000032416214"/>
    <d v="2026-06-20T00:00:00"/>
  </r>
  <r>
    <s v="6528681827013001"/>
    <s v="MR MANNALA PRASAD"/>
    <n v="0"/>
    <x v="0"/>
    <m/>
    <m/>
    <m/>
    <s v="N"/>
    <x v="1"/>
    <s v="9701963556"/>
    <s v="J3"/>
    <n v="-61840.73000000001"/>
    <n v="200000"/>
    <n v="138159.26999999999"/>
    <s v=""/>
    <n v="138159.26999999999"/>
    <n v="95514.53"/>
    <n v="51970"/>
    <n v="47430"/>
    <x v="1"/>
    <x v="2"/>
    <n v="47970"/>
    <n v="-540"/>
    <x v="7"/>
    <s v="TC"/>
    <s v="30501-BBPS Payment received"/>
    <s v="HARI"/>
    <x v="8"/>
    <x v="3"/>
    <s v="1-53 BOMMEPARTHY   B-1 RAMALAYAM ANANTAPUR ANP 515722"/>
    <s v="D NO 8-7-8A TADIPATRI ROAD BATHALARALLY   HINDUPUR ANP 515661"/>
    <s v="ANANTAPUR"/>
    <x v="1"/>
    <x v="12"/>
    <s v="POORNIMA"/>
    <n v="802824019"/>
    <s v="Nihan@2421"/>
    <m/>
    <m/>
    <x v="0"/>
    <s v="LIVE"/>
    <s v="Customer PTP on today 2pm // Waiting for location"/>
    <x v="6"/>
    <d v="2025-11-11T00:00:00"/>
    <n v="11100"/>
    <s v="ICICI Bank Coral RuPay Credit Card"/>
    <s v="26TH JUNE"/>
    <s v="0000000031911004"/>
    <d v="2026-06-20T00:00:00"/>
  </r>
  <r>
    <s v="6528680337813017"/>
    <s v="MR RAYINI AMARENDAR RAO"/>
    <n v="0"/>
    <x v="0"/>
    <m/>
    <m/>
    <m/>
    <s v="N"/>
    <x v="1"/>
    <s v="6300285707"/>
    <s v="X"/>
    <n v="7991.2900000000081"/>
    <n v="130000"/>
    <n v="137991.29"/>
    <s v=""/>
    <n v="137991.29"/>
    <n v="125082.56"/>
    <n v="29800"/>
    <n v="10330"/>
    <x v="0"/>
    <x v="0"/>
    <n v="0"/>
    <n v="10330"/>
    <x v="0"/>
    <s v="NA"/>
    <n v="0"/>
    <s v="HARI"/>
    <x v="6"/>
    <x v="3"/>
    <s v="1-145/3 SHIVAPARVATHI NAGAR PEDHAPALLY MAIN ROAD PEDDAPALLI TNG 505172"/>
    <s v="GOVT OF TELANGANA REVENUE DEPARTMENT PRIMARY HEALTH CENTER &quot;MUTHARAM ,,PEDDAPALLI&quot; &quot;MUTHARAM ,,PEDDAPALLI&quot; SANGAREDDY TNG 502306"/>
    <s v="PEDDAPALLI"/>
    <x v="0"/>
    <x v="16"/>
    <s v="POORNIMA"/>
    <n v="802824019"/>
    <s v="Nihan@2421"/>
    <m/>
    <m/>
    <x v="1"/>
    <m/>
    <m/>
    <x v="1"/>
    <s v=""/>
    <n v="0"/>
    <s v="ICICI Bank Coral RuPay Credit Card"/>
    <s v="26TH JUNE"/>
    <s v="0000000028249329"/>
    <d v="2026-06-20T00:00:00"/>
  </r>
  <r>
    <s v="6528683009182000"/>
    <s v="MR KATTUBADI JAVEED BASHA"/>
    <n v="0"/>
    <x v="0"/>
    <m/>
    <m/>
    <m/>
    <s v="N"/>
    <x v="1"/>
    <s v="9703772283"/>
    <s v="X"/>
    <n v="-196262.84"/>
    <n v="330000"/>
    <n v="133737.16"/>
    <s v=""/>
    <n v="133737.16"/>
    <n v="122350.77"/>
    <n v="19830"/>
    <n v="6600"/>
    <x v="0"/>
    <x v="0"/>
    <n v="0"/>
    <n v="6600"/>
    <x v="0"/>
    <s v="NA"/>
    <n v="0"/>
    <s v="HARI"/>
    <x v="9"/>
    <x v="3"/>
    <s v="&quot;2 47/40 APPALA RAO STREET , ATMAKUR&quot; &quot;,KURNOOL DIST PADMAVATI HIGH SCHOOL&quot;   KURNOOL ANP 518422"/>
    <s v="&quot;2 47/40 APPALA RAO STREET , ATMAKUR&quot; &quot;,KURNOOL DIST&quot;   KURNOOL ANP 518422"/>
    <s v="KURNOOL"/>
    <x v="1"/>
    <x v="18"/>
    <s v="SAMBA"/>
    <n v="801772794"/>
    <s v="Ssde@9876"/>
    <m/>
    <m/>
    <x v="1"/>
    <m/>
    <m/>
    <x v="1"/>
    <d v="2026-04-10T00:00:00"/>
    <n v="16000"/>
    <s v="ICICI Bank Coral RuPay Credit Card"/>
    <s v="26TH JUNE"/>
    <s v="0000000034923194"/>
    <d v="2026-06-20T00:00:00"/>
  </r>
  <r>
    <s v="6528680570503002"/>
    <s v="MR SRAVAN KUMAR BEDAPALLI"/>
    <n v="0"/>
    <x v="0"/>
    <m/>
    <m/>
    <m/>
    <s v="N"/>
    <x v="1"/>
    <s v="9908595043"/>
    <s v="X"/>
    <n v="8962.8699999999953"/>
    <n v="120000"/>
    <n v="128962.87"/>
    <s v=""/>
    <n v="128962.87"/>
    <n v="117176.94"/>
    <n v="27980"/>
    <n v="8650"/>
    <x v="1"/>
    <x v="1"/>
    <n v="27980"/>
    <n v="-19330"/>
    <x v="8"/>
    <s v="TC"/>
    <s v="30501-BBPS Payment received"/>
    <s v="HARI"/>
    <x v="6"/>
    <x v="1"/>
    <s v="6-392/1-1 OLD PET SREE NAGAR COLONY OPPOSITE ELENA SCHOOL PALAMANER ANP 517408"/>
    <s v="AMARA RAJA BATTERIES LIMITED NOONEGUNDLA PALLI BANGARUPALEM MANDAL BANGARUPALEM MANDAL CHITTOOR ANP 517416"/>
    <s v="PALAMANER"/>
    <x v="1"/>
    <x v="25"/>
    <s v="S SEKHAR"/>
    <n v="845041675"/>
    <s v="Ssd@9290"/>
    <m/>
    <m/>
    <x v="0"/>
    <m/>
    <m/>
    <x v="1"/>
    <d v="2024-07-27T00:00:00"/>
    <n v="50000"/>
    <s v="ICICI Bank Coral RuPay Credit Card"/>
    <s v="22ND JUNE"/>
    <s v="0000000028720759"/>
    <d v="2026-06-20T00:00:00"/>
  </r>
  <r>
    <s v="5241933447783010"/>
    <s v="MR. SRIHARI SANKALAMADDI"/>
    <n v="0"/>
    <x v="0"/>
    <m/>
    <m/>
    <m/>
    <s v="O"/>
    <x v="1"/>
    <s v="9985883962"/>
    <s v="X"/>
    <n v="1327.2700000000041"/>
    <n v="125000"/>
    <n v="126327.27"/>
    <s v=""/>
    <n v="126327.27"/>
    <n v="113558.84"/>
    <n v="27690"/>
    <n v="14110"/>
    <x v="1"/>
    <x v="2"/>
    <n v="14200"/>
    <n v="-90"/>
    <x v="4"/>
    <s v="TC"/>
    <s v="30501-BBPS Payment received"/>
    <s v="HARI"/>
    <x v="4"/>
    <x v="1"/>
    <s v="&quot;NALGONDA ,12-236,KAMALANAGAR&quot; NEREDCHERLA SURYAPET NEAR KAMALANAGAR SURYAPET TNG 508218"/>
    <s v="ATOS GLOBAL IT SOLUTIONS AND SERVICE PVT AIROLI KNOWLEDGE PARK AIROLI NAVI MUMBAI BUILDING NO 3 7TH FLOOR GIGAPLEX SPECIAL BUILDING NO 3 7TH FLOOR GIGAPLEX SPECIAL MUMBAI MAH 400708"/>
    <s v="SURYAPET"/>
    <x v="0"/>
    <x v="22"/>
    <s v="POORNIMA"/>
    <n v="802824019"/>
    <s v="Nihan@2421"/>
    <m/>
    <m/>
    <x v="0"/>
    <m/>
    <m/>
    <x v="1"/>
    <d v="2025-10-06T00:00:00"/>
    <n v="41920"/>
    <s v="ICICI Bank HPCL Super Saver Master Credit Card"/>
    <s v="22ND JUNE"/>
    <s v="0000000010543299"/>
    <d v="2026-06-20T00:00:00"/>
  </r>
  <r>
    <s v="6528681825561001"/>
    <s v="MR KUMMARI AVINASH"/>
    <n v="0"/>
    <x v="0"/>
    <m/>
    <m/>
    <m/>
    <s v="O"/>
    <x v="1"/>
    <s v="9177997691"/>
    <s v="X"/>
    <n v="-278975.63"/>
    <n v="402500"/>
    <n v="123524.37"/>
    <s v=""/>
    <n v="123524.37"/>
    <n v="113592.96000000001"/>
    <n v="26140"/>
    <n v="14080"/>
    <x v="0"/>
    <x v="0"/>
    <n v="0"/>
    <n v="14080"/>
    <x v="0"/>
    <s v="NA"/>
    <n v="0"/>
    <s v="HARI"/>
    <x v="9"/>
    <x v="1"/>
    <s v="&quot;H.NO.11-29-282,MV COLONY ROAD NO.3,WARAN&quot; GAL  . WARANGAL TNG 506002"/>
    <s v="VALUELABS SOLUTIONS LLP 360 INDIA 360 GACHIBOWLI HYDERABAD HYDERABAD HYDERABAD TNG 500032"/>
    <s v="WARANGAL"/>
    <x v="0"/>
    <x v="20"/>
    <s v="CHAITANYA"/>
    <n v="802555024"/>
    <s v="Ssde@9290"/>
    <m/>
    <m/>
    <x v="0"/>
    <s v="MESS"/>
    <s v="Visited Customer Residence Address Customer Not Available Inform To His Mother Sir // Visited Customer Residence Address Customer Not Available  Meet Customer Mother  she Inform To His Son Revisit Evining Sir"/>
    <x v="9"/>
    <d v="2026-03-17T00:00:00"/>
    <n v="70741.02"/>
    <s v="ICICI Bank HPCL Super Saver RuPay Credit Card"/>
    <s v="22ND JUNE"/>
    <s v="0000000031905943"/>
    <d v="2026-06-20T00:00:00"/>
  </r>
  <r>
    <s v="6528681370935014"/>
    <s v="MR KOTILINGAM K"/>
    <n v="0"/>
    <x v="0"/>
    <m/>
    <m/>
    <m/>
    <s v="N"/>
    <x v="1"/>
    <s v="7032451360"/>
    <s v="X"/>
    <n v="11873.130000000005"/>
    <n v="110000"/>
    <n v="121873.13"/>
    <s v=""/>
    <n v="121873.13"/>
    <n v="109980.67"/>
    <n v="30120"/>
    <n v="11930"/>
    <x v="0"/>
    <x v="0"/>
    <n v="0"/>
    <n v="11930"/>
    <x v="0"/>
    <s v="NA"/>
    <n v="0"/>
    <s v="HARI"/>
    <x v="7"/>
    <x v="1"/>
    <s v="7-34/1 BALAJI NAGAR   JEDCHERLA TNG 509301"/>
    <s v="INTERISE &quot;TOLL PLAZA, KM 114, NH 44. SHAKAPUR&quot;   MAHBOOBNAGAR TNG 509382"/>
    <s v="JEDCHERLA"/>
    <x v="0"/>
    <x v="19"/>
    <s v="SAMBA"/>
    <n v="801772794"/>
    <s v="Ssde@9876"/>
    <m/>
    <m/>
    <x v="1"/>
    <m/>
    <m/>
    <x v="1"/>
    <d v="2025-08-01T00:00:00"/>
    <n v="932"/>
    <s v="ICICI Bank Coral RuPay Credit Card"/>
    <s v="22ND JUNE"/>
    <s v="0000000030454807"/>
    <d v="2026-06-20T00:00:00"/>
  </r>
  <r>
    <s v="6528682190024013"/>
    <s v="MR DUBBA ISSACRAJU"/>
    <n v="0"/>
    <x v="0"/>
    <m/>
    <m/>
    <m/>
    <s v="O"/>
    <x v="1"/>
    <s v="9849310046"/>
    <s v="X"/>
    <n v="-23111.03"/>
    <n v="141000"/>
    <n v="117888.97"/>
    <s v=""/>
    <n v="117888.97"/>
    <n v="109660.62"/>
    <n v="23880"/>
    <n v="11850"/>
    <x v="1"/>
    <x v="2"/>
    <n v="12000"/>
    <n v="-150"/>
    <x v="7"/>
    <s v="TC"/>
    <s v="30501-BBPS Payment received"/>
    <s v="HARI"/>
    <x v="5"/>
    <x v="1"/>
    <s v="HNO 5-10-131  MANYAM CHALKAN NALGONDA NALGONDA NEAR DISTRICT JAIL NALGONDA TNG 508001"/>
    <s v="GENERAL STATE GOVERNEMENT GOVT OF TELANGANA SC CORPORATION SAMKSHEMA BHAVAN COLLECTORATE COMPLEXE SAMKSHEMA BHAVAN COLLECTORATE COMPLEXE NALGONDA TNG 508001"/>
    <s v="NALGONDA"/>
    <x v="0"/>
    <x v="17"/>
    <s v="INAMUL"/>
    <n v="802823175"/>
    <s v="Sgr@9290"/>
    <m/>
    <m/>
    <x v="0"/>
    <s v="LIVE"/>
    <s v="Customer adress visit and Customer is Live and Customer ptp on Tommorow"/>
    <x v="4"/>
    <d v="2025-05-13T00:00:00"/>
    <n v="81000"/>
    <s v="ICICI Bank HPCL Super Saver Visa Credit Card"/>
    <s v="22ND JUNE"/>
    <s v="0000000032730987"/>
    <d v="2026-06-20T00:00:00"/>
  </r>
  <r>
    <s v="6528680632274006"/>
    <s v="MR THAKUR SHAILENDER SINGH"/>
    <n v="0"/>
    <x v="0"/>
    <m/>
    <m/>
    <m/>
    <s v="N"/>
    <x v="1"/>
    <s v="9553833837"/>
    <s v="X"/>
    <n v="-86444.88"/>
    <n v="200000"/>
    <n v="113555.12"/>
    <s v=""/>
    <n v="113555.12"/>
    <n v="101334.66"/>
    <n v="19020"/>
    <n v="7770"/>
    <x v="0"/>
    <x v="0"/>
    <n v="0"/>
    <n v="7770"/>
    <x v="0"/>
    <s v="NA"/>
    <n v="0"/>
    <s v="HARI"/>
    <x v="9"/>
    <x v="3"/>
    <s v="H.NO6-6-486 SHARMA NAGAR KARIMNAGAR NEAR MAIN ROAD ADILABAD TNG 505001"/>
    <s v="JANANI FISH  FARMS EXPORTS H.NO 6-6-486 SHARMANAGAR KARIMNAGAR SHARMANAGAR KARIMNAGAR ADILABAD TNG 505001"/>
    <s v="KARIMNAGAR"/>
    <x v="0"/>
    <x v="8"/>
    <s v="SUMANTH"/>
    <n v="802370852"/>
    <s v="Sgr@9290"/>
    <m/>
    <m/>
    <x v="0"/>
    <s v="SKIP"/>
    <s v="Customer address visited and hospital addresse given and no one identified name here calls not answered"/>
    <x v="4"/>
    <d v="2024-08-17T00:00:00"/>
    <n v="9640.31"/>
    <s v="ICICI Bank Coral RuPay Credit Card"/>
    <s v="26TH JUNE"/>
    <s v="0000000028854636"/>
    <d v="2026-06-20T00:00:00"/>
  </r>
  <r>
    <s v="5241935758207000"/>
    <s v="MS SYED BEGUM"/>
    <n v="0"/>
    <x v="0"/>
    <m/>
    <m/>
    <m/>
    <s v="N"/>
    <x v="1"/>
    <s v="8977956661"/>
    <s v="X"/>
    <n v="10824.410000000003"/>
    <n v="100000"/>
    <n v="110824.41"/>
    <s v=""/>
    <n v="110824.41"/>
    <n v="99965.15"/>
    <n v="27360"/>
    <n v="10540"/>
    <x v="0"/>
    <x v="0"/>
    <n v="0"/>
    <n v="10540"/>
    <x v="0"/>
    <s v="NA"/>
    <n v="0"/>
    <s v="HARI"/>
    <x v="7"/>
    <x v="1"/>
    <s v="D NO.7/24-3 BRAVINDRA NAGAR KADAPA ALIMURAD SHA DARGA CUDDAPAH ANP 516003"/>
    <s v="GOVERNMENT OF ANDHRA PRADESH ANIMAL HUSBANDRY DEPT NEAR KOTIREDDY CIRCLE NEAR KOTIREDDY CIRCLE CUDDAPAH ANP 516003"/>
    <s v="CUDDAPAH"/>
    <x v="1"/>
    <x v="14"/>
    <s v="SIVARAU"/>
    <n v="801601134"/>
    <s v="Ssd@9290"/>
    <m/>
    <m/>
    <x v="0"/>
    <s v="SKIP"/>
    <s v="VISITED CS RESIDENCE ADDRESS CS WAS SHIFTED FROM HERE IN LAST FEW YEARS AGO&amp; STAYING NEAR ITI CIRCLE CS HUSBAND LIFT THE CALL&amp;GIVEN PTP ON BEFORE 2ND JULY ONCE WILL MEET CS HUSBAND AT EVENING RIGHT NOW HE WAS IN OFFICE"/>
    <x v="7"/>
    <d v="2025-10-30T00:00:00"/>
    <n v="7000"/>
    <s v="ICICI Bank HPCL Super Saver Master Credit Card"/>
    <s v="22ND JUNE"/>
    <s v="0000000027282517"/>
    <d v="2026-06-20T00:00:00"/>
  </r>
  <r>
    <s v="6528681506226007"/>
    <s v="MR KATTA UMA MAHESH"/>
    <n v="0"/>
    <x v="0"/>
    <m/>
    <m/>
    <m/>
    <s v="N"/>
    <x v="1"/>
    <s v="6302380964"/>
    <s v="X"/>
    <n v="10289.350000000006"/>
    <n v="100000"/>
    <n v="110289.35"/>
    <s v=""/>
    <n v="110289.35"/>
    <n v="99994.72"/>
    <n v="29820"/>
    <n v="5000"/>
    <x v="1"/>
    <x v="1"/>
    <n v="74426"/>
    <n v="-69426"/>
    <x v="7"/>
    <s v="TC"/>
    <s v="30501-BBPS Payment received"/>
    <s v="HARI"/>
    <x v="6"/>
    <x v="3"/>
    <s v="&quot;3-31/A RAMALAYAM STREET,PENUMANTRA MANDA&quot; &quot;LAM,,SATYAVARAM&quot;  NEAR MAIN ROAD BHIMAVARAM ANP 534122"/>
    <s v="JOYALUKKAS INDIA PRIVATE LIMITED MG ROAD LABBIPETA VIJAYAWADA VIJAYAWADA VIJAYAWADA ANP 520010"/>
    <s v="BHIMAVARAM"/>
    <x v="4"/>
    <x v="26"/>
    <s v="B NAGABABU"/>
    <n v="801448854"/>
    <s v="Sgr@9290"/>
    <m/>
    <m/>
    <x v="0"/>
    <s v="SKIP"/>
    <s v="cmr not live in this address, cmr mother went to work , cmr living in Guntur"/>
    <x v="9"/>
    <d v="2025-04-19T00:00:00"/>
    <n v="23500"/>
    <s v="ICICI Sapphiro Master PLT Chip Card"/>
    <s v="26TH JUNE"/>
    <s v="0000000030805163"/>
    <d v="2026-06-20T00:00:00"/>
  </r>
  <r>
    <s v="6528682272006003"/>
    <s v="MR Sura Kalyan"/>
    <n v="0"/>
    <x v="0"/>
    <m/>
    <m/>
    <m/>
    <s v="N"/>
    <x v="1"/>
    <s v="7675834500"/>
    <s v="X"/>
    <n v="8662.5"/>
    <n v="100000"/>
    <n v="108662.5"/>
    <s v=""/>
    <n v="108662.5"/>
    <n v="100000"/>
    <n v="26650"/>
    <n v="5000"/>
    <x v="1"/>
    <x v="1"/>
    <n v="77000"/>
    <n v="-72000"/>
    <x v="4"/>
    <s v="FE"/>
    <s v="12101-INFINITY PYMT RCVD"/>
    <s v="HARI"/>
    <x v="8"/>
    <x v="3"/>
    <s v="Sura.kalyan.opposite.johndeer tractor.show.room.Near Andhraboar.luxettipet Opposite johndeer tractor show ADILABAD TNG 504215"/>
    <s v="SAI.KIRANS Sura.kalyan.opposite.johndeer tractor.show.room.Near.Andhraboar.luxett tractor.show.room.Near.Andhraboar.luxett ADILABAD TNG 504215"/>
    <s v="ADILABAD"/>
    <x v="0"/>
    <x v="24"/>
    <s v="K RAMU"/>
    <n v="802898520"/>
    <s v="Ssd@9290"/>
    <m/>
    <m/>
    <x v="0"/>
    <s v="SKIP"/>
    <s v="Customer given address visit address not found, call not answer trying to alternative // Customer given address visit address not available, call not answer // Customer alternative address visit address customer met trying to payment"/>
    <x v="9"/>
    <s v=""/>
    <n v="0"/>
    <s v="ICICI Bank Coral RuPay Credit Card"/>
    <s v="26TH JUNE"/>
    <s v="0000000032960051"/>
    <d v="2026-06-20T00:00:00"/>
  </r>
  <r>
    <s v="6528682279602002"/>
    <s v="MR PARBHAKAR DOLAKALA"/>
    <n v="0"/>
    <x v="0"/>
    <m/>
    <m/>
    <m/>
    <s v="N"/>
    <x v="1"/>
    <s v="9866397736"/>
    <s v="X"/>
    <n v="-310362.45"/>
    <n v="410000"/>
    <n v="99637.55"/>
    <s v=""/>
    <n v="99637.55"/>
    <n v="89854.9"/>
    <n v="15460"/>
    <n v="5280"/>
    <x v="1"/>
    <x v="1"/>
    <n v="15460"/>
    <n v="-10180"/>
    <x v="7"/>
    <s v="TC"/>
    <s v="30501-BBPS Payment received"/>
    <s v="HARI"/>
    <x v="7"/>
    <x v="3"/>
    <s v="HOUSE NO F NO 302 POOJAHOMES HUNTER ROAD  NEAR RAJU HOTEL Warangal TNG 506001"/>
    <s v="GOVERNMENT OF TELANGANA STATE DISASTER RESPONSE AND FIRE SERVIC DEP MATIWADA WARANGAL DEP MATIWADA WARANGAL Warangal TNG 506002"/>
    <s v="WARANGAL"/>
    <x v="0"/>
    <x v="20"/>
    <s v="KARUNAKAR"/>
    <n v="801264672"/>
    <s v="Ssd@9291"/>
    <m/>
    <m/>
    <x v="0"/>
    <s v="SKIP"/>
    <s v="Visited Customer Given Adress Customer Shifted Since 2years Conform to Owner's Sir // Transfer to Sangareddy dfo office"/>
    <x v="5"/>
    <d v="2026-04-19T00:00:00"/>
    <n v="5380"/>
    <s v="ICICI Bank Coral RuPay Credit Card"/>
    <s v="26TH JUNE"/>
    <s v="0000000032987172"/>
    <d v="2026-06-20T00:00:00"/>
  </r>
  <r>
    <s v="4315812313128001"/>
    <s v="MR. KANITHI SRINIVASARAO"/>
    <n v="0"/>
    <x v="0"/>
    <m/>
    <m/>
    <m/>
    <s v="N"/>
    <x v="1"/>
    <s v="9848249618"/>
    <s v="X"/>
    <n v="7269.7400000000052"/>
    <n v="92000"/>
    <n v="99269.74"/>
    <n v="31312.15"/>
    <n v="67957.59"/>
    <n v="59904.89"/>
    <n v="16700"/>
    <n v="7060"/>
    <x v="0"/>
    <x v="0"/>
    <n v="0"/>
    <n v="7060"/>
    <x v="0"/>
    <s v="NA"/>
    <n v="0"/>
    <s v="HARI"/>
    <x v="5"/>
    <x v="1"/>
    <s v="D NO 17-8-38/3A SANJAYNAGAR   NEAR SAIBABA TEMPLE KAKINADA ANP 533001"/>
    <s v="KINADA SEAPORTS LTD KAKINADA SEA PORT LTD 2ND FLOOR PORT ADMINISTRATIVE BUILDING PORT ADMINISTRATIVE BUILDING KAKINADA ANP 533007"/>
    <s v="KAKINADA"/>
    <x v="4"/>
    <x v="23"/>
    <s v="UDAY"/>
    <n v="801436997"/>
    <s v="Ssd@9290"/>
    <m/>
    <m/>
    <x v="0"/>
    <s v="SKIP"/>
    <s v="Customer address not found need customer photo need kyc sir customer no not working sir // Customer address skip neighbour enquiry customer shifting to Orissa // Customer address not found need customer photo need kyc sir customer no not working sir // Customer address skip call not answering sir // Customer gas address visit ch not available skip"/>
    <x v="3"/>
    <d v="2026-04-06T00:00:00"/>
    <n v="18580"/>
    <s v="Amazon Pay ICICI Bank Credit Card"/>
    <s v="22ND JUNE"/>
    <s v="0000000020531165"/>
    <d v="2026-06-20T00:00:00"/>
  </r>
  <r>
    <s v="6528680280051003"/>
    <s v="MR Seelam Shekar"/>
    <n v="0"/>
    <x v="0"/>
    <m/>
    <m/>
    <m/>
    <s v="N"/>
    <x v="1"/>
    <s v="9441495512"/>
    <s v="X"/>
    <n v="-66038.97"/>
    <n v="160000"/>
    <n v="93961.03"/>
    <s v=""/>
    <n v="93961.03"/>
    <n v="84598.98"/>
    <n v="14670"/>
    <n v="4990"/>
    <x v="0"/>
    <x v="0"/>
    <n v="0"/>
    <n v="4990"/>
    <x v="0"/>
    <s v="NA"/>
    <n v="0"/>
    <s v="HARI"/>
    <x v="5"/>
    <x v="3"/>
    <s v="H NO 5 77  SANJAY NAGAR  LAXMIDEVIPALLI BHADRADRI KOTHAGUDEM BHADRADRI KOTHAGUDEM NEAR TRIVENI GIRLS HOSTEL KHAMMAM TNG 507101"/>
    <s v="UFO MOVIEZ H NO 5 9  LAXMIDEVIPALLI KOTHAGUDEM KOTHAGUDEM KHAMMAM TNG 507101"/>
    <s v="KHAMMAM"/>
    <x v="0"/>
    <x v="27"/>
    <s v="POORNIMA"/>
    <n v="802824019"/>
    <s v="Nihan@2421"/>
    <m/>
    <m/>
    <x v="1"/>
    <s v="SKIP"/>
    <s v="customer shifted this address 3 years ago number not working"/>
    <x v="4"/>
    <d v="2026-04-15T00:00:00"/>
    <n v="16080"/>
    <s v="ICICI Bank Coral RuPay Credit Card"/>
    <s v="26TH JUNE"/>
    <s v="0000000028161357"/>
    <d v="2026-06-20T00:00:00"/>
  </r>
  <r>
    <s v="6528681228629009"/>
    <s v="MR GUNREDDY NARAHARI REDDY"/>
    <n v="0"/>
    <x v="0"/>
    <m/>
    <m/>
    <m/>
    <s v="N"/>
    <x v="1"/>
    <s v="9000040416"/>
    <s v="X"/>
    <n v="-21.830000000001746"/>
    <n v="92000"/>
    <n v="91978.17"/>
    <s v=""/>
    <n v="91978.17"/>
    <n v="80936.320000000007"/>
    <n v="15760"/>
    <n v="6400"/>
    <x v="0"/>
    <x v="0"/>
    <n v="0"/>
    <n v="6400"/>
    <x v="0"/>
    <s v="NA"/>
    <n v="0"/>
    <s v="HARI"/>
    <x v="8"/>
    <x v="3"/>
    <s v="H NO 45 29 KDR NAGAR WARD NO 25 WANAPARTHY NEAR HANUMAN TEMPLE Mahbubnagar TNG 509103"/>
    <s v="M S SRI LAKSHMI NARAGMHA TRADERS D NO 45 29 GROUND FLOOR KDR NAGAR MAHABUBNAGAR NAGAR MAHABUBNAGAR Mahbubnagar TNG 509103"/>
    <s v="WANAPARTHY"/>
    <x v="0"/>
    <x v="19"/>
    <s v="SAMBA"/>
    <n v="801772794"/>
    <s v="Ssde@9876"/>
    <m/>
    <m/>
    <x v="1"/>
    <m/>
    <m/>
    <x v="1"/>
    <d v="2025-10-27T00:00:00"/>
    <n v="8236.27"/>
    <s v="ICICI Bank Coral RuPay Credit Card"/>
    <s v="26TH JUNE"/>
    <s v="0000000030091756"/>
    <d v="2026-06-20T00:00:00"/>
  </r>
  <r>
    <s v="6528681743985001"/>
    <s v="MR VISSAKOTI ANIL KUMAR"/>
    <n v="0"/>
    <x v="0"/>
    <m/>
    <m/>
    <m/>
    <s v="N"/>
    <x v="1"/>
    <s v="7330819994"/>
    <s v="X"/>
    <n v="-5980.5200000000041"/>
    <n v="90000"/>
    <n v="84019.48"/>
    <s v=""/>
    <n v="84019.48"/>
    <n v="75779.72"/>
    <n v="14630"/>
    <n v="5887"/>
    <x v="1"/>
    <x v="2"/>
    <n v="6000"/>
    <n v="-113"/>
    <x v="4"/>
    <s v="D"/>
    <s v="30501-BBPS Payment received"/>
    <s v="HARI"/>
    <x v="4"/>
    <x v="3"/>
    <s v="56-10-13/3 FLAT NO 72 PJT COLONY PATAMATA  NR NTR CIRCLE VIJAYAWADA ANP 520007"/>
    <s v="UIJAYAENTERPRISES DOOR NO 2/2 PATAMANA   VIJAYAWADA ANP 520007"/>
    <s v="VIJAYAWADA"/>
    <x v="3"/>
    <x v="5"/>
    <s v="SUDHAKAR"/>
    <n v="802913252"/>
    <s v="Ssd@9290"/>
    <m/>
    <m/>
    <x v="0"/>
    <s v="SKIP"/>
    <s v="Customer given address not found call not answering"/>
    <x v="9"/>
    <d v="2026-04-15T00:00:00"/>
    <n v="16557.04"/>
    <s v="ICICI Bank Coral RuPay Credit Card"/>
    <s v="26TH JUNE"/>
    <s v="0000000031593430"/>
    <d v="2026-06-20T00:00:00"/>
  </r>
  <r>
    <s v="4748469515361000"/>
    <s v="MR GANDI ADITYA"/>
    <n v="0"/>
    <x v="0"/>
    <m/>
    <m/>
    <m/>
    <s v="O"/>
    <x v="1"/>
    <s v="8143653721"/>
    <s v="X"/>
    <n v="3609.0899999999965"/>
    <n v="80000"/>
    <n v="83609.09"/>
    <s v=""/>
    <n v="83609.09"/>
    <n v="78446.009999999995"/>
    <n v="17520"/>
    <n v="8340"/>
    <x v="1"/>
    <x v="2"/>
    <n v="8500"/>
    <n v="-160"/>
    <x v="1"/>
    <s v="TC"/>
    <s v="30501-BBPS Payment received"/>
    <s v="HARI"/>
    <x v="5"/>
    <x v="1"/>
    <s v="2-19 NEAR MPP SCHOOL KOTIPALLI ROAD TOORANGI KAKINADA RURAL  EAST GODAVARI BESIDE MPP SCHOOL KAKINADA ANP 533016"/>
    <s v="BAJAJ FINANCE LIMITED 7-2-27 CHITOORI COMPLEX ABOVE BANK OF MAHARASTRA MAIN ROAD AMALAPURAM MAHARASTRA MAIN ROAD AMALAPURAM AMALAPURAM ANP 533201"/>
    <s v="KAKINADA"/>
    <x v="4"/>
    <x v="23"/>
    <s v="UDAY"/>
    <n v="801436997"/>
    <s v="Ssd@9290"/>
    <m/>
    <m/>
    <x v="0"/>
    <s v="MESS"/>
    <s v="Customer address visit ch not available msg left to family call response ptp on 29th sir // Customer ptp on tomorrow evening"/>
    <x v="5"/>
    <d v="2025-04-25T00:00:00"/>
    <n v="101"/>
    <s v="ICICI Bank Coral RuPay Credit Card"/>
    <s v="22ND JUNE"/>
    <s v="0000000025915043"/>
    <d v="2026-06-20T00:00:00"/>
  </r>
  <r>
    <s v="6528681497932001"/>
    <s v="MR HARISH KUMAR N"/>
    <n v="0"/>
    <x v="0"/>
    <m/>
    <m/>
    <m/>
    <s v="N"/>
    <x v="1"/>
    <s v="9515588888"/>
    <s v="X"/>
    <n v="-618059.07000000007"/>
    <n v="700000"/>
    <n v="81940.929999999993"/>
    <s v=""/>
    <n v="81940.929999999993"/>
    <n v="72171.88"/>
    <n v="16810"/>
    <n v="8400"/>
    <x v="1"/>
    <x v="1"/>
    <n v="81940.929999999993"/>
    <n v="-73540.929999999993"/>
    <x v="7"/>
    <s v="TC"/>
    <s v="30501-BBPS Payment received"/>
    <s v="HARI"/>
    <x v="5"/>
    <x v="3"/>
    <s v="83 SRINAGAR COLONY GALLAS TOWN SHIP GEORGEPET ANANTAPUR  RAMNAGAR ANP 515004"/>
    <s v="POLAR MEGALITHS PRIVATE LIMITED 6 3 668 10 58 2ND FLOOR DURGANAGAR COLONY PANJAGUTTA HYDERBAD DURGANAGAR COLONY PANJAGUTTA HYDERBAD HYDERABAD ANP 500082"/>
    <s v="ANAPARTHI"/>
    <x v="1"/>
    <x v="12"/>
    <s v="POORNIMA"/>
    <n v="802824019"/>
    <s v="Nihan@2421"/>
    <m/>
    <m/>
    <x v="0"/>
    <s v="SKIP"/>
    <s v="Customer house shifted _x000a_Customer calls not responding"/>
    <x v="5"/>
    <d v="2025-03-20T00:00:00"/>
    <n v="2720"/>
    <s v="ICICI Bank Coral RuPay Credit Card"/>
    <s v="26TH JUNE"/>
    <s v="0000000030787150"/>
    <d v="2026-06-20T00:00:00"/>
  </r>
  <r>
    <s v="6528680815274005"/>
    <s v="MR UNDURTHI ANIL"/>
    <n v="0"/>
    <x v="0"/>
    <m/>
    <m/>
    <m/>
    <s v="N"/>
    <x v="1"/>
    <s v="6309515256"/>
    <s v="X"/>
    <n v="11275.800000000003"/>
    <n v="70000"/>
    <n v="81275.8"/>
    <s v=""/>
    <n v="81275.8"/>
    <n v="69895.820000000007"/>
    <n v="25430"/>
    <n v="12780"/>
    <x v="1"/>
    <x v="1"/>
    <n v="81275.8"/>
    <n v="-68495.8"/>
    <x v="2"/>
    <s v="FE"/>
    <s v="30501-BBPS Payment received"/>
    <s v="HARI"/>
    <x v="8"/>
    <x v="1"/>
    <s v="&quot;DO NO 15-87,POTHAYILANKA,&quot; &quot;MACHAVARAM,AMBAJIPETA MANDALAM,&quot; AMALAPURAM NEAR MAIN ROAD AMALAPURAM ANP 533214"/>
    <s v="SMFG INDIA CREDIT CO LTD &quot;1 ST FLOOR,DONO 121-1,CANAL ROAD,&quot; &quot;RAVULAPALEM,&quot; &quot;RAVULAPALEM,&quot; RAJAHMUNDRY ANP 533238"/>
    <s v="AMALAPURAM"/>
    <x v="4"/>
    <x v="28"/>
    <s v="B NAGABABU"/>
    <n v="801448854"/>
    <s v="Sgr@9290"/>
    <m/>
    <m/>
    <x v="0"/>
    <s v="LIVE"/>
    <s v="CUSTOMER PAID SIR"/>
    <x v="8"/>
    <d v="2026-04-29T00:00:00"/>
    <n v="69900"/>
    <s v="ICICI Bank Rubyx Visa Credit Card"/>
    <s v="22ND JUNE"/>
    <s v="0000000029247705"/>
    <d v="2026-06-20T00:00:00"/>
  </r>
  <r>
    <s v="6528682031307007"/>
    <s v="MR Nagothi Balagangadhar Tilak"/>
    <n v="0"/>
    <x v="2"/>
    <m/>
    <s v="CC"/>
    <s v="ALREADY REMOVED CASE"/>
    <s v="O"/>
    <x v="1"/>
    <s v="7013883770"/>
    <s v="X"/>
    <n v="-19324.300000000003"/>
    <n v="100000"/>
    <n v="80675.7"/>
    <s v=""/>
    <n v="80675.7"/>
    <n v="74673.38"/>
    <n v="75240"/>
    <n v="37150"/>
    <x v="1"/>
    <x v="2"/>
    <n v="37300"/>
    <n v="-150"/>
    <x v="9"/>
    <s v="FE"/>
    <n v="0"/>
    <s v="HARI"/>
    <x v="6"/>
    <x v="4"/>
    <s v="9.68.20 Kothapet Cotton.Factory.Street Fish Market VIJAYAWADA ANP 520001"/>
    <s v="MANASA.ENTERPRISES 9.68.20.COTTON.FACTORY.STREET.KOTHAPET.V 9.68.20.COTTON.FACTORY.STREET. 9.68.20.COTTON.FACTORY.STREET. VIJAYAWADA ANP 520001"/>
    <s v="VIJAYAWADA"/>
    <x v="3"/>
    <x v="5"/>
    <s v="SUDHAKAR"/>
    <n v="802913252"/>
    <s v="Ssd@9290"/>
    <m/>
    <m/>
    <x v="0"/>
    <m/>
    <m/>
    <x v="1"/>
    <d v="2026-06-01T00:00:00"/>
    <n v="4500"/>
    <s v="ICICI Bank Coral RuPay Credit Card"/>
    <s v="22ND JUNE"/>
    <s v="0000000032413290"/>
    <d v="2026-06-20T00:00:00"/>
  </r>
  <r>
    <s v="5241933656084001"/>
    <s v="MR PAVULURI NIRANJANRAO"/>
    <n v="0"/>
    <x v="0"/>
    <m/>
    <m/>
    <m/>
    <s v="N"/>
    <x v="1"/>
    <s v="9848667579"/>
    <s v="W"/>
    <n v="-45439.05"/>
    <n v="120000"/>
    <n v="74560.95"/>
    <s v=""/>
    <n v="74560.95"/>
    <n v="67725.22"/>
    <n v="10670"/>
    <n v="4100"/>
    <x v="1"/>
    <x v="2"/>
    <n v="4200"/>
    <n v="-100"/>
    <x v="10"/>
    <s v="TC"/>
    <s v="12101-INFINITY PYMT RCVD"/>
    <s v="HARI"/>
    <x v="8"/>
    <x v="1"/>
    <s v="D NO 3-28-18/82 7TH LINE BRINDAVAN GARDENS GUNTUR  OPP ROAD SRUTHI HOSPITAL GUNTUR ANP 522006"/>
    <s v="NIRANJAN CONSTRUCTIONS 3- 28-18/82 7TH LINE BRINDAVAN GARDENS   GUNTUR ANP 522006"/>
    <s v="GUNTUR"/>
    <x v="5"/>
    <x v="11"/>
    <s v="INAMUL"/>
    <n v="802823175"/>
    <s v="Sgr@9290"/>
    <m/>
    <m/>
    <x v="0"/>
    <s v="LIVE"/>
    <s v="Customer given House address visited customer present not available at home responded to phone call customer said that call back afternoon //   Customer given House address visited customer saying already paid please check it once sir"/>
    <x v="3"/>
    <d v="2026-04-27T00:00:00"/>
    <n v="20000"/>
    <s v="ICICI Bank MasterCard  Platinum chip Credit Card"/>
    <s v="22ND JUNE"/>
    <s v="0000000012227400"/>
    <d v="2026-06-20T00:00:00"/>
  </r>
  <r>
    <s v="6528680377559009"/>
    <s v="MR SHAIK RIYAZ AHAMED"/>
    <n v="0"/>
    <x v="0"/>
    <m/>
    <m/>
    <m/>
    <s v="N"/>
    <x v="1"/>
    <s v="7032180781"/>
    <s v="X"/>
    <n v="-179189.37"/>
    <n v="250000"/>
    <n v="70810.63"/>
    <s v=""/>
    <n v="70810.63"/>
    <n v="53868.14"/>
    <n v="22200"/>
    <n v="15290"/>
    <x v="0"/>
    <x v="0"/>
    <n v="0"/>
    <n v="15290"/>
    <x v="0"/>
    <s v="NA"/>
    <n v="0"/>
    <s v="HARI"/>
    <x v="5"/>
    <x v="1"/>
    <s v="11 158 BALLARY ROAD CUDDAPAH CUDDAPAH AN PRADESH 516001   CUDDAPAH ANP 516001"/>
    <s v="Heera Hospital Agadi 4 Roads Bellary Road Bellary Road CUDDAPAH ANP 516001"/>
    <s v="CUDDAPAH"/>
    <x v="1"/>
    <x v="14"/>
    <s v="SIVARAU"/>
    <n v="801601134"/>
    <s v="Ssd@9290"/>
    <m/>
    <m/>
    <x v="1"/>
    <m/>
    <m/>
    <x v="1"/>
    <d v="2025-09-20T00:00:00"/>
    <n v="6150"/>
    <s v="ICICI Bank Coral RuPay Credit Card"/>
    <s v="22ND JUNE"/>
    <s v="0000000028337796"/>
    <d v="2026-06-20T00:00:00"/>
  </r>
  <r>
    <s v="6528681454854008"/>
    <s v="MR NARLAPALLY BHARGAV KUMAR"/>
    <n v="0"/>
    <x v="0"/>
    <m/>
    <m/>
    <m/>
    <s v="N"/>
    <x v="1"/>
    <s v="7794065431"/>
    <s v="X"/>
    <n v="186.52999999999884"/>
    <n v="70000"/>
    <n v="70186.53"/>
    <s v=""/>
    <n v="70186.53"/>
    <n v="61102.62"/>
    <n v="12780"/>
    <n v="5160"/>
    <x v="0"/>
    <x v="0"/>
    <n v="0"/>
    <n v="5160"/>
    <x v="0"/>
    <s v="NA"/>
    <n v="0"/>
    <s v="HARI"/>
    <x v="4"/>
    <x v="1"/>
    <s v="HNO 13-5-65/1 GANESH NAGAR ROAD NO 2 NEARM DUPPALAPALLY ROAD  NEAR BUS STOP NALGONDA TNG 508001"/>
    <s v="SYSTRA MVA CONSULTING INDIA PVT LTD TDBAPTALA GUNTUR   GUNTUR ANP 522101"/>
    <s v="NALGONDA"/>
    <x v="0"/>
    <x v="17"/>
    <s v="INAMUL"/>
    <n v="802823175"/>
    <s v="Sgr@9290"/>
    <m/>
    <m/>
    <x v="0"/>
    <s v="LIVE"/>
    <s v="Customer adress visit and Customer is Live and Customer ptp on Monday"/>
    <x v="4"/>
    <d v="2025-07-28T00:00:00"/>
    <n v="69509"/>
    <s v="ICICI Bank Coral RuPay Credit Card"/>
    <s v="22ND JUNE"/>
    <s v="0000000030683927"/>
    <d v="2026-06-20T00:00:00"/>
  </r>
  <r>
    <s v="6528680681207006"/>
    <s v="MR MAHAMMAD NAVAJ"/>
    <n v="0"/>
    <x v="0"/>
    <m/>
    <m/>
    <m/>
    <s v="N"/>
    <x v="1"/>
    <s v="9398459873"/>
    <s v="X"/>
    <n v="-137134.76999999999"/>
    <n v="200000"/>
    <n v="62865.23"/>
    <s v=""/>
    <n v="62865.23"/>
    <n v="24519.9"/>
    <n v="10830"/>
    <n v="5310"/>
    <x v="1"/>
    <x v="2"/>
    <n v="5500"/>
    <n v="-190"/>
    <x v="4"/>
    <s v="TC"/>
    <s v="12101-INFINITY PYMT RCVD"/>
    <s v="HARI"/>
    <x v="7"/>
    <x v="5"/>
    <s v="H NO 5- 8 -138 /1/1/2/4 SHANTHI NAGAR SANGAREDDY NEAR MAIN ROAD HYDERABAD TNG 502001"/>
    <s v="SOUTHERN POWER DISTRIBUTION CO AE/OP/TSSPDCC ALLADURG SECTION MEDAK SECTION MEDAK SANGAREDDY TNG 502269"/>
    <s v="MEDAK"/>
    <x v="0"/>
    <x v="22"/>
    <s v="POORNIMA"/>
    <n v="802824019"/>
    <s v="Nihan@2421"/>
    <m/>
    <m/>
    <x v="0"/>
    <m/>
    <m/>
    <x v="1"/>
    <d v="2026-05-30T00:00:00"/>
    <n v="6000"/>
    <s v="ICICI Bank Coral RuPay Credit Card"/>
    <s v="22ND JUNE"/>
    <s v="0000000028973075"/>
    <d v="2026-06-20T00:00:00"/>
  </r>
  <r>
    <s v="6528683095615004"/>
    <s v="MR Jakkala Guru Varaprasad"/>
    <n v="0"/>
    <x v="0"/>
    <m/>
    <m/>
    <m/>
    <s v="N"/>
    <x v="1"/>
    <s v="9959114392"/>
    <s v="X"/>
    <n v="-98377.36"/>
    <n v="160000"/>
    <n v="61622.64"/>
    <s v=""/>
    <n v="61622.64"/>
    <n v="51173.21"/>
    <n v="15410"/>
    <n v="8940"/>
    <x v="1"/>
    <x v="1"/>
    <n v="15410"/>
    <n v="-6470"/>
    <x v="3"/>
    <s v="TC"/>
    <s v="30501-BBPS Payment received"/>
    <s v="HARI"/>
    <x v="4"/>
    <x v="3"/>
    <s v="8/756 Indira Nagar Indira Nagar Anantapur ANANTAPUR ANP 515411"/>
    <s v="RACKSPACE HOSTING INC &quot;RMZ ECOSPACE INTERNAL ROAD, BELLANDUR&quot; BANGALORE BANGALORE BANGALORE KAR 560103"/>
    <s v="ANANTAPUR"/>
    <x v="1"/>
    <x v="12"/>
    <s v="POORNIMA"/>
    <n v="802824019"/>
    <s v="Nihan@2421"/>
    <m/>
    <m/>
    <x v="0"/>
    <m/>
    <m/>
    <x v="1"/>
    <s v=""/>
    <n v="0"/>
    <s v="ICICI Bank Coral RuPay Credit Card"/>
    <s v="26TH JUNE"/>
    <s v="0000000035195564"/>
    <d v="2026-06-20T00:00:00"/>
  </r>
  <r>
    <s v="6528682191738009"/>
    <s v="MR PONNAM NARESH"/>
    <n v="0"/>
    <x v="0"/>
    <m/>
    <m/>
    <m/>
    <s v="N"/>
    <x v="1"/>
    <s v="9858274567"/>
    <s v="X"/>
    <n v="-349168.33"/>
    <n v="410000"/>
    <n v="60831.67"/>
    <n v="16440.95"/>
    <n v="44390.720000000001"/>
    <n v="39029.5"/>
    <n v="15110"/>
    <n v="6190"/>
    <x v="1"/>
    <x v="1"/>
    <n v="44391"/>
    <n v="-38201"/>
    <x v="0"/>
    <s v="D"/>
    <s v="12121-ECS PAYMENTS"/>
    <s v="HARI"/>
    <x v="4"/>
    <x v="1"/>
    <s v="KATURU HOUSE NO 12-89 KRISHNA   BESAIDE RAMALAYAM MACHILIPATNAM ANP 521164"/>
    <s v="RELIANCE JIO LIMITED RAMAKRISHNA TOWERS   GUDIVADA ANP 521301"/>
    <s v="MACHILIPATNAM"/>
    <x v="4"/>
    <x v="6"/>
    <s v="KOTI"/>
    <n v="801597759"/>
    <s v="Ssde@9290"/>
    <m/>
    <m/>
    <x v="0"/>
    <s v="SKIP"/>
    <s v="Customer shifted to vijayawada pH not answering // Customer office shifted to vijayawada pH not answering"/>
    <x v="8"/>
    <d v="2025-12-19T00:00:00"/>
    <n v="49000"/>
    <s v="ICICI Bank Coral RuPay Credit Card"/>
    <s v="22ND JUNE"/>
    <s v="0000000032735188"/>
    <d v="2026-06-20T00:00:00"/>
  </r>
  <r>
    <s v="6528680542345003"/>
    <s v="MS GUNDA KALAVATHI"/>
    <n v="0"/>
    <x v="0"/>
    <m/>
    <m/>
    <m/>
    <s v="N"/>
    <x v="1"/>
    <s v="9849505233"/>
    <s v="W"/>
    <n v="-20476.32"/>
    <n v="80000"/>
    <n v="59523.68"/>
    <s v=""/>
    <n v="59523.68"/>
    <n v="54369.48"/>
    <n v="8480"/>
    <n v="3230"/>
    <x v="0"/>
    <x v="0"/>
    <n v="0"/>
    <n v="3230"/>
    <x v="0"/>
    <s v="NA"/>
    <n v="0"/>
    <s v="HARI"/>
    <x v="5"/>
    <x v="3"/>
    <s v="H NO 1-227 JANKAPUR ASIFABAD NEAR GOVT JR COLLEGE ADILABAD TNG 504293"/>
    <s v="DURGA AUTOMOBILES DURGA AUTO MOBILES OFFICE &quot;MAIN ROAD ,ASIFABAD&quot; &quot;MAIN ROAD ,ASIFABAD&quot; ADILABAD TNG 504293"/>
    <s v="ADILABAD"/>
    <x v="0"/>
    <x v="24"/>
    <s v="K RAMU"/>
    <n v="802898520"/>
    <s v="Ssd@9290"/>
    <m/>
    <m/>
    <x v="0"/>
    <s v="SKIP"/>
    <s v="Customer given address visit customer not available not living in address, call not answer"/>
    <x v="0"/>
    <d v="2026-02-18T00:00:00"/>
    <n v="7100"/>
    <s v="ICICI Bank Coral RuPay Credit Card"/>
    <s v="26TH JUNE"/>
    <s v="0000000028632285"/>
    <d v="2026-06-20T00:00:00"/>
  </r>
  <r>
    <s v="4375515862007024"/>
    <s v="MR. SAMPATH KUMAR KOTA"/>
    <n v="0"/>
    <x v="0"/>
    <m/>
    <m/>
    <m/>
    <s v="N"/>
    <x v="1"/>
    <s v="9985897589"/>
    <s v="W"/>
    <n v="-92536.63"/>
    <n v="150000"/>
    <n v="57463.37"/>
    <s v=""/>
    <n v="57463.37"/>
    <n v="51508.54"/>
    <n v="10980"/>
    <n v="6070"/>
    <x v="0"/>
    <x v="0"/>
    <n v="0"/>
    <n v="6070"/>
    <x v="0"/>
    <s v="NA"/>
    <n v="0"/>
    <s v="HARI"/>
    <x v="6"/>
    <x v="1"/>
    <s v="&quot;3-62,OBULAREDDY PALL,OBULAREDDY PALLI&quot;  ANANTAPUR - ANANTAPUR ANP 515581"/>
    <s v="ICICI BANK LTD D NO 23/1462 GT ROAD 1ST FLOOR DANDAYADHAPURA   NELLORE ANP 524001"/>
    <s v="HINDUPUR"/>
    <x v="1"/>
    <x v="12"/>
    <s v="POORNIMA"/>
    <n v="802824019"/>
    <s v="Nihan@2421"/>
    <m/>
    <m/>
    <x v="1"/>
    <m/>
    <m/>
    <x v="1"/>
    <d v="2026-04-20T00:00:00"/>
    <n v="50000"/>
    <s v="ICICI Bank Platinum Chip Credit Card"/>
    <s v="22ND JUNE"/>
    <s v="0000000009695304"/>
    <d v="2026-06-20T00:00:00"/>
  </r>
  <r>
    <s v="6528681640255003"/>
    <s v="MR. ANNARAPU SRINIVAS"/>
    <n v="0"/>
    <x v="0"/>
    <m/>
    <m/>
    <m/>
    <s v="N"/>
    <x v="1"/>
    <s v="9553233523"/>
    <s v="X"/>
    <n v="-143572.84"/>
    <n v="200000"/>
    <n v="56427.16"/>
    <s v=""/>
    <n v="56427.16"/>
    <n v="50086.559999999998"/>
    <n v="9360"/>
    <n v="2990"/>
    <x v="1"/>
    <x v="2"/>
    <n v="2990"/>
    <n v="0"/>
    <x v="7"/>
    <s v="TC"/>
    <s v="30501-BBPS Payment received"/>
    <s v="HARI"/>
    <x v="7"/>
    <x v="3"/>
    <s v="NO 1-92/3 RAAMARAM BHEERAM HASANPARTHY  NEAR GOVT SCHOOL Warangal TNG 506009"/>
    <s v="GOVT OF TELANGANA MILLS COLONY POLICE STATION SHAMBUNIPET SHAMBUNIPET Warangal TNG 506002"/>
    <s v="WARANGAL"/>
    <x v="0"/>
    <x v="20"/>
    <s v="KARUNAKAR"/>
    <n v="801264672"/>
    <s v="Ssd@9291"/>
    <m/>
    <m/>
    <x v="0"/>
    <s v="SKIP"/>
    <s v="Visited customer office address,no such person confirmed by workers"/>
    <x v="5"/>
    <s v=""/>
    <n v="0"/>
    <s v="ICICI Bank Coral RuPay Credit Card"/>
    <s v="26TH JUNE"/>
    <s v="0000000031233603"/>
    <d v="2026-06-20T00:00:00"/>
  </r>
  <r>
    <s v="6528681540450001"/>
    <s v="MR SEGIREDDY SAI PRANEETH REDDY"/>
    <n v="0"/>
    <x v="0"/>
    <m/>
    <m/>
    <m/>
    <s v="N"/>
    <x v="1"/>
    <s v="9963274760"/>
    <s v="X"/>
    <n v="-43731.11"/>
    <n v="100000"/>
    <n v="56268.89"/>
    <s v=""/>
    <n v="56268.89"/>
    <n v="50479.67"/>
    <n v="9260"/>
    <n v="2890"/>
    <x v="1"/>
    <x v="1"/>
    <n v="9260"/>
    <n v="-6370"/>
    <x v="3"/>
    <s v="TC"/>
    <s v="30501-BBPS Payment received"/>
    <s v="HARI"/>
    <x v="8"/>
    <x v="3"/>
    <s v="&quot;H.NO 1-286 KALLURU MANDAL,&quot; &quot;PANCHAYATHI OFFICE LINE BACKSIDE,&quot; KHAMMAM DISTIC. OPP. SOWMYA MEDICAL SHOP KHAMMAM TNG 507209"/>
    <s v="MAHINDRA UNIVERSITY &quot;SURVEY NO 62/1A, BAHADURPALLY&quot; &quot;JEEDIMETLA, HYDERABAD, TELANGANA&quot; &quot;JEEDIMETLA, HYDERABAD, TELANGANA&quot; HYDERABAD TNG 500043"/>
    <s v="KHAMMAM"/>
    <x v="0"/>
    <x v="29"/>
    <s v="SUDHAKAR"/>
    <n v="802913252"/>
    <s v="Ssd@9290"/>
    <m/>
    <m/>
    <x v="0"/>
    <s v="LIVE"/>
    <s v="Costumer present not available call answered and paid norm amount please check it once and confirm me sir"/>
    <x v="5"/>
    <d v="2024-06-30T00:00:00"/>
    <n v="1702"/>
    <s v="ICICI Bank Coral RuPay Credit Card"/>
    <s v="26TH JUNE"/>
    <s v="0000000030924654"/>
    <d v="2026-06-20T00:00:00"/>
  </r>
  <r>
    <s v="6528681150511001"/>
    <s v="MR PARIGALA SWAMULU"/>
    <n v="0"/>
    <x v="0"/>
    <m/>
    <m/>
    <m/>
    <s v="N"/>
    <x v="1"/>
    <s v="9652796980"/>
    <s v="X"/>
    <n v="6192.8700000000026"/>
    <n v="50000"/>
    <n v="56192.87"/>
    <s v=""/>
    <n v="56192.87"/>
    <n v="49983.25"/>
    <n v="15200"/>
    <n v="5290"/>
    <x v="0"/>
    <x v="0"/>
    <n v="0"/>
    <n v="5290"/>
    <x v="0"/>
    <s v="NA"/>
    <n v="0"/>
    <s v="HARI"/>
    <x v="8"/>
    <x v="1"/>
    <s v="30.355.4.NEAR.RAILWAY.STATION. BOGGULINE.NANDYAL ..BOGGULINE.NANDYAL BOGGULINE NANDYAL NANDYAL ANP 518501"/>
    <s v="Pns.marketing.private.limited 26.256.a7 Pav.complex.R.s.road Pav.complex.R.s.road NANDYAL ANP 518501"/>
    <s v="NANDYAL"/>
    <x v="1"/>
    <x v="7"/>
    <s v="HARI"/>
    <n v="802388289"/>
    <s v="Ssd@9290"/>
    <m/>
    <m/>
    <x v="0"/>
    <s v="SKIP"/>
    <s v="Customer house address not found mobile not responding / Customer house address not found mobile not responding"/>
    <x v="5"/>
    <d v="2026-02-02T00:00:00"/>
    <n v="3000"/>
    <s v="ICICI Bank HPCL Super Saver Visa Credit Card"/>
    <s v="22ND JUNE"/>
    <s v="0000000029924346"/>
    <d v="2026-06-20T00:00:00"/>
  </r>
  <r>
    <s v="6528683238372000"/>
    <s v="MR BANOTH CHAKRAVARTHI"/>
    <n v="0"/>
    <x v="0"/>
    <m/>
    <m/>
    <m/>
    <s v="N"/>
    <x v="1"/>
    <s v="9550590585"/>
    <s v="X"/>
    <n v="2892.0800000000017"/>
    <n v="50000"/>
    <n v="52892.08"/>
    <s v=""/>
    <n v="52892.08"/>
    <n v="48808.1"/>
    <n v="8770"/>
    <n v="2210"/>
    <x v="1"/>
    <x v="1"/>
    <n v="8770"/>
    <n v="-6560"/>
    <x v="0"/>
    <s v="D"/>
    <s v="30501-BBPS Payment received"/>
    <s v="HARI"/>
    <x v="6"/>
    <x v="3"/>
    <s v="14112/1/2/1A Near Nandhi Nagar Colony Beside Geethanjali High School VRN gardens  Near Nandhi Nagar ColonyMahabubabad BHE TNG 506101"/>
    <s v="TAHSILDAR OFFICE TAHSILDAR OFFICE NARSIMHULAPET MANDAL WARANGA   WNL TNG 506324"/>
    <s v="WARANGAL"/>
    <x v="0"/>
    <x v="2"/>
    <s v="CHAITANYA"/>
    <n v="802555024"/>
    <s v="Ssde@9290"/>
    <m/>
    <m/>
    <x v="0"/>
    <s v="LIVE"/>
    <s v="I have Visited Customer given Street address No person available with that name here Customer call answered Saying that I'm not able to go Work from past 2 months due to health issue will clear Total bill next on month"/>
    <x v="4"/>
    <s v=""/>
    <n v="0"/>
    <s v="ICICI Bank Coral RuPay Credit Card"/>
    <s v="26TH JUNE"/>
    <s v="0000000035587263"/>
    <d v="2026-06-20T00:00:00"/>
  </r>
  <r>
    <s v="6528682016319001"/>
    <s v="MR Akash Medishetty"/>
    <n v="0"/>
    <x v="0"/>
    <m/>
    <m/>
    <m/>
    <s v="N"/>
    <x v="1"/>
    <s v="8179882875"/>
    <s v="X"/>
    <n v="-109328.73999999999"/>
    <n v="160000"/>
    <n v="50671.26"/>
    <s v=""/>
    <n v="50671.26"/>
    <n v="44233.87"/>
    <n v="8980"/>
    <n v="3410"/>
    <x v="1"/>
    <x v="1"/>
    <n v="8980"/>
    <n v="-5570"/>
    <x v="3"/>
    <s v="TC"/>
    <s v="30501-BBPS Payment received"/>
    <s v="HARI"/>
    <x v="9"/>
    <x v="3"/>
    <s v="2 5 77 prakasham gunj prakasham gunj Karim Nagar ADILABAD TNG 505001"/>
    <s v="ERERMERMIERMIN PRAKASHAM GUNJ H NO 2 5 77 H NO 2 5 77 ADILABAD TNG 505001"/>
    <s v="KARIMNAGAR"/>
    <x v="0"/>
    <x v="8"/>
    <s v="SUMANTH"/>
    <n v="802370852"/>
    <s v="Sgr@9290"/>
    <m/>
    <m/>
    <x v="0"/>
    <m/>
    <m/>
    <x v="1"/>
    <s v=""/>
    <n v="0"/>
    <s v="ICICI Sapphiro Master PLT Chip Card"/>
    <s v="26TH JUNE"/>
    <s v="0000000032389438"/>
    <d v="2026-06-20T00:00:00"/>
  </r>
  <r>
    <s v="4315812091227009"/>
    <s v="Mr KUMMARI PRABHAKAR"/>
    <n v="0"/>
    <x v="0"/>
    <m/>
    <m/>
    <m/>
    <s v="N"/>
    <x v="2"/>
    <s v="9618501175"/>
    <s v="X"/>
    <n v="23310.530000000028"/>
    <n v="650000"/>
    <n v="673310.53"/>
    <n v="439155.13"/>
    <n v="234155.4"/>
    <n v="198257.75"/>
    <n v="116310"/>
    <n v="54940"/>
    <x v="0"/>
    <x v="0"/>
    <n v="0"/>
    <n v="54940"/>
    <x v="0"/>
    <s v="NA"/>
    <n v="0"/>
    <s v="SAMBA"/>
    <x v="3"/>
    <x v="0"/>
    <s v="&quot;HNO 2-82,DOULTABAD MANDAL,YELKAL&quot;    MEDAK TNG 502334 "/>
    <s v="Dts Madhapur Hyd Hyd HYDERABAD TNG 500090 "/>
    <s v="MEDAK"/>
    <x v="0"/>
    <x v="30"/>
    <s v="RAJKUMAR"/>
    <n v="802835406"/>
    <s v="Ssde@9290"/>
    <m/>
    <m/>
    <x v="0"/>
    <s v="SKIP"/>
    <s v="Customer given permanent house address visited sir his not available living in Hyderabad phone call not responding inform to his mother // customer residence address visited customer not available this address shifted this address customer Sir phone not lifting sir"/>
    <x v="6"/>
    <d v="2026-01-23T00:00:00"/>
    <n v="58593.88"/>
    <s v="Amazon Pay ICICI Bank Credit Card"/>
    <s v="24TH JUNE"/>
    <s v="0000000019932616"/>
    <d v="2026-06-23T00:00:00"/>
  </r>
  <r>
    <s v="4315814448254009"/>
    <s v="MS Nune Madhavi Latha"/>
    <n v="0"/>
    <x v="0"/>
    <m/>
    <m/>
    <m/>
    <s v="N"/>
    <x v="2"/>
    <s v="9618056068"/>
    <s v="X"/>
    <n v="22116.229999999981"/>
    <n v="600000"/>
    <n v="622116.23"/>
    <n v="126832.09"/>
    <n v="495284.14"/>
    <n v="471651.25"/>
    <n v="104540"/>
    <n v="43560"/>
    <x v="1"/>
    <x v="1"/>
    <n v="495284.14"/>
    <n v="-451724.14"/>
    <x v="7"/>
    <s v="TC"/>
    <s v="12118 - NEFT PAYMENT RECEIVED"/>
    <s v="SAMBA"/>
    <x v="2"/>
    <x v="0"/>
    <s v="6.1002 jaggayyapeta.mandalam santhi.nagar Krishna VIJAYAWADA ANP 521175 "/>
    <s v="SRI.RADHA.KRISHNA.VASTRANIDHI PLOT.NO.1170 JUBLIE.HILLS. JUBLIE.HILLS. HYDERABAD TNG 500033 "/>
    <s v="VIJAYAWADA"/>
    <x v="3"/>
    <x v="31"/>
    <s v="SUDHAKAR"/>
    <n v="802913252"/>
    <s v="Ssd@9290"/>
    <m/>
    <m/>
    <x v="0"/>
    <s v="SKIP"/>
    <s v="We went to the customer's previous address, but the customer was not available there. They said they had shifted to another house. However, we called the customer. The customer responded and said he would pay the amount in two day"/>
    <x v="5"/>
    <d v="2024-07-10T00:00:00"/>
    <n v="15799.76"/>
    <s v="Amazon Pay ICICI Bank Credit Card"/>
    <s v="24TH JUNE"/>
    <s v="0000000027943482"/>
    <d v="2026-06-23T00:00:00"/>
  </r>
  <r>
    <s v="4315812004703005"/>
    <s v="MR NAGALAKSHMI SINGH M"/>
    <n v="0"/>
    <x v="2"/>
    <n v="1"/>
    <s v="CC"/>
    <s v="REMOVE"/>
    <s v="N"/>
    <x v="2"/>
    <s v="9030558592"/>
    <s v="X"/>
    <n v="513246.98"/>
    <n v="20000"/>
    <n v="533246.98"/>
    <s v=""/>
    <n v="533246.98"/>
    <n v="499725.09"/>
    <n v="533246.98"/>
    <n v="480730"/>
    <x v="0"/>
    <x v="0"/>
    <n v="0"/>
    <n v="480730"/>
    <x v="0"/>
    <s v="NA"/>
    <n v="0"/>
    <s v="SAMBA"/>
    <x v="10"/>
    <x v="4"/>
    <s v="&quot;D NO-,20/259,TEMPLE,MULAPET,NELLORE,&quot; &quot;ANASUYAMMA NILAYAM,NR SHIVA&quot;   NELLORE ANP524003"/>
    <s v="GEETHANJALI INST OF SCI AND TECH Bombay highway Gangavaram village Gangavaram village NELLORE ANP 524137 "/>
    <s v="NELLORE"/>
    <x v="2"/>
    <x v="4"/>
    <s v="IMAMVALLI"/>
    <n v="802789320"/>
    <s v="Ssd@9290"/>
    <m/>
    <m/>
    <x v="1"/>
    <m/>
    <m/>
    <x v="1"/>
    <d v="2025-03-20T00:00:00"/>
    <n v="34497"/>
    <s v="Amazon Pay ICICI Bank Credit Card"/>
    <s v="20TH JUNE"/>
    <s v="0000000068462732"/>
    <d v="2026-06-23T00:00:00"/>
  </r>
  <r>
    <s v="4315811703513012"/>
    <s v="MR Valiveti Satyanarayana"/>
    <n v="0"/>
    <x v="0"/>
    <m/>
    <m/>
    <m/>
    <s v="N"/>
    <x v="2"/>
    <s v="9542305953"/>
    <s v="X"/>
    <n v="16591"/>
    <n v="500000"/>
    <n v="516591"/>
    <n v="127833.02"/>
    <n v="388757.98"/>
    <n v="351343.34"/>
    <n v="84070"/>
    <n v="32140"/>
    <x v="1"/>
    <x v="1"/>
    <n v="388757.98"/>
    <n v="-356617.98"/>
    <x v="10"/>
    <s v="TC"/>
    <s v="12118 - NEFT PAYMENT RECEIVED"/>
    <s v="SAMBA"/>
    <x v="2"/>
    <x v="0"/>
    <s v="2-52a sunkollu sunkollu nuzvid mandalam GUDIVADA ANP 521201 "/>
    <s v="SRINIVASA GENERAL  STORES 2-52/A YANAMADALA POST YANAMADALA POST GUDIVADA ANP 521201 "/>
    <s v="GUDIVADA"/>
    <x v="0"/>
    <x v="29"/>
    <s v="SUDHAKAR"/>
    <n v="802913252"/>
    <s v="Ssd@9290"/>
    <m/>
    <m/>
    <x v="0"/>
    <s v="LIVE"/>
    <s v="Wating for costumer already cleared stab amount wating for norm amount sir"/>
    <x v="3"/>
    <d v="2025-06-15T00:00:00"/>
    <n v="45000"/>
    <s v="Amazon Pay ICICI Bank Credit Card"/>
    <s v="24TH JUNE"/>
    <s v="0000000018662444"/>
    <d v="2026-06-23T00:00:00"/>
  </r>
  <r>
    <s v="4315812073735003"/>
    <s v="MR Goppa Gouthambudha Karthik"/>
    <n v="0"/>
    <x v="2"/>
    <n v="1"/>
    <s v="CC"/>
    <s v="REMOVE"/>
    <s v="N"/>
    <x v="2"/>
    <s v="8008760730"/>
    <s v="X"/>
    <n v="346438.75"/>
    <n v="150000"/>
    <n v="496438.75"/>
    <n v="290713.34000000003"/>
    <n v="205725.41"/>
    <n v="187808.02"/>
    <n v="138090"/>
    <n v="53160"/>
    <x v="0"/>
    <x v="0"/>
    <n v="0"/>
    <n v="53160"/>
    <x v="0"/>
    <s v="NA"/>
    <n v="0"/>
    <s v="SAMBA"/>
    <x v="10"/>
    <x v="0"/>
    <s v="10-61/1 Gudur Gudur chandrugudem WARANGAL TNG 506134 "/>
    <s v="TECNICS INTEGRATION TECHNOLOGIES &quot;PLOT 12/1, SECTOR 1&quot; HUDA TECHNO ENCLAVE MADHAPUR HUDA TECHNO ENCLAVE MADHAPUR HYDERABAD TNG 500081 "/>
    <s v="WARANGAL"/>
    <x v="0"/>
    <x v="0"/>
    <s v="AKHIL"/>
    <n v="801772792"/>
    <s v="Sgr@9290"/>
    <m/>
    <m/>
    <x v="1"/>
    <m/>
    <m/>
    <x v="1"/>
    <d v="2025-10-20T00:00:00"/>
    <n v="350"/>
    <s v="Amazon Pay ICICI Bank Credit Card"/>
    <s v="24TH JUNE"/>
    <s v="0000000019892458"/>
    <d v="2026-06-23T00:00:00"/>
  </r>
  <r>
    <s v="4748469233463005"/>
    <s v="MR Vasala Srinivas"/>
    <n v="0"/>
    <x v="0"/>
    <m/>
    <m/>
    <m/>
    <s v="N"/>
    <x v="2"/>
    <s v="9912003002"/>
    <s v="X"/>
    <n v="-96125.830000000016"/>
    <n v="500000"/>
    <n v="403874.17"/>
    <n v="356269.99"/>
    <n v="47604.18"/>
    <n v="38399.31"/>
    <n v="47604.18"/>
    <n v="23641.31"/>
    <x v="0"/>
    <x v="0"/>
    <n v="0"/>
    <n v="23641.31"/>
    <x v="0"/>
    <s v="NA"/>
    <n v="0"/>
    <s v="SAMBA"/>
    <x v="3"/>
    <x v="1"/>
    <s v="H No 2-97 Karimnagar mandal Karimnagar mandal Karimnagar KARIMNAGAR TNG505186"/>
    <s v="VODAFONE IDEA H NO 2-97 MAQDUMPUR KARIMNAGAR MAQDUMPUR KARIMNAGAR KARIMNAGAR TNG 505186 "/>
    <s v="PEDDAPALLI"/>
    <x v="0"/>
    <x v="16"/>
    <s v="POORNIMA"/>
    <n v="802824019"/>
    <s v="Nihan@2421"/>
    <m/>
    <m/>
    <x v="1"/>
    <m/>
    <m/>
    <x v="1"/>
    <d v="2026-06-03T00:00:00"/>
    <n v="15100"/>
    <s v="ICICI Bank HPCL Super Saver Visa Credit Card"/>
    <s v="20TH JUNE"/>
    <s v="0000000113176129"/>
    <d v="2026-06-23T00:00:00"/>
  </r>
  <r>
    <s v="4315811789647007"/>
    <s v="MR Pudari Praveen Kumar"/>
    <s v="RTP"/>
    <x v="2"/>
    <n v="1"/>
    <s v="CC"/>
    <s v="REMOVE"/>
    <s v="O"/>
    <x v="2"/>
    <s v="9493110442"/>
    <s v="X"/>
    <n v="101632.89000000001"/>
    <n v="300000"/>
    <n v="401632.89"/>
    <n v="72208.929999999993"/>
    <n v="329423.96000000002"/>
    <n v="308881.77"/>
    <n v="105930"/>
    <n v="63206.03"/>
    <x v="0"/>
    <x v="0"/>
    <n v="0"/>
    <n v="63206.03"/>
    <x v="0"/>
    <s v="NA"/>
    <n v="0"/>
    <s v="SAMBA"/>
    <x v="10"/>
    <x v="4"/>
    <s v="3-10/12 Jagtial mandal dharur Karimnagar KARIMNAGAR TNG505455"/>
    <s v="SHIVA SAI SERVICES H. NO 3-10/12 DHAROOR DHAROOR KARIMNAGAR TNG 505327 "/>
    <s v="KARIMNAGAR"/>
    <x v="0"/>
    <x v="8"/>
    <s v="SUMANTH"/>
    <n v="802370852"/>
    <s v="Sgr@9290"/>
    <m/>
    <m/>
    <x v="1"/>
    <m/>
    <m/>
    <x v="1"/>
    <d v="2024-07-18T00:00:00"/>
    <n v="25000"/>
    <s v="Amazon Pay ICICI Bank Credit Card"/>
    <s v="20TH JUNE"/>
    <s v="0000000129697931"/>
    <d v="2026-06-23T00:00:00"/>
  </r>
  <r>
    <s v="4315811929250001"/>
    <s v="Chaganti Rami Reddy"/>
    <n v="0"/>
    <x v="1"/>
    <m/>
    <m/>
    <m/>
    <s v="N"/>
    <x v="2"/>
    <n v="9949297276"/>
    <m/>
    <n v="350142.01"/>
    <m/>
    <n v="350142.01"/>
    <m/>
    <m/>
    <m/>
    <m/>
    <m/>
    <x v="1"/>
    <x v="1"/>
    <n v="350142"/>
    <n v="-350142"/>
    <x v="0"/>
    <s v="D"/>
    <s v="30501-BBPS Payment received"/>
    <s v="SAMBA"/>
    <x v="1"/>
    <x v="3"/>
    <s v="5-129, Edlapadu, pathuru, NARASAPURAM, ANP, 522233, INDIA"/>
    <m/>
    <s v="GUNTUR"/>
    <x v="5"/>
    <x v="1"/>
    <s v="POORNIMA"/>
    <n v="802824019"/>
    <s v="Nihan@2421"/>
    <m/>
    <m/>
    <x v="0"/>
    <m/>
    <m/>
    <x v="1"/>
    <m/>
    <m/>
    <m/>
    <s v="3RD JULY"/>
    <m/>
    <m/>
  </r>
  <r>
    <s v="4315812137870002"/>
    <s v="MR Jadala Rajashekar"/>
    <n v="0"/>
    <x v="0"/>
    <n v="1"/>
    <m/>
    <m/>
    <s v="N"/>
    <x v="2"/>
    <s v="9908484634"/>
    <s v="X"/>
    <n v="41179.080000000016"/>
    <n v="290000"/>
    <n v="331179.08"/>
    <s v=""/>
    <n v="331179.08"/>
    <n v="289832"/>
    <n v="107520"/>
    <n v="64500"/>
    <x v="0"/>
    <x v="0"/>
    <n v="0"/>
    <n v="64500"/>
    <x v="0"/>
    <s v="NA"/>
    <n v="0"/>
    <s v="SAMBA"/>
    <x v="2"/>
    <x v="1"/>
    <s v="H NO 3-70/1 Karimnagar Mandal Karimnagar Mandal Karimnagar KARIMNAGAR TNG505186"/>
    <s v="AUTORABIT HYNDAVA TECHNO PARK HITECH CITY HITECH CITY HYDERABAD TNG 500081 "/>
    <s v="PEDDAPALLI"/>
    <x v="0"/>
    <x v="16"/>
    <s v="POORNIMA"/>
    <n v="802824019"/>
    <s v="Nihan@2421"/>
    <m/>
    <m/>
    <x v="1"/>
    <m/>
    <m/>
    <x v="1"/>
    <d v="2025-10-23T00:00:00"/>
    <n v="2000"/>
    <s v="Amazon Pay ICICI Bank Credit Card"/>
    <s v="20TH JUNE"/>
    <s v="0000000141075127"/>
    <d v="2026-06-23T00:00:00"/>
  </r>
  <r>
    <s v="4315811982911002"/>
    <s v="MR KACHU YADAV"/>
    <n v="0"/>
    <x v="0"/>
    <m/>
    <m/>
    <m/>
    <s v="N"/>
    <x v="2"/>
    <s v="7981985884"/>
    <s v="X"/>
    <n v="14388.020000000019"/>
    <n v="310000"/>
    <n v="324388.02"/>
    <s v=""/>
    <n v="324388.02"/>
    <n v="307947.65000000002"/>
    <n v="76080"/>
    <n v="44810"/>
    <x v="1"/>
    <x v="1"/>
    <n v="324388.02"/>
    <n v="-279578.02"/>
    <x v="11"/>
    <s v="TC"/>
    <s v="12118 - NEFT PAYMENT RECEIVED"/>
    <s v="SAMBA"/>
    <x v="11"/>
    <x v="0"/>
    <s v="6-4-72 &quot;POCHAMMAWADA,JAGTIAL,JAGITYAL&quot;  NEAR BANDARI RICE MILL KARIMNAGAR TNG 505327 "/>
    <s v="SRI KOMURAVELLI MALLIKARJUNA SWAMY RAITH 7-2-11 DHARMAPURI ROAD JAGTIAL DHARMAPURI ROAD VID DHARMAPURI ROAD VID KARIMNAGAR TNG 505327 "/>
    <s v="KARIMNAGAR"/>
    <x v="0"/>
    <x v="8"/>
    <s v="SUMANTH"/>
    <n v="802370852"/>
    <s v="Sgr@9290"/>
    <m/>
    <m/>
    <x v="0"/>
    <m/>
    <m/>
    <x v="1"/>
    <d v="2025-09-23T00:00:00"/>
    <n v="302773.59999999998"/>
    <s v="Amazon Pay ICICI Bank Credit Card"/>
    <s v="24TH JUNE"/>
    <s v="0000000019632948"/>
    <d v="2026-06-23T00:00:00"/>
  </r>
  <r>
    <s v="4315814091115002"/>
    <s v="Mr KUKUDALA SHRIKANTH"/>
    <n v="0"/>
    <x v="0"/>
    <m/>
    <m/>
    <m/>
    <s v="N"/>
    <x v="2"/>
    <s v="9666824666"/>
    <s v="X"/>
    <n v="19715.299999999988"/>
    <n v="290000"/>
    <n v="309715.3"/>
    <s v=""/>
    <n v="309715.3"/>
    <n v="287855.86"/>
    <n v="68320"/>
    <n v="14030"/>
    <x v="0"/>
    <x v="0"/>
    <n v="0"/>
    <n v="14030"/>
    <x v="0"/>
    <s v="NA"/>
    <n v="0"/>
    <s v="SAMBA"/>
    <x v="2"/>
    <x v="0"/>
    <s v="&quot;13-,BACHANNAPETA,72/2 FLR,BACHANNAPET,&quot; &quot;BLOCK.10,11,12,14,15,16,17,18&quot;   WARANGAL TNG 506224 "/>
    <s v="KRISHNAVENI TREDERS BACHANNAPET BACHANNAPET BACHANNAPET WARANGAL TNG 506221 "/>
    <s v="WARANGAL"/>
    <x v="0"/>
    <x v="30"/>
    <s v="RAJKUMAR"/>
    <n v="802835406"/>
    <s v="Ssde@9290"/>
    <m/>
    <m/>
    <x v="0"/>
    <s v="SKIP"/>
    <s v="Customer given address area visited sir customer address not found phone call responding said living in Hyderabad have no money refused to pay intentionally defaulter"/>
    <x v="10"/>
    <d v="2026-04-16T00:00:00"/>
    <n v="39134.5"/>
    <s v="Amazon Pay ICICI Bank Credit Card"/>
    <s v="24TH JUNE"/>
    <s v="0000000026700142"/>
    <d v="2026-06-23T00:00:00"/>
  </r>
  <r>
    <s v="4035622553587009"/>
    <s v="MR SRINIVAS GOUD PANDLA"/>
    <n v="0"/>
    <x v="0"/>
    <n v="1"/>
    <m/>
    <m/>
    <s v="N"/>
    <x v="2"/>
    <s v="9553252890"/>
    <s v="X"/>
    <n v="221472.71000000002"/>
    <n v="69000"/>
    <n v="290472.71000000002"/>
    <s v=""/>
    <n v="290472.71000000002"/>
    <n v="259366.8"/>
    <n v="256940"/>
    <n v="227350"/>
    <x v="0"/>
    <x v="0"/>
    <n v="0"/>
    <n v="227350"/>
    <x v="0"/>
    <s v="NA"/>
    <n v="0"/>
    <s v="SAMBA"/>
    <x v="11"/>
    <x v="3"/>
    <s v="5-73/1 TURPU BAZAR VALLAPURAM NADIGUDEM NEAR MAIN ROAD CENTRE SURYAPET TNG 508234 "/>
    <s v="ADVENTGLOBAL SOLUTION PVT LTD &quot;6 WHITE FIELD ROAD ,LAXMI CYBER CITY&quot; KONDAPUR KONDAPUR HYDERABAD TNG 500081"/>
    <s v="SURYAPET"/>
    <x v="0"/>
    <x v="2"/>
    <s v="CHAITANYA"/>
    <n v="802555024"/>
    <s v="Ssde@9290"/>
    <m/>
    <m/>
    <x v="1"/>
    <m/>
    <m/>
    <x v="1"/>
    <d v="2026-04-23T00:00:00"/>
    <n v="49300"/>
    <s v="ICICI Bank Platinum Chip Credit Card"/>
    <s v="30TH JUNE"/>
    <s v="0000000020823015"/>
    <d v="2026-06-23T00:00:00"/>
  </r>
  <r>
    <s v="6529190012177000"/>
    <s v="MR NARENDER REDDY GUVVALLA"/>
    <n v="0"/>
    <x v="0"/>
    <m/>
    <m/>
    <m/>
    <s v="N"/>
    <x v="2"/>
    <s v="8465893441"/>
    <s v="X"/>
    <n v="-210118.37"/>
    <n v="500000"/>
    <n v="289881.63"/>
    <n v="70390.740000000005"/>
    <n v="219490.89"/>
    <n v="194343.13"/>
    <n v="54580"/>
    <n v="28110"/>
    <x v="1"/>
    <x v="1"/>
    <n v="219490.89"/>
    <n v="-191380.89"/>
    <x v="1"/>
    <s v="TC"/>
    <s v="30501-BBPS Payment received"/>
    <s v="SAMBA"/>
    <x v="3"/>
    <x v="0"/>
    <s v="7-26 &quot;SIDDARAM ROAD PALAWADA,PALAWADA,,SATHUPALLE&quot; Khammam Khammam KAM TNG 507303 "/>
    <s v="7th Floor.HMG Ambassador.137 Residency RD.sha Nagar.Ashok Nagar Bengaluru Karnataka Bangalore Bangalore BNG KAR 560025 "/>
    <s v="KHAMMAM"/>
    <x v="0"/>
    <x v="29"/>
    <s v="SUDHAKAR"/>
    <n v="802913252"/>
    <s v="Ssd@9290"/>
    <m/>
    <m/>
    <x v="0"/>
    <s v="SKIP"/>
    <s v="No one available on that name in given address need kyc details sir"/>
    <x v="4"/>
    <d v="2026-04-21T00:00:00"/>
    <n v="196410"/>
    <s v="ICICI Bank Rubyx RuPay Credit Card"/>
    <s v="24TH JUNE"/>
    <s v="0000000030197731"/>
    <d v="2026-06-23T00:00:00"/>
  </r>
  <r>
    <s v="4315812257887000"/>
    <s v="MR Chandanapu Trimurthulu"/>
    <n v="0"/>
    <x v="0"/>
    <m/>
    <m/>
    <m/>
    <s v="N"/>
    <x v="2"/>
    <s v="9346723993"/>
    <s v="X"/>
    <n v="116797.04000000001"/>
    <n v="130000"/>
    <n v="246797.04"/>
    <n v="97812.88"/>
    <n v="148984.16"/>
    <n v="134575.59"/>
    <n v="54280"/>
    <n v="19140"/>
    <x v="1"/>
    <x v="1"/>
    <n v="148984.16"/>
    <n v="-129844.16"/>
    <x v="4"/>
    <s v="TC"/>
    <s v="12124 - UPI Payment Received"/>
    <s v="SAMBA"/>
    <x v="2"/>
    <x v="3"/>
    <s v="2-29 bandaru vari veedhi bandaru vari veedhi West Godavari BHIMAVARAM ANP 534124 "/>
    <s v="AGRICULTURE 2-29 &quot;BANDARUVARI STREET, PENUMANTRA&quot; &quot;BANDARUVARI STREET, PENUMANTRA&quot; BHIMAVARAM ANP 534124"/>
    <s v="BHIMAVARAM"/>
    <x v="4"/>
    <x v="26"/>
    <s v="B NAGABABU"/>
    <n v="801448854"/>
    <s v="Sgr@9290"/>
    <m/>
    <m/>
    <x v="0"/>
    <m/>
    <m/>
    <x v="1"/>
    <d v="2026-03-28T00:00:00"/>
    <n v="8500"/>
    <s v="Amazon Pay ICICI Bank Credit Card"/>
    <s v="30TH JUNE"/>
    <s v="0000000020378952"/>
    <d v="2026-06-23T00:00:00"/>
  </r>
  <r>
    <s v="4315811838100016"/>
    <s v="MR Kalakota Santhosh"/>
    <n v="0"/>
    <x v="0"/>
    <m/>
    <m/>
    <m/>
    <s v="N"/>
    <x v="2"/>
    <s v="9533951148"/>
    <s v="X"/>
    <n v="7915.0899999999965"/>
    <n v="210000"/>
    <n v="217915.09"/>
    <n v="150039.54"/>
    <n v="67875.55"/>
    <n v="59573.96"/>
    <n v="47220"/>
    <n v="23270"/>
    <x v="0"/>
    <x v="0"/>
    <n v="0"/>
    <n v="23270"/>
    <x v="0"/>
    <s v="NA"/>
    <n v="0"/>
    <s v="SAMBA"/>
    <x v="0"/>
    <x v="3"/>
    <s v="2-7-643 SUBEDARI EXCISE COLONY NEAR VENKATESHWARA SWAMY TEMPLE WARANGAL TNG 506001 "/>
    <s v="HOTMAAX &quot;2-7-643 EXCISE COLONY, HANAMKONDA, WARAN&quot; TELANGANA WARANGAL TELANGANA WARANGAL WARANGAL TNG 506001"/>
    <s v="WARANGAL"/>
    <x v="0"/>
    <x v="0"/>
    <s v="AKHIL"/>
    <n v="801772792"/>
    <s v="Sgr@9290"/>
    <m/>
    <m/>
    <x v="0"/>
    <s v="MESS"/>
    <s v="Cust not at home left msg to cust's father and said he will call today evng will update // Cust not available at home met cust's father and said need some time will update"/>
    <x v="11"/>
    <d v="2024-07-10T00:00:00"/>
    <n v="10271.540000000001"/>
    <s v="Amazon Pay ICICI Bank Credit Card"/>
    <s v="30TH JUNE"/>
    <s v="0000000019152581"/>
    <d v="2026-06-23T00:00:00"/>
  </r>
  <r>
    <s v="4315812050816008"/>
    <s v="MR SHAIK IMRAN"/>
    <n v="0"/>
    <x v="0"/>
    <m/>
    <m/>
    <m/>
    <s v="N"/>
    <x v="2"/>
    <s v="7569999842"/>
    <s v="X"/>
    <n v="16922.73000000001"/>
    <n v="200000"/>
    <n v="216922.73"/>
    <n v="56525.22"/>
    <n v="160397.51"/>
    <n v="143465.32999999999"/>
    <n v="41360"/>
    <n v="14720"/>
    <x v="1"/>
    <x v="1"/>
    <n v="41360"/>
    <n v="-26640"/>
    <x v="1"/>
    <s v="TC"/>
    <s v="30501-BBPS Payment received"/>
    <s v="SAMBA"/>
    <x v="3"/>
    <x v="3"/>
    <s v="&quot;4-408,PAPAMPETA K L D ROAD,PAPAMPETA,&quot; ANANTAPUR ANANTAPUR ANANTAPUR ANAPARTHI ANP 515004 "/>
    <s v="Precision tech serve Pvt ltd 4/408 &quot;Kld road Anantapur Vidhyaranya nagar,pap&quot; &quot;Kld road Anantapur Vidhyaranya nagar,pap&quot; ANAPARTHI ANP 515004"/>
    <s v="ANAPARTHI"/>
    <x v="1"/>
    <x v="12"/>
    <s v="POORNIMA"/>
    <n v="802824019"/>
    <s v="Nihan@2421"/>
    <m/>
    <m/>
    <x v="0"/>
    <m/>
    <m/>
    <x v="1"/>
    <d v="2026-02-02T00:00:00"/>
    <n v="17000"/>
    <s v="Amazon Pay ICICI Bank Credit Card"/>
    <s v="30TH JUNE"/>
    <s v="0000000019834604"/>
    <d v="2026-06-23T00:00:00"/>
  </r>
  <r>
    <s v="374740145657002"/>
    <s v="MR SIDDHARTHA KASAGANI"/>
    <n v="0"/>
    <x v="0"/>
    <m/>
    <m/>
    <m/>
    <s v="N"/>
    <x v="2"/>
    <s v="9491251351"/>
    <s v="X"/>
    <n v="12431.25"/>
    <n v="175000"/>
    <n v="187431.25"/>
    <n v="3526.38"/>
    <n v="183904.87"/>
    <n v="171323.07"/>
    <n v="39810"/>
    <n v="9680"/>
    <x v="0"/>
    <x v="0"/>
    <n v="0"/>
    <n v="9680"/>
    <x v="0"/>
    <s v="NA"/>
    <n v="0"/>
    <s v="SAMBA"/>
    <x v="0"/>
    <x v="3"/>
    <s v="7-23 GOVERNMENT COLLEGE ROAD KOYYALAGUDEM GOVT COLLEGE ROAD Eluru ANP 534312 "/>
    <s v="Sri krishna foods Hig-106 &quot;Aphb colony , Gachibowli&quot; &quot;Aphb colony , Gachibowli&quot; HYDERABAD TNG 500032"/>
    <s v="ELURU"/>
    <x v="4"/>
    <x v="32"/>
    <s v="BHARAT CHANDRA"/>
    <n v="802631601"/>
    <s v="Ssde@9290"/>
    <m/>
    <m/>
    <x v="1"/>
    <m/>
    <m/>
    <x v="1"/>
    <d v="2025-08-02T00:00:00"/>
    <n v="22410"/>
    <s v="ICICI Rubyx PLT Credit Card (AMEX)"/>
    <s v="30TH JUNE"/>
    <s v="0000000014152210"/>
    <d v="2026-06-23T00:00:00"/>
  </r>
  <r>
    <s v="4315812040227001"/>
    <s v="MR BOJJAM ANIL"/>
    <n v="0"/>
    <x v="0"/>
    <m/>
    <m/>
    <m/>
    <s v="N"/>
    <x v="2"/>
    <s v="7036949901"/>
    <s v="X"/>
    <n v="-20229.459999999992"/>
    <n v="200000"/>
    <n v="179770.54"/>
    <s v=""/>
    <n v="179770.54"/>
    <n v="160928.95999999999"/>
    <n v="28270"/>
    <n v="11180"/>
    <x v="1"/>
    <x v="2"/>
    <n v="15000"/>
    <n v="-3820"/>
    <x v="1"/>
    <s v="TC"/>
    <s v="12101-INFINITY PYMT RCVD"/>
    <s v="SAMBA"/>
    <x v="3"/>
    <x v="3"/>
    <s v="&quot;H NO,41-1-209 BOLLIKUNTA,MANDAL,&quot; &quot;KHILA WARANGAL,BOLLIKUNTA,&quot; WARANGAL TELANGANA 506005  WARANGAL TNG 506005 "/>
    <s v="Not Applicable &quot;Parkal, warangal, h no 2-13/1 market road&quot; &quot;Parkal, warangal, h no 2-13/1 mar&quot; &quot;Parkal, warangal, h no 2-13/1 mar&quot; WARANGAL TNG 506164"/>
    <s v="WARANGAL"/>
    <x v="0"/>
    <x v="0"/>
    <s v="AKHIL"/>
    <n v="801772792"/>
    <s v="Sgr@9290"/>
    <m/>
    <m/>
    <x v="0"/>
    <m/>
    <m/>
    <x v="1"/>
    <d v="2025-03-30T00:00:00"/>
    <n v="4000"/>
    <s v="Amazon Pay ICICI Bank Credit Card"/>
    <s v="30TH JUNE"/>
    <s v="0000000019804755"/>
    <d v="2026-06-23T00:00:00"/>
  </r>
  <r>
    <s v="6529190047567001"/>
    <s v="MR K VINOD"/>
    <n v="0"/>
    <x v="0"/>
    <m/>
    <m/>
    <m/>
    <s v="N"/>
    <x v="2"/>
    <s v="9666939376"/>
    <s v="X"/>
    <n v="8900.3099999999977"/>
    <n v="150000"/>
    <n v="158900.31"/>
    <s v=""/>
    <n v="158900.31"/>
    <n v="142112.85999999999"/>
    <n v="37380"/>
    <n v="13450"/>
    <x v="1"/>
    <x v="1"/>
    <n v="158900.31"/>
    <n v="-145450.31"/>
    <x v="12"/>
    <s v="TC"/>
    <s v="12118 - NEFT PAYMENT RECEIVED"/>
    <s v="SAMBA"/>
    <x v="11"/>
    <x v="3"/>
    <s v="6-19IEEJA old bus stand  IEEJAJogulamba Gadwal MAB TNG 509127 "/>
    <s v="OLD BUSTAND OLD BUSTAND   MAB TNG 509127"/>
    <s v="MAHBOOBNAGAR"/>
    <x v="0"/>
    <x v="19"/>
    <s v="SAMBA"/>
    <n v="801772794"/>
    <s v="Ssde@9876"/>
    <m/>
    <m/>
    <x v="0"/>
    <m/>
    <m/>
    <x v="1"/>
    <s v=""/>
    <n v="0"/>
    <s v="ICICI Bank Rubyx RuPay Credit Card"/>
    <s v="30TH JUNE"/>
    <s v="0000000032992183"/>
    <d v="2026-06-23T00:00:00"/>
  </r>
  <r>
    <s v="6529190053247001"/>
    <s v="MS KARANAM PRIYA"/>
    <n v="0"/>
    <x v="0"/>
    <m/>
    <m/>
    <m/>
    <s v="N"/>
    <x v="2"/>
    <s v="9032284126"/>
    <s v="X"/>
    <n v="14417.880000000005"/>
    <n v="140000"/>
    <n v="154417.88"/>
    <s v=""/>
    <n v="154417.88"/>
    <n v="138332.47"/>
    <n v="37410"/>
    <n v="8770"/>
    <x v="1"/>
    <x v="2"/>
    <n v="9000"/>
    <n v="-230"/>
    <x v="12"/>
    <s v="TC"/>
    <s v="30501-BBPS Payment received"/>
    <s v="SAMBA"/>
    <x v="3"/>
    <x v="3"/>
    <s v="4-2-660-1 somnathnagar &quot;YUVAJANA COLONY,BACK SIDE OF RAMALAYAM,ANANTA&quot;  Anantapur ANA ANP 515004 "/>
    <s v="&quot;SKYVIEW-Building No. 20, 14th &amp; 15th Floor&quot; Partly SEZ Developer in Survey No. 83/1 of Ra   HYD TNG 500081"/>
    <s v="ANAPARTHI"/>
    <x v="1"/>
    <x v="12"/>
    <s v="POORNIMA"/>
    <n v="802824019"/>
    <s v="Nihan@2421"/>
    <m/>
    <m/>
    <x v="0"/>
    <s v="LIVE"/>
    <s v="Customer house shifted _x000a_Customer calls not responding // Customer Address Live_x000a_She will Pay By Tomorrow EOD"/>
    <x v="12"/>
    <d v="2026-05-05T00:00:00"/>
    <n v="19000"/>
    <s v="ICICI Bank Rubyx RuPay Credit Card"/>
    <s v="30TH JUNE"/>
    <s v="0000000033307115"/>
    <d v="2026-06-23T00:00:00"/>
  </r>
  <r>
    <s v="4375512058953004"/>
    <s v="MR POTHAMSHETTI HARSHAVARDHAN"/>
    <n v="0"/>
    <x v="0"/>
    <m/>
    <m/>
    <m/>
    <s v="N"/>
    <x v="2"/>
    <s v="9441844535"/>
    <s v="X"/>
    <n v="10361.320000000007"/>
    <n v="135000"/>
    <n v="145361.32"/>
    <s v=""/>
    <n v="145361.32"/>
    <n v="134986"/>
    <n v="33390"/>
    <n v="6750"/>
    <x v="0"/>
    <x v="0"/>
    <n v="0"/>
    <n v="6750"/>
    <x v="0"/>
    <s v="NA"/>
    <n v="0"/>
    <s v="SAMBA"/>
    <x v="2"/>
    <x v="3"/>
    <s v="HIGH SCHOOL KONTALA KANALA HIGH SCHOOL KONTALA KANALA   NANDYAL ANP 518593 "/>
    <s v="HIGH SCHOOL KONTALA KANALA HIGH SCHOOL KONTALA KANALA   NANDYAL ANP 518593"/>
    <s v="NANDYAL"/>
    <x v="1"/>
    <x v="7"/>
    <s v="HARI"/>
    <n v="802388289"/>
    <s v="Ssd@9290"/>
    <m/>
    <m/>
    <x v="0"/>
    <s v="SKIP"/>
    <s v="Customer house address visit customer not in a home customer working in Hyderabad customer mobile responding call back evening"/>
    <x v="11"/>
    <d v="2026-04-22T00:00:00"/>
    <n v="134698"/>
    <s v="ICICI Bank Secured Coral Credit Card"/>
    <s v="30TH JUNE"/>
    <s v="0000000027928631"/>
    <d v="2026-06-23T00:00:00"/>
  </r>
  <r>
    <s v="4315811492055001"/>
    <s v="MR. MURALIDHAR KOTLA"/>
    <n v="0"/>
    <x v="0"/>
    <n v="1"/>
    <m/>
    <m/>
    <s v="N"/>
    <x v="2"/>
    <s v="9441646566"/>
    <s v="Y"/>
    <n v="-164462.06"/>
    <n v="300000"/>
    <n v="135537.94"/>
    <s v=""/>
    <n v="135537.94"/>
    <n v="127787.94"/>
    <n v="21590"/>
    <n v="9710"/>
    <x v="1"/>
    <x v="1"/>
    <n v="21590"/>
    <n v="-11880"/>
    <x v="7"/>
    <s v="TC"/>
    <s v="30501-BBPS Payment received"/>
    <s v="SAMBA"/>
    <x v="0"/>
    <x v="0"/>
    <s v="H NO 40-340/10 BHAGYANAGAR MOURYALAN  hyd KURNOOL ANP 518001 "/>
    <s v="R RHOSPITAL BLOOPBANK R R HOSPITAL BLOOD BANK D NO 40-304 10 2ND FLOOR BHAGYANAGAR 2ND FLOOR BHAGYANAGAR KURNOOL ANP 518001 "/>
    <s v="KURNOOL"/>
    <x v="1"/>
    <x v="18"/>
    <s v="SAMBA"/>
    <n v="801772794"/>
    <s v="Ssde@9876"/>
    <m/>
    <m/>
    <x v="0"/>
    <s v="LIVE"/>
    <s v="Customer not available at given address _x000a_Contact by phone he given ptp on monday sir"/>
    <x v="2"/>
    <d v="2024-11-27T00:00:00"/>
    <n v="200000"/>
    <s v="Amazon Pay ICICI Bank Credit Card"/>
    <s v="24TH JUNE"/>
    <s v="0000000018011115"/>
    <d v="2026-06-23T00:00:00"/>
  </r>
  <r>
    <s v="4315814599057003"/>
    <s v="MR Thumu Venkat"/>
    <s v="RTP"/>
    <x v="0"/>
    <n v="1"/>
    <m/>
    <m/>
    <s v="N"/>
    <x v="2"/>
    <s v="9494501334"/>
    <s v="X"/>
    <n v="12625.26999999999"/>
    <n v="120000"/>
    <n v="132625.26999999999"/>
    <n v="115703.91"/>
    <n v="16921.36"/>
    <n v="4225.5"/>
    <n v="16900"/>
    <n v="6470"/>
    <x v="1"/>
    <x v="2"/>
    <n v="6500"/>
    <n v="-30"/>
    <x v="11"/>
    <s v="TC"/>
    <s v="12124 - UPI Payment Received"/>
    <s v="SAMBA"/>
    <x v="11"/>
    <x v="3"/>
    <s v="68.8.16.2B Near.Ideal.College Ashok.Nagar East Godavari KAKINADA ANP 533003 "/>
    <s v="PARKAM.PLASTIC Parekhplast.India.Ltd.Plot No.28.APSEZ.D.notified.area.Lalam.Koduru No.28.APSEZ.D.notified.area.Lalam.Koduru ANAKAPALLE ANP 531011"/>
    <s v="KAKINADA"/>
    <x v="4"/>
    <x v="23"/>
    <s v="UDAY"/>
    <n v="801436997"/>
    <s v="Ssd@9290"/>
    <m/>
    <m/>
    <x v="0"/>
    <s v="LIVE"/>
    <s v="Customer address visit customer not available msg left to family customer call response ptp on 3rd"/>
    <x v="9"/>
    <d v="2026-05-04T00:00:00"/>
    <n v="3000"/>
    <s v="Amazon Pay ICICI Bank Credit Card"/>
    <s v="30TH JUNE"/>
    <s v="0000000028544348"/>
    <d v="2026-06-23T00:00:00"/>
  </r>
  <r>
    <s v="4315813339392001"/>
    <s v="MR Matha Bala Yogi"/>
    <n v="0"/>
    <x v="0"/>
    <m/>
    <m/>
    <m/>
    <s v="N"/>
    <x v="2"/>
    <s v="8121857747"/>
    <s v="X"/>
    <n v="12082.140000000014"/>
    <n v="120000"/>
    <n v="132082.14000000001"/>
    <s v=""/>
    <n v="132082.14000000001"/>
    <n v="118248.4"/>
    <n v="32670"/>
    <n v="13290"/>
    <x v="1"/>
    <x v="2"/>
    <n v="14000"/>
    <n v="-710"/>
    <x v="11"/>
    <s v="FE"/>
    <s v="30501-BBPS Payment received"/>
    <s v="SAMBA"/>
    <x v="3"/>
    <x v="3"/>
    <s v="D NO 2 17 5 KONDAVARI STREET KONDAVARI STREET NEAR SACHIVALAYAM RAJAHMUNDRY ANP 533103 "/>
    <s v="CHANAKYA MMA CO OP SOCIETY ACHANTAVARI STREET NEAR SUBRAMANYESWARA TEMPLE NEAR NEAR SUBRAMANYESWARA TEMPLE NEAR TANUKU ANP 534211"/>
    <s v="TANUKU"/>
    <x v="4"/>
    <x v="33"/>
    <s v="MANIKANTA"/>
    <n v="802852449"/>
    <s v="Ssd@9290"/>
    <m/>
    <m/>
    <x v="0"/>
    <s v="SKIP"/>
    <s v="Custmor not working sir  shifted  rajahmundry"/>
    <x v="6"/>
    <d v="2024-11-22T00:00:00"/>
    <n v="9000"/>
    <s v="Amazon Pay ICICI Bank Credit Card"/>
    <s v="30TH JUNE"/>
    <s v="0000000023989548"/>
    <d v="2026-06-23T00:00:00"/>
  </r>
  <r>
    <s v="4748460726717023"/>
    <s v="MR SEELA YESWANTH REDDY"/>
    <n v="0"/>
    <x v="0"/>
    <m/>
    <m/>
    <m/>
    <s v="N"/>
    <x v="2"/>
    <s v="7989967635"/>
    <s v="X"/>
    <n v="-45434.31"/>
    <n v="166000"/>
    <n v="120565.69"/>
    <n v="28394.38"/>
    <n v="92171.31"/>
    <n v="86179.27"/>
    <n v="28320"/>
    <n v="12990"/>
    <x v="1"/>
    <x v="1"/>
    <n v="92171.31"/>
    <n v="-79181.31"/>
    <x v="4"/>
    <s v="D"/>
    <s v="30501-BBPS Payment received"/>
    <s v="SAMBA"/>
    <x v="2"/>
    <x v="3"/>
    <s v="&quot;4-10-15/2,&quot; PRASHANTHI NAGAR PULIVENDULA back side of RTC BUSTAND KADAPA ANP 516390 "/>
    <s v="VIT VELLORE VIT KATPADI VELLORE VELLORE VELLORE TMN 632014"/>
    <s v="PRODDATUR"/>
    <x v="1"/>
    <x v="15"/>
    <s v="VSSK PRASAD"/>
    <n v="802349062"/>
    <s v="Ssd@9290"/>
    <m/>
    <m/>
    <x v="0"/>
    <m/>
    <m/>
    <x v="1"/>
    <d v="2024-06-28T00:00:00"/>
    <n v="57851.59"/>
    <s v="MakeMyTrip ICICI Bank Platinum Credit Card"/>
    <s v="30TH JUNE"/>
    <s v="0000000016758780"/>
    <d v="2026-06-23T00:00:00"/>
  </r>
  <r>
    <s v="4748469369827007"/>
    <s v="MR KASAGANI SIDDHARTHA"/>
    <n v="0"/>
    <x v="0"/>
    <m/>
    <m/>
    <m/>
    <s v="N"/>
    <x v="2"/>
    <s v="9703489555"/>
    <s v="X"/>
    <n v="6606.8099999999977"/>
    <n v="110000"/>
    <n v="116606.81"/>
    <n v="1866.03"/>
    <n v="114740.78"/>
    <n v="108044.49"/>
    <n v="17210"/>
    <n v="5360"/>
    <x v="1"/>
    <x v="1"/>
    <n v="17210"/>
    <n v="-11850"/>
    <x v="13"/>
    <s v="FE"/>
    <s v="30501-BBPS Payment received"/>
    <s v="SAMBA"/>
    <x v="11"/>
    <x v="3"/>
    <s v="&quot;7-23, GOVT COLLAGE ROAD,,KOYYALAGUDEM MA&quot; NDALAM  NR GOVT COLLAGE ELURU ANP 534312 "/>
    <s v="ERNST YOUNG LLP &quot;83/1 RAIDURGAM PLOT NO 22,23,24,3132 AND&quot; 33 HITECH CITY MADHAPUR 33 HITECH CITY MADHAPUR HYDERABAD TNG 500081"/>
    <s v="ELURU"/>
    <x v="4"/>
    <x v="32"/>
    <s v="BHARAT CHANDRA"/>
    <n v="802631601"/>
    <s v="Ssde@9290"/>
    <m/>
    <m/>
    <x v="0"/>
    <m/>
    <m/>
    <x v="1"/>
    <d v="2025-07-25T00:00:00"/>
    <n v="14310"/>
    <s v="ICICI Bank Expressions Credit Card"/>
    <s v="30TH JUNE"/>
    <s v="0000000024015033"/>
    <d v="2026-06-23T00:00:00"/>
  </r>
  <r>
    <s v="4375514870088001"/>
    <s v="MR VEMULA AMBADAS"/>
    <n v="0"/>
    <x v="0"/>
    <m/>
    <m/>
    <m/>
    <s v="N"/>
    <x v="2"/>
    <s v="9849332328"/>
    <s v="X"/>
    <n v="-39593.679999999993"/>
    <n v="150000"/>
    <n v="110406.32"/>
    <n v="84546.43"/>
    <n v="25859.89"/>
    <n v="15450.57"/>
    <n v="25859.89"/>
    <n v="14244.05"/>
    <x v="1"/>
    <x v="1"/>
    <n v="26000"/>
    <n v="-11755.95"/>
    <x v="13"/>
    <s v="TC"/>
    <s v="12124 - UPI Payment Received"/>
    <s v="SAMBA"/>
    <x v="2"/>
    <x v="3"/>
    <s v="H NO 16 2 1 63 1 SHIVAJI NAGAR GODAVARIKANI RGM VEGTABLE MARKET Karimnagar TNG 505209 "/>
    <s v="PARIMALA SAREE CENTER CLOTHES PARIMALA SAREE CENTER CLOTHES SHIVAJI NAGAR SHIVAJI NAGAR Karimnagar TNG 505209"/>
    <s v="PEDDAPALLI"/>
    <x v="0"/>
    <x v="34"/>
    <s v="V Sridhar"/>
    <n v="801174030"/>
    <s v="Sgr@0987"/>
    <m/>
    <m/>
    <x v="0"/>
    <m/>
    <m/>
    <x v="1"/>
    <d v="2025-12-25T00:00:00"/>
    <n v="49998"/>
    <s v="ICICI Bank HPCL Coral VISA Credit Card"/>
    <s v="30TH JUNE"/>
    <s v="0000000011015268"/>
    <d v="2026-06-23T00:00:00"/>
  </r>
  <r>
    <s v="4315812153364005"/>
    <s v="MR Chereddy Ramabhupal Reddy"/>
    <n v="0"/>
    <x v="0"/>
    <m/>
    <m/>
    <m/>
    <s v="N"/>
    <x v="2"/>
    <s v="9703339884"/>
    <s v="X"/>
    <n v="8388.3399999999965"/>
    <n v="100000"/>
    <n v="108388.34"/>
    <s v=""/>
    <n v="108388.34"/>
    <n v="94239.12"/>
    <n v="31200"/>
    <n v="15080"/>
    <x v="1"/>
    <x v="1"/>
    <n v="108388.34"/>
    <n v="-93308.34"/>
    <x v="13"/>
    <s v="TC"/>
    <s v="12118 - NEFT PAYMENT RECEIVED"/>
    <s v="SAMBA"/>
    <x v="0"/>
    <x v="3"/>
    <s v="11-302-D Nandyala RTC Colony Raithunagaram NANDYAL ANP 518502 "/>
    <s v="SRKT TRANSPORTS 11-302-D NANDYAL RTC COLONY NANDYAL RTC COLONY NANDYAL ANP 518502"/>
    <s v="NANDYAL"/>
    <x v="1"/>
    <x v="7"/>
    <s v="HARI"/>
    <n v="802388289"/>
    <s v="Ssd@9290"/>
    <m/>
    <m/>
    <x v="0"/>
    <s v="SKIP"/>
    <s v="Customer house address not found mobile responding will have to pay today evening ptp"/>
    <x v="11"/>
    <d v="2024-06-23T00:00:00"/>
    <n v="69402.66"/>
    <s v="Amazon Pay ICICI Bank Credit Card"/>
    <s v="30TH JUNE"/>
    <s v="0000000020098356"/>
    <d v="2026-06-23T00:00:00"/>
  </r>
  <r>
    <s v="4315811513504003"/>
    <s v="Mr PERNAPATI OBANNA"/>
    <n v="0"/>
    <x v="0"/>
    <m/>
    <m/>
    <m/>
    <s v="N"/>
    <x v="2"/>
    <s v="9704908633"/>
    <s v="X"/>
    <n v="-91772.43"/>
    <n v="200000"/>
    <n v="108227.57"/>
    <s v=""/>
    <n v="108227.57"/>
    <n v="101675.91"/>
    <n v="14510"/>
    <n v="7270"/>
    <x v="0"/>
    <x v="0"/>
    <n v="0"/>
    <n v="7270"/>
    <x v="0"/>
    <s v="NA"/>
    <n v="0"/>
    <s v="SAMBA"/>
    <x v="3"/>
    <x v="3"/>
    <s v="&quot;10/255-1,SHANTHINAGAR,MYDUKURU,MYDEKUR&quot;    PRODDATUR ANP 516172 "/>
    <s v="na mydekur mydekur mydekur PRODDATUR ANP 516172"/>
    <s v="PRODDATUR"/>
    <x v="1"/>
    <x v="15"/>
    <s v="VSSK PRASAD"/>
    <n v="802349062"/>
    <s v="Ssd@9290"/>
    <m/>
    <m/>
    <x v="1"/>
    <m/>
    <m/>
    <x v="1"/>
    <d v="2026-04-27T00:00:00"/>
    <n v="8000"/>
    <s v="Amazon Pay ICICI Bank Credit Card"/>
    <s v="30TH JUNE"/>
    <s v="0000000018064161"/>
    <d v="2026-06-23T00:00:00"/>
  </r>
  <r>
    <s v="4315811741891008"/>
    <s v="MS Dudekula Kousar Bhanu"/>
    <n v="0"/>
    <x v="0"/>
    <m/>
    <m/>
    <m/>
    <s v="N"/>
    <x v="2"/>
    <s v="9398819256"/>
    <s v="X"/>
    <n v="-125646.28"/>
    <n v="230000"/>
    <n v="104353.72"/>
    <s v=""/>
    <n v="104353.72"/>
    <n v="92620"/>
    <n v="20770"/>
    <n v="10430"/>
    <x v="1"/>
    <x v="2"/>
    <n v="10500"/>
    <n v="-70"/>
    <x v="11"/>
    <s v="TC"/>
    <s v="30501-BBPS Payment received"/>
    <s v="SAMBA"/>
    <x v="11"/>
    <x v="3"/>
    <s v="18-2-856 Ananthapuramu Venugopal Nagar Venugopal Nagar ANAPARTHI ANP 515001 "/>
    <s v="MAHAVEER DIGITAL SHOPPY &quot;15-591, RAJU ROAD&quot; ANANTAPUR ANANTAPUR ANAPARTHI ANP 515001"/>
    <s v="ANAPARTHI"/>
    <x v="1"/>
    <x v="12"/>
    <s v="POORNIMA"/>
    <n v="802824019"/>
    <s v="Nihan@2421"/>
    <m/>
    <m/>
    <x v="0"/>
    <s v="LIVE"/>
    <s v="Customer PTP on today evening"/>
    <x v="9"/>
    <d v="2024-11-18T00:00:00"/>
    <n v="13608.62"/>
    <s v="Amazon Pay ICICI Bank Credit Card"/>
    <s v="30TH JUNE"/>
    <s v="0000000018822098"/>
    <d v="2026-06-23T00:00:00"/>
  </r>
  <r>
    <s v="4315814717678003"/>
    <s v="MS Sri Sravya Alapati"/>
    <n v="0"/>
    <x v="0"/>
    <m/>
    <m/>
    <m/>
    <s v="N"/>
    <x v="2"/>
    <s v="8522900150"/>
    <s v="X"/>
    <n v="9859.7200000000012"/>
    <n v="90000"/>
    <n v="99859.72"/>
    <s v=""/>
    <n v="99859.72"/>
    <n v="86466.92"/>
    <n v="31000"/>
    <n v="16020"/>
    <x v="1"/>
    <x v="2"/>
    <n v="16050"/>
    <n v="-30"/>
    <x v="12"/>
    <s v="FE"/>
    <s v="30501-BBPS Payment received"/>
    <s v="SAMBA"/>
    <x v="0"/>
    <x v="3"/>
    <s v="3.120.1 andhra.colony ..andhra.colony Adilabad ADILABAD TNG 504215 "/>
    <s v="SPECTRAFORCE.TECHNOLOGIES.INDIA..PSPFT SPECTRAFORCE.TECHNOLIGIES SELENIUM.. SELENIUM.. HYDERABAD TNG 500032"/>
    <s v="ADILABAD"/>
    <x v="0"/>
    <x v="24"/>
    <s v="K RAMU"/>
    <n v="802898520"/>
    <s v="Ssd@9290"/>
    <m/>
    <m/>
    <x v="0"/>
    <s v="MESS"/>
    <s v="Customer given address visit customer address not found no information from neighbors, trying by call"/>
    <x v="11"/>
    <d v="2026-04-28T00:00:00"/>
    <n v="4040"/>
    <s v="Amazon Pay ICICI Bank Credit Card"/>
    <s v="30TH JUNE"/>
    <s v="0000000029042252"/>
    <d v="2026-06-23T00:00:00"/>
  </r>
  <r>
    <s v="4315812967475013"/>
    <s v="MR Katamreddy Vinay"/>
    <n v="0"/>
    <x v="0"/>
    <m/>
    <m/>
    <m/>
    <s v="N"/>
    <x v="2"/>
    <s v="9676791105"/>
    <s v="X"/>
    <n v="8645.929999999993"/>
    <n v="90000"/>
    <n v="98645.93"/>
    <s v=""/>
    <n v="98645.93"/>
    <n v="89844.47"/>
    <n v="23290"/>
    <n v="8200"/>
    <x v="1"/>
    <x v="1"/>
    <n v="23290"/>
    <n v="-15090"/>
    <x v="4"/>
    <s v="FE"/>
    <s v="30501-BBPS Payment received"/>
    <s v="SAMBA"/>
    <x v="11"/>
    <x v="3"/>
    <s v="18-10-1 SAMARLKOT GANDHINAGAR East Godavari KAKINADA ANP 533440 "/>
    <s v="CHANDANA BROTHERS SHOPPING MALL PVT LTD MAIN ROAD SURYARAOPETA SURYARAOPETA KAKINADA ANP 533001"/>
    <s v="KAKINADA"/>
    <x v="4"/>
    <x v="23"/>
    <s v="UDAY"/>
    <n v="801436997"/>
    <s v="Ssd@9290"/>
    <m/>
    <m/>
    <x v="0"/>
    <s v="DL"/>
    <s v="Customer office address visit customer not available door lock call response ptp on today"/>
    <x v="9"/>
    <d v="2026-01-04T00:00:00"/>
    <n v="21790"/>
    <s v="Amazon Pay ICICI Bank Credit Card"/>
    <s v="30TH JUNE"/>
    <s v="0000000022383942"/>
    <d v="2026-06-23T00:00:00"/>
  </r>
  <r>
    <s v="4035623170147011"/>
    <s v="MR GOLLA PAUL SUDHAKAR"/>
    <n v="0"/>
    <x v="0"/>
    <m/>
    <m/>
    <m/>
    <s v="N"/>
    <x v="2"/>
    <s v="9490096189"/>
    <s v="X"/>
    <n v="3568.820000000007"/>
    <n v="86000"/>
    <n v="89568.82"/>
    <s v=""/>
    <n v="89568.82"/>
    <n v="79501.929999999993"/>
    <n v="17770"/>
    <n v="5120"/>
    <x v="0"/>
    <x v="0"/>
    <n v="0"/>
    <n v="5120"/>
    <x v="0"/>
    <s v="NA"/>
    <n v="0"/>
    <s v="SAMBA"/>
    <x v="3"/>
    <x v="3"/>
    <s v="9-11-35/5 ROYAPETA JONAH ROAD NEAR MISSION HIGH SCHOOL BHIMAVARAM ANP 534275 "/>
    <s v="BLUE PAL &quot;G92V38W, ADDAGUTTA, SAMATHA NAGAR&quot; &quot;KUKATPALLY, HYDERABAD, TELANGANA&quot; &quot;KUKATPALLY, HYDERABAD, TELANGANA&quot; HYDERABAD TNG 500090"/>
    <s v="BHIMAVARAM"/>
    <x v="4"/>
    <x v="26"/>
    <s v="B NAGABABU"/>
    <n v="801448854"/>
    <s v="Sgr@9290"/>
    <m/>
    <m/>
    <x v="0"/>
    <s v="LIVE"/>
    <s v=" cmr not at home , waiting for cmr , cmr call not answering"/>
    <x v="11"/>
    <d v="2026-04-22T00:00:00"/>
    <n v="3968"/>
    <s v="ICICI Bank Platinum Chip Credit Card"/>
    <s v="30TH JUNE"/>
    <s v="0000000026465661"/>
    <d v="2026-06-23T00:00:00"/>
  </r>
  <r>
    <s v="4315811960083022"/>
    <s v="MR Cheruku Naveen Babu"/>
    <s v="RTP"/>
    <x v="0"/>
    <n v="1"/>
    <m/>
    <m/>
    <s v="N"/>
    <x v="2"/>
    <s v="9652290907"/>
    <s v="X"/>
    <n v="6703.5099999999948"/>
    <n v="80000"/>
    <n v="86703.51"/>
    <n v="4755.1000000000004"/>
    <n v="81948.41"/>
    <n v="69744.34"/>
    <n v="20940"/>
    <n v="8560"/>
    <x v="1"/>
    <x v="2"/>
    <n v="9000"/>
    <n v="-440"/>
    <x v="7"/>
    <s v="TC"/>
    <s v="30501-BBPS Payment received"/>
    <s v="SAMBA"/>
    <x v="11"/>
    <x v="3"/>
    <s v="1-7-76/8 Srinivasa Colony Srinivasa Colony Mahabubnagar WANAPARTHY TNG 509210 "/>
    <s v="RASTRASTER ENGINNERS PVTLTD BABHUKHAN MILINIMUM CENTER SOMAJIGUDA SOMAJIGUDA HYDERABAD TNG 500082"/>
    <s v="WANAPARTHY"/>
    <x v="0"/>
    <x v="19"/>
    <s v="SAMBA"/>
    <n v="801772794"/>
    <s v="Ssde@9876"/>
    <m/>
    <m/>
    <x v="0"/>
    <m/>
    <m/>
    <x v="1"/>
    <d v="2025-03-05T00:00:00"/>
    <n v="210"/>
    <s v="Amazon Pay ICICI Bank Credit Card"/>
    <s v="30TH JUNE"/>
    <s v="0000000019573429"/>
    <d v="2026-06-23T00:00:00"/>
  </r>
  <r>
    <s v="4748466925864003"/>
    <s v="MR TADIMERI CHANDRA SEKHAR"/>
    <s v="RTP"/>
    <x v="0"/>
    <m/>
    <m/>
    <m/>
    <s v="O"/>
    <x v="2"/>
    <s v="9573137279"/>
    <s v="X"/>
    <n v="-28388.630000000005"/>
    <n v="100000"/>
    <n v="71611.37"/>
    <s v=""/>
    <n v="71611.37"/>
    <n v="47892.01"/>
    <n v="14130"/>
    <n v="7050"/>
    <x v="1"/>
    <x v="2"/>
    <n v="7200"/>
    <n v="-150"/>
    <x v="7"/>
    <s v="FE"/>
    <s v="12101-INFINITY PYMT RCVD"/>
    <s v="SAMBA"/>
    <x v="11"/>
    <x v="0"/>
    <s v="5-36 KOTANKA ANANTAPUR ANANTAPUR  MAIN ROAD ANANTAPUR ANP 515731 "/>
    <s v="TROPICAL AGROSYSTEM INDIA PVT LTD D NO 76-18-18 PLOT NO 18 GROUND FLOOR 1S FLOOR IRON COMPLEX BHAVANIURAM BY PASS R FLOOR IRON COMPLEX BHAVANIURAM BY PASS R VIJAYAWADA ANP 520012 "/>
    <s v="ANANTAPUR"/>
    <x v="1"/>
    <x v="12"/>
    <s v="POORNIMA"/>
    <n v="802824019"/>
    <s v="Nihan@2421"/>
    <m/>
    <m/>
    <x v="0"/>
    <s v="LIVE"/>
    <s v="Customer PTP on 30th evening"/>
    <x v="5"/>
    <d v="2026-06-01T00:00:00"/>
    <n v="7250"/>
    <s v="ICICI Bank Coral RuPay Credit Card"/>
    <s v="24TH JUNE"/>
    <s v="0000000029904893"/>
    <d v="2026-06-23T00:00:00"/>
  </r>
  <r>
    <s v="4315811990145007"/>
    <s v="MR N NAIK"/>
    <n v="0"/>
    <x v="0"/>
    <m/>
    <m/>
    <m/>
    <s v="N"/>
    <x v="2"/>
    <s v="8886876685"/>
    <s v="X"/>
    <n v="-430928.41000000003"/>
    <n v="500000"/>
    <n v="69071.59"/>
    <s v=""/>
    <n v="69071.59"/>
    <n v="63999.55"/>
    <n v="8470"/>
    <n v="3200"/>
    <x v="0"/>
    <x v="0"/>
    <n v="0"/>
    <n v="3200"/>
    <x v="0"/>
    <s v="NA"/>
    <n v="0"/>
    <s v="SAMBA"/>
    <x v="0"/>
    <x v="0"/>
    <s v="&quot;17-144-13-B-2-E-1,JAGAJJANANINAGAR,NANDYAL&quot;    KURNOOL ANP 518501 "/>
    <s v="Self employed Shop no 9 Munical complex Munical complex NANDYAL ANP 518501 "/>
    <s v="NANDYAL"/>
    <x v="1"/>
    <x v="7"/>
    <s v="HARI"/>
    <n v="802388289"/>
    <s v="Ssd@9290"/>
    <m/>
    <m/>
    <x v="0"/>
    <s v="DL"/>
    <s v="Customer house door lock customer mobile responding customer proceed to legal notice"/>
    <x v="5"/>
    <d v="2026-04-21T00:00:00"/>
    <n v="1000"/>
    <s v="Amazon Pay ICICI Bank Credit Card"/>
    <s v="24TH JUNE"/>
    <s v="0000000019650703"/>
    <d v="2026-06-23T00:00:00"/>
  </r>
  <r>
    <s v="4315811661159006"/>
    <s v="MR Bodireddy Nanda Kumar"/>
    <n v="0"/>
    <x v="0"/>
    <m/>
    <m/>
    <m/>
    <s v="N"/>
    <x v="2"/>
    <s v="9533384688"/>
    <s v="W"/>
    <n v="-302466.21999999997"/>
    <n v="370000"/>
    <n v="67533.78"/>
    <s v=""/>
    <n v="67533.78"/>
    <n v="61742.93"/>
    <n v="9610"/>
    <n v="3660"/>
    <x v="1"/>
    <x v="1"/>
    <n v="10000"/>
    <n v="-6340"/>
    <x v="0"/>
    <s v="D"/>
    <s v="30501-BBPS Payment received"/>
    <s v="SAMBA"/>
    <x v="0"/>
    <x v="3"/>
    <s v="&quot;4/5,,&quot;  Anumpalli Anumpalli village RAYACHOTI ANP 516269 "/>
    <s v="APSFL APSFL NOC NEAR AU DISTANCE EDUCATION  CHINNA WALTA NEAR AU DISTANCE EDUCATION  CHINNA WALTA VISHAKAPATNAM ANP 530017"/>
    <s v="CUDDAPAH"/>
    <x v="1"/>
    <x v="14"/>
    <s v="SIVARAU"/>
    <n v="801601134"/>
    <s v="Ssd@9290"/>
    <m/>
    <m/>
    <x v="0"/>
    <m/>
    <m/>
    <x v="1"/>
    <d v="2024-06-21T00:00:00"/>
    <n v="47920"/>
    <s v="Amazon Pay ICICI Bank Credit Card"/>
    <s v="30TH JUNE"/>
    <s v="0000000018526933"/>
    <d v="2026-06-23T00:00:00"/>
  </r>
  <r>
    <s v="4315811660442007"/>
    <s v="MR SHAIK KARIMULLA"/>
    <n v="0"/>
    <x v="0"/>
    <m/>
    <m/>
    <m/>
    <s v="N"/>
    <x v="2"/>
    <s v="7989136420"/>
    <s v="Y"/>
    <n v="-25041.010000000002"/>
    <n v="90000"/>
    <n v="64958.99"/>
    <s v=""/>
    <n v="64958.99"/>
    <n v="58181.36"/>
    <n v="12460"/>
    <n v="6910"/>
    <x v="1"/>
    <x v="1"/>
    <n v="64958.99"/>
    <n v="-58048.99"/>
    <x v="13"/>
    <s v="FE"/>
    <s v="30501-BBPS Payment received"/>
    <s v="SAMBA"/>
    <x v="3"/>
    <x v="0"/>
    <s v="5-10/1 POTHAVARAM   NEAR NTR STATIVE GUNTUR ANP 522616 "/>
    <s v="FIRST DATA MANAGEMENT SERVICE PVT LTD C/O ICICI BANK LTD 40-1-127 128 AND 129 1ST FLOOR MURALI CHAMBERS MG ROAD 1ST FLOOR MURALI CHAMBERS MG ROAD VIJAYAWADA ANP 520010 "/>
    <s v="GUNTUR"/>
    <x v="5"/>
    <x v="35"/>
    <s v="DURGA"/>
    <n v="801723195"/>
    <s v="Sgr@9290"/>
    <m/>
    <m/>
    <x v="0"/>
    <s v="LIVE"/>
    <s v="Visit Customer Adress customer not living in this address shifted to Vijayawada Phone responding Given  PTP on before due date"/>
    <x v="2"/>
    <d v="2025-11-30T00:00:00"/>
    <n v="25000"/>
    <s v="Amazon Pay ICICI Bank Credit Card"/>
    <s v="24TH JUNE"/>
    <s v="0000000018524117"/>
    <d v="2026-06-23T00:00:00"/>
  </r>
  <r>
    <s v="4315813560038000"/>
    <s v="MR Bareddy Siva Prasad"/>
    <n v="0"/>
    <x v="0"/>
    <m/>
    <m/>
    <m/>
    <s v="N"/>
    <x v="2"/>
    <s v="8790444536"/>
    <s v="X"/>
    <n v="-37997.65"/>
    <n v="100000"/>
    <n v="62002.35"/>
    <n v="34153.32"/>
    <n v="27849.03"/>
    <n v="23799.15"/>
    <n v="10310"/>
    <n v="3820"/>
    <x v="0"/>
    <x v="0"/>
    <n v="0"/>
    <n v="3820"/>
    <x v="0"/>
    <s v="NA"/>
    <s v="30501-BBPS Payment received"/>
    <s v="SAMBA"/>
    <x v="2"/>
    <x v="3"/>
    <s v="4 23   Cuddapah PRODDATUR ANP 516362 "/>
    <s v="JOHNSON LIFTS PRIVATE LIMITED PRODDATUR THALLAMAPURAM  KADAPA THALLAMAPURAM  KADAPA PRODDATUR ANP 516362"/>
    <s v="PRODDATUR"/>
    <x v="1"/>
    <x v="15"/>
    <s v="VSSK PRASAD"/>
    <n v="802349062"/>
    <s v="Ssd@9290"/>
    <m/>
    <m/>
    <x v="1"/>
    <m/>
    <m/>
    <x v="1"/>
    <d v="2025-09-19T00:00:00"/>
    <n v="1"/>
    <s v="Amazon Pay ICICI Bank Credit Card"/>
    <s v="30TH JUNE"/>
    <s v="0000000024697132"/>
    <d v="2026-06-23T00:00:00"/>
  </r>
  <r>
    <s v="4035621495885000"/>
    <s v="MR ANKAMMA RAJU KUNCHALA"/>
    <n v="0"/>
    <x v="0"/>
    <m/>
    <m/>
    <m/>
    <s v="N"/>
    <x v="3"/>
    <s v="6309183780"/>
    <s v="X"/>
    <n v="4616.8600000000006"/>
    <n v="100000"/>
    <n v="104616.86"/>
    <n v="76203.56"/>
    <n v="28413.3"/>
    <n v="21059.47"/>
    <n v="28413.3"/>
    <n v="15433.31"/>
    <x v="1"/>
    <x v="1"/>
    <n v="28413.3"/>
    <n v="-12979.99"/>
    <x v="14"/>
    <s v="TC"/>
    <s v="30501-BBPS Payment received"/>
    <s v="SAMBA"/>
    <x v="0"/>
    <x v="3"/>
    <s v="2-121H VTC MADDIPADU MADDIPADU NEAR MAIN ROAD Prakasam ANP 523211 "/>
    <s v="MEDICAL COLLEGE RIMS COLLEGE ONGOLE ONGOLE ONGOLE ANP 523001"/>
    <s v="PRAKASAM"/>
    <x v="6"/>
    <x v="36"/>
    <s v="DURGA"/>
    <n v="801723195"/>
    <s v="Sgr@9290"/>
    <m/>
    <m/>
    <x v="0"/>
    <m/>
    <m/>
    <x v="1"/>
    <d v="2025-06-06T00:00:00"/>
    <n v="10740"/>
    <s v="ICICI Bank Coral Credit Card"/>
    <s v="30TH JUNE"/>
    <s v="0000000028250630"/>
    <d v="2026-06-25T00:00:00"/>
  </r>
  <r>
    <s v="4375518030321004"/>
    <s v="MR KUCHANA RAJESH"/>
    <n v="0"/>
    <x v="0"/>
    <m/>
    <m/>
    <m/>
    <s v="N"/>
    <x v="4"/>
    <s v="9177123474"/>
    <s v="X"/>
    <n v="32435.400000000023"/>
    <n v="640000"/>
    <n v="672435.4"/>
    <n v="428951.14"/>
    <n v="243484.26"/>
    <n v="210783.29"/>
    <n v="84200"/>
    <n v="34040"/>
    <x v="0"/>
    <x v="0"/>
    <n v="0"/>
    <n v="34040"/>
    <x v="0"/>
    <s v="NA"/>
    <n v="0"/>
    <s v="HARI"/>
    <x v="4"/>
    <x v="1"/>
    <s v="&quot;2-62,LAXMAREDDY PALLY,KARKAPALLE,GHANAPUR,&quot; &quot;MULUGU GHANAPUR,JAYASHANKAR&quot; JAYASHANKAR BHOOPALPALLY  WARANGAL TNG 506168 "/>
    <s v="DXC TECHNOLOGY INDIA PRIVATE LIMITED 4TH FLOOR BRILLIANT TITANIUM PLOT NO 9 SCH NO 78 PART-2 VIJAY NAGAR INDORE SCH NO 78 PART-2 VIJAY NAGAR INDORE INDORE MDP 452010 "/>
    <s v="WARANGAL"/>
    <x v="0"/>
    <x v="0"/>
    <s v="AKHIL"/>
    <n v="801772792"/>
    <s v="Sgr@9290"/>
    <m/>
    <m/>
    <x v="0"/>
    <s v="MESS"/>
    <s v="Left msg to cust's mother and said Prasent cust staying in hyd no contactable and cust no respond to calls"/>
    <x v="9"/>
    <d v="2024-06-29T00:00:00"/>
    <n v="63740"/>
    <s v="ICICI Bank Platinum Chip Credit Card"/>
    <s v="24TH JUNE"/>
    <s v="0000000012602218"/>
    <d v="2026-06-26T00:00:00"/>
  </r>
  <r>
    <s v="4315812434700001"/>
    <s v="MR B Charan Kumar"/>
    <n v="0"/>
    <x v="0"/>
    <m/>
    <m/>
    <m/>
    <s v="N"/>
    <x v="4"/>
    <s v="9885385855"/>
    <s v="X"/>
    <n v="424703.29"/>
    <n v="20000"/>
    <n v="444703.29"/>
    <s v=""/>
    <n v="444703.29"/>
    <n v="410000"/>
    <n v="444703.29"/>
    <n v="391000"/>
    <x v="0"/>
    <x v="0"/>
    <n v="0"/>
    <n v="391000"/>
    <x v="0"/>
    <s v="NA"/>
    <s v="30501-BBPS Payment received"/>
    <s v="HARI"/>
    <x v="7"/>
    <x v="1"/>
    <s v="3-891/a TURPU PALLI TURPU PALLI Chittoor TIRUPATHI ANP 517237 "/>
    <s v="COGNIZANT TECHNOLOGY SOLUTIONS PVT LTD MANYATHA TECH PARK NAGAVARA NAGAVARA BANGALORE KAR 560045 "/>
    <s v="TIRUPATHI"/>
    <x v="1"/>
    <x v="25"/>
    <s v="S SEKHAR"/>
    <n v="845041675"/>
    <s v="Ssd@9290"/>
    <m/>
    <m/>
    <x v="0"/>
    <s v="DL"/>
    <s v="Cs in banglore job purpuse door locked cs phone contact ptp 2/7  wating for salary"/>
    <x v="4"/>
    <d v="2024-07-12T00:00:00"/>
    <n v="1431.5"/>
    <s v="Amazon Pay ICICI Bank Credit Card"/>
    <s v="24TH JUNE"/>
    <s v="0000000020852351"/>
    <d v="2026-06-26T00:00:00"/>
  </r>
  <r>
    <s v="4375518823046008"/>
    <s v="Mr Hari Prasad"/>
    <n v="0"/>
    <x v="0"/>
    <m/>
    <m/>
    <m/>
    <s v="N"/>
    <x v="4"/>
    <s v="9963814750"/>
    <s v="X"/>
    <n v="166090.28999999998"/>
    <n v="230000"/>
    <n v="396090.29"/>
    <n v="110496.94"/>
    <n v="285593.34999999998"/>
    <n v="260722.23"/>
    <n v="124190"/>
    <n v="57960"/>
    <x v="0"/>
    <x v="0"/>
    <n v="0"/>
    <n v="57960"/>
    <x v="0"/>
    <s v="NA"/>
    <n v="0"/>
    <s v="HARI"/>
    <x v="4"/>
    <x v="3"/>
    <s v="&quot;8/34, PEDDA KOMMAVARI PALLI QUATERS&quot;    PUTTAPARTHI ANP 515134"/>
    <s v="HUAWEI TELECOMMUNICATIONS INDIA PRIVATE LIMITED &quot;Marthalli,bangalore&quot;   BANGALORE KAR 560037"/>
    <s v="PUTTAPARTHI"/>
    <x v="1"/>
    <x v="12"/>
    <s v="POORNIMA"/>
    <n v="802824019"/>
    <s v="Nihan@2421"/>
    <m/>
    <m/>
    <x v="0"/>
    <s v="SKIP"/>
    <s v="Customer not ready to pay_x000a_Customer financial problem _x000a_Proceed to legal"/>
    <x v="11"/>
    <d v="2026-05-23T00:00:00"/>
    <n v="2100"/>
    <s v="ICICI Bank Coral RuPay Credit Card"/>
    <s v="29TH JUNE"/>
    <s v="0000000095609154"/>
    <d v="2026-06-26T00:00:00"/>
  </r>
  <r>
    <s v="4748469582784001"/>
    <s v="MR PANDI SAIDULU"/>
    <n v="0"/>
    <x v="0"/>
    <m/>
    <m/>
    <m/>
    <s v="N"/>
    <x v="4"/>
    <s v="9000236061"/>
    <s v="X"/>
    <n v="22480.039999999979"/>
    <n v="259000"/>
    <n v="281480.03999999998"/>
    <s v=""/>
    <n v="281480.03999999998"/>
    <n v="251935.49"/>
    <n v="83920"/>
    <n v="23180"/>
    <x v="1"/>
    <x v="2"/>
    <n v="24249.62"/>
    <n v="-1069.619999999999"/>
    <x v="15"/>
    <s v="TC"/>
    <s v="12111-ICICI BANK COLLECTION PAYMENT"/>
    <s v="HARI"/>
    <x v="4"/>
    <x v="3"/>
    <s v="&quot;PARSAI PALLE JAJIREDDY,GUDEM,MANDALAM,,P&quot; ARSAI PALLE  .. NALGONDA TNG 508279"/>
    <s v="SPACE KONSTRYST PRIVATE LIMITE &quot;NO,2-4-118/44A, SOUTH SWAROOP NAGAR&quot;&quot;UPPAL,&quot; &quot;UPPAL,&quot; HYDERABAD TNG 500039"/>
    <s v="NALGONDA"/>
    <x v="0"/>
    <x v="17"/>
    <s v="PAVAN"/>
    <n v="802823180"/>
    <s v="Sgr@9290"/>
    <m/>
    <m/>
    <x v="0"/>
    <s v="LIVE"/>
    <s v="Customer village adress visit and Customer and Family prasent living Hyderabd Boduppal and Customer call Answer ptp on Tommorow"/>
    <x v="13"/>
    <d v="2025-10-25T00:00:00"/>
    <n v="40740.32"/>
    <s v="ICICI Bank Coral RuPay Credit Card"/>
    <s v="1ST JULY"/>
    <s v="0000000027056853"/>
    <d v="2026-06-26T00:00:00"/>
  </r>
  <r>
    <s v="4375515450769001"/>
    <s v="MR AMARENDRA KUMAR K"/>
    <n v="0"/>
    <x v="0"/>
    <m/>
    <m/>
    <m/>
    <s v="N"/>
    <x v="4"/>
    <s v="7331153275"/>
    <s v="X"/>
    <n v="26072.890000000014"/>
    <n v="250000"/>
    <n v="276072.89"/>
    <s v=""/>
    <n v="276072.89"/>
    <n v="246439.36"/>
    <n v="77830"/>
    <n v="40850"/>
    <x v="0"/>
    <x v="0"/>
    <n v="0"/>
    <n v="40850"/>
    <x v="0"/>
    <s v="NA"/>
    <n v="0"/>
    <s v="HARI"/>
    <x v="5"/>
    <x v="3"/>
    <s v="&quot;514,5th floor,satyacomforts apartments&quot; &quot;9thline ,dwarakanagar&quot; guntur guntur GUNTUR ANP 522034"/>
    <s v="RELIANCE JIO INFOCOMM LTD H NO 8-6-49 TO 51 GOLLAM MUDIVARI STREET SAT TENAPALLI GUNTUR SAT TENAPALLI GUNTUR NARASAPURAM ANP 522403"/>
    <s v="NARASARAOPET"/>
    <x v="5"/>
    <x v="11"/>
    <s v="INAMUL"/>
    <n v="802823175"/>
    <s v="Sgr@9290"/>
    <m/>
    <m/>
    <x v="0"/>
    <s v="LIVE"/>
    <s v="VISITED CUSTOMER GIVEN HOUSE ADDRESS CUSTOMER PRESENT NOT AVAILABLE AT HOME RESPONDED TO PHONE CALL ASKING SETTLEMENT DUE TO JOB LOSS CUSTOMER RAISED MAIL FOR CUSTOMER CARE // VISITED CUSTOMER GIVEN HOUSE ADDRESS CUSTOMER  NOT AVAILABLE AT HOME  LIVING AT TADAPALLIGUDEM RESPONDED TO PHONE CALL ASKING SETTLEMENT DUE TO JOB LOSS CUSTOMER RAISED MAIL FOR CUSTOMER CARE RTP RESPONSE FROM CUSTOMER"/>
    <x v="14"/>
    <d v="2024-12-29T00:00:00"/>
    <n v="68720"/>
    <s v="ICICI Bank Coral RuPay Credit Card"/>
    <s v="29TH JUNE"/>
    <s v="0000000155313171"/>
    <d v="2026-06-26T00:00:00"/>
  </r>
  <r>
    <s v="4375518892264003"/>
    <s v="Mr Anjaneyulu Surubula"/>
    <n v="0"/>
    <x v="0"/>
    <m/>
    <m/>
    <m/>
    <s v="N"/>
    <x v="4"/>
    <s v="9949784199"/>
    <s v="X"/>
    <n v="23050.710000000021"/>
    <n v="250000"/>
    <n v="273050.71000000002"/>
    <s v=""/>
    <n v="273050.71000000002"/>
    <n v="248979"/>
    <n v="70250"/>
    <n v="12450"/>
    <x v="0"/>
    <x v="0"/>
    <n v="0"/>
    <n v="12450"/>
    <x v="0"/>
    <s v="NA"/>
    <s v="12111-ICICI BANK COLLECTION PAYMENT"/>
    <s v="HARI"/>
    <x v="5"/>
    <x v="3"/>
    <s v="&quot;1-146, 1-1 TO 1-415 NALLAGARLAPADU (V) RAMPICHERLA (MANDAL)&quot;    GUNTUR ANP 522315"/>
    <s v="R.S. BROTHERS RETAIL INDIA PVT LTD RompicherlaRompicherla Rompicherla NARASARAOPET ANP 522315"/>
    <s v="GUNTUR"/>
    <x v="5"/>
    <x v="10"/>
    <s v="INAMUL"/>
    <n v="802823175"/>
    <s v="Sgr@9290"/>
    <m/>
    <m/>
    <x v="0"/>
    <s v="SKIP"/>
    <s v="CUSTOMER NAME : SURUB7LA ANJINEYULU _x000a_CUSTOMER NOT LIVING IN GIVING ADDRESS CUSTOMER SHIFTED BY NARSARAVUPETA PEYMENT IN NYBYARS"/>
    <x v="13"/>
    <d v="2026-03-26T00:00:00"/>
    <n v="10"/>
    <s v="ICICI Bank Coral Credit Card"/>
    <s v="1ST JULY"/>
    <s v="0000000012651106"/>
    <d v="2026-06-26T00:00:00"/>
  </r>
  <r>
    <s v="4375519628862003"/>
    <s v="Mr BASHA Mabu A"/>
    <n v="0"/>
    <x v="0"/>
    <m/>
    <m/>
    <m/>
    <s v="N"/>
    <x v="4"/>
    <s v="9985074756"/>
    <s v="X"/>
    <n v="-128718.65000000002"/>
    <n v="400000"/>
    <n v="271281.34999999998"/>
    <s v=""/>
    <n v="271281.34999999998"/>
    <n v="232954.99"/>
    <n v="52170"/>
    <n v="22170"/>
    <x v="1"/>
    <x v="2"/>
    <n v="22170"/>
    <n v="0"/>
    <x v="16"/>
    <s v="TC"/>
    <s v="30501-BBPS Payment received"/>
    <s v="HARI"/>
    <x v="6"/>
    <x v="3"/>
    <s v="H NO 4-119 OBULAMPALLY VI ALLAGADDA MD KURNOOL DT    NANDYAL ANP 518543"/>
    <s v="HDFC BANK LIMITED Hdfc Bank LtdJyothi Nagar Pillar No 87 Mehdipatnam Jyothi Nagar Pillar No 87 Mehdipatnam Hyderabad TNG 500008"/>
    <s v="NANDYAL"/>
    <x v="1"/>
    <x v="7"/>
    <s v="HARI"/>
    <n v="802388289"/>
    <s v="Ssd@9290"/>
    <m/>
    <m/>
    <x v="0"/>
    <s v="DL"/>
    <s v="Customer house address visit customer house door lock neighbours told customer shifted to Hyderabad customer mobile not responding"/>
    <x v="12"/>
    <d v="2026-02-27T00:00:00"/>
    <n v="19720"/>
    <s v="ICICI Bank Coral Credit Card"/>
    <s v="1ST JULY"/>
    <s v="0000000014415778"/>
    <d v="2026-06-26T00:00:00"/>
  </r>
  <r>
    <s v="4375518299675017"/>
    <s v="MR BOJJANAPALLI SIVAKUMAR"/>
    <n v="0"/>
    <x v="0"/>
    <m/>
    <m/>
    <m/>
    <s v="N"/>
    <x v="4"/>
    <s v="9603131032"/>
    <s v="X"/>
    <n v="29525.600000000006"/>
    <n v="120000"/>
    <n v="149525.6"/>
    <n v="113475.52"/>
    <n v="36050.080000000002"/>
    <n v="29532.87"/>
    <n v="36050.080000000002"/>
    <n v="16543.740000000002"/>
    <x v="1"/>
    <x v="1"/>
    <n v="36050.080000000002"/>
    <n v="-19506.34"/>
    <x v="12"/>
    <s v="TC"/>
    <s v="12111-ICICI BANK COLLECTION PAYMENT"/>
    <s v="HARI"/>
    <x v="7"/>
    <x v="3"/>
    <s v="&quot;1-205-J-23B INDO FACTRY,BACK SIDE,MARKAPURAM,&quot; MARKAPUR PRAKASAM - PRAKASAM ANP 523316"/>
    <s v="KALPATARU POWER TRANSMISSION LTD JUNCTION POINT ED TPJ DG SAKARUR JUNCTION KARUR JUNCTION KARUR TMN 639001"/>
    <s v="NANDYAL"/>
    <x v="5"/>
    <x v="37"/>
    <s v="DURGA"/>
    <n v="801723195"/>
    <s v="Sgr@9290"/>
    <m/>
    <m/>
    <x v="0"/>
    <m/>
    <m/>
    <x v="1"/>
    <d v="2026-04-24T00:00:00"/>
    <n v="10235.98"/>
    <s v="ICICI Bank Platinum Chip Credit Card"/>
    <s v="1ST JULY"/>
    <s v="0000000013958626"/>
    <d v="2026-06-26T00:00:00"/>
  </r>
  <r>
    <s v="4375515326022007"/>
    <s v="MR. AMZAD AHAIK"/>
    <n v="0"/>
    <x v="0"/>
    <m/>
    <m/>
    <m/>
    <s v="N"/>
    <x v="4"/>
    <s v="9908639319"/>
    <s v="X"/>
    <n v="-100909.4"/>
    <n v="240000"/>
    <n v="139090.6"/>
    <s v=""/>
    <n v="139090.6"/>
    <n v="126211.05"/>
    <n v="21040"/>
    <n v="7380"/>
    <x v="0"/>
    <x v="0"/>
    <n v="0"/>
    <n v="7380"/>
    <x v="0"/>
    <s v="NA"/>
    <n v="0"/>
    <s v="HARI"/>
    <x v="7"/>
    <x v="3"/>
    <s v="20 1 472 5H C 1ST FLOOR FLR MARUTHI NAGAR KORLAGUNTA X TIRUPATHI ANP 517501"/>
    <s v="ABS ASSOCIATES 20 1 472 5H C  MARUTHI NAGAR KORLAGUNT TIRUPATI KORLAGUNT TIRUPATI TIRUPATHI ANP 517501"/>
    <s v="TIRUPATHI"/>
    <x v="1"/>
    <x v="25"/>
    <s v="POORNIMA"/>
    <n v="802824019"/>
    <s v="Nihan@2421"/>
    <m/>
    <m/>
    <x v="0"/>
    <s v="DL"/>
    <s v="customer house door locked , office address visited cs not available mes cal back tomarrow //  customer giving office  hours address    closed customer phone calls not respond"/>
    <x v="14"/>
    <d v="2025-11-27T00:00:00"/>
    <n v="12920"/>
    <s v="ICICI Bank Coral Credit Card"/>
    <s v="29TH JUNE"/>
    <s v="0000000101664931"/>
    <d v="2026-06-26T00:00:00"/>
  </r>
  <r>
    <s v="5241934124033000"/>
    <s v="MR RAMACHANDRUNI VSRK SUDARSHAN"/>
    <n v="0"/>
    <x v="0"/>
    <m/>
    <m/>
    <m/>
    <s v="N"/>
    <x v="4"/>
    <s v="9000970074"/>
    <s v="X"/>
    <n v="11878.649999999994"/>
    <n v="120000"/>
    <n v="131878.65"/>
    <s v=""/>
    <n v="131878.65"/>
    <n v="118047.73"/>
    <n v="32570"/>
    <n v="13230"/>
    <x v="0"/>
    <x v="0"/>
    <n v="0"/>
    <n v="13230"/>
    <x v="0"/>
    <s v="NA"/>
    <n v="0"/>
    <s v="HARI"/>
    <x v="8"/>
    <x v="3"/>
    <s v="wb-3-225T nagar T nagarward-24 T nagar Guntur GTR ANP 522101"/>
    <s v="11 Vidyanagar 3rd line up stair of tvs show roomGUNTUR GUNTUR GTR ANP 522007"/>
    <s v="GUNTUR"/>
    <x v="5"/>
    <x v="10"/>
    <s v="INAMUL"/>
    <n v="802823175"/>
    <s v="Sgr@9290"/>
    <m/>
    <m/>
    <x v="0"/>
    <s v="LIVE"/>
    <s v="CUSTOMER PAYMENT IN TOMMOROW EVINING SIR PHONE PTP"/>
    <x v="12"/>
    <d v="2026-01-26T00:00:00"/>
    <n v="521.5"/>
    <s v="ICICI Bank MasterCard Coral Credit Card"/>
    <s v="1ST JULY"/>
    <s v="0000000012417430"/>
    <d v="2026-06-26T00:00:00"/>
  </r>
  <r>
    <s v="4375515668118009"/>
    <s v="MR BRAHMAROUTHU RAJENDRA PRASAD"/>
    <n v="0"/>
    <x v="0"/>
    <m/>
    <m/>
    <m/>
    <s v="N"/>
    <x v="4"/>
    <s v="9032764936"/>
    <s v="X"/>
    <n v="-12406.289999999994"/>
    <n v="115000"/>
    <n v="102593.71"/>
    <n v="7750.41"/>
    <n v="94843.3"/>
    <n v="85208.85"/>
    <n v="27170"/>
    <n v="9040"/>
    <x v="1"/>
    <x v="2"/>
    <n v="9040"/>
    <n v="0"/>
    <x v="15"/>
    <s v="FE"/>
    <s v="12124 - UPI Payment Received"/>
    <s v="HARI"/>
    <x v="8"/>
    <x v="3"/>
    <s v="7 3 BHAGYA NAGAR 67 1 FLR NEAR E SEVA NIRMAL  Adilabad TNG 504106"/>
    <s v="YOGI NI FASHIONS SHOP NO 5 BJP OFFICE ROAD KUKATPALLY BJP OFFICE ROAD KUKATPALLY Hyderabad TNG 500072"/>
    <s v="ADILABAD"/>
    <x v="0"/>
    <x v="3"/>
    <s v="KANTH"/>
    <n v="802794852"/>
    <s v="Ssd@9290"/>
    <m/>
    <m/>
    <x v="0"/>
    <s v="MESS"/>
    <s v="Customer visit home address meet her wife rachana customer not available talk to customer phone customer mother admit hospital due health problem customer also health problem job loss ask the some time"/>
    <x v="0"/>
    <d v="2024-12-13T00:00:00"/>
    <n v="1000"/>
    <s v="ICICI Bank Coral Credit Card"/>
    <s v="29TH JUNE"/>
    <s v="0000000109178340"/>
    <d v="2026-06-26T00:00:00"/>
  </r>
  <r>
    <s v="4375512066285001"/>
    <s v="MR GORREMUTCHU KUMAR"/>
    <n v="0"/>
    <x v="0"/>
    <m/>
    <m/>
    <m/>
    <s v="N"/>
    <x v="4"/>
    <s v="9030588036"/>
    <s v="X"/>
    <n v="12083.36"/>
    <n v="90000"/>
    <n v="102083.36"/>
    <n v="27057.5"/>
    <n v="75025.86"/>
    <n v="60782.3"/>
    <n v="25320"/>
    <n v="12100"/>
    <x v="0"/>
    <x v="0"/>
    <n v="0"/>
    <n v="12100"/>
    <x v="0"/>
    <s v="NA"/>
    <n v="0"/>
    <s v="HARI"/>
    <x v="9"/>
    <x v="3"/>
    <s v="&quot;10-4-165/3 SINIK PURI,COLONY,SUB STATION SB,&quot; &quot;STATION,RAMANJUNEYA COLONY MANDAL KOTH&quot;   BHADRADRI KOTHAGUDEM TNG 507101"/>
    <s v="&quot;10-4-165/3 SINIK PURI,COLONY,SUB STATION SB,&quot; &quot;STATION,RAMANJUNEYA COLONY MANDAL KOTH&quot;  BHADRADRI KOTHAGUDEM TNG 507101"/>
    <s v="KHAMMAM"/>
    <x v="0"/>
    <x v="27"/>
    <s v="POORNIMA"/>
    <n v="802824019"/>
    <s v="Nihan@2421"/>
    <m/>
    <m/>
    <x v="0"/>
    <s v="SKIP"/>
    <s v=" customer shifted this address 1 year ago told by owners // Feedback visited customer 2nd address customer live he argued with me he's said not paid amount"/>
    <x v="15"/>
    <d v="2025-09-29T00:00:00"/>
    <n v="1961.4"/>
    <s v="ICICI Bank Secured Coral Credit Card"/>
    <s v="1ST JULY"/>
    <s v="0000000029878278"/>
    <d v="2026-06-26T00:00:00"/>
  </r>
  <r>
    <s v="4375515390780001"/>
    <s v="Mr Ellendula Bhanuprasad"/>
    <n v="0"/>
    <x v="0"/>
    <m/>
    <m/>
    <m/>
    <s v="N"/>
    <x v="4"/>
    <s v="8885314303"/>
    <s v="X"/>
    <n v="9630.61"/>
    <n v="90000"/>
    <n v="99630.61"/>
    <s v=""/>
    <n v="99630.61"/>
    <n v="89920.58"/>
    <n v="24420"/>
    <n v="8960"/>
    <x v="1"/>
    <x v="2"/>
    <n v="9000"/>
    <n v="-40"/>
    <x v="15"/>
    <s v="FE"/>
    <s v="30501-BBPS Payment received"/>
    <s v="HARI"/>
    <x v="6"/>
    <x v="3"/>
    <s v="&quot;3-44,Ground,&quot; &quot;,Near vepachettu&quot; Chinnakodur &quot;Near vepachettu , machapur&quot; SIDDIPET TNG 502276"/>
    <s v="COGNIZANT TECHNOLOGY SERVICES PRIVATE LIMITED Mindspace Buliding No 12 A   Hyderabad TNG 500081"/>
    <s v="MEDAK"/>
    <x v="0"/>
    <x v="30"/>
    <s v="RAJKUMAR"/>
    <n v="802835406"/>
    <s v="Ssde@9290"/>
    <m/>
    <m/>
    <x v="0"/>
    <s v="MESS"/>
    <s v="Customer house address visited sir his not available phone call not responding inform to his family members given commitment on 5 th"/>
    <x v="6"/>
    <d v="2024-07-26T00:00:00"/>
    <n v="8000"/>
    <s v="ICICI Bank Coral Credit Card"/>
    <s v="29TH JUNE"/>
    <s v="0000000119191650"/>
    <d v="2026-06-26T00:00:00"/>
  </r>
  <r>
    <s v="4375519000655017"/>
    <s v="MR BASHEERBAD ABHILASH"/>
    <n v="0"/>
    <x v="0"/>
    <m/>
    <m/>
    <m/>
    <s v="N"/>
    <x v="4"/>
    <s v="9966880101"/>
    <s v="X"/>
    <n v="-4672.8099999999977"/>
    <n v="100000"/>
    <n v="95327.19"/>
    <s v=""/>
    <n v="95327.19"/>
    <n v="81735.41"/>
    <n v="18780"/>
    <n v="7680"/>
    <x v="1"/>
    <x v="1"/>
    <n v="20398"/>
    <n v="-12718"/>
    <x v="0"/>
    <s v="D"/>
    <s v="12111-ICICI BANK COLLECTION PAYMENT"/>
    <s v="HARI"/>
    <x v="9"/>
    <x v="3"/>
    <s v="H NO 1-4-49 VEMULAWADA MANDAL VASAVI NAGAR N R SHIVARAMKRISHNA THEATER Karimnagar TNG 505302"/>
    <s v="SRR MENS WEAR VEMULAWADA MANDAL KARIMNAGAR VEMULAWADA MANDAL KARIM NAGAR VEMULAWADA MANDAL KARIM NAGAR Karimnagar TNG 505302"/>
    <s v="KARIMNAGAR"/>
    <x v="0"/>
    <x v="38"/>
    <s v="PRASHANTH"/>
    <n v="802551967"/>
    <s v="Ssde@9290"/>
    <m/>
    <m/>
    <x v="0"/>
    <m/>
    <m/>
    <x v="1"/>
    <d v="2026-05-02T00:00:00"/>
    <n v="10000"/>
    <s v="ICICI Bank Coral Credit Card"/>
    <s v="29TH JUNE"/>
    <s v="0000000161230935"/>
    <d v="2026-06-26T00:00:00"/>
  </r>
  <r>
    <s v="4375512076539009"/>
    <s v="MR MODUGU MALLAIAH"/>
    <n v="0"/>
    <x v="0"/>
    <m/>
    <m/>
    <m/>
    <s v="N"/>
    <x v="4"/>
    <s v="9993869999"/>
    <s v="X"/>
    <n v="-14362.100000000006"/>
    <n v="108000"/>
    <n v="93637.9"/>
    <s v=""/>
    <n v="93637.9"/>
    <n v="82882.19"/>
    <n v="15940"/>
    <n v="6420"/>
    <x v="0"/>
    <x v="0"/>
    <n v="0"/>
    <n v="6420"/>
    <x v="0"/>
    <s v="NA"/>
    <n v="0"/>
    <s v="HARI"/>
    <x v="9"/>
    <x v="3"/>
    <s v="&quot;HOUSE,NUMBER 11-11-343/98,JAGAJEEVAN RAM,&quot; &quot;COLONY NEAR,RAMANA GUTTA KHAMMAM URBAN KHA&quot;   KHAMMAM TNG 507003"/>
    <s v="&quot;HOUSE,NUMBER 11-11-343/98,JAGAJEEVAN RAM,&quot; &quot;COLONY NEAR,RAMANA GUTTA KHAMMAM URBAN KHA&quot;   KHAMMAM TNG 507003"/>
    <s v="KHAMMAM"/>
    <x v="0"/>
    <x v="2"/>
    <s v="CHAITANYA"/>
    <n v="802555024"/>
    <s v="Ssde@9290"/>
    <m/>
    <m/>
    <x v="0"/>
    <s v="LIVE"/>
    <s v="I have Visited customer given Street address can't find customer house customer call answered given ptp by Tommorow"/>
    <x v="9"/>
    <d v="2026-04-04T00:00:00"/>
    <n v="6480"/>
    <s v="ICICI Bank Secured Coral Credit Card"/>
    <s v="29TH JUNE"/>
    <s v="0000000204206310"/>
    <d v="2026-06-26T00:00:00"/>
  </r>
  <r>
    <s v="4375519436147019"/>
    <s v="Mr SUMAN E Kumar"/>
    <n v="0"/>
    <x v="0"/>
    <m/>
    <m/>
    <m/>
    <s v="N"/>
    <x v="4"/>
    <s v="9959523345"/>
    <s v="X"/>
    <n v="-6691.1499999999942"/>
    <n v="100000"/>
    <n v="93308.85"/>
    <s v=""/>
    <n v="93308.85"/>
    <n v="79421.27"/>
    <n v="22100"/>
    <n v="10810"/>
    <x v="1"/>
    <x v="2"/>
    <n v="11000"/>
    <n v="-190"/>
    <x v="0"/>
    <s v="D"/>
    <s v="30501-BBPS Payment received"/>
    <s v="HARI"/>
    <x v="9"/>
    <x v="3"/>
    <s v="&quot;#-7-31/1 MANAKONDUR-VI, MANAKONDUR MA KARIMNAGAR&quot;    Karimnagar TNG 505469"/>
    <s v="RELIANCE LIFE INSURANCE CO LTD- ADVISORS Ambedkar RoadKarimnagar Karimnagar Karimnagar TNG 505001"/>
    <s v="KARIMNAGAR"/>
    <x v="0"/>
    <x v="8"/>
    <s v="SUMANTH"/>
    <n v="802370852"/>
    <s v="Sgr@9290"/>
    <m/>
    <m/>
    <x v="0"/>
    <s v="SKIP"/>
    <s v="Customer live in address but customer staying in another address family issues and not responding family members calls"/>
    <x v="13"/>
    <d v="2025-06-26T00:00:00"/>
    <n v="7100"/>
    <s v="ICICI Bank Coral Credit Card"/>
    <s v="1ST JULY"/>
    <s v="0000000013682096"/>
    <d v="2026-06-26T00:00:00"/>
  </r>
  <r>
    <s v="4375514093849007"/>
    <s v="MR. AMMATI PRABHAKAR"/>
    <n v="0"/>
    <x v="0"/>
    <m/>
    <m/>
    <m/>
    <s v="N"/>
    <x v="4"/>
    <s v="9603575883"/>
    <s v="X"/>
    <n v="-38426.86"/>
    <n v="125000"/>
    <n v="86573.14"/>
    <s v=""/>
    <n v="86573.14"/>
    <n v="72480.58"/>
    <n v="18630"/>
    <n v="7660"/>
    <x v="1"/>
    <x v="2"/>
    <n v="9640.2000000000007"/>
    <n v="-1980.2000000000007"/>
    <x v="11"/>
    <s v="TC"/>
    <s v="12111-ICICI BANK COLLECTION PAYMENT"/>
    <s v="HARI"/>
    <x v="8"/>
    <x v="3"/>
    <s v="53 4 5 45 INDIRA NAGAR MOGALDAJUPURAM GUNTUR BAPANAIH NAGAR BACK SIDE MASIDHU STREET VIJAYAWADA ANP 520008"/>
    <s v="BADHETECH SOLUTIONS PRIVATE LIMITED FLAT NO 19 2ND LINE LIC COLONYADHERA PRADESH ADHERA PRADESH VIJAYAWADA ANP 520008"/>
    <s v="VIJAYAWADA"/>
    <x v="3"/>
    <x v="5"/>
    <s v="SUDHAKAR"/>
    <n v="802913252"/>
    <s v="Ssd@9290"/>
    <m/>
    <m/>
    <x v="0"/>
    <m/>
    <m/>
    <x v="1"/>
    <d v="2026-05-05T00:00:00"/>
    <n v="6090"/>
    <s v="ICICI Bank Coral Credit Card"/>
    <s v="1ST JULY"/>
    <s v="0000000010494926"/>
    <d v="2026-06-26T00:00:00"/>
  </r>
  <r>
    <s v="4375518928046010"/>
    <s v="Ms Shilpa Nandru"/>
    <n v="0"/>
    <x v="0"/>
    <m/>
    <m/>
    <m/>
    <s v="O"/>
    <x v="4"/>
    <s v="9849722052"/>
    <s v="X"/>
    <n v="-182.83999999999651"/>
    <n v="80000"/>
    <n v="79817.16"/>
    <s v=""/>
    <n v="79817.16"/>
    <n v="72658.149999999994"/>
    <n v="17980"/>
    <n v="10570"/>
    <x v="1"/>
    <x v="1"/>
    <n v="18000"/>
    <n v="-7430"/>
    <x v="16"/>
    <s v="FE"/>
    <s v="30501-BBPS Payment received"/>
    <s v="HARI"/>
    <x v="6"/>
    <x v="3"/>
    <s v="&quot;8-4-,VENUGOPAL NAGAR,81 FLR, KHANAPURAM HAWELI,KHAMMAM&quot;    Khammam TNG 507002"/>
    <s v="Govt hospital Wyra Road Zp Center Zp Center Khammam TNG 507001"/>
    <s v="KHAMMAM"/>
    <x v="0"/>
    <x v="2"/>
    <s v="CHAITANYA"/>
    <n v="802555024"/>
    <s v="Ssde@9290"/>
    <m/>
    <m/>
    <x v="0"/>
    <s v="SKIP"/>
    <s v="I have Visited customer Work address Customer not available Customer call not answering // ReVisited customer Work address Customer is in live given ptp by Tommorow Eod //  customer Work address Customer not available Customer is in leave call not answering // ReVisited customer Work address Customer not available Called to Customer husband Saying that till not yet received funds will try to pay by 4pm"/>
    <x v="15"/>
    <d v="2025-10-24T00:00:00"/>
    <n v="14290"/>
    <s v="ICICI Bank Coral Credit Card"/>
    <s v="29TH JUNE"/>
    <s v="0000000147694884"/>
    <d v="2026-06-26T00:00:00"/>
  </r>
  <r>
    <s v="4375515670783006"/>
    <s v="MR MUNI BABU KATURI"/>
    <n v="0"/>
    <x v="0"/>
    <m/>
    <m/>
    <m/>
    <s v="N"/>
    <x v="4"/>
    <s v="9010174398"/>
    <s v="X"/>
    <n v="-1180.9700000000012"/>
    <n v="80000"/>
    <n v="78819.03"/>
    <n v="55688.9"/>
    <n v="23130.13"/>
    <n v="18015.189999999999"/>
    <n v="23130.13"/>
    <n v="11108.78"/>
    <x v="0"/>
    <x v="0"/>
    <n v="0"/>
    <n v="11108.78"/>
    <x v="0"/>
    <s v="NA"/>
    <n v="0"/>
    <s v="HARI"/>
    <x v="8"/>
    <x v="3"/>
    <s v="FLAT NO 504 RS NO 722/A MAHESWARI HEIGHT GONADALA ROAD NUNNA  MUNNA NEAR ELECTRICAL POWER GRID NUNNA VIJAYAWADA ANP 521212"/>
    <s v="SUPREME FACILITY MANGEMENT RAILWAY STATION PLAT FORM NO 06 AND 07 CALL TAX ROAD OPP DRM OFFICE CALL TAX ROAD OPP DRM OFFICE VIJAYAWADA ANP 520001"/>
    <s v="VIJAYAWADA"/>
    <x v="3"/>
    <x v="5"/>
    <s v="SUDHAKAR"/>
    <n v="802913252"/>
    <s v="Ssd@9290"/>
    <m/>
    <m/>
    <x v="0"/>
    <s v="SKIP"/>
    <s v="Customer given address visit customer shifted mother live mother not responding"/>
    <x v="0"/>
    <d v="2024-07-06T00:00:00"/>
    <n v="4215.6899999999996"/>
    <s v="ICICI Rubyx PLT Credit Card (AMEX)"/>
    <s v="29TH JUNE"/>
    <s v="0000000146454396"/>
    <d v="2026-06-26T00:00:00"/>
  </r>
  <r>
    <s v="4375519665046007"/>
    <s v="MR GUNTOJU BALARAJU"/>
    <n v="0"/>
    <x v="0"/>
    <m/>
    <m/>
    <m/>
    <s v="N"/>
    <x v="4"/>
    <s v="9701415553"/>
    <s v="X"/>
    <n v="7769.2700000000041"/>
    <n v="70000"/>
    <n v="77769.27"/>
    <s v=""/>
    <n v="77769.27"/>
    <n v="69834.42"/>
    <n v="19600"/>
    <n v="6920"/>
    <x v="0"/>
    <x v="0"/>
    <n v="0"/>
    <n v="6920"/>
    <x v="0"/>
    <s v="NA"/>
    <n v="0"/>
    <s v="HARI"/>
    <x v="7"/>
    <x v="3"/>
    <s v="H NO 4-72 CHITYALA MANDAL  CHURCH SANTHOSH NAGAR NALGONDA TNG 508114"/>
    <s v="GOVERNMENT OF TELANGANA GROUND FLOOR MANDAL AGRICULTURE OFFICE KETHUPALLY AGRICULTURE OFFICE KETHUPALLY SURYAPET TNG 508211"/>
    <s v="NALGONDA"/>
    <x v="0"/>
    <x v="17"/>
    <s v="PAVAN"/>
    <n v="802823180"/>
    <s v="Sgr@9290"/>
    <m/>
    <m/>
    <x v="0"/>
    <s v="LIVE"/>
    <s v="Customer Adress visit and Customer Rented Adress in few months back and customer village Urumadla and Customer sufferd Financial issue and Customer death in Last  month is Susi"/>
    <x v="13"/>
    <d v="2026-04-28T00:00:00"/>
    <n v="7070"/>
    <s v="ICICI Bank Coral Credit Card"/>
    <s v="29TH JUNE"/>
    <s v="0000000148762508"/>
    <d v="2026-06-26T00:00:00"/>
  </r>
  <r>
    <s v="4375519125826006"/>
    <s v="MR KATA BATHINA RAMAIAH"/>
    <n v="0"/>
    <x v="0"/>
    <m/>
    <s v="CC"/>
    <e v="#N/A"/>
    <s v="N"/>
    <x v="4"/>
    <s v="9014602830"/>
    <s v="X"/>
    <n v="5994.9100000000035"/>
    <n v="62000"/>
    <n v="67994.91"/>
    <s v=""/>
    <n v="67994.91"/>
    <n v="59324.61"/>
    <n v="17920"/>
    <n v="6640"/>
    <x v="1"/>
    <x v="1"/>
    <n v="17920"/>
    <n v="-11280"/>
    <x v="0"/>
    <s v="D"/>
    <s v="12111-ICICI BANK COLLECTION PAYMENT"/>
    <s v="HARI"/>
    <x v="7"/>
    <x v="3"/>
    <s v="&quot;1/137,KONDU MACHUPALLI,MADHAVARAM,MADHAVARAM,&quot; VONTIMITTA CUDDAPAH - CUDDAPAH ANP 516247"/>
    <s v="RANDSTAD INDIA PRIVATE LIMITED SRI VENKATESWARA DISTRIBUTORSSHOP NO 4 D NO 18-169 GFANESHAM ENCCLACE SHOP NO 4 D NO 18-169 GFANESHAM ENCCLACE ANAPARTHI ANP 515001"/>
    <s v="CUDDAPAH"/>
    <x v="1"/>
    <x v="14"/>
    <s v="SIVARAU"/>
    <n v="801601134"/>
    <s v="Ssd@9290"/>
    <m/>
    <m/>
    <x v="0"/>
    <m/>
    <m/>
    <x v="1"/>
    <d v="2026-05-04T00:00:00"/>
    <n v="22880"/>
    <s v="ICICI Bank Rubyx Visa Credit Card"/>
    <s v="1ST JULY"/>
    <s v="0000000013349806"/>
    <d v="2026-06-26T00:00:00"/>
  </r>
  <r>
    <s v="4375518937759009"/>
    <s v="Mr PAVAN Gadde Kumar"/>
    <n v="0"/>
    <x v="0"/>
    <m/>
    <m/>
    <m/>
    <s v="O"/>
    <x v="4"/>
    <s v="9553956668"/>
    <s v="X"/>
    <n v="2498.0999999999985"/>
    <n v="63000"/>
    <n v="65498.1"/>
    <s v=""/>
    <n v="65498.1"/>
    <n v="60363.58"/>
    <n v="17400"/>
    <n v="9440"/>
    <x v="0"/>
    <x v="0"/>
    <n v="0"/>
    <n v="9440"/>
    <x v="0"/>
    <s v="NA"/>
    <s v="30501-BBPS Payment received"/>
    <s v="HARI"/>
    <x v="5"/>
    <x v="3"/>
    <s v="&quot;3,MOGULURU,-121 FLR,MOGULURU,KANCHIKACHARLA, SIVALAYAM&quot;    VIJAYAWADA ANP 521180"/>
    <s v="ENMAS O &amp; M SERVICES PRIVATE LIMITED 3-121 Moguluru Moguluru KANCHIKACHERLA ANP 521180"/>
    <s v="VIJAYAWADA"/>
    <x v="3"/>
    <x v="5"/>
    <s v="SUDHAKAR"/>
    <n v="802913252"/>
    <s v="Ssd@9290"/>
    <m/>
    <m/>
    <x v="1"/>
    <m/>
    <m/>
    <x v="1"/>
    <d v="2024-08-20T00:00:00"/>
    <n v="5340"/>
    <s v="ICICI Bank Expressions Credit Card"/>
    <s v="29TH JUNE"/>
    <s v="0000000153263894"/>
    <d v="2026-06-26T00:00:00"/>
  </r>
  <r>
    <s v="4375513046862000"/>
    <s v="MR MUDAVATH SHANKAR"/>
    <n v="0"/>
    <x v="0"/>
    <m/>
    <m/>
    <m/>
    <s v="N"/>
    <x v="4"/>
    <s v="9959982780"/>
    <s v="X"/>
    <n v="290.9800000000032"/>
    <n v="60000"/>
    <n v="60290.98"/>
    <s v=""/>
    <n v="60290.98"/>
    <n v="53026.81"/>
    <n v="10440"/>
    <n v="4170"/>
    <x v="1"/>
    <x v="1"/>
    <n v="10440"/>
    <n v="-6270"/>
    <x v="11"/>
    <s v="TC"/>
    <s v="12111-ICICI BANK COLLECTION PAYMENT"/>
    <s v="HARI"/>
    <x v="9"/>
    <x v="3"/>
    <s v="&quot;7-9/7,,Laxminarsimha Colony&quot; &quot;,GT Narayana school&quot; Wanaparthy Happy Bakery WANAPARTHY TNG 509103"/>
    <s v="REVENUE COLLECTORATE WANAPARTHYCOLLECTORATE WANAPARTHY COLLECTORATE WANAPARTHY Mahbubnagar TNG 509103"/>
    <s v="WANAPARTHY"/>
    <x v="0"/>
    <x v="19"/>
    <s v="SAMBA"/>
    <n v="801772794"/>
    <s v="Ssde@9876"/>
    <m/>
    <m/>
    <x v="0"/>
    <m/>
    <m/>
    <x v="1"/>
    <d v="2026-05-04T00:00:00"/>
    <n v="8530"/>
    <s v="ICICI Bank Coral Credit Card"/>
    <s v="1ST JULY"/>
    <s v="0000000012032063"/>
    <d v="2026-06-26T00:00:00"/>
  </r>
  <r>
    <s v="5241930152468019"/>
    <s v="Mr V T Narayana"/>
    <n v="0"/>
    <x v="2"/>
    <m/>
    <s v="CC"/>
    <s v="ALREADY REMOVED CASE"/>
    <s v="N"/>
    <x v="4"/>
    <s v="9849040098"/>
    <s v="X"/>
    <n v="5408.93"/>
    <n v="52000"/>
    <n v="57408.93"/>
    <s v=""/>
    <n v="57408.93"/>
    <n v="52000"/>
    <n v="13490"/>
    <n v="2600"/>
    <x v="0"/>
    <x v="0"/>
    <n v="0"/>
    <n v="2600"/>
    <x v="0"/>
    <s v="NA"/>
    <n v="0"/>
    <s v="HARI"/>
    <x v="6"/>
    <x v="3"/>
    <s v="&quot;MALLIKARJUNAPETA,10-14-29 FLR,AKULAVARI VEEDI&quot;    VIJAYAWADA ANP 520001"/>
    <s v="WATERHEALTH INDIA PVT LTD &quot;Water Hhealth India Pvt Ltd, Shope No. 1 &amp; 2, Plot No. 42,&quot; &quot;Block No.c-2, Abdul Azeez Street, Kanuru, New Auto Nagar,&quot; &quot;Block No.c-2, Abdul Azeez Street, Kanuru, New Auto Nagar,&quot; VIJAYAWADA ANP 520007"/>
    <s v="VIJAYAWADA"/>
    <x v="3"/>
    <x v="5"/>
    <s v="SUDHAKAR"/>
    <n v="802913252"/>
    <s v="Ssd@9290"/>
    <m/>
    <m/>
    <x v="1"/>
    <m/>
    <m/>
    <x v="1"/>
    <d v="2026-05-03T00:00:00"/>
    <n v="799"/>
    <s v="ICICI Rubyx PLT Credit Card (AMEX)"/>
    <s v="29TH JUNE"/>
    <s v="0000000084539810"/>
    <d v="2026-06-26T00:00:00"/>
  </r>
  <r>
    <s v="4375519641160005"/>
    <s v="MR KANAPANENI PRADEEP KUMAR"/>
    <n v="0"/>
    <x v="0"/>
    <m/>
    <m/>
    <m/>
    <s v="N"/>
    <x v="4"/>
    <s v="9966604960"/>
    <s v="X"/>
    <n v="5614.1100000000006"/>
    <n v="50000"/>
    <n v="55614.11"/>
    <n v="3818.49"/>
    <n v="51795.62"/>
    <n v="44696.71"/>
    <n v="14470"/>
    <n v="4980"/>
    <x v="1"/>
    <x v="1"/>
    <n v="51795.62"/>
    <n v="-46815.62"/>
    <x v="15"/>
    <s v="TC"/>
    <s v="30501-BBPS Payment received"/>
    <s v="HARI"/>
    <x v="8"/>
    <x v="3"/>
    <s v="4 9 181 MAIN ROAD PULIVENDULA   NEAR APSPDCL PRODDATUR ANP 516390"/>
    <s v="NEW FAMOUS TRADING COMPANY D N 49 181 UP MAIN ROAD PULIVENDULA PULIVENDULA PRODDATUR ANP 516390"/>
    <s v="PRODDATUR"/>
    <x v="1"/>
    <x v="15"/>
    <s v="VSSK PRASAD"/>
    <n v="802349062"/>
    <s v="Ssd@9290"/>
    <m/>
    <m/>
    <x v="0"/>
    <m/>
    <m/>
    <x v="1"/>
    <d v="2024-07-17T00:00:00"/>
    <n v="27810.3"/>
    <s v="ICICI Bank Coral Credit Card"/>
    <s v="29TH JUNE"/>
    <s v="0000000092346755"/>
    <d v="2026-06-26T00:00:00"/>
  </r>
  <r>
    <s v="4375519032825000"/>
    <s v="Mr CHANDRASEKHAR Potluri Rao"/>
    <n v="0"/>
    <x v="0"/>
    <m/>
    <m/>
    <m/>
    <s v="N"/>
    <x v="4"/>
    <s v="9553320124"/>
    <s v="X"/>
    <n v="4747.5199999999968"/>
    <n v="50000"/>
    <n v="54747.519999999997"/>
    <s v=""/>
    <n v="54747.519999999997"/>
    <n v="48566.400000000001"/>
    <n v="15500"/>
    <n v="3936"/>
    <x v="1"/>
    <x v="1"/>
    <n v="54747.519999999997"/>
    <n v="-50811.519999999997"/>
    <x v="15"/>
    <s v="FE"/>
    <s v="30501-BBPS Payment received"/>
    <s v="HARI"/>
    <x v="8"/>
    <x v="3"/>
    <s v="&quot;1-203-A-185,VIDYANAGAR,MARKAPUR&quot;    NANDYAL ANP 523316"/>
    <s v="ONGC &quot;1-203-a-185,vidhyanagar,markapur&quot;Markapur Markapur NANDYAL ANP 518501"/>
    <s v="NANDYAL"/>
    <x v="5"/>
    <x v="37"/>
    <s v="DURGA"/>
    <n v="801723195"/>
    <s v="Sgr@9290"/>
    <m/>
    <m/>
    <x v="0"/>
    <m/>
    <m/>
    <x v="1"/>
    <d v="2024-11-08T00:00:00"/>
    <n v="45577.88"/>
    <s v="ICICI Bank Coral Credit Card"/>
    <s v="1ST JULY"/>
    <s v="0000000013072416"/>
    <d v="2026-06-26T00:00:00"/>
  </r>
  <r>
    <s v="4375512092546004"/>
    <s v="MR. GUNTHOTI  SASIKANTH"/>
    <n v="0"/>
    <x v="0"/>
    <m/>
    <m/>
    <m/>
    <s v="N"/>
    <x v="4"/>
    <s v="9063553255"/>
    <s v="X"/>
    <n v="6420.0299999999988"/>
    <n v="45900"/>
    <n v="52320.03"/>
    <s v=""/>
    <n v="52320.03"/>
    <n v="44456.5"/>
    <n v="18170"/>
    <n v="9510"/>
    <x v="0"/>
    <x v="0"/>
    <n v="0"/>
    <n v="9510"/>
    <x v="0"/>
    <s v="NA"/>
    <s v="12111-ICICI BANK COLLECTION PAYMENT"/>
    <s v="HARI"/>
    <x v="7"/>
    <x v="3"/>
    <s v="&quot;1-92/2B VIDYANAGAR 6TH,LINE,.,MULAGUNTAPADU, MULAGUNTAPADU&quot;    KANDUKUR ANP 523101"/>
    <s v="&quot;1-92/2B VIDYANAGAR 6TH,LINE,.,MULAGUNTAPADU, MULAGUNTAPADU&quot;   KANDUKUR ANP 523101"/>
    <s v="PRAKASAM"/>
    <x v="6"/>
    <x v="36"/>
    <s v="DURGA"/>
    <n v="801723195"/>
    <s v="Sgr@9290"/>
    <m/>
    <m/>
    <x v="1"/>
    <m/>
    <m/>
    <x v="1"/>
    <d v="2026-05-01T00:00:00"/>
    <n v="2300"/>
    <s v="ICICI Bank Secured Coral Credit Card"/>
    <s v="1ST JULY"/>
    <s v="0000000034595884"/>
    <d v="2026-06-26T00:00:00"/>
  </r>
  <r>
    <s v="4375512080117008"/>
    <s v="MR HASENA SHAIK"/>
    <n v="0"/>
    <x v="0"/>
    <m/>
    <m/>
    <m/>
    <s v="N"/>
    <x v="4"/>
    <s v="8333961356"/>
    <s v="X"/>
    <n v="6098.9000000000015"/>
    <n v="45000"/>
    <n v="51098.9"/>
    <n v="2800.07"/>
    <n v="48298.83"/>
    <n v="42021.55"/>
    <n v="18460"/>
    <n v="7470"/>
    <x v="0"/>
    <x v="0"/>
    <n v="0"/>
    <n v="7470"/>
    <x v="0"/>
    <s v="NA"/>
    <n v="0"/>
    <s v="HARI"/>
    <x v="9"/>
    <x v="3"/>
    <s v="&quot;D.NO: 5-47,MASJEED STR MANDADAM POST&quot; THULLURU MANDAL   GUNTUR ANP 522505"/>
    <s v="&quot;D.NO: 5-47,MASJEED STR MANDADAM POST&quot; THULLURU MANDAL   GUNTUR ANP 522505"/>
    <s v="GUNTUR"/>
    <x v="5"/>
    <x v="11"/>
    <s v="INAMUL"/>
    <n v="802823175"/>
    <s v="Sgr@9290"/>
    <m/>
    <m/>
    <x v="0"/>
    <s v="SKIP"/>
    <s v="Customer working address visited but customer not available removed business two year's back conformed by present living renters customer not responding phone calls going home address // Customer given House address visited but customer not available at address shifted from given address confirmed by neighbour's customer not responding phone calls customer shifted to raipudi // Customer new working address visited customer shifted from this address also conformed by present living worker's"/>
    <x v="14"/>
    <d v="2026-04-27T00:00:00"/>
    <n v="8000"/>
    <s v="ICICI Bank Secured Coral Credit Card"/>
    <s v="29TH JUNE"/>
    <s v="0000000017293746"/>
    <d v="2026-06-26T00:00:00"/>
  </r>
  <r>
    <s v="6528682109309000"/>
    <s v="MR Mohmmad Tajuddin"/>
    <n v="0"/>
    <x v="0"/>
    <m/>
    <m/>
    <m/>
    <s v="N"/>
    <x v="5"/>
    <s v="9441526531"/>
    <s v="X"/>
    <n v="-280809.19"/>
    <n v="500000"/>
    <n v="219190.81"/>
    <n v="153976.72"/>
    <n v="65214.09"/>
    <n v="52265.74"/>
    <n v="65214.09"/>
    <n v="33102.07"/>
    <x v="0"/>
    <x v="0"/>
    <n v="0"/>
    <n v="33102.07"/>
    <x v="0"/>
    <s v="NA"/>
    <n v="0"/>
    <s v="SAMBA"/>
    <x v="0"/>
    <x v="3"/>
    <s v="H NO 7-60 Maddur mandal - Warangal WARANGAL TNG 506367 "/>
    <s v="BUSINESSBUSINESSS MADDUR WARANGAL MANDAL WARANGAL MANDAL WARANGAL TNG 506367"/>
    <s v="WARANGAL"/>
    <x v="0"/>
    <x v="30"/>
    <s v="RAJKUMAR"/>
    <n v="802835406"/>
    <s v="Ssde@9290"/>
    <m/>
    <m/>
    <x v="0"/>
    <s v="DL"/>
    <s v="Customer living residencial address visited sir door locked 🔐 not available went to out side phone call not responding"/>
    <x v="15"/>
    <d v="2025-04-18T00:00:00"/>
    <n v="3425.3"/>
    <s v="ICICI Bank Coral RuPay Credit Card"/>
    <s v="30TH JUNE"/>
    <s v="0000000032553667"/>
    <d v="2026-06-28T00:00:00"/>
  </r>
  <r>
    <s v="6528681385441008"/>
    <s v="MR KOMMU KRISHNA"/>
    <n v="0"/>
    <x v="0"/>
    <m/>
    <m/>
    <m/>
    <s v="N"/>
    <x v="5"/>
    <s v="9849917904"/>
    <s v="X"/>
    <n v="3842.5"/>
    <n v="130000"/>
    <n v="133842.5"/>
    <n v="62619.72"/>
    <n v="71222.78"/>
    <n v="62927.14"/>
    <n v="21600"/>
    <n v="7940"/>
    <x v="0"/>
    <x v="0"/>
    <n v="0"/>
    <n v="7940"/>
    <x v="0"/>
    <s v="NA"/>
    <n v="0"/>
    <s v="SAMBA"/>
    <x v="0"/>
    <x v="3"/>
    <s v="&quot;1-139,CHOUTAPALLY,,PARVATHAGIRI,PARVATHA&quot; GIRI  NEAR BUS STOP WARANGAL TNG 506365 "/>
    <s v="VIRTUSA CONSULTING SERVICES PRIVATE LIMI SY NO 115 NANAKRAMGUDA SERILINGAMPALLY HYDERABAD HYDERABAD HYDERABAD TNG 500032"/>
    <s v="WARANGAL"/>
    <x v="0"/>
    <x v="0"/>
    <s v="AKHIL"/>
    <n v="801772792"/>
    <s v="Sgr@9290"/>
    <m/>
    <m/>
    <x v="0"/>
    <s v="SKIP"/>
    <s v="Neighbours said Prasent cust staying in hyd and cust number switched off"/>
    <x v="13"/>
    <d v="2025-01-24T00:00:00"/>
    <n v="13920"/>
    <s v="ICICI Bank Coral RuPay Credit Card"/>
    <s v="30TH JUNE"/>
    <s v="0000000030487289"/>
    <d v="2026-06-28T00:00:00"/>
  </r>
  <r>
    <s v="4748469346011014"/>
    <s v="MR KOLKONDI VENKATESH"/>
    <n v="0"/>
    <x v="0"/>
    <m/>
    <m/>
    <m/>
    <s v="N"/>
    <x v="6"/>
    <s v="9985880062"/>
    <s v="X"/>
    <n v="25462.400000000023"/>
    <n v="580000"/>
    <n v="605462.4"/>
    <n v="242072.17"/>
    <n v="363390.23"/>
    <n v="331524.26"/>
    <n v="108900"/>
    <n v="43960"/>
    <x v="1"/>
    <x v="1"/>
    <n v="358000"/>
    <n v="-314040"/>
    <x v="17"/>
    <s v="TC"/>
    <s v="12118 - NEFT PAYMENT RECEIVED"/>
    <s v="SAMBA"/>
    <x v="11"/>
    <x v="3"/>
    <s v="&quot;1-6-16/1/A,&quot; PAULSAGUTTA  BEHIND LIC OFFICE MAHBOOBNAGAR TNG 509001"/>
    <s v="TSSPDCL OFFICE OF DIVISIONAL ENG TSSPDCL MATTUGUDDA TSSPDCL MATTUGUDDA MAHBOOBNAGAR TNG 509001"/>
    <s v="MAHBOOBNAGAR"/>
    <x v="0"/>
    <x v="19"/>
    <s v="SAMBA"/>
    <n v="801772794"/>
    <s v="Ssde@9876"/>
    <m/>
    <m/>
    <x v="0"/>
    <m/>
    <m/>
    <x v="1"/>
    <d v="2024-11-29T00:00:00"/>
    <n v="27500"/>
    <s v="ICICI Bank HPCL Super Saver RuPay Credit Card"/>
    <s v="4TH JULY"/>
    <s v="0000000023774668"/>
    <d v="2026-06-29T00:00:00"/>
  </r>
  <r>
    <s v="5241930443695008"/>
    <s v="MR ALURU"/>
    <n v="0"/>
    <x v="0"/>
    <m/>
    <m/>
    <m/>
    <s v="N"/>
    <x v="6"/>
    <s v="9505287297"/>
    <s v="X"/>
    <n v="38847.150000000023"/>
    <n v="500000"/>
    <n v="538847.15"/>
    <n v="92843.69"/>
    <n v="446003.46"/>
    <n v="403823.1"/>
    <n v="121000"/>
    <n v="47279.97"/>
    <x v="1"/>
    <x v="2"/>
    <n v="47280"/>
    <n v="-2.9999999998835847E-2"/>
    <x v="18"/>
    <s v="TC"/>
    <s v="30501-BBPS Payment received"/>
    <s v="SAMBA"/>
    <x v="3"/>
    <x v="3"/>
    <s v="&quot;C-3 ,MOGALPAHAD,NTPC,RAJIV SWAGRU,RAMAGUNDAM,&quot; NEAR IOC PETROLBUNK   KARIMNAGAR TNG 505215"/>
    <s v="Vijayabhaskar Gdk Gdk Gdk KARIM NAGAR TNG 505215"/>
    <s v="PEDDAPALLI"/>
    <x v="0"/>
    <x v="39"/>
    <s v="POORNIMA"/>
    <n v="802824019"/>
    <s v="Nihan@2421"/>
    <m/>
    <m/>
    <x v="0"/>
    <s v="SKIP"/>
    <s v="Customer given address visit address not found trying to alternative // Customer given address visit customer not available not living in address sold house information from neighbors // Customer not at home right now _x000a_Calls not answering // Visited the customer address however the customer called the cops &amp; refused to pay the amount...!"/>
    <x v="16"/>
    <d v="2025-08-23T00:00:00"/>
    <n v="85226.32"/>
    <s v="ICICI Rubyx Master PLT Chip Card"/>
    <s v="4TH JULY"/>
    <s v="0000000019592714"/>
    <d v="2026-06-29T00:00:00"/>
  </r>
  <r>
    <s v="4748469308121009"/>
    <s v="MR MOHAMMAD SHAKEEL"/>
    <n v="0"/>
    <x v="0"/>
    <m/>
    <m/>
    <m/>
    <s v="N"/>
    <x v="6"/>
    <s v="9848511311"/>
    <s v="X"/>
    <n v="35858.270000000019"/>
    <n v="480000"/>
    <n v="515858.27"/>
    <s v=""/>
    <n v="515858.27"/>
    <n v="479999.86"/>
    <n v="136710"/>
    <n v="91910"/>
    <x v="0"/>
    <x v="0"/>
    <n v="0"/>
    <n v="91910"/>
    <x v="0"/>
    <s v="NA"/>
    <s v="30501-BBPS Payment received"/>
    <s v="SAMBA"/>
    <x v="3"/>
    <x v="3"/>
    <s v="&quot;H NO,5-88/25 CHELGAL JAGITYAL,KARIMNAGAR&quot;    KARIMNAGAR TNG 505455"/>
    <s v="Not Applicable &quot;5-88/25,chalgal&quot; &quot;5-88/25, chalgal&quot; &quot;5-88/25, chalgal&quot; KARIM NAGAR TNG 505455"/>
    <s v="KARIMNAGAR"/>
    <x v="0"/>
    <x v="8"/>
    <s v="SUMANTH"/>
    <n v="802370852"/>
    <s v="Sgr@9290"/>
    <m/>
    <m/>
    <x v="0"/>
    <s v="LIVE"/>
    <s v="Customer live in address and customer went to paddy field call answered given ptp on 6th date // Customer live in address and customer went to out waiting customer home only // Visited customer address _x000a_Customer not at home right now because his wife got hospitalized _x000a_Customer phone switched off his mother said he went to hospital I will infrom to him // Visited customer address customer not responding calls"/>
    <x v="17"/>
    <d v="2025-10-29T00:00:00"/>
    <n v="100000"/>
    <s v="ICICI Bank HPCL Super Saver Visa Credit Card"/>
    <s v="29TH JUNE"/>
    <s v="0000000023297878"/>
    <d v="2026-06-29T00:00:00"/>
  </r>
  <r>
    <s v="374740227091005"/>
    <s v="MR N NAIK"/>
    <n v="0"/>
    <x v="0"/>
    <n v="1"/>
    <m/>
    <m/>
    <s v="N"/>
    <x v="6"/>
    <s v="8886876685"/>
    <s v="X"/>
    <n v="-21594.239999999991"/>
    <n v="500000"/>
    <n v="478405.76"/>
    <s v=""/>
    <n v="478405.76"/>
    <n v="435845.16"/>
    <n v="92140"/>
    <n v="29340"/>
    <x v="0"/>
    <x v="0"/>
    <n v="0"/>
    <n v="29340"/>
    <x v="0"/>
    <s v="NA"/>
    <s v="12111-ICICI BANK COLLECTION PAYMENT"/>
    <s v="SAMBA"/>
    <x v="0"/>
    <x v="3"/>
    <s v="&quot;17-144-13-B-2-E-1,JAGAJJANANINAGAR,NANDYAL&quot;    KURNOOL ANP 518501"/>
    <s v="Self employed Shop no 9 Munical complex Munical complex NANDYAL ANP 518501"/>
    <s v="NANDYAL"/>
    <x v="1"/>
    <x v="7"/>
    <s v="HARI"/>
    <n v="802388289"/>
    <s v="Ssd@9290"/>
    <m/>
    <m/>
    <x v="0"/>
    <s v="DL"/>
    <s v="Customer house address visit customer house door lock but customer mobile responding proceed to legal notice"/>
    <x v="11"/>
    <d v="2026-04-29T00:00:00"/>
    <n v="22033.11"/>
    <s v="ICICI Rubyx Master PLT Chip Card"/>
    <s v="29TH JUNE"/>
    <s v="0000000016151022"/>
    <d v="2026-06-29T00:00:00"/>
  </r>
  <r>
    <s v="4748469589462007"/>
    <s v="MR NANGI NARAYANA REDDY"/>
    <n v="0"/>
    <x v="0"/>
    <m/>
    <m/>
    <s v="CUSTOMER SAID PAY ON 6th"/>
    <s v="N"/>
    <x v="6"/>
    <s v="7799442170"/>
    <s v="X"/>
    <n v="69897.87"/>
    <n v="350000"/>
    <n v="419897.87"/>
    <n v="202031.45"/>
    <n v="217866.42"/>
    <n v="202584.95999999999"/>
    <n v="64350"/>
    <n v="36530"/>
    <x v="1"/>
    <x v="1"/>
    <n v="217866.42"/>
    <n v="-181336.42"/>
    <x v="14"/>
    <s v="TC"/>
    <s v="30501-BBPS Payment received"/>
    <s v="SAMBA"/>
    <x v="0"/>
    <x v="3"/>
    <s v="1 YARASANI VARI PALLI YARASANI VARI PALLI  HINDUPUR ANP 515581"/>
    <s v="LUXOFT INDIA LLP &quot;GROUND FLOOR ,GARDENIA 2D BUILDING&quot; EMBASSY TECH VILLAGE EMBASSY TECH VILLAGE BANGALORE KAR 560103"/>
    <s v="HINDUPUR"/>
    <x v="1"/>
    <x v="12"/>
    <s v="POORNIMA"/>
    <n v="802824019"/>
    <s v="Nihan@2421"/>
    <m/>
    <m/>
    <x v="0"/>
    <m/>
    <m/>
    <x v="1"/>
    <d v="2025-10-09T00:00:00"/>
    <n v="54400"/>
    <s v="ICICI Bank HPCL Super Saver Visa Credit Card"/>
    <s v="30TH JUNE"/>
    <s v="0000000027224391"/>
    <d v="2026-06-29T00:00:00"/>
  </r>
  <r>
    <s v="4748469475980005"/>
    <s v="MR NAG SANJEET KUMAR"/>
    <n v="0"/>
    <x v="0"/>
    <m/>
    <m/>
    <m/>
    <s v="N"/>
    <x v="6"/>
    <s v="9010084449"/>
    <s v="X"/>
    <n v="-46282.539999999979"/>
    <n v="460000"/>
    <n v="413717.46"/>
    <s v=""/>
    <n v="413717.46"/>
    <n v="374822.29"/>
    <n v="61530"/>
    <n v="23830"/>
    <x v="1"/>
    <x v="1"/>
    <n v="61550"/>
    <n v="-37720"/>
    <x v="19"/>
    <s v="TC"/>
    <s v="12124 - UPI Payment Received"/>
    <s v="SAMBA"/>
    <x v="2"/>
    <x v="3"/>
    <s v="6-2-48/A JAMMIKUNTA MANDAL GANESH NAGAR JAMMIKUNTA KARIMNAGAR TNG 505122"/>
    <s v="GENPACT INDIA PRIVATE LIMITED 2-103 GACHIBOWLI SAI NAGAR HAFEZ STREET HAFEZ STREET HYDERABAD TNG 500049"/>
    <s v="PEDDAPALLI"/>
    <x v="0"/>
    <x v="22"/>
    <s v="POORNIMA"/>
    <n v="802824019"/>
    <s v="Nihan@2421"/>
    <m/>
    <m/>
    <x v="0"/>
    <m/>
    <m/>
    <x v="1"/>
    <d v="2024-07-10T00:00:00"/>
    <n v="24780"/>
    <s v="ICICI Bank HPCL Super Saver Visa Credit Card"/>
    <s v="29TH JUNE"/>
    <s v="0000000025320678"/>
    <d v="2026-06-29T00:00:00"/>
  </r>
  <r>
    <s v="374740309080009"/>
    <s v="Mr SHEGGARI MADHUSUDHAN GOUD"/>
    <n v="0"/>
    <x v="0"/>
    <m/>
    <s v="CC"/>
    <s v="CUSTOMER MOBILE RINGING NOT RESPONDING/ CUSTOMER PAID AMOUNT"/>
    <s v="N"/>
    <x v="6"/>
    <s v="9848564428"/>
    <s v="X"/>
    <n v="102805.78000000003"/>
    <n v="280000"/>
    <n v="382805.78"/>
    <n v="89576.54"/>
    <n v="293229.24"/>
    <n v="267775.77"/>
    <n v="62980"/>
    <n v="18420"/>
    <x v="1"/>
    <x v="2"/>
    <n v="0"/>
    <n v="18420"/>
    <x v="18"/>
    <s v="TC"/>
    <n v="0"/>
    <s v="SAMBA"/>
    <x v="0"/>
    <x v="3"/>
    <s v="&quot;1-1-4,YADAGIRIBAGH,1/4/C,VINAYAKNAGAR,&quot; NIZAMABAD   NIZAMABAD TNG 503003"/>
    <s v="MADHU SUDAN GOUD &quot;1-1-4 YADHGIRIBAG ,1/4/C VINAYAKANAGAR&quot; NIZAMABAD NIZAMABAD NIZAMABAD TNG 503003"/>
    <s v="NIZAMABAD"/>
    <x v="0"/>
    <x v="9"/>
    <s v="D RAMU"/>
    <n v="802663344"/>
    <s v="Sgr@9290"/>
    <m/>
    <m/>
    <x v="0"/>
    <s v="LIVE"/>
    <s v="customer not available in adders call not responding"/>
    <x v="13"/>
    <d v="2025-08-04T00:00:00"/>
    <n v="21000"/>
    <s v="ICICI Rubyx PLT Credit Card (AMEX)"/>
    <s v="4TH JULY"/>
    <s v="0000000017764550"/>
    <d v="2026-06-29T00:00:00"/>
  </r>
  <r>
    <s v="4748469318929003"/>
    <s v="Mr BEJAWADA SATHISH"/>
    <n v="0"/>
    <x v="0"/>
    <m/>
    <m/>
    <m/>
    <s v="N"/>
    <x v="6"/>
    <s v="9640891157"/>
    <s v="X"/>
    <n v="164927.33000000002"/>
    <n v="190000"/>
    <n v="354927.33"/>
    <n v="157912.76"/>
    <n v="197014.57"/>
    <n v="180484.34"/>
    <n v="77790"/>
    <n v="41738.980000000003"/>
    <x v="1"/>
    <x v="1"/>
    <n v="197014.57"/>
    <n v="-155275.59"/>
    <x v="14"/>
    <s v="FE"/>
    <s v="30501-BBPS Payment received"/>
    <s v="SAMBA"/>
    <x v="0"/>
    <x v="3"/>
    <s v="&quot;2-61,KONDRAPOLU,KONDRAPOLU,NALGONDA&quot;    NALGONDA TNG 508355"/>
    <s v="CAPGEMINI TECHNOLOGY SERVICES Hyd Hyd Hyd HYDERABAD TNG 500082"/>
    <s v="SURYAPET"/>
    <x v="0"/>
    <x v="17"/>
    <s v="PAVAN"/>
    <n v="802823180"/>
    <s v="Sgr@9290"/>
    <m/>
    <m/>
    <x v="0"/>
    <m/>
    <m/>
    <x v="1"/>
    <d v="2026-05-25T00:00:00"/>
    <n v="2851.02"/>
    <s v="ICICI Bank HPCL Super Saver Visa Credit Card"/>
    <s v="30TH JUNE"/>
    <s v="0000000023438629"/>
    <d v="2026-06-29T00:00:00"/>
  </r>
  <r>
    <s v="374741123336007"/>
    <s v="MR TAMATAM REDDY"/>
    <n v="0"/>
    <x v="0"/>
    <m/>
    <m/>
    <m/>
    <s v="N"/>
    <x v="6"/>
    <s v="9962447361"/>
    <s v="X"/>
    <n v="8188.25"/>
    <n v="340000"/>
    <n v="348188.25"/>
    <n v="278460.74"/>
    <n v="69727.509999999995"/>
    <n v="53006.9"/>
    <n v="41980"/>
    <n v="18270"/>
    <x v="0"/>
    <x v="0"/>
    <n v="0"/>
    <n v="18270"/>
    <x v="0"/>
    <s v="NA"/>
    <n v="0"/>
    <s v="SAMBA"/>
    <x v="2"/>
    <x v="3"/>
    <s v="&quot;26/913-1 NAGENDRA NAGAR,PRODDATUR,.,.,.&quot;    CUDDAPAH ANP 516360"/>
    <s v="INFOSYS TECHNOLOGIES INFOSYS 26/1913-1 Nagendra Nagar Nagendra Nagar PRODDATUR ANP 516360"/>
    <s v="PRODDATUR"/>
    <x v="1"/>
    <x v="15"/>
    <s v="VSSK PRASAD"/>
    <n v="802349062"/>
    <s v="Ssd@9290"/>
    <m/>
    <m/>
    <x v="0"/>
    <s v="LIVE"/>
    <s v="Cm home adress is live cm unable to pay sir cm talking very rong and family members also shouting sir."/>
    <x v="15"/>
    <d v="2025-12-16T00:00:00"/>
    <n v="80800.87"/>
    <s v="ICICI Bank Coral RuPay Credit Card"/>
    <s v="4TH JULY"/>
    <s v="0000000017965158"/>
    <d v="2026-06-29T00:00:00"/>
  </r>
  <r>
    <s v="5241930818785012"/>
    <s v="MS THOTTULA INDRANI"/>
    <n v="0"/>
    <x v="0"/>
    <m/>
    <m/>
    <m/>
    <s v="N"/>
    <x v="6"/>
    <s v="7780304452"/>
    <s v="X"/>
    <n v="-2045.2999999999884"/>
    <n v="300000"/>
    <n v="297954.7"/>
    <s v=""/>
    <n v="297954.7"/>
    <n v="279545.14"/>
    <n v="45970"/>
    <n v="17960"/>
    <x v="1"/>
    <x v="1"/>
    <n v="47000"/>
    <n v="-29040"/>
    <x v="17"/>
    <s v="FE"/>
    <s v="12118 - NEFT PAYMENT RECEIVED"/>
    <s v="SAMBA"/>
    <x v="11"/>
    <x v="3"/>
    <s v="&quot;H NO,3-124 DHARMARAM B,DICHPALLY MANDAL,&quot; &quot;,DHARMARAM&quot;  DHARMAPURAM NIZAMABAD TNG 503230"/>
    <s v="INDRANI GENERAL STORES DHARMAPURAM DICHPALLY DICHPALLY NIZAMABAD TNG 503230"/>
    <s v="NIZAMABAD"/>
    <x v="0"/>
    <x v="9"/>
    <s v="D RAMU"/>
    <n v="802663344"/>
    <s v="Sgr@9290"/>
    <m/>
    <m/>
    <x v="0"/>
    <m/>
    <m/>
    <x v="1"/>
    <d v="2026-03-18T00:00:00"/>
    <n v="100000"/>
    <s v="ICICI Rubyx Master PLT Chip Card"/>
    <s v="30TH JUNE"/>
    <s v="0000000032002926"/>
    <d v="2026-06-29T00:00:00"/>
  </r>
  <r>
    <s v="5241930683250001"/>
    <s v="MR CHAKALI RAMA MOHAN"/>
    <n v="0"/>
    <x v="0"/>
    <m/>
    <m/>
    <m/>
    <s v="N"/>
    <x v="6"/>
    <s v="9642801704"/>
    <s v="X"/>
    <n v="17687.080000000016"/>
    <n v="280000"/>
    <n v="297687.08"/>
    <n v="62489.29"/>
    <n v="235197.79"/>
    <n v="216243.56"/>
    <n v="52830"/>
    <n v="28720"/>
    <x v="1"/>
    <x v="1"/>
    <n v="235197.79"/>
    <n v="-206477.79"/>
    <x v="16"/>
    <s v="TC"/>
    <s v="30501-BBPS Payment received"/>
    <s v="SAMBA"/>
    <x v="3"/>
    <x v="3"/>
    <s v="&quot;48/3,SUNKULAMMA VEEDI OWK,MANDAL&quot; &quot;UPPALAPADU, UPPALAPADU, KURNOOL&quot; ANDHRAPRADESH NEAR SUNKULAMMA VEEDI OWK NANDYAL ANP 518122"/>
    <s v="QUINNOX CONSULTANCY SERVICES LIMITED &quot;2324,3RD FLOOR,AMR TECH PARK-4,HOSUR&quot; &quot;MAIN ROAD, BANGALORE&quot; &quot;MAIN ROAD, BANGALORE&quot; BANGALORE KAR 560068"/>
    <s v="NANDYAL"/>
    <x v="1"/>
    <x v="7"/>
    <s v="HARI"/>
    <n v="802388289"/>
    <s v="Ssd@9290"/>
    <m/>
    <m/>
    <x v="0"/>
    <m/>
    <m/>
    <x v="1"/>
    <d v="2026-03-27T00:00:00"/>
    <n v="25000"/>
    <s v="ICICI Sapphiro Master PLT Chip Card"/>
    <s v="4TH JULY"/>
    <s v="0000000030713964"/>
    <d v="2026-06-29T00:00:00"/>
  </r>
  <r>
    <s v="4375519873834004"/>
    <s v="MR KUDUMALA GANGA REDDY"/>
    <n v="0"/>
    <x v="2"/>
    <n v="1"/>
    <s v="CC"/>
    <s v="REMOVE"/>
    <s v="N"/>
    <x v="6"/>
    <s v="7760219159"/>
    <s v="J3"/>
    <n v="-239220.8"/>
    <n v="520000"/>
    <n v="280779.2"/>
    <s v=""/>
    <n v="280779.2"/>
    <n v="267715.53000000003"/>
    <n v="218830"/>
    <n v="202500"/>
    <x v="0"/>
    <x v="0"/>
    <n v="0"/>
    <n v="202500"/>
    <x v="0"/>
    <s v="NA"/>
    <n v="0"/>
    <s v="SAMBA"/>
    <x v="2"/>
    <x v="3"/>
    <s v="&quot;3/615-1 UP REDDY NAGAR Y,M R COLONY,PRODDATUR&quot; - CUDDAPAH - CUDDAPAH ANP 516360"/>
    <s v="ICICI BANK LIMITED ICICI PLOT NO 12 SORVEY 115/27 GACHIBOWL NANKRAMGUDA NANKRAMGUDA Rangareddy TNG 500032"/>
    <s v="PRODDATUR"/>
    <x v="1"/>
    <x v="15"/>
    <s v="VSSK PRASAD"/>
    <n v="802349062"/>
    <s v="Ssd@9290"/>
    <m/>
    <m/>
    <x v="1"/>
    <m/>
    <m/>
    <x v="1"/>
    <d v="2026-02-12T00:00:00"/>
    <n v="50000"/>
    <s v="ICICI Bank LeadtheNew Coral Credit Card"/>
    <s v="30TH JUNE"/>
    <s v="0000000014380644"/>
    <d v="2026-06-29T00:00:00"/>
  </r>
  <r>
    <s v="4748469456427000"/>
    <s v="MS KOTARI NEERAJA VENKATA"/>
    <n v="0"/>
    <x v="0"/>
    <m/>
    <m/>
    <m/>
    <s v="N"/>
    <x v="6"/>
    <s v="9949928372"/>
    <s v="X"/>
    <n v="17450.539999999979"/>
    <n v="260000"/>
    <n v="277450.53999999998"/>
    <s v=""/>
    <n v="277450.53999999998"/>
    <n v="259850"/>
    <n v="46590"/>
    <n v="13000"/>
    <x v="0"/>
    <x v="0"/>
    <n v="0"/>
    <n v="13000"/>
    <x v="0"/>
    <s v="NA"/>
    <n v="0"/>
    <s v="SAMBA"/>
    <x v="0"/>
    <x v="3"/>
    <s v="8/351-A GODUGU PETA  NEAR SANKAR MATAM MACHILIPATNAM ANP 521001"/>
    <s v="INFOSYS LIMITED &quot;POCHARAM VILLAGE,MAIN ROAD&quot; &quot;POCHARAM,SECUNDERABAD,HYDERABAD&quot; &quot;POCHARAM,SECUNDERABAD,HYDERABAD&quot; HYDERABAD TNG 500088"/>
    <s v="MACHILIPATNAM"/>
    <x v="4"/>
    <x v="6"/>
    <s v="KOTI"/>
    <n v="801597759"/>
    <s v="Ssde@9290"/>
    <m/>
    <m/>
    <x v="0"/>
    <s v="SKIP"/>
    <s v="Customer house address skip phone not answering need kyc details"/>
    <x v="13"/>
    <d v="2025-03-31T00:00:00"/>
    <n v="40000"/>
    <s v="ICICI Bank Coral RuPay Credit Card"/>
    <s v="4TH JULY"/>
    <s v="0000000025030910"/>
    <d v="2026-06-29T00:00:00"/>
  </r>
  <r>
    <s v="4748469473711006"/>
    <s v="MR POTHURAJU VENKATESH"/>
    <n v="0"/>
    <x v="0"/>
    <m/>
    <m/>
    <m/>
    <s v="N"/>
    <x v="6"/>
    <s v="9666440323"/>
    <s v="X"/>
    <n v="15918.070000000007"/>
    <n v="260000"/>
    <n v="275918.07"/>
    <n v="222413.32"/>
    <n v="53504.75"/>
    <n v="26476.29"/>
    <n v="53420"/>
    <n v="34690"/>
    <x v="0"/>
    <x v="0"/>
    <n v="0"/>
    <n v="34690"/>
    <x v="0"/>
    <s v="NA"/>
    <n v="0"/>
    <s v="SAMBA"/>
    <x v="0"/>
    <x v="3"/>
    <s v="30-8-3/1 SURYANARAYANA PURAM KASIKAYALA VARI STREET EAST GODAVARI KAKINADA ANP 533001"/>
    <s v="RELIANCE RETAIL LIMITED SURYARAOPETA RELIANCE SMART RELIANCE SMART KAKINADA ANP 533001"/>
    <s v="KAKINADA"/>
    <x v="4"/>
    <x v="23"/>
    <s v="UDAY"/>
    <n v="801436997"/>
    <s v="Ssd@9290"/>
    <m/>
    <m/>
    <x v="0"/>
    <s v="DL"/>
    <s v="Customer address skip call response call back in evening come to office address saying sir // Customer office address visit customer not available door lock"/>
    <x v="13"/>
    <d v="2026-04-10T00:00:00"/>
    <n v="14823.05"/>
    <s v="ICICI Bank Coral RuPay Credit Card"/>
    <s v="30TH JUNE"/>
    <s v="0000000025291574"/>
    <d v="2026-06-29T00:00:00"/>
  </r>
  <r>
    <s v="4748469639543012"/>
    <s v="MS MEDISETTI VENKATALAKSHMI"/>
    <n v="0"/>
    <x v="0"/>
    <m/>
    <m/>
    <m/>
    <s v="N"/>
    <x v="6"/>
    <s v="9666113528"/>
    <s v="X"/>
    <n v="205831.37"/>
    <n v="70000"/>
    <n v="275831.37"/>
    <n v="245836.03"/>
    <n v="29995.34"/>
    <n v="26874.93"/>
    <n v="29995.34"/>
    <n v="13952.17"/>
    <x v="1"/>
    <x v="2"/>
    <n v="14000"/>
    <n v="-47.829999999999927"/>
    <x v="13"/>
    <s v="FE"/>
    <s v="30501-BBPS Payment received"/>
    <s v="SAMBA"/>
    <x v="11"/>
    <x v="3"/>
    <s v="5-62/1 K ILLINDALAPARRU DURGAMMA TEMPLE STREET IRGAVARAM MANDALAM BHIMAVARAM ANP 534217"/>
    <s v="DEPARTMENT OF POSTS &quot;SHIVALAYAM STREET, WEST GODAVARI&quot; TALLAPUDI TALLAPUDI West Godavari ANP 534341"/>
    <s v="BHIMAVARAM"/>
    <x v="4"/>
    <x v="33"/>
    <s v="MANIKANTA"/>
    <n v="802852449"/>
    <s v="Ssd@9290"/>
    <m/>
    <m/>
    <x v="0"/>
    <s v="LIVE"/>
    <s v="Visted custmor son adress_x000a_Paid  stab sir"/>
    <x v="12"/>
    <d v="2024-07-19T00:00:00"/>
    <n v="765.49"/>
    <s v="ICICI Bank HPCL Super Saver Visa Credit Card"/>
    <s v="30TH JUNE"/>
    <s v="0000000029224124"/>
    <d v="2026-06-29T00:00:00"/>
  </r>
  <r>
    <s v="5241930635941020"/>
    <s v="MS NANDURI LAKSHMI RADHA"/>
    <n v="0"/>
    <x v="0"/>
    <m/>
    <m/>
    <m/>
    <s v="N"/>
    <x v="6"/>
    <s v="8885920184"/>
    <s v="X"/>
    <n v="2338.039999999979"/>
    <n v="270000"/>
    <n v="272338.03999999998"/>
    <n v="74701.509999999995"/>
    <n v="197636.53"/>
    <n v="183857.78"/>
    <n v="52580"/>
    <n v="26059"/>
    <x v="1"/>
    <x v="1"/>
    <n v="110200"/>
    <n v="-84141"/>
    <x v="15"/>
    <s v="TC"/>
    <s v="30501-BBPS Payment received"/>
    <s v="SAMBA"/>
    <x v="2"/>
    <x v="3"/>
    <s v="14-221/1 RANGASWAMI BAZAR   VIJAYAWADA ANP 521175"/>
    <s v="LTI MINDTREE &quot;-BUILDING NO. 20, 14TH  15TH FLOOR&quot; PARTLY SEZ DEVELOPER IN SURVEY NO. 83/1 PARTLY SEZ DEVELOPER IN SURVEY NO. 83/1 HYDERABAD TNG 500081"/>
    <s v="VIJAYAWADA"/>
    <x v="3"/>
    <x v="5"/>
    <s v="SUDHAKAR"/>
    <n v="802913252"/>
    <s v="Ssd@9290"/>
    <m/>
    <m/>
    <x v="0"/>
    <m/>
    <m/>
    <x v="1"/>
    <s v=""/>
    <n v="0"/>
    <s v="ICICI Rubyx Master PLT Chip Card"/>
    <s v="4TH JULY"/>
    <s v="0000000030240264"/>
    <d v="2026-06-29T00:00:00"/>
  </r>
  <r>
    <s v="5241930860298005"/>
    <s v="MR SHAIK IRFAN"/>
    <n v="0"/>
    <x v="0"/>
    <m/>
    <m/>
    <m/>
    <s v="N"/>
    <x v="6"/>
    <s v="9542028124"/>
    <s v="X"/>
    <n v="-35968.929999999993"/>
    <n v="300000"/>
    <n v="264031.07"/>
    <n v="79943.429999999993"/>
    <n v="184087.64"/>
    <n v="173046.32"/>
    <n v="45690"/>
    <n v="22829"/>
    <x v="1"/>
    <x v="2"/>
    <n v="23004"/>
    <n v="-175"/>
    <x v="15"/>
    <s v="TC"/>
    <s v="12111-ICICI BANK COLLECTION PAYMENT"/>
    <s v="SAMBA"/>
    <x v="3"/>
    <x v="3"/>
    <s v="&quot;22/377 MOULANA AZAD,STREET-2,MAULANA AZA&quot; &quot;D, PRODDATUR&quot;  STREET 2 PRODDATUR ANP 516360"/>
    <s v="ADROIT NEO TECH SOLUTIONS PVT LTD 8TH FLORE KHAN LATEEF  KHAN ESTATE ABIDS KHAN LATEEF  KHAN ESTATE ABIDS HYDERABAD TNG 500001"/>
    <s v="PRODDATUR"/>
    <x v="1"/>
    <x v="15"/>
    <s v="VSSK PRASAD"/>
    <n v="802349062"/>
    <s v="Ssd@9290"/>
    <m/>
    <m/>
    <x v="0"/>
    <m/>
    <m/>
    <x v="1"/>
    <d v="2026-06-01T00:00:00"/>
    <n v="14501"/>
    <s v="ICICI Rubyx Master PLT Chip Card"/>
    <s v="30TH JUNE"/>
    <s v="0000000032394286"/>
    <d v="2026-06-29T00:00:00"/>
  </r>
  <r>
    <s v="4748469402094003"/>
    <s v="MR KOTARI JAYAPRAKASH"/>
    <n v="0"/>
    <x v="0"/>
    <m/>
    <m/>
    <m/>
    <s v="N"/>
    <x v="6"/>
    <s v="7981585809"/>
    <s v="X"/>
    <n v="16151.929999999993"/>
    <n v="240000"/>
    <n v="256151.93"/>
    <n v="11312.48"/>
    <n v="244839.45"/>
    <n v="228644.37"/>
    <n v="63060"/>
    <n v="21900"/>
    <x v="0"/>
    <x v="0"/>
    <n v="0"/>
    <n v="21900"/>
    <x v="0"/>
    <s v="NA"/>
    <n v="0"/>
    <s v="SAMBA"/>
    <x v="11"/>
    <x v="3"/>
    <s v="8/351-A GODUGUPETA  KRISHNA MACHILIPATNAM ANP 521001"/>
    <s v="ACCENTURE SOLUTIONS PRIVATE LIMITED &quot;1A,1B,TECH PARK,MADHAPUR&quot; TELANGANA TELANGANA HYDERABAD TNG 500001"/>
    <s v="MACHILIPATNAM"/>
    <x v="4"/>
    <x v="6"/>
    <s v="KOTI"/>
    <n v="801597759"/>
    <s v="Ssde@9290"/>
    <m/>
    <m/>
    <x v="0"/>
    <s v="SKIP"/>
    <s v="Customer house address skip phone not answering confirmation nearby customer shifted to Hyderabad"/>
    <x v="13"/>
    <d v="2025-03-31T00:00:00"/>
    <n v="30000"/>
    <s v="ICICI Bank HPCL Super Saver Visa Credit Card"/>
    <s v="4TH JULY"/>
    <s v="0000000024350789"/>
    <d v="2026-06-29T00:00:00"/>
  </r>
  <r>
    <s v="4748469636064004"/>
    <s v="MR KAVALIPATI ANAND KUMAR"/>
    <n v="0"/>
    <x v="0"/>
    <m/>
    <m/>
    <m/>
    <s v="N"/>
    <x v="6"/>
    <s v="9000202538"/>
    <s v="X"/>
    <n v="58431.44"/>
    <n v="180000"/>
    <n v="238431.44"/>
    <n v="219964.59"/>
    <n v="18466.849999999999"/>
    <n v="15927.16"/>
    <n v="18466.849999999999"/>
    <n v="8413.93"/>
    <x v="1"/>
    <x v="2"/>
    <n v="8500"/>
    <n v="-86.069999999999709"/>
    <x v="19"/>
    <s v="TC"/>
    <s v="12124 - UPI Payment Received"/>
    <s v="SAMBA"/>
    <x v="0"/>
    <x v="3"/>
    <s v="4-8 NEAR MPUP SCHOOL PANCHAYATHI VEEDHI &quot;KAVALIPURAM , IRAGAVARAM MANDALAM&quot; BHIMAVARAM ANP 534222"/>
    <s v="DEPARTMENT OF POSTS &quot;BANK COLONY,BHIMAVARAM&quot; WEST GODAVARI WEST GODAVARI BHIMAVARAM ANP 534202"/>
    <s v="BHIMAVARAM"/>
    <x v="4"/>
    <x v="33"/>
    <s v="MANIKANTA"/>
    <n v="802852449"/>
    <s v="Ssd@9290"/>
    <m/>
    <m/>
    <x v="0"/>
    <s v="MESS"/>
    <s v="Custmor go to Marrage  inform  mother sir"/>
    <x v="6"/>
    <d v="2024-07-06T00:00:00"/>
    <n v="8567"/>
    <s v="ICICI Bank HPCL Super Saver Visa Credit Card"/>
    <s v="30TH JUNE"/>
    <s v="0000000029030204"/>
    <d v="2026-06-29T00:00:00"/>
  </r>
  <r>
    <s v="374740292993002"/>
    <s v="Mr METIKALA EPHRAIM"/>
    <n v="0"/>
    <x v="0"/>
    <m/>
    <m/>
    <m/>
    <s v="N"/>
    <x v="6"/>
    <s v="9059487788"/>
    <s v="X"/>
    <n v="12209.160000000003"/>
    <n v="220000"/>
    <n v="232209.16"/>
    <n v="28574.51"/>
    <n v="203634.65"/>
    <n v="182993.55"/>
    <n v="46470"/>
    <n v="20880"/>
    <x v="1"/>
    <x v="2"/>
    <n v="21000"/>
    <n v="-120"/>
    <x v="19"/>
    <s v="FE"/>
    <s v="30501-BBPS Payment received"/>
    <s v="SAMBA"/>
    <x v="3"/>
    <x v="3"/>
    <s v="&quot;49/50,A-87F-17E,LAKSHMI FLR,NAGAR,KURNOOL,&quot; &quot;KURNOOL,CHRISTIAN ASSEMBELY CHARCH&quot;   KURNOOL ANP 518002"/>
    <s v="WHISK SOFTWARE PVT LTD &quot;LEVEL-2,N-HEIGHTS,PLOT NO-38&quot; &quot;SERILINGAMPALLY MANDAL,HITECH CITY ROAD,&quot; &quot;SERILINGAMPALLY MANDAL,HITECH CITY ROAD,&quot; HYDERABAD TNG 500081"/>
    <s v="KURNOOL"/>
    <x v="1"/>
    <x v="18"/>
    <s v="SAMBA"/>
    <n v="801772794"/>
    <s v="Ssde@9876"/>
    <m/>
    <m/>
    <x v="0"/>
    <s v="SKIP"/>
    <s v="Customer not available his wife also out of station _x000a_Customer live in hyderabad.not responding for calls ._x000a_Informed to his brother . Sir "/>
    <x v="13"/>
    <d v="2025-10-29T00:00:00"/>
    <n v="600"/>
    <s v="ICICI Rubyx PLT Credit Card (AMEX)"/>
    <s v="4TH JULY"/>
    <s v="0000000017449212"/>
    <d v="2026-06-29T00:00:00"/>
  </r>
  <r>
    <s v="5241930487727006"/>
    <s v="MR AMBALA SATEESH"/>
    <n v="0"/>
    <x v="0"/>
    <m/>
    <m/>
    <m/>
    <s v="N"/>
    <x v="6"/>
    <s v="7207687611"/>
    <s v="X"/>
    <n v="24941.359999999986"/>
    <n v="200000"/>
    <n v="224941.36"/>
    <s v=""/>
    <n v="224941.36"/>
    <n v="200167.2"/>
    <n v="67330"/>
    <n v="36930"/>
    <x v="1"/>
    <x v="2"/>
    <n v="36941.360000000001"/>
    <n v="-11.360000000000582"/>
    <x v="17"/>
    <s v="FE"/>
    <s v="12118 - NEFT PAYMENT RECEIVED"/>
    <s v="SAMBA"/>
    <x v="2"/>
    <x v="3"/>
    <s v="HNO 2-182  BIDRAYI BAZAR CHILUKUR MANDALAM NALGONDA NEAR BODRAYI SURYAPET TNG 508206"/>
    <s v="WIPRO LIMITED ALSO WIPRO TECHNOLOGIES A WIPRO LTD NANAKRAM GUDA GACHIBOWLI GACHIBOWLI HYDERABAD TNG 500032"/>
    <s v="SURYAPET"/>
    <x v="0"/>
    <x v="2"/>
    <s v="CHAITANYA"/>
    <n v="802555024"/>
    <s v="Ssde@9290"/>
    <m/>
    <m/>
    <x v="0"/>
    <s v="LIVE"/>
    <s v="I have Visited Customer given house address customer not available at home address &amp; is in Hyderabad location for work purpose _x000a_Customer father stays here &amp; I intimate him"/>
    <x v="13"/>
    <d v="2025-11-30T00:00:00"/>
    <n v="3400"/>
    <s v="ICICI Rubyx PLT Credit Card (AMEX)"/>
    <s v="4TH JULY"/>
    <s v="0000000026421982"/>
    <d v="2026-06-29T00:00:00"/>
  </r>
  <r>
    <s v="5241930490430002"/>
    <s v="Mr KANDIKA ANUDEEP"/>
    <n v="0"/>
    <x v="0"/>
    <m/>
    <m/>
    <m/>
    <s v="N"/>
    <x v="6"/>
    <s v="9676066007"/>
    <s v="X"/>
    <n v="-15994.220000000001"/>
    <n v="240000"/>
    <n v="224005.78"/>
    <n v="138947.70000000001"/>
    <n v="85058.08"/>
    <n v="72079.67"/>
    <n v="34770"/>
    <n v="16750"/>
    <x v="1"/>
    <x v="1"/>
    <n v="85058.08"/>
    <n v="-68308.08"/>
    <x v="0"/>
    <s v="D"/>
    <s v="30501-BBPS Payment received"/>
    <s v="SAMBA"/>
    <x v="3"/>
    <x v="3"/>
    <s v="&quot;1-17,TEKULAGUDEM,HANAMKONDA,KAZIPET&quot;    WARANGAL TNG 506003"/>
    <s v="Not Applicable 1-17TEKULAGUDEMHANAMKONDAKAZIPET 1-17TEKULAGUDEMHANAMKONDAKAZIPET 1-17TEKULAGUDEMHANAMKONDAKAZIPET WARANGAL TNG 506003"/>
    <s v="WARANGAL"/>
    <x v="0"/>
    <x v="0"/>
    <s v="AKHIL"/>
    <n v="801772792"/>
    <s v="Sgr@9290"/>
    <m/>
    <m/>
    <x v="0"/>
    <m/>
    <m/>
    <x v="1"/>
    <d v="2025-11-29T00:00:00"/>
    <n v="47019.96"/>
    <s v="ICICI Rubyx PLT Credit Card (AMEX)"/>
    <s v="30TH JUNE"/>
    <s v="0000000026741538"/>
    <d v="2026-06-29T00:00:00"/>
  </r>
  <r>
    <s v="4748469784579001"/>
    <s v="MR BODDU MANOHARAM"/>
    <n v="0"/>
    <x v="0"/>
    <m/>
    <m/>
    <m/>
    <s v="N"/>
    <x v="6"/>
    <s v="9390996488"/>
    <s v="X"/>
    <n v="13741.76999999999"/>
    <n v="200000"/>
    <n v="213741.77"/>
    <s v=""/>
    <n v="213741.77"/>
    <n v="199988.22"/>
    <n v="36470"/>
    <n v="10000"/>
    <x v="1"/>
    <x v="2"/>
    <n v="10000"/>
    <n v="0"/>
    <x v="18"/>
    <s v="TC"/>
    <s v="30501-BBPS Payment received"/>
    <s v="SAMBA"/>
    <x v="0"/>
    <x v="3"/>
    <s v="&quot;5-72,PEDAPETA ELURUPADU KALLA,MANDALAM,,&quot; &quot;ELURUPADU,ELURUPADU&quot;  NEAR RCM CHURCH BHIMAVARAM ANP 534236"/>
    <s v="BAJAJ FINANCE LIMITED MAVULAMMA TEMPLE   BHIMAVARAM ANP 534201"/>
    <s v="BHIMAVARAM"/>
    <x v="4"/>
    <x v="32"/>
    <s v="B NAGABABU"/>
    <n v="801448854"/>
    <s v="Sgr@9290"/>
    <m/>
    <m/>
    <x v="0"/>
    <s v="LIVE"/>
    <s v="cmr not there at home , cmr answered call , waiting for c"/>
    <x v="16"/>
    <d v="2026-03-30T00:00:00"/>
    <n v="199987"/>
    <s v="ICICI Bank HPCL Super Saver Visa Credit Card"/>
    <s v="4TH JULY"/>
    <s v="0000000031499768"/>
    <d v="2026-06-29T00:00:00"/>
  </r>
  <r>
    <s v="4748469573035009"/>
    <s v="MS KARRA SHOBHA"/>
    <n v="0"/>
    <x v="2"/>
    <n v="1"/>
    <s v="CC"/>
    <s v="REMOVE"/>
    <s v="N"/>
    <x v="6"/>
    <s v="7659865259"/>
    <s v="X"/>
    <n v="-4575.0499999999884"/>
    <n v="210000"/>
    <n v="205424.95"/>
    <s v=""/>
    <n v="205424.95"/>
    <n v="192236.85"/>
    <n v="176310"/>
    <n v="162998"/>
    <x v="0"/>
    <x v="0"/>
    <n v="0"/>
    <n v="162998"/>
    <x v="0"/>
    <s v="NA"/>
    <n v="0"/>
    <s v="SAMBA"/>
    <x v="2"/>
    <x v="3"/>
    <s v="BALAJI NAGAR BIHAIND SBNRM SCHOOL &quot;KOMAROLU,KOMAROLU&quot; PRAKASAM NEAR MAIN ROAD NANDYAL ANP 523373"/>
    <s v="IDBI BANK LIMITED IDBI BANK LIMITED TALLAM COMPLEX &quot;STATION ROAD,CHIRALA ,PRAKASAM&quot; &quot;STATION ROAD,CHIRALA ,PRAKASAM&quot; Prakasam ANP 523155"/>
    <s v="NANDYAL"/>
    <x v="1"/>
    <x v="7"/>
    <s v="HARI"/>
    <n v="802388289"/>
    <s v="Ssd@9290"/>
    <m/>
    <m/>
    <x v="1"/>
    <m/>
    <m/>
    <x v="1"/>
    <d v="2024-05-28T00:00:00"/>
    <n v="10000"/>
    <s v="ICICI Bank Coral RuPay Credit Card"/>
    <s v="30TH JUNE"/>
    <s v="0000000026870305"/>
    <d v="2026-06-29T00:00:00"/>
  </r>
  <r>
    <s v="4748469455278008"/>
    <s v="MS SAMANA SURYAKUMARI"/>
    <n v="0"/>
    <x v="0"/>
    <m/>
    <m/>
    <m/>
    <s v="N"/>
    <x v="6"/>
    <s v="9346499245"/>
    <s v="X"/>
    <n v="-5433.7900000000081"/>
    <n v="210000"/>
    <n v="204566.21"/>
    <s v=""/>
    <n v="204566.21"/>
    <n v="185775.56"/>
    <n v="30340"/>
    <n v="10910"/>
    <x v="0"/>
    <x v="0"/>
    <n v="0"/>
    <n v="10910"/>
    <x v="0"/>
    <s v="NA"/>
    <n v="0"/>
    <s v="SAMBA"/>
    <x v="3"/>
    <x v="3"/>
    <s v="&quot;7-2-29,NAGESWARARAO STREET,&quot; &quot;RAMARAOPETA,KAKINADA&quot; &quot;EAST GODAVARI,ANDHRA PRADESH&quot; BESIDE POST OFFICE KAKINADA ANP 533004"/>
    <s v="GOVERNMENT OF ANDHRA PRADESH &quot;MUNICIPAL OFFICE,KAKINADA&quot; &quot;EAST GODAVARI,ANDHRA PRADESH&quot; &quot;EAST GODAVARI,ANDHRA PRADESH&quot; KAKINADA ANP 533003"/>
    <s v="KAKINADA"/>
    <x v="4"/>
    <x v="23"/>
    <s v="UDAY"/>
    <n v="801436997"/>
    <s v="Ssd@9290"/>
    <m/>
    <m/>
    <x v="0"/>
    <s v="SKIP"/>
    <s v="Customer given address skip call not working need to kyc sir @Samba Garu"/>
    <x v="13"/>
    <d v="2024-11-29T00:00:00"/>
    <n v="10180"/>
    <s v="ICICI Bank HPCL Super Saver Visa Credit Card"/>
    <s v="30TH JUNE"/>
    <s v="0000000025017099"/>
    <d v="2026-06-29T00:00:00"/>
  </r>
  <r>
    <s v="4748469385302001"/>
    <s v="MR SREEVISHNU UPPUNUTHULA"/>
    <n v="0"/>
    <x v="0"/>
    <m/>
    <m/>
    <m/>
    <s v="O"/>
    <x v="6"/>
    <s v="9949248315"/>
    <s v="X"/>
    <n v="7921.1900000000023"/>
    <n v="190000"/>
    <n v="197921.19"/>
    <s v=""/>
    <n v="197921.19"/>
    <n v="180688.74"/>
    <n v="53510"/>
    <n v="27720"/>
    <x v="0"/>
    <x v="0"/>
    <n v="0"/>
    <n v="27720"/>
    <x v="0"/>
    <s v="NA"/>
    <n v="0"/>
    <s v="SAMBA"/>
    <x v="3"/>
    <x v="3"/>
    <s v="H NO 1 77 ARVAYYAPALLE RAMTHEERTHAM SHANIGARAM  NEAR MAIN ROAD WARANGAL TNG 506349"/>
    <s v="GOVERNMENT OF TELANGANA TSWRS JR B ETURNAGARAM MANGAPETA MULUGU WARANGAL MANGAPETA MULUGU WARANGAL BHOOPALPALLY TNG 506172"/>
    <s v="WARANGAL"/>
    <x v="0"/>
    <x v="0"/>
    <s v="AKHIL"/>
    <n v="801772792"/>
    <s v="Sgr@9290"/>
    <m/>
    <m/>
    <x v="0"/>
    <s v="LIVE"/>
    <s v="Cust said he went to outside cust relation expired he will call back today evening will update"/>
    <x v="15"/>
    <d v="2026-06-09T00:00:00"/>
    <n v="12000"/>
    <s v="ICICI Bank HPCL Super Saver Visa Credit Card"/>
    <s v="4TH JULY"/>
    <s v="0000000024177900"/>
    <d v="2026-06-29T00:00:00"/>
  </r>
  <r>
    <s v="5241930525015000"/>
    <s v="MR POLI SUDHAKAR"/>
    <n v="0"/>
    <x v="0"/>
    <m/>
    <m/>
    <m/>
    <s v="N"/>
    <x v="6"/>
    <s v="9866662480"/>
    <s v="X"/>
    <n v="11512.779999999999"/>
    <n v="170000"/>
    <n v="181512.78"/>
    <s v=""/>
    <n v="181512.78"/>
    <n v="162321.89000000001"/>
    <n v="43510"/>
    <n v="15470"/>
    <x v="1"/>
    <x v="2"/>
    <n v="15500"/>
    <n v="-30"/>
    <x v="19"/>
    <s v="TC"/>
    <s v="30501-BBPS Payment received"/>
    <s v="SAMBA"/>
    <x v="11"/>
    <x v="3"/>
    <s v="&quot;2/48 R GOLLAPALLI RANGAMPALLE,&quot; PULLAMPETA KADAPA DISTRICT YSR KADAPA NEAR RAMALAYAM CUDDAPAH ANP 516107"/>
    <s v="TRJA CONSTRUCTIONS HNO 2/48 RANGAMPALLI PULLAMPET PULLAMPET CUDDAPAH ANP 516107"/>
    <s v="CUDDAPAH"/>
    <x v="1"/>
    <x v="14"/>
    <s v="SIVARAU"/>
    <n v="801601134"/>
    <s v="Ssd@9290"/>
    <m/>
    <m/>
    <x v="0"/>
    <m/>
    <m/>
    <x v="1"/>
    <d v="2024-04-29T00:00:00"/>
    <n v="61500"/>
    <s v="ICICI Rubyx Master PLT Chip Card"/>
    <s v="4TH JULY"/>
    <s v="0000000028267285"/>
    <d v="2026-06-29T00:00:00"/>
  </r>
  <r>
    <s v="4748469300375009"/>
    <s v="MR SATYA HARI PRASAD NUKALA"/>
    <n v="0"/>
    <x v="2"/>
    <n v="1"/>
    <s v="CC"/>
    <s v="REMOVE"/>
    <s v="N"/>
    <x v="6"/>
    <s v="9394678899"/>
    <s v="W"/>
    <n v="-129843.66"/>
    <n v="300000"/>
    <n v="170156.34"/>
    <s v=""/>
    <n v="170156.34"/>
    <n v="155219.01999999999"/>
    <n v="24240"/>
    <n v="9250"/>
    <x v="0"/>
    <x v="0"/>
    <n v="0"/>
    <n v="9250"/>
    <x v="0"/>
    <s v="NA"/>
    <n v="0"/>
    <s v="SAMBA"/>
    <x v="11"/>
    <x v="3"/>
    <s v="&quot;25-9-7-, PEDDETI VARI STREET LOSAR CHANA&quot; &quot;L ROAD , SIVARAOPETA&quot;  NEAR D N R COLLEGE BHIMAVARAM ANP 534202"/>
    <s v="SATYA HARI PRASAD NUKALA &quot;1-101, NEAR PANCHAYATHI OFFICE&quot;   BHIMAVARAM ANP 534239"/>
    <s v="BHIMAVARAM"/>
    <x v="4"/>
    <x v="26"/>
    <s v="B NAGABABU"/>
    <n v="801448854"/>
    <s v="Sgr@9290"/>
    <m/>
    <m/>
    <x v="1"/>
    <m/>
    <m/>
    <x v="1"/>
    <d v="2025-08-16T00:00:00"/>
    <n v="20020.03"/>
    <s v="ICICI Bank HPCL Super Saver Visa Credit Card"/>
    <s v="30TH JUNE"/>
    <s v="0000000023115594"/>
    <d v="2026-06-29T00:00:00"/>
  </r>
  <r>
    <s v="4748469811539002"/>
    <s v="MR TANUGUNDALA  TANUGUNDALA VENKATAREDDY"/>
    <n v="0"/>
    <x v="0"/>
    <m/>
    <m/>
    <m/>
    <s v="N"/>
    <x v="6"/>
    <s v="7981021864"/>
    <s v="X"/>
    <n v="16582.260000000009"/>
    <n v="150000"/>
    <n v="166582.26"/>
    <s v=""/>
    <n v="166582.26"/>
    <n v="148388.57"/>
    <n v="41100"/>
    <n v="17320"/>
    <x v="0"/>
    <x v="0"/>
    <n v="0"/>
    <n v="17320"/>
    <x v="0"/>
    <s v="NA"/>
    <n v="0"/>
    <s v="SAMBA"/>
    <x v="2"/>
    <x v="3"/>
    <s v="&quot;BHUPATHI PALLE,BHUPATHIPALLE&quot;    PRAKASAM ANP 523332"/>
    <s v="      "/>
    <s v="NANDYAL"/>
    <x v="5"/>
    <x v="37"/>
    <s v="DURGA"/>
    <n v="801723195"/>
    <s v="Sgr@9290"/>
    <m/>
    <m/>
    <x v="0"/>
    <s v="SKIP"/>
    <s v=" Customer house visit sir customer not available call not responding family shipped  to Hyderabad sir"/>
    <x v="13"/>
    <d v="2026-04-29T00:00:00"/>
    <n v="48000"/>
    <s v="ICICI Bank HPCL Super Saver Visa Credit Card"/>
    <s v="4TH JULY"/>
    <s v="0000000032275447"/>
    <d v="2026-06-29T00:00:00"/>
  </r>
  <r>
    <s v="4748469490765001"/>
    <s v="MR SAKE RADHAKRISHNA"/>
    <n v="0"/>
    <x v="0"/>
    <m/>
    <s v="CC"/>
    <s v="CUSTOMER MOBILE RINGING NOT RESPONDING"/>
    <s v="N"/>
    <x v="6"/>
    <s v="9492594549"/>
    <s v="X"/>
    <n v="13788.910000000003"/>
    <n v="130000"/>
    <n v="143788.91"/>
    <s v=""/>
    <n v="143788.91"/>
    <n v="128126.18"/>
    <n v="36840"/>
    <n v="14970"/>
    <x v="1"/>
    <x v="2"/>
    <n v="14971"/>
    <n v="-1"/>
    <x v="17"/>
    <s v="FE"/>
    <n v="0"/>
    <s v="SAMBA"/>
    <x v="2"/>
    <x v="3"/>
    <s v="HOUSE NO 17/1075-D-B1 RAJENDRANAGAR GUNTAKAL ANANTAPUR BHASYAM SCHOOL ANDHRA PRADESH GUNTAKAL ANP 515801"/>
    <s v="GOVERNMENT OF ANDHRA PRADESH &quot;S NO 1125,LINGADAHAL VILLAGE,LINGADAHAL&quot; &quot;VILLAGE SACHIVALAYAM,BOMMANAHAL MANDAL&quot; &quot;VILLAGE SACHIVALAYAM,BOMMANAHAL MANDAL&quot; ANANTAPUR ANP 515871"/>
    <s v="GUNTAKAL"/>
    <x v="1"/>
    <x v="12"/>
    <s v="POORNIMA"/>
    <n v="802824019"/>
    <s v="Nihan@2421"/>
    <m/>
    <m/>
    <x v="0"/>
    <s v="SKIP"/>
    <s v="Customer house shifted _x000a_Customer calls not responding // Customer address visited _x000a_Customer PTP on 8th"/>
    <x v="14"/>
    <d v="2026-02-11T00:00:00"/>
    <n v="1"/>
    <s v="ICICI Bank HPCL Super Saver Visa Credit Card"/>
    <s v="4TH JULY"/>
    <s v="0000000025532203"/>
    <d v="2026-06-29T00:00:00"/>
  </r>
  <r>
    <s v="4748469283816003"/>
    <s v="MR TARIMELA BABU"/>
    <n v="0"/>
    <x v="0"/>
    <m/>
    <m/>
    <m/>
    <s v="N"/>
    <x v="6"/>
    <s v="9100793952"/>
    <s v="J3"/>
    <n v="-6717.640000000014"/>
    <n v="150000"/>
    <n v="143282.35999999999"/>
    <s v=""/>
    <n v="143282.35999999999"/>
    <n v="126987"/>
    <n v="28690"/>
    <n v="16530"/>
    <x v="0"/>
    <x v="0"/>
    <n v="0"/>
    <n v="16530"/>
    <x v="0"/>
    <s v="NA"/>
    <n v="0"/>
    <s v="SAMBA"/>
    <x v="11"/>
    <x v="3"/>
    <s v="&quot;H NO,80/11-76-8 ADITHYA NAGAR,NAGAR&quot;    KURNOOL ANP 518002"/>
    <s v="HCL TECHNOLOGIES LTD HCL TECHN Pheonix infocity pvt ltd Hi Tech City Hi Tech City HYDERABAD TNG 500081"/>
    <s v="KURNOOL"/>
    <x v="1"/>
    <x v="18"/>
    <s v="SAMBA"/>
    <n v="801772794"/>
    <s v="Ssde@9876"/>
    <m/>
    <m/>
    <x v="0"/>
    <s v="MESS"/>
    <s v="Customer not available at house he live in Hyderabad.he phone switch off._x000a_He mother told that they paid 5 day back big amount. To ICICI Bank . &amp; They take time to pay credit card amount.for this month last sir_x000a__x000a_Visited along with magbool basha // Customer not available they parents also not responding sir"/>
    <x v="15"/>
    <d v="2024-09-04T00:00:00"/>
    <n v="10000"/>
    <s v="ICICI Bank HPCL Super Saver Visa Credit Card"/>
    <s v="4TH JULY"/>
    <s v="0000000022719070"/>
    <d v="2026-06-29T00:00:00"/>
  </r>
  <r>
    <s v="4748469391057003"/>
    <s v="Mr PALLE YAGNE SHWAR"/>
    <n v="0"/>
    <x v="0"/>
    <m/>
    <m/>
    <m/>
    <s v="N"/>
    <x v="6"/>
    <s v="9603769877"/>
    <s v="X"/>
    <n v="13187.01999999999"/>
    <n v="130000"/>
    <n v="143187.01999999999"/>
    <s v=""/>
    <n v="143187.01999999999"/>
    <n v="129638.31"/>
    <n v="34210"/>
    <n v="13270"/>
    <x v="1"/>
    <x v="1"/>
    <n v="143187.01999999999"/>
    <n v="-129917.01999999999"/>
    <x v="11"/>
    <s v="TC"/>
    <s v="30501-BBPS Payment received"/>
    <s v="SAMBA"/>
    <x v="2"/>
    <x v="3"/>
    <s v="H NO 1-10 BANGARIGADDA BANGARIGADDA  MAIN ROAD NALGONDA TNG 508255"/>
    <s v="BEQISOFT TECHNOLOGIES PVT LTD BSK 2ND STAGE BANGALORE Bangarigadda nalgonda Bangarigadda nalgonda BANGALORE KAR 560070"/>
    <s v="NALGONDA"/>
    <x v="0"/>
    <x v="17"/>
    <s v="INAMUL"/>
    <n v="802823175"/>
    <s v="Sgr@9290"/>
    <m/>
    <m/>
    <x v="0"/>
    <m/>
    <m/>
    <x v="1"/>
    <d v="2026-03-31T00:00:00"/>
    <n v="12700"/>
    <s v="ICICI Bank HPCL Super Saver Visa Credit Card"/>
    <s v="30TH JUNE"/>
    <s v="0000000024247795"/>
    <d v="2026-06-29T00:00:00"/>
  </r>
  <r>
    <s v="4748469423484001"/>
    <s v="MR GUGULOTHU NAGESWARARAO"/>
    <n v="0"/>
    <x v="0"/>
    <m/>
    <m/>
    <m/>
    <s v="N"/>
    <x v="6"/>
    <s v="9949398318"/>
    <s v="X"/>
    <n v="12188.829999999987"/>
    <n v="130000"/>
    <n v="142188.82999999999"/>
    <s v=""/>
    <n v="142188.82999999999"/>
    <n v="127449.25"/>
    <n v="34430"/>
    <n v="13949"/>
    <x v="0"/>
    <x v="0"/>
    <n v="0"/>
    <n v="13949"/>
    <x v="0"/>
    <s v="NA"/>
    <n v="0"/>
    <s v="SAMBA"/>
    <x v="3"/>
    <x v="3"/>
    <s v="&quot;H NO 5-30/24/1,PSR NAGAR&quot; &quot;NELAKONDAPALLI,KHAMMAM&quot;  NEAR WATER PUMP KHAMMAM TNG 507166"/>
    <s v="GOVT OF TELANGANAS SECONDARY EDUCATION MPPS RAVI GUDEM NELLAKONDAPALLI KHAMMAM KHAMMAM KHAMMAM TNG 507160"/>
    <s v="KHAMMAM"/>
    <x v="0"/>
    <x v="27"/>
    <s v="POORNIMA"/>
    <n v="802824019"/>
    <s v="Nihan@2421"/>
    <m/>
    <m/>
    <x v="1"/>
    <m/>
    <m/>
    <x v="1"/>
    <d v="2025-02-06T00:00:00"/>
    <n v="24260"/>
    <s v="ICICI Bank HPCL Super Saver Visa Credit Card"/>
    <s v="4TH JULY"/>
    <s v="0000000024560138"/>
    <d v="2026-06-29T00:00:00"/>
  </r>
  <r>
    <s v="4748469864745001"/>
    <s v="MR MUDAVATH NAIK"/>
    <s v="RTP"/>
    <x v="2"/>
    <n v="1"/>
    <s v="CC"/>
    <s v="REMOVE"/>
    <s v="N"/>
    <x v="6"/>
    <s v="9603252106"/>
    <s v="X"/>
    <n v="18539.390000000014"/>
    <n v="120000"/>
    <n v="138539.39000000001"/>
    <n v="9253.67"/>
    <n v="129285.72"/>
    <n v="116279.71"/>
    <n v="33200"/>
    <n v="9510"/>
    <x v="0"/>
    <x v="0"/>
    <n v="0"/>
    <n v="9510"/>
    <x v="0"/>
    <s v="NA"/>
    <n v="0"/>
    <s v="SAMBA"/>
    <x v="2"/>
    <x v="3"/>
    <s v="H NO 386 &quot;SRINIVASA COLONY NEAR,PAMALAYA SCHOOL MAHABUB&quot;  Mahabubnagar MAB TNG 509001"/>
    <s v="MPPS GALIGUDDA VILL BALANAGAR MANDAL Industrial Estate Mbn   MBG TNG 509002"/>
    <s v="MAHBOOBNAGAR"/>
    <x v="0"/>
    <x v="19"/>
    <s v="SAMBA"/>
    <n v="801772794"/>
    <s v="Ssde@9876"/>
    <m/>
    <m/>
    <x v="1"/>
    <m/>
    <m/>
    <x v="1"/>
    <s v=""/>
    <n v="0"/>
    <s v="ICICI Bank Coral RuPay Credit Card"/>
    <s v="30TH JUNE"/>
    <s v="0000000033808963"/>
    <d v="2026-06-29T00:00:00"/>
  </r>
  <r>
    <s v="4748469451613000"/>
    <s v="MR S MOHAN KRISHNA"/>
    <n v="0"/>
    <x v="0"/>
    <m/>
    <s v="CC"/>
    <s v="CUSTOMER SAID PAY ON 2ND"/>
    <s v="N"/>
    <x v="6"/>
    <s v="9666562748"/>
    <s v="X"/>
    <n v="11947.51999999999"/>
    <n v="120000"/>
    <n v="131947.51999999999"/>
    <n v="108571.34"/>
    <n v="23376.18"/>
    <n v="9017.4"/>
    <n v="23376.18"/>
    <n v="6762.47"/>
    <x v="1"/>
    <x v="2"/>
    <n v="7100"/>
    <n v="-337.52999999999975"/>
    <x v="19"/>
    <s v="TC"/>
    <s v="30501-BBPS Payment received"/>
    <s v="SAMBA"/>
    <x v="3"/>
    <x v="3"/>
    <s v="D.NO.28-6-36 HOUSING BOARD COLONY ANANTAPUR NEAR LIG BUSSTOP ANAPARTHI ANP 515001"/>
    <s v="MPL UP  SCHOOL SHANTHI NAGAR DHARMAVARAM ANANTAPUR DIST DHARMAVARAM ANANTAPUR DIST HINDUPUR ANP 515671"/>
    <s v="ANAPARTHI"/>
    <x v="1"/>
    <x v="12"/>
    <s v="POORNIMA"/>
    <n v="802824019"/>
    <s v="Nihan@2421"/>
    <m/>
    <m/>
    <x v="0"/>
    <s v="LIVE"/>
    <s v="Customer house shifted _x000a_Customer phone PTP on Tuesday:7th // Customer work address visited _x000a_Customer transfer // Customer work address visited _x000a_Customer PTP on today evening"/>
    <x v="15"/>
    <d v="2026-04-11T00:00:00"/>
    <n v="17331"/>
    <s v="ICICI Bank HPCL Super Saver Visa Credit Card"/>
    <s v="30TH JUNE"/>
    <s v="0000000024973864"/>
    <d v="2026-06-29T00:00:00"/>
  </r>
  <r>
    <s v="5241930539358008"/>
    <s v="MR AVIRNENI LINGARAO"/>
    <n v="0"/>
    <x v="0"/>
    <m/>
    <m/>
    <m/>
    <s v="N"/>
    <x v="6"/>
    <s v="9030040073"/>
    <s v="X"/>
    <n v="7857.0200000000041"/>
    <n v="120000"/>
    <n v="127857.02"/>
    <s v=""/>
    <n v="127857.02"/>
    <n v="119956.72"/>
    <n v="21940"/>
    <n v="6000"/>
    <x v="1"/>
    <x v="2"/>
    <n v="6000"/>
    <n v="0"/>
    <x v="19"/>
    <s v="TC"/>
    <s v="30501-BBPS Payment received"/>
    <s v="SAMBA"/>
    <x v="11"/>
    <x v="3"/>
    <s v="&quot;7-1-508 MANKAMMATHOTA,NEAR,HANUMAN TEMPL&quot; &quot;E,&quot;  NEAR HUNUMAN TEMPLE ADILABAD TNG 505001"/>
    <s v="SRI SRINIVASA WINES KOYYUR JAYASHANKAR BHUPALAPALLY JAYASHANKAR BHUPALAPALLY WARANGAL TNG 506169"/>
    <s v="KARIMNAGAR"/>
    <x v="0"/>
    <x v="8"/>
    <s v="SUMANTH"/>
    <n v="802370852"/>
    <s v="Sgr@9290"/>
    <m/>
    <m/>
    <x v="0"/>
    <s v="SKIP"/>
    <s v="stomer address not found and calls not answered need kyc sir // Customer shifted to another address and calls not receved need kyc"/>
    <x v="14"/>
    <d v="2025-10-30T00:00:00"/>
    <n v="119478.8"/>
    <s v="ICICI Rubyx PLT Credit Card (AMEX)"/>
    <s v="30TH JUNE"/>
    <s v="0000000028833389"/>
    <d v="2026-06-29T00:00:00"/>
  </r>
  <r>
    <s v="4748469608884009"/>
    <s v="MS MAERLA BINDU MADHAVI"/>
    <n v="0"/>
    <x v="0"/>
    <m/>
    <m/>
    <m/>
    <s v="N"/>
    <x v="6"/>
    <s v="7093140770"/>
    <s v="W"/>
    <n v="-63671.619999999995"/>
    <n v="190000"/>
    <n v="126328.38"/>
    <s v=""/>
    <n v="126328.38"/>
    <n v="114598.84"/>
    <n v="18090"/>
    <n v="6970"/>
    <x v="1"/>
    <x v="2"/>
    <n v="7000"/>
    <n v="-30"/>
    <x v="19"/>
    <s v="TC"/>
    <s v="30501-BBPS Payment received"/>
    <s v="SAMBA"/>
    <x v="0"/>
    <x v="3"/>
    <s v="H NO 9-211 PENUGONDA MANDALAM GHATALADIBBA MERLA VARI TOTA BHIMAVARAM ANP 534326"/>
    <s v="MAHINDRA RURAL HOUSING FINANCE LTD D NO 33-73 1ST FLOOR CHERUKUWADA PENUGONDA CHERUKUWADA PENUGONDA BHIMAVARAM ANP 534320"/>
    <s v="BHIMAVARAM"/>
    <x v="4"/>
    <x v="26"/>
    <s v="B NAGABABU"/>
    <n v="801448854"/>
    <s v="Sgr@9290"/>
    <m/>
    <m/>
    <x v="0"/>
    <m/>
    <m/>
    <x v="1"/>
    <d v="2026-03-11T00:00:00"/>
    <n v="3600"/>
    <s v="ICICI Bank Sapphiro Visa Credit Card"/>
    <s v="30TH JUNE"/>
    <s v="0000000027783343"/>
    <d v="2026-06-29T00:00:00"/>
  </r>
  <r>
    <s v="5241934239222001"/>
    <s v="Mr DONDAPATI MOHAN REDDY"/>
    <n v="0"/>
    <x v="0"/>
    <m/>
    <m/>
    <m/>
    <s v="N"/>
    <x v="6"/>
    <s v="9440282581"/>
    <s v="X"/>
    <n v="6118.6300000000047"/>
    <n v="120000"/>
    <n v="126118.63"/>
    <s v=""/>
    <n v="126118.63"/>
    <n v="108469.79"/>
    <n v="30380"/>
    <n v="10050"/>
    <x v="1"/>
    <x v="2"/>
    <n v="11354.49"/>
    <n v="-1304.4899999999998"/>
    <x v="16"/>
    <s v="TC"/>
    <s v="30501-BBPS Payment received"/>
    <s v="SAMBA"/>
    <x v="0"/>
    <x v="3"/>
    <s v="&quot;10-104-6/NA JAWAHAR,NAGAR,&quot; &quot;COLONY NEAR PUTTURU,HOSPITAL,MARKAPUR&quot;   NANDYAL ANP 523316"/>
    <s v="Tata Consultancy Services Ltd Press club Markapur Markapur NANDYAL ANP 523316"/>
    <s v="NANDYAL"/>
    <x v="1"/>
    <x v="37"/>
    <s v="DURGA"/>
    <n v="801723195"/>
    <s v="Sgr@9290"/>
    <m/>
    <m/>
    <x v="0"/>
    <m/>
    <m/>
    <x v="1"/>
    <d v="2026-05-07T00:00:00"/>
    <n v="12400"/>
    <s v="ICICI Bank MasterCard Coral Credit Card"/>
    <s v="4TH JULY"/>
    <s v="0000000018191190"/>
    <d v="2026-06-29T00:00:00"/>
  </r>
  <r>
    <s v="4748460106958007"/>
    <s v="MR POTHULAPADU SUDARSANREDDY"/>
    <n v="0"/>
    <x v="0"/>
    <m/>
    <m/>
    <m/>
    <s v="N"/>
    <x v="6"/>
    <s v="9703602072"/>
    <s v="J3"/>
    <n v="-85552.84"/>
    <n v="210000"/>
    <n v="124447.16"/>
    <s v=""/>
    <n v="124447.16"/>
    <n v="118863.94"/>
    <n v="13440"/>
    <n v="6740"/>
    <x v="1"/>
    <x v="1"/>
    <n v="13440"/>
    <n v="-6700"/>
    <x v="15"/>
    <s v="FE"/>
    <s v="30501-BBPS Payment received"/>
    <s v="SAMBA"/>
    <x v="2"/>
    <x v="3"/>
    <s v="2 148 PANCHALINGALA  PO  MEAIN ROAD DEVA GONDIPARLA PANCHALINGALAPO GONDIPARLA KURNOOL ANP 518004"/>
    <s v="Sukhi 135 7 maharashtra Maharashtra Maharasthra Maharashtra Maharasthra MUMBAI MAH 400607"/>
    <s v="KURNOOL"/>
    <x v="1"/>
    <x v="18"/>
    <s v="SAMBA"/>
    <n v="801772794"/>
    <s v="Ssde@9876"/>
    <m/>
    <m/>
    <x v="0"/>
    <m/>
    <m/>
    <x v="1"/>
    <d v="2025-11-25T00:00:00"/>
    <n v="12736.33"/>
    <s v="ICICI Bank Expressions Credit Card"/>
    <s v="4TH JULY"/>
    <s v="0000000024734004"/>
    <d v="2026-06-29T00:00:00"/>
  </r>
  <r>
    <s v="4375513090679003"/>
    <s v="MR Bellamkonda Joseph Thambi"/>
    <n v="0"/>
    <x v="0"/>
    <m/>
    <m/>
    <m/>
    <s v="N"/>
    <x v="6"/>
    <s v="9133754143"/>
    <s v="X"/>
    <n v="-15772.14"/>
    <n v="140000"/>
    <n v="124227.86"/>
    <s v=""/>
    <n v="124227.86"/>
    <n v="113989.02"/>
    <n v="17610"/>
    <n v="6660"/>
    <x v="1"/>
    <x v="2"/>
    <n v="6665"/>
    <n v="-5"/>
    <x v="18"/>
    <s v="TC"/>
    <s v="12124 - UPI Payment Received"/>
    <s v="SAMBA"/>
    <x v="0"/>
    <x v="3"/>
    <s v="3-150 attaluru attaluru Guntur NARASAPURAM ANP 522436"/>
    <s v="ITC PSPD SARAPAKA Burgampad Bhadradri Kothagudem Burgampad Bhadradri Kothagudem KHAMMAM TNG 507128"/>
    <s v="KHAMMAM"/>
    <x v="5"/>
    <x v="40"/>
    <s v="DURGA"/>
    <n v="801723195"/>
    <s v="Sgr@9290"/>
    <m/>
    <m/>
    <x v="0"/>
    <s v="SKIP"/>
    <s v="customer not available at house he was living in Telangana not lifting my phone call mess pass to mother.... // customer not available at house he was living in Telangana not lifting my phone call mess pass to family her father agreed to ptp today night or tomorrow morning.."/>
    <x v="18"/>
    <d v="2024-10-18T00:00:00"/>
    <n v="6780"/>
    <s v="ICICI Bank Expressions Credit Card"/>
    <s v="30TH JUNE"/>
    <s v="0000000022532002"/>
    <d v="2026-06-29T00:00:00"/>
  </r>
  <r>
    <s v="4375518265443002"/>
    <s v="MR YASARENI SURESH SURESH"/>
    <n v="0"/>
    <x v="0"/>
    <m/>
    <m/>
    <m/>
    <s v="N"/>
    <x v="6"/>
    <s v="9246978787"/>
    <s v="X"/>
    <n v="-6650.0299999999988"/>
    <n v="125000"/>
    <n v="118349.97"/>
    <s v=""/>
    <n v="118349.97"/>
    <n v="107795.75"/>
    <n v="28110"/>
    <n v="12920"/>
    <x v="1"/>
    <x v="1"/>
    <n v="50000"/>
    <n v="-37080"/>
    <x v="16"/>
    <s v="TC"/>
    <s v="30501-BBPS Payment received"/>
    <s v="SAMBA"/>
    <x v="3"/>
    <x v="3"/>
    <s v="&quot;3-87,CHINNAKODUR MANDAL,CHERLA ANKIREDDI&quot; &quot;PALLE,&quot;  . MEDAK TNG 502267"/>
    <s v="KRM ROADS INDIA PRIVATE LIMITE 138 OLD MAHABAIPURAM ROAD SHOLINGANALLUR CHENNAI CHENNAI CHENNAI TMN 600100"/>
    <s v="MEDAK"/>
    <x v="0"/>
    <x v="30"/>
    <s v="RAJKUMAR"/>
    <n v="802835406"/>
    <s v="Ssde@9290"/>
    <m/>
    <m/>
    <x v="0"/>
    <s v="LIVE"/>
    <s v="Customer office address visited sir his not available phone call not responding"/>
    <x v="13"/>
    <d v="2025-01-12T00:00:00"/>
    <n v="2888.62"/>
    <s v="ICICI Bank MasterCard  Platinum chip Credit Card"/>
    <s v="4TH JULY"/>
    <s v="0000000013782956"/>
    <d v="2026-06-29T00:00:00"/>
  </r>
  <r>
    <s v="4375513087031002"/>
    <s v="MR Chanda Dikshith"/>
    <n v="0"/>
    <x v="0"/>
    <m/>
    <m/>
    <m/>
    <s v="N"/>
    <x v="6"/>
    <s v="7659827850"/>
    <s v="X"/>
    <n v="-303045.37"/>
    <n v="420000"/>
    <n v="116954.63"/>
    <s v=""/>
    <n v="116954.63"/>
    <n v="106396.82"/>
    <n v="17830"/>
    <n v="6120"/>
    <x v="1"/>
    <x v="1"/>
    <n v="17830"/>
    <n v="-11710"/>
    <x v="12"/>
    <s v="TC"/>
    <s v="30501-BBPS Payment received"/>
    <s v="SAMBA"/>
    <x v="11"/>
    <x v="3"/>
    <s v="H No 9-18 chityala mandal Main Road Nalgonda NALGONDA TNG 508114"/>
    <s v="HARI HARA PUTRA RICE INDUSTRIES H.NO 9-18 CHITYALA  NALGONDA CHITYALA  NALGONDA NALGONDA TNG 508114"/>
    <s v="NALGONDA"/>
    <x v="0"/>
    <x v="17"/>
    <s v="INAMUL"/>
    <n v="802823175"/>
    <s v="Sgr@9290"/>
    <m/>
    <m/>
    <x v="0"/>
    <s v="LIVE"/>
    <s v="Customer home adress visit and Customer prasent not in home is going work purpose and call answer ptp on Monday"/>
    <x v="6"/>
    <d v="2025-08-10T00:00:00"/>
    <n v="14170"/>
    <s v="ICICI Bank Coral RuPay Credit Card"/>
    <s v="30TH JUNE"/>
    <s v="0000000021898428"/>
    <d v="2026-06-29T00:00:00"/>
  </r>
  <r>
    <s v="5241930535603001"/>
    <s v="MR REDDY LOVA KRISHNA PRASAD"/>
    <n v="0"/>
    <x v="0"/>
    <m/>
    <m/>
    <m/>
    <s v="N"/>
    <x v="6"/>
    <s v="8712349857"/>
    <s v="X"/>
    <n v="5172.1499999999942"/>
    <n v="110000"/>
    <n v="115172.15"/>
    <s v=""/>
    <n v="115172.15"/>
    <n v="102716.53"/>
    <n v="23810"/>
    <n v="7500"/>
    <x v="1"/>
    <x v="1"/>
    <n v="23810"/>
    <n v="-16310"/>
    <x v="13"/>
    <s v="TC"/>
    <s v="30501-BBPS Payment received"/>
    <s v="SAMBA"/>
    <x v="2"/>
    <x v="3"/>
    <s v="&quot;1-102,CHIVARI PETA KARAPA,MANDALAM,BHAVA&quot; &quot;RAM, Z  BHAVARAM&quot;  NEAR BY RAITHU BAROSA KAKINADA ANP 533462"/>
    <s v="GOVERNMENT OF ANDHRA PRADESH MPPP SCHOOL CHINTAPALLI PEDAPUDI MANDALAM PEDAPUDI MANDALAM RAJAHMUNDRY ANP 533344"/>
    <s v="KAKINADA"/>
    <x v="4"/>
    <x v="23"/>
    <s v="UDAY"/>
    <n v="801436997"/>
    <s v="Ssd@9290"/>
    <m/>
    <m/>
    <x v="0"/>
    <m/>
    <m/>
    <x v="1"/>
    <d v="2024-12-10T00:00:00"/>
    <n v="12600"/>
    <s v="ICICI Bank Coral Credit Card"/>
    <s v="4TH JULY"/>
    <s v="0000000028675775"/>
    <d v="2026-06-29T00:00:00"/>
  </r>
  <r>
    <s v="374740328044002"/>
    <s v="Mr KUNTA SAI"/>
    <n v="0"/>
    <x v="0"/>
    <m/>
    <m/>
    <m/>
    <s v="N"/>
    <x v="6"/>
    <s v="9642941155"/>
    <s v="X"/>
    <n v="-135140.10999999999"/>
    <n v="250000"/>
    <n v="114859.89"/>
    <s v=""/>
    <n v="114859.89"/>
    <n v="99865.44"/>
    <n v="24740"/>
    <n v="5000"/>
    <x v="0"/>
    <x v="0"/>
    <n v="0"/>
    <n v="5000"/>
    <x v="0"/>
    <s v="NA"/>
    <s v="12111-ICICI BANK COLLECTION PAYMENT"/>
    <s v="SAMBA"/>
    <x v="3"/>
    <x v="3"/>
    <s v="&quot;H NO,15-3-686 L B NAGAR,GODAVARIKHANI,&quot; RAMAGUNDAM   RAMAGUNDAM TNG 505209"/>
    <s v="Sai Lb nagar Godavarikhani Godavarikhani RAMAGUNDAM TNG 505209"/>
    <s v="PEDDAPALLI"/>
    <x v="0"/>
    <x v="41"/>
    <s v="V Sridhar"/>
    <n v="801174030"/>
    <s v="Sgr@0987"/>
    <m/>
    <m/>
    <x v="0"/>
    <s v="DL"/>
    <s v="ustomer given address visit customer not available door locked, customer call not answer"/>
    <x v="16"/>
    <d v="2026-03-21T00:00:00"/>
    <n v="4500"/>
    <s v="ICICI Bank Coral RuPay Credit Card"/>
    <s v="30TH JUNE"/>
    <s v="0000000017993028"/>
    <d v="2026-06-29T00:00:00"/>
  </r>
  <r>
    <s v="376944884932000"/>
    <s v="MR CHANDA NAVEEN KUMAR"/>
    <n v="0"/>
    <x v="0"/>
    <m/>
    <m/>
    <m/>
    <s v="N"/>
    <x v="6"/>
    <s v="7780749304"/>
    <s v="X"/>
    <n v="-36257.360000000001"/>
    <n v="150000"/>
    <n v="113742.64"/>
    <s v=""/>
    <n v="113742.64"/>
    <n v="106722.94"/>
    <n v="17690"/>
    <n v="9760"/>
    <x v="1"/>
    <x v="2"/>
    <n v="9760"/>
    <n v="0"/>
    <x v="15"/>
    <s v="FE"/>
    <s v="30501-BBPS Payment received"/>
    <s v="SAMBA"/>
    <x v="0"/>
    <x v="3"/>
    <s v="3-10-435/3 CHANDRA NAGAR CHANDRA NAGAR SRM FUNCTION HALL NIZAMABAD TNG 503001"/>
    <s v="ALKEM LABORATORIES LIMITED C/O PADMALAYA MEDICAL AGENCIES &quot;7-10-935/2, RP ROAD NIZAMABAD&quot; &quot;7-10-935/2, RP ROAD NIZAMABAD&quot; NIZAMABAD TNG 503001"/>
    <s v="NIZAMABAD"/>
    <x v="0"/>
    <x v="9"/>
    <s v="D RAMU"/>
    <n v="802663344"/>
    <s v="Sgr@9290"/>
    <m/>
    <m/>
    <x v="0"/>
    <s v="LIVE"/>
    <s v=" customer paymet on monday"/>
    <x v="11"/>
    <d v="2024-11-30T00:00:00"/>
    <n v="37968.379999999997"/>
    <s v="ICICI Bank HPCL Super Saver Visa Credit Card"/>
    <s v="30TH JUNE"/>
    <s v="0000000028720544"/>
    <d v="2026-06-29T00:00:00"/>
  </r>
  <r>
    <s v="4748469431836002"/>
    <s v="MR LEVAKU RAJASEKHAR REDDY"/>
    <n v="0"/>
    <x v="1"/>
    <m/>
    <m/>
    <m/>
    <s v="N"/>
    <x v="6"/>
    <s v="9866101278"/>
    <s v="X"/>
    <n v="9407.0599999999977"/>
    <n v="100000"/>
    <n v="109407.06"/>
    <s v=""/>
    <n v="109407.06"/>
    <n v="98666"/>
    <n v="25770"/>
    <n v="10940"/>
    <x v="1"/>
    <x v="1"/>
    <n v="109407.06"/>
    <n v="-98467.06"/>
    <x v="13"/>
    <s v="TC"/>
    <s v="30501-BBPS Payment received"/>
    <s v="SAMBA"/>
    <x v="1"/>
    <x v="3"/>
    <s v="1/126 VEDURURU VEDURURU NEAR RAMALAYAM PRODDATUR ANP 516355"/>
    <s v="CSG SYSTEMS INTERNATIONAL INDIA PRIVATE EMVASSY TECH VILLAGE GROUND FLOOR BLOCK 7B DEVARABISANAHALLI BANGALORE BLOCK 7B DEVARABISANAHALLI BANGALORE BANGALORE KAR 560103"/>
    <s v="PRODDATUR"/>
    <x v="1"/>
    <x v="15"/>
    <s v="VSSK PRASAD"/>
    <n v="802349062"/>
    <s v="Ssd@9290"/>
    <m/>
    <m/>
    <x v="0"/>
    <m/>
    <m/>
    <x v="1"/>
    <d v="2025-10-14T00:00:00"/>
    <n v="6532"/>
    <s v="ICICI Bank Expressions Credit Card"/>
    <s v="4TH JULY"/>
    <s v="0000000024681724"/>
    <d v="2026-06-29T00:00:00"/>
  </r>
  <r>
    <s v="4375516954958009"/>
    <s v="Mr Kosaraju Manohar"/>
    <n v="0"/>
    <x v="0"/>
    <m/>
    <m/>
    <m/>
    <s v="N"/>
    <x v="6"/>
    <s v="8919926992"/>
    <s v="X"/>
    <n v="4222.0800000000017"/>
    <n v="105000"/>
    <n v="109222.08"/>
    <s v=""/>
    <n v="109222.08"/>
    <n v="98251.78"/>
    <n v="20750"/>
    <n v="5290"/>
    <x v="1"/>
    <x v="1"/>
    <n v="20750"/>
    <n v="-15460"/>
    <x v="17"/>
    <s v="FE"/>
    <s v="30501-BBPS Payment received"/>
    <s v="SAMBA"/>
    <x v="2"/>
    <x v="3"/>
    <s v="&quot;6-123-4,GURAJA ROAD,OPP HARSHAPLOTS, MUDINEPALLE&quot;    MUDINEPALLI ANP 521325"/>
    <s v="Not Applicable 6-123/4 Guraja Road Guraja Road MUDINEPALLI ANP 521325"/>
    <s v="GUDIVADA"/>
    <x v="4"/>
    <x v="32"/>
    <s v="BHARAT CHANDRA"/>
    <n v="802631601"/>
    <s v="Ssde@9290"/>
    <m/>
    <m/>
    <x v="0"/>
    <s v="MESS"/>
    <s v="Remark Customer Out Of Cuntry Inform To Customer Father Call Back Evening Sir"/>
    <x v="16"/>
    <d v="2026-05-04T00:00:00"/>
    <n v="27990"/>
    <s v="ICICI Rubyx PLT Credit Card (AMEX)"/>
    <s v="30TH JUNE"/>
    <s v="0000000016161274"/>
    <d v="2026-06-29T00:00:00"/>
  </r>
  <r>
    <s v="5241937844318015"/>
    <s v="MR AKULA SRIKANTH"/>
    <n v="0"/>
    <x v="0"/>
    <m/>
    <m/>
    <m/>
    <s v="N"/>
    <x v="6"/>
    <s v="8341852197"/>
    <s v="X"/>
    <n v="7305.4600000000064"/>
    <n v="100000"/>
    <n v="107305.46"/>
    <n v="5971.86"/>
    <n v="101333.6"/>
    <n v="93604.85"/>
    <n v="28670"/>
    <n v="10210"/>
    <x v="1"/>
    <x v="1"/>
    <n v="28670"/>
    <n v="-18460"/>
    <x v="0"/>
    <s v="D"/>
    <s v="30501-BBPS Payment received"/>
    <s v="SAMBA"/>
    <x v="11"/>
    <x v="3"/>
    <s v="&quot;H NO,2-10-944 BANK COLONY,HANMAKONDA,&quot; WADDEPALLE RURAL WARANGAL - WARANGAL ANP 506370"/>
    <s v="KINTETSU GLOBAL IT INC QCITY 2ND FLOOR BLOCK  B GACHIBOWLI HYDERABAD GACHIBOWLI HYDERABAD HYDERABAD TNG 500032"/>
    <s v="WARANGAL"/>
    <x v="0"/>
    <x v="0"/>
    <s v="AKHIL"/>
    <n v="801772792"/>
    <s v="Sgr@9290"/>
    <m/>
    <m/>
    <x v="0"/>
    <m/>
    <m/>
    <x v="1"/>
    <d v="2025-03-01T00:00:00"/>
    <n v="13533.85"/>
    <s v="ICICI Bank Coral RuPay Credit Card"/>
    <s v="30TH JUNE"/>
    <s v="0000000031460273"/>
    <d v="2026-06-29T00:00:00"/>
  </r>
  <r>
    <s v="4748469432890008"/>
    <s v="MR KOLE RANGA NAYAKULU"/>
    <s v="RTP"/>
    <x v="2"/>
    <n v="1"/>
    <s v="CC"/>
    <s v="CUSTOMER MOBILE RINGING NOT RESPONDING"/>
    <s v="O"/>
    <x v="6"/>
    <s v="9490601554"/>
    <s v="X"/>
    <n v="5433.820000000007"/>
    <n v="100000"/>
    <n v="105433.82"/>
    <s v=""/>
    <n v="105433.82"/>
    <n v="99107.36"/>
    <n v="27080"/>
    <n v="15250"/>
    <x v="1"/>
    <x v="2"/>
    <n v="16000"/>
    <n v="-750"/>
    <x v="17"/>
    <s v="TC"/>
    <n v="0"/>
    <s v="SAMBA"/>
    <x v="11"/>
    <x v="3"/>
    <s v="D NO E 2 LAKEVIEW APARTMENT PRASANTH NAG &quot;MADANAPALLI ,MADANAPALLE ,,ANDHRA&quot;  MAIN ROAD MADANAPALLE ANP 517325"/>
    <s v="GOVERNMENT OF AP &quot;A P T W RESIDENTIAL SCHOOL, BESIDE MLL H&quot; &quot;MLL HOSPITAL, PUNGANUR ROAD, MADANAPALLI&quot; &quot;MLL HOSPITAL, PUNGANUR ROAD, MADANAPALLI&quot; MADANAPALLE ANP 517325"/>
    <s v="MADANAPALLE"/>
    <x v="1"/>
    <x v="25"/>
    <s v="S SEKHAR"/>
    <n v="845041675"/>
    <s v="Ssd@9290"/>
    <m/>
    <m/>
    <x v="0"/>
    <m/>
    <m/>
    <x v="1"/>
    <d v="2026-06-08T00:00:00"/>
    <n v="11000"/>
    <s v="ICICI Bank HPCL Super Saver Visa Credit Card"/>
    <s v="4TH JULY"/>
    <s v="0000000024694929"/>
    <d v="2026-06-29T00:00:00"/>
  </r>
  <r>
    <s v="5241930757824004"/>
    <s v="MR I VEENA REDDY"/>
    <n v="0"/>
    <x v="0"/>
    <m/>
    <m/>
    <m/>
    <s v="N"/>
    <x v="6"/>
    <s v="9492155701"/>
    <s v="X"/>
    <n v="4579.25"/>
    <n v="100000"/>
    <n v="104579.25"/>
    <s v=""/>
    <n v="104579.25"/>
    <n v="93284.31"/>
    <n v="23780"/>
    <n v="9050"/>
    <x v="0"/>
    <x v="0"/>
    <n v="0"/>
    <n v="9050"/>
    <x v="0"/>
    <s v="NA"/>
    <n v="0"/>
    <s v="SAMBA"/>
    <x v="3"/>
    <x v="3"/>
    <s v="&quot;8-109, JAI HANUMAN STREET, SAI NAGAR&quot; PALAMANER PALAMANER NEAR KOLI HUT PALAMANER ANP 517408"/>
    <s v="AMAZON DEVELOPMENT CENTRE INDIA PRIVATE &quot;BAGMANE CONSTELLATION BUSINESS PARK,&quot; &quot;DODDANEKUNDI,BANGALORE&quot; &quot;DODDANEKUNDI,BANGALORE&quot; BANGALORE KAR 560037"/>
    <s v="PALAMANER"/>
    <x v="1"/>
    <x v="42"/>
    <s v="SK MUJEEB"/>
    <n v="802175739"/>
    <s v="Ssd@9290"/>
    <m/>
    <m/>
    <x v="1"/>
    <m/>
    <m/>
    <x v="1"/>
    <s v=""/>
    <n v="0"/>
    <s v="ICICI Rubyx Master PLT Chip Card"/>
    <s v="30TH JUNE"/>
    <s v="0000000031401630"/>
    <d v="2026-06-29T00:00:00"/>
  </r>
  <r>
    <s v="4748469444148007"/>
    <s v="MR TUMMALAPALLI CHANDRA SEKHAR"/>
    <n v="0"/>
    <x v="0"/>
    <m/>
    <m/>
    <m/>
    <s v="N"/>
    <x v="6"/>
    <s v="9182444492"/>
    <s v="X"/>
    <n v="-185758.72"/>
    <n v="290000"/>
    <n v="104241.28"/>
    <n v="9732.25"/>
    <n v="94509.03"/>
    <n v="83601.41"/>
    <n v="36800"/>
    <n v="18550"/>
    <x v="0"/>
    <x v="0"/>
    <n v="0"/>
    <n v="18550"/>
    <x v="0"/>
    <s v="NA"/>
    <n v="0"/>
    <s v="SAMBA"/>
    <x v="2"/>
    <x v="3"/>
    <s v="&quot;3-276/6, MADHAPATNAM, SAMARLAKOTA MANDAL&quot; &quot;MADHAVAPATNAM, EAST GODAVARI, ANDHRA&quot; PRADESH BESIDE RAMALAYAM KAKINADA ANP 533005"/>
    <s v="AXIS BANK LIMITED &quot;AXIS BANK, 12/2/32, VINAYA COMPLEX, DANT&quot; &quot;VARI STREET, KAKINADA, ANDHRA PRADESH&quot; &quot;VARI STREET, KAKINADA, ANDHRA PRADESH&quot; KAKINADA ANP 533001"/>
    <s v="KAKINADA"/>
    <x v="4"/>
    <x v="23"/>
    <s v="UDAY"/>
    <n v="801436997"/>
    <s v="Ssd@9290"/>
    <m/>
    <m/>
    <x v="0"/>
    <s v="SKIP"/>
    <s v="Customer office address visit customer not available skip enquiry not available not working ther // Customer home address visit customer not available skip address no identity person"/>
    <x v="13"/>
    <d v="2024-06-29T00:00:00"/>
    <n v="20035.169999999998"/>
    <s v="ICICI Bank HPCL Super Saver Visa Credit Card"/>
    <s v="30TH JUNE"/>
    <s v="0000000024878882"/>
    <d v="2026-06-29T00:00:00"/>
  </r>
  <r>
    <s v="4748469553609005"/>
    <s v="MS CHIPPADA VASAVI DEVI"/>
    <s v="RTP"/>
    <x v="2"/>
    <n v="1"/>
    <s v="CC"/>
    <s v="REMOVE"/>
    <s v="O"/>
    <x v="6"/>
    <s v="9542270174"/>
    <s v="X"/>
    <n v="2551.0800000000017"/>
    <n v="100000"/>
    <n v="102551.08"/>
    <n v="43125.03"/>
    <n v="59426.05"/>
    <n v="54397.39"/>
    <n v="25250"/>
    <n v="12710"/>
    <x v="0"/>
    <x v="0"/>
    <n v="0"/>
    <n v="12710"/>
    <x v="0"/>
    <s v="NA"/>
    <n v="0"/>
    <s v="SAMBA"/>
    <x v="11"/>
    <x v="3"/>
    <s v="2-87 KOVVURU MANDAL NEAR GANDHI STATUE NEAR GANDHI STATUE West Godavari ANP 534342"/>
    <s v="EASTERN POWER DISTRIBUTION COMPANY OF AP JAMPET RD ANNAPURANAMMA PETA RAJAMAHENDRAVARAM RAJAMAHENDRAVARAM RAJAHMUNDRY ANP 533101"/>
    <s v="WEST GODAVARI"/>
    <x v="4"/>
    <x v="33"/>
    <s v="MANIKANTA"/>
    <n v="802852449"/>
    <s v="Ssd@9290"/>
    <m/>
    <m/>
    <x v="1"/>
    <m/>
    <m/>
    <x v="1"/>
    <d v="2024-06-29T00:00:00"/>
    <n v="15010"/>
    <s v="ICICI Bank HPCL Super Saver Visa Credit Card"/>
    <s v="30TH JUNE"/>
    <s v="0000000026509073"/>
    <d v="2026-06-29T00:00:00"/>
  </r>
  <r>
    <s v="4748469570841003"/>
    <s v="MR REMIDALA VEERABABU"/>
    <n v="0"/>
    <x v="0"/>
    <m/>
    <m/>
    <m/>
    <s v="N"/>
    <x v="6"/>
    <s v="9059159720"/>
    <s v="X"/>
    <n v="11062.61"/>
    <n v="90000"/>
    <n v="101062.61"/>
    <s v=""/>
    <n v="101062.61"/>
    <n v="90050.2"/>
    <n v="26030"/>
    <n v="4928.49"/>
    <x v="0"/>
    <x v="0"/>
    <n v="0"/>
    <n v="4928.49"/>
    <x v="0"/>
    <s v="NA"/>
    <n v="0"/>
    <s v="SAMBA"/>
    <x v="3"/>
    <x v="3"/>
    <s v="1-1-36 ASHOK NAGAR BHADRACHALAM ROAD ABOVE UNION BANK  UNION BANK KHAMMAM TNG 507117"/>
    <s v="MANAPPURAM FINANCE LIMITED &quot;1-1-36,MANAUGURU BRANCH 1711,ASHOK NAGAR&quot; &quot;BADRACHALAM RD,KHAMMAM,TELANGANA&quot; &quot;BADRACHALAM RD,KHAMMAM,TELANGANA&quot; KHAMMAM TNG 507117"/>
    <s v="KHAMMAM"/>
    <x v="0"/>
    <x v="27"/>
    <s v="POORNIMA"/>
    <n v="802824019"/>
    <s v="Nihan@2421"/>
    <m/>
    <m/>
    <x v="0"/>
    <s v="SKIP"/>
    <s v="customer shifted this address cm staying in manuguru _x000a_Told by neighbour's call not responding"/>
    <x v="14"/>
    <d v="2026-04-09T00:00:00"/>
    <n v="13600"/>
    <s v="ICICI Bank HPCL Super Saver Visa Credit Card"/>
    <s v="4TH JULY"/>
    <s v="0000000026822900"/>
    <d v="2026-06-29T00:00:00"/>
  </r>
  <r>
    <s v="4748469556430003"/>
    <s v="MR BODDELA VIJAYA KUMAR"/>
    <s v="RTP"/>
    <x v="2"/>
    <n v="1"/>
    <s v="CC"/>
    <s v="REMOVE"/>
    <s v="O"/>
    <x v="6"/>
    <s v="9866027679"/>
    <s v="X"/>
    <n v="-882.89999999999418"/>
    <n v="100000"/>
    <n v="99117.1"/>
    <n v="76879.13"/>
    <n v="22237.97"/>
    <n v="18863.96"/>
    <n v="22230"/>
    <n v="10930.48"/>
    <x v="0"/>
    <x v="0"/>
    <n v="0"/>
    <n v="10930.48"/>
    <x v="0"/>
    <s v="NA"/>
    <n v="0"/>
    <s v="SAMBA"/>
    <x v="0"/>
    <x v="3"/>
    <s v="50/348/H27 KOTLA PEDDA NAGIREDDY COLONY POST B -CAMP KURNOOOL ANDHRAPRADESH TEMPLE KURNOOL ANP 518002"/>
    <s v="SVN CONSTRUCTIONS 50/348/H27 KOTHLA PEDDA NAGIREDDY COLONY KURNOOL NAGIREDDY COLONY KURNOOL KURNOOL ANP 518002"/>
    <s v="KURNOOL"/>
    <x v="1"/>
    <x v="18"/>
    <s v="SAMBA"/>
    <n v="801772794"/>
    <s v="Ssde@9876"/>
    <m/>
    <m/>
    <x v="0"/>
    <s v="LIVE"/>
    <s v="Customer not available contact by phone given ptp on 4th"/>
    <x v="9"/>
    <d v="2026-02-11T00:00:00"/>
    <n v="9750"/>
    <s v="ICICI Bank HPCL Super Saver Visa Credit Card"/>
    <s v="30TH JUNE"/>
    <s v="0000000026561168"/>
    <d v="2026-06-29T00:00:00"/>
  </r>
  <r>
    <s v="4748469409037005"/>
    <s v="MR VEERAMALLU SAI RAM"/>
    <n v="0"/>
    <x v="0"/>
    <m/>
    <m/>
    <m/>
    <s v="N"/>
    <x v="6"/>
    <s v="9346100609"/>
    <s v="J3"/>
    <n v="-202137.96000000002"/>
    <n v="300000"/>
    <n v="97862.04"/>
    <s v=""/>
    <n v="97862.04"/>
    <n v="93504.3"/>
    <n v="11940"/>
    <n v="6750"/>
    <x v="1"/>
    <x v="1"/>
    <n v="20000"/>
    <n v="-13250"/>
    <x v="15"/>
    <s v="TC"/>
    <s v="12124 - UPI Payment Received"/>
    <s v="SAMBA"/>
    <x v="0"/>
    <x v="3"/>
    <s v="&quot;4-200,YAMUNAPALLI NARASAPURAM,ROAD,,TADE&quot; RU WG 534202  NEAR RAMALAYAM BHIMAVARAM ANP 534202"/>
    <s v="WHISK SOFTWARE PRIVATE LIMITED &quot;LEVEL-2, N HEIGHTS, PLOT NO 38&quot; &quot;SERILINGAMPALLY MANDAL, HITECH CITY ROAD&quot; &quot;SERILINGAMPALLY MANDAL, HITECH CITY ROAD&quot; HYDERABAD TNG 500081"/>
    <s v="BHIMAVARAM"/>
    <x v="4"/>
    <x v="26"/>
    <s v="B NAGABABU"/>
    <n v="801448854"/>
    <s v="Sgr@9290"/>
    <m/>
    <m/>
    <x v="0"/>
    <s v="LIVE"/>
    <s v="cmr not there at home , cmr living in Hyderabad, cmr answered call and willing to pay on Sunday"/>
    <x v="6"/>
    <d v="2026-04-08T00:00:00"/>
    <n v="10087"/>
    <s v="ICICI Bank HPCL Super Saver Visa Credit Card"/>
    <s v="30TH JUNE"/>
    <s v="0000000024415316"/>
    <d v="2026-06-29T00:00:00"/>
  </r>
  <r>
    <s v="4748469500325002"/>
    <s v="MR KONERU MANOJ"/>
    <n v="0"/>
    <x v="0"/>
    <m/>
    <m/>
    <m/>
    <s v="N"/>
    <x v="6"/>
    <s v="9000885813"/>
    <s v="X"/>
    <n v="7290.7799999999988"/>
    <n v="90000"/>
    <n v="97290.78"/>
    <s v=""/>
    <n v="97290.78"/>
    <n v="86580.6"/>
    <n v="26150"/>
    <n v="14659.01"/>
    <x v="0"/>
    <x v="0"/>
    <n v="0"/>
    <n v="14659.01"/>
    <x v="0"/>
    <s v="NA"/>
    <n v="0"/>
    <s v="SAMBA"/>
    <x v="2"/>
    <x v="3"/>
    <s v="&quot;1/59-1 MAIN BAZAR,CUDDAPAH,RAILWAY KODUR&quot; &quot;,&quot;  NEAR TEMPLE CUDDAPAH ANP 516101"/>
    <s v="TEKGENCE INC PVT LTD DR NO 40-25-17 MUMMANENI RESIDENCY NETAJ I RD PATAMATALANKA I RD PATAMATALANKA VIJAYAWADA ANP 520010"/>
    <s v="CUDDAPAH"/>
    <x v="1"/>
    <x v="25"/>
    <s v="S SEKHAR"/>
    <n v="845041675"/>
    <s v="Ssd@9290"/>
    <m/>
    <m/>
    <x v="1"/>
    <m/>
    <m/>
    <x v="1"/>
    <d v="2026-03-11T00:00:00"/>
    <n v="24270"/>
    <s v="ICICI Bank HPCL Super Saver Visa Credit Card"/>
    <s v="4TH JULY"/>
    <s v="0000000025656318"/>
    <d v="2026-06-29T00:00:00"/>
  </r>
  <r>
    <s v="4748469561674009"/>
    <s v="MR MALLEMPALLI NISHANTH"/>
    <n v="0"/>
    <x v="0"/>
    <m/>
    <m/>
    <m/>
    <s v="N"/>
    <x v="6"/>
    <s v="8309783015"/>
    <s v="X"/>
    <n v="2716.0899999999965"/>
    <n v="90000"/>
    <n v="92716.09"/>
    <s v=""/>
    <n v="92716.09"/>
    <n v="82860.740000000005"/>
    <n v="17590"/>
    <n v="5490"/>
    <x v="1"/>
    <x v="1"/>
    <n v="17590"/>
    <n v="-12100"/>
    <x v="15"/>
    <s v="TC"/>
    <s v="30501-BBPS Payment received"/>
    <s v="SAMBA"/>
    <x v="0"/>
    <x v="3"/>
    <s v="3-82 KODAD WATER TANK BAZAR SRI ANJANEYA TEMPLE SURYAPET TNG 508206"/>
    <s v="TATA CONSULTANCY SERVICES LIMITED 12TH FLOOR COSMOS TOWERS 2 ISB ROAD FINANCIAL DISTRICT GACHIBOWLI NANAKRAMAG FINANCIAL DISTRICT GACHIBOWLI NANAKRAMAG HYDERABAD TNG 500032"/>
    <s v="SURYAPET"/>
    <x v="0"/>
    <x v="2"/>
    <s v="CHAITANYA"/>
    <n v="802555024"/>
    <s v="Ssde@9290"/>
    <m/>
    <m/>
    <x v="0"/>
    <m/>
    <m/>
    <x v="1"/>
    <d v="2026-02-02T00:00:00"/>
    <n v="40500"/>
    <s v="ICICI Bank HPCL Super Saver Visa Credit Card"/>
    <s v="4TH JULY"/>
    <s v="0000000026682601"/>
    <d v="2026-06-29T00:00:00"/>
  </r>
  <r>
    <s v="4748469515601009"/>
    <s v="MS LANKALAPALLI KRISHNA MANI"/>
    <n v="0"/>
    <x v="0"/>
    <m/>
    <m/>
    <m/>
    <s v="N"/>
    <x v="6"/>
    <s v="9701294155"/>
    <s v="X"/>
    <n v="8734.8000000000029"/>
    <n v="80000"/>
    <n v="88734.8"/>
    <s v=""/>
    <n v="88734.8"/>
    <n v="78384.05"/>
    <n v="23380"/>
    <n v="9510"/>
    <x v="1"/>
    <x v="1"/>
    <n v="23380"/>
    <n v="-13870"/>
    <x v="15"/>
    <s v="TC"/>
    <s v="30501-BBPS Payment received"/>
    <s v="SAMBA"/>
    <x v="0"/>
    <x v="3"/>
    <s v="3-49 RAZOLE MANDALAM RUDRA VARI MERAKA NEAR VINAYAKA TEMPLE AMALAPURAM ANP 533244"/>
    <s v="LEGATO HEALTH TECHNOLOGIES LLP &quot;TOWER 1, 9TH FLOOR, GAR CORP-LAXMI&quot; &quot;INFOBOHN SEZ, ORR SERVICE ROAD KOKAPET&quot; &quot;INFOBOHN SEZ, ORR SERVICE ROAD KOKAPET&quot; HYDERABAD TNG 500075"/>
    <s v="AMALAPURAM"/>
    <x v="4"/>
    <x v="28"/>
    <s v="B NAGABABU"/>
    <n v="801448854"/>
    <s v="Sgr@9290"/>
    <m/>
    <m/>
    <x v="0"/>
    <m/>
    <m/>
    <x v="1"/>
    <d v="2024-06-15T00:00:00"/>
    <n v="1170"/>
    <s v="ICICI Bank HPCL Super Saver Visa Credit Card"/>
    <s v="4TH JULY"/>
    <s v="0000000025917662"/>
    <d v="2026-06-29T00:00:00"/>
  </r>
  <r>
    <s v="5241930492254004"/>
    <s v="MR NAVEEN KUMAR CHILAKALA"/>
    <n v="0"/>
    <x v="0"/>
    <m/>
    <m/>
    <m/>
    <s v="N"/>
    <x v="6"/>
    <s v="7349668978"/>
    <s v="W"/>
    <n v="-313527.07"/>
    <n v="400000"/>
    <n v="86472.93"/>
    <s v=""/>
    <n v="86472.93"/>
    <n v="82698.25"/>
    <n v="10990"/>
    <n v="6439"/>
    <x v="1"/>
    <x v="2"/>
    <n v="6500"/>
    <n v="-61"/>
    <x v="18"/>
    <s v="FE"/>
    <s v="12124 - UPI Payment Received"/>
    <s v="SAMBA"/>
    <x v="3"/>
    <x v="3"/>
    <s v="&quot;2-1-82/3 TEKULAPALLI,KHAMMAM,KHAMMAM  UR&quot; BAN  MAIN ROAD KHAMMAM TNG 507002"/>
    <s v="HILABS INDIA PRIVATE LIMITED &quot;990,12TH MAIN 1ST CROSS RD HAL 2ND STAGE&quot; INDRANAGAR INDRANAGAR BANGALORE KAR 560038"/>
    <s v="KHAMMAM"/>
    <x v="0"/>
    <x v="2"/>
    <s v="CHAITANYA"/>
    <n v="802555024"/>
    <s v="Ssde@9290"/>
    <m/>
    <m/>
    <x v="0"/>
    <s v="DL"/>
    <s v=" have Visited Customer given house address customer not available found house locked customer call not answering need to revisit // ReVisited Customer given house address customer not available Customer brother available Customer present is in out of town customer call not answering customer brother mobile num_x000a_9848115782 // Customer paid 5,000/- Remaining amount given ptp by Tommorow // ReVisited Customer given house address customer not available in home customer went to tirupati Customer call not answering customer father mobile num_x000a_9849562193"/>
    <x v="17"/>
    <d v="2026-05-15T00:00:00"/>
    <n v="9811"/>
    <s v="ICICI Rubyx Master PLT Chip Card"/>
    <s v="4TH JULY"/>
    <s v="0000000026928858"/>
    <d v="2026-06-29T00:00:00"/>
  </r>
  <r>
    <s v="374740425895009"/>
    <s v="MR CHITHALURI RAVINDAR"/>
    <n v="0"/>
    <x v="0"/>
    <m/>
    <m/>
    <m/>
    <s v="N"/>
    <x v="6"/>
    <s v="9908978533"/>
    <s v="X"/>
    <n v="-13858.580000000002"/>
    <n v="100000"/>
    <n v="86141.42"/>
    <s v=""/>
    <n v="86141.42"/>
    <n v="73894.210000000006"/>
    <n v="16900"/>
    <n v="8250"/>
    <x v="1"/>
    <x v="1"/>
    <n v="16900"/>
    <n v="-8650"/>
    <x v="17"/>
    <s v="TC"/>
    <s v="30501-BBPS Payment received"/>
    <s v="SAMBA"/>
    <x v="0"/>
    <x v="3"/>
    <s v="YADADRI GREEN LEVELS BUNK ST 2ND RT 5TH HOUSE 13 144 29 PILLAMARRI BS INDIAN PETROL BUNK SURYAPET ANP 508213"/>
    <s v="GOVERNMENT OF TELANGANA ZPHS SCHOOL THIMMAPUR JAJIREDUGUDEM M JAJIREDUGUDEM M SURYAPET ANP 508224"/>
    <s v="SURYAPET"/>
    <x v="0"/>
    <x v="2"/>
    <s v="CHAITANYA"/>
    <n v="802555024"/>
    <s v="Ssde@9290"/>
    <m/>
    <m/>
    <x v="0"/>
    <m/>
    <m/>
    <x v="1"/>
    <d v="2024-11-04T00:00:00"/>
    <n v="567"/>
    <s v="ICICI Rubyx PLT Credit Card (AMEX)"/>
    <s v="4TH JULY"/>
    <s v="0000000019256181"/>
    <d v="2026-06-29T00:00:00"/>
  </r>
  <r>
    <s v="4748469614100002"/>
    <s v="MR CHANDOLU SYAM BABU"/>
    <n v="0"/>
    <x v="0"/>
    <m/>
    <m/>
    <m/>
    <s v="N"/>
    <x v="6"/>
    <s v="8328488640"/>
    <s v="X"/>
    <n v="4622.1199999999953"/>
    <n v="80000"/>
    <n v="84622.12"/>
    <n v="16518.14"/>
    <n v="68103.98"/>
    <n v="60713.26"/>
    <n v="15950"/>
    <n v="5960"/>
    <x v="1"/>
    <x v="1"/>
    <n v="15950"/>
    <n v="-9990"/>
    <x v="13"/>
    <s v="TC"/>
    <s v="30501-BBPS Payment received"/>
    <s v="SAMBA"/>
    <x v="3"/>
    <x v="3"/>
    <s v="4-68 CHINTALLANKA CHINTALLANKA  GUNTUR ANP 522324"/>
    <s v="GOVERNMENT OF AP &quot;SACHIVALAYAM,PESARULANKA&quot; &quot;KOLLURU,GUNTUR,BAPATLA&quot; &quot;KOLLURU,GUNTUR,BAPATLA&quot; GUNTUR ANP 522324"/>
    <s v="GUNTUR"/>
    <x v="5"/>
    <x v="43"/>
    <s v="INAMUL"/>
    <n v="802823175"/>
    <s v="Sgr@9290"/>
    <m/>
    <m/>
    <x v="0"/>
    <s v="LIVE"/>
    <s v="Ch will pay in 2days // Ch will pay tomorrow"/>
    <x v="12"/>
    <d v="2024-06-15T00:00:00"/>
    <n v="15010.39"/>
    <s v="ICICI Bank HPCL Super Saver Visa Credit Card"/>
    <s v="30TH JUNE"/>
    <s v="0000000027975544"/>
    <d v="2026-06-29T00:00:00"/>
  </r>
  <r>
    <s v="4748460154708007"/>
    <s v="MR Kurupudi Venkatesh"/>
    <n v="0"/>
    <x v="0"/>
    <m/>
    <m/>
    <m/>
    <s v="N"/>
    <x v="6"/>
    <s v="9100899629"/>
    <s v="X"/>
    <n v="-29449.570000000007"/>
    <n v="110000"/>
    <n v="80550.429999999993"/>
    <n v="27517.02"/>
    <n v="53033.41"/>
    <n v="48641"/>
    <n v="8860"/>
    <n v="4490"/>
    <x v="1"/>
    <x v="2"/>
    <n v="4500"/>
    <n v="-10"/>
    <x v="19"/>
    <s v="TC"/>
    <s v="30501-BBPS Payment received"/>
    <s v="SAMBA"/>
    <x v="11"/>
    <x v="3"/>
    <s v="SARPAVARAM. GOPINATH.COLONY. 5.223.10 OPPOSITE STREET GOPINATH COLONY KAKINADA ANP 533005"/>
    <s v="INDIINDIAN.RAILWAYS KAKINADA.NEW.PORT.RAILWAY.STATION. NEAR.SAMBAMURTY.NAGAR. NEAR.SAMBAMURTY.NAGAR. KAKINADA ANP 533005"/>
    <s v="KAKINADA"/>
    <x v="4"/>
    <x v="23"/>
    <s v="UDAY"/>
    <n v="801436997"/>
    <s v="Ssd@9290"/>
    <m/>
    <m/>
    <x v="0"/>
    <s v="SKIP"/>
    <s v="Customer address visit customer not available skip address need k"/>
    <x v="15"/>
    <s v=""/>
    <n v="0"/>
    <s v="ICICI Bank Expressions Credit Card"/>
    <s v="4TH JULY"/>
    <s v="0000000030299620"/>
    <d v="2026-06-29T00:00:00"/>
  </r>
  <r>
    <s v="4748469848361008"/>
    <s v="MR SUNKARI SAI"/>
    <n v="0"/>
    <x v="0"/>
    <m/>
    <m/>
    <m/>
    <s v="N"/>
    <x v="6"/>
    <s v="9949839991"/>
    <s v="X"/>
    <n v="10424.770000000004"/>
    <n v="70000"/>
    <n v="80424.77"/>
    <s v=""/>
    <n v="80424.77"/>
    <n v="69064.960000000006"/>
    <n v="28120"/>
    <n v="11190"/>
    <x v="1"/>
    <x v="2"/>
    <n v="11200"/>
    <n v="-10"/>
    <x v="16"/>
    <s v="TC"/>
    <s v="12124 - UPI Payment Received"/>
    <s v="SAMBA"/>
    <x v="0"/>
    <x v="3"/>
    <s v="&quot;H NO,2-69/3&quot; &quot;KOTHAPALLI,JAMMIKUNTA MANDALAM,,KOTHAPALLI&quot;  Karimnagar ADL TNG 505122"/>
    <s v="TOWER 02 SY NO 107 VILLAGE KOKAPET GAR LAXMI INFOBAHN 12TH FLOOR   HYD TNG 500075"/>
    <s v="PEDDAPALLI"/>
    <x v="0"/>
    <x v="41"/>
    <s v="V Sridhar"/>
    <n v="801174030"/>
    <s v="Sgr@0987"/>
    <m/>
    <m/>
    <x v="0"/>
    <m/>
    <m/>
    <x v="1"/>
    <d v="2026-04-22T00:00:00"/>
    <n v="29966"/>
    <s v="ICICI Bank HPCL Super Saver Visa Credit Card"/>
    <s v="30TH JUNE"/>
    <s v="0000000033328369"/>
    <d v="2026-06-29T00:00:00"/>
  </r>
  <r>
    <s v="4748469825578004"/>
    <s v="MR PENCHIKALA ADITHYA"/>
    <n v="0"/>
    <x v="0"/>
    <m/>
    <m/>
    <m/>
    <s v="N"/>
    <x v="6"/>
    <s v="8374399727"/>
    <s v="X"/>
    <n v="8816.6499999999942"/>
    <n v="70000"/>
    <n v="78816.649999999994"/>
    <s v=""/>
    <n v="78816.649999999994"/>
    <n v="69982.38"/>
    <n v="20810"/>
    <n v="8060"/>
    <x v="0"/>
    <x v="0"/>
    <n v="0"/>
    <n v="8060"/>
    <x v="0"/>
    <s v="NA"/>
    <n v="0"/>
    <s v="SAMBA"/>
    <x v="2"/>
    <x v="3"/>
    <s v="H NO 2-104/AMALLELA MADUGU KHAMMAM  MALLELA MADUGUBhadradri Kothagudem KAM TNG 507128"/>
    <s v="BHADRACHALAM TOWN BHADRADRI KOTHAGUDEM D NO 12-2-116 UDAY BHASKAR ROAD   KAM TNG 507111"/>
    <s v="KHAMMAM"/>
    <x v="0"/>
    <x v="27"/>
    <s v="POORNIMA"/>
    <n v="802824019"/>
    <s v="Nihan@2421"/>
    <m/>
    <m/>
    <x v="0"/>
    <s v="MESS"/>
    <s v=" customer not available home address he's mother live she said inform to customer"/>
    <x v="14"/>
    <s v=""/>
    <n v="0"/>
    <s v="ICICI Bank Coral RuPay Credit Card"/>
    <s v="4TH JULY"/>
    <s v="0000000032754128"/>
    <d v="2026-06-29T00:00:00"/>
  </r>
  <r>
    <s v="4748460156387008"/>
    <s v="MR GosulaBala Mahendra Reddy"/>
    <n v="0"/>
    <x v="0"/>
    <m/>
    <m/>
    <m/>
    <s v="N"/>
    <x v="6"/>
    <s v="9160245694"/>
    <s v="X"/>
    <n v="-13567.970000000001"/>
    <n v="90000"/>
    <n v="76432.03"/>
    <n v="53286.66"/>
    <n v="23145.37"/>
    <n v="18652.759999999998"/>
    <n v="15570"/>
    <n v="8130"/>
    <x v="1"/>
    <x v="1"/>
    <n v="15600"/>
    <n v="-7470"/>
    <x v="14"/>
    <s v="TC"/>
    <s v="30501-BBPS Payment received"/>
    <s v="SAMBA"/>
    <x v="2"/>
    <x v="3"/>
    <s v="1.61A VALLURU GOTUR Cuddapah PRODDATUR ANP 516293"/>
    <s v="MGB.MOTOR.AND.AUTO.AGENCIES.PVT.LTD OPPITE.GURUKUL.VIDYAPEET.HIGH.SCHOOL NEAY.Y.JUNCTION. NEAY.Y.JUNCTION. CUDDAPAH ANP 516001"/>
    <s v="CUDDAPAH"/>
    <x v="1"/>
    <x v="14"/>
    <s v="SIVARAU"/>
    <n v="801601134"/>
    <s v="Ssd@9290"/>
    <m/>
    <m/>
    <x v="0"/>
    <m/>
    <m/>
    <x v="1"/>
    <s v=""/>
    <n v="0"/>
    <s v="ICICI Bank Coral RuPay Credit Card"/>
    <s v="30TH JUNE"/>
    <s v="0000000030474925"/>
    <d v="2026-06-29T00:00:00"/>
  </r>
  <r>
    <s v="4748469802511002"/>
    <s v="MR Lonare Suresh"/>
    <n v="0"/>
    <x v="0"/>
    <m/>
    <m/>
    <m/>
    <s v="N"/>
    <x v="6"/>
    <s v="9010784111"/>
    <s v="X"/>
    <n v="-44050.14"/>
    <n v="120000"/>
    <n v="75949.86"/>
    <s v=""/>
    <n v="75949.86"/>
    <n v="67682.23"/>
    <n v="26990"/>
    <n v="19710"/>
    <x v="1"/>
    <x v="1"/>
    <n v="75949.86"/>
    <n v="-56239.86"/>
    <x v="12"/>
    <s v="TC"/>
    <s v="30501-BBPS Payment received"/>
    <s v="SAMBA"/>
    <x v="0"/>
    <x v="3"/>
    <s v="7.236 Rajampet ..Rajampet T R Nagar ADILABAD TNG 504293"/>
    <s v="KURNOOL.SEEDS.PRIVATE.LIMITED H.NO.7.236 TARAKA.RAM.NAGAR. TARAKA.RAM.NAGAR. ADILABAD TNG 504293"/>
    <s v="ADILABAD"/>
    <x v="0"/>
    <x v="24"/>
    <s v="K RAMU"/>
    <n v="802898520"/>
    <s v="Ssd@9290"/>
    <m/>
    <m/>
    <x v="0"/>
    <m/>
    <m/>
    <x v="1"/>
    <s v=""/>
    <n v="0"/>
    <s v="ICICI Bank HPCL Super Saver Visa Credit Card"/>
    <s v="4TH JULY"/>
    <s v="0000000032051669"/>
    <d v="2026-06-29T00:00:00"/>
  </r>
  <r>
    <s v="4748469461089019"/>
    <s v="MS MANDA JYOTHSNA"/>
    <n v="0"/>
    <x v="0"/>
    <m/>
    <m/>
    <m/>
    <s v="N"/>
    <x v="6"/>
    <s v="9949200273"/>
    <s v="X"/>
    <n v="5611.0800000000017"/>
    <n v="70000"/>
    <n v="75611.08"/>
    <s v=""/>
    <n v="75611.08"/>
    <n v="69498.320000000007"/>
    <n v="20250"/>
    <n v="12430"/>
    <x v="1"/>
    <x v="1"/>
    <n v="20250"/>
    <n v="-7820"/>
    <x v="15"/>
    <s v="TC"/>
    <s v="30501-BBPS Payment received"/>
    <s v="SAMBA"/>
    <x v="3"/>
    <x v="3"/>
    <s v="HNO 2-2 ACHHUMAIPALLY DUBBAK MANDAL CHEEKODE MEDAK NEAR HANUMAN TEMPLE MEDAK TNG 502108"/>
    <s v="ICICI BANK LIMITED 8-2-293A 1268 PLOT NO 1259 ROAD NO 36 JUBILEE HILLS ROAD NO 36 JUBILEE HILLS HYDERABAD TNG 500033"/>
    <s v="MEDAK"/>
    <x v="0"/>
    <x v="44"/>
    <s v="POORNIMA"/>
    <n v="802824019"/>
    <s v="Nihan@2421"/>
    <m/>
    <m/>
    <x v="0"/>
    <m/>
    <m/>
    <x v="1"/>
    <d v="2025-09-10T00:00:00"/>
    <n v="2"/>
    <s v="ICICI Bank HPCL Super Saver Visa Credit Card"/>
    <s v="30TH JUNE"/>
    <s v="0000000025090762"/>
    <d v="2026-06-29T00:00:00"/>
  </r>
  <r>
    <s v="4748469332636006"/>
    <s v="MS DANGE SAVITHA"/>
    <n v="0"/>
    <x v="0"/>
    <m/>
    <m/>
    <m/>
    <s v="O"/>
    <x v="6"/>
    <s v="8523064017"/>
    <s v="X"/>
    <n v="4916.3899999999994"/>
    <n v="70000"/>
    <n v="74916.39"/>
    <s v=""/>
    <n v="74916.39"/>
    <n v="67508"/>
    <n v="22000"/>
    <n v="14440"/>
    <x v="0"/>
    <x v="0"/>
    <n v="0"/>
    <n v="14440"/>
    <x v="0"/>
    <s v="NA"/>
    <n v="0"/>
    <s v="SAMBA"/>
    <x v="11"/>
    <x v="3"/>
    <s v="HOUSE NUMBER 4-27 NAGAPOORBALKONDA MANDALJALALPUR NIZAMABAD  MAIN ROAD NIZAMABAD TNG 503217"/>
    <s v="OTHERS GOVERMENTGOVERMENT OF TELANGANA MP UPSKODICHERA MANDAL MADNOOR KAMAREDDY   NIZAMABAD TNG 503111"/>
    <s v="NIZAMABAD"/>
    <x v="0"/>
    <x v="9"/>
    <s v="D RAMU"/>
    <n v="802663344"/>
    <s v="Sgr@9290"/>
    <m/>
    <m/>
    <x v="0"/>
    <s v="LIVE"/>
    <s v=" customer paymet on 8th date"/>
    <x v="6"/>
    <d v="2024-12-09T00:00:00"/>
    <n v="4500"/>
    <s v="ICICI Bank HPCL Super Saver Visa Credit Card"/>
    <s v="30TH JUNE"/>
    <s v="0000000023621233"/>
    <d v="2026-06-29T00:00:00"/>
  </r>
  <r>
    <s v="4748460164588001"/>
    <s v="MR Telugu Uday Kumar"/>
    <n v="0"/>
    <x v="0"/>
    <m/>
    <m/>
    <m/>
    <s v="N"/>
    <x v="6"/>
    <s v="9542678010"/>
    <s v="X"/>
    <n v="-5237.820000000007"/>
    <n v="80000"/>
    <n v="74762.179999999993"/>
    <n v="58810.13"/>
    <n v="15952.05"/>
    <n v="12486.13"/>
    <n v="15952.05"/>
    <n v="5320.55"/>
    <x v="0"/>
    <x v="0"/>
    <n v="0"/>
    <n v="5320.55"/>
    <x v="0"/>
    <s v="NA"/>
    <n v="0"/>
    <s v="SAMBA"/>
    <x v="0"/>
    <x v="3"/>
    <s v="H NO 45 335 LABOUR COLONY LABOUR COLONY Kurnool KURNOOL ANP 518005"/>
    <s v="GEOJIT INVESTMENT SERVICES LTD CIVIL LINE ROAD PADIVATTOM KOCHI PADIVATTOM KOCHI COCHIN KER 682024"/>
    <s v="KURNOOL"/>
    <x v="1"/>
    <x v="18"/>
    <s v="SAMBA"/>
    <n v="801772794"/>
    <s v="Ssde@9876"/>
    <m/>
    <m/>
    <x v="0"/>
    <s v="MESS"/>
    <s v="Customer not available contact by phone .he not responding.he msg me that he will meet tomorrow afternoon sir // Customer refused to pay because of finance problem.."/>
    <x v="11"/>
    <d v="2025-11-29T00:00:00"/>
    <n v="51138.76"/>
    <s v="ICICI Bank Coral RuPay Credit Card"/>
    <s v="30TH JUNE"/>
    <s v="0000000031180824"/>
    <d v="2026-06-29T00:00:00"/>
  </r>
  <r>
    <s v="5241933805506003"/>
    <s v="MR MAHESHWARLA VENKATARAJENDRA PR"/>
    <n v="0"/>
    <x v="0"/>
    <m/>
    <m/>
    <m/>
    <s v="N"/>
    <x v="6"/>
    <s v="9000093136"/>
    <s v="X"/>
    <n v="-83326.03"/>
    <n v="150000"/>
    <n v="66673.97"/>
    <s v=""/>
    <n v="66673.97"/>
    <n v="58355.59"/>
    <n v="11930"/>
    <n v="3285.44"/>
    <x v="1"/>
    <x v="2"/>
    <n v="3500"/>
    <n v="-214.55999999999995"/>
    <x v="19"/>
    <s v="TC"/>
    <s v="30501-BBPS Payment received"/>
    <s v="SAMBA"/>
    <x v="3"/>
    <x v="3"/>
    <s v="&quot;28/342 REDDIGARI STREET,RAMESWARAM,PRODDATUR&quot; - CUDDAPAH - CUDDAPAH ANP 516360"/>
    <s v="GAR CORPORATION PVT LTD SURVEY NO 83/P KOKAPET VILLAGE   Rangareddy TNG 500075"/>
    <s v="PRODDATUR"/>
    <x v="1"/>
    <x v="15"/>
    <s v="VSSK PRASAD"/>
    <n v="802349062"/>
    <s v="Ssd@9290"/>
    <m/>
    <m/>
    <x v="0"/>
    <m/>
    <m/>
    <x v="1"/>
    <d v="2026-01-09T00:00:00"/>
    <n v="265.37"/>
    <s v="ICICI Bank Coral Credit Card"/>
    <s v="30TH JUNE"/>
    <s v="0000000013458580"/>
    <d v="2026-06-29T00:00:00"/>
  </r>
  <r>
    <s v="4748460163007003"/>
    <s v="MR Karandekar Nagesh"/>
    <n v="0"/>
    <x v="0"/>
    <m/>
    <m/>
    <m/>
    <s v="N"/>
    <x v="6"/>
    <s v="7794847754"/>
    <s v="X"/>
    <n v="-116179.16"/>
    <n v="180000"/>
    <n v="63820.84"/>
    <n v="46174.49"/>
    <n v="17646.349999999999"/>
    <n v="13941.86"/>
    <n v="17130"/>
    <n v="8440"/>
    <x v="1"/>
    <x v="1"/>
    <n v="17646.349999999999"/>
    <n v="-9206.3499999999985"/>
    <x v="19"/>
    <s v="FE"/>
    <s v="30501-BBPS Payment received"/>
    <s v="SAMBA"/>
    <x v="3"/>
    <x v="3"/>
    <s v="3.81.A Mudgal Machkal Adilabad ADILABAD TNG 504102"/>
    <s v="OPTIVAL.HEALTH.SOLUTIONS.PVT.LTD KPHB.4TH.PHASE. RTO.OFFICE.ROAD.HYDERABAD.. RTO.OFFICE.ROAD.HYDERABAD.. HYDERABAD TNG 500072"/>
    <s v="ADILABAD"/>
    <x v="0"/>
    <x v="3"/>
    <s v="KANTH"/>
    <n v="802794852"/>
    <s v="Ssd@9290"/>
    <m/>
    <m/>
    <x v="0"/>
    <s v="LIVE"/>
    <s v="Customer visit office address meet customer PTP 10th"/>
    <x v="6"/>
    <d v="2026-05-05T00:00:00"/>
    <n v="15230"/>
    <s v="ICICI Bank Coral RuPay Credit Card"/>
    <s v="30TH JUNE"/>
    <s v="0000000031023248"/>
    <d v="2026-06-29T00:00:00"/>
  </r>
  <r>
    <s v="4748469344937004"/>
    <s v="MR GOLLA AVINASH"/>
    <n v="0"/>
    <x v="0"/>
    <m/>
    <m/>
    <m/>
    <s v="N"/>
    <x v="6"/>
    <s v="7799386464"/>
    <s v="Y"/>
    <n v="-67316.800000000003"/>
    <n v="130000"/>
    <n v="62683.199999999997"/>
    <s v=""/>
    <n v="62683.199999999997"/>
    <n v="57189.79"/>
    <n v="8930"/>
    <n v="3410"/>
    <x v="1"/>
    <x v="1"/>
    <n v="23000"/>
    <n v="-19590"/>
    <x v="19"/>
    <s v="TC"/>
    <s v="30501-BBPS Payment received"/>
    <s v="SAMBA"/>
    <x v="2"/>
    <x v="3"/>
    <s v="11-101/A AMBADKAR STREET  GUNTUR GUNTUR ANP 522304"/>
    <s v="QUESS CORP LIMITED 2-1-79 NGR RATHANA ARCRADE MUNISWAMY NAIDU MUNISWAMY NAIDU VIJAYAWADA ANP 522201"/>
    <s v="VIJAYAWADA"/>
    <x v="5"/>
    <x v="10"/>
    <s v="INAMUL"/>
    <n v="802823175"/>
    <s v="Sgr@9290"/>
    <m/>
    <m/>
    <x v="0"/>
    <m/>
    <m/>
    <x v="1"/>
    <d v="2025-06-11T00:00:00"/>
    <n v="650"/>
    <s v="ICICI Bank HPCL Super Saver Visa Credit Card"/>
    <s v="4TH JULY"/>
    <s v="0000000023759159"/>
    <d v="2026-06-29T00:00:00"/>
  </r>
  <r>
    <s v="4748469590066011"/>
    <s v="MR MARTHA NARESH KUMAR"/>
    <n v="0"/>
    <x v="0"/>
    <m/>
    <m/>
    <m/>
    <s v="N"/>
    <x v="6"/>
    <s v="9000131558"/>
    <s v="X"/>
    <n v="667.58999999999651"/>
    <n v="60000"/>
    <n v="60667.59"/>
    <n v="4170.68"/>
    <n v="56496.91"/>
    <n v="48582.01"/>
    <n v="13270"/>
    <n v="5750"/>
    <x v="1"/>
    <x v="1"/>
    <n v="13270"/>
    <n v="-7520"/>
    <x v="16"/>
    <s v="TC"/>
    <s v="30501-BBPS Payment received"/>
    <s v="SAMBA"/>
    <x v="0"/>
    <x v="3"/>
    <s v="H NO 1-64 RAYAPARTHY PARKAL RAIPARTHY NEAR GOVT HOSPITAL WARANGAL TNG 506164"/>
    <s v="ATYATI TECHNOLOGIES PRIVATE LIMITED D NO 12-140/6/2A A1ST FLOOR HUZURABAD HUZURABAD HYDERABAD TNG 505468"/>
    <s v="WARANGAL"/>
    <x v="0"/>
    <x v="0"/>
    <s v="AKHIL"/>
    <n v="801772792"/>
    <s v="Sgr@9290"/>
    <m/>
    <m/>
    <x v="0"/>
    <m/>
    <m/>
    <x v="1"/>
    <d v="2025-10-28T00:00:00"/>
    <n v="12000"/>
    <s v="ICICI Bank HPCL Super Saver Visa Credit Card"/>
    <s v="4TH JULY"/>
    <s v="0000000027239367"/>
    <d v="2026-06-29T00:00:00"/>
  </r>
  <r>
    <s v="374742290454003"/>
    <s v="Mrs MEKALA BINDU"/>
    <n v="0"/>
    <x v="0"/>
    <m/>
    <m/>
    <m/>
    <s v="N"/>
    <x v="6"/>
    <s v="9848328537"/>
    <s v="X"/>
    <n v="4264.3499999999985"/>
    <n v="50000"/>
    <n v="54264.35"/>
    <s v=""/>
    <n v="54264.35"/>
    <n v="49014"/>
    <n v="14090"/>
    <n v="2460"/>
    <x v="1"/>
    <x v="2"/>
    <n v="2500"/>
    <n v="-40"/>
    <x v="14"/>
    <s v="TC"/>
    <s v="30501-BBPS Payment received"/>
    <s v="SAMBA"/>
    <x v="2"/>
    <x v="3"/>
    <s v="&quot;19-3,MARKANDEYA,-41/1 FLR,COLONY,&quot; &quot;GODAVARIKHANI,RAMAGUNDAM,RAMAGUNDAM&quot;   MEDAK TNG 503001"/>
    <s v="Elancer it solutions Hyderabad Gachibowli Gachibowli HYDERABAD TNG 500032"/>
    <s v="NIZAMABAD"/>
    <x v="0"/>
    <x v="9"/>
    <s v="D RAMU"/>
    <n v="802663344"/>
    <s v="Sgr@9290"/>
    <m/>
    <m/>
    <x v="0"/>
    <m/>
    <m/>
    <x v="1"/>
    <d v="2024-09-22T00:00:00"/>
    <n v="24040"/>
    <s v="ICICI Bank Coral RuPay Credit Card"/>
    <s v="30TH JUNE"/>
    <s v="0000000027273441"/>
    <d v="2026-06-29T00:00:00"/>
  </r>
  <r>
    <s v="4748469410937003"/>
    <s v="MR CHUNDURI SAI KOMAL"/>
    <n v="0"/>
    <x v="0"/>
    <m/>
    <m/>
    <m/>
    <s v="N"/>
    <x v="6"/>
    <s v="9505455999"/>
    <s v="X"/>
    <n v="-8670.43"/>
    <n v="60000"/>
    <n v="51329.57"/>
    <n v="10976.37"/>
    <n v="40353.199999999997"/>
    <n v="35491.82"/>
    <n v="13690"/>
    <n v="5500"/>
    <x v="1"/>
    <x v="1"/>
    <n v="18690"/>
    <n v="-13190"/>
    <x v="14"/>
    <s v="TC"/>
    <s v="30501-BBPS Payment received"/>
    <s v="SAMBA"/>
    <x v="11"/>
    <x v="3"/>
    <s v="&quot;50-95-5/1/3 SHIRDI MARG,.,SEETHAMMADHARA&quot; &quot;,,VISAKHAPATNAM,URBAN&quot;  NEAR SEETHAMMADHARA VISHAKAPATNAM ANP 530013"/>
    <s v="MYTECH GLOBAL PRIVATE LIMITED &quot;6-3-883/6/B, 2ND FLOOR,&quot; SINGHANIA TOWERS SINGHANIA TOWERS HYDERABAD TNG 500082"/>
    <s v="VISAKHAPATNAM"/>
    <x v="7"/>
    <x v="45"/>
    <s v="POORNIMA"/>
    <n v="802824019"/>
    <s v="Nihan@2421"/>
    <m/>
    <m/>
    <x v="0"/>
    <m/>
    <m/>
    <x v="1"/>
    <d v="2025-11-05T00:00:00"/>
    <n v="2000"/>
    <s v="ICICI Bank HPCL Super Saver Visa Credit Card"/>
    <s v="30TH JUNE"/>
    <s v="0000000024433326"/>
    <d v="2026-06-29T00:00:00"/>
  </r>
  <r>
    <s v="4315814110502016"/>
    <s v="MR ChintaRama Bhaskar Reddy"/>
    <s v="RTP"/>
    <x v="2"/>
    <n v="1"/>
    <s v="CC"/>
    <s v="ALREADY REMOVED CASE"/>
    <s v="N"/>
    <x v="7"/>
    <s v="7702299994"/>
    <s v="X"/>
    <n v="102980.80000000005"/>
    <n v="1000000"/>
    <n v="1102980.8"/>
    <s v=""/>
    <n v="1102980.8"/>
    <n v="999319.59"/>
    <n v="251460"/>
    <n v="44659.18"/>
    <x v="0"/>
    <x v="0"/>
    <n v="0"/>
    <n v="44659.18"/>
    <x v="0"/>
    <s v="NA"/>
    <n v="0"/>
    <s v="HARI"/>
    <x v="12"/>
    <x v="3"/>
    <s v="36.259.46 Chinna.chowk ..Chinna.chowk opposite manasa kalyana mantapam parking CUDDAPAH ANP 516002"/>
    <s v="STATE.BANK.OF.INDIA RTC.BUSSTAND.BRANCH KADAPA. KADAPA. CUDDAPAH ANP 516003"/>
    <s v="CUDDAPAH"/>
    <x v="1"/>
    <x v="14"/>
    <s v="SIVARAU"/>
    <n v="801601134"/>
    <s v="Ssd@9290"/>
    <m/>
    <m/>
    <x v="1"/>
    <m/>
    <m/>
    <x v="1"/>
    <d v="2025-07-01T00:00:00"/>
    <n v="99999"/>
    <s v="Amazon Pay ICICI Bank Credit Card"/>
    <s v="29TH JUNE"/>
    <s v="0000000026763535"/>
    <d v="2026-06-30T00:00:00"/>
  </r>
  <r>
    <s v="4315815971520005"/>
    <s v="MR NAGARAJU DEEKONDA"/>
    <n v="0"/>
    <x v="0"/>
    <m/>
    <m/>
    <m/>
    <s v="N"/>
    <x v="7"/>
    <s v="9553439039"/>
    <s v="X"/>
    <n v="34070.300000000047"/>
    <n v="750000"/>
    <n v="784070.3"/>
    <s v=""/>
    <n v="784070.3"/>
    <n v="708282.74"/>
    <n v="144600"/>
    <n v="42269.69"/>
    <x v="0"/>
    <x v="0"/>
    <n v="0"/>
    <n v="42269.69"/>
    <x v="0"/>
    <s v="NA"/>
    <s v="12111-ICICI BANK COLLECTION PAYMENT"/>
    <s v="HARI"/>
    <x v="4"/>
    <x v="3"/>
    <s v="2-41 SINGANNAGUDA KOKONDA    MEDAK TNG 502336"/>
    <s v="      "/>
    <s v="MEDAK"/>
    <x v="0"/>
    <x v="44"/>
    <s v="POORNIMA"/>
    <n v="802824019"/>
    <s v="Nihan@2421"/>
    <m/>
    <m/>
    <x v="0"/>
    <s v="LIVE"/>
    <s v="Customer given permanent house address visited sir his available given payment commitment tomorrow morning // Customer given permanent house address visited sir his available customer said refused to pay intentionally defaulter  // Customer given permanent house address visited sir  his not available phone call not responding inform to his sister "/>
    <x v="17"/>
    <d v="2026-05-07T00:00:00"/>
    <n v="4710"/>
    <s v="Amazon Pay ICICI Bank Credit Card"/>
    <s v="29TH JUNE"/>
    <s v="0000000034812033"/>
    <d v="2026-06-30T00:00:00"/>
  </r>
  <r>
    <s v="4375517808408001"/>
    <s v="MS YEDDULA RAMYA YADAV"/>
    <n v="0"/>
    <x v="0"/>
    <m/>
    <m/>
    <m/>
    <s v="N"/>
    <x v="7"/>
    <s v="9949651563"/>
    <s v="X"/>
    <n v="28868.109999999986"/>
    <n v="540000"/>
    <n v="568868.11"/>
    <s v=""/>
    <n v="568868.11"/>
    <n v="490933.99"/>
    <n v="181850"/>
    <n v="79970"/>
    <x v="1"/>
    <x v="2"/>
    <n v="121855.18"/>
    <n v="-41885.179999999993"/>
    <x v="15"/>
    <s v="TC"/>
    <s v="30501-BBPS Payment received"/>
    <s v="HARI"/>
    <x v="7"/>
    <x v="3"/>
    <s v="&quot;5-45/A PENDYALA,KANCHIKACHERLA,MANDALAM,&quot; ...  NEAR HANUMAN TEMPLE VIJAYAWADA ANP 521185"/>
    <s v="IQVIA RDS INDIA PRIVATE LIMITED OMEGA EMBASSY TECH SQUARE MARATHA HANLLI SARJAPUR OUTERRING ROAD KAVERAPPA LAYOUT SARJAPUR OUTERRING ROAD KAVERAPPA LAYOUT BANGALORE KAR 560103"/>
    <s v="VIJAYAWADA"/>
    <x v="3"/>
    <x v="31"/>
    <s v="SUDHAKAR"/>
    <n v="802913252"/>
    <s v="Ssd@9290"/>
    <m/>
    <m/>
    <x v="0"/>
    <s v="MESS"/>
    <s v="The customer's address is not yet known. We are looking for it. // We went to the customer's current address but the customer was not available. The customer was in America and their mother was there. We informed their mother. // I visited the customer's current address but she is not available I informed her mother // I visited the customer's current address but customer is not available at home, I informed her father and she is PTP today evening"/>
    <x v="13"/>
    <d v="2026-05-14T00:00:00"/>
    <n v="570"/>
    <s v="ICICI Bank HPCL Coral Platinum Credit Card"/>
    <s v="29TH JUNE"/>
    <s v="0000000011679087"/>
    <d v="2026-06-30T00:00:00"/>
  </r>
  <r>
    <s v="4315814152108003"/>
    <s v="MR ALAGAM KIRAN KUMAR"/>
    <n v="0"/>
    <x v="0"/>
    <m/>
    <m/>
    <m/>
    <s v="N"/>
    <x v="7"/>
    <s v="7032888426"/>
    <s v="X"/>
    <n v="61062.380000000005"/>
    <n v="500000"/>
    <n v="561062.38"/>
    <s v=""/>
    <n v="561062.38"/>
    <n v="499346.93"/>
    <n v="166730"/>
    <n v="95000"/>
    <x v="0"/>
    <x v="0"/>
    <n v="0"/>
    <n v="95000"/>
    <x v="0"/>
    <s v="NA"/>
    <s v="12111-ICICI BANK COLLECTION PAYMENT"/>
    <s v="HARI"/>
    <x v="8"/>
    <x v="3"/>
    <s v="3.7.1266.SIRSIK.1ST.FLOOR.SIRSIK.WARD.NO SIRSIK.KAGAZNAGAR ..  ADILABAD TNG 504296"/>
    <s v="NARAYANA.EDUCATIONAL.SOCIETY melanga.towers 80.84.10th.floor 80.84.10th.floor HYDERABAD TNG 500081"/>
    <s v="ADILABAD"/>
    <x v="0"/>
    <x v="24"/>
    <s v="K RAMU"/>
    <n v="802898520"/>
    <s v="Ssd@9290"/>
    <m/>
    <m/>
    <x v="0"/>
    <s v="SKIP"/>
    <s v="Customer given address visit address not found, trying to alternative call not answer // Customer given address visit customer not available informed to mother she saying customer not living here working in hyderabad call to him we don't know his financial matters, we have health issues"/>
    <x v="15"/>
    <d v="2024-10-02T00:00:00"/>
    <n v="46700"/>
    <s v="Amazon Pay ICICI Bank Credit Card"/>
    <s v="29TH JUNE"/>
    <s v="0000000026922551"/>
    <d v="2026-06-30T00:00:00"/>
  </r>
  <r>
    <s v="4375518022529036"/>
    <s v="MR DADALA KARTHIK"/>
    <s v="RTP"/>
    <x v="2"/>
    <n v="1"/>
    <s v="CC"/>
    <s v="ALREADY REMOVED CASE"/>
    <s v="N"/>
    <x v="7"/>
    <s v="9164757451"/>
    <s v="X"/>
    <n v="16496.560000000056"/>
    <n v="520000"/>
    <n v="536496.56000000006"/>
    <n v="448112.46"/>
    <n v="88384.1"/>
    <n v="64943.71"/>
    <n v="88200"/>
    <n v="42210"/>
    <x v="1"/>
    <x v="1"/>
    <n v="88200"/>
    <n v="-45990"/>
    <x v="1"/>
    <s v="TC"/>
    <n v="0"/>
    <s v="HARI"/>
    <x v="9"/>
    <x v="3"/>
    <s v="&quot;3-1-34,MAIN ROAD WARD-29,MARKANDA RAJU PETA,&quot; TUNI EAST GODAVARI - EAST GODAVARI ANP 533401"/>
    <s v="31 INFOTECH LTD NO-283/4 PRINCE INFOCITY-11 3RD FLLOR OMR KANDANCHAVADI OMR KANDANCHAVADI CHENNAI TMN 600096"/>
    <s v="KAKINADA"/>
    <x v="4"/>
    <x v="13"/>
    <s v="POORNIMA"/>
    <n v="802824019"/>
    <s v="Nihan@2421"/>
    <m/>
    <m/>
    <x v="0"/>
    <m/>
    <m/>
    <x v="1"/>
    <d v="2025-12-11T00:00:00"/>
    <n v="75000"/>
    <s v="ICICI Bank Platinum Chip Credit Card"/>
    <s v="29TH JUNE"/>
    <s v="0000000012561865"/>
    <d v="2026-06-30T00:00:00"/>
  </r>
  <r>
    <s v="4315812500983002"/>
    <s v="MR Guduru Kiran"/>
    <n v="0"/>
    <x v="0"/>
    <m/>
    <m/>
    <m/>
    <s v="O"/>
    <x v="7"/>
    <s v="9866430670"/>
    <s v="X"/>
    <n v="13061.340000000026"/>
    <n v="500000"/>
    <n v="513061.34"/>
    <n v="298980.78999999998"/>
    <n v="214080.55"/>
    <n v="198439.87"/>
    <n v="80090"/>
    <n v="42560"/>
    <x v="1"/>
    <x v="1"/>
    <n v="214080.55"/>
    <n v="-171520.55"/>
    <x v="11"/>
    <s v="TC"/>
    <s v="30501-BBPS Payment received"/>
    <s v="HARI"/>
    <x v="5"/>
    <x v="3"/>
    <s v="4-110 palakendram palakendram Khammam KHAMMAM TNG 507101"/>
    <s v="SRI ANJANEANEYA JEWELARRY CHINNA BAZAR CHINNA BAZAR CHINNA BAZAR KHAMMAM TNG 507101"/>
    <s v="KHAMMAM"/>
    <x v="0"/>
    <x v="27"/>
    <s v="POORNIMA"/>
    <n v="802824019"/>
    <s v="Nihan@2421"/>
    <m/>
    <m/>
    <x v="0"/>
    <s v="LIVE"/>
    <s v="customer live ptp given today evening // customer live call responded he said all ready talk to hari sir"/>
    <x v="11"/>
    <d v="2026-06-08T00:00:00"/>
    <n v="8200"/>
    <s v="Amazon Pay ICICI Bank Credit Card"/>
    <s v="29TH JUNE"/>
    <s v="0000000021004049"/>
    <d v="2026-06-30T00:00:00"/>
  </r>
  <r>
    <s v="4315814455049003"/>
    <s v="Mr NAGENDRA  THUMMURU"/>
    <n v="0"/>
    <x v="0"/>
    <m/>
    <m/>
    <m/>
    <s v="N"/>
    <x v="7"/>
    <s v="8179336627"/>
    <s v="X"/>
    <n v="22315.369999999995"/>
    <n v="480000"/>
    <n v="502315.37"/>
    <s v=""/>
    <n v="502315.37"/>
    <n v="478322.5"/>
    <n v="115260"/>
    <n v="67610"/>
    <x v="1"/>
    <x v="1"/>
    <n v="502315.37"/>
    <n v="-434705.37"/>
    <x v="16"/>
    <s v="TC"/>
    <s v="30556_Fee_Transport_Rev"/>
    <s v="HARI"/>
    <x v="8"/>
    <x v="3"/>
    <s v="&quot;1-42,OBULAPURAM,H/O NARUKULLAPADU VIA&quot; &quot;MYLAVARAM, REDDYGUDEM MANDAL&quot;   VIJAYAWADA ANP 521230"/>
    <s v="Foresee india pvt ltd Plot -631 flat-403 &quot;Jks kvr heights , matrusrinagar ,miyapur&quot; &quot;Jks kvr heights , matrusrinagar ,miyapur&quot; HYDERABAD TNG 500049"/>
    <s v="VIJAYAWADA"/>
    <x v="0"/>
    <x v="29"/>
    <s v="SUDHAKAR"/>
    <n v="802913252"/>
    <s v="Ssd@9290"/>
    <m/>
    <m/>
    <x v="0"/>
    <m/>
    <m/>
    <x v="1"/>
    <d v="2026-01-28T00:00:00"/>
    <n v="88420"/>
    <s v="Amazon Pay ICICI Bank Credit Card"/>
    <s v="1ST JULY"/>
    <s v="0000000027969411"/>
    <d v="2026-06-30T00:00:00"/>
  </r>
  <r>
    <s v="4315812930391008"/>
    <s v="MR Budharapu Srinivas"/>
    <n v="0"/>
    <x v="0"/>
    <m/>
    <s v="CC"/>
    <s v="CUS CALLS NOT RESPONDING//CUS ESCLATED THE MAIL TO THE BANK"/>
    <s v="N"/>
    <x v="7"/>
    <s v="8790847125"/>
    <s v="X"/>
    <n v="306626.02"/>
    <n v="190000"/>
    <n v="496626.02"/>
    <n v="273886.5"/>
    <n v="222739.52"/>
    <n v="207510.63"/>
    <n v="104340"/>
    <n v="29880"/>
    <x v="0"/>
    <x v="0"/>
    <n v="0"/>
    <n v="29880"/>
    <x v="0"/>
    <s v="NA"/>
    <n v="0"/>
    <s v="HARI"/>
    <x v="5"/>
    <x v="3"/>
    <s v="H.NO.3-33/1 &quot;VILL-POODUR, MDL-KODIMIAL&quot; &quot;VILL-POODUR, MDL-KODIMIAL&quot; POODUR VILLAGE KARIMNAGAR TNG 505501"/>
    <s v="JNTUH COLLEGE OF ENGINEERING VILL-NACHUPALLY &quot;MDL-KODIMIAL, DIST-JAGTIAL&quot; &quot;MDL-KODIMIAL, DIST-JAGTIAL&quot; KARIMNAGAR TNG 505501"/>
    <s v="KARIMNAGAR"/>
    <x v="0"/>
    <x v="8"/>
    <s v="SUMANTH"/>
    <n v="802370852"/>
    <s v="Sgr@9290"/>
    <m/>
    <m/>
    <x v="0"/>
    <s v="SKIP"/>
    <s v="Customer address visited and customer here permanent address he is in hyderabad he taken legal action sent to notices to bank"/>
    <x v="12"/>
    <d v="2026-04-21T00:00:00"/>
    <n v="31000"/>
    <s v="Amazon Pay ICICI Bank Credit Card"/>
    <s v="1ST JULY"/>
    <s v="0000000022245109"/>
    <d v="2026-06-30T00:00:00"/>
  </r>
  <r>
    <s v="4315812557331006"/>
    <s v="MR Podila Bheemesh Paparao"/>
    <n v="0"/>
    <x v="0"/>
    <m/>
    <m/>
    <m/>
    <s v="N"/>
    <x v="7"/>
    <s v="9985275939"/>
    <s v="X"/>
    <n v="-26564.429999999993"/>
    <n v="500000"/>
    <n v="473435.57"/>
    <n v="140613.85999999999"/>
    <n v="332821.71000000002"/>
    <n v="296270.55"/>
    <n v="72470"/>
    <n v="30860"/>
    <x v="0"/>
    <x v="0"/>
    <n v="0"/>
    <n v="30860"/>
    <x v="0"/>
    <s v="NA"/>
    <s v="12111-ICICI BANK COLLECTION PAYMENT"/>
    <s v="HARI"/>
    <x v="9"/>
    <x v="3"/>
    <s v="4-1-243 ROTARY NAGAR 5TH WARD Khammam KHAMMAM TNG 507002"/>
    <s v="9 TO 9  ONLINE SERVICES ROTARY NAGAR OPP TO VIJAYA MILK DAIRY KHAMMAM OPP TO VIJAYA MILK DAIRY KHAMMAM KHAMMAM TNG 507002"/>
    <s v="KHAMMAM"/>
    <x v="0"/>
    <x v="2"/>
    <s v="CHAITANYA"/>
    <n v="802555024"/>
    <s v="Ssde@9290"/>
    <m/>
    <m/>
    <x v="0"/>
    <s v="LIVE"/>
    <s v="I have Visited Customer Given address customer given shop address customer not available worker available customer call not answering need to revisit // ReVisited Customer Given Shop address Found shop was closed Customer call not answering // ReVisited Customer Given Shop address Customer not available here Customer brother available Customer call answered Customer refused to Pay"/>
    <x v="15"/>
    <d v="2026-05-04T00:00:00"/>
    <n v="73830"/>
    <s v="Amazon Pay ICICI Bank Credit Card"/>
    <s v="1ST JULY"/>
    <s v="0000000021150014"/>
    <d v="2026-06-30T00:00:00"/>
  </r>
  <r>
    <s v="4315814381439005"/>
    <s v="MR MOREEL SANTHOSH"/>
    <s v="RTP"/>
    <x v="0"/>
    <m/>
    <m/>
    <m/>
    <s v="N"/>
    <x v="7"/>
    <s v="9666644553"/>
    <s v="X"/>
    <n v="38772.640000000014"/>
    <n v="430000"/>
    <n v="468772.64"/>
    <s v=""/>
    <n v="468772.64"/>
    <n v="429743.55"/>
    <n v="103630"/>
    <n v="41200"/>
    <x v="0"/>
    <x v="0"/>
    <n v="0"/>
    <n v="41200"/>
    <x v="0"/>
    <s v="NA"/>
    <n v="0"/>
    <s v="HARI"/>
    <x v="7"/>
    <x v="3"/>
    <s v="H.NO.3.56.GANDHI.CHOWK.BANSWADA.DESAIPET DESAIPET ..  NIZAMABAD TNG 503187"/>
    <s v="Govt.of.Telangana H.no.3.56 Gandhi.chowk. Gandhi.chowk. NIZAMABAD TNG 503187"/>
    <s v="NIZAMABAD"/>
    <x v="0"/>
    <x v="9"/>
    <s v="D RAMU"/>
    <n v="802663344"/>
    <s v="Sgr@9290"/>
    <m/>
    <m/>
    <x v="0"/>
    <s v="SKIP"/>
    <s v="customer not available"/>
    <x v="16"/>
    <d v="2026-02-05T00:00:00"/>
    <n v="11785.31"/>
    <s v="Amazon Pay ICICI Bank Credit Card"/>
    <s v="7TH JULY"/>
    <s v="0000000027679556"/>
    <d v="2026-06-30T00:00:00"/>
  </r>
  <r>
    <s v="4315813539468007"/>
    <s v="MS Tammineni Sravani"/>
    <n v="0"/>
    <x v="0"/>
    <m/>
    <m/>
    <s v="CUS PAID STAB AMOUNT , 10-07-26"/>
    <s v="N"/>
    <x v="7"/>
    <s v="7893282644"/>
    <s v="X"/>
    <n v="45136.119999999995"/>
    <n v="420000"/>
    <n v="465136.12"/>
    <s v=""/>
    <n v="465136.12"/>
    <n v="417938.62"/>
    <n v="128950"/>
    <n v="88790"/>
    <x v="1"/>
    <x v="1"/>
    <n v="465136.12"/>
    <n v="-376346.12"/>
    <x v="17"/>
    <s v="TC"/>
    <s v="30501-BBPS Payment received"/>
    <s v="HARI"/>
    <x v="6"/>
    <x v="3"/>
    <s v="12 5 938 19 Housing board colony Adharsh nagar Raghuveera reddy guest house ANAPARTHI ANP 515001"/>
    <s v="SRI FAHSION 12 5 938 19 ADHARSH NAGAR RAGHUVEERA REDDY GUEST HOU ADHARSH NAGAR RAGHUVEERA REDDY GUEST HOU ANAPARTHI ANP 515001"/>
    <s v="ANAPARTHI"/>
    <x v="1"/>
    <x v="12"/>
    <s v="POORNIMA"/>
    <n v="802824019"/>
    <s v="Nihan@2421"/>
    <m/>
    <m/>
    <x v="0"/>
    <s v="SKIP"/>
    <s v="Customer address not found _x000a_Customer calls not responding"/>
    <x v="12"/>
    <d v="2024-09-27T00:00:00"/>
    <n v="44955"/>
    <s v="Amazon Pay ICICI Bank Credit Card"/>
    <s v="29TH JUNE"/>
    <s v="0000000024656323"/>
    <d v="2026-06-30T00:00:00"/>
  </r>
  <r>
    <s v="4315812713756005"/>
    <s v="MR MALLELA SADANANDAM"/>
    <n v="0"/>
    <x v="0"/>
    <m/>
    <m/>
    <m/>
    <s v="N"/>
    <x v="7"/>
    <s v="8712333202"/>
    <s v="X"/>
    <n v="8764.6199999999953"/>
    <n v="420000"/>
    <n v="428764.62"/>
    <n v="181765.89"/>
    <n v="246998.73"/>
    <n v="222928.46"/>
    <n v="62350"/>
    <n v="21830"/>
    <x v="0"/>
    <x v="0"/>
    <n v="0"/>
    <n v="21830"/>
    <x v="0"/>
    <s v="NA"/>
    <s v="12111-ICICI BANK COLLECTION PAYMENT"/>
    <s v="HARI"/>
    <x v="4"/>
    <x v="3"/>
    <s v="&quot;8-19/2,NARSINGPALLYVILLAGE,NYAVANDI,SIRK&quot;    NIZAMABAD TNG 503165"/>
    <s v="Intense technologies Pvt Ltd &quot;A1, Vikrampuri&quot; Secunderabad Secunderabad HYDERABAD TNG 500009"/>
    <s v="NIZAMABAD"/>
    <x v="0"/>
    <x v="38"/>
    <s v="PRASHANTH"/>
    <n v="802551967"/>
    <s v="Ssde@9290"/>
    <m/>
    <m/>
    <x v="0"/>
    <s v="LIVE"/>
    <s v="customer not available he not able to pay right now proceed with court order"/>
    <x v="17"/>
    <d v="2025-11-30T00:00:00"/>
    <n v="19380"/>
    <s v="Amazon Pay ICICI Bank Credit Card"/>
    <s v="7TH JULY"/>
    <s v="0000000021557910"/>
    <d v="2026-06-30T00:00:00"/>
  </r>
  <r>
    <s v="4315814953268006"/>
    <s v="MS. SRIRAMULA MANJU BHARGAVI"/>
    <n v="0"/>
    <x v="0"/>
    <m/>
    <m/>
    <m/>
    <s v="N"/>
    <x v="7"/>
    <s v="9948753579"/>
    <s v="X"/>
    <n v="392843.64"/>
    <n v="20000"/>
    <n v="412843.64"/>
    <s v=""/>
    <n v="412843.64"/>
    <n v="387351"/>
    <n v="399740"/>
    <n v="368360"/>
    <x v="0"/>
    <x v="0"/>
    <n v="0"/>
    <n v="368360"/>
    <x v="0"/>
    <s v="NA"/>
    <n v="0"/>
    <s v="HARI"/>
    <x v="9"/>
    <x v="3"/>
    <s v="H NO 10 9 106 GIRAMAJI PET WARANGAL NEAR MOHAN REDDY HOSPITAL Warangal TNG 506002"/>
    <s v="BHADARAKALI DRESSES HNO 8 3 93 STATION ROAD WARANGALA WARANGALA Warangal TNG 506002"/>
    <s v="WARANGAL"/>
    <x v="0"/>
    <x v="20"/>
    <s v="KARUNAKAR"/>
    <n v="801264672"/>
    <s v="Ssd@9291"/>
    <m/>
    <m/>
    <x v="0"/>
    <s v="SKIP"/>
    <s v="Visited Customer Given Adress Customer Shifted // Visited Customer 2nd Adress  here also Shifted // Visited Customer Work Adress Customer Not Working Heare"/>
    <x v="15"/>
    <d v="2024-11-30T00:00:00"/>
    <n v="12470"/>
    <s v="Amazon Pay ICICI Bank Credit Card"/>
    <s v="29TH JUNE"/>
    <s v="0000000030090900"/>
    <d v="2026-06-30T00:00:00"/>
  </r>
  <r>
    <s v="4315813455528016"/>
    <s v="MR Ejjagiri Srinivas"/>
    <n v="0"/>
    <x v="0"/>
    <m/>
    <m/>
    <m/>
    <s v="N"/>
    <x v="7"/>
    <s v="9014245456"/>
    <s v="X"/>
    <n v="160462.66999999998"/>
    <n v="240000"/>
    <n v="400462.67"/>
    <s v=""/>
    <n v="400462.67"/>
    <n v="354572.42"/>
    <n v="226170"/>
    <n v="180060"/>
    <x v="1"/>
    <x v="1"/>
    <n v="226309"/>
    <n v="-46249"/>
    <x v="18"/>
    <s v="TC"/>
    <s v="30501-BBPS Payment received"/>
    <s v="HARI"/>
    <x v="8"/>
    <x v="3"/>
    <s v="1 79 nallaguntapally nallaguntapally Karimnagar ADILABAD TNG 505001"/>
    <s v="RRA ASSOCIATES GROUND FLOOR 4  POULOMI TOWERS MUKARAMPURA KARIMNAGAR MUKARAMPURA KARIMNAGAR KARIMNAGAR TNG 505002"/>
    <s v="KARIMNAGAR"/>
    <x v="0"/>
    <x v="8"/>
    <s v="SUMANTH"/>
    <n v="802370852"/>
    <s v="Sgr@9290"/>
    <m/>
    <m/>
    <x v="0"/>
    <s v="MESS"/>
    <s v="Customer live in address and here parents living customer job in hyderabad he said prasent he have health problems and asking time"/>
    <x v="13"/>
    <d v="2025-05-11T00:00:00"/>
    <n v="41460"/>
    <s v="Amazon Pay ICICI Bank Credit Card"/>
    <s v="29TH JUNE"/>
    <s v="0000000024365979"/>
    <d v="2026-06-30T00:00:00"/>
  </r>
  <r>
    <s v="4315814024184000"/>
    <s v="MR VINJAMURI RAVITEJA"/>
    <n v="0"/>
    <x v="0"/>
    <m/>
    <m/>
    <m/>
    <s v="N"/>
    <x v="7"/>
    <s v="9666665122"/>
    <s v="X"/>
    <n v="18979.359999999986"/>
    <n v="380000"/>
    <n v="398979.36"/>
    <n v="329970.83"/>
    <n v="69008.53"/>
    <n v="46088.83"/>
    <n v="69008.53"/>
    <n v="32142.67"/>
    <x v="0"/>
    <x v="0"/>
    <n v="0"/>
    <n v="32142.67"/>
    <x v="0"/>
    <s v="NA"/>
    <n v="0"/>
    <s v="HARI"/>
    <x v="9"/>
    <x v="3"/>
    <s v="C.26.2. HYDERABAD.ROAD ..HYDERABAD.ROAD KONDAMALLI PALLI GodavariKhani TNG 508243"/>
    <s v="YOUGHEE.VASHTRALAYAM.H KONDAMALLEPALLY HYD.ROAD.. HYD.ROAD.. GodavariKhani TNG 508243"/>
    <s v="NALGONDA"/>
    <x v="0"/>
    <x v="21"/>
    <s v="PAVAN"/>
    <n v="802823180"/>
    <s v="Sgr@9290"/>
    <m/>
    <m/>
    <x v="1"/>
    <m/>
    <m/>
    <x v="1"/>
    <d v="2024-06-29T00:00:00"/>
    <n v="502.25"/>
    <s v="Amazon Pay ICICI Bank Credit Card"/>
    <s v="7TH JULY"/>
    <s v="0000000026463150"/>
    <d v="2026-06-30T00:00:00"/>
  </r>
  <r>
    <s v="4315813731884019"/>
    <s v="MR Jambula Radhakrishna"/>
    <n v="0"/>
    <x v="0"/>
    <m/>
    <s v="CC"/>
    <s v="30TH CARD GAME"/>
    <s v="N"/>
    <x v="7"/>
    <s v="9533499163"/>
    <s v="X"/>
    <n v="41609.19"/>
    <n v="350000"/>
    <n v="391609.19"/>
    <n v="99244.72"/>
    <n v="292364.46999999997"/>
    <n v="278189.69"/>
    <n v="70470"/>
    <n v="42250"/>
    <x v="1"/>
    <x v="1"/>
    <n v="292364.46999999997"/>
    <n v="-250114.46999999997"/>
    <x v="1"/>
    <s v="TC"/>
    <s v="12118 - NEFT PAYMENT RECEIVED"/>
    <s v="HARI"/>
    <x v="7"/>
    <x v="3"/>
    <s v="1 14 759 a kousar nagar Kousar Majid Adilabad ADILABAD TNG 504296"/>
    <s v="MPPS POTHAPALLY H  NO1 14 759 A KOUSAR MAJID ROAD KOUSAR MAJID ROAD KOUSAR MAJID ROAD KOUSAR MAJID ROAD ADILABAD TNG 504296"/>
    <s v="ADILABAD"/>
    <x v="0"/>
    <x v="24"/>
    <s v="K RAMU"/>
    <n v="802898520"/>
    <s v="Ssd@9290"/>
    <m/>
    <m/>
    <x v="0"/>
    <s v="MESS"/>
    <s v="Customer given address visit customer not available informed to mother, trying by call"/>
    <x v="0"/>
    <d v="2024-10-29T00:00:00"/>
    <n v="80000"/>
    <s v="Amazon Pay ICICI Bank Credit Card"/>
    <s v="29TH JUNE"/>
    <s v="0000000025266375"/>
    <d v="2026-06-30T00:00:00"/>
  </r>
  <r>
    <s v="4315813933298000"/>
    <s v="MR Suraboina Srinivasa Babu"/>
    <n v="0"/>
    <x v="0"/>
    <m/>
    <m/>
    <m/>
    <s v="N"/>
    <x v="7"/>
    <s v="9703087024"/>
    <s v="X"/>
    <n v="359249.94"/>
    <n v="20000"/>
    <n v="379249.94"/>
    <n v="334280.49"/>
    <n v="44969.45"/>
    <n v="28274.52"/>
    <n v="44969.45"/>
    <n v="22303.51"/>
    <x v="1"/>
    <x v="2"/>
    <n v="22400"/>
    <n v="-96.490000000001601"/>
    <x v="16"/>
    <s v="TC"/>
    <s v="30501-BBPS Payment received"/>
    <s v="HARI"/>
    <x v="4"/>
    <x v="3"/>
    <s v="DOOR.NUMBER.5.21.25 BRODIPETA.2.3 ..BRODIPETA.2.3 Guntur GUNTUR ANP 522002"/>
    <s v="SRI.SAI.VIGNESWARA.CABLE.NETWORNETWORKS GARDENS.7TH.LINE BESIDE.CAPITAL.HOTEL.ROAD. BESIDE.CAPITAL.HOTEL.ROAD. GUNTUR ANP 522007"/>
    <s v="GUNTUR"/>
    <x v="5"/>
    <x v="11"/>
    <s v="INAMUL"/>
    <n v="802823175"/>
    <s v="Sgr@9290"/>
    <m/>
    <m/>
    <x v="0"/>
    <s v="LIVE"/>
    <s v="VISITED CUSTOMER GIVEN HOUSE ADDRESS CUSTOMER NOT AVAILABLE IN THIS ADDRESS RESPOND TO PHONE CALL SAID THAT CALL BACK TOMORROW WANT TO REVISIT AGAIN FOR WORKING ADDRESS"/>
    <x v="14"/>
    <d v="2026-03-01T00:00:00"/>
    <n v="350000"/>
    <s v="Amazon Pay ICICI Bank Credit Card"/>
    <s v="1ST JULY"/>
    <s v="0000000026074790"/>
    <d v="2026-06-30T00:00:00"/>
  </r>
  <r>
    <s v="4315813356768000"/>
    <s v="MR Godugu Anjaneyulu"/>
    <n v="0"/>
    <x v="0"/>
    <m/>
    <m/>
    <m/>
    <s v="N"/>
    <x v="7"/>
    <s v="9703857464"/>
    <s v="X"/>
    <n v="77216.140000000014"/>
    <n v="295000"/>
    <n v="372216.14"/>
    <n v="29293.49"/>
    <n v="342922.65"/>
    <n v="314430.3"/>
    <n v="84820"/>
    <n v="29430"/>
    <x v="0"/>
    <x v="0"/>
    <n v="0"/>
    <n v="29430"/>
    <x v="0"/>
    <s v="NA"/>
    <n v="0"/>
    <s v="HARI"/>
    <x v="6"/>
    <x v="3"/>
    <s v="H NO 9 31 1 SRIRAM NAGAR COLONY PEERZADIGUDA NEAR BUS DEPOT HYDERABAD TNG 500098"/>
    <s v="BAJAJ FINSERV LIMITED BHOODHAN POCHAMPALLY YADADRI BHUVANAGIRI YADADRI BHUVANAGIRI NALGONDA TNG 508284"/>
    <s v="NALGONDA"/>
    <x v="0"/>
    <x v="22"/>
    <s v="PAVAN"/>
    <n v="802823180"/>
    <s v="Sgr@9290"/>
    <m/>
    <m/>
    <x v="1"/>
    <m/>
    <m/>
    <x v="1"/>
    <d v="2026-04-29T00:00:00"/>
    <n v="8110"/>
    <s v="Amazon Pay ICICI Bank Credit Card"/>
    <s v="1ST JULY"/>
    <s v="0000000024046447"/>
    <d v="2026-06-30T00:00:00"/>
  </r>
  <r>
    <s v="4315815060282004"/>
    <s v="MR NEKKALAPU SAI LAKSHMAN"/>
    <n v="0"/>
    <x v="0"/>
    <m/>
    <m/>
    <m/>
    <s v="N"/>
    <x v="7"/>
    <s v="9603738270"/>
    <s v="X"/>
    <n v="35829.270000000019"/>
    <n v="330000"/>
    <n v="365829.27"/>
    <s v=""/>
    <n v="365829.27"/>
    <n v="327215.49"/>
    <n v="92580"/>
    <n v="44470"/>
    <x v="1"/>
    <x v="2"/>
    <n v="45000"/>
    <n v="-530"/>
    <x v="20"/>
    <s v="TC"/>
    <s v="30501-BBPS Payment received"/>
    <s v="HARI"/>
    <x v="6"/>
    <x v="3"/>
    <s v="1.26B.VISSANNAPETA.MANDALAM.KORLAMANDA  ..  GUDIVADA ANP 521214"/>
    <s v="Triumph.motorcycles 1.26b.Korlamanda. Korlamanda.. Korlamanda.. GUDIVADA ANP 521214"/>
    <s v="GUDIVADA"/>
    <x v="0"/>
    <x v="29"/>
    <s v="SUDHAKAR"/>
    <n v="802913252"/>
    <s v="Ssd@9290"/>
    <m/>
    <m/>
    <x v="0"/>
    <s v="MESS"/>
    <s v="Costumer present not available inform to his mother call back today evening sir // Costumer present not available inform to his mother waiting for costumer response sir"/>
    <x v="17"/>
    <s v=""/>
    <n v="0"/>
    <s v="Amazon Pay ICICI Bank Credit Card"/>
    <s v="7TH JULY"/>
    <s v="0000000030532921"/>
    <d v="2026-06-30T00:00:00"/>
  </r>
  <r>
    <s v="4315815657805001"/>
    <s v="MS YERUVA himabindu"/>
    <n v="0"/>
    <x v="0"/>
    <m/>
    <m/>
    <m/>
    <s v="N"/>
    <x v="7"/>
    <s v="9010927540"/>
    <s v="X"/>
    <n v="24225.380000000005"/>
    <n v="340000"/>
    <n v="364225.38"/>
    <s v=""/>
    <n v="364225.38"/>
    <n v="339939.97"/>
    <n v="94670"/>
    <n v="62480"/>
    <x v="0"/>
    <x v="0"/>
    <n v="0"/>
    <n v="62480"/>
    <x v="0"/>
    <s v="NA"/>
    <s v="30501-BBPS Payment received"/>
    <s v="HARI"/>
    <x v="4"/>
    <x v="3"/>
    <s v="11.605.2..5.1.ANNAPURNA.NAGAR GORANTLA.. Gorantla STAMBALAGARUV GUNTUR ANP 522034"/>
    <s v="YBS.INFRA.PVT.LTD hname.sudhama.1lane srikrishnaderayanagar..thurakapalemroad. srikrishnaderayanagar..thurakapalemroad. GUNTUR ANP 522002"/>
    <s v="GUNTUR"/>
    <x v="5"/>
    <x v="11"/>
    <s v="INAMUL"/>
    <n v="802823175"/>
    <s v="Sgr@9290"/>
    <m/>
    <m/>
    <x v="1"/>
    <m/>
    <m/>
    <x v="1"/>
    <s v=""/>
    <n v="0"/>
    <s v="Amazon Pay ICICI Bank Credit Card"/>
    <s v="7TH JULY"/>
    <s v="0000000033437554"/>
    <d v="2026-06-30T00:00:00"/>
  </r>
  <r>
    <s v="4315813219045000"/>
    <s v="MR Bala Mallesham Bhukala"/>
    <n v="0"/>
    <x v="0"/>
    <m/>
    <m/>
    <m/>
    <s v="N"/>
    <x v="7"/>
    <s v="9032626216"/>
    <s v="X"/>
    <n v="-17649.119999999995"/>
    <n v="380000"/>
    <n v="362350.88"/>
    <s v=""/>
    <n v="362350.88"/>
    <n v="337941.2"/>
    <n v="57370"/>
    <n v="17480"/>
    <x v="0"/>
    <x v="0"/>
    <n v="0"/>
    <n v="17480"/>
    <x v="0"/>
    <s v="NA"/>
    <n v="0"/>
    <s v="HARI"/>
    <x v="8"/>
    <x v="3"/>
    <s v="H NO 3-5-76/7/A3 VEERABADRA NAGAR RAJAMPET ROAD LAXMIDEVI TEMPLE HYDERABAD TNG 502001"/>
    <s v="RAPIDO HYDERABAD PATANCHERU PATANCHERU HYDERABAD TNG 502001"/>
    <s v="MEDAK"/>
    <x v="0"/>
    <x v="44"/>
    <s v="POORNIMA"/>
    <n v="802824019"/>
    <s v="Nihan@2421"/>
    <m/>
    <m/>
    <x v="1"/>
    <m/>
    <m/>
    <x v="1"/>
    <d v="2026-03-02T00:00:00"/>
    <n v="9499.16"/>
    <s v="Amazon Pay ICICI Bank Credit Card"/>
    <s v="7TH JULY"/>
    <s v="0000000023476077"/>
    <d v="2026-06-30T00:00:00"/>
  </r>
  <r>
    <s v="4501720807095004"/>
    <s v="Mrs KALLE SREE RANGAVALLI TAY"/>
    <s v="RTP"/>
    <x v="2"/>
    <n v="1"/>
    <s v="CC"/>
    <s v="ALREADY REMOVED CASE"/>
    <s v="N"/>
    <x v="7"/>
    <s v="9912091567"/>
    <s v="X"/>
    <n v="-150338.69"/>
    <n v="500000"/>
    <n v="349661.31"/>
    <s v=""/>
    <n v="349661.31"/>
    <n v="311579.55"/>
    <n v="57240"/>
    <n v="18210"/>
    <x v="0"/>
    <x v="0"/>
    <n v="0"/>
    <n v="18210"/>
    <x v="0"/>
    <s v="NA"/>
    <n v="0"/>
    <s v="HARI"/>
    <x v="4"/>
    <x v="3"/>
    <s v="&quot;20-151/1 MOUNIKA,APARTMENT KOBBARI,THOTA,&quot; CHILAKALAPUDI POST MACHILIPATN   MACHILIPATNAM ANP 521001"/>
    <s v="Tayaru &quot;20-151/1,mounika apartment&quot; &quot;Kobbari thota,chilakapudi&quot; &quot;Kobbari thota,chilakapudi&quot; MACHILIPATNAM ANP 521001"/>
    <s v="MACHILIPATNAM"/>
    <x v="4"/>
    <x v="6"/>
    <s v="KOTI"/>
    <n v="801597759"/>
    <s v="Ssde@9290"/>
    <m/>
    <m/>
    <x v="0"/>
    <s v="SKIP"/>
    <s v="Customer house address shifted phone not answering"/>
    <x v="9"/>
    <d v="2025-12-20T00:00:00"/>
    <n v="508209.42"/>
    <s v="ICICI Sapphiro Master PLT Chip Card"/>
    <s v="29TH JUNE"/>
    <s v="0000000020317201"/>
    <d v="2026-06-30T00:00:00"/>
  </r>
  <r>
    <s v="4315812812361012"/>
    <s v="MR Chanda Dikshith"/>
    <n v="0"/>
    <x v="0"/>
    <m/>
    <m/>
    <m/>
    <s v="N"/>
    <x v="7"/>
    <s v="7659827850"/>
    <s v="X"/>
    <n v="-78832.820000000007"/>
    <n v="420000"/>
    <n v="341167.18"/>
    <s v=""/>
    <n v="341167.18"/>
    <n v="311929.08"/>
    <n v="49630"/>
    <n v="18160"/>
    <x v="1"/>
    <x v="2"/>
    <n v="18200"/>
    <n v="-40"/>
    <x v="17"/>
    <s v="TC"/>
    <s v="30501-BBPS Payment received"/>
    <s v="HARI"/>
    <x v="6"/>
    <x v="3"/>
    <s v="H No 9-18 chityala mandal Main Road Nalgonda NALGONDA TNG 508114"/>
    <s v="HARI HARA PUTRA RICE INDUSTRIES H.NO 9-18 CHITYALA  NALGONDA CHITYALA  NALGONDA NALGONDA TNG 508114"/>
    <s v="NALGONDA"/>
    <x v="0"/>
    <x v="17"/>
    <s v="INAMUL"/>
    <n v="802823175"/>
    <s v="Sgr@9290"/>
    <m/>
    <m/>
    <x v="0"/>
    <s v="LIVE"/>
    <s v="Customer home adress visit and Customer prasent not in home is going work purpose and call answer ptp on Monday"/>
    <x v="6"/>
    <d v="2025-09-02T00:00:00"/>
    <n v="35000"/>
    <s v="Amazon Pay ICICI Bank Credit Card"/>
    <s v="29TH JUNE"/>
    <s v="0000000021867039"/>
    <d v="2026-06-30T00:00:00"/>
  </r>
  <r>
    <s v="4315815121663002"/>
    <s v="MR Saila Santosh Kumar"/>
    <n v="0"/>
    <x v="0"/>
    <m/>
    <m/>
    <m/>
    <s v="N"/>
    <x v="7"/>
    <s v="9000874233"/>
    <s v="X"/>
    <n v="-8983.3300000000163"/>
    <n v="350000"/>
    <n v="341016.67"/>
    <n v="271271.62"/>
    <n v="69745.05"/>
    <n v="54146.04"/>
    <n v="39820"/>
    <n v="14400"/>
    <x v="1"/>
    <x v="1"/>
    <n v="40000"/>
    <n v="-25600"/>
    <x v="17"/>
    <s v="TC"/>
    <s v="30501-BBPS Payment received"/>
    <s v="HARI"/>
    <x v="5"/>
    <x v="3"/>
    <s v="RoyalSundaramin.Hno.26.II.152. Medikonda.building.2nd.floor. 1St.cross. Goldfiled Yamaha showroom NELLORE ANP 524004"/>
    <s v="ROYALSUNDARAM.GENERAL.INSURANCE.COMPANY RoyalSundaramin.Hno.26.II.152. Medikonda.building.2nd.floor..1St.cross. Medikonda.building.2nd.floor..1St.cross. NELLORE ANP 524004"/>
    <s v="NELLORE"/>
    <x v="2"/>
    <x v="4"/>
    <s v="IMAMVALLI"/>
    <n v="802789320"/>
    <s v="Ssd@9290"/>
    <m/>
    <m/>
    <x v="0"/>
    <s v="LIVE"/>
    <s v="cm paid the stab amount yesterday night sir please check once sir"/>
    <x v="16"/>
    <d v="2026-01-29T00:00:00"/>
    <n v="68912"/>
    <s v="Amazon Pay ICICI Bank Credit Card"/>
    <s v="7TH JULY"/>
    <s v="0000000030878455"/>
    <d v="2026-06-30T00:00:00"/>
  </r>
  <r>
    <s v="4315814013195009"/>
    <s v="MR Gurram Somasekhar"/>
    <n v="0"/>
    <x v="0"/>
    <m/>
    <m/>
    <m/>
    <s v="N"/>
    <x v="7"/>
    <s v="9177750999"/>
    <s v="X"/>
    <n v="53429.859999999986"/>
    <n v="283000"/>
    <n v="336429.86"/>
    <s v=""/>
    <n v="336429.86"/>
    <n v="310900.19"/>
    <n v="95790"/>
    <n v="42060"/>
    <x v="1"/>
    <x v="1"/>
    <n v="336429.86"/>
    <n v="-294369.86"/>
    <x v="17"/>
    <s v="TC"/>
    <s v="30501-BBPS Payment received"/>
    <s v="HARI"/>
    <x v="6"/>
    <x v="3"/>
    <s v="631.A..2nd.Floor Municipal.Office.Circle Mosque.Road Beside Karur Vysya Bank TIRUPATHI ANP 517501"/>
    <s v="UMESH.FASHIONS 631.A.MOSQUE.ROAD MUNICIPAL.OFFICE.CIRCLE. MUNICIPAL.OFFICE.CIRCLE. TIRUPATHI ANP 517501"/>
    <s v="TIRUPATHI"/>
    <x v="1"/>
    <x v="25"/>
    <s v="S SEKHAR"/>
    <n v="845041675"/>
    <s v="Ssd@9290"/>
    <m/>
    <m/>
    <x v="0"/>
    <m/>
    <m/>
    <x v="1"/>
    <d v="2024-07-23T00:00:00"/>
    <n v="49999.92"/>
    <s v="Amazon Pay ICICI Bank Credit Card"/>
    <s v="7TH JULY"/>
    <s v="0000000026420277"/>
    <d v="2026-06-30T00:00:00"/>
  </r>
  <r>
    <s v="4315813509472005"/>
    <s v="MR MARAM KUMAR REDDY"/>
    <n v="0"/>
    <x v="0"/>
    <m/>
    <m/>
    <m/>
    <s v="N"/>
    <x v="7"/>
    <s v="9985333500"/>
    <s v="X"/>
    <n v="29965.299999999988"/>
    <n v="300000"/>
    <n v="329965.3"/>
    <s v=""/>
    <n v="329965.3"/>
    <n v="297765"/>
    <n v="78780"/>
    <n v="34570"/>
    <x v="1"/>
    <x v="1"/>
    <n v="78780"/>
    <n v="-44210"/>
    <x v="16"/>
    <s v="TC"/>
    <s v="12111-ICICI BANK COLLECTION PAYMENT"/>
    <s v="HARI"/>
    <x v="5"/>
    <x v="3"/>
    <s v="78 74 ABBAVARAM EGUVA FLR RAYACHOTI CUDD    CUDDAPAH ANP 516269"/>
    <s v="Diverse lynx india priVate limited Noida Noida Noida NOIDA UTP 201301"/>
    <s v="CUDDAPAH"/>
    <x v="1"/>
    <x v="14"/>
    <s v="SIVARAU"/>
    <n v="801601134"/>
    <s v="Ssd@9290"/>
    <m/>
    <m/>
    <x v="0"/>
    <m/>
    <m/>
    <x v="1"/>
    <d v="2026-05-07T00:00:00"/>
    <n v="99999"/>
    <s v="Amazon Pay ICICI Bank Credit Card"/>
    <s v="7TH JULY"/>
    <s v="0000000024568444"/>
    <d v="2026-06-30T00:00:00"/>
  </r>
  <r>
    <s v="4315815017812002"/>
    <s v="MR Kande Saikumar"/>
    <n v="0"/>
    <x v="0"/>
    <m/>
    <m/>
    <m/>
    <s v="N"/>
    <x v="7"/>
    <s v="9110583706"/>
    <s v="X"/>
    <n v="5352.460000000021"/>
    <n v="310000"/>
    <n v="315352.46000000002"/>
    <s v=""/>
    <n v="315352.46000000002"/>
    <n v="288919.88"/>
    <n v="57860"/>
    <n v="23743.19"/>
    <x v="1"/>
    <x v="1"/>
    <n v="315352.46000000002"/>
    <n v="-291609.27"/>
    <x v="18"/>
    <s v="TC"/>
    <s v="30501-BBPS Payment received"/>
    <s v="HARI"/>
    <x v="5"/>
    <x v="3"/>
    <s v="H.No.6.34 Manakondur.Mandalam Gattududdenapalli Karimnagar HYDERABAD TNG 505469"/>
    <s v="SAIKUMAR HUZURABAD. H.NO.12.296.HUZURABAD..KARIMNAGAR H.NO.12.296.HUZURABAD..KARIMNAGAR HYDERABAD TNG 505468"/>
    <s v="KARIMNAGAR"/>
    <x v="0"/>
    <x v="8"/>
    <s v="SUMANTH"/>
    <n v="802370852"/>
    <s v="Sgr@9290"/>
    <m/>
    <m/>
    <x v="0"/>
    <s v="LIVE"/>
    <s v="Customer live in address and customer given ptp today eveing // Customer live in address and waiting at customer home for payment"/>
    <x v="17"/>
    <d v="2024-08-30T00:00:00"/>
    <n v="51168.65"/>
    <s v="Amazon Pay ICICI Bank Credit Card"/>
    <s v="1ST JULY"/>
    <s v="0000000030352091"/>
    <d v="2026-06-30T00:00:00"/>
  </r>
  <r>
    <s v="4315812422003004"/>
    <s v="MR Budda Ravi Chand"/>
    <n v="0"/>
    <x v="0"/>
    <m/>
    <m/>
    <m/>
    <s v="N"/>
    <x v="7"/>
    <s v="8686670811"/>
    <s v="X"/>
    <n v="102193.40999999997"/>
    <n v="210000"/>
    <n v="312193.40999999997"/>
    <n v="104109.02"/>
    <n v="208084.39"/>
    <n v="185166.66"/>
    <n v="49670"/>
    <n v="18440"/>
    <x v="1"/>
    <x v="2"/>
    <n v="20000"/>
    <n v="-1560"/>
    <x v="19"/>
    <s v="FE"/>
    <s v="30501-BBPS Payment received"/>
    <s v="HARI"/>
    <x v="7"/>
    <x v="3"/>
    <s v="70-1-301 3rd line kidambi nagar I P D Colony I P D Colony sangadigunta GUNTUR ANP 522003"/>
    <s v="MUTHOOT FINCORP LTD &quot;D.NO 24-16-54/2, 1ST FLOOR,&quot; &quot;NALLACHERUVU, 6TH LANE, MAIN ROAD OPP SB&quot; &quot;NALLACHERUVU, 6TH LANE, MAIN ROAD OPP SB&quot; GUNTUR ANP 522003"/>
    <s v="GUNTUR"/>
    <x v="5"/>
    <x v="11"/>
    <s v="INAMUL"/>
    <n v="802823175"/>
    <s v="Sgr@9290"/>
    <m/>
    <m/>
    <x v="0"/>
    <s v="MESS"/>
    <s v="Customer given House address visited but customer not available at home enquired with parent's customer left home Long back ago with family customer mobile number ringing but not answering will revisit again and discuss with customer father // Customer given House address revisited no one is there at home door locked customer calls not answering"/>
    <x v="18"/>
    <d v="2024-06-30T00:00:00"/>
    <n v="15050"/>
    <s v="Amazon Pay ICICI Bank Credit Card"/>
    <s v="1ST JULY"/>
    <s v="0000000020828342"/>
    <d v="2026-06-30T00:00:00"/>
  </r>
  <r>
    <s v="4315812439050006"/>
    <s v="MR Mangala Prasanth"/>
    <n v="0"/>
    <x v="0"/>
    <m/>
    <s v="CC"/>
    <s v="PTP 11-07-2026"/>
    <s v="N"/>
    <x v="7"/>
    <s v="8686472555"/>
    <s v="X"/>
    <n v="99430.400000000023"/>
    <n v="210000"/>
    <n v="309430.40000000002"/>
    <n v="69125.87"/>
    <n v="240304.53"/>
    <n v="218889.16"/>
    <n v="80030"/>
    <n v="19500"/>
    <x v="1"/>
    <x v="2"/>
    <n v="19500"/>
    <n v="0"/>
    <x v="18"/>
    <s v="FE"/>
    <s v="30501-BBPS Payment received"/>
    <s v="HARI"/>
    <x v="5"/>
    <x v="3"/>
    <s v="19-552 Old town Rani Nagar Anantapur ANAPARTHI ANP 515001"/>
    <s v="GSWS PARVTHI NAGAR BELLARY ROAD RAYADURG BELLARY ROAD RAYADURG ANANTAPUR ANP 515865"/>
    <s v="ANANTAPUR"/>
    <x v="1"/>
    <x v="12"/>
    <s v="POORNIMA"/>
    <n v="802824019"/>
    <s v="Nihan@2421"/>
    <m/>
    <m/>
    <x v="0"/>
    <s v="LIVE"/>
    <s v="Customer PTP on 5th // Customer not available _x000a_Inform in customer mother _x000a_Customer calls not responding // Customer PTP on 8th // Waiting for location / ustomer work address visited _x000a_Waiting for location // Waiting for location"/>
    <x v="17"/>
    <d v="2024-07-02T00:00:00"/>
    <n v="28080"/>
    <s v="Amazon Pay ICICI Bank Credit Card"/>
    <s v="29TH JUNE"/>
    <s v="0000000020861081"/>
    <d v="2026-06-30T00:00:00"/>
  </r>
  <r>
    <s v="4315814200394001"/>
    <s v="MR ORUGANTI SAI KUMAR"/>
    <n v="0"/>
    <x v="0"/>
    <m/>
    <m/>
    <m/>
    <s v="N"/>
    <x v="7"/>
    <s v="9505803986"/>
    <s v="X"/>
    <n v="281529.21000000002"/>
    <n v="20000"/>
    <n v="301529.21000000002"/>
    <n v="136750.26999999999"/>
    <n v="164778.94"/>
    <n v="151627.59"/>
    <n v="60120"/>
    <n v="20770"/>
    <x v="1"/>
    <x v="2"/>
    <n v="21000"/>
    <n v="-230"/>
    <x v="12"/>
    <s v="FE"/>
    <s v="30501-BBPS Payment received"/>
    <s v="HARI"/>
    <x v="7"/>
    <x v="3"/>
    <s v="HOUSE NUMBER 4-4-68 KHAMMAM URBAN GUTTALA BAZAR NEAR SAI LEELA COLD STORAGE KHAMMAM TNG 507003"/>
    <s v="MUTHOOT FINCORP LTD &quot;8/3/208,GR FLR,UNNAM NARSAIAH BLDNG&quot; &quot;WYRA ROAD,KHAMMAM&quot; &quot;WYRA ROAD,KHAMMAM&quot; KHAMMAM TNG 507001"/>
    <s v="KHAMMAM"/>
    <x v="0"/>
    <x v="2"/>
    <s v="CHAITANYA"/>
    <n v="802555024"/>
    <s v="Ssde@9290"/>
    <m/>
    <m/>
    <x v="0"/>
    <m/>
    <m/>
    <x v="1"/>
    <d v="2024-11-30T00:00:00"/>
    <n v="106101"/>
    <s v="Amazon Pay ICICI Bank Credit Card"/>
    <s v="1ST JULY"/>
    <s v="0000000027078599"/>
    <d v="2026-06-30T00:00:00"/>
  </r>
  <r>
    <s v="4315815158801004"/>
    <s v="MR Bola Venkata Surendra"/>
    <n v="0"/>
    <x v="0"/>
    <m/>
    <m/>
    <m/>
    <s v="N"/>
    <x v="7"/>
    <s v="7386722047"/>
    <s v="X"/>
    <n v="20292.489999999991"/>
    <n v="280000"/>
    <n v="300292.49"/>
    <n v="138612.13"/>
    <n v="161680.35999999999"/>
    <n v="140463.5"/>
    <n v="55840"/>
    <n v="27980"/>
    <x v="0"/>
    <x v="0"/>
    <n v="0"/>
    <n v="27980"/>
    <x v="0"/>
    <s v="NA"/>
    <n v="0"/>
    <s v="HARI"/>
    <x v="5"/>
    <x v="3"/>
    <s v="3.65  .. Y. S. R PRODDATUR ANP 516172"/>
    <s v="SAZPIN.SOFTWARE.PVT.LTD 2nd.Block.5th.floor Psr.prime.tower. Psr.prime.tower. HYDERABAD TNG 500032"/>
    <s v="PRODDATUR"/>
    <x v="1"/>
    <x v="15"/>
    <s v="VSSK PRASAD"/>
    <n v="802349062"/>
    <s v="Ssd@9290"/>
    <m/>
    <m/>
    <x v="0"/>
    <s v="DL"/>
    <s v="Cm home is in lock cm not answering the calls sir."/>
    <x v="14"/>
    <d v="2024-11-26T00:00:00"/>
    <n v="13780"/>
    <s v="Amazon Pay ICICI Bank Credit Card"/>
    <s v="29TH JUNE"/>
    <s v="0000000031056588"/>
    <d v="2026-06-30T00:00:00"/>
  </r>
  <r>
    <s v="4315813241455003"/>
    <s v="MR Seelam Shekar"/>
    <n v="0"/>
    <x v="2"/>
    <n v="1"/>
    <s v="CC"/>
    <s v="ALREADY REMOVED CASE"/>
    <s v="N"/>
    <x v="7"/>
    <s v="9441495512"/>
    <s v="X"/>
    <n v="99390.18"/>
    <n v="190000"/>
    <n v="289390.18"/>
    <n v="188418.79"/>
    <n v="100971.39"/>
    <n v="86199.93"/>
    <n v="49110"/>
    <n v="22820"/>
    <x v="0"/>
    <x v="0"/>
    <n v="0"/>
    <n v="22820"/>
    <x v="0"/>
    <s v="NA"/>
    <n v="0"/>
    <s v="HARI"/>
    <x v="5"/>
    <x v="3"/>
    <s v="H NO 5 77  SANJAY NAGAR  LAXMIDEVIPALLI BHADRADRI KOTHAGUDEM BHADRADRI KOTHAGUDEM NEAR TRIVENI GIRLS HOSTEL KHAMMAM TNG 507101"/>
    <s v="UFO MOVIEZ H NO 5 9  LAXMIDEVIPALLI KOTHAGUDEM KOTHAGUDEM KHAMMAM TNG 507101"/>
    <s v="KHAMMAM"/>
    <x v="0"/>
    <x v="27"/>
    <s v="POORNIMA"/>
    <n v="802824019"/>
    <s v="Nihan@2421"/>
    <m/>
    <m/>
    <x v="1"/>
    <m/>
    <m/>
    <x v="1"/>
    <d v="2026-04-04T00:00:00"/>
    <n v="42580"/>
    <s v="Amazon Pay ICICI Bank Credit Card"/>
    <s v="4TH JULY"/>
    <s v="0000000023578471"/>
    <d v="2026-06-30T00:00:00"/>
  </r>
  <r>
    <s v="4315813800741009"/>
    <s v="MR Dubba Akhilesh"/>
    <n v="0"/>
    <x v="0"/>
    <m/>
    <m/>
    <m/>
    <s v="N"/>
    <x v="7"/>
    <s v="9966453629"/>
    <s v="X"/>
    <n v="21511.380000000005"/>
    <n v="260000"/>
    <n v="281511.38"/>
    <s v=""/>
    <n v="281511.38"/>
    <n v="259182"/>
    <n v="82470"/>
    <n v="58110"/>
    <x v="1"/>
    <x v="1"/>
    <n v="82470"/>
    <n v="-24360"/>
    <x v="14"/>
    <s v="TC"/>
    <s v="30501-BBPS Payment received"/>
    <s v="HARI"/>
    <x v="7"/>
    <x v="3"/>
    <s v="15 2 497 godavarikhani L B nagar Karim Nagar PEDDAPALLI TNG 505209"/>
    <s v="THE SINGARENI COLLIERIES COMPANY LIMITED GDK 2 INCLINE GODVARIKHANI GODVARIKHANI PEDDAPALLI TNG 505209"/>
    <s v="PEDDAPALLI"/>
    <x v="0"/>
    <x v="41"/>
    <s v="V Sridhar"/>
    <n v="801174030"/>
    <s v="Sgr@0987"/>
    <m/>
    <m/>
    <x v="0"/>
    <m/>
    <m/>
    <x v="1"/>
    <d v="2024-06-05T00:00:00"/>
    <n v="22720"/>
    <s v="Amazon Pay ICICI Bank Credit Card"/>
    <s v="1ST JULY"/>
    <s v="0000000025535620"/>
    <d v="2026-06-30T00:00:00"/>
  </r>
  <r>
    <s v="4315812782528004"/>
    <s v="MR Mandala Ravi Teja"/>
    <n v="0"/>
    <x v="0"/>
    <m/>
    <m/>
    <m/>
    <s v="N"/>
    <x v="7"/>
    <s v="8247549079"/>
    <s v="X"/>
    <n v="171129.71999999997"/>
    <n v="110000"/>
    <n v="281129.71999999997"/>
    <n v="243792.45"/>
    <n v="37337.269999999997"/>
    <n v="29100.69"/>
    <n v="37337.269999999997"/>
    <n v="17862.77"/>
    <x v="1"/>
    <x v="2"/>
    <n v="17900"/>
    <n v="-37.229999999999563"/>
    <x v="15"/>
    <s v="TC"/>
    <s v="30501-BBPS Payment received"/>
    <s v="HARI"/>
    <x v="4"/>
    <x v="3"/>
    <s v="9/314 SAI PETA SAI PETA Cuddapah CUDDAPAH ANP 516001"/>
    <s v="SACHIVALAYAM &quot;9/516,AGADI,KADAPA&quot; SAIPETA KADAPA SAIPETA KADAPA CUDDAPAH ANP 516001"/>
    <s v="CUDDAPAH"/>
    <x v="1"/>
    <x v="14"/>
    <s v="SIVARAU"/>
    <n v="801601134"/>
    <s v="Ssd@9290"/>
    <m/>
    <m/>
    <x v="0"/>
    <m/>
    <m/>
    <x v="1"/>
    <d v="2024-06-12T00:00:00"/>
    <n v="36708.68"/>
    <s v="Amazon Pay ICICI Bank Credit Card"/>
    <s v="1ST JULY"/>
    <s v="0000000021766157"/>
    <d v="2026-06-30T00:00:00"/>
  </r>
  <r>
    <s v="4315814993087002"/>
    <s v="MR UMAKANT BHANUDAS BIRADAR"/>
    <n v="0"/>
    <x v="0"/>
    <m/>
    <m/>
    <m/>
    <s v="N"/>
    <x v="7"/>
    <s v="9963319398"/>
    <s v="X"/>
    <n v="-32023.330000000016"/>
    <n v="310000"/>
    <n v="277976.67"/>
    <s v=""/>
    <n v="277976.67"/>
    <n v="254836.41"/>
    <n v="50640"/>
    <n v="24965.39"/>
    <x v="0"/>
    <x v="0"/>
    <n v="0"/>
    <n v="24965.39"/>
    <x v="0"/>
    <s v="NA"/>
    <n v="0"/>
    <s v="HARI"/>
    <x v="8"/>
    <x v="3"/>
    <s v="5.109.7LAXMI.NAGAR.COLONY.POLICE..STATIO NEAR.JILHA ..NEAR.JILHA NEAR JILHA JEDCHERLA TNG 509301"/>
    <s v="Hetero.Labs.Limited HETERO.DRUGS.LIMITED. Jadcherla..Sez.pullapalli Jadcherla..Sez.pullapalli JEDCHERLA TNG 509301"/>
    <s v="JEDCHERLA"/>
    <x v="0"/>
    <x v="19"/>
    <s v="SAMBA"/>
    <n v="801772794"/>
    <s v="Ssde@9876"/>
    <m/>
    <m/>
    <x v="1"/>
    <m/>
    <m/>
    <x v="1"/>
    <d v="2026-06-08T00:00:00"/>
    <n v="369.61"/>
    <s v="Amazon Pay ICICI Bank Credit Card"/>
    <s v="1ST JULY"/>
    <s v="0000000030253153"/>
    <d v="2026-06-30T00:00:00"/>
  </r>
  <r>
    <s v="4315812682529011"/>
    <s v="MR BATHULA SRINU"/>
    <n v="0"/>
    <x v="0"/>
    <m/>
    <m/>
    <m/>
    <s v="N"/>
    <x v="7"/>
    <s v="9885959049"/>
    <s v="X"/>
    <n v="17417.130000000005"/>
    <n v="260000"/>
    <n v="277417.13"/>
    <s v=""/>
    <n v="277417.13"/>
    <n v="252194.63"/>
    <n v="59900"/>
    <n v="28013.39"/>
    <x v="0"/>
    <x v="0"/>
    <n v="0"/>
    <n v="28013.39"/>
    <x v="0"/>
    <s v="NA"/>
    <n v="0"/>
    <s v="HARI"/>
    <x v="9"/>
    <x v="3"/>
    <s v="11-10-689/9 KHAMMAM BURHAN PURAM KHAMMAM URBAN KHAMMAM TNG 507001"/>
    <s v="SRKBUILDING MATIRIELS 11-10-689/1 &quot;BURHANPURAM,KHAMMAM&quot; &quot;BURHANPURAM,KHAMMAM&quot; KHAMMAM TNG 507001"/>
    <s v="KHAMMAM"/>
    <x v="0"/>
    <x v="2"/>
    <s v="CHAITANYA"/>
    <n v="802555024"/>
    <s v="Ssde@9290"/>
    <m/>
    <m/>
    <x v="0"/>
    <s v="LIVE"/>
    <s v="I have Visited Customer Given house address customer not available in home Customer aunty available Customer call answered Saying that from past 3 months im suffering from paralysis Customer present in Tirupati hospital customer need time to pay"/>
    <x v="19"/>
    <d v="2024-06-27T00:00:00"/>
    <n v="10386"/>
    <s v="Amazon Pay ICICI Bank Credit Card"/>
    <s v="1ST JULY"/>
    <s v="0000000021470217"/>
    <d v="2026-06-30T00:00:00"/>
  </r>
  <r>
    <s v="4315813149530006"/>
    <s v="MR SHAIK GOUSE PASHA"/>
    <n v="0"/>
    <x v="0"/>
    <m/>
    <m/>
    <m/>
    <s v="N"/>
    <x v="7"/>
    <s v="8019486323"/>
    <s v="X"/>
    <n v="-76474.109999999986"/>
    <n v="350000"/>
    <n v="273525.89"/>
    <n v="29059.61"/>
    <n v="244466.28"/>
    <n v="217413.74"/>
    <n v="70260"/>
    <n v="39230"/>
    <x v="0"/>
    <x v="0"/>
    <n v="0"/>
    <n v="39230"/>
    <x v="0"/>
    <s v="NA"/>
    <n v="0"/>
    <s v="HARI"/>
    <x v="9"/>
    <x v="3"/>
    <s v="&quot;HO NO,DUDEKALA BAZAR,3-33/1,CHINTAKANI,&quot; &quot;CHINTAKANI,CHINTAKANI&quot;   KHAMMAM TNG 507208"/>
    <s v="Bigtensor Chava ramayya nagar Opposite to bomma school Opposite to bomma school KHAMMAM TNG 507002"/>
    <s v="KHAMMAM"/>
    <x v="0"/>
    <x v="2"/>
    <s v="CHAITANYA"/>
    <n v="802555024"/>
    <s v="Ssde@9290"/>
    <m/>
    <m/>
    <x v="0"/>
    <s v="DL"/>
    <s v="I have Visited Customer given village house address Customer not available here found house was locked enquired neighbours Customer staying in khammam from past 3 years Customer mobile is in Switchoff"/>
    <x v="14"/>
    <d v="2026-04-15T00:00:00"/>
    <n v="94590"/>
    <s v="Amazon Pay ICICI Bank Credit Card"/>
    <s v="1ST JULY"/>
    <s v="0000000023188331"/>
    <d v="2026-06-30T00:00:00"/>
  </r>
  <r>
    <s v="4315812909992000"/>
    <s v="Mr G VENKATESWARA RAO"/>
    <n v="0"/>
    <x v="0"/>
    <m/>
    <m/>
    <m/>
    <s v="N"/>
    <x v="7"/>
    <s v="9705559997"/>
    <s v="X"/>
    <n v="-27485.799999999988"/>
    <n v="300000"/>
    <n v="272514.2"/>
    <s v=""/>
    <n v="272514.2"/>
    <n v="247252.63"/>
    <n v="41090"/>
    <n v="15824.98"/>
    <x v="1"/>
    <x v="1"/>
    <n v="272514.2"/>
    <n v="-256689.22"/>
    <x v="13"/>
    <s v="TC"/>
    <s v="12118 - NEFT PAYMENT RECEIVED"/>
    <s v="HARI"/>
    <x v="8"/>
    <x v="3"/>
    <s v="&quot;3-122,MAIN STREET VARIGHEDU,ATTILI,&quot; WESTGODAVARI-534225   BHIMAVARAM ANP 534225"/>
    <s v="NA 3-122 main street varighedu West godavari West godavari BHIMAVARAM ANP 534225"/>
    <s v="BHIMAVARAM"/>
    <x v="4"/>
    <x v="33"/>
    <s v="MANIKANTA"/>
    <n v="802852449"/>
    <s v="Ssd@9290"/>
    <m/>
    <m/>
    <x v="0"/>
    <s v="SKIP"/>
    <s v="Custmor not lived this a dress_x000a_Phone not respond"/>
    <x v="6"/>
    <d v="2024-10-27T00:00:00"/>
    <n v="50150"/>
    <s v="Amazon Pay ICICI Bank Credit Card"/>
    <s v="1ST JULY"/>
    <s v="0000000022172978"/>
    <d v="2026-06-30T00:00:00"/>
  </r>
  <r>
    <s v="4315815382528001"/>
    <s v="MR Abdul Elfan Majeed"/>
    <n v="0"/>
    <x v="0"/>
    <m/>
    <m/>
    <m/>
    <s v="N"/>
    <x v="7"/>
    <s v="7730962188"/>
    <s v="X"/>
    <n v="-28793.630000000005"/>
    <n v="300000"/>
    <n v="271206.37"/>
    <n v="217499.48"/>
    <n v="53706.89"/>
    <n v="41261.120000000003"/>
    <n v="52170"/>
    <n v="27830"/>
    <x v="0"/>
    <x v="0"/>
    <n v="0"/>
    <n v="27830"/>
    <x v="0"/>
    <s v="NA"/>
    <n v="0"/>
    <s v="HARI"/>
    <x v="7"/>
    <x v="3"/>
    <s v="70.19.124.17A Godarigunta B.C.colony Jayaprakas Nagar KAKINADA ANP 533001"/>
    <s v="STAR.LIFE.GYM 9.111 Ramanayyapeta. Ramanayyapeta. KAKINADA ANP 533005"/>
    <s v="KAKINADA"/>
    <x v="4"/>
    <x v="23"/>
    <s v="UDAY"/>
    <n v="801436997"/>
    <s v="Ssd@9290"/>
    <m/>
    <m/>
    <x v="0"/>
    <s v="LIVE"/>
    <s v="Customer address visit customer not available msg left to father customer in camp msg left to family // Customer address visit customer not available customer family aslo no response call not answering sir"/>
    <x v="16"/>
    <s v=""/>
    <n v="0"/>
    <s v="Amazon Pay ICICI Bank Credit Card"/>
    <s v="4TH JULY"/>
    <s v="0000000031959074"/>
    <d v="2026-06-30T00:00:00"/>
  </r>
  <r>
    <s v="4315813068916004"/>
    <s v="MR Chemmati Anil"/>
    <n v="0"/>
    <x v="0"/>
    <m/>
    <m/>
    <m/>
    <s v="N"/>
    <x v="7"/>
    <s v="8125533572"/>
    <s v="X"/>
    <n v="116664.21000000002"/>
    <n v="150000"/>
    <n v="266664.21000000002"/>
    <n v="222842.29"/>
    <n v="43821.919999999998"/>
    <n v="29820.85"/>
    <n v="43821.919999999998"/>
    <n v="20580.64"/>
    <x v="1"/>
    <x v="1"/>
    <n v="43821.919999999998"/>
    <n v="-23241.279999999999"/>
    <x v="15"/>
    <s v="TC"/>
    <s v="30501-BBPS Payment received"/>
    <s v="HARI"/>
    <x v="8"/>
    <x v="3"/>
    <s v="HNO.2-35/22 Sikindrapur Sikindrapur Sikindrapur NIZAMABAD TNG 503175"/>
    <s v="MGNREGS 2-35/22 SIKINDRAPUR  JAKRANPALLY SIKINDRAPUR  JAKRANPALLY NIZAMABAD TNG 503175"/>
    <s v="NIZAMABAD"/>
    <x v="0"/>
    <x v="9"/>
    <s v="D RAMU"/>
    <n v="802663344"/>
    <s v="Sgr@9290"/>
    <m/>
    <m/>
    <x v="0"/>
    <m/>
    <m/>
    <x v="1"/>
    <d v="2024-08-30T00:00:00"/>
    <n v="75126.5"/>
    <s v="Amazon Pay ICICI Bank Credit Card"/>
    <s v="4TH JULY"/>
    <s v="0000000022827140"/>
    <d v="2026-06-30T00:00:00"/>
  </r>
  <r>
    <s v="4315813933638007"/>
    <s v="MR MD FAZALUDDIN"/>
    <n v="0"/>
    <x v="0"/>
    <m/>
    <m/>
    <m/>
    <s v="N"/>
    <x v="7"/>
    <s v="9704607336"/>
    <s v="X"/>
    <n v="-24740.830000000016"/>
    <n v="290000"/>
    <n v="265259.17"/>
    <s v=""/>
    <n v="265259.17"/>
    <n v="247119"/>
    <n v="53400"/>
    <n v="28960"/>
    <x v="1"/>
    <x v="1"/>
    <n v="265259.17"/>
    <n v="-236299.16999999998"/>
    <x v="12"/>
    <s v="TC"/>
    <s v="30501-BBPS Payment received"/>
    <s v="HARI"/>
    <x v="6"/>
    <x v="3"/>
    <s v="m60.190.3 Mandamarri k.k.5.colony Adilabad ADILABAD TNG 504231"/>
    <s v="AYTHA.SRIDHAR.COAL.TRANSPORT.CONTRACTOR SRIRAMPUR.OPEN.COST SRIRAMPUR.OPENCOST.SRIRAMPUR.OPEN.COST SRIRAMPUR.OPENCOST.SRIRAMPUR.OPEN.COST ADILABAD TNG 504208"/>
    <s v="ADILABAD"/>
    <x v="0"/>
    <x v="24"/>
    <s v="K RAMU"/>
    <n v="802898520"/>
    <s v="Ssd@9290"/>
    <m/>
    <m/>
    <x v="0"/>
    <s v="SKIP"/>
    <s v="Customer given address visit, address not found , alternative address visit customer not met informed to relatives, trying by call"/>
    <x v="12"/>
    <d v="2025-04-02T00:00:00"/>
    <n v="42000"/>
    <s v="Amazon Pay ICICI Bank Credit Card"/>
    <s v="1ST JULY"/>
    <s v="0000000026075856"/>
    <d v="2026-06-30T00:00:00"/>
  </r>
  <r>
    <s v="4315813993789013"/>
    <s v="MR BHUKYA HARIDAS RATHOD"/>
    <n v="0"/>
    <x v="0"/>
    <m/>
    <m/>
    <m/>
    <s v="N"/>
    <x v="7"/>
    <s v="7306534535"/>
    <s v="X"/>
    <n v="-36895.880000000005"/>
    <n v="300000"/>
    <n v="263104.12"/>
    <s v=""/>
    <n v="263104.12"/>
    <n v="240102.18"/>
    <n v="38130"/>
    <n v="13560"/>
    <x v="1"/>
    <x v="1"/>
    <n v="40000"/>
    <n v="-26440"/>
    <x v="16"/>
    <s v="TC"/>
    <s v="30501-BBPS Payment received"/>
    <s v="HARI"/>
    <x v="7"/>
    <x v="3"/>
    <s v="11.2.153 OPPOSITE.TO.TELEPHONE.EXCHANGE ..OPPOSITE.TO.TELEPHONE.EXCHANGE OPPOSITE TO TELEPHONE EXCHANGE KHAMMAM TNG 507117"/>
    <s v="BYJUS.THINK..AND.LEARN.PVT.LIMITED Gold.leaf.building.3rd.floor Chikkadapply..Street.number.4. Chikkadapply..Street.number.4. HYDERABAD TNG 500029"/>
    <s v="KHAMMAM"/>
    <x v="0"/>
    <x v="27"/>
    <s v="POORNIMA"/>
    <n v="802824019"/>
    <s v="Nihan@2421"/>
    <m/>
    <m/>
    <x v="0"/>
    <m/>
    <m/>
    <x v="1"/>
    <d v="2025-09-04T00:00:00"/>
    <n v="51000"/>
    <s v="Amazon Pay ICICI Bank Credit Card"/>
    <s v="1ST JULY"/>
    <s v="0000000026343502"/>
    <d v="2026-06-30T00:00:00"/>
  </r>
  <r>
    <s v="4315813565903018"/>
    <s v="MR A M Valli"/>
    <n v="0"/>
    <x v="0"/>
    <m/>
    <m/>
    <m/>
    <s v="N"/>
    <x v="7"/>
    <s v="9502515425"/>
    <s v="X"/>
    <n v="15276.959999999992"/>
    <n v="240000"/>
    <n v="255276.96"/>
    <n v="15360.23"/>
    <n v="239916.73"/>
    <n v="223983.51"/>
    <n v="52440"/>
    <n v="28310"/>
    <x v="1"/>
    <x v="1"/>
    <n v="239916.73"/>
    <n v="-211606.73"/>
    <x v="20"/>
    <s v="TC"/>
    <s v="30501-BBPS Payment received"/>
    <s v="HARI"/>
    <x v="9"/>
    <x v="3"/>
    <s v="62 2 16 JAGANNAIKPUR Sareef Street J RAMARAO PETA KAKINADA ANP 533002"/>
    <s v="GOVGOVERNMENT GENERAL HOSPITAL J RAMARAO PETA SHAREEF STRSTREET D NO 62 2 16 SHAREEF STRSTREET D NO 62 2 16 KAKINADA ANP 533002"/>
    <s v="KAKINADA"/>
    <x v="4"/>
    <x v="23"/>
    <s v="UDAY"/>
    <n v="801436997"/>
    <s v="Ssd@9290"/>
    <m/>
    <m/>
    <x v="0"/>
    <s v="MESS"/>
    <s v="Customer address visit customer not available msg left mother inform to family"/>
    <x v="14"/>
    <d v="2024-07-11T00:00:00"/>
    <n v="11700"/>
    <s v="Amazon Pay ICICI Bank Credit Card"/>
    <s v="1ST JULY"/>
    <s v="0000000024713077"/>
    <d v="2026-06-30T00:00:00"/>
  </r>
  <r>
    <s v="4315815038498013"/>
    <s v="MR Kanakam Manish"/>
    <n v="0"/>
    <x v="0"/>
    <m/>
    <m/>
    <m/>
    <s v="N"/>
    <x v="7"/>
    <s v="8179071381"/>
    <s v="X"/>
    <n v="14994.589999999997"/>
    <n v="240000"/>
    <n v="254994.59"/>
    <s v=""/>
    <n v="254994.59"/>
    <n v="228507.4"/>
    <n v="53200"/>
    <n v="29170"/>
    <x v="0"/>
    <x v="0"/>
    <n v="0"/>
    <n v="29170"/>
    <x v="0"/>
    <s v="NA"/>
    <n v="0"/>
    <s v="HARI"/>
    <x v="6"/>
    <x v="3"/>
    <s v="H.NO.6.59 Manakondur.Mandalam Gattududdenapalli Karimnagar HYDERABAD TNG 505469"/>
    <s v="SRI.BALAJI.ELOTRANICS.AND.MOBILES HUZURABAD NEAR.BUS.STOP. NEAR.BUS.STOP. HYDERABAD TNG 505468"/>
    <s v="KARIMNAGAR"/>
    <x v="0"/>
    <x v="8"/>
    <s v="SUMANTH"/>
    <n v="802370852"/>
    <s v="Sgr@9290"/>
    <m/>
    <m/>
    <x v="0"/>
    <s v="DL"/>
    <s v="Customer live in address and customer went to work house locked // Customer live in address and customer went to work house locked customer asking settlement he is not ready to pay amount"/>
    <x v="17"/>
    <d v="2024-12-03T00:00:00"/>
    <n v="10000"/>
    <s v="Amazon Pay ICICI Bank Credit Card"/>
    <s v="1ST JULY"/>
    <s v="0000000030435336"/>
    <d v="2026-06-30T00:00:00"/>
  </r>
  <r>
    <s v="4375515516934003"/>
    <s v="MR BALAKRISHNA BOGINENI"/>
    <n v="0"/>
    <x v="0"/>
    <m/>
    <s v="CC"/>
    <s v="06-07-2026 , CUS PAID STAB AMOUNT"/>
    <s v="N"/>
    <x v="7"/>
    <s v="9177778444"/>
    <s v="X"/>
    <n v="9595.3500000000058"/>
    <n v="245000"/>
    <n v="254595.35"/>
    <n v="116758.52"/>
    <n v="137836.82999999999"/>
    <n v="116328.33"/>
    <n v="56440"/>
    <n v="28310"/>
    <x v="1"/>
    <x v="2"/>
    <n v="40000"/>
    <n v="-11690"/>
    <x v="12"/>
    <s v="TC"/>
    <s v="30501-BBPS Payment received"/>
    <s v="HARI"/>
    <x v="6"/>
    <x v="3"/>
    <s v="&quot;2-29,,Dadalur&quot; &quot;Chandra cherla,&quot; O C Colony kanagani Palli Mandalam Dadalur  HINDUPUR ANP 515641"/>
    <s v="SREENIDHI INFRA PVT LTD PLOT NO 508 ROAD NO 22 JUBILEE HILLS NEAR PEDDAMMA TEMPLE JUBILEE HILLS NEAR PEDDAMMA TEMPLE Hyderabad TNG 500033"/>
    <s v="HINDUPUR"/>
    <x v="1"/>
    <x v="12"/>
    <s v="POORNIMA"/>
    <n v="802824019"/>
    <s v="Nihan@2421"/>
    <m/>
    <m/>
    <x v="0"/>
    <m/>
    <m/>
    <x v="1"/>
    <d v="2026-02-15T00:00:00"/>
    <n v="46157.93"/>
    <s v="ICICI Bank Coral Credit Card"/>
    <s v="1ST JULY"/>
    <s v="0000000010871775"/>
    <d v="2026-06-30T00:00:00"/>
  </r>
  <r>
    <s v="4315812556195014"/>
    <s v="MR SHANMUKHA REDDY VUYYURU"/>
    <n v="0"/>
    <x v="0"/>
    <m/>
    <m/>
    <m/>
    <s v="N"/>
    <x v="7"/>
    <s v="9441137889"/>
    <s v="X"/>
    <n v="-18339.709999999992"/>
    <n v="270000"/>
    <n v="251660.29"/>
    <s v=""/>
    <n v="251660.29"/>
    <n v="217374.78"/>
    <n v="47950"/>
    <n v="19960"/>
    <x v="1"/>
    <x v="1"/>
    <n v="47950"/>
    <n v="-27990"/>
    <x v="16"/>
    <s v="TC"/>
    <s v="30501-BBPS Payment received"/>
    <s v="HARI"/>
    <x v="5"/>
    <x v="3"/>
    <s v="NO 25-215 SANJEEVA NAGAR NANDYAL   BACKSIDE RAMALAYAM TEMPLE NANDYAL ANP 518501"/>
    <s v="GOVT OF AP EDUCATIONAL DEPARTMENT MPUP SCHOOL CHELLURU SIRIVALLA MD NANDHYA NANDHYA NANDYAL ANP 518112"/>
    <s v="NANDYAL"/>
    <x v="1"/>
    <x v="7"/>
    <s v="HARI"/>
    <n v="802388289"/>
    <s v="Ssd@9290"/>
    <m/>
    <m/>
    <x v="0"/>
    <s v="MESS"/>
    <s v="Customer house address visit customer not in a home customer mother told informed to customer customer mobile not responding"/>
    <x v="13"/>
    <d v="2025-11-01T00:00:00"/>
    <n v="16960"/>
    <s v="Amazon Pay ICICI Bank Credit Card"/>
    <s v="1ST JULY"/>
    <s v="0000000021146912"/>
    <d v="2026-06-30T00:00:00"/>
  </r>
  <r>
    <s v="4315814271431005"/>
    <s v="MR Enugurthi Nagaraju"/>
    <n v="0"/>
    <x v="0"/>
    <m/>
    <m/>
    <m/>
    <s v="N"/>
    <x v="7"/>
    <s v="8143852361"/>
    <s v="X"/>
    <n v="129602.79000000001"/>
    <n v="120000"/>
    <n v="249602.79"/>
    <n v="197994.41"/>
    <n v="51608.38"/>
    <n v="43840.72"/>
    <n v="51608.38"/>
    <n v="27286.85"/>
    <x v="1"/>
    <x v="1"/>
    <n v="52000"/>
    <n v="-24713.15"/>
    <x v="17"/>
    <s v="TC"/>
    <s v="30501-BBPS Payment received"/>
    <s v="HARI"/>
    <x v="9"/>
    <x v="3"/>
    <s v="4.1.71.7 Nirmal Naidu.wada Naidu wada ADILABAD TNG 504106"/>
    <s v="COGNIZANT.TECHNOLOGY.AND.SOLUTIONS PLOT.NO.129 APHB.COLONY. APHB.COLONY. HYDERABAD TNG 500019"/>
    <s v="ADILABAD"/>
    <x v="0"/>
    <x v="3"/>
    <s v="KANTH"/>
    <n v="802794852"/>
    <s v="Ssd@9290"/>
    <m/>
    <m/>
    <x v="0"/>
    <s v="LIVE"/>
    <s v="Customer visit home address door lock customer live talk to customer phone PTP 11TH"/>
    <x v="13"/>
    <d v="2024-06-23T00:00:00"/>
    <n v="18448.29"/>
    <s v="Amazon Pay ICICI Bank Credit Card"/>
    <s v="4TH JULY"/>
    <s v="0000000027334944"/>
    <d v="2026-06-30T00:00:00"/>
  </r>
  <r>
    <s v="4315813553034008"/>
    <s v="MS Bella Aruna"/>
    <n v="0"/>
    <x v="0"/>
    <m/>
    <m/>
    <m/>
    <s v="N"/>
    <x v="7"/>
    <s v="8985898297"/>
    <s v="X"/>
    <n v="226557.71"/>
    <n v="20000"/>
    <n v="246557.71"/>
    <n v="106760.27"/>
    <n v="139797.44"/>
    <n v="126656.12"/>
    <n v="45820"/>
    <n v="12350"/>
    <x v="1"/>
    <x v="2"/>
    <n v="12500"/>
    <n v="-150"/>
    <x v="19"/>
    <s v="TC"/>
    <s v="30501-BBPS Payment received"/>
    <s v="HARI"/>
    <x v="5"/>
    <x v="3"/>
    <s v="9 55 81 Bestavaripeta B C Colony Prakasam NANDYAL ANP 523334"/>
    <s v="AMAZON DEVELOPMENT CENTRE PVT LTD SY NO 107 P KOKAPET VILLAGE GANDIPET MANDAL GANDIPET MANDAL HYDERABAD TNG 500075"/>
    <s v="NANDYAL"/>
    <x v="1"/>
    <x v="37"/>
    <s v="DURGA"/>
    <n v="801723195"/>
    <s v="Sgr@9290"/>
    <m/>
    <m/>
    <x v="0"/>
    <s v="SKIP"/>
    <s v=" Customer house visit sir customer shift to Hyderabad sir neighbours enquiry sir"/>
    <x v="13"/>
    <d v="2026-01-01T00:00:00"/>
    <n v="10000"/>
    <s v="Amazon Pay ICICI Bank Credit Card"/>
    <s v="4TH JULY"/>
    <s v="0000000024680243"/>
    <d v="2026-06-30T00:00:00"/>
  </r>
  <r>
    <s v="4315812536734007"/>
    <s v="MR ESAMPALLY SANDEEP"/>
    <n v="0"/>
    <x v="0"/>
    <m/>
    <m/>
    <m/>
    <s v="N"/>
    <x v="7"/>
    <s v="9849061520"/>
    <s v="X"/>
    <n v="21574.03"/>
    <n v="220000"/>
    <n v="241574.03"/>
    <s v=""/>
    <n v="241574.03"/>
    <n v="219785.27"/>
    <n v="55760"/>
    <n v="22310"/>
    <x v="0"/>
    <x v="0"/>
    <n v="0"/>
    <n v="22310"/>
    <x v="0"/>
    <s v="NA"/>
    <n v="0"/>
    <s v="HARI"/>
    <x v="8"/>
    <x v="3"/>
    <s v="&quot;HNO2-,SAMMAIAH NAGAR,1-433 FLR,HANAMKOND&quot; VIDYARANYAPURI   WARANGAL TNG 506009"/>
    <s v="SRS BUSINESS SOLUTIONS INDIA PVT LTD &quot;Plot 55, sathsurya complex 2nd floor,&quot; &quot;Kavurihills watertank, madhapur&quot; &quot;Kavurihills watertank, madhapur&quot; HYDERABAD TNG 500045"/>
    <s v="WARANGAL"/>
    <x v="0"/>
    <x v="20"/>
    <s v="KARUNAKAR"/>
    <n v="801264672"/>
    <s v="Ssd@9291"/>
    <m/>
    <m/>
    <x v="0"/>
    <s v="LIVE"/>
    <s v="Visited Customer Residence Address Customer Live Customer Given Commitment On 11th Sir"/>
    <x v="14"/>
    <d v="2026-03-21T00:00:00"/>
    <n v="19660"/>
    <s v="Amazon Pay ICICI Bank Credit Card"/>
    <s v="4TH JULY"/>
    <s v="0000000021105297"/>
    <d v="2026-06-30T00:00:00"/>
  </r>
  <r>
    <s v="4315813723156004"/>
    <s v="MR Digudari Satya Sandeep"/>
    <n v="0"/>
    <x v="0"/>
    <m/>
    <s v="CC"/>
    <s v="02-07-2026 , CUS PAID STAB AMOUNT"/>
    <s v="N"/>
    <x v="7"/>
    <s v="8919923107"/>
    <s v="X"/>
    <n v="10803.029999999999"/>
    <n v="230000"/>
    <n v="240803.03"/>
    <n v="202008.11"/>
    <n v="38794.92"/>
    <n v="30478.880000000001"/>
    <n v="38430"/>
    <n v="17060"/>
    <x v="1"/>
    <x v="1"/>
    <n v="38794.92"/>
    <n v="-21734.92"/>
    <x v="4"/>
    <s v="TC"/>
    <s v="30548_Surcharge_Offus_trxns_CR"/>
    <s v="HARI"/>
    <x v="4"/>
    <x v="3"/>
    <s v="2 16 magam Gandhi bajar street East Godavari AMALAPURAM ANP 533577"/>
    <s v="YOUTUBE DNO2 16 GANDHI BAZAR STREET  MAGAM AINAVILLI MANDAL EAST GODHAVARI AINAVILLI MANDAL EAST GODHAVARI AMALAPURAM ANP 533577"/>
    <s v="AMALAPURAM"/>
    <x v="4"/>
    <x v="28"/>
    <s v="B NAGABABU"/>
    <n v="801448854"/>
    <s v="Sgr@9290"/>
    <m/>
    <m/>
    <x v="0"/>
    <m/>
    <m/>
    <x v="1"/>
    <d v="2024-08-04T00:00:00"/>
    <n v="2200"/>
    <s v="Amazon Pay ICICI Bank Credit Card"/>
    <s v="1ST JULY"/>
    <s v="0000000025209996"/>
    <d v="2026-06-30T00:00:00"/>
  </r>
  <r>
    <s v="4315813549376000"/>
    <s v="MR MOHAMMAD ABDUL RIYAZ"/>
    <n v="0"/>
    <x v="0"/>
    <m/>
    <m/>
    <m/>
    <s v="N"/>
    <x v="7"/>
    <s v="8688088843"/>
    <s v="X"/>
    <n v="20012.109999999986"/>
    <n v="220000"/>
    <n v="240012.11"/>
    <s v=""/>
    <n v="240012.11"/>
    <n v="217095.33"/>
    <n v="56430"/>
    <n v="22140"/>
    <x v="1"/>
    <x v="1"/>
    <n v="240012.11"/>
    <n v="-217872.11"/>
    <x v="15"/>
    <s v="TC"/>
    <s v="30501-BBPS Payment received"/>
    <s v="HARI"/>
    <x v="9"/>
    <x v="3"/>
    <s v="6 2 333 SRI NAGAR COLONY BESIDE B C HOSTAL HYD ROAD C HOSTAL HYD ROAD C HOSTAL HYD ROAD NALGONDA TNG 508001"/>
    <s v="MOHAMMAD INDUSTRIES BLOCK NUMBER 1  NH 9 ROAD NARKETPALLY VILLAGE  MANDAL NALGONDA DIS NARKETPALLY VILLAGE  MANDAL NALGONDA DIS NALGONDA TNG 508254"/>
    <s v="NALGONDA"/>
    <x v="0"/>
    <x v="21"/>
    <s v="PAVAN"/>
    <n v="802823180"/>
    <s v="Sgr@9290"/>
    <m/>
    <m/>
    <x v="0"/>
    <m/>
    <m/>
    <x v="1"/>
    <d v="2025-07-08T00:00:00"/>
    <n v="5550"/>
    <s v="Amazon Pay ICICI Bank Credit Card"/>
    <s v="4TH JULY"/>
    <s v="0000000024672298"/>
    <d v="2026-06-30T00:00:00"/>
  </r>
  <r>
    <s v="4315814921790008"/>
    <s v="MR Yagnam Sivaprasad"/>
    <n v="0"/>
    <x v="0"/>
    <m/>
    <m/>
    <m/>
    <s v="N"/>
    <x v="7"/>
    <s v="9908767241"/>
    <s v="X"/>
    <n v="18591.339999999997"/>
    <n v="220000"/>
    <n v="238591.34"/>
    <n v="132201.59"/>
    <n v="106389.75"/>
    <n v="94288.27"/>
    <n v="55850"/>
    <n v="23810"/>
    <x v="0"/>
    <x v="0"/>
    <n v="0"/>
    <n v="23810"/>
    <x v="0"/>
    <s v="NA"/>
    <s v="12111-ICICI BANK COLLECTION PAYMENT"/>
    <s v="HARI"/>
    <x v="4"/>
    <x v="3"/>
    <s v="9.418 rajampeta yarraballi opp R T C bus stand CUDDAPAH ANP 516115"/>
    <s v="WATER.RESOURCES.DEPARTMENT NEAR.KOTI.REDDY.CIRCLE OPP.TRAFFIC.POLICE.STATION. OPP.TRAFFIC.POLICE.STATION. CUDDAPAH ANP 516115"/>
    <s v="CUDDAPAH"/>
    <x v="1"/>
    <x v="14"/>
    <s v="SIVARAU"/>
    <n v="801601134"/>
    <s v="Ssd@9290"/>
    <m/>
    <m/>
    <x v="1"/>
    <m/>
    <m/>
    <x v="1"/>
    <d v="2024-07-13T00:00:00"/>
    <n v="597"/>
    <s v="Amazon Pay ICICI Bank Credit Card"/>
    <s v="4TH JULY"/>
    <s v="0000000029969989"/>
    <d v="2026-06-30T00:00:00"/>
  </r>
  <r>
    <s v="4315812499783025"/>
    <s v="MR Majeed Khan"/>
    <n v="0"/>
    <x v="0"/>
    <m/>
    <m/>
    <m/>
    <s v="N"/>
    <x v="7"/>
    <s v="9030914201"/>
    <s v="X"/>
    <n v="14747.899999999994"/>
    <n v="220000"/>
    <n v="234747.9"/>
    <s v=""/>
    <n v="234747.9"/>
    <n v="207918"/>
    <n v="60970"/>
    <n v="28900"/>
    <x v="1"/>
    <x v="2"/>
    <n v="29000"/>
    <n v="-100"/>
    <x v="18"/>
    <s v="TC"/>
    <s v="30501-BBPS Payment received"/>
    <s v="HARI"/>
    <x v="5"/>
    <x v="3"/>
    <s v="18-154/1 Kalwakurthy Jhansi Laxmi Bai Road Market Road WANAPARTHY TNG 509324"/>
    <s v="WEDDING DECORATIONS KALWAKURTHI BUS STAND ROAD KALWAKURTHI KALWAKURTHI KALWAKURTHI KALWAKURTHI WANAPARTHY TNG 509324"/>
    <s v="WANAPARTHY"/>
    <x v="0"/>
    <x v="19"/>
    <s v="SAMBA"/>
    <n v="801772794"/>
    <s v="Ssde@9876"/>
    <m/>
    <m/>
    <x v="0"/>
    <m/>
    <m/>
    <x v="1"/>
    <d v="2024-07-01T00:00:00"/>
    <n v="112589.38"/>
    <s v="Amazon Pay ICICI Bank Credit Card"/>
    <s v="4TH JULY"/>
    <s v="0000000021001528"/>
    <d v="2026-06-30T00:00:00"/>
  </r>
  <r>
    <s v="4315813273743003"/>
    <s v="MR Malapeddu Siddaiah"/>
    <n v="0"/>
    <x v="2"/>
    <n v="1"/>
    <s v="CC"/>
    <s v="ALREADY REMOVED CASE"/>
    <s v="N"/>
    <x v="7"/>
    <s v="9885553860"/>
    <s v="X"/>
    <n v="9083.7300000000105"/>
    <n v="220000"/>
    <n v="229083.73"/>
    <s v=""/>
    <n v="229083.73"/>
    <n v="217268.19"/>
    <n v="55520"/>
    <n v="34190"/>
    <x v="0"/>
    <x v="0"/>
    <n v="0"/>
    <n v="34190"/>
    <x v="0"/>
    <s v="NA"/>
    <n v="0"/>
    <s v="HARI"/>
    <x v="4"/>
    <x v="3"/>
    <s v="9 129 pathakadapa Ukkayapalli - CUDDAPAH ANP 516002"/>
    <s v="DAHUA TECHNOLOGY INDIA 9TH FLOOR TOWER A DLF CYBER GREENS  PHASE III DLF CYBER GREENS  PHASE III GURGAON HAR 122002"/>
    <s v="CUDDAPAH"/>
    <x v="1"/>
    <x v="14"/>
    <s v="SIVARAU"/>
    <n v="801601134"/>
    <s v="Ssd@9290"/>
    <m/>
    <m/>
    <x v="1"/>
    <m/>
    <m/>
    <x v="1"/>
    <d v="2024-11-29T00:00:00"/>
    <n v="68696.34"/>
    <s v="Amazon Pay ICICI Bank Credit Card"/>
    <s v="4TH JULY"/>
    <s v="0000000023742401"/>
    <d v="2026-06-30T00:00:00"/>
  </r>
  <r>
    <s v="4315813039838022"/>
    <s v="MR Bavandla Narender"/>
    <n v="0"/>
    <x v="0"/>
    <m/>
    <m/>
    <m/>
    <s v="N"/>
    <x v="7"/>
    <s v="9885599379"/>
    <s v="X"/>
    <n v="46794.22"/>
    <n v="180000"/>
    <n v="226794.22"/>
    <n v="9132.01"/>
    <n v="217662.21"/>
    <n v="198529.61"/>
    <n v="83780"/>
    <n v="37160"/>
    <x v="0"/>
    <x v="0"/>
    <n v="0"/>
    <n v="37160"/>
    <x v="0"/>
    <s v="NA"/>
    <n v="0"/>
    <s v="HARI"/>
    <x v="7"/>
    <x v="3"/>
    <s v="19-145/1 KALWAKURTHY G.P. ROAD KALWAKURTHY WANAPARTHY TNG 509324"/>
    <s v="TELANGANA STATE BAR COUNCIL 19-145/1 GP ROAD GP ROAD WANAPARTHY TNG 509324"/>
    <s v="WANAPARTHY"/>
    <x v="0"/>
    <x v="19"/>
    <s v="SAMBA"/>
    <n v="801772794"/>
    <s v="Ssde@9876"/>
    <m/>
    <m/>
    <x v="1"/>
    <m/>
    <m/>
    <x v="1"/>
    <d v="2025-11-12T00:00:00"/>
    <n v="1"/>
    <s v="Amazon Pay ICICI Bank Credit Card"/>
    <s v="4TH JULY"/>
    <s v="0000000022699405"/>
    <d v="2026-06-30T00:00:00"/>
  </r>
  <r>
    <s v="4315812945326007"/>
    <s v="MR Pullabhatla Raghavamaneendra S"/>
    <n v="0"/>
    <x v="0"/>
    <m/>
    <m/>
    <m/>
    <s v="N"/>
    <x v="7"/>
    <s v="8500945146"/>
    <s v="X"/>
    <n v="44886.09"/>
    <n v="180000"/>
    <n v="224886.09"/>
    <n v="127074.46"/>
    <n v="97811.63"/>
    <n v="83739.88"/>
    <n v="40260"/>
    <n v="21440"/>
    <x v="1"/>
    <x v="1"/>
    <n v="55000"/>
    <n v="-33560"/>
    <x v="19"/>
    <s v="TC"/>
    <s v="30501-BBPS Payment received"/>
    <s v="HARI"/>
    <x v="8"/>
    <x v="3"/>
    <s v="Q No 41 Inside Cotton Mill Inside Cotton Mill Pillala Marri Road MAHBOOBNAGAR TNG 509001"/>
    <s v="CHANDRASHEKHARA VEDA PATHASHALA Q41 SRI CHENDRA SHEKHARA VEDA PATHASHALA IN SIDE COTTON  RAJ industries IN SIDE COTTON  RAJ industries MAHBOOBNAGAR TNG 509001"/>
    <s v="MAHBOOBNAGAR"/>
    <x v="0"/>
    <x v="19"/>
    <s v="SAMBA"/>
    <n v="801772794"/>
    <s v="Ssde@9876"/>
    <m/>
    <m/>
    <x v="0"/>
    <m/>
    <m/>
    <x v="1"/>
    <d v="2024-09-05T00:00:00"/>
    <n v="52480.19"/>
    <s v="Amazon Pay ICICI Bank Credit Card"/>
    <s v="4TH JULY"/>
    <s v="0000000022295175"/>
    <d v="2026-06-30T00:00:00"/>
  </r>
  <r>
    <s v="4315813685327007"/>
    <s v="MR Vijay Dasari"/>
    <n v="0"/>
    <x v="0"/>
    <m/>
    <m/>
    <m/>
    <s v="O"/>
    <x v="7"/>
    <s v="9177214387"/>
    <s v="X"/>
    <n v="10755.869999999995"/>
    <n v="210000"/>
    <n v="220755.87"/>
    <s v=""/>
    <n v="220755.87"/>
    <n v="209090.52"/>
    <n v="53910"/>
    <n v="31290"/>
    <x v="1"/>
    <x v="1"/>
    <n v="220300"/>
    <n v="-189010"/>
    <x v="16"/>
    <s v="TC"/>
    <s v="30501-BBPS Payment received"/>
    <s v="HARI"/>
    <x v="6"/>
    <x v="3"/>
    <s v="1 100146 A 1 Kotha Thimmapur Amma Garden Road Mancherial ADILABAD TNG 504209"/>
    <s v="SCCL 1 100146 A 1 AMMA GARDENS AMMA GARDENS ADILABAD TNG 504209"/>
    <s v="ADILABAD"/>
    <x v="0"/>
    <x v="24"/>
    <s v="K RAMU"/>
    <n v="802898520"/>
    <s v="Ssd@9290"/>
    <m/>
    <m/>
    <x v="0"/>
    <s v="SKIP"/>
    <s v="Customer given address visit address not found, trying by call"/>
    <x v="14"/>
    <d v="2024-07-12T00:00:00"/>
    <n v="20595"/>
    <s v="Amazon Pay ICICI Bank Credit Card"/>
    <s v="4TH JULY"/>
    <s v="0000000025062575"/>
    <d v="2026-06-30T00:00:00"/>
  </r>
  <r>
    <s v="4315813468746019"/>
    <s v="MR Mohammad Azharuddin"/>
    <n v="0"/>
    <x v="0"/>
    <m/>
    <m/>
    <m/>
    <s v="N"/>
    <x v="7"/>
    <s v="7207887227"/>
    <s v="X"/>
    <n v="402.91000000000349"/>
    <n v="220000"/>
    <n v="220402.91"/>
    <n v="37008.46"/>
    <n v="183394.45"/>
    <n v="160594.47"/>
    <n v="59980"/>
    <n v="31600"/>
    <x v="0"/>
    <x v="0"/>
    <n v="0"/>
    <n v="31600"/>
    <x v="0"/>
    <s v="NA"/>
    <s v="12111-ICICI BANK COLLECTION PAYMENT"/>
    <s v="HARI"/>
    <x v="9"/>
    <x v="3"/>
    <s v="16 11 717 2 MANDAL KHILA WARANGAL CHINTAL OPP RATION SHOP WARANGAL TNG 506013"/>
    <s v="ACCENTURE SOLUTIONS PRIVATE LIMITED MEENAKSHI TECHMOVA C8CQHVF  FINANCIAL DISTRICT NANAKRAMGUDA C8CQHVF  FINANCIAL DISTRICT NANAKRAMGUDA HYDERABAD TNG 500032"/>
    <s v="WARANGAL"/>
    <x v="0"/>
    <x v="20"/>
    <s v="KARUNAKAR"/>
    <n v="801264672"/>
    <s v="Ssd@9291"/>
    <m/>
    <m/>
    <x v="1"/>
    <m/>
    <m/>
    <x v="1"/>
    <d v="2024-09-02T00:00:00"/>
    <n v="43422"/>
    <s v="Amazon Pay ICICI Bank Credit Card"/>
    <s v="4TH JULY"/>
    <s v="0000000024405778"/>
    <d v="2026-06-30T00:00:00"/>
  </r>
  <r>
    <s v="4315813375728001"/>
    <s v="MR BATHINA KUMAR"/>
    <n v="0"/>
    <x v="0"/>
    <m/>
    <m/>
    <m/>
    <s v="N"/>
    <x v="7"/>
    <s v="7731907076"/>
    <s v="X"/>
    <n v="19403.350000000006"/>
    <n v="200000"/>
    <n v="219403.35"/>
    <s v=""/>
    <n v="219403.35"/>
    <n v="198776.08"/>
    <n v="66560"/>
    <n v="46180"/>
    <x v="1"/>
    <x v="1"/>
    <n v="219403.35"/>
    <n v="-173223.35"/>
    <x v="17"/>
    <s v="TC"/>
    <s v="12103-CASH PYMT RCVD"/>
    <s v="HARI"/>
    <x v="6"/>
    <x v="3"/>
    <s v="&quot;13-90,RAMALAYAM STREET,CHEBROLU,&quot; &quot;GOLLAPROLU MANDAL,CHEBROLU&quot;   EAST GODAVARI ANP 533449"/>
    <s v="MOTHERSONSUMI INFOTECH DESIGNS &quot;4-204, simhadri nagar, valskapakala, kakinada&quot; &quot;4-204, simhadri nagar, valskapakala, kakinada&quot; &quot;4-204, simhadri nagar, valskapakala, kakinada&quot; KAKINADA ANP 533004"/>
    <s v="KAKINADA"/>
    <x v="4"/>
    <x v="23"/>
    <s v="UDAY"/>
    <n v="801436997"/>
    <s v="Ssd@9290"/>
    <m/>
    <m/>
    <x v="0"/>
    <s v="DL"/>
    <s v="Customer address door lock call not answering _x000a_Neighbours enquiry customer not identified yet call not answering sir"/>
    <x v="15"/>
    <d v="2026-06-08T00:00:00"/>
    <n v="10000"/>
    <s v="Amazon Pay ICICI Bank Credit Card"/>
    <s v="4TH JULY"/>
    <s v="0000000024102929"/>
    <d v="2026-06-30T00:00:00"/>
  </r>
  <r>
    <s v="4315812681820007"/>
    <s v="MR Borra Sri Pranava"/>
    <n v="0"/>
    <x v="0"/>
    <m/>
    <m/>
    <m/>
    <s v="O"/>
    <x v="7"/>
    <s v="9666553598"/>
    <s v="X"/>
    <n v="-191015.33"/>
    <n v="410000"/>
    <n v="218984.67"/>
    <s v=""/>
    <n v="218984.67"/>
    <n v="206797.12"/>
    <n v="48160"/>
    <n v="36000"/>
    <x v="1"/>
    <x v="2"/>
    <n v="36110"/>
    <n v="-110"/>
    <x v="20"/>
    <s v="TC"/>
    <s v="12101-INFINITY PYMT RCVD"/>
    <s v="HARI"/>
    <x v="9"/>
    <x v="3"/>
    <s v="&quot;8-16-27,Rajgopal nagar 1st line&quot; Kakani road  Near church GUNTUR ANP 522002"/>
    <s v="VET MEDICALS VET MEDICALS PW MARKET MG ROAD PW MARKET MG ROAD VIZIANAGARAM ANP 535002"/>
    <s v="GUNTUR"/>
    <x v="5"/>
    <x v="11"/>
    <s v="INAMUL"/>
    <n v="802823175"/>
    <s v="Sgr@9290"/>
    <m/>
    <m/>
    <x v="0"/>
    <s v="SKIP"/>
    <s v="Customer Given House address visited but customer not available at home Living at Hyderabad  responding phone calls given PTP 09/07/26"/>
    <x v="13"/>
    <d v="2026-06-09T00:00:00"/>
    <n v="40000"/>
    <s v="Amazon Pay ICICI Bank Credit Card"/>
    <s v="4TH JULY"/>
    <s v="0000000021468580"/>
    <d v="2026-06-30T00:00:00"/>
  </r>
  <r>
    <s v="4315813631194006"/>
    <s v="MR Egala Rajesh"/>
    <n v="0"/>
    <x v="0"/>
    <m/>
    <m/>
    <m/>
    <s v="N"/>
    <x v="7"/>
    <s v="9010455091"/>
    <s v="X"/>
    <n v="97122.510000000009"/>
    <n v="120000"/>
    <n v="217122.51"/>
    <n v="110919.35"/>
    <n v="106203.16"/>
    <n v="99028.24"/>
    <n v="73280"/>
    <n v="32090"/>
    <x v="1"/>
    <x v="2"/>
    <n v="32100"/>
    <n v="-10"/>
    <x v="16"/>
    <s v="FE"/>
    <s v="30501-BBPS Payment received"/>
    <s v="HARI"/>
    <x v="6"/>
    <x v="3"/>
    <s v="3 17A 14 2 GODARI GUNTA SITARAM NAGAR RAMALAYAM KAKINADA ANP 533003"/>
    <s v="ACCENTURE SOLUTIONS PRIVATE LIMITED 3 17A 14 2  SITARAM NAGAR  GUDARIGUNTA EAST GODAVARI  ANDHRA PRADESH EAST GODAVARI  ANDHRA PRADESH KAKINADA ANP 533003"/>
    <s v="KAKINADA"/>
    <x v="4"/>
    <x v="23"/>
    <s v="UDAY"/>
    <n v="801436997"/>
    <s v="Ssd@9290"/>
    <m/>
    <m/>
    <x v="0"/>
    <s v="MESS"/>
    <s v="Customer address visit customer not available msg left to mother customer in hyd // Customer address visit customer not available msg left to mother customer in hyd_x000a_Customer call not answering sir"/>
    <x v="15"/>
    <d v="2024-06-28T00:00:00"/>
    <n v="9021"/>
    <s v="Amazon Pay ICICI Bank Credit Card"/>
    <s v="4TH JULY"/>
    <s v="0000000024895029"/>
    <d v="2026-06-30T00:00:00"/>
  </r>
  <r>
    <s v="4315815941839006"/>
    <s v="MR KATTUBADI JAVEED BASHA"/>
    <n v="0"/>
    <x v="0"/>
    <m/>
    <m/>
    <m/>
    <s v="N"/>
    <x v="7"/>
    <s v="9703772283"/>
    <s v="X"/>
    <n v="-113908.53"/>
    <n v="330000"/>
    <n v="216091.47"/>
    <n v="138306.75"/>
    <n v="77784.72"/>
    <n v="66125.16"/>
    <n v="77784.72"/>
    <n v="36434.120000000003"/>
    <x v="0"/>
    <x v="0"/>
    <n v="0"/>
    <n v="36434.120000000003"/>
    <x v="0"/>
    <s v="NA"/>
    <n v="0"/>
    <s v="HARI"/>
    <x v="8"/>
    <x v="3"/>
    <s v="&quot;2 47/40 APPALA RAO STREET , ATMAKUR&quot; &quot;,KURNOOL DIST PADMAVATI HIGH SCHOOL&quot;   KURNOOL ANP 518422"/>
    <s v="&quot;2 47/40 APPALA RAO STREET , ATMAKUR&quot; &quot;,KURNOOL DIST&quot;   KURNOOL ANP 518422"/>
    <s v="KURNOOL"/>
    <x v="1"/>
    <x v="18"/>
    <s v="SAMBA"/>
    <n v="801772794"/>
    <s v="Ssde@9876"/>
    <m/>
    <m/>
    <x v="0"/>
    <s v="SKIP"/>
    <s v="Visited near customer work place .hear also no one give proper respond sir "/>
    <x v="16"/>
    <d v="2026-03-19T00:00:00"/>
    <n v="36608"/>
    <s v="Amazon Pay ICICI Bank Credit Card"/>
    <s v="4TH JULY"/>
    <s v="0000000034691476"/>
    <d v="2026-06-30T00:00:00"/>
  </r>
  <r>
    <s v="4315812423264001"/>
    <s v="MR SANDHI PRASANTH KUMAR"/>
    <n v="0"/>
    <x v="0"/>
    <m/>
    <m/>
    <m/>
    <s v="N"/>
    <x v="7"/>
    <s v="9966170701"/>
    <s v="X"/>
    <n v="21944.679999999993"/>
    <n v="190000"/>
    <n v="211944.68"/>
    <s v=""/>
    <n v="211944.68"/>
    <n v="188096.87"/>
    <n v="64180"/>
    <n v="35430"/>
    <x v="1"/>
    <x v="2"/>
    <n v="36000"/>
    <n v="-570"/>
    <x v="19"/>
    <s v="TC"/>
    <s v="30501-BBPS Payment received"/>
    <s v="HARI"/>
    <x v="7"/>
    <x v="3"/>
    <s v="&quot;H NO,26-6-3 DASULLA VARI,STREET,NEAR CHU&quot; &quot;BALUSUMUDI,BHIMAVARAM&quot;   BHIMAVARAM ANP 534201"/>
    <s v="Vibhu media &quot;105-b, usha enclave&quot; B-bloCk B-bloCk HYDERABAD TNG 500073"/>
    <s v="BHIMAVARAM"/>
    <x v="4"/>
    <x v="26"/>
    <s v="B NAGABABU"/>
    <n v="801448854"/>
    <s v="Sgr@9290"/>
    <m/>
    <m/>
    <x v="0"/>
    <s v="SKIP"/>
    <s v="mr not at home , cnr mother there and cmr answered call willing to pay Today, cmr lives in Hyderabad"/>
    <x v="15"/>
    <d v="2024-11-30T00:00:00"/>
    <n v="38480"/>
    <s v="Amazon Pay ICICI Bank Credit Card"/>
    <s v="4TH JULY"/>
    <s v="0000000020830039"/>
    <d v="2026-06-30T00:00:00"/>
  </r>
  <r>
    <s v="4315814610887008"/>
    <s v="MR Esakonu Sateesh"/>
    <n v="0"/>
    <x v="0"/>
    <m/>
    <m/>
    <m/>
    <s v="N"/>
    <x v="7"/>
    <s v="8008034600"/>
    <s v="X"/>
    <n v="119026.72"/>
    <n v="90000"/>
    <n v="209026.72"/>
    <n v="180688.99"/>
    <n v="28337.73"/>
    <n v="16829.46"/>
    <n v="28337.73"/>
    <n v="16002.65"/>
    <x v="0"/>
    <x v="0"/>
    <n v="0"/>
    <n v="16002.65"/>
    <x v="0"/>
    <s v="NA"/>
    <n v="0"/>
    <s v="HARI"/>
    <x v="4"/>
    <x v="3"/>
    <s v="HOUSE.NO.18.2.167 ASR.COLONY. BHADRACHALAM. MONDAY CHURCH KHAMMAM TNG 507111"/>
    <s v="ANETICA.CONSULTANT.PVT UB.ROAD OPPOSITE.MOHAN.RAO.HOSPITAL..BHADRACHALA OPPOSITE.MOHAN.RAO.HOSPITAL..BHADRACHALA KHAMMAM TNG 507111"/>
    <s v="KHAMMAM"/>
    <x v="0"/>
    <x v="27"/>
    <s v="POORNIMA"/>
    <n v="802824019"/>
    <s v="Nihan@2421"/>
    <m/>
    <m/>
    <x v="0"/>
    <s v="SKIP"/>
    <s v=" customer shifted this address number not working"/>
    <x v="14"/>
    <d v="2024-11-22T00:00:00"/>
    <n v="4000"/>
    <s v="Amazon Pay ICICI Bank Credit Card"/>
    <s v="1ST JULY"/>
    <s v="0000000028592024"/>
    <d v="2026-06-30T00:00:00"/>
  </r>
  <r>
    <s v="4315810013780030"/>
    <s v="MARUBOINA SOMASWARAIAH"/>
    <n v="0"/>
    <x v="1"/>
    <m/>
    <m/>
    <m/>
    <s v="N"/>
    <x v="7"/>
    <n v="9700423838"/>
    <m/>
    <n v="208602.26"/>
    <m/>
    <n v="208602.26"/>
    <m/>
    <m/>
    <m/>
    <m/>
    <m/>
    <x v="1"/>
    <x v="1"/>
    <n v="467524"/>
    <n v="-467524"/>
    <x v="0"/>
    <s v="D"/>
    <s v="30501-BBPS Payment received"/>
    <s v="HARI"/>
    <x v="12"/>
    <x v="3"/>
    <s v="KOTHURU,NELLORE,RURAL, NELLORE, ANP, 524004, INDIA"/>
    <m/>
    <s v="NELLORE"/>
    <x v="2"/>
    <x v="4"/>
    <s v="IMAMVALLI"/>
    <n v="802789320"/>
    <s v="Ssd@9290"/>
    <m/>
    <m/>
    <x v="0"/>
    <m/>
    <m/>
    <x v="1"/>
    <m/>
    <m/>
    <m/>
    <s v="3RD JULY"/>
    <m/>
    <m/>
  </r>
  <r>
    <s v="4315813876475003"/>
    <s v="MR PothiReddy Viswanadha Reddy"/>
    <n v="0"/>
    <x v="0"/>
    <m/>
    <m/>
    <m/>
    <s v="N"/>
    <x v="7"/>
    <s v="8106652014"/>
    <s v="X"/>
    <n v="18466.790000000008"/>
    <n v="190000"/>
    <n v="208466.79"/>
    <s v=""/>
    <n v="208466.79"/>
    <n v="188027.97"/>
    <n v="49400"/>
    <n v="20320"/>
    <x v="1"/>
    <x v="1"/>
    <n v="49400"/>
    <n v="-29080"/>
    <x v="12"/>
    <s v="TC"/>
    <s v="30501-BBPS Payment received"/>
    <s v="HARI"/>
    <x v="5"/>
    <x v="3"/>
    <s v="1 103 BURGAMPAHAD MANDAL LAXMIPURAM LAXMIPURAM BHADRACHALAM TNG 507114"/>
    <s v="ITC LIMITED SARAPAKA BHADRACHALAM BHADRACHALAM KHAMMAM TNG 507128"/>
    <s v="KHAMMAM"/>
    <x v="0"/>
    <x v="27"/>
    <s v="POORNIMA"/>
    <n v="802824019"/>
    <s v="Nihan@2421"/>
    <m/>
    <m/>
    <x v="0"/>
    <s v="LIVE"/>
    <s v="Feedback customer not staying in this address he's family live call responded he said payment don"/>
    <x v="14"/>
    <d v="2024-06-05T00:00:00"/>
    <n v="37000"/>
    <s v="Amazon Pay ICICI Bank Credit Card"/>
    <s v="4TH JULY"/>
    <s v="0000000025835990"/>
    <d v="2026-06-30T00:00:00"/>
  </r>
  <r>
    <s v="4315814052340011"/>
    <s v="MR DASARI NAVEEN KUMAR"/>
    <n v="0"/>
    <x v="2"/>
    <n v="1"/>
    <s v="CC"/>
    <s v="ALREADY REMOVED CASE"/>
    <s v="N"/>
    <x v="7"/>
    <s v="9505615923"/>
    <s v="X"/>
    <n v="187499.92"/>
    <n v="20000"/>
    <n v="207499.92"/>
    <s v=""/>
    <n v="207499.92"/>
    <n v="193253.8"/>
    <n v="202980"/>
    <n v="174930"/>
    <x v="0"/>
    <x v="0"/>
    <n v="0"/>
    <n v="174930"/>
    <x v="0"/>
    <s v="NA"/>
    <n v="0"/>
    <s v="HARI"/>
    <x v="4"/>
    <x v="3"/>
    <s v="16-432 CHILAKALURIPET 2ND FLOOR SALAM GARI THOTA GUNTUR ANP 522616"/>
    <s v="GLENMARK SRILALSHMI VENKATESHWADR 24-28 GROUND FL NEAR VIJAY BANK ROAD CHILAKALURIPET NEAR VIJAY BANK ROAD CHILAKALURIPET GUNTUR ANP 522616"/>
    <s v="GUNTUR"/>
    <x v="5"/>
    <x v="35"/>
    <s v="DURGA"/>
    <n v="801723195"/>
    <s v="Sgr@9290"/>
    <m/>
    <m/>
    <x v="1"/>
    <m/>
    <m/>
    <x v="1"/>
    <d v="2024-06-30T00:00:00"/>
    <n v="121862.03"/>
    <s v="Amazon Pay ICICI Bank Credit Card"/>
    <s v="4TH JULY"/>
    <s v="0000000026545160"/>
    <d v="2026-06-30T00:00:00"/>
  </r>
  <r>
    <s v="4315813044604013"/>
    <s v="Mr POLISETTI  VINEEL"/>
    <n v="0"/>
    <x v="0"/>
    <m/>
    <m/>
    <m/>
    <s v="N"/>
    <x v="7"/>
    <s v="9912451451"/>
    <s v="X"/>
    <n v="-135802.93"/>
    <n v="340000"/>
    <n v="204197.07"/>
    <s v=""/>
    <n v="204197.07"/>
    <n v="193182.67"/>
    <n v="24850"/>
    <n v="12430"/>
    <x v="1"/>
    <x v="2"/>
    <n v="13000"/>
    <n v="-570"/>
    <x v="19"/>
    <s v="D"/>
    <s v="12101-INFINITY PYMT RCVD"/>
    <s v="HARI"/>
    <x v="4"/>
    <x v="3"/>
    <s v="&quot;7-185,YOUTH CLUB ROAD,VENKATA RAJU NAGAR,&quot; &quot;BHIMAVARAM,MANDALAM CHINAMIRAM&quot; WEST GODAVARI - WEST GODAVARI ANP 534204"/>
    <s v="Vasundhara Youth clUb road Venkat raju nagar Venkat raju nagar BHIMAVARAM ANP 534204"/>
    <s v="BHIMAVARAM"/>
    <x v="4"/>
    <x v="26"/>
    <s v="B NAGABABU"/>
    <n v="801448854"/>
    <s v="Sgr@9290"/>
    <m/>
    <m/>
    <x v="0"/>
    <s v="SKIP"/>
    <s v="cmr not living inthis address, cmr family shifted to Hyderabad, cmr answered call and given ptp Today evening"/>
    <x v="15"/>
    <d v="2026-06-07T00:00:00"/>
    <n v="23750"/>
    <s v="Amazon Pay ICICI Bank Credit Card"/>
    <s v="4TH JULY"/>
    <s v="0000000022718840"/>
    <d v="2026-06-30T00:00:00"/>
  </r>
  <r>
    <s v="4315812436016000"/>
    <s v="MR Namani Shiva"/>
    <n v="0"/>
    <x v="0"/>
    <m/>
    <m/>
    <m/>
    <s v="N"/>
    <x v="7"/>
    <s v="9010896090"/>
    <s v="X"/>
    <n v="21369.950000000012"/>
    <n v="180000"/>
    <n v="201369.95"/>
    <n v="165872.57"/>
    <n v="35497.379999999997"/>
    <n v="12556.43"/>
    <n v="35497.379999999997"/>
    <n v="24362.02"/>
    <x v="1"/>
    <x v="2"/>
    <n v="30000"/>
    <n v="-5637.98"/>
    <x v="16"/>
    <s v="TC"/>
    <s v="30501-BBPS Payment received"/>
    <s v="HARI"/>
    <x v="5"/>
    <x v="3"/>
    <s v="1-82 - - KALWAKURTHY MANDAL WANAPARTHY TNG 509320"/>
    <s v="JAGADGURUAUTOMOBILES SRIPURAM ROAD OPP SRINIVASA HOSPETAL OPP SRINIVASA HOSPETAL WANAPARTHY TNG 509209"/>
    <s v="WANAPARTHY"/>
    <x v="0"/>
    <x v="19"/>
    <s v="SAMBA"/>
    <n v="801772794"/>
    <s v="Ssde@9876"/>
    <m/>
    <m/>
    <x v="0"/>
    <m/>
    <m/>
    <x v="1"/>
    <d v="2024-08-30T00:00:00"/>
    <n v="35660"/>
    <s v="Amazon Pay ICICI Bank Credit Card"/>
    <s v="1ST JULY"/>
    <s v="0000000020855369"/>
    <d v="2026-06-30T00:00:00"/>
  </r>
  <r>
    <s v="4315813493454001"/>
    <s v="MR Rajanala Kesavarao"/>
    <n v="0"/>
    <x v="0"/>
    <m/>
    <m/>
    <m/>
    <s v="N"/>
    <x v="7"/>
    <s v="9441840460"/>
    <s v="X"/>
    <n v="-19802.309999999998"/>
    <n v="220000"/>
    <n v="200197.69"/>
    <n v="121675.96"/>
    <n v="78521.73"/>
    <n v="72458.720000000001"/>
    <n v="49770"/>
    <n v="21520"/>
    <x v="0"/>
    <x v="0"/>
    <n v="0"/>
    <n v="21520"/>
    <x v="0"/>
    <s v="NA"/>
    <n v="0"/>
    <s v="HARI"/>
    <x v="4"/>
    <x v="3"/>
    <s v="1 10   Krishna GUDIVADA ANP 521311"/>
    <s v="VARSITY EDUCATION MANAGEMENT PVT LTD 40 1 1 5 1  SFD PLAZA NARA CHANDRABABU NAIDU COLONY  BESIDE BA NARA CHANDRABABU NAIDU COLONY  BESIDE BA VIJAYAWADA ANP 520010"/>
    <s v="VIJAYAWADA"/>
    <x v="3"/>
    <x v="46"/>
    <s v="SUDHAKAR"/>
    <n v="802913252"/>
    <s v="Ssd@9290"/>
    <m/>
    <m/>
    <x v="0"/>
    <s v="LIVE"/>
    <s v="Cus working address visited but security was not allowing inside.calls also not responding."/>
    <x v="17"/>
    <d v="2025-10-01T00:00:00"/>
    <n v="3000"/>
    <s v="Amazon Pay ICICI Bank Credit Card"/>
    <s v="4TH JULY"/>
    <s v="0000000024501250"/>
    <d v="2026-06-30T00:00:00"/>
  </r>
  <r>
    <s v="4315814355611001"/>
    <s v="Mr MADHU BEPALA"/>
    <n v="0"/>
    <x v="0"/>
    <m/>
    <m/>
    <m/>
    <s v="N"/>
    <x v="7"/>
    <s v="7330620772"/>
    <s v="X"/>
    <n v="-21195.190000000002"/>
    <n v="220000"/>
    <n v="198804.81"/>
    <s v=""/>
    <n v="198804.81"/>
    <n v="180180.14"/>
    <n v="29610"/>
    <n v="10700"/>
    <x v="1"/>
    <x v="1"/>
    <n v="29610"/>
    <n v="-18910"/>
    <x v="14"/>
    <s v="TC"/>
    <s v="30501-BBPS Payment received"/>
    <s v="HARI"/>
    <x v="5"/>
    <x v="3"/>
    <s v="&quot;IVRCL LTD,KAMTA SADAN,KAMTA SINGH LANE&quot; &quot;EAST BORING CANAL ROAD,NEAR ORO DENTAL&quot;   PATNA BIH 800001"/>
    <s v="PITTI LAMINATIONS LTD Survey No-53 Macharam Village Macharam Village MAHABUBNAGAR TNG 509202"/>
    <s v="WANAPARTHY"/>
    <x v="0"/>
    <x v="19"/>
    <s v="SAMBA"/>
    <n v="801772794"/>
    <s v="Ssde@9876"/>
    <m/>
    <m/>
    <x v="0"/>
    <m/>
    <m/>
    <x v="1"/>
    <d v="2025-11-14T00:00:00"/>
    <n v="48332"/>
    <s v="Amazon Pay ICICI Bank Credit Card"/>
    <s v="4TH JULY"/>
    <s v="0000000027598596"/>
    <d v="2026-06-30T00:00:00"/>
  </r>
  <r>
    <s v="4035620105518001"/>
    <s v="MR DECHANI SUBASH REDDY"/>
    <n v="0"/>
    <x v="0"/>
    <m/>
    <m/>
    <m/>
    <s v="N"/>
    <x v="7"/>
    <s v="9494274788"/>
    <s v="X"/>
    <n v="-13870.380000000005"/>
    <n v="200000"/>
    <n v="186129.62"/>
    <n v="47761.599999999999"/>
    <n v="138368.01999999999"/>
    <n v="129454.9"/>
    <n v="39530"/>
    <n v="7300"/>
    <x v="1"/>
    <x v="1"/>
    <n v="40000"/>
    <n v="-32700"/>
    <x v="12"/>
    <s v="TC"/>
    <s v="30501-BBPS Payment received"/>
    <s v="HARI"/>
    <x v="8"/>
    <x v="3"/>
    <s v="1-12 KARVANGA THALLAPALLY NEAR BUS STOP WANAPARTHY TNG 509385"/>
    <s v="REAL ESTATE 1-12 &quot;THALLAPALLY,KARVANGA&quot; &quot;THALLAPALLY,KARVANGA&quot; WANAPARTHY TNG 509385"/>
    <s v="WANAPARTHY"/>
    <x v="0"/>
    <x v="19"/>
    <s v="SAMBA"/>
    <n v="801772794"/>
    <s v="Ssde@9876"/>
    <m/>
    <m/>
    <x v="0"/>
    <m/>
    <m/>
    <x v="1"/>
    <d v="2025-10-23T00:00:00"/>
    <n v="21006.92"/>
    <s v="ICICI Bank Coral Credit Card"/>
    <s v="1ST JULY"/>
    <s v="0000000019620941"/>
    <d v="2026-06-30T00:00:00"/>
  </r>
  <r>
    <s v="4315812912679008"/>
    <s v="MR VELDANDI NARESH"/>
    <n v="0"/>
    <x v="0"/>
    <m/>
    <m/>
    <m/>
    <s v="N"/>
    <x v="7"/>
    <s v="9652653822"/>
    <s v="X"/>
    <n v="4461.3099999999977"/>
    <n v="180000"/>
    <n v="184461.31"/>
    <s v=""/>
    <n v="184461.31"/>
    <n v="170980.37"/>
    <n v="45240"/>
    <n v="23890"/>
    <x v="1"/>
    <x v="1"/>
    <n v="184461.31"/>
    <n v="-160571.31"/>
    <x v="14"/>
    <s v="TC"/>
    <s v="30501-BBPS Payment received"/>
    <s v="HARI"/>
    <x v="7"/>
    <x v="3"/>
    <s v="&quot;2-78,PADHMASHALI WADA,PARKAL,PULIGILLA&quot;    WARANGAL TNG 506164"/>
    <s v="CURATIO HEALTHCARE PVT ltd Kachiguda Chappal bazar Chappal bazar HYDERABAD TNG 500027"/>
    <s v="WARANGAL"/>
    <x v="0"/>
    <x v="20"/>
    <s v="KARUNAKAR"/>
    <n v="801264672"/>
    <s v="Ssd@9291"/>
    <m/>
    <m/>
    <x v="0"/>
    <m/>
    <m/>
    <x v="1"/>
    <d v="2024-07-29T00:00:00"/>
    <n v="70000"/>
    <s v="Amazon Pay ICICI Bank Credit Card"/>
    <s v="4TH JULY"/>
    <s v="0000000022186353"/>
    <d v="2026-06-30T00:00:00"/>
  </r>
  <r>
    <s v="4315815672714006"/>
    <s v="MR SATPUR VIJAY KUMAR"/>
    <n v="0"/>
    <x v="0"/>
    <m/>
    <m/>
    <m/>
    <s v="N"/>
    <x v="7"/>
    <s v="9989328612"/>
    <s v="X"/>
    <n v="-18954.119999999995"/>
    <n v="200000"/>
    <n v="181045.88"/>
    <s v=""/>
    <n v="181045.88"/>
    <n v="160200"/>
    <n v="36470"/>
    <n v="19640"/>
    <x v="1"/>
    <x v="1"/>
    <n v="181045.88"/>
    <n v="-161405.88"/>
    <x v="16"/>
    <s v="TC"/>
    <s v="30501-BBPS Payment received"/>
    <s v="HARI"/>
    <x v="8"/>
    <x v="3"/>
    <s v="11.25.138.KOTHAWDA.MG.M.ROAD.WARANGAL  ..  WARANGAL TNG 506002"/>
    <s v="Kalanjali.Gifts.novelties Kalanjali.Gifts.novelties. 3.3.55.tailor.street.Hanamkonda..Opposit 3.3.55.tailor.street.Hanamkonda..Opposit WARANGAL TNG 506001"/>
    <s v="WARANGAL"/>
    <x v="0"/>
    <x v="20"/>
    <s v="KARUNAKAR"/>
    <n v="801264672"/>
    <s v="Ssd@9291"/>
    <m/>
    <m/>
    <x v="0"/>
    <s v="LIVE"/>
    <s v="Visited Customer Given Adress House Sold // Visited  Customer 2nd Adress Customer Asking Time // Visited Customer Given Adress Customer Live Customer Given Commitment Tommorow S"/>
    <x v="15"/>
    <s v=""/>
    <n v="0"/>
    <s v="Amazon Pay ICICI Bank Credit Card"/>
    <s v="4TH JULY"/>
    <s v="0000000033509609"/>
    <d v="2026-06-30T00:00:00"/>
  </r>
  <r>
    <s v="4315814466108004"/>
    <s v="MR Shaik Moulana Azad"/>
    <n v="0"/>
    <x v="0"/>
    <m/>
    <m/>
    <m/>
    <s v="N"/>
    <x v="7"/>
    <s v="8309594238"/>
    <s v="X"/>
    <n v="-9603.929999999993"/>
    <n v="190000"/>
    <n v="180396.07"/>
    <n v="65601.89"/>
    <n v="114794.18"/>
    <n v="103792.61"/>
    <n v="55550"/>
    <n v="23981.46"/>
    <x v="1"/>
    <x v="2"/>
    <n v="24090"/>
    <n v="-108.54000000000087"/>
    <x v="14"/>
    <s v="TC"/>
    <s v="30501-BBPS Payment received"/>
    <s v="HARI"/>
    <x v="6"/>
    <x v="3"/>
    <s v="53.7.978 r.t.c.colony.main.road ..r.t.c.colony.main.road near saibaba temple GUNTUR ANP 522001"/>
    <s v="ANDHRA.PRADESH.STATE.URDU.ACADEMY FLOT.NO.1.2.MALAVIKAS.VILLA..OLD.MIG HOUSING.BOARD.COLONY..VIJAYAWADA. HOUSING.BOARD.COLONY..VIJAYAWADA. VIJAYAWADA ANP 520012"/>
    <s v="GUNTUR"/>
    <x v="5"/>
    <x v="11"/>
    <s v="INAMUL"/>
    <n v="802823175"/>
    <s v="Sgr@9290"/>
    <m/>
    <m/>
    <x v="0"/>
    <m/>
    <m/>
    <x v="1"/>
    <d v="2024-05-29T00:00:00"/>
    <n v="13006.77"/>
    <s v="Amazon Pay ICICI Bank Credit Card"/>
    <s v="4TH JULY"/>
    <s v="0000000028010386"/>
    <d v="2026-06-30T00:00:00"/>
  </r>
  <r>
    <s v="4315813036628004"/>
    <s v="MR Dara Ganesh"/>
    <n v="0"/>
    <x v="0"/>
    <m/>
    <s v="CC"/>
    <s v="09-07-2026 , CUS PAID STAB AMOUNT"/>
    <s v="N"/>
    <x v="7"/>
    <s v="9515634397"/>
    <s v="X"/>
    <n v="9094.5100000000093"/>
    <n v="170000"/>
    <n v="179094.51"/>
    <n v="65292.639999999999"/>
    <n v="113801.87"/>
    <n v="103300.51"/>
    <n v="31170"/>
    <n v="15510"/>
    <x v="1"/>
    <x v="2"/>
    <n v="16500"/>
    <n v="-990"/>
    <x v="19"/>
    <s v="TC"/>
    <s v="12124 - UPI Payment Received"/>
    <s v="HARI"/>
    <x v="7"/>
    <x v="3"/>
    <s v="2-3 gopepalli gopepalli Anantapur HINDUPUR ANP 515501"/>
    <s v="COGNIZANT TECH SOLU IND PVT LTD 5/535 OLD MAHABALIPURAM RD THORAIPAKKAM OLD MAHABALIPURAM RD THORAIPAKKAM CHENNAI TMN 600096"/>
    <s v="HINDUPUR"/>
    <x v="1"/>
    <x v="12"/>
    <s v="POORNIMA"/>
    <n v="802824019"/>
    <s v="Nihan@2421"/>
    <m/>
    <m/>
    <x v="0"/>
    <m/>
    <m/>
    <x v="1"/>
    <d v="2024-11-29T00:00:00"/>
    <n v="40000"/>
    <s v="Amazon Pay ICICI Bank Credit Card"/>
    <s v="1ST JULY"/>
    <s v="0000000022684896"/>
    <d v="2026-06-30T00:00:00"/>
  </r>
  <r>
    <s v="4315813660947001"/>
    <s v="MR Kalli Durga Prasad"/>
    <n v="0"/>
    <x v="0"/>
    <m/>
    <m/>
    <m/>
    <s v="N"/>
    <x v="7"/>
    <s v="7993107375"/>
    <s v="X"/>
    <n v="96020.799999999988"/>
    <n v="80000"/>
    <n v="176020.8"/>
    <n v="82664.56"/>
    <n v="93356.24"/>
    <n v="79216.070000000007"/>
    <n v="41560"/>
    <n v="19060"/>
    <x v="0"/>
    <x v="0"/>
    <n v="0"/>
    <n v="19060"/>
    <x v="0"/>
    <s v="NA"/>
    <n v="0"/>
    <s v="HARI"/>
    <x v="9"/>
    <x v="3"/>
    <s v="7 61 1 seethayyammapeta seethayyammapeta shankavaram KAKINADA ANP 533444"/>
    <s v="DEPARTMENT OF POST CHENDHURTHI CHENDHURTHI CHENDHURTHI KAKINADA ANP 533449"/>
    <s v="KAKINADA"/>
    <x v="4"/>
    <x v="47"/>
    <s v="POORNIMA"/>
    <n v="802824019"/>
    <s v="Nihan@2421"/>
    <m/>
    <m/>
    <x v="1"/>
    <m/>
    <m/>
    <x v="1"/>
    <d v="2024-12-01T00:00:00"/>
    <n v="29189.61"/>
    <s v="Amazon Pay ICICI Bank Credit Card"/>
    <s v="4TH JULY"/>
    <s v="0000000024991842"/>
    <d v="2026-06-30T00:00:00"/>
  </r>
  <r>
    <s v="4315813307575009"/>
    <s v="MR Muddangala Punith"/>
    <n v="0"/>
    <x v="0"/>
    <m/>
    <m/>
    <m/>
    <s v="N"/>
    <x v="7"/>
    <s v="9652547292"/>
    <s v="X"/>
    <n v="15412.470000000001"/>
    <n v="160000"/>
    <n v="175412.47"/>
    <s v=""/>
    <n v="175412.47"/>
    <n v="159928.17000000001"/>
    <n v="45730"/>
    <n v="8000"/>
    <x v="1"/>
    <x v="1"/>
    <n v="175412.47"/>
    <n v="-167412.47"/>
    <x v="13"/>
    <s v="TC"/>
    <s v="30501-BBPS Payment received"/>
    <s v="HARI"/>
    <x v="9"/>
    <x v="3"/>
    <s v="3 18 Irala N Mittoor Chittoor CHITTOOR ANP 517130"/>
    <s v="PANCHAYATRAJ DEPARTMENT 35 ERLAMPALLI VILLAGE IRALA MANDAL CHITTOOR DISTRICT IRALA MANDAL CHITTOOR DISTRICT CHITTOOR ANP 517130"/>
    <s v="CHITTOOR"/>
    <x v="1"/>
    <x v="42"/>
    <s v="SK MUJEEB"/>
    <n v="802175739"/>
    <s v="Ssd@9290"/>
    <m/>
    <m/>
    <x v="0"/>
    <m/>
    <m/>
    <x v="1"/>
    <d v="2026-04-14T00:00:00"/>
    <n v="34152.949999999997"/>
    <s v="Amazon Pay ICICI Bank Credit Card"/>
    <s v="4TH JULY"/>
    <s v="0000000023866283"/>
    <d v="2026-06-30T00:00:00"/>
  </r>
  <r>
    <s v="4315813385882004"/>
    <s v="MR Shaik Suhail Ahamed"/>
    <n v="0"/>
    <x v="0"/>
    <m/>
    <m/>
    <m/>
    <s v="N"/>
    <x v="7"/>
    <s v="9441232423"/>
    <s v="X"/>
    <n v="12015.850000000006"/>
    <n v="160000"/>
    <n v="172015.85"/>
    <s v=""/>
    <n v="172015.85"/>
    <n v="159936.22"/>
    <n v="45780"/>
    <n v="29520"/>
    <x v="0"/>
    <x v="0"/>
    <n v="0"/>
    <n v="29520"/>
    <x v="0"/>
    <s v="NA"/>
    <s v="30501-BBPS Payment received"/>
    <s v="HARI"/>
    <x v="6"/>
    <x v="3"/>
    <s v="15 14 71 A R T C COLONY OPP INDIAN BLOOMS ENGLISH MEDIAM SCHOOL Guntur GUNTUR ANP 522002"/>
    <s v="HDFC BANK LIMITED GROUND FLOOR GANDURI BUILDING  14TH LINE GANDURI BUILDING  14TH LINE GUNTUR ANP 522002"/>
    <s v="GUNTUR"/>
    <x v="5"/>
    <x v="11"/>
    <s v="INAMUL"/>
    <n v="802823175"/>
    <s v="Sgr@9290"/>
    <m/>
    <m/>
    <x v="0"/>
    <s v="SKIP"/>
    <s v="Customer given House address visited but customer not available shifted two years back confirmed by neighbour's customer responded to mobile call said that call back evening"/>
    <x v="15"/>
    <d v="2025-04-01T00:00:00"/>
    <n v="15000"/>
    <s v="Amazon Pay ICICI Bank Credit Card"/>
    <s v="4TH JULY"/>
    <s v="0000000024153437"/>
    <d v="2026-06-30T00:00:00"/>
  </r>
  <r>
    <s v="4315813505550002"/>
    <s v="MR Shaik Rasheed Pasha"/>
    <n v="0"/>
    <x v="0"/>
    <m/>
    <m/>
    <m/>
    <s v="N"/>
    <x v="7"/>
    <s v="9948561100"/>
    <s v="X"/>
    <n v="6537.7699999999895"/>
    <n v="160000"/>
    <n v="166537.76999999999"/>
    <s v=""/>
    <n v="166537.76999999999"/>
    <n v="154500"/>
    <n v="44850"/>
    <n v="23120"/>
    <x v="1"/>
    <x v="1"/>
    <n v="166537.76999999999"/>
    <n v="-143417.76999999999"/>
    <x v="14"/>
    <s v="TC"/>
    <s v="30501-BBPS Payment received"/>
    <s v="HARI"/>
    <x v="8"/>
    <x v="3"/>
    <s v="H NO 16 88 AYYAGARIPETA NETHAJI ROAD Khammam KHAMMAM TNG 507303"/>
    <s v="NEON SCIENTIFICS AND SURGICALS 16 88 NETHAJI ROAD NETHAJI ROAD KHAMMAM TNG 507303"/>
    <s v="KHAMMAM"/>
    <x v="0"/>
    <x v="29"/>
    <s v="SUDHAKAR"/>
    <n v="802913252"/>
    <s v="Ssd@9290"/>
    <m/>
    <m/>
    <x v="0"/>
    <s v="LIVE"/>
    <s v="Costumer present not available call answered PTP on Wednesday sir"/>
    <x v="13"/>
    <d v="2026-03-31T00:00:00"/>
    <n v="153000"/>
    <s v="Amazon Pay ICICI Bank Credit Card"/>
    <s v="4TH JULY"/>
    <s v="0000000024549139"/>
    <d v="2026-06-30T00:00:00"/>
  </r>
  <r>
    <s v="4315814014037002"/>
    <s v="MR Markandeya Jaya Krishna"/>
    <n v="0"/>
    <x v="2"/>
    <n v="1"/>
    <s v="CC"/>
    <s v="ALREADY REMOVED CASE"/>
    <s v="N"/>
    <x v="7"/>
    <s v="9581495649"/>
    <s v="X"/>
    <n v="-133508.06"/>
    <n v="300000"/>
    <n v="166491.94"/>
    <s v=""/>
    <n v="166491.94"/>
    <n v="148501.5"/>
    <n v="34900"/>
    <n v="19320"/>
    <x v="0"/>
    <x v="0"/>
    <n v="0"/>
    <n v="19320"/>
    <x v="0"/>
    <s v="NA"/>
    <n v="0"/>
    <s v="HARI"/>
    <x v="10"/>
    <x v="3"/>
    <s v="H.No.78.8.A.6.5.1 New.Krishna.nagar ..New.Krishna.nagar Kurnool KURNOOL ANP 518002"/>
    <s v="AARXZ.DESIGN.STUDIO PLOT.NO.17 LEPAKSHI.NAGAR.SATYA.COMPLEX LEPAKSHI.NAGAR.SATYA.COMPLEX KURNOOL ANP 518002"/>
    <s v="KURNOOL"/>
    <x v="1"/>
    <x v="18"/>
    <s v="SAMBA"/>
    <n v="801772794"/>
    <s v="Ssde@9876"/>
    <m/>
    <m/>
    <x v="1"/>
    <m/>
    <m/>
    <x v="1"/>
    <d v="2024-08-29T00:00:00"/>
    <n v="8597"/>
    <s v="Amazon Pay ICICI Bank Credit Card"/>
    <s v="1ST JULY"/>
    <s v="0000000026423093"/>
    <d v="2026-06-30T00:00:00"/>
  </r>
  <r>
    <s v="5241931204111029"/>
    <s v="MR. SHAIK IMRAN PASHA"/>
    <n v="0"/>
    <x v="0"/>
    <m/>
    <m/>
    <m/>
    <s v="N"/>
    <x v="7"/>
    <s v="9100662426"/>
    <s v="X"/>
    <n v="16147.529999999999"/>
    <n v="150000"/>
    <n v="166147.53"/>
    <s v=""/>
    <n v="166147.53"/>
    <n v="148425.01999999999"/>
    <n v="41980"/>
    <n v="17270"/>
    <x v="1"/>
    <x v="1"/>
    <n v="166147.53"/>
    <n v="-148877.53"/>
    <x v="16"/>
    <s v="TC"/>
    <s v="30501-BBPS Payment received"/>
    <s v="HARI"/>
    <x v="8"/>
    <x v="3"/>
    <s v="H NO  1 58 PAPAGAL TADOOR NAGARKURNOOL BESIDE RTC BUS STAND Mahbubnagar TNG 509209"/>
    <s v="AURORAS SCIENTIFIC AND TECHNOLOGICAL   RESEAR ASTRA &quot;BANDLAGUDA KESHAVGIRI POST, CHANDRAYANAGUTT&quot; &quot;BANDLAGUDA KESHAVGIRI POST, CHANDRAYANAGUTT&quot; Rangareddy TNG 500005"/>
    <s v="KHAMMAM"/>
    <x v="0"/>
    <x v="19"/>
    <s v="SAMBA"/>
    <n v="801772794"/>
    <s v="Ssde@9876"/>
    <m/>
    <m/>
    <x v="0"/>
    <m/>
    <m/>
    <x v="1"/>
    <d v="2026-03-12T00:00:00"/>
    <n v="18500"/>
    <s v="ICICI Bank Ferrari Fan Platinum Credit Card"/>
    <s v="1ST JULY"/>
    <s v="0000000010223959"/>
    <d v="2026-06-30T00:00:00"/>
  </r>
  <r>
    <s v="4315812451079008"/>
    <s v="MR Jumbarthi Sai Kiran"/>
    <n v="0"/>
    <x v="0"/>
    <m/>
    <m/>
    <m/>
    <s v="N"/>
    <x v="7"/>
    <s v="9494763513"/>
    <s v="X"/>
    <n v="42589.94"/>
    <n v="120000"/>
    <n v="162589.94"/>
    <n v="34625.71"/>
    <n v="127964.23"/>
    <n v="120738.45"/>
    <n v="46030"/>
    <n v="29290"/>
    <x v="1"/>
    <x v="2"/>
    <n v="29300"/>
    <n v="-10"/>
    <x v="16"/>
    <s v="TC"/>
    <s v="30501-BBPS Payment received"/>
    <s v="HARI"/>
    <x v="7"/>
    <x v="3"/>
    <s v="4-2-11/1 i b road i b road Karimnagar KARIMNAGAR TNG 505326"/>
    <s v="ELECTRONIC I B ROAD KORATLA KORATLA KORATLA KORATLA KARIMNAGAR TNG 505326"/>
    <s v="KARIMNAGAR"/>
    <x v="0"/>
    <x v="9"/>
    <s v="D RAMU"/>
    <n v="802663344"/>
    <s v="Sgr@9290"/>
    <m/>
    <m/>
    <x v="0"/>
    <m/>
    <m/>
    <x v="1"/>
    <d v="2024-07-11T00:00:00"/>
    <n v="9260"/>
    <s v="Amazon Pay ICICI Bank Credit Card"/>
    <s v="4TH JULY"/>
    <s v="0000000020892701"/>
    <d v="2026-06-30T00:00:00"/>
  </r>
  <r>
    <s v="4315815595256002"/>
    <s v="MR Bulikonda Kiran Kumar"/>
    <n v="0"/>
    <x v="0"/>
    <m/>
    <s v="CC"/>
    <s v="08-07-2026 , CUS PAID STAB AMOUNT"/>
    <s v="N"/>
    <x v="7"/>
    <s v="9880690617"/>
    <s v="X"/>
    <n v="6661.7399999999907"/>
    <n v="150000"/>
    <n v="156661.74"/>
    <n v="6578.68"/>
    <n v="150083.06"/>
    <n v="135448.9"/>
    <n v="40910"/>
    <n v="20420"/>
    <x v="1"/>
    <x v="2"/>
    <n v="21000"/>
    <n v="-580"/>
    <x v="15"/>
    <s v="TC"/>
    <s v="30501-BBPS Payment received"/>
    <s v="HARI"/>
    <x v="5"/>
    <x v="3"/>
    <s v="ROOM.NO.211..RAJAHAMSA.GUEST.HOUSE RTC.BUS.STAND.ROAD ANANTAPUR DIWAKAR BUS DEPOT ANAPARTHI ANP 515001"/>
    <s v="RAJAHAMSA.BUILDERS RAJAHAMSA.DELUX.APARTMENTS. RTC.BUS.STAND.ROAD.ANANTAPUR RTC.BUS.STAND.ROAD.ANANTAPUR ANAPARTHI ANP 515001"/>
    <s v="ANAPARTHI"/>
    <x v="1"/>
    <x v="12"/>
    <s v="POORNIMA"/>
    <n v="802824019"/>
    <s v="Nihan@2421"/>
    <m/>
    <m/>
    <x v="0"/>
    <s v="DL"/>
    <s v="Customer house door locked _x000a_Customer calls not responding"/>
    <x v="13"/>
    <s v=""/>
    <n v="0"/>
    <s v="Amazon Pay ICICI Bank Credit Card"/>
    <s v="4TH JULY"/>
    <s v="0000000033149266"/>
    <d v="2026-06-30T00:00:00"/>
  </r>
  <r>
    <s v="4315814974639003"/>
    <s v="MR Mamindla Sridhar"/>
    <n v="0"/>
    <x v="0"/>
    <m/>
    <m/>
    <m/>
    <s v="N"/>
    <x v="7"/>
    <s v="9912838421"/>
    <s v="X"/>
    <n v="5928.6000000000058"/>
    <n v="150000"/>
    <n v="155928.6"/>
    <n v="112819.41"/>
    <n v="43109.19"/>
    <n v="33528.01"/>
    <n v="27590"/>
    <n v="13730"/>
    <x v="1"/>
    <x v="1"/>
    <n v="43109.19"/>
    <n v="-29379.190000000002"/>
    <x v="0"/>
    <s v="D"/>
    <s v="30501-BBPS Payment received"/>
    <s v="HARI"/>
    <x v="9"/>
    <x v="3"/>
    <s v="3.87.1  .. Karimnagar KARIMNAGAR TNG 505303"/>
    <s v="MSN.LIFE.SCIENCES.PRIVATE.LIMITED 455.E CHANDAM.PET.MEDAK CHANDAM.PET.MEDAK MEDAK TNG 502255"/>
    <s v="MEDAK"/>
    <x v="0"/>
    <x v="44"/>
    <s v="POORNIMA"/>
    <n v="802824019"/>
    <s v="Nihan@2421"/>
    <m/>
    <m/>
    <x v="0"/>
    <m/>
    <m/>
    <x v="1"/>
    <d v="2024-06-27T00:00:00"/>
    <n v="145603.88"/>
    <s v="Amazon Pay ICICI Bank Credit Card"/>
    <s v="1ST JULY"/>
    <s v="0000000030173663"/>
    <d v="2026-06-30T00:00:00"/>
  </r>
  <r>
    <s v="4315814958244010"/>
    <s v="MR Kanuku Chiranjeevi"/>
    <n v="0"/>
    <x v="0"/>
    <n v="1"/>
    <m/>
    <m/>
    <s v="N"/>
    <x v="7"/>
    <s v="6302292241"/>
    <s v="X"/>
    <n v="106057.37"/>
    <n v="44000"/>
    <n v="150057.37"/>
    <s v=""/>
    <n v="150057.37"/>
    <n v="138686.29999999999"/>
    <n v="121150"/>
    <n v="97480"/>
    <x v="0"/>
    <x v="0"/>
    <n v="0"/>
    <n v="97480"/>
    <x v="0"/>
    <s v="NA"/>
    <n v="0"/>
    <s v="HARI"/>
    <x v="4"/>
    <x v="3"/>
    <s v="1.4.249.109.4.4.10.3 Balaji.nagar ..Balaji.nagar Near Hyderabad kakatiya school SURYAPET TNG 508213"/>
    <s v="CHOICE.EQUITY.BROKING.PVT.LTD 1.8.43.1.A3.7 Srinivas.colony.Road.no.6. Srinivas.colony.Road.no.6. SURYAPET TNG 508213"/>
    <s v="SURYAPET"/>
    <x v="0"/>
    <x v="2"/>
    <s v="CHAITANYA"/>
    <n v="802555024"/>
    <s v="Ssde@9290"/>
    <m/>
    <m/>
    <x v="1"/>
    <m/>
    <m/>
    <x v="1"/>
    <d v="2024-08-12T00:00:00"/>
    <n v="1000"/>
    <s v="Amazon Pay ICICI Bank Credit Card"/>
    <s v="4TH JULY"/>
    <s v="0000000030109795"/>
    <d v="2026-06-30T00:00:00"/>
  </r>
  <r>
    <s v="4315814518543034"/>
    <s v="MR CHILUKOTI Gopi Krishna"/>
    <n v="0"/>
    <x v="0"/>
    <n v="1"/>
    <m/>
    <m/>
    <s v="N"/>
    <x v="7"/>
    <s v="9553376858"/>
    <s v="X"/>
    <n v="-30515.119999999995"/>
    <n v="180000"/>
    <n v="149484.88"/>
    <n v="10058.14"/>
    <n v="139426.74"/>
    <n v="124472.84"/>
    <n v="40670"/>
    <n v="18090"/>
    <x v="1"/>
    <x v="1"/>
    <n v="40670"/>
    <n v="-22580"/>
    <x v="21"/>
    <s v="TC"/>
    <s v="30501-BBPS Payment received"/>
    <s v="HARI"/>
    <x v="4"/>
    <x v="3"/>
    <s v="8.8.154..Shukravara.Peta Khammam..Khammam.Urban Khammam..Urban. BACK SIDE OF CHINNA RAMALAYAM KHAMMAM TNG 507001"/>
    <s v="REVENUE.SECTOR Old.municipal.office Station.road.Khammam. Station.road.Khammam. KHAMMAM TNG 507001"/>
    <s v="KHAMMAM"/>
    <x v="0"/>
    <x v="2"/>
    <s v="CHAITANYA"/>
    <n v="802555024"/>
    <s v="Ssde@9290"/>
    <m/>
    <m/>
    <x v="0"/>
    <m/>
    <m/>
    <x v="1"/>
    <d v="2024-12-01T00:00:00"/>
    <n v="38689.32"/>
    <s v="Amazon Pay ICICI Bank Credit Card"/>
    <s v="4TH JULY"/>
    <s v="0000000028244181"/>
    <d v="2026-06-30T00:00:00"/>
  </r>
  <r>
    <s v="4315813569467002"/>
    <s v="MR Ailaveni Vikas"/>
    <n v="0"/>
    <x v="0"/>
    <m/>
    <m/>
    <m/>
    <s v="N"/>
    <x v="7"/>
    <s v="7095831231"/>
    <s v="X"/>
    <n v="8593.4700000000012"/>
    <n v="140000"/>
    <n v="148593.47"/>
    <s v=""/>
    <n v="148593.47"/>
    <n v="136999"/>
    <n v="32020"/>
    <n v="16950"/>
    <x v="1"/>
    <x v="1"/>
    <n v="148593.47"/>
    <n v="-131643.47"/>
    <x v="0"/>
    <s v="D"/>
    <s v="30501-BBPS Payment received"/>
    <s v="HARI"/>
    <x v="9"/>
    <x v="3"/>
    <s v="21 2 87 11 a Markandeya Colony Markandeya Colony Gouthami Sai Degree College PEDDAPALLI TNG 505209"/>
    <s v="SPACE PLANNERZ 21 2 87 11 A MARKENDEYA COLONY GODAVARIKHANI MARKENDEYA COLONY GODAVARIKHANI PEDDAPALLI TNG 505209"/>
    <s v="PEDDAPALLI"/>
    <x v="0"/>
    <x v="41"/>
    <s v="V Sridhar"/>
    <n v="801174030"/>
    <s v="Sgr@0987"/>
    <m/>
    <m/>
    <x v="0"/>
    <m/>
    <m/>
    <x v="1"/>
    <d v="2024-07-05T00:00:00"/>
    <n v="2770"/>
    <s v="Amazon Pay ICICI Bank Credit Card"/>
    <s v="1ST JULY"/>
    <s v="0000000024722831"/>
    <d v="2026-06-30T00:00:00"/>
  </r>
  <r>
    <s v="4315815171301016"/>
    <s v="MR Janagam Venkatesh"/>
    <n v="0"/>
    <x v="0"/>
    <m/>
    <m/>
    <m/>
    <s v="N"/>
    <x v="7"/>
    <s v="8096298771"/>
    <s v="X"/>
    <n v="3262.7600000000093"/>
    <n v="144000"/>
    <n v="147262.76"/>
    <n v="60569.05"/>
    <n v="86693.71"/>
    <n v="72215.09"/>
    <n v="28900"/>
    <n v="15490"/>
    <x v="0"/>
    <x v="0"/>
    <n v="0"/>
    <n v="15490"/>
    <x v="0"/>
    <s v="NA"/>
    <n v="0"/>
    <s v="HARI"/>
    <x v="5"/>
    <x v="3"/>
    <s v="1.39.2  .. Nalgonda NALGONDA TNG 508253"/>
    <s v="AVN.INST.OF.ENGG.AND.TECH 1.57.2 V.MAHAMMADABAD..M.NARAYANPUR. V.MAHAMMADABAD..M.NARAYANPUR. NALGONDA TNG 508253"/>
    <s v="NALGONDA"/>
    <x v="0"/>
    <x v="17"/>
    <s v="PAVAN"/>
    <n v="802823180"/>
    <s v="Sgr@9290"/>
    <m/>
    <m/>
    <x v="0"/>
    <s v="MESS"/>
    <s v="Customer Adress visit and Customer prasent in goto work and infome is wife and  Customer call Answer asked settlement but I convinced them to pay the Stab amount and Customer meet in evening Choutuppal"/>
    <x v="13"/>
    <s v=""/>
    <n v="0"/>
    <s v="Amazon Pay ICICI Bank Credit Card"/>
    <s v="4TH JULY"/>
    <s v="0000000031128175"/>
    <d v="2026-06-30T00:00:00"/>
  </r>
  <r>
    <s v="4315814616078008"/>
    <s v="MR Nadakuduti Mohana Rao"/>
    <n v="0"/>
    <x v="0"/>
    <m/>
    <m/>
    <m/>
    <s v="N"/>
    <x v="7"/>
    <s v="9966331430"/>
    <s v="X"/>
    <n v="-12759.809999999998"/>
    <n v="160000"/>
    <n v="147240.19"/>
    <s v=""/>
    <n v="147240.19"/>
    <n v="131913.71"/>
    <n v="23560"/>
    <n v="9320"/>
    <x v="1"/>
    <x v="2"/>
    <n v="12000"/>
    <n v="-2680"/>
    <x v="16"/>
    <s v="TC"/>
    <s v="30501-BBPS Payment received"/>
    <s v="HARI"/>
    <x v="6"/>
    <x v="3"/>
    <s v="25.5.91.1 Bhimavaram.Mandal Balusimudi.Road West Godavari BHIMAVARAM ANP 534202"/>
    <s v="LALITHAA.JEWELLERY.MART.PVT.LTD Lalithaa.jewellery Bn.road.Mavullama.temple. Bn.road.Mavullama.temple. BHIMAVARAM ANP 534202"/>
    <s v="BHIMAVARAM"/>
    <x v="4"/>
    <x v="26"/>
    <s v="B NAGABABU"/>
    <n v="801448854"/>
    <s v="Sgr@9290"/>
    <m/>
    <m/>
    <x v="0"/>
    <s v="SKIP"/>
    <s v="cmr  not at given address, cmr not answering calls , required kyc details"/>
    <x v="6"/>
    <d v="2024-08-30T00:00:00"/>
    <n v="50978"/>
    <s v="Amazon Pay ICICI Bank Credit Card"/>
    <s v="1ST JULY"/>
    <s v="0000000028608705"/>
    <d v="2026-06-30T00:00:00"/>
  </r>
  <r>
    <s v="4315814663724009"/>
    <s v="MR Gaddam Rama Krishna"/>
    <n v="0"/>
    <x v="0"/>
    <m/>
    <m/>
    <m/>
    <s v="N"/>
    <x v="7"/>
    <s v="9441090016"/>
    <s v="X"/>
    <n v="-92871.38"/>
    <n v="240000"/>
    <n v="147128.62"/>
    <s v=""/>
    <n v="147128.62"/>
    <n v="134230.59"/>
    <n v="39660"/>
    <n v="18470"/>
    <x v="1"/>
    <x v="1"/>
    <n v="39660"/>
    <n v="-21190"/>
    <x v="19"/>
    <s v="FE"/>
    <s v="30501-BBPS Payment received"/>
    <s v="HARI"/>
    <x v="7"/>
    <x v="3"/>
    <s v="4.29  .. Karimnagar KARIMNAGAR TNG 505454"/>
    <s v="GEBBS.HEALTHCARE.SOLUTIONS.PVT.LTD Thane...Belapur.Rd Raheja.Mindspace..Airoli.East.Thane...Be Raheja.Mindspace..Airoli.East.Thane...Be MUMBAI MAH 400708"/>
    <s v="KARIMNAGAR"/>
    <x v="0"/>
    <x v="8"/>
    <s v="SUMANTH"/>
    <n v="802370852"/>
    <s v="Sgr@9290"/>
    <m/>
    <m/>
    <x v="0"/>
    <m/>
    <m/>
    <x v="1"/>
    <d v="2024-09-17T00:00:00"/>
    <n v="25000"/>
    <s v="Amazon Pay ICICI Bank Credit Card"/>
    <s v="4TH JULY"/>
    <s v="0000000028807066"/>
    <d v="2026-06-30T00:00:00"/>
  </r>
  <r>
    <s v="4315813658052004"/>
    <s v="MR VANDANAPU RAMAKRISHNA"/>
    <n v="0"/>
    <x v="0"/>
    <m/>
    <m/>
    <m/>
    <s v="N"/>
    <x v="7"/>
    <s v="9010959491"/>
    <s v="X"/>
    <n v="-22886.649999999994"/>
    <n v="170000"/>
    <n v="147113.35"/>
    <s v=""/>
    <n v="147113.35"/>
    <n v="133022.21"/>
    <n v="22250"/>
    <n v="7890"/>
    <x v="1"/>
    <x v="1"/>
    <n v="22250"/>
    <n v="-14360"/>
    <x v="15"/>
    <s v="TC"/>
    <s v="12124 - UPI Payment Received"/>
    <s v="HARI"/>
    <x v="8"/>
    <x v="3"/>
    <s v="3/238/A PANDARIPURAM 7TH LANE CHILAKALURIPET KANDIMALLA 1ST GATE COMPANY GUNTUR ANP 522616"/>
    <s v="TECH MAHINDRA LIMITED DEPARTMENT OF ANIMAL HUSBANDRY  3RD FLOOR NTR ADMINISTRTIVEBLOCK VIJAYAWADA FLOOR NTR ADMINISTRTIVEBLOCK VIJAYAWADA VIJAYAWADA ANP 520001"/>
    <s v="GUNTUR"/>
    <x v="5"/>
    <x v="35"/>
    <s v="DURGA"/>
    <n v="801723195"/>
    <s v="Sgr@9290"/>
    <m/>
    <m/>
    <x v="0"/>
    <m/>
    <m/>
    <x v="1"/>
    <d v="2026-02-09T00:00:00"/>
    <n v="9000"/>
    <s v="Amazon Pay ICICI Bank Credit Card"/>
    <s v="4TH JULY"/>
    <s v="0000000024984935"/>
    <d v="2026-06-30T00:00:00"/>
  </r>
  <r>
    <s v="4315812508909009"/>
    <s v="MR Varkala Ganesh Reddy"/>
    <n v="0"/>
    <x v="0"/>
    <m/>
    <m/>
    <m/>
    <s v="N"/>
    <x v="7"/>
    <s v="9640501117"/>
    <s v="X"/>
    <n v="13093.820000000007"/>
    <n v="130000"/>
    <n v="143093.82"/>
    <n v="8302.24"/>
    <n v="134791.57999999999"/>
    <n v="121582.23"/>
    <n v="28090"/>
    <n v="9060"/>
    <x v="1"/>
    <x v="1"/>
    <n v="28090"/>
    <n v="-19030"/>
    <x v="0"/>
    <s v="D"/>
    <s v="30501-BBPS Payment received"/>
    <s v="HARI"/>
    <x v="8"/>
    <x v="3"/>
    <s v="12-281 THILAK NAGAR THILAK NAGAR KALWAKURTHY (PO M) WANAPARTHY TNG 509324"/>
    <s v="CONTRACTOR &quot;12-281,THILAK NAGAR&quot; KALWAKURTHY KALWAKURTHY WANAPARTHY TNG 509324"/>
    <s v="WANAPARTHY"/>
    <x v="0"/>
    <x v="19"/>
    <s v="SAMBA"/>
    <n v="801772794"/>
    <s v="Ssde@9876"/>
    <m/>
    <m/>
    <x v="0"/>
    <m/>
    <m/>
    <x v="1"/>
    <d v="2022-05-30T00:00:00"/>
    <n v="11534.77"/>
    <s v="Amazon Pay ICICI Bank Credit Card"/>
    <s v="1ST JULY"/>
    <s v="0000000021024877"/>
    <d v="2026-06-30T00:00:00"/>
  </r>
  <r>
    <s v="4315813439464007"/>
    <s v="MR Sikile Sanjesh"/>
    <n v="0"/>
    <x v="0"/>
    <m/>
    <m/>
    <m/>
    <s v="N"/>
    <x v="7"/>
    <s v="8897787870"/>
    <s v="X"/>
    <n v="1566.1700000000128"/>
    <n v="140000"/>
    <n v="141566.17000000001"/>
    <s v=""/>
    <n v="141566.17000000001"/>
    <n v="128303.36"/>
    <n v="28810"/>
    <n v="13760"/>
    <x v="1"/>
    <x v="1"/>
    <n v="141566.17000000001"/>
    <n v="-127806.17000000001"/>
    <x v="16"/>
    <s v="TC"/>
    <s v="30501-BBPS Payment received"/>
    <s v="HARI"/>
    <x v="7"/>
    <x v="3"/>
    <s v="H No 1 7 2 Akiveedu Mandalam Ajjamuru Garuvu Near Asha Jyothi Hospital BHIMAVARAM ANP 534235"/>
    <s v="SURVEY SETTLEMENTS AND LAND RECORDS CHINAKAPAVARAM GRAMASACHIVALAYAM CHINAKAPAVARAM MAIN ROAD CHINAKAPAVARAM MAIN ROAD BHIMAVARAM ANP 534235"/>
    <s v="BHIMAVARAM"/>
    <x v="4"/>
    <x v="26"/>
    <s v="B NAGABABU"/>
    <n v="801448854"/>
    <s v="Sgr@9290"/>
    <m/>
    <m/>
    <x v="0"/>
    <m/>
    <m/>
    <x v="1"/>
    <d v="2025-01-01T00:00:00"/>
    <n v="129021"/>
    <s v="Amazon Pay ICICI Bank Credit Card"/>
    <s v="4TH JULY"/>
    <s v="0000000024315953"/>
    <d v="2026-06-30T00:00:00"/>
  </r>
  <r>
    <s v="4315813690835002"/>
    <s v="MR Telugu Uday Kumar"/>
    <n v="0"/>
    <x v="0"/>
    <m/>
    <m/>
    <m/>
    <s v="N"/>
    <x v="7"/>
    <s v="9542678010"/>
    <s v="X"/>
    <n v="59404.649999999994"/>
    <n v="80000"/>
    <n v="139404.65"/>
    <n v="121541.01"/>
    <n v="17863.64"/>
    <n v="15507.32"/>
    <n v="17863.64"/>
    <n v="7975.82"/>
    <x v="0"/>
    <x v="0"/>
    <n v="0"/>
    <n v="7975.82"/>
    <x v="0"/>
    <s v="NA"/>
    <n v="0"/>
    <s v="HARI"/>
    <x v="6"/>
    <x v="3"/>
    <s v="H NO 45 335 LABOUR COLONY LABOUR COLONY Kurnool KURNOOL ANP 518005"/>
    <s v="GEOJIT INVESTMENT SERVICES LTD CIVIL LINE ROAD PADIVATTOM KOCHI PADIVATTOM KOCHI COCHIN KER 682024"/>
    <s v="KURNOOL"/>
    <x v="1"/>
    <x v="18"/>
    <s v="SAMBA"/>
    <n v="801772794"/>
    <s v="Ssde@9876"/>
    <m/>
    <m/>
    <x v="0"/>
    <s v="LIVE"/>
    <s v="Customer told that still he did not adjust amount . _x000a_If he adjusted amount he will pay today or tomorrow"/>
    <x v="16"/>
    <d v="2025-11-30T00:00:00"/>
    <n v="8038.34"/>
    <s v="Amazon Pay ICICI Bank Credit Card"/>
    <s v="4TH JULY"/>
    <s v="0000000025081856"/>
    <d v="2026-06-30T00:00:00"/>
  </r>
  <r>
    <s v="4315812670498005"/>
    <s v="Mr DOGIPARTHI VIJAY KUMAR"/>
    <n v="0"/>
    <x v="0"/>
    <m/>
    <m/>
    <m/>
    <s v="N"/>
    <x v="7"/>
    <s v="8125555205"/>
    <s v="Y"/>
    <n v="-361116.36"/>
    <n v="500000"/>
    <n v="138883.64000000001"/>
    <s v=""/>
    <n v="138883.64000000001"/>
    <n v="126049.68"/>
    <n v="19870"/>
    <n v="7650"/>
    <x v="0"/>
    <x v="0"/>
    <n v="0"/>
    <n v="7650"/>
    <x v="0"/>
    <s v="NA"/>
    <n v="0"/>
    <s v="HARI"/>
    <x v="9"/>
    <x v="3"/>
    <s v="&quot;2-3-38/36 CURRENT OFFICE,ROAD,BURMPET,&quot; NARASARAOPET   GUNTUR ANP 522601"/>
    <s v="D vijay kumar Current office line Burmpet Burmpet GUNTUR ANP 522601"/>
    <s v="GUNTUR"/>
    <x v="5"/>
    <x v="40"/>
    <s v="DURGA"/>
    <n v="801723195"/>
    <s v="Sgr@9290"/>
    <m/>
    <m/>
    <x v="0"/>
    <s v="SKIP"/>
    <s v="customer not available at given address mobile number switch off by local enquiry customer absconding family members shift to another location // customer not available at given address mobile number switch off by local enquiry customer absconding police department also searching family members shift to another location...."/>
    <x v="15"/>
    <d v="2026-03-28T00:00:00"/>
    <n v="1100"/>
    <s v="Amazon Pay ICICI Bank Credit Card"/>
    <s v="4TH JULY"/>
    <s v="0000000021425742"/>
    <d v="2026-06-30T00:00:00"/>
  </r>
  <r>
    <s v="4315813981831009"/>
    <s v="MR Birudugadda Srikanth"/>
    <n v="0"/>
    <x v="0"/>
    <m/>
    <m/>
    <m/>
    <s v="N"/>
    <x v="7"/>
    <s v="9676363793"/>
    <s v="X"/>
    <n v="-3007.8099999999977"/>
    <n v="140000"/>
    <n v="136992.19"/>
    <n v="119809.55"/>
    <n v="17182.64"/>
    <n v="13252.16"/>
    <n v="17182.64"/>
    <n v="8428.43"/>
    <x v="1"/>
    <x v="1"/>
    <n v="17182.64"/>
    <n v="-8754.2099999999991"/>
    <x v="16"/>
    <s v="TC"/>
    <s v="30501-BBPS Payment received"/>
    <s v="HARI"/>
    <x v="7"/>
    <x v="3"/>
    <s v="1.51 Mandavalli ..Mandavalli Krishna GUDIVADA ANP 521345"/>
    <s v="STATE.BANK.OF.INDIA DNO.19.157.A1.MUNUSABGARI.STREET BETHAVOLU.GUDIVADA BETHAVOLU.GUDIVADA GUDIVADA ANP 521301"/>
    <s v="GUDIVADA"/>
    <x v="4"/>
    <x v="32"/>
    <s v="BHARAT CHANDRA"/>
    <n v="802631601"/>
    <s v="Ssde@9290"/>
    <m/>
    <m/>
    <x v="0"/>
    <m/>
    <m/>
    <x v="1"/>
    <d v="2026-05-12T00:00:00"/>
    <n v="1340"/>
    <s v="Amazon Pay ICICI Bank Credit Card"/>
    <s v="1ST JULY"/>
    <s v="0000000026298019"/>
    <d v="2026-06-30T00:00:00"/>
  </r>
  <r>
    <s v="4315815851205008"/>
    <s v="MR ACHANTA MANI KANTA"/>
    <n v="0"/>
    <x v="0"/>
    <m/>
    <m/>
    <m/>
    <s v="N"/>
    <x v="7"/>
    <s v="7286844888"/>
    <s v="X"/>
    <n v="15838.630000000005"/>
    <n v="120000"/>
    <n v="135838.63"/>
    <s v=""/>
    <n v="135838.63"/>
    <n v="119957.52"/>
    <n v="42230"/>
    <n v="22770"/>
    <x v="0"/>
    <x v="0"/>
    <n v="0"/>
    <n v="22770"/>
    <x v="0"/>
    <s v="NA"/>
    <n v="0"/>
    <s v="HARI"/>
    <x v="9"/>
    <x v="3"/>
    <s v="3.28.. peddapuram.mandalam.. Chinabrahmadevam NEAR RAMALAYAM PATURU PEDDAPURAM ANP 533437"/>
    <s v="KBK.BIOTECH.PVT.LTD CHINNABRAHMADEVAM. PEDDAPURAM.MANDAL.KAKINADA.DISTRICT. PEDDAPURAM.MANDAL.KAKINADA.DISTRICT. PEDDAPURAM ANP 533437"/>
    <s v="PEDDAPURAM"/>
    <x v="4"/>
    <x v="23"/>
    <s v="UDAY"/>
    <n v="801436997"/>
    <s v="Ssd@9290"/>
    <m/>
    <m/>
    <x v="1"/>
    <m/>
    <m/>
    <x v="1"/>
    <s v=""/>
    <n v="0"/>
    <s v="Amazon Pay ICICI Bank Credit Card"/>
    <s v="4TH JULY"/>
    <s v="0000000034191413"/>
    <d v="2026-06-30T00:00:00"/>
  </r>
  <r>
    <s v="4315815163395000"/>
    <s v="MR KALIDASU VINAY"/>
    <n v="0"/>
    <x v="0"/>
    <m/>
    <m/>
    <m/>
    <s v="N"/>
    <x v="7"/>
    <s v="8886750504"/>
    <s v="X"/>
    <n v="14926.920000000013"/>
    <n v="120000"/>
    <n v="134926.92000000001"/>
    <s v=""/>
    <n v="134926.92000000001"/>
    <n v="119997"/>
    <n v="40450"/>
    <n v="20980"/>
    <x v="0"/>
    <x v="0"/>
    <n v="0"/>
    <n v="20980"/>
    <x v="0"/>
    <s v="NA"/>
    <n v="0"/>
    <s v="HARI"/>
    <x v="6"/>
    <x v="3"/>
    <s v="21-8-4 YARRAPRAGADA VAARI VEEDHI &quot;GADEPALLI, WEST GODAVARI,TANUKU&quot;  BESIDE ANNAPURNAMA SCHOOL TANUKU ANP 534211"/>
    <s v="DEPARTMENT OF POSTS &quot;VENKATARYAPURAM, TANUKU&quot; WEST GODAVARI WEST GODAVARI TANUKU ANP 534211"/>
    <s v="TANUKU"/>
    <x v="4"/>
    <x v="33"/>
    <s v="MANIKANTA"/>
    <n v="802852449"/>
    <s v="Ssd@9290"/>
    <m/>
    <m/>
    <x v="0"/>
    <s v="LIVE"/>
    <s v="Custmor go to job   phne respond  tomorrow ptp / /Custmor go to out station"/>
    <x v="15"/>
    <d v="2025-12-30T00:00:00"/>
    <n v="19724"/>
    <s v="Amazon Pay ICICI Bank Credit Card"/>
    <s v="4TH JULY"/>
    <s v="0000000031082001"/>
    <d v="2026-06-30T00:00:00"/>
  </r>
  <r>
    <s v="4315812314490004"/>
    <s v="MS Maddi Rajya Lakshmi"/>
    <s v="RTP"/>
    <x v="2"/>
    <n v="1"/>
    <s v="CC"/>
    <s v="PTP 11-07-2026"/>
    <s v="N"/>
    <x v="7"/>
    <s v="7989343512"/>
    <s v="X"/>
    <n v="-45077.619999999995"/>
    <n v="180000"/>
    <n v="134922.38"/>
    <s v=""/>
    <n v="134922.38"/>
    <n v="121887.29"/>
    <n v="20520"/>
    <n v="7230"/>
    <x v="1"/>
    <x v="1"/>
    <n v="20520"/>
    <n v="-13290"/>
    <x v="18"/>
    <s v="TC"/>
    <n v="0"/>
    <s v="HARI"/>
    <x v="8"/>
    <x v="3"/>
    <s v="3-69b Pasumarru Nayee Brahmana Street Guntur GUNTUR ANP 522616"/>
    <s v="LAKSHMI DRY FRUITS 3-69B PASUMARRU CHILAKALURIPET GUNTUR CHILAKALURIPET GUNTUR GUNTUR ANP 522616"/>
    <s v="GUNTUR"/>
    <x v="5"/>
    <x v="35"/>
    <s v="DURGA"/>
    <n v="801723195"/>
    <s v="Sgr@9290"/>
    <m/>
    <m/>
    <x v="0"/>
    <m/>
    <m/>
    <x v="1"/>
    <d v="2024-12-01T00:00:00"/>
    <n v="30000"/>
    <s v="Amazon Pay ICICI Bank Credit Card"/>
    <s v="4TH JULY"/>
    <s v="0000000020533786"/>
    <d v="2026-06-30T00:00:00"/>
  </r>
  <r>
    <s v="4315813799581002"/>
    <s v="MR Shaik Mahammad Rafi"/>
    <n v="0"/>
    <x v="0"/>
    <m/>
    <m/>
    <m/>
    <s v="N"/>
    <x v="7"/>
    <s v="7286043253"/>
    <s v="X"/>
    <n v="14304.600000000006"/>
    <n v="120000"/>
    <n v="134304.6"/>
    <s v=""/>
    <n v="134304.6"/>
    <n v="117496"/>
    <n v="41520"/>
    <n v="22320"/>
    <x v="0"/>
    <x v="0"/>
    <n v="0"/>
    <n v="22320"/>
    <x v="0"/>
    <s v="NA"/>
    <n v="0"/>
    <s v="HARI"/>
    <x v="6"/>
    <x v="3"/>
    <s v="3 92 Vallur Vallur Cuddapah PRODDATUR ANP 516293"/>
    <s v="CSQUARE UNISEX HHAIR SASALON RR COMPL3X RAILWAY KODUR RAILWAY KODUR CUDDAPAH ANP 516101"/>
    <s v="CUDDAPAH"/>
    <x v="1"/>
    <x v="14"/>
    <s v="SIVARAU"/>
    <n v="801601134"/>
    <s v="Ssd@9290"/>
    <m/>
    <m/>
    <x v="1"/>
    <m/>
    <m/>
    <x v="1"/>
    <d v="2026-05-04T00:00:00"/>
    <n v="17500"/>
    <s v="Amazon Pay ICICI Bank Credit Card"/>
    <s v="1ST JULY"/>
    <s v="0000000025532337"/>
    <d v="2026-06-30T00:00:00"/>
  </r>
  <r>
    <s v="4315814091857017"/>
    <s v="MR Karandekar Nagesh"/>
    <n v="0"/>
    <x v="0"/>
    <m/>
    <m/>
    <m/>
    <s v="N"/>
    <x v="7"/>
    <s v="7794847754"/>
    <s v="X"/>
    <n v="-47158.28"/>
    <n v="180000"/>
    <n v="132841.72"/>
    <n v="117443.25"/>
    <n v="15398.47"/>
    <n v="11431.49"/>
    <n v="15398.47"/>
    <n v="14656.51"/>
    <x v="1"/>
    <x v="1"/>
    <n v="15398.47"/>
    <n v="-741.95999999999913"/>
    <x v="19"/>
    <s v="TC"/>
    <s v="30501-BBPS Payment received"/>
    <s v="HARI"/>
    <x v="5"/>
    <x v="3"/>
    <s v="3.81.A Mudgal Machkal Adilabad ADILABAD TNG 504102"/>
    <s v="OPTIVAL.HEALTH.SOLUTIONS.PVT.LTD KPHB.4TH.PHASE. RTO.OFFICE.ROAD.HYDERABAD.. RTO.OFFICE.ROAD.HYDERABAD.. HYDERABAD TNG 500072"/>
    <s v="ADILABAD"/>
    <x v="0"/>
    <x v="3"/>
    <s v="KANTH"/>
    <n v="802794852"/>
    <s v="Ssd@9290"/>
    <m/>
    <m/>
    <x v="0"/>
    <s v="LIVE"/>
    <s v="Customer visit office address meet customer PTP 10th"/>
    <x v="6"/>
    <d v="2024-06-18T00:00:00"/>
    <n v="9691.94"/>
    <s v="Amazon Pay ICICI Bank Credit Card"/>
    <s v="1ST JULY"/>
    <s v="0000000026701905"/>
    <d v="2026-06-30T00:00:00"/>
  </r>
  <r>
    <s v="4315814358731004"/>
    <s v="MR Devarasetty Madhu Mohan"/>
    <n v="0"/>
    <x v="0"/>
    <m/>
    <m/>
    <m/>
    <s v="N"/>
    <x v="7"/>
    <s v="7799066426"/>
    <s v="X"/>
    <n v="11594.459999999992"/>
    <n v="120000"/>
    <n v="131594.46"/>
    <s v=""/>
    <n v="131594.46"/>
    <n v="119315.33"/>
    <n v="30780"/>
    <n v="11230"/>
    <x v="1"/>
    <x v="1"/>
    <n v="30780"/>
    <n v="-19550"/>
    <x v="15"/>
    <s v="TC"/>
    <s v="30501-BBPS Payment received"/>
    <s v="HARI"/>
    <x v="4"/>
    <x v="3"/>
    <s v="1.13.A Jammalamadugu.Mandalam Goriganur.Village Cuddapah PRODDATUR ANP 516434"/>
    <s v="SELF.EMPLOYED 26.858 GURUVAIAH.THOTA. GURUVAIAH.THOTA. PRODDATUR ANP 516360"/>
    <s v="PRODDATUR"/>
    <x v="1"/>
    <x v="15"/>
    <s v="VSSK PRASAD"/>
    <n v="802349062"/>
    <s v="Ssd@9290"/>
    <m/>
    <m/>
    <x v="0"/>
    <m/>
    <m/>
    <x v="1"/>
    <d v="2025-11-12T00:00:00"/>
    <n v="5000"/>
    <s v="Amazon Pay ICICI Bank Credit Card"/>
    <s v="1ST JULY"/>
    <s v="0000000027606923"/>
    <d v="2026-06-30T00:00:00"/>
  </r>
  <r>
    <s v="4315814736176005"/>
    <s v="MR Tholikonda Surya Teja"/>
    <n v="0"/>
    <x v="0"/>
    <m/>
    <m/>
    <m/>
    <s v="N"/>
    <x v="7"/>
    <s v="6301970524"/>
    <s v="X"/>
    <n v="11281.209999999992"/>
    <n v="120000"/>
    <n v="131281.21"/>
    <s v=""/>
    <n v="131281.21"/>
    <n v="119261.67"/>
    <n v="41590"/>
    <n v="14520"/>
    <x v="1"/>
    <x v="1"/>
    <n v="41590"/>
    <n v="-27070"/>
    <x v="17"/>
    <s v="TC"/>
    <s v="30501-BBPS Payment received"/>
    <s v="HARI"/>
    <x v="7"/>
    <x v="3"/>
    <s v="1.5.472.2 kamareddy gandhi.nagar.colony sirisilla road NIZAMABAD TNG 503111"/>
    <s v="SHREE.NARASIMH.SVAAAMI.CEMENT.WORKS SIRICILLA.ROAD. GANDHI.NAGAR.COLONY..BESIDE.PASHA.HOTEL. GANDHI.NAGAR.COLONY..BESIDE.PASHA.HOTEL. NIZAMABAD TNG 503111"/>
    <s v="NIZAMABAD"/>
    <x v="0"/>
    <x v="38"/>
    <s v="PRASHANTH"/>
    <n v="802551967"/>
    <s v="Ssde@9290"/>
    <m/>
    <m/>
    <x v="0"/>
    <s v="LIVE"/>
    <s v="customer shop not available and phone not responding"/>
    <x v="14"/>
    <d v="2024-11-07T00:00:00"/>
    <n v="20970"/>
    <s v="Amazon Pay ICICI Bank Credit Card"/>
    <s v="4TH JULY"/>
    <s v="0000000029103929"/>
    <d v="2026-06-30T00:00:00"/>
  </r>
  <r>
    <s v="4315814978739007"/>
    <s v="MR Budda Uday Kumar"/>
    <n v="0"/>
    <x v="0"/>
    <m/>
    <m/>
    <m/>
    <s v="N"/>
    <x v="7"/>
    <s v="6281001934"/>
    <s v="X"/>
    <n v="4808.8399999999965"/>
    <n v="120000"/>
    <n v="124808.84"/>
    <n v="88327.69"/>
    <n v="36481.15"/>
    <n v="29706.67"/>
    <n v="20630"/>
    <n v="8710"/>
    <x v="1"/>
    <x v="2"/>
    <n v="8800"/>
    <n v="-90"/>
    <x v="20"/>
    <s v="TC"/>
    <s v="30501-BBPS Payment received"/>
    <s v="HARI"/>
    <x v="5"/>
    <x v="3"/>
    <s v="9.101 kakinada.rural jayaprakash.nagar near water tank KAKINADA ANP 533016"/>
    <s v="SRI.VENTAKTESWARA.TOURS.AND.TRAVELS 9.101..JAYAPRAKASH.NAGAR NEAR.BODDU.CHERUWU.WATER.TANK..TURANGI.K NEAR.BODDU.CHERUWU.WATER.TANK..TURANGI.K KAKINADA ANP 533016"/>
    <s v="KAKINADA"/>
    <x v="4"/>
    <x v="23"/>
    <s v="UDAY"/>
    <n v="801436997"/>
    <s v="Ssd@9290"/>
    <m/>
    <m/>
    <x v="0"/>
    <s v="DL"/>
    <s v="Customer shop address visit customer not available door lock call response ptp on tomorrow s / / Customer shop address visit customer not available door lock call response ptp on today sir"/>
    <x v="17"/>
    <d v="2026-01-08T00:00:00"/>
    <n v="48000"/>
    <s v="Amazon Pay ICICI Bank Credit Card"/>
    <s v="4TH JULY"/>
    <s v="0000000030197484"/>
    <d v="2026-06-30T00:00:00"/>
  </r>
  <r>
    <s v="4315815595968002"/>
    <s v="MR Kudukuntla Saivardhan"/>
    <n v="0"/>
    <x v="0"/>
    <m/>
    <m/>
    <m/>
    <s v="N"/>
    <x v="7"/>
    <s v="9346843593"/>
    <s v="X"/>
    <n v="3204.6300000000047"/>
    <n v="120000"/>
    <n v="123204.63"/>
    <n v="20934.63"/>
    <n v="102270"/>
    <n v="89487.52"/>
    <n v="28310"/>
    <n v="15290"/>
    <x v="1"/>
    <x v="2"/>
    <n v="15500"/>
    <n v="-210"/>
    <x v="12"/>
    <s v="TC"/>
    <s v="30501-BBPS Payment received"/>
    <s v="HARI"/>
    <x v="4"/>
    <x v="3"/>
    <s v="42.242.B.Sri.Sai.girls.hostel. RTC.colony..wanaparthy ..RTC.colony..wanaparthy Near old jagruti jr college WANAPARTHY TNG 509103"/>
    <s v="SRI.SAI.GIRLS.HOSTEL 42.242.B.Sri.Sai.girls.hostel. RTC.colony..wanaparthy. RTC.colony..wanaparthy. WANAPARTHY TNG 509103"/>
    <s v="WANAPARTHY"/>
    <x v="0"/>
    <x v="19"/>
    <s v="SAMBA"/>
    <n v="801772794"/>
    <s v="Ssde@9876"/>
    <m/>
    <m/>
    <x v="0"/>
    <m/>
    <m/>
    <x v="1"/>
    <s v=""/>
    <n v="0"/>
    <s v="Amazon Pay ICICI Bank Credit Card"/>
    <s v="4TH JULY"/>
    <s v="0000000033152443"/>
    <d v="2026-06-30T00:00:00"/>
  </r>
  <r>
    <s v="4315813412656009"/>
    <s v="MR Bangari Venkateswarlu"/>
    <n v="0"/>
    <x v="0"/>
    <m/>
    <m/>
    <m/>
    <s v="N"/>
    <x v="7"/>
    <s v="9912112541"/>
    <s v="X"/>
    <n v="2744.8399999999965"/>
    <n v="120000"/>
    <n v="122744.84"/>
    <n v="6048.02"/>
    <n v="116696.82"/>
    <n v="109783.02"/>
    <n v="17400"/>
    <n v="6760"/>
    <x v="0"/>
    <x v="0"/>
    <n v="0"/>
    <n v="6760"/>
    <x v="0"/>
    <s v="NA"/>
    <n v="0"/>
    <s v="HARI"/>
    <x v="4"/>
    <x v="3"/>
    <s v="70 19 112 3a Godari Gunta Kalakarula Colony East Godavari KAKINADA ANP 533003"/>
    <s v="JNTUK COLLEGE OF ENGINEERING IIT OPPOSITE KAKINADA TO PITHAPURAM ROAD OPPOSITE KAKINADA TO PITHAPURAM ROAD KAKINADA ANP 533003"/>
    <s v="KAKINADA"/>
    <x v="4"/>
    <x v="23"/>
    <s v="UDAY"/>
    <n v="801436997"/>
    <s v="Ssd@9290"/>
    <m/>
    <m/>
    <x v="0"/>
    <s v="DL"/>
    <s v="Customer address visit customer not available door lock call response no founds available ask for time // Customer address door lock _x000a_Call response no founds available not ready to pay asking for time facing financial issues saying // Customer address door lock call not answering sir"/>
    <x v="16"/>
    <d v="2024-07-28T00:00:00"/>
    <n v="11074"/>
    <s v="Amazon Pay ICICI Bank Credit Card"/>
    <s v="4TH JULY"/>
    <s v="0000000024239289"/>
    <d v="2026-06-30T00:00:00"/>
  </r>
  <r>
    <s v="4315812569639016"/>
    <s v="MR PALWANCHA BHANU PRASAD"/>
    <n v="0"/>
    <x v="0"/>
    <m/>
    <m/>
    <m/>
    <s v="N"/>
    <x v="7"/>
    <s v="9963222857"/>
    <s v="X"/>
    <n v="-57651.41"/>
    <n v="180000"/>
    <n v="122348.59"/>
    <s v=""/>
    <n v="122348.59"/>
    <n v="106566.38"/>
    <n v="21150"/>
    <n v="6570"/>
    <x v="0"/>
    <x v="0"/>
    <n v="0"/>
    <n v="6570"/>
    <x v="0"/>
    <s v="NA"/>
    <s v="12111-ICICI BANK COLLECTION PAYMENT"/>
    <s v="HARI"/>
    <x v="5"/>
    <x v="3"/>
    <s v="&quot;4-121,GANGANAMMA TEMPLE STREET,GOLLAPUDI&quot;    VIJAYAWADA ANP 521225"/>
    <s v="Sri sai venkatrama constructions 7-28 Saipuram colony road Saipuram colony road VIJAYAWADA ANP 521225"/>
    <s v="VIJAYAWADA"/>
    <x v="3"/>
    <x v="46"/>
    <s v="SUDHAKAR"/>
    <n v="802913252"/>
    <s v="Ssd@9290"/>
    <m/>
    <m/>
    <x v="1"/>
    <m/>
    <m/>
    <x v="1"/>
    <d v="2025-05-22T00:00:00"/>
    <n v="6000"/>
    <s v="Amazon Pay ICICI Bank Credit Card"/>
    <s v="4TH JULY"/>
    <s v="0000000021181283"/>
    <d v="2026-06-30T00:00:00"/>
  </r>
  <r>
    <s v="4315814421010006"/>
    <s v="MR KOTA LAKSHMANARAO"/>
    <n v="0"/>
    <x v="2"/>
    <n v="1"/>
    <s v="CC"/>
    <s v="ALREADY REMOVED CASE"/>
    <s v="N"/>
    <x v="7"/>
    <s v="9966858281"/>
    <s v="X"/>
    <n v="11924.539999999994"/>
    <n v="110000"/>
    <n v="121924.54"/>
    <s v=""/>
    <n v="121924.54"/>
    <n v="108020"/>
    <n v="35520"/>
    <n v="17590"/>
    <x v="0"/>
    <x v="0"/>
    <n v="0"/>
    <n v="17590"/>
    <x v="0"/>
    <s v="NA"/>
    <n v="0"/>
    <s v="HARI"/>
    <x v="7"/>
    <x v="3"/>
    <s v="&quot;11-22-57/1,&quot; &quot;RAMIREDDYPET,&quot; NARSARAOPET OPPOSITE VAGDEVI DEGREE COLLEGE GUNTUR ANP 522601"/>
    <s v="SAMSUNG INDIA ELECTRONICS PRIVATE LIMITE SAMSUNG PALAZA AND RR VIJAY LAXMI &quot;ELECTRONICS,ARUNDAPET,NARSARAOPET&quot; &quot;ELECTRONICS,ARUNDAPET,NARSARAOPET&quot; GUNTUR ANP 522601"/>
    <s v="GUNTUR"/>
    <x v="5"/>
    <x v="40"/>
    <s v="DURGA"/>
    <n v="801723195"/>
    <s v="Sgr@9290"/>
    <m/>
    <m/>
    <x v="0"/>
    <s v="DL"/>
    <s v="customer not available at given address door lock not lifting my phone call waiting for customer response.... // customer available he said financial issue asking for settlement not ready to pay right now he going to legal try to convince.... //  customer available he said financial issue asking for settlement not ready to pay right now he going to legal try to convince.... // customer not available by call conversation he said financial issue asking for settlement not ready to pay right now he going to legal try to convince.... // customer not available by call conversation he said financial issue asking for settlement not ready to pay right now he going to legal try to convince...."/>
    <x v="16"/>
    <d v="2025-03-02T00:00:00"/>
    <n v="78400"/>
    <s v="Amazon Pay ICICI Bank Credit Card"/>
    <s v="4TH JULY"/>
    <s v="0000000027848963"/>
    <d v="2026-06-30T00:00:00"/>
  </r>
  <r>
    <s v="4315813572890000"/>
    <s v="Ms KUMMETHA MADHU KEERTHI"/>
    <n v="0"/>
    <x v="0"/>
    <m/>
    <m/>
    <s v="03-07-2026 , CUS PAID ENR AMOUNT"/>
    <s v="N"/>
    <x v="7"/>
    <s v="7093869891"/>
    <s v="X"/>
    <n v="10381.630000000005"/>
    <n v="110000"/>
    <n v="120381.63"/>
    <s v=""/>
    <n v="120381.63"/>
    <n v="107539.92"/>
    <n v="28510"/>
    <n v="6429.85"/>
    <x v="1"/>
    <x v="1"/>
    <n v="120381.63"/>
    <n v="-113951.78"/>
    <x v="0"/>
    <s v="D"/>
    <s v="30548_Surcharge_Offus_trxns_CR"/>
    <s v="HARI"/>
    <x v="5"/>
    <x v="3"/>
    <s v="&quot;16-1267-3-A,SREENIVASAPURAM,TADIPATRI,&quot; ANANTAPUR -515411   ANANTAPUR ANP 515411"/>
    <s v="Madhu keerth 1 132 A Narayanapuram Near RAMAlayam temple A Narayanapuram Near RAMAlayam temple ANAPARTHI ANP 515004"/>
    <s v="ANAPARTHI"/>
    <x v="1"/>
    <x v="12"/>
    <s v="POORNIMA"/>
    <n v="802824019"/>
    <s v="Nihan@2421"/>
    <m/>
    <m/>
    <x v="0"/>
    <m/>
    <m/>
    <x v="1"/>
    <d v="2026-05-06T00:00:00"/>
    <n v="509.79"/>
    <s v="Amazon Pay ICICI Bank Credit Card"/>
    <s v="1ST JULY"/>
    <s v="0000000024733201"/>
    <d v="2026-06-30T00:00:00"/>
  </r>
  <r>
    <s v="4315815068433005"/>
    <s v="MS MAKHAM NEELIMA"/>
    <n v="0"/>
    <x v="0"/>
    <m/>
    <m/>
    <m/>
    <s v="N"/>
    <x v="7"/>
    <s v="8187052499"/>
    <s v="X"/>
    <n v="-635.92999999999302"/>
    <n v="121000"/>
    <n v="120364.07"/>
    <s v=""/>
    <n v="120364.07"/>
    <n v="104999"/>
    <n v="25620"/>
    <n v="14010"/>
    <x v="1"/>
    <x v="2"/>
    <n v="14120"/>
    <n v="-110"/>
    <x v="20"/>
    <s v="TC"/>
    <s v="30501-BBPS Payment received"/>
    <s v="HARI"/>
    <x v="8"/>
    <x v="3"/>
    <s v="11-116 CHANDRA NAGAR COLONY CHANDRA NAGAR COLONY  SURYAPET TNG 508204"/>
    <s v="NEELIMA TAILOR &quot;HNO 11-116 , CHANDRA NAGAR COLONY&quot; RAGHUNADHAPALEM RAGHUNADHAPALEM SURYAPET TNG 508204"/>
    <s v="SURYAPET"/>
    <x v="0"/>
    <x v="21"/>
    <s v="PAVAN"/>
    <n v="802823180"/>
    <s v="Sgr@9290"/>
    <m/>
    <m/>
    <x v="0"/>
    <m/>
    <m/>
    <x v="1"/>
    <d v="2024-11-30T00:00:00"/>
    <n v="30000"/>
    <s v="Amazon Pay ICICI Bank Credit Card"/>
    <s v="4TH JULY"/>
    <s v="0000000030579638"/>
    <d v="2026-06-30T00:00:00"/>
  </r>
  <r>
    <s v="4315814605142005"/>
    <s v="MR LOLLA DAVID RAJU"/>
    <n v="0"/>
    <x v="2"/>
    <n v="1"/>
    <s v="CC"/>
    <s v="ALREADY REMOVED CASE"/>
    <s v="N"/>
    <x v="7"/>
    <s v="9182274309"/>
    <s v="X"/>
    <n v="100315.03"/>
    <n v="20000"/>
    <n v="120315.03"/>
    <s v=""/>
    <n v="120315.03"/>
    <n v="111298"/>
    <n v="110830"/>
    <n v="92690"/>
    <x v="0"/>
    <x v="0"/>
    <n v="0"/>
    <n v="92690"/>
    <x v="0"/>
    <s v="NA"/>
    <n v="0"/>
    <s v="HARI"/>
    <x v="6"/>
    <x v="3"/>
    <s v="N.29.SURYALATHA.SPINNING.MILLS.LTD.MIDJI PROJECT.URKONDAPETA.MAHABUBNAGAR ..  WANAPARTHY TNG 509320"/>
    <s v="Suryalatha.spinning.mills.ltd.urkonda Suryalatha.spinning.mills.ltd.urkonda Room.nomber.N.29 Room.nomber.N.29 WANAPARTHY TNG 509320"/>
    <s v="WANAPARTHY"/>
    <x v="0"/>
    <x v="19"/>
    <s v="SAMBA"/>
    <n v="801772794"/>
    <s v="Ssde@9876"/>
    <m/>
    <m/>
    <x v="1"/>
    <m/>
    <m/>
    <x v="1"/>
    <d v="2025-11-29T00:00:00"/>
    <n v="600"/>
    <s v="Amazon Pay ICICI Bank Credit Card"/>
    <s v="4TH JULY"/>
    <s v="0000000028571103"/>
    <d v="2026-06-30T00:00:00"/>
  </r>
  <r>
    <s v="4315813316527009"/>
    <s v="MR Akash Medishetty"/>
    <n v="0"/>
    <x v="0"/>
    <m/>
    <m/>
    <m/>
    <s v="N"/>
    <x v="7"/>
    <s v="8179882875"/>
    <s v="X"/>
    <n v="-40898.699999999997"/>
    <n v="160000"/>
    <n v="119101.3"/>
    <s v=""/>
    <n v="119101.3"/>
    <n v="106183.66"/>
    <n v="19560"/>
    <n v="7800"/>
    <x v="1"/>
    <x v="1"/>
    <n v="19560"/>
    <n v="-11760"/>
    <x v="7"/>
    <s v="TC"/>
    <s v="30501-BBPS Payment received"/>
    <s v="HARI"/>
    <x v="4"/>
    <x v="3"/>
    <s v="2 5 77 prakasham gunj prakasham gunj Karim Nagar ADILABAD TNG 505001"/>
    <s v="ERERMERMIERMIN PRAKASHAM GUNJ H NO 2 5 77 H NO 2 5 77 ADILABAD TNG 505001"/>
    <s v="KARIMNAGAR"/>
    <x v="0"/>
    <x v="8"/>
    <s v="SUMANTH"/>
    <n v="802370852"/>
    <s v="Sgr@9290"/>
    <m/>
    <m/>
    <x v="0"/>
    <m/>
    <m/>
    <x v="1"/>
    <d v="2025-11-08T00:00:00"/>
    <n v="6000"/>
    <s v="Amazon Pay ICICI Bank Credit Card"/>
    <s v="1ST JULY"/>
    <s v="0000000023915016"/>
    <d v="2026-06-30T00:00:00"/>
  </r>
  <r>
    <s v="4315812690454004"/>
    <s v="MR VANAPARTI SAI PRAKASH"/>
    <n v="0"/>
    <x v="0"/>
    <m/>
    <m/>
    <m/>
    <s v="N"/>
    <x v="7"/>
    <s v="8106261781"/>
    <s v="X"/>
    <n v="8805.0299999999988"/>
    <n v="110000"/>
    <n v="118805.03"/>
    <n v="52027"/>
    <n v="66778.03"/>
    <n v="55763.79"/>
    <n v="42310"/>
    <n v="20900"/>
    <x v="0"/>
    <x v="0"/>
    <n v="0"/>
    <n v="20900"/>
    <x v="0"/>
    <s v="NA"/>
    <n v="0"/>
    <s v="HARI"/>
    <x v="9"/>
    <x v="3"/>
    <s v="&quot;4-20,GUNDARAM ELLANTHAKUNTA,GUNDARAMPS&quot;    KARIMNAGAR TNG 505528"/>
    <s v="RMSI PRIVATE LIMITED Near in orbit mall Madhapur Madhapur HYDERABAD TNG 500081"/>
    <s v="KARIMNAGAR"/>
    <x v="0"/>
    <x v="8"/>
    <s v="SUMANTH"/>
    <n v="802370852"/>
    <s v="Sgr@9290"/>
    <m/>
    <m/>
    <x v="1"/>
    <m/>
    <m/>
    <x v="1"/>
    <d v="2026-05-01T00:00:00"/>
    <n v="40000"/>
    <s v="Amazon Pay ICICI Bank Credit Card"/>
    <s v="4TH JULY"/>
    <s v="0000000021493691"/>
    <d v="2026-06-30T00:00:00"/>
  </r>
  <r>
    <s v="4315814857658005"/>
    <s v="MR Bollam Rakesh"/>
    <n v="0"/>
    <x v="0"/>
    <m/>
    <m/>
    <m/>
    <s v="N"/>
    <x v="7"/>
    <s v="9652270581"/>
    <s v="X"/>
    <n v="8428.8099999999977"/>
    <n v="110000"/>
    <n v="118428.81"/>
    <s v=""/>
    <n v="118428.81"/>
    <n v="109999.14"/>
    <n v="27170"/>
    <n v="5500"/>
    <x v="1"/>
    <x v="2"/>
    <n v="6000"/>
    <n v="-500"/>
    <x v="15"/>
    <s v="TC"/>
    <s v="30501-BBPS Payment received"/>
    <s v="HARI"/>
    <x v="4"/>
    <x v="3"/>
    <s v="House.Number.4.114 Vanchangiri Kapu.Wada Warangal WARANGAL TNG 506330"/>
    <s v="INDIAN.ARMY 4.114..VANCHANGIRI GEESUGONDA.WARANGAL GEESUGONDA.WARANGAL WARANGAL TNG 506330"/>
    <s v="WARANGAL"/>
    <x v="0"/>
    <x v="20"/>
    <s v="KARUNAKAR"/>
    <n v="801264672"/>
    <s v="Ssd@9291"/>
    <m/>
    <m/>
    <x v="0"/>
    <m/>
    <m/>
    <x v="1"/>
    <s v=""/>
    <n v="0"/>
    <s v="Amazon Pay ICICI Bank Credit Card"/>
    <s v="1ST JULY"/>
    <s v="0000000029655545"/>
    <d v="2026-06-30T00:00:00"/>
  </r>
  <r>
    <s v="4315813260538002"/>
    <s v="MR Basani Akhil Kumar"/>
    <n v="0"/>
    <x v="0"/>
    <m/>
    <m/>
    <m/>
    <s v="N"/>
    <x v="7"/>
    <s v="9573576096"/>
    <s v="X"/>
    <n v="97581.35"/>
    <n v="20000"/>
    <n v="117581.35"/>
    <s v=""/>
    <n v="117581.35"/>
    <n v="109365"/>
    <n v="101970"/>
    <n v="90370"/>
    <x v="0"/>
    <x v="0"/>
    <n v="0"/>
    <n v="90370"/>
    <x v="0"/>
    <s v="NA"/>
    <n v="0"/>
    <s v="HARI"/>
    <x v="9"/>
    <x v="3"/>
    <s v="H NO 2 8 443 SRINAGAR COLONY NGOS COLONY WADDEPALLY BESIDE REDDY FUNCTION HALL WARANGAL TNG 506001"/>
    <s v="BAJAJ FINSERVE KUC X ROAD NAIMNAGAR HANAMKONDA NAIMNAGAR HANAMKONDA WARANGAL TNG 506001"/>
    <s v="WARANGAL"/>
    <x v="0"/>
    <x v="20"/>
    <s v="KARUNAKAR"/>
    <n v="801264672"/>
    <s v="Ssd@9291"/>
    <m/>
    <m/>
    <x v="0"/>
    <s v="SKIP"/>
    <s v="No Such Person // Visited Customer 3rd Adress Shifted 3years Back Sir"/>
    <x v="15"/>
    <d v="2025-01-16T00:00:00"/>
    <n v="100000"/>
    <s v="Amazon Pay ICICI Bank Credit Card"/>
    <s v="4TH JULY"/>
    <s v="0000000023693706"/>
    <d v="2026-06-30T00:00:00"/>
  </r>
  <r>
    <s v="4315812489802009"/>
    <s v="MS Pasupuleti Gayatridevi"/>
    <n v="0"/>
    <x v="0"/>
    <m/>
    <m/>
    <m/>
    <s v="N"/>
    <x v="7"/>
    <s v="8309741804"/>
    <s v="X"/>
    <n v="5645.2599999999948"/>
    <n v="110000"/>
    <n v="115645.26"/>
    <s v=""/>
    <n v="115645.26"/>
    <n v="103112.37"/>
    <n v="26690"/>
    <n v="10360"/>
    <x v="1"/>
    <x v="1"/>
    <n v="115645.26"/>
    <n v="-105285.26"/>
    <x v="14"/>
    <s v="TC"/>
    <s v="12124 - UPI Payment Received"/>
    <s v="HARI"/>
    <x v="6"/>
    <x v="3"/>
    <s v="5-2-246/C/1/5 MUSTHAFA NAGAR KHAMMAM TOWN SRI SAI GANESH NAGAR BEHIND PETROL BUNK KHAMMAM TNG 507001"/>
    <s v="VIJAYA ENGINEERING COLLEGE THANIKELLA AMMAPALAM WYRA ROAD AMMAPALAM WYRA ROAD KHAMMAM TNG 507001"/>
    <s v="KHAMMAM"/>
    <x v="0"/>
    <x v="2"/>
    <s v="CHAITANYA"/>
    <n v="802555024"/>
    <s v="Ssde@9290"/>
    <m/>
    <m/>
    <x v="0"/>
    <s v="LIVE"/>
    <s v="I have Visited Customer Given house address customer not available in home Customer son available Customer call answered given ptp by Tuesday"/>
    <x v="19"/>
    <d v="2025-04-23T00:00:00"/>
    <n v="18790"/>
    <s v="Amazon Pay ICICI Bank Credit Card"/>
    <s v="4TH JULY"/>
    <s v="0000000020974730"/>
    <d v="2026-06-30T00:00:00"/>
  </r>
  <r>
    <s v="4315812313651002"/>
    <s v="MR Chappidi Veera Prathap"/>
    <n v="0"/>
    <x v="0"/>
    <m/>
    <m/>
    <m/>
    <s v="O"/>
    <x v="7"/>
    <s v="9492156296"/>
    <s v="X"/>
    <n v="4743.0899999999965"/>
    <n v="110000"/>
    <n v="114743.09"/>
    <n v="7193.57"/>
    <n v="107549.52"/>
    <n v="100880.59"/>
    <n v="30460"/>
    <n v="16740.990000000002"/>
    <x v="1"/>
    <x v="1"/>
    <n v="107549.52"/>
    <n v="-90808.53"/>
    <x v="17"/>
    <s v="TC"/>
    <s v="30501-BBPS Payment received"/>
    <s v="HARI"/>
    <x v="6"/>
    <x v="3"/>
    <s v="1-14 Pasarlapudilanka Main road Near canal bridz AMALAPURAM ANP 533247"/>
    <s v="DEVI SRI TRAVELS PASARLAPUDI ESSAR PETROL BUNK ESSAR PETROL BUNK AMALAPURAM ANP 533247"/>
    <s v="AMALAPURAM"/>
    <x v="4"/>
    <x v="28"/>
    <s v="B NAGABABU"/>
    <n v="801448854"/>
    <s v="Sgr@9290"/>
    <m/>
    <m/>
    <x v="0"/>
    <s v="LIVE"/>
    <s v="CUSTOMER NOT AVAILABLE AT SHOP SIR.RESPONDED TO THE MESSAGE GIVEN PTP TO 2 DAYS // CUSTOMER NOT AVAILABLE AT HOME.RESPONDED TO THE CALL.HE TOLD COMPLETED THE PAYMENT SIR"/>
    <x v="16"/>
    <d v="2024-07-30T00:00:00"/>
    <n v="60000"/>
    <s v="Amazon Pay ICICI Bank Credit Card"/>
    <s v="4TH JULY"/>
    <s v="0000000020532557"/>
    <d v="2026-06-30T00:00:00"/>
  </r>
  <r>
    <s v="4315813135824009"/>
    <s v="MR Undam Chakravarthi"/>
    <n v="0"/>
    <x v="2"/>
    <n v="1"/>
    <s v="CC"/>
    <s v="ALREADY REMOVED CASE"/>
    <s v="N"/>
    <x v="7"/>
    <s v="9866190352"/>
    <s v="X"/>
    <n v="-105504.49"/>
    <n v="220000"/>
    <n v="114495.51"/>
    <n v="75796.95"/>
    <n v="38698.559999999998"/>
    <n v="32895.5"/>
    <n v="36190"/>
    <n v="14590"/>
    <x v="0"/>
    <x v="0"/>
    <n v="0"/>
    <n v="14590"/>
    <x v="0"/>
    <s v="NA"/>
    <n v="0"/>
    <s v="HARI"/>
    <x v="10"/>
    <x v="3"/>
    <s v="NC-83 bhadradri kothagudem rudrampur Khammam KHAMMAM TNG 507119"/>
    <s v="UNSCHOOL KUKATPALLY NEAR JNTUH COLLEGE NEAR JNTUH COLLEGE HYDERABAD TNG 500072"/>
    <s v="KHAMMAM"/>
    <x v="0"/>
    <x v="2"/>
    <s v="CHAITANYA"/>
    <n v="802555024"/>
    <s v="Ssde@9290"/>
    <m/>
    <m/>
    <x v="1"/>
    <m/>
    <m/>
    <x v="1"/>
    <d v="2024-06-20T00:00:00"/>
    <n v="5000"/>
    <s v="Amazon Pay ICICI Bank Credit Card"/>
    <s v="1ST JULY"/>
    <s v="0000000023115333"/>
    <d v="2026-06-30T00:00:00"/>
  </r>
  <r>
    <s v="4315813971836000"/>
    <s v="MR Yekkaladevi Sreenath"/>
    <n v="0"/>
    <x v="0"/>
    <m/>
    <m/>
    <m/>
    <s v="N"/>
    <x v="7"/>
    <s v="9866193718"/>
    <s v="X"/>
    <n v="12079.720000000001"/>
    <n v="100000"/>
    <n v="112079.72"/>
    <n v="28932.65"/>
    <n v="83147.070000000007"/>
    <n v="73405.19"/>
    <n v="32190"/>
    <n v="14750"/>
    <x v="0"/>
    <x v="0"/>
    <n v="0"/>
    <n v="14750"/>
    <x v="0"/>
    <s v="NA"/>
    <n v="0"/>
    <s v="HARI"/>
    <x v="8"/>
    <x v="3"/>
    <s v="1.1.85 Ramagundam Shivaji.Nagar Near Railway Station PEDDAPALLI TNG 505208"/>
    <s v="SAPTHAVARNAM.PRINT.N.ADS OPP..GOVT.DEGREE.COLLEGE NEAR.RAJESH.THEATRE. NEAR.RAJESH.THEATRE. PEDDAPALLI TNG 505209"/>
    <s v="PEDDAPALLI"/>
    <x v="0"/>
    <x v="39"/>
    <s v="POORNIMA"/>
    <n v="802824019"/>
    <s v="Nihan@2421"/>
    <m/>
    <m/>
    <x v="1"/>
    <m/>
    <m/>
    <x v="1"/>
    <d v="2024-06-28T00:00:00"/>
    <n v="48092.93"/>
    <s v="Amazon Pay ICICI Bank Credit Card"/>
    <s v="4TH JULY"/>
    <s v="0000000026242113"/>
    <d v="2026-06-30T00:00:00"/>
  </r>
  <r>
    <s v="4315813409857008"/>
    <s v="MR Prashanth Pittala"/>
    <n v="0"/>
    <x v="0"/>
    <m/>
    <m/>
    <m/>
    <s v="N"/>
    <x v="7"/>
    <s v="9676458680"/>
    <s v="X"/>
    <n v="11792.070000000007"/>
    <n v="100000"/>
    <n v="111792.07"/>
    <s v=""/>
    <n v="111792.07"/>
    <n v="99836.93"/>
    <n v="29150"/>
    <n v="12360"/>
    <x v="1"/>
    <x v="1"/>
    <n v="111792.07"/>
    <n v="-99432.07"/>
    <x v="7"/>
    <s v="TC"/>
    <s v="30501-BBPS Payment received"/>
    <s v="HARI"/>
    <x v="4"/>
    <x v="3"/>
    <s v="215 somagudem Bharath Colony Adilabad ADILABAD TNG 504251"/>
    <s v="SINGARENI COLLIERIES CO LIMITED Q NO 215  BHARATH COLONY  SOMAGUDEM Q NO 215  BHARATH COLONY  SOMAGUDEM Q NO 215  BHARATH COLONY  SOMAGUDEM ADILABAD TNG 504251"/>
    <s v="ADILABAD"/>
    <x v="0"/>
    <x v="24"/>
    <s v="K RAMU"/>
    <n v="802898520"/>
    <s v="Ssd@9290"/>
    <m/>
    <m/>
    <x v="0"/>
    <m/>
    <m/>
    <x v="1"/>
    <d v="2025-03-06T00:00:00"/>
    <n v="34300"/>
    <s v="Amazon Pay ICICI Bank Credit Card"/>
    <s v="1ST JULY"/>
    <s v="0000000024230919"/>
    <d v="2026-06-30T00:00:00"/>
  </r>
  <r>
    <s v="4315812772322004"/>
    <s v="MR Matteddu Siva"/>
    <n v="0"/>
    <x v="0"/>
    <m/>
    <m/>
    <m/>
    <s v="N"/>
    <x v="7"/>
    <s v="9010349909"/>
    <s v="X"/>
    <n v="-18335.789999999994"/>
    <n v="130000"/>
    <n v="111664.21"/>
    <n v="3205.82"/>
    <n v="108458.39"/>
    <n v="96311.56"/>
    <n v="21020"/>
    <n v="8710"/>
    <x v="1"/>
    <x v="2"/>
    <n v="8800"/>
    <n v="-90"/>
    <x v="13"/>
    <s v="TC"/>
    <s v="30501-BBPS Payment received"/>
    <s v="HARI"/>
    <x v="7"/>
    <x v="3"/>
    <s v="32-427-8 guttakindha palli ward 32 near k h degree collage HINDUPUR ANP 515671"/>
    <s v="SRI VIJAYA LAKSHMI VEGTABLE NURSURY MANSANPALLY X ROAD MAHESWARAM MAHESWARAM WANAPARTHY TNG 509325"/>
    <s v="WANAPARTHY"/>
    <x v="0"/>
    <x v="19"/>
    <s v="SAMBA"/>
    <n v="801772794"/>
    <s v="Ssde@9876"/>
    <m/>
    <m/>
    <x v="0"/>
    <m/>
    <m/>
    <x v="1"/>
    <d v="2022-08-31T00:00:00"/>
    <n v="25000"/>
    <s v="Amazon Pay ICICI Bank Credit Card"/>
    <s v="4TH JULY"/>
    <s v="0000000021729721"/>
    <d v="2026-06-30T00:00:00"/>
  </r>
  <r>
    <s v="4315812801647017"/>
    <s v="MR Aadi Hareesh"/>
    <n v="0"/>
    <x v="0"/>
    <m/>
    <m/>
    <m/>
    <s v="O"/>
    <x v="7"/>
    <s v="9491721666"/>
    <s v="X"/>
    <n v="10989.199999999997"/>
    <n v="100000"/>
    <n v="110989.2"/>
    <n v="15607.51"/>
    <n v="95381.69"/>
    <n v="84095.77"/>
    <n v="20960"/>
    <n v="10510"/>
    <x v="1"/>
    <x v="2"/>
    <n v="10510"/>
    <n v="0"/>
    <x v="16"/>
    <s v="FE"/>
    <s v="30501-BBPS Payment received"/>
    <s v="HARI"/>
    <x v="6"/>
    <x v="3"/>
    <s v="1-87B OC COLANY OC COLANY West Godavari TADEPALLIGUDEM ANP 534112"/>
    <s v="PANCHAYAT RAJ AND RURAL DEVELOPMENT RAJIV BHAVAN AVAPADU AVAPADU AVAPADU AVAPADU TADEPALLIGUDEM ANP 534112"/>
    <s v="TADEPALLIGUDEM"/>
    <x v="4"/>
    <x v="33"/>
    <s v="MANIKANTA"/>
    <n v="802852449"/>
    <s v="Ssd@9290"/>
    <m/>
    <m/>
    <x v="0"/>
    <s v="LIVE"/>
    <s v="Visted custmor office address ptp tomorrow"/>
    <x v="13"/>
    <d v="2024-07-13T00:00:00"/>
    <n v="1000"/>
    <s v="Amazon Pay ICICI Bank Credit Card"/>
    <s v="4TH JULY"/>
    <s v="0000000021833080"/>
    <d v="2026-06-30T00:00:00"/>
  </r>
  <r>
    <s v="4315814787026000"/>
    <s v="MR MALLURIGIRISATYA SAVAN KUMAR"/>
    <n v="0"/>
    <x v="0"/>
    <m/>
    <m/>
    <m/>
    <s v="N"/>
    <x v="7"/>
    <s v="9912925122"/>
    <s v="X"/>
    <n v="10540.11"/>
    <n v="100000"/>
    <n v="110540.11"/>
    <s v=""/>
    <n v="110540.11"/>
    <n v="99749.01"/>
    <n v="34750"/>
    <n v="18330"/>
    <x v="1"/>
    <x v="2"/>
    <n v="20000"/>
    <n v="-1670"/>
    <x v="19"/>
    <s v="TC"/>
    <s v="30501-BBPS Payment received"/>
    <s v="HARI"/>
    <x v="5"/>
    <x v="3"/>
    <s v="26.5.3.4 Surya.tejas.Nagar ..Surya.tejas.Nagar Palakol PALAKOL ANP 534260"/>
    <s v="MOBILECOMM.TECHNOLOGIES.INDIA.PVT.LTD 25.1.17 OPP.ASNM.DEGREE.COLLEGE.MAIN.GATE. OPP.ASNM.DEGREE.COLLEGE.MAIN.GATE. PALAKOL ANP 534260"/>
    <s v="PALAKOL"/>
    <x v="4"/>
    <x v="26"/>
    <s v="B NAGABABU"/>
    <n v="801448854"/>
    <s v="Sgr@9290"/>
    <m/>
    <m/>
    <x v="0"/>
    <s v="DL"/>
    <s v=" cmr house door locked, cmr not answering call and revisit required"/>
    <x v="14"/>
    <d v="2024-06-29T00:00:00"/>
    <n v="10000"/>
    <s v="Amazon Pay ICICI Bank Credit Card"/>
    <s v="4TH JULY"/>
    <s v="0000000029331433"/>
    <d v="2026-06-30T00:00:00"/>
  </r>
  <r>
    <s v="4315813982365007"/>
    <s v="MR MERUGU SUDHARSHAN"/>
    <n v="0"/>
    <x v="0"/>
    <m/>
    <m/>
    <m/>
    <s v="N"/>
    <x v="7"/>
    <s v="7730050686"/>
    <s v="X"/>
    <n v="10487.839999999997"/>
    <n v="100000"/>
    <n v="110487.84"/>
    <s v=""/>
    <n v="110487.84"/>
    <n v="99847.21"/>
    <n v="31350"/>
    <n v="14760"/>
    <x v="0"/>
    <x v="0"/>
    <n v="0"/>
    <n v="14760"/>
    <x v="0"/>
    <s v="NA"/>
    <n v="0"/>
    <s v="HARI"/>
    <x v="4"/>
    <x v="3"/>
    <s v="1.35.NEAR.SANTHOSHI.MATHA.TEMPLE. KOLANUPAKA.ROAD.ALAIR.MANDAL.ALAIR ..  NALGONDA TNG 508101"/>
    <s v="TECH.MAHINDRA.BUSINESS.SERVICES.LIMITED Ohiri.towers. Sebastian.road Sebastian.road HYDERABAD TNG 500003"/>
    <s v="NALGONDA"/>
    <x v="0"/>
    <x v="21"/>
    <s v="PAVAN"/>
    <n v="802823180"/>
    <s v="Sgr@9290"/>
    <m/>
    <m/>
    <x v="1"/>
    <m/>
    <m/>
    <x v="1"/>
    <d v="2024-11-30T00:00:00"/>
    <n v="6164.51"/>
    <s v="Amazon Pay ICICI Bank Credit Card"/>
    <s v="4TH JULY"/>
    <s v="0000000026299303"/>
    <d v="2026-06-30T00:00:00"/>
  </r>
  <r>
    <s v="4315814820358006"/>
    <s v="MR GaneshulaSurya Rama Krishna"/>
    <n v="0"/>
    <x v="2"/>
    <n v="1"/>
    <s v="CC"/>
    <s v="ALREADY REMOVED CASE"/>
    <s v="N"/>
    <x v="7"/>
    <s v="8886822422"/>
    <s v="X"/>
    <n v="66034.19"/>
    <n v="43000"/>
    <n v="109034.19"/>
    <s v=""/>
    <n v="109034.19"/>
    <n v="101310"/>
    <n v="72590"/>
    <n v="60460"/>
    <x v="0"/>
    <x v="0"/>
    <n v="0"/>
    <n v="60460"/>
    <x v="0"/>
    <s v="NA"/>
    <n v="0"/>
    <s v="HARI"/>
    <x v="4"/>
    <x v="3"/>
    <s v="1.149 Kolanka Main.Road East Godavari KAKINADA ANP 533450"/>
    <s v="SATYA.PRASANNA.KIRANA.STORE KRISHNA.LAYAM.VEEDI KOLANKA. KOLANKA. KAKINADA ANP 533450"/>
    <s v="KAKINADA"/>
    <x v="4"/>
    <x v="23"/>
    <s v="UDAY"/>
    <n v="801436997"/>
    <s v="Ssd@9290"/>
    <m/>
    <m/>
    <x v="1"/>
    <m/>
    <m/>
    <x v="1"/>
    <d v="2025-09-30T00:00:00"/>
    <n v="31700"/>
    <s v="Amazon Pay ICICI Bank Credit Card"/>
    <s v="4TH JULY"/>
    <s v="0000000029476098"/>
    <d v="2026-06-30T00:00:00"/>
  </r>
  <r>
    <s v="4315815002014002"/>
    <s v="MR Choppari Maruthi"/>
    <n v="0"/>
    <x v="0"/>
    <m/>
    <m/>
    <m/>
    <s v="O"/>
    <x v="7"/>
    <s v="9573511318"/>
    <s v="X"/>
    <n v="-1589.4900000000052"/>
    <n v="110000"/>
    <n v="108410.51"/>
    <n v="14495.89"/>
    <n v="93914.62"/>
    <n v="87657.79"/>
    <n v="20820"/>
    <n v="10990"/>
    <x v="1"/>
    <x v="1"/>
    <n v="20820"/>
    <n v="-9830"/>
    <x v="16"/>
    <s v="FE"/>
    <s v="30501-BBPS Payment received"/>
    <s v="HARI"/>
    <x v="5"/>
    <x v="3"/>
    <s v="H.NO.3.57.1 korutla.mandal ..korutla.mandal Karimnagar KARIMNAGAR TNG 505330"/>
    <s v="SAISITICABLE.NETWORK Yousufnagar.Mudhiraj.sanga bhavanam...yousufnagar. bhavanam...yousufnagar. KARIMNAGAR TNG 505330"/>
    <s v="KARIMNAGAR"/>
    <x v="0"/>
    <x v="9"/>
    <s v="D RAMU"/>
    <n v="802663344"/>
    <s v="Sgr@9290"/>
    <m/>
    <m/>
    <x v="0"/>
    <m/>
    <m/>
    <x v="1"/>
    <d v="2024-08-30T00:00:00"/>
    <n v="75237.62"/>
    <s v="Amazon Pay ICICI Bank Credit Card"/>
    <s v="4TH JULY"/>
    <s v="0000000030287946"/>
    <d v="2026-06-30T00:00:00"/>
  </r>
  <r>
    <s v="4315815793729008"/>
    <s v="MR VINNAKOTA AJAY"/>
    <n v="0"/>
    <x v="0"/>
    <m/>
    <m/>
    <m/>
    <s v="N"/>
    <x v="7"/>
    <s v="7760773840"/>
    <s v="X"/>
    <n v="-3195.4900000000052"/>
    <n v="110000"/>
    <n v="106804.51"/>
    <n v="55891.78"/>
    <n v="50912.73"/>
    <n v="46255.33"/>
    <n v="15350"/>
    <n v="7660"/>
    <x v="1"/>
    <x v="2"/>
    <n v="7660"/>
    <n v="0"/>
    <x v="17"/>
    <s v="D"/>
    <s v="30501-BBPS Payment received"/>
    <s v="HARI"/>
    <x v="7"/>
    <x v="3"/>
    <s v="&quot;87 1085 1 D, Ganesh Nagar Near&quot; Ramchandra mission Kurnool   KURNOOL ANP 518002"/>
    <s v="&quot;MANYATA TECH PARK BLOCK D4,CYPRUS ,&quot; &quot;NAGAVARA , BENGALURU&quot;   BANGALORE KAR 560045"/>
    <s v="KURNOOL"/>
    <x v="1"/>
    <x v="18"/>
    <s v="SAMBA"/>
    <n v="801772794"/>
    <s v="Ssde@9876"/>
    <m/>
    <m/>
    <x v="0"/>
    <s v="MESS"/>
    <s v="Customer live in hyderabad.not boday at house . Customer not responding for calls . Left msg in WhatsApp to customer. // Customer given ptp today evening by 7pm sir // Meet to customer.he give ptp tomorrow afternoon by 4 pm sir "/>
    <x v="15"/>
    <s v=""/>
    <n v="0"/>
    <s v="Amazon Pay ICICI Bank Credit Card"/>
    <s v="4TH JULY"/>
    <s v="0000000033990119"/>
    <d v="2026-06-30T00:00:00"/>
  </r>
  <r>
    <s v="4315813508493010"/>
    <s v="MR EJJADA NAGARJUNA"/>
    <n v="0"/>
    <x v="0"/>
    <m/>
    <m/>
    <m/>
    <s v="N"/>
    <x v="7"/>
    <s v="9989565726"/>
    <s v="X"/>
    <n v="86317.63"/>
    <n v="20000"/>
    <n v="106317.63"/>
    <s v=""/>
    <n v="106317.63"/>
    <n v="97922.99"/>
    <n v="91560"/>
    <n v="81060"/>
    <x v="0"/>
    <x v="0"/>
    <n v="0"/>
    <n v="81060"/>
    <x v="0"/>
    <s v="NA"/>
    <s v="30501-BBPS Payment received"/>
    <s v="HARI"/>
    <x v="5"/>
    <x v="3"/>
    <s v="7-2-36/1 MAVULLAMMA PETA PALAKOL NEAR CANAL ROAD PALAKOL ANP 534260"/>
    <s v="AP STATE GOVERNMENT &quot;TAHSILDAR OFFICE,&quot; &quot;KALLA, NEAR MEESEVA&quot; &quot;KALLA, NEAR MEESEVA&quot; BHIMAVARAM ANP 534237"/>
    <s v="PALAKOL"/>
    <x v="4"/>
    <x v="26"/>
    <s v="B NAGABABU"/>
    <n v="801448854"/>
    <s v="Sgr@9290"/>
    <m/>
    <m/>
    <x v="0"/>
    <s v="LIVE"/>
    <s v="cmr not live , cmr answered call  and  given ptp on Saturday // cmr given PTP today and waiting for payment"/>
    <x v="17"/>
    <d v="2025-10-30T00:00:00"/>
    <n v="99000"/>
    <s v="Amazon Pay ICICI Bank Credit Card"/>
    <s v="1ST JULY"/>
    <s v="0000000024562907"/>
    <d v="2026-06-30T00:00:00"/>
  </r>
  <r>
    <s v="4315815054467009"/>
    <s v="MR AJMERA CHANDRAVAMSHI"/>
    <n v="0"/>
    <x v="0"/>
    <m/>
    <m/>
    <m/>
    <s v="N"/>
    <x v="7"/>
    <s v="8500651131"/>
    <s v="X"/>
    <n v="5930.7799999999988"/>
    <n v="100000"/>
    <n v="105930.78"/>
    <n v="52201.32"/>
    <n v="53729.46"/>
    <n v="43545.04"/>
    <n v="21580"/>
    <n v="10670"/>
    <x v="1"/>
    <x v="1"/>
    <n v="53729.46"/>
    <n v="-43059.46"/>
    <x v="18"/>
    <s v="TC"/>
    <s v="30501-BBPS Payment received"/>
    <s v="HARI"/>
    <x v="7"/>
    <x v="3"/>
    <s v="NO 3 188 1 DANDEPALLY DANDEPALLY DANDEPALLE POST OFFICE STREET ADILABAD POST OFFICE STREET ADILABAD TNG 504206"/>
    <s v="THE SINGARENI COLLIERIES COMPANY LIMITED IK1A INCLINE INDARAM POST AND MONDAL ADILABAD ADILABAD ADILABAD TNG 504216"/>
    <s v="ADILABAD"/>
    <x v="0"/>
    <x v="24"/>
    <s v="K RAMU"/>
    <n v="802898520"/>
    <s v="Ssd@9290"/>
    <m/>
    <m/>
    <x v="0"/>
    <s v="DL"/>
    <s v="Customer given address visit customer not available door locked, informed to neighbors, call not answer // Customer given address visit customer not available informed to mother call not answer"/>
    <x v="14"/>
    <d v="2024-05-30T00:00:00"/>
    <n v="1226"/>
    <s v="Amazon Pay ICICI Bank Credit Card"/>
    <s v="1ST JULY"/>
    <s v="0000000030499669"/>
    <d v="2026-06-30T00:00:00"/>
  </r>
  <r>
    <s v="4315814736432002"/>
    <s v="MS Nemmala Raga Sudha"/>
    <n v="0"/>
    <x v="0"/>
    <m/>
    <m/>
    <m/>
    <s v="N"/>
    <x v="7"/>
    <s v="9492729778"/>
    <s v="X"/>
    <n v="5510.6600000000035"/>
    <n v="100000"/>
    <n v="105510.66"/>
    <s v=""/>
    <n v="105510.66"/>
    <n v="99369.11"/>
    <n v="22580"/>
    <n v="10460"/>
    <x v="1"/>
    <x v="2"/>
    <n v="11462"/>
    <n v="-1002"/>
    <x v="20"/>
    <s v="FE"/>
    <s v="30501-BBPS Payment received"/>
    <s v="HARI"/>
    <x v="4"/>
    <x v="3"/>
    <s v="10.2.2.21 Nidadavole Near.a.b.s.town.hall East Godavari TADEPALLIGUDEM ANP 534301"/>
    <s v="SREE.TUTION D.NO10.2.2 OPP.CHRUCH.NEAR.ABS.TOWN.HALL OPP.CHRUCH.NEAR.ABS.TOWN.HALL TADEPALLIGUDEM ANP 534301"/>
    <s v="TADEPALLIGUDEM"/>
    <x v="4"/>
    <x v="33"/>
    <s v="MANIKANTA"/>
    <n v="802852449"/>
    <s v="Ssd@9290"/>
    <m/>
    <m/>
    <x v="0"/>
    <s v="DL"/>
    <s v="Door locked"/>
    <x v="13"/>
    <d v="2024-05-30T00:00:00"/>
    <n v="220"/>
    <s v="Amazon Pay ICICI Bank Credit Card"/>
    <s v="1ST JULY"/>
    <s v="0000000029104736"/>
    <d v="2026-06-30T00:00:00"/>
  </r>
  <r>
    <s v="4315814723128001"/>
    <s v="MR Mutyala Vishal Kumar"/>
    <n v="0"/>
    <x v="0"/>
    <m/>
    <m/>
    <m/>
    <s v="N"/>
    <x v="7"/>
    <s v="8106098019"/>
    <s v="W"/>
    <n v="-35471.320000000007"/>
    <n v="140000"/>
    <n v="104528.68"/>
    <s v=""/>
    <n v="104528.68"/>
    <n v="94392.85"/>
    <n v="15030"/>
    <n v="5830"/>
    <x v="1"/>
    <x v="1"/>
    <n v="15030"/>
    <n v="-9200"/>
    <x v="15"/>
    <s v="FE"/>
    <s v="30501-BBPS Payment received"/>
    <s v="HARI"/>
    <x v="4"/>
    <x v="3"/>
    <s v="11.1.1775.10 kanteshwar housing.board.bay.pass.road behind sai baba temple NIZAMABAD TNG 503002"/>
    <s v="VISHAL HOUSE.NO.11.1.1775.10 KCR.COLONY.BYPASS.ROAD.NIZAMABAD KCR.COLONY.BYPASS.ROAD.NIZAMABAD NIZAMABAD TNG 503002"/>
    <s v="NIZAMABAD"/>
    <x v="0"/>
    <x v="9"/>
    <s v="D RAMU"/>
    <n v="802663344"/>
    <s v="Sgr@9290"/>
    <m/>
    <m/>
    <x v="0"/>
    <s v="LIVE"/>
    <s v="ustomer paymet on monday"/>
    <x v="11"/>
    <d v="2024-06-30T00:00:00"/>
    <n v="4438.8900000000003"/>
    <s v="Amazon Pay ICICI Bank Credit Card"/>
    <s v="1ST JULY"/>
    <s v="0000000029063045"/>
    <d v="2026-06-30T00:00:00"/>
  </r>
  <r>
    <s v="4315812971303011"/>
    <s v="Mr SAI Dasi Charan"/>
    <s v="RTP"/>
    <x v="2"/>
    <n v="1"/>
    <s v="CC"/>
    <s v="CUS CALLS NOT RESPONDING"/>
    <s v="N"/>
    <x v="7"/>
    <s v="9553244345"/>
    <s v="X"/>
    <n v="5309.6900000000023"/>
    <n v="99000"/>
    <n v="104309.69"/>
    <n v="59108.87"/>
    <n v="45200.82"/>
    <n v="39354.46"/>
    <n v="33660"/>
    <n v="15340"/>
    <x v="0"/>
    <x v="0"/>
    <n v="0"/>
    <n v="15340"/>
    <x v="0"/>
    <s v="NA"/>
    <n v="0"/>
    <s v="HARI"/>
    <x v="8"/>
    <x v="3"/>
    <s v="5-18/1 KANDUGULA  HUZURABAD KARIMNAGAR    Karimnagar TNG 505101"/>
    <s v="Self &quot;Jammikunta Road, Huzurabad 505468&quot;   Karimnagar TNG 505001"/>
    <s v="PEDDAPALLI"/>
    <x v="0"/>
    <x v="39"/>
    <s v="POORNIMA"/>
    <n v="802824019"/>
    <s v="Nihan@2421"/>
    <m/>
    <m/>
    <x v="1"/>
    <m/>
    <m/>
    <x v="1"/>
    <d v="2026-03-12T00:00:00"/>
    <n v="5"/>
    <s v="Amazon Pay ICICI Bank Credit Card"/>
    <s v="4TH JULY"/>
    <s v="0000000022399964"/>
    <d v="2026-06-30T00:00:00"/>
  </r>
  <r>
    <s v="4315812314608001"/>
    <s v="MR RAGI REDDY"/>
    <n v="0"/>
    <x v="0"/>
    <m/>
    <m/>
    <m/>
    <s v="N"/>
    <x v="7"/>
    <s v="8919018619"/>
    <s v="X"/>
    <n v="-196920.99"/>
    <n v="300000"/>
    <n v="103079.01"/>
    <n v="78469.990000000005"/>
    <n v="24609.02"/>
    <n v="17554.32"/>
    <n v="23260"/>
    <n v="11190"/>
    <x v="1"/>
    <x v="1"/>
    <n v="23260"/>
    <n v="-12070"/>
    <x v="16"/>
    <s v="TC"/>
    <s v="12111-ICICI BANK COLLECTION PAYMENT"/>
    <s v="HARI"/>
    <x v="6"/>
    <x v="3"/>
    <s v="&quot;13-208/2 GOURISHANKAR ,COLONY,&quot; &quot;BADEPALLY JADCHERLA,JADCHERLA,MAHABUBNAGAR&quot;   JADCHERLA TNG 509301"/>
    <s v="VIGNESHWARA CONSTRUCTIONS &quot;KHATA NO 364/438, PLOT NO 1547, SAILONG, GHASIURA, Kendujhar&quot; &quot;KHATA NO 364/438, PLOT NO 1547, SAILONG, GHASIPURA, Kendujhar&quot; &quot;KHATA NO 364/438, PLOT NO 1547, SAILONG, GHASIPURA, Kendujhar&quot; KEONJHAR ORA 758015"/>
    <s v="JEDCHERLA"/>
    <x v="0"/>
    <x v="19"/>
    <s v="SAMBA"/>
    <n v="801772794"/>
    <s v="Ssde@9876"/>
    <m/>
    <m/>
    <x v="0"/>
    <m/>
    <m/>
    <x v="1"/>
    <d v="2026-04-10T00:00:00"/>
    <n v="1"/>
    <s v="Amazon Pay ICICI Bank Credit Card"/>
    <s v="4TH JULY"/>
    <s v="0000000020533930"/>
    <d v="2026-06-30T00:00:00"/>
  </r>
  <r>
    <s v="4315815025151005"/>
    <s v="MR Ashok Vattipally"/>
    <n v="0"/>
    <x v="0"/>
    <m/>
    <m/>
    <m/>
    <s v="O"/>
    <x v="7"/>
    <s v="9949236389"/>
    <s v="X"/>
    <n v="-18461.78"/>
    <n v="120000"/>
    <n v="101538.22"/>
    <s v=""/>
    <n v="101538.22"/>
    <n v="95378.11"/>
    <n v="13730"/>
    <n v="6860"/>
    <x v="1"/>
    <x v="2"/>
    <n v="6860"/>
    <n v="0"/>
    <x v="16"/>
    <s v="TC"/>
    <s v="30501-BBPS Payment received"/>
    <s v="HARI"/>
    <x v="6"/>
    <x v="3"/>
    <s v="1.212 KONAPURAM ..KONAPURAM CHENNARAOPET MANDALAM WARANGAL TNG 506332"/>
    <s v="SIDDHARTHA.DEGREE..COLLEGE Siddhartha.Degree.Pg.college SIDDHARTHA.NAGAR.. SIDDHARTHA.NAGAR.. WARANGAL TNG 506132"/>
    <s v="WARANGAL"/>
    <x v="0"/>
    <x v="20"/>
    <s v="KARUNAKAR"/>
    <n v="801264672"/>
    <s v="Ssd@9291"/>
    <m/>
    <m/>
    <x v="0"/>
    <s v="LIVE"/>
    <s v="eet Customer Given Commitment Tommorow Sir"/>
    <x v="15"/>
    <d v="2024-06-24T00:00:00"/>
    <n v="1941"/>
    <s v="Amazon Pay ICICI Bank Credit Card"/>
    <s v="1ST JULY"/>
    <s v="0000000030385980"/>
    <d v="2026-06-30T00:00:00"/>
  </r>
  <r>
    <s v="4315812780368007"/>
    <s v="MR Gurram Markonda"/>
    <n v="0"/>
    <x v="0"/>
    <m/>
    <m/>
    <m/>
    <s v="N"/>
    <x v="7"/>
    <s v="7416470147"/>
    <s v="W"/>
    <n v="1415.6499999999942"/>
    <n v="100000"/>
    <n v="101415.65"/>
    <n v="85832.51"/>
    <n v="15583.14"/>
    <n v="14428.74"/>
    <n v="15583.14"/>
    <n v="7441.64"/>
    <x v="1"/>
    <x v="2"/>
    <n v="7583.14"/>
    <n v="-141.5"/>
    <x v="16"/>
    <s v="TC"/>
    <s v="30501-BBPS Payment received"/>
    <s v="HARI"/>
    <x v="9"/>
    <x v="3"/>
    <s v="1-51   Mahabubnagar WANAPARTHY TNG 509375"/>
    <s v="TELANGANA STATE POLICE 1-51 CHANDAPUR ACHAMPET NAGARKURNOOL-509 NAGARKURNOOL MAHABOOB NAGAR NAGARKURNOOL MAHABOOB NAGAR WANAPARTHY TNG 509375"/>
    <s v="WANAPARTHY"/>
    <x v="0"/>
    <x v="19"/>
    <s v="SAMBA"/>
    <n v="801772794"/>
    <s v="Ssde@9876"/>
    <m/>
    <m/>
    <x v="0"/>
    <m/>
    <m/>
    <x v="1"/>
    <d v="2024-07-12T00:00:00"/>
    <n v="8198"/>
    <s v="Amazon Pay ICICI Bank Credit Card"/>
    <s v="1ST JULY"/>
    <s v="0000000021756342"/>
    <d v="2026-06-30T00:00:00"/>
  </r>
  <r>
    <s v="4315814859788008"/>
    <s v="MR Vadlapatla Dinesh"/>
    <n v="0"/>
    <x v="0"/>
    <m/>
    <m/>
    <m/>
    <s v="N"/>
    <x v="7"/>
    <s v="9640433488"/>
    <s v="X"/>
    <n v="-639.86000000000058"/>
    <n v="102000"/>
    <n v="101360.14"/>
    <n v="56537.43"/>
    <n v="44822.71"/>
    <n v="39715.129999999997"/>
    <n v="32780"/>
    <n v="14893.98"/>
    <x v="1"/>
    <x v="2"/>
    <n v="16000"/>
    <n v="-1106.0200000000004"/>
    <x v="16"/>
    <s v="TC"/>
    <s v="30501-BBPS Payment received"/>
    <s v="HARI"/>
    <x v="9"/>
    <x v="3"/>
    <s v="SITAVNILAYAM OPP.BALATRIPURADEVI.TEMPLE. TADEPALLE NEAR BEST COLLEGE TADEPALLIGUDEM ANP 534101"/>
    <s v="INFOTEL.INDIA PARAMAHAMSA YOGANANDA.ROAD. YOGANANDA.ROAD. BANGALORE KAR 560071"/>
    <s v="TADEPALLIGUDEM"/>
    <x v="4"/>
    <x v="33"/>
    <s v="MANIKANTA"/>
    <n v="802852449"/>
    <s v="Ssd@9290"/>
    <m/>
    <m/>
    <x v="0"/>
    <s v="LIVE"/>
    <s v="Custmor ptp  tomorrow"/>
    <x v="13"/>
    <d v="2025-09-29T00:00:00"/>
    <n v="159995"/>
    <s v="Amazon Pay ICICI Bank Credit Card"/>
    <s v="4TH JULY"/>
    <s v="0000000029662083"/>
    <d v="2026-06-30T00:00:00"/>
  </r>
  <r>
    <s v="4315813762386009"/>
    <s v="MR Thota Anil"/>
    <n v="0"/>
    <x v="0"/>
    <m/>
    <m/>
    <m/>
    <s v="N"/>
    <x v="7"/>
    <s v="9705248431"/>
    <s v="X"/>
    <n v="-54.059999999997672"/>
    <n v="100000"/>
    <n v="99945.94"/>
    <n v="66046.73"/>
    <n v="33899.21"/>
    <n v="27108.81"/>
    <n v="33899.21"/>
    <n v="16837.849999999999"/>
    <x v="0"/>
    <x v="0"/>
    <n v="0"/>
    <n v="16837.849999999999"/>
    <x v="0"/>
    <s v="NA"/>
    <n v="0"/>
    <s v="HARI"/>
    <x v="9"/>
    <x v="3"/>
    <s v="H NO 20 10 198 Fort Warangal kapu wada middle fort WARANGAL TNG 506002"/>
    <s v="PANCHAYTH RAJ MALLAREDDYPALLY 2 160 MALLAREDDYPALLY 2 160 MALLAREDDYPALLY WARANGAL TNG 506006"/>
    <s v="WARANGAL"/>
    <x v="0"/>
    <x v="20"/>
    <s v="KARUNAKAR"/>
    <n v="801264672"/>
    <s v="Ssd@9291"/>
    <m/>
    <m/>
    <x v="0"/>
    <s v="LIVE"/>
    <s v="Visited Customer Given Adress Customer Not Available Door locked // Visited Customer Residence Customer Not Intrest To pay"/>
    <x v="16"/>
    <d v="2024-06-28T00:00:00"/>
    <n v="2725"/>
    <s v="Amazon Pay ICICI Bank Credit Card"/>
    <s v="4TH JULY"/>
    <s v="0000000025389369"/>
    <d v="2026-06-30T00:00:00"/>
  </r>
  <r>
    <s v="4315814892218013"/>
    <s v="MR K Raghu"/>
    <n v="0"/>
    <x v="0"/>
    <m/>
    <m/>
    <m/>
    <s v="N"/>
    <x v="7"/>
    <s v="9985669779"/>
    <s v="X"/>
    <n v="6278.4499999999971"/>
    <n v="90000"/>
    <n v="96278.45"/>
    <n v="28953.79"/>
    <n v="67324.66"/>
    <n v="60286.93"/>
    <n v="29630"/>
    <n v="12190"/>
    <x v="0"/>
    <x v="0"/>
    <n v="0"/>
    <n v="12190"/>
    <x v="0"/>
    <s v="NA"/>
    <n v="0"/>
    <s v="HARI"/>
    <x v="6"/>
    <x v="3"/>
    <s v="4.6 renigunta.rodu renigunta.rodu Chittoor TIRUPATHI ANP 517503"/>
    <s v="APSRTC MANGALAM.DEPOT MANGALAM. MANGALAM. TIRUPATHI ANP 517507"/>
    <s v="TIRUPATHI"/>
    <x v="1"/>
    <x v="25"/>
    <s v="S SEKHAR"/>
    <n v="845041675"/>
    <s v="Ssd@9290"/>
    <m/>
    <m/>
    <x v="1"/>
    <m/>
    <m/>
    <x v="1"/>
    <d v="2024-07-28T00:00:00"/>
    <n v="5586.9"/>
    <s v="Amazon Pay ICICI Bank Credit Card"/>
    <s v="4TH JULY"/>
    <s v="0000000029823010"/>
    <d v="2026-06-30T00:00:00"/>
  </r>
  <r>
    <s v="4315813579672005"/>
    <s v="MR Ayinaparthi Venkata Sai"/>
    <n v="0"/>
    <x v="0"/>
    <m/>
    <m/>
    <m/>
    <s v="N"/>
    <x v="7"/>
    <s v="9100515215"/>
    <s v="X"/>
    <n v="11116.490000000005"/>
    <n v="85000"/>
    <n v="96116.49"/>
    <s v=""/>
    <n v="96116.49"/>
    <n v="84802.67"/>
    <n v="29890"/>
    <n v="15250"/>
    <x v="0"/>
    <x v="0"/>
    <n v="0"/>
    <n v="15250"/>
    <x v="0"/>
    <s v="NA"/>
    <n v="0"/>
    <s v="HARI"/>
    <x v="8"/>
    <x v="3"/>
    <s v="2 102 Ganapavaram Mandalam Main Road Near Water Tank TADEPALLIGUDEM ANP 534198"/>
    <s v="RELIANCE JIOMART TADEPALLIGUDEM CWC WAREHOUSE NALLAJARLA ROAD NALLAJARLA ROAD TADEPALLIGUDEM ANP 534101"/>
    <s v="TADEPALLIGUDEM"/>
    <x v="4"/>
    <x v="33"/>
    <s v="B NAGABABU"/>
    <n v="801448854"/>
    <s v="Sgr@9290"/>
    <m/>
    <m/>
    <x v="0"/>
    <s v="SKIP"/>
    <s v="Visited custmor office address CMS  not working sir"/>
    <x v="17"/>
    <d v="2024-11-30T00:00:00"/>
    <n v="20731.48"/>
    <s v="Amazon Pay ICICI Bank Credit Card"/>
    <s v="4TH JULY"/>
    <s v="0000000024745756"/>
    <d v="2026-06-30T00:00:00"/>
  </r>
  <r>
    <s v="4315815996303007"/>
    <s v="MR GARANDAL RAGHAVENDRA SINGH"/>
    <n v="0"/>
    <x v="0"/>
    <m/>
    <m/>
    <m/>
    <s v="N"/>
    <x v="7"/>
    <s v="9866696974"/>
    <s v="X"/>
    <n v="-45027.45"/>
    <n v="140000"/>
    <n v="94972.55"/>
    <s v=""/>
    <n v="94972.55"/>
    <n v="87090.55"/>
    <n v="16380"/>
    <n v="6590"/>
    <x v="0"/>
    <x v="0"/>
    <n v="0"/>
    <n v="6590"/>
    <x v="0"/>
    <s v="NA"/>
    <n v="0"/>
    <s v="HARI"/>
    <x v="8"/>
    <x v="3"/>
    <s v="h. no .21 / 31 / 6 s k d colony 5 road Adoni Near csi Church   KURNOOL ANP 518301"/>
    <s v="h. no .21 / 31 / 6 s k d colony 5 road Adoni   KURNOOL ANP 518301"/>
    <s v="KURNOOL"/>
    <x v="1"/>
    <x v="18"/>
    <s v="SAMBA"/>
    <n v="801772794"/>
    <s v="Ssde@9876"/>
    <m/>
    <m/>
    <x v="0"/>
    <s v="LIVE"/>
    <s v="isited customer given address. Customer not available, family members available  // In call customer says will be pay early"/>
    <x v="11"/>
    <d v="2026-03-29T00:00:00"/>
    <n v="43542"/>
    <s v="Amazon Pay ICICI Bank Credit Card"/>
    <s v="1ST JULY"/>
    <s v="0000000034887329"/>
    <d v="2026-06-30T00:00:00"/>
  </r>
  <r>
    <s v="4315814441909005"/>
    <s v="MS. PATHLOTHU RAJEEVI RATHOD"/>
    <n v="0"/>
    <x v="0"/>
    <m/>
    <m/>
    <m/>
    <s v="N"/>
    <x v="7"/>
    <s v="9492674599"/>
    <s v="Y"/>
    <n v="-275958.32"/>
    <n v="370000"/>
    <n v="94041.68"/>
    <n v="14768.44"/>
    <n v="79273.240000000005"/>
    <n v="71961.899999999994"/>
    <n v="37980"/>
    <n v="24950"/>
    <x v="0"/>
    <x v="0"/>
    <n v="0"/>
    <n v="24950"/>
    <x v="0"/>
    <s v="NA"/>
    <n v="0"/>
    <s v="HARI"/>
    <x v="7"/>
    <x v="3"/>
    <s v="&quot;2-41,THANDA MOLKACHARLA,BALAJEE FLR,&quot; &quot;MULKACHARLA,NALGONDA,MANDAL DAMARACHARLA&quot; NALGONDA - NALGONDA TNG 508207"/>
    <s v="ICICI PRUDENTIAL LIFE INSURANCE CO LTD ICICI PRULIFE TOWERS 1089 APPASAHEB MARATHE MARG PRABHADEVI MUMBAI MARATHE MARG PRABHADEVI MUMBAI MUMBAI MAH 400025"/>
    <s v="SURYAPET"/>
    <x v="0"/>
    <x v="21"/>
    <s v="PAVAN"/>
    <n v="802823180"/>
    <s v="Sgr@9290"/>
    <m/>
    <m/>
    <x v="1"/>
    <m/>
    <m/>
    <x v="1"/>
    <d v="2025-12-09T00:00:00"/>
    <n v="1000"/>
    <s v="Amazon Pay ICICI Bank Credit Card"/>
    <s v="4TH JULY"/>
    <s v="0000000027922555"/>
    <d v="2026-06-30T00:00:00"/>
  </r>
  <r>
    <s v="4315814197288026"/>
    <s v="MR Tadi Krishna Prasad"/>
    <n v="0"/>
    <x v="0"/>
    <m/>
    <m/>
    <m/>
    <s v="N"/>
    <x v="7"/>
    <s v="9640743125"/>
    <s v="X"/>
    <n v="3960.8300000000017"/>
    <n v="90000"/>
    <n v="93960.83"/>
    <n v="69633.88"/>
    <n v="24326.95"/>
    <n v="18876.82"/>
    <n v="13300"/>
    <n v="6050"/>
    <x v="1"/>
    <x v="1"/>
    <n v="24326.95"/>
    <n v="-18276.95"/>
    <x v="14"/>
    <s v="TC"/>
    <s v="30501-BBPS Payment received"/>
    <s v="HARI"/>
    <x v="9"/>
    <x v="3"/>
    <s v="6.118.2 Kadali Kadali Tadi vari group AMALAPURAM ANP 533248"/>
    <s v="SIDHVI.INFRA.PROJECTS.LIMITED 2.3.9..SRINAGAR..KAKINADA.AP 2.3.9..SRINAGAR..KAKINADA.AP. 2.3.9..SRINAGAR..KAKINADA.AP. KAKINADA ANP 533003"/>
    <s v="AMALAPURAM"/>
    <x v="4"/>
    <x v="28"/>
    <s v="B NAGABABU"/>
    <n v="801448854"/>
    <s v="Sgr@9290"/>
    <m/>
    <m/>
    <x v="0"/>
    <m/>
    <m/>
    <x v="1"/>
    <d v="2025-01-08T00:00:00"/>
    <n v="10000"/>
    <s v="Amazon Pay ICICI Bank Credit Card"/>
    <s v="1ST JULY"/>
    <s v="0000000027066901"/>
    <d v="2026-06-30T00:00:00"/>
  </r>
  <r>
    <s v="4315812313752008"/>
    <s v="MR Veera Nagender Jillala"/>
    <n v="0"/>
    <x v="0"/>
    <m/>
    <m/>
    <m/>
    <s v="N"/>
    <x v="7"/>
    <s v="7207627178"/>
    <s v="X"/>
    <n v="-8205.3699999999953"/>
    <n v="100000"/>
    <n v="91794.63"/>
    <s v=""/>
    <n v="91794.63"/>
    <n v="81395.839999999997"/>
    <n v="15590"/>
    <n v="6260"/>
    <x v="1"/>
    <x v="2"/>
    <n v="6300"/>
    <n v="-40"/>
    <x v="19"/>
    <s v="TC"/>
    <s v="30501-BBPS Payment received"/>
    <s v="HARI"/>
    <x v="5"/>
    <x v="3"/>
    <s v="15-2-27/3 nehru basthi nehru basthi Khammam KHAMMAM TNG 507118"/>
    <s v="SCCL CIVIL DEPT. 5 INCLINE AREA RUDRAMPUR 5 INCLINE AREA RUDRAMPUR KHAMMAM TNG 507119"/>
    <s v="KHAMMAM"/>
    <x v="0"/>
    <x v="27"/>
    <s v="POORNIMA"/>
    <n v="802824019"/>
    <s v="Nihan@2421"/>
    <m/>
    <m/>
    <x v="0"/>
    <s v="LIVE"/>
    <s v="customer not available cm father live call responded PTP given today evening"/>
    <x v="18"/>
    <d v="2026-02-25T00:00:00"/>
    <n v="50000"/>
    <s v="Amazon Pay ICICI Bank Credit Card"/>
    <s v="4TH JULY"/>
    <s v="0000000020532778"/>
    <d v="2026-06-30T00:00:00"/>
  </r>
  <r>
    <s v="4315814917150001"/>
    <s v="MR SwarnaSai Krishna Manohar"/>
    <n v="0"/>
    <x v="2"/>
    <n v="1"/>
    <s v="CC"/>
    <s v="ALREADY REMOVED CASE"/>
    <s v="N"/>
    <x v="7"/>
    <s v="9014642418"/>
    <s v="X"/>
    <n v="65563.070000000007"/>
    <n v="24000"/>
    <n v="89563.07"/>
    <s v=""/>
    <n v="89563.07"/>
    <n v="83170.02"/>
    <n v="70130"/>
    <n v="60530"/>
    <x v="0"/>
    <x v="0"/>
    <n v="0"/>
    <n v="60530"/>
    <x v="0"/>
    <s v="NA"/>
    <n v="0"/>
    <s v="HARI"/>
    <x v="4"/>
    <x v="3"/>
    <s v="1.42A  .. Krishna GUDIVADA ANP 521263"/>
    <s v="ANNAPURNA.COMUNICATIONS 1.42A.KORNIPADU KORNIPADU.. KORNIPADU.. GUDIVADA ANP 521263"/>
    <s v="GUDIVADA"/>
    <x v="4"/>
    <x v="6"/>
    <s v="KOTI"/>
    <n v="801597759"/>
    <s v="Ssde@9290"/>
    <m/>
    <m/>
    <x v="1"/>
    <m/>
    <m/>
    <x v="1"/>
    <d v="2024-12-27T00:00:00"/>
    <n v="24700"/>
    <s v="Amazon Pay ICICI Bank Credit Card"/>
    <s v="4TH JULY"/>
    <s v="0000000029949084"/>
    <d v="2026-06-30T00:00:00"/>
  </r>
  <r>
    <s v="4315813880372006"/>
    <s v="MR NAGENDRABABU VEERANKI"/>
    <n v="0"/>
    <x v="0"/>
    <m/>
    <m/>
    <m/>
    <s v="N"/>
    <x v="7"/>
    <s v="9603509044"/>
    <s v="X"/>
    <n v="9487.7100000000064"/>
    <n v="80000"/>
    <n v="89487.71"/>
    <s v=""/>
    <n v="89487.71"/>
    <n v="80138.509999999995"/>
    <n v="23570"/>
    <n v="9550"/>
    <x v="1"/>
    <x v="2"/>
    <n v="9864"/>
    <n v="-314"/>
    <x v="18"/>
    <s v="TC"/>
    <s v="30501-BBPS Payment received"/>
    <s v="HARI"/>
    <x v="4"/>
    <x v="3"/>
    <s v="H.No.8.69.. eluru.mandal.. Komadavole..rural. KOMADOVOLU NEAR RACHA BANDA ELURU ANP 534004"/>
    <s v="LAKSHMI.STONE.DEPOT KODELU NEAR.RACHA.BANDA. NEAR.RACHA.BANDA. ELURU ANP 534004"/>
    <s v="ELURU"/>
    <x v="4"/>
    <x v="32"/>
    <s v="BHARAT CHANDRA"/>
    <n v="802631601"/>
    <s v="Ssde@9290"/>
    <m/>
    <m/>
    <x v="0"/>
    <s v="MESS"/>
    <s v="Remark Customer Phone Switch Off Customer Out Of Station Inform To Customer Father Sir"/>
    <x v="15"/>
    <d v="2024-06-10T00:00:00"/>
    <n v="484"/>
    <s v="Amazon Pay ICICI Bank Credit Card"/>
    <s v="4TH JULY"/>
    <s v="0000000025851687"/>
    <d v="2026-06-30T00:00:00"/>
  </r>
  <r>
    <s v="4315813772533004"/>
    <s v="MR Venkata Srinivas"/>
    <n v="0"/>
    <x v="0"/>
    <m/>
    <m/>
    <m/>
    <s v="O"/>
    <x v="7"/>
    <s v="9505805138"/>
    <s v="X"/>
    <n v="5980.8800000000047"/>
    <n v="80000"/>
    <n v="85980.88"/>
    <s v=""/>
    <n v="85980.88"/>
    <n v="79383.19"/>
    <n v="22500"/>
    <n v="13790"/>
    <x v="1"/>
    <x v="2"/>
    <n v="13800"/>
    <n v="-10"/>
    <x v="20"/>
    <s v="FE"/>
    <s v="30501-BBPS Payment received"/>
    <s v="HARI"/>
    <x v="5"/>
    <x v="3"/>
    <s v="H NO 3 3 588 A SAINAGER SAINAGER NEAR VISHWAVIKAS SCHOOL NIZAMABAD TNG 503001"/>
    <s v="TEA KAHANI TEA KAHANI VARNI CHOWRASTA OPP SBI BANK VARNI CHOWRASTA OPP SBI BANK NIZAMABAD TNG 503001"/>
    <s v="NIZAMABAD"/>
    <x v="0"/>
    <x v="9"/>
    <s v="D RAMU"/>
    <n v="802663344"/>
    <s v="Sgr@9290"/>
    <m/>
    <m/>
    <x v="0"/>
    <s v="LIVE"/>
    <s v="Feedback customer paymet wensday // Feedback customer paymet 7k remaing amount 4o clock"/>
    <x v="16"/>
    <d v="2024-06-05T00:00:00"/>
    <n v="5680"/>
    <s v="Amazon Pay ICICI Bank Credit Card"/>
    <s v="4TH JULY"/>
    <s v="0000000025426424"/>
    <d v="2026-06-30T00:00:00"/>
  </r>
  <r>
    <s v="4315813964654006"/>
    <s v="MR BHAVARJI MAHEEDHAR B"/>
    <n v="0"/>
    <x v="0"/>
    <m/>
    <m/>
    <m/>
    <s v="N"/>
    <x v="7"/>
    <s v="8712953767"/>
    <s v="X"/>
    <n v="-217290.01"/>
    <n v="300000"/>
    <n v="82709.990000000005"/>
    <n v="69070.22"/>
    <n v="13639.77"/>
    <n v="10908.3"/>
    <n v="13639.77"/>
    <n v="8176.52"/>
    <x v="1"/>
    <x v="1"/>
    <n v="13639.77"/>
    <n v="-5463.25"/>
    <x v="19"/>
    <s v="TC"/>
    <s v="30501-BBPS Payment received"/>
    <s v="HARI"/>
    <x v="7"/>
    <x v="3"/>
    <s v="&quot;2-8,NUKALA VARI STREET,KANUMOLU,&quot; &quot;BAPULAPADU MANDAL,KANUMOLU&quot;  BUS STOP VIJAYAWADA ANP 521106"/>
    <s v="OEC INDIA SERVICES PRIVATE LIMITED &quot;CHENNAI ONE IT PARK,MODULE 7,3RD FLOOR,&quot; PHASE 2 PALLAVARAM PHASE 2 PALLAVARAM CHENNAI TMN 600097"/>
    <s v="VIJAYAWADA"/>
    <x v="3"/>
    <x v="5"/>
    <s v="SUDHAKAR"/>
    <n v="802913252"/>
    <s v="Ssd@9290"/>
    <m/>
    <m/>
    <x v="0"/>
    <m/>
    <m/>
    <x v="1"/>
    <d v="2025-01-27T00:00:00"/>
    <n v="3772.17"/>
    <s v="Amazon Pay ICICI Bank Credit Card"/>
    <s v="4TH JULY"/>
    <s v="0000000026212358"/>
    <d v="2026-06-30T00:00:00"/>
  </r>
  <r>
    <s v="4375514866531006"/>
    <s v="MR. KIMMANUEL KIMMANUEL"/>
    <n v="0"/>
    <x v="0"/>
    <m/>
    <m/>
    <m/>
    <s v="N"/>
    <x v="7"/>
    <s v="9849687156"/>
    <s v="X"/>
    <n v="3929.4499999999971"/>
    <n v="75000"/>
    <n v="78929.45"/>
    <s v=""/>
    <n v="78929.45"/>
    <n v="71524.38"/>
    <n v="25010"/>
    <n v="14486.89"/>
    <x v="1"/>
    <x v="1"/>
    <n v="26025"/>
    <n v="-11538.11"/>
    <x v="7"/>
    <s v="TC"/>
    <s v="12111-ICICI BANK COLLECTION PAYMENT"/>
    <s v="HARI"/>
    <x v="6"/>
    <x v="3"/>
    <s v="DNO 24 211 RAJEV NAGAR KONDAPALLI KONDAPALLI   VIJAYAWADA ANP 521228"/>
    <s v="KANNAMALA COMPUTER HARDWARE GROUND FLOOR RAJEEVNAGAR KONDAPALI   VIJAYAWADA ANP 521228"/>
    <s v="VIJAYAWADA"/>
    <x v="3"/>
    <x v="5"/>
    <s v="SUDHAKAR"/>
    <n v="802913252"/>
    <s v="Ssd@9290"/>
    <m/>
    <m/>
    <x v="0"/>
    <m/>
    <m/>
    <x v="1"/>
    <d v="2026-05-15T00:00:00"/>
    <n v="513.11"/>
    <s v="ICICI Bank HPCL Super Saver Visa Credit Card"/>
    <s v="1ST JULY"/>
    <s v="0000000010982940"/>
    <d v="2026-06-30T00:00:00"/>
  </r>
  <r>
    <s v="4315816087275005"/>
    <s v="MR DAVIREDDY YESWANTH SAI"/>
    <n v="0"/>
    <x v="0"/>
    <m/>
    <m/>
    <m/>
    <s v="N"/>
    <x v="7"/>
    <s v="7093445323"/>
    <s v="X"/>
    <n v="8578.2200000000012"/>
    <n v="70000"/>
    <n v="78578.22"/>
    <s v=""/>
    <n v="78578.22"/>
    <n v="68712.639999999999"/>
    <n v="24540"/>
    <n v="12170"/>
    <x v="0"/>
    <x v="0"/>
    <n v="0"/>
    <n v="12170"/>
    <x v="0"/>
    <s v="NA"/>
    <n v="0"/>
    <s v="HARI"/>
    <x v="8"/>
    <x v="3"/>
    <s v="&quot;3rdFloor 2,SriSaianandanilayam SER&quot; center Prasadampadu Ser centre   VIJAYAWADA ANP 521108"/>
    <s v="Prime hill crest 3rd floor Beside DGP office   GUNTUR ANP 522302"/>
    <s v="VIJAYAWADA"/>
    <x v="3"/>
    <x v="46"/>
    <s v="SUDHAKAR"/>
    <n v="802913252"/>
    <s v="Ssd@9290"/>
    <m/>
    <m/>
    <x v="0"/>
    <s v="DL"/>
    <s v="Cus house visited but currently door locked.call also not responding.revisit again // Cus house visited but completely shifted from here 4 months back.conformed by the neighbours.call also not responding.need kyc"/>
    <x v="17"/>
    <s v=""/>
    <n v="0"/>
    <s v="Amazon Pay ICICI Bank Credit Card"/>
    <s v="4TH JULY"/>
    <s v="0000000035233493"/>
    <d v="2026-06-30T00:00:00"/>
  </r>
  <r>
    <s v="4315814941221000"/>
    <s v="MR Videm Bharani"/>
    <n v="0"/>
    <x v="0"/>
    <m/>
    <m/>
    <m/>
    <s v="N"/>
    <x v="7"/>
    <s v="7981337837"/>
    <s v="X"/>
    <n v="-2101.6300000000047"/>
    <n v="80000"/>
    <n v="77898.37"/>
    <n v="54841.55"/>
    <n v="23056.82"/>
    <n v="17479.34"/>
    <n v="18030"/>
    <n v="10280"/>
    <x v="1"/>
    <x v="1"/>
    <n v="18030"/>
    <n v="-7750"/>
    <x v="14"/>
    <s v="TC"/>
    <s v="30501-BBPS Payment received"/>
    <s v="HARI"/>
    <x v="9"/>
    <x v="3"/>
    <s v="4.229A Kolimi.Street ..Kolimi.Street Opp Infant Jesus High school CUDDAPAH ANP 516115"/>
    <s v="SCON.DESIGN.INDIA.PVT.LTD 1ST.FLOOR..VINOD.REDDY.COMPLEX. WHITEFIELD.MAIN.ROAD.. WHITEFIELD.MAIN.ROAD.. BANGALORE KAR 560035"/>
    <s v="CUDDAPAH"/>
    <x v="1"/>
    <x v="14"/>
    <s v="SIVARAU"/>
    <n v="801601134"/>
    <s v="Ssd@9290"/>
    <m/>
    <m/>
    <x v="0"/>
    <m/>
    <m/>
    <x v="1"/>
    <d v="2025-10-30T00:00:00"/>
    <n v="17757.73"/>
    <s v="Amazon Pay ICICI Bank Credit Card"/>
    <s v="4TH JULY"/>
    <s v="0000000030044317"/>
    <d v="2026-06-30T00:00:00"/>
  </r>
  <r>
    <s v="4315816112927000"/>
    <s v="MR SHAIK MAHAMMAD RAFI"/>
    <n v="0"/>
    <x v="0"/>
    <m/>
    <m/>
    <m/>
    <s v="N"/>
    <x v="7"/>
    <s v="9666055561"/>
    <s v="X"/>
    <n v="7803.929999999993"/>
    <n v="70000"/>
    <n v="77803.929999999993"/>
    <s v=""/>
    <n v="77803.929999999993"/>
    <n v="68318"/>
    <n v="20800"/>
    <n v="8290"/>
    <x v="0"/>
    <x v="0"/>
    <n v="0"/>
    <n v="8290"/>
    <x v="0"/>
    <s v="NA"/>
    <n v="0"/>
    <s v="HARI"/>
    <x v="6"/>
    <x v="3"/>
    <s v="10/280 yeraguntla bypass road Nearby cinehub theater Proddatur   PRODDATUR ANP 516360"/>
    <s v="10 280 YERAGUNTLA BYPASS ROAD NEAR CINEHUB THEATER PRODDATUR   PRODDATUR ANP 516360"/>
    <s v="PRODDATUR"/>
    <x v="1"/>
    <x v="15"/>
    <s v="VSSK PRASAD"/>
    <n v="802349062"/>
    <s v="Ssd@9290"/>
    <m/>
    <m/>
    <x v="1"/>
    <m/>
    <m/>
    <x v="1"/>
    <d v="2026-05-07T00:00:00"/>
    <n v="34550.46"/>
    <s v="Amazon Pay ICICI Bank Credit Card"/>
    <s v="4TH JULY"/>
    <s v="0000000035353123"/>
    <d v="2026-06-30T00:00:00"/>
  </r>
  <r>
    <s v="4315814022313007"/>
    <s v="MR Vantala Chetan Kumar"/>
    <n v="0"/>
    <x v="0"/>
    <m/>
    <m/>
    <m/>
    <s v="N"/>
    <x v="7"/>
    <s v="7095322113"/>
    <s v="X"/>
    <n v="-3936.3099999999977"/>
    <n v="80000"/>
    <n v="76063.69"/>
    <s v=""/>
    <n v="76063.69"/>
    <n v="70860.42"/>
    <n v="17730"/>
    <n v="12560"/>
    <x v="1"/>
    <x v="2"/>
    <n v="12700"/>
    <n v="-140"/>
    <x v="20"/>
    <s v="TC"/>
    <s v="30501-BBPS Payment received"/>
    <s v="HARI"/>
    <x v="7"/>
    <x v="3"/>
    <s v="9.4 Mandalam.Kethepally Ippalagudem Nalgonda SURYAPET TNG 508211"/>
    <s v="BUSINESS OFFICERS.COLONY.NAKREKAL NAKREKAL.OPPOSITE.PETROL.BUNK. NAKREKAL.OPPOSITE.PETROL.BUNK. SURYAPET TNG 508211"/>
    <s v="SURYAPET"/>
    <x v="0"/>
    <x v="17"/>
    <s v="PAVAN"/>
    <n v="802823180"/>
    <s v="Sgr@9290"/>
    <m/>
    <m/>
    <x v="0"/>
    <m/>
    <m/>
    <x v="1"/>
    <d v="2026-05-12T00:00:00"/>
    <n v="1000"/>
    <s v="Amazon Pay ICICI Bank Credit Card"/>
    <s v="1ST JULY"/>
    <s v="0000000026456864"/>
    <d v="2026-06-30T00:00:00"/>
  </r>
  <r>
    <s v="4315813045412002"/>
    <s v="Mr KASIMKOTA  SIVASANKAR"/>
    <n v="0"/>
    <x v="0"/>
    <m/>
    <m/>
    <m/>
    <s v="N"/>
    <x v="7"/>
    <s v="9177691266"/>
    <s v="X"/>
    <n v="-44751.619999999995"/>
    <n v="120000"/>
    <n v="75248.38"/>
    <s v=""/>
    <n v="75248.38"/>
    <n v="66329.33"/>
    <n v="13830"/>
    <n v="5947.98"/>
    <x v="0"/>
    <x v="0"/>
    <n v="0"/>
    <n v="5947.98"/>
    <x v="0"/>
    <s v="NA"/>
    <n v="0"/>
    <s v="HARI"/>
    <x v="8"/>
    <x v="3"/>
    <s v="&quot;10-5-21 VEERRAGHAVA,PYRAMID,SAMALKOTA EAST,&quot; &quot;GODAVARI,ANDHRAPRADESH&quot;   KAKINADA ANP 533440"/>
    <s v="NA 10-5-21 &quot;Veeragapuram STREET, samalkot&quot; &quot;Veeragapuram STREET, samalkot&quot; KAKINADA ANP 533440"/>
    <s v="KAKINADA"/>
    <x v="4"/>
    <x v="23"/>
    <s v="UDAY"/>
    <n v="801436997"/>
    <s v="Ssd@9290"/>
    <m/>
    <m/>
    <x v="0"/>
    <s v="MESS"/>
    <s v="Customer address visit customer not available msg left to family call not answering sir"/>
    <x v="6"/>
    <d v="2026-05-07T00:00:00"/>
    <n v="6050"/>
    <s v="Amazon Pay ICICI Bank Credit Card"/>
    <s v="1ST JULY"/>
    <s v="0000000022724349"/>
    <d v="2026-06-30T00:00:00"/>
  </r>
  <r>
    <s v="4315815613303000"/>
    <s v="MR MADURI AMARENDER"/>
    <n v="0"/>
    <x v="0"/>
    <m/>
    <m/>
    <m/>
    <s v="N"/>
    <x v="7"/>
    <s v="7569886666"/>
    <s v="X"/>
    <n v="-87120.92"/>
    <n v="160000"/>
    <n v="72879.08"/>
    <s v=""/>
    <n v="72879.08"/>
    <n v="64854.39"/>
    <n v="20070"/>
    <n v="12700"/>
    <x v="1"/>
    <x v="1"/>
    <n v="20070"/>
    <n v="-7370"/>
    <x v="15"/>
    <s v="TC"/>
    <s v="30501-BBPS Payment received"/>
    <s v="HARI"/>
    <x v="6"/>
    <x v="3"/>
    <s v="18-66/2C1 HARI PRIYA NAGAR NEAR NEW BUS STAND  TELANGANA MEDAK TNG 502103"/>
    <s v="VIGHNESHWARA TRADERS VIGHNESHWARA TRADERS MR. MADURI AMARENDER VILLAGE CHINNAKODUR MEDAK AMARENDER VILLAGE CHINNAKODUR MEDAK MEDAK TNG 502276"/>
    <s v="MEDAK"/>
    <x v="0"/>
    <x v="30"/>
    <s v="RAJKUMAR"/>
    <n v="802835406"/>
    <s v="Ssde@9290"/>
    <m/>
    <m/>
    <x v="0"/>
    <m/>
    <m/>
    <x v="1"/>
    <s v=""/>
    <n v="0"/>
    <s v="Amazon Pay ICICI Bank Credit Card"/>
    <s v="4TH JULY"/>
    <s v="0000000033234845"/>
    <d v="2026-06-30T00:00:00"/>
  </r>
  <r>
    <s v="4035622861590018"/>
    <s v="MR GADDALA NARESH"/>
    <n v="0"/>
    <x v="0"/>
    <m/>
    <m/>
    <m/>
    <s v="N"/>
    <x v="7"/>
    <s v="9704684873"/>
    <s v="X"/>
    <n v="2396.8300000000017"/>
    <n v="70000"/>
    <n v="72396.83"/>
    <n v="59339.16"/>
    <n v="13057.67"/>
    <n v="8782.2800000000007"/>
    <n v="9420"/>
    <n v="3690"/>
    <x v="0"/>
    <x v="0"/>
    <n v="0"/>
    <n v="3690"/>
    <x v="0"/>
    <s v="NA"/>
    <n v="0"/>
    <s v="HARI"/>
    <x v="7"/>
    <x v="3"/>
    <s v="6-78 BASAWAPUR GADDALAPALLI KARIMNAGAR HUZURABAD TNG 505473"/>
    <s v="SOUTHERN EDUCATION INSTITUTION DEVIYAKURICHI SEALEM TAMILNADU SALEM SALEM SALEM TMN 636112"/>
    <s v="MEDAK"/>
    <x v="0"/>
    <x v="44"/>
    <s v="POORNIMA"/>
    <n v="802824019"/>
    <s v="Nihan@2421"/>
    <m/>
    <m/>
    <x v="1"/>
    <m/>
    <m/>
    <x v="1"/>
    <d v="2026-04-22T00:00:00"/>
    <n v="1100"/>
    <s v="ICICI Bank Platinum Chip Credit Card"/>
    <s v="1ST JULY"/>
    <s v="0000000022991889"/>
    <d v="2026-06-30T00:00:00"/>
  </r>
  <r>
    <s v="4315812769223009"/>
    <s v="MR Mulenti Vamsidhar Reddy"/>
    <n v="0"/>
    <x v="0"/>
    <m/>
    <m/>
    <m/>
    <s v="O"/>
    <x v="7"/>
    <s v="9014606006"/>
    <s v="X"/>
    <n v="1686.2700000000041"/>
    <n v="70000"/>
    <n v="71686.27"/>
    <s v=""/>
    <n v="71686.27"/>
    <n v="66875.679999999993"/>
    <n v="19330"/>
    <n v="10520"/>
    <x v="1"/>
    <x v="2"/>
    <n v="11000"/>
    <n v="-480"/>
    <x v="15"/>
    <s v="TC"/>
    <s v="30501-BBPS Payment received"/>
    <s v="HARI"/>
    <x v="9"/>
    <x v="3"/>
    <s v="6-141 Mekalasompally B C Colony Mahabubnagar ATMAKUR TNG 509132"/>
    <s v="SEED ORGANISER GADWAL JOGULAMBA GADWAL JOGULAMBA GADWAL ATMAKUR TNG 509132"/>
    <s v="MAHBOOBNAGAR"/>
    <x v="0"/>
    <x v="19"/>
    <s v="SAMBA"/>
    <n v="801772794"/>
    <s v="Ssde@9876"/>
    <m/>
    <m/>
    <x v="0"/>
    <m/>
    <m/>
    <x v="1"/>
    <d v="2025-04-11T00:00:00"/>
    <n v="9700"/>
    <s v="Amazon Pay ICICI Bank Credit Card"/>
    <s v="4TH JULY"/>
    <s v="0000000021719524"/>
    <d v="2026-06-30T00:00:00"/>
  </r>
  <r>
    <s v="4315814843501004"/>
    <s v="MR Yarati Omprakash"/>
    <n v="0"/>
    <x v="0"/>
    <m/>
    <m/>
    <m/>
    <s v="N"/>
    <x v="7"/>
    <s v="9642078701"/>
    <s v="X"/>
    <n v="-39080.020000000004"/>
    <n v="110000"/>
    <n v="70919.98"/>
    <s v=""/>
    <n v="70919.98"/>
    <n v="66349.95"/>
    <n v="14940"/>
    <n v="4060"/>
    <x v="1"/>
    <x v="2"/>
    <n v="4100"/>
    <n v="-40"/>
    <x v="18"/>
    <s v="TC"/>
    <s v="30501-BBPS Payment received"/>
    <s v="HARI"/>
    <x v="5"/>
    <x v="3"/>
    <s v="H.No.2.6.86 siricilla.mandal sanjeevaiah.nagar Karim Nagar GodavariKhani TNG 505301"/>
    <s v="LADDU.PRAKASH.PHOTOGRAPHY 2.6.86.SANJEEVAIAH.NAGAR.SIRCILLA. PUNJAB.NATIONAL.BANK.OPPOSITE.LINE. PUNJAB.NATIONAL.BANK.OPPOSITE.LINE. GodavariKhani TNG 505301"/>
    <s v="KARIMNAGAR"/>
    <x v="0"/>
    <x v="9"/>
    <s v="D RAMU"/>
    <n v="802663344"/>
    <s v="Sgr@9290"/>
    <m/>
    <m/>
    <x v="0"/>
    <m/>
    <m/>
    <x v="1"/>
    <d v="2024-11-30T00:00:00"/>
    <n v="15000"/>
    <s v="Amazon Pay ICICI Bank Credit Card"/>
    <s v="1ST JULY"/>
    <s v="0000000029588955"/>
    <d v="2026-06-30T00:00:00"/>
  </r>
  <r>
    <s v="4315815051283003"/>
    <s v="MR KARRI SHANMUKH SRINIVAS"/>
    <n v="0"/>
    <x v="0"/>
    <m/>
    <m/>
    <m/>
    <s v="N"/>
    <x v="7"/>
    <s v="9676347545"/>
    <s v="X"/>
    <n v="-14376.75"/>
    <n v="83000"/>
    <n v="68623.25"/>
    <s v=""/>
    <n v="68623.25"/>
    <n v="63957.09"/>
    <n v="10140"/>
    <n v="5050"/>
    <x v="1"/>
    <x v="2"/>
    <n v="5100"/>
    <n v="-50"/>
    <x v="16"/>
    <s v="TC"/>
    <s v="30501-BBPS Payment received"/>
    <s v="HARI"/>
    <x v="7"/>
    <x v="3"/>
    <s v="52.11.50.2.TURANGI.ROAD...PADMANABHA.NAG KAKINADA.KAKINADA ..  KAKINADA ANP 533002"/>
    <s v="HCL.TECHNOLOGIES.LIMITED 4.79.5.hardware.park.Srisailam.highway.r Tukkuguda.rangareddy Tukkuguda.rangareddy HYDERABAD TNG 501359"/>
    <s v="KAKINADA"/>
    <x v="4"/>
    <x v="23"/>
    <s v="UDAY"/>
    <n v="801436997"/>
    <s v="Ssd@9290"/>
    <m/>
    <m/>
    <x v="0"/>
    <s v="MESS"/>
    <s v="Customer address visit customer not available msg left to brother _x000a_Customer new no 070953 00196_x000a_Call back in evening // Customer address visit customer not available msg left to brother _x000a_Customer new no 070953 00196"/>
    <x v="18"/>
    <d v="2024-11-04T00:00:00"/>
    <n v="1500"/>
    <s v="Amazon Pay ICICI Bank Credit Card"/>
    <s v="1ST JULY"/>
    <s v="0000000030487468"/>
    <d v="2026-06-30T00:00:00"/>
  </r>
  <r>
    <s v="4315813711778009"/>
    <s v="MR BULLE UMESH"/>
    <n v="0"/>
    <x v="0"/>
    <m/>
    <s v="CC"/>
    <s v="PTP 11-07-2026"/>
    <s v="N"/>
    <x v="7"/>
    <s v="9966372054"/>
    <s v="X"/>
    <n v="7771.1300000000047"/>
    <n v="60000"/>
    <n v="67771.13"/>
    <s v=""/>
    <n v="67771.13"/>
    <n v="59923.8"/>
    <n v="21960"/>
    <n v="6829.51"/>
    <x v="1"/>
    <x v="2"/>
    <n v="6900"/>
    <n v="-70.489999999999782"/>
    <x v="18"/>
    <s v="TC"/>
    <s v="12124 - UPI Payment Received"/>
    <s v="HARI"/>
    <x v="8"/>
    <x v="3"/>
    <s v="1-42 ITUKALAPALLI ITUKALAPALLI ANANTAPUR ANANTAPUR ANP 515721"/>
    <s v="SBI LIFE INSURANCE CO LTD ANANTAPUR ANATAPUR MANDAL ANATAPUR MANDAL ANANTAPUR ANP 515721"/>
    <s v="ANANTAPUR"/>
    <x v="1"/>
    <x v="12"/>
    <s v="POORNIMA"/>
    <n v="802824019"/>
    <s v="Nihan@2421"/>
    <m/>
    <m/>
    <x v="0"/>
    <s v="LIVE"/>
    <s v="Customer not available _x000a_Customer phone PTP on 10th"/>
    <x v="18"/>
    <d v="2026-04-30T00:00:00"/>
    <n v="23000"/>
    <s v="Amazon Pay ICICI Bank Credit Card"/>
    <s v="4TH JULY"/>
    <s v="0000000025168657"/>
    <d v="2026-06-30T00:00:00"/>
  </r>
  <r>
    <s v="4375518565313004"/>
    <s v="MR MD JAKEER"/>
    <n v="0"/>
    <x v="0"/>
    <m/>
    <m/>
    <m/>
    <s v="N"/>
    <x v="7"/>
    <s v="7995300869"/>
    <s v="X"/>
    <n v="5108.8300000000017"/>
    <n v="60000"/>
    <n v="65108.83"/>
    <s v=""/>
    <n v="65108.83"/>
    <n v="59914"/>
    <n v="12950"/>
    <n v="3000"/>
    <x v="1"/>
    <x v="1"/>
    <n v="65108.83"/>
    <n v="-62108.83"/>
    <x v="13"/>
    <s v="TC"/>
    <s v="30501-BBPS Payment received"/>
    <s v="HARI"/>
    <x v="4"/>
    <x v="3"/>
    <s v="H NO  1 58 PAPAGAL TADOOR NAGARKURNOOL BESIDE RTC BUS STAND Mahbubnagar TNG 509209"/>
    <s v="GOVERMENT OF TELANGANA DIRECTORATE OF EC COLLECTORATE COMPLEX 3RD FLOOR NO 303 NO 303 Mahbubnagar TNG 509209"/>
    <s v="WANAPARTHY"/>
    <x v="0"/>
    <x v="19"/>
    <s v="SAMBA"/>
    <n v="801772794"/>
    <s v="Ssde@9876"/>
    <m/>
    <m/>
    <x v="0"/>
    <m/>
    <m/>
    <x v="1"/>
    <d v="2024-07-14T00:00:00"/>
    <n v="651"/>
    <s v="MakeMyTrip ICICI Bank Platinum Credit Card"/>
    <s v="1ST JULY"/>
    <s v="0000000014750967"/>
    <d v="2026-06-30T00:00:00"/>
  </r>
  <r>
    <s v="4315814857928002"/>
    <s v="MR Aleti Ravinder Reddy"/>
    <n v="0"/>
    <x v="0"/>
    <m/>
    <m/>
    <m/>
    <s v="O"/>
    <x v="7"/>
    <s v="9989302431"/>
    <s v="X"/>
    <n v="4211.5599999999977"/>
    <n v="60000"/>
    <n v="64211.56"/>
    <n v="2319.3000000000002"/>
    <n v="61892.26"/>
    <n v="57476.41"/>
    <n v="18400"/>
    <n v="9910"/>
    <x v="1"/>
    <x v="2"/>
    <n v="9920"/>
    <n v="-10"/>
    <x v="20"/>
    <s v="TC"/>
    <s v="30501-BBPS Payment received"/>
    <s v="HARI"/>
    <x v="7"/>
    <x v="3"/>
    <s v="2.68 Bheemadevara.Pally Dharmaram Karimnagar HYDERABAD TNG 505471"/>
    <s v="NXT.GEN.COMPUTER.SOLUTIONS SHOP.NO.41 NEW.AENNAPURNA.COMPLEX.PARKING.PLACE. NEW.AENNAPURNA.COMPLEX.PARKING.PLACE. ADILABAD TNG 505001"/>
    <s v="KARIMNAGAR"/>
    <x v="0"/>
    <x v="20"/>
    <s v="KARUNAKAR"/>
    <n v="801264672"/>
    <s v="Ssd@9291"/>
    <m/>
    <m/>
    <x v="0"/>
    <s v="LIVE"/>
    <s v="Meet Customer Given Commitment Tommorow Sir"/>
    <x v="16"/>
    <d v="2025-09-03T00:00:00"/>
    <n v="36008"/>
    <s v="Amazon Pay ICICI Bank Credit Card"/>
    <s v="4TH JULY"/>
    <s v="0000000029656619"/>
    <d v="2026-06-30T00:00:00"/>
  </r>
  <r>
    <s v="4315814690739004"/>
    <s v="MR Resu Thirupathi"/>
    <n v="0"/>
    <x v="0"/>
    <m/>
    <m/>
    <m/>
    <s v="N"/>
    <x v="7"/>
    <s v="8008329528"/>
    <s v="X"/>
    <n v="-7376.6100000000006"/>
    <n v="70000"/>
    <n v="62623.39"/>
    <s v=""/>
    <n v="62623.39"/>
    <n v="55097.38"/>
    <n v="13000"/>
    <n v="6220"/>
    <x v="1"/>
    <x v="2"/>
    <n v="8000"/>
    <n v="-1780"/>
    <x v="13"/>
    <s v="TC"/>
    <s v="30501-BBPS Payment received"/>
    <s v="HARI"/>
    <x v="4"/>
    <x v="3"/>
    <s v="Anumamula.market.warangal madhusala.bar.Balaji.Nagar kasibugga.road Sudhakar hotel WARANGAL TNG 506002"/>
    <s v="BHAGYALAXMI.CEMENT.BRICKS Anumamula.market.warangal madhusala.bar.Balaji.Nagar.kasibugga.roa madhusala.bar.Balaji.Nagar.kasibugga.roa WARANGAL TNG 506002"/>
    <s v="WARANGAL"/>
    <x v="0"/>
    <x v="20"/>
    <s v="KARUNAKAR"/>
    <n v="801264672"/>
    <s v="Ssd@9291"/>
    <m/>
    <m/>
    <x v="0"/>
    <s v="SKIP"/>
    <s v="Visited Customer Given Adress Customer Not Working Heare  Need kyc Sir // Visited Customer Office Adress Customer Not Available Inform To workers Revisit Again Sir"/>
    <x v="14"/>
    <s v=""/>
    <n v="0"/>
    <s v="Amazon Pay ICICI Bank Credit Card"/>
    <s v="1ST JULY"/>
    <s v="0000000028942872"/>
    <d v="2026-06-30T00:00:00"/>
  </r>
  <r>
    <s v="4315815567313005"/>
    <s v="MR Komarapu Sandeep"/>
    <n v="0"/>
    <x v="0"/>
    <m/>
    <m/>
    <m/>
    <s v="N"/>
    <x v="7"/>
    <s v="9703900295"/>
    <s v="X"/>
    <n v="-38150.01"/>
    <n v="100000"/>
    <n v="61849.99"/>
    <s v=""/>
    <n v="61849.99"/>
    <n v="52027.59"/>
    <n v="14880"/>
    <n v="8370"/>
    <x v="1"/>
    <x v="1"/>
    <n v="61849.99"/>
    <n v="-53479.99"/>
    <x v="12"/>
    <s v="TC"/>
    <s v="30501-BBPS Payment received"/>
    <s v="HARI"/>
    <x v="5"/>
    <x v="3"/>
    <s v="5.98.Velamapet..Chintalapudi. Eluru.District ..Eluru.District Near ramalayam ELURU ANP 534460"/>
    <s v="POLICE.DEPARTMENT Fathima.Manzil.Apartment. Panjagutta. Panjagutta. HYDERABAD TNG 500082"/>
    <s v="ELURU"/>
    <x v="4"/>
    <x v="32"/>
    <s v="BHARAT CHANDRA"/>
    <n v="802631601"/>
    <s v="Ssde@9290"/>
    <m/>
    <m/>
    <x v="0"/>
    <m/>
    <m/>
    <x v="1"/>
    <s v=""/>
    <n v="0"/>
    <s v="Amazon Pay ICICI Bank Credit Card"/>
    <s v="1ST JULY"/>
    <s v="0000000033017658"/>
    <d v="2026-06-30T00:00:00"/>
  </r>
  <r>
    <s v="4315812311949002"/>
    <s v="MR Bhukya Pavan Kumar"/>
    <n v="0"/>
    <x v="0"/>
    <m/>
    <m/>
    <m/>
    <s v="N"/>
    <x v="7"/>
    <s v="9553533925"/>
    <s v="X"/>
    <n v="-1182.1500000000015"/>
    <n v="63000"/>
    <n v="61817.85"/>
    <n v="37075.07"/>
    <n v="24742.78"/>
    <n v="19689.78"/>
    <n v="13910"/>
    <n v="6770"/>
    <x v="1"/>
    <x v="1"/>
    <n v="13910"/>
    <n v="-7140"/>
    <x v="18"/>
    <s v="TC"/>
    <s v="30501-BBPS Payment received"/>
    <s v="HARI"/>
    <x v="5"/>
    <x v="3"/>
    <s v="Surya Thanda Surya Thanda Surya Thanda Khammam KHAMMAM TNG 507168"/>
    <s v="MGNREGS SURYATHANDA ENENKOOR  KHAMMAM ENENKOOR  KHAMMAM KHAMMAM TNG 507168"/>
    <s v="KHAMMAM"/>
    <x v="0"/>
    <x v="27"/>
    <s v="POORNIMA"/>
    <n v="802824019"/>
    <s v="Nihan@2421"/>
    <m/>
    <m/>
    <x v="0"/>
    <s v="SKIP"/>
    <s v="Feedback address not found in correct address_x000a_Customer call not responding"/>
    <x v="13"/>
    <d v="2024-06-26T00:00:00"/>
    <n v="11728.49"/>
    <s v="Amazon Pay ICICI Bank Credit Card"/>
    <s v="4TH JULY"/>
    <s v="0000000020527103"/>
    <d v="2026-06-30T00:00:00"/>
  </r>
  <r>
    <s v="4315815096334001"/>
    <s v="MR AITHA MOHAN"/>
    <n v="0"/>
    <x v="0"/>
    <m/>
    <m/>
    <m/>
    <s v="N"/>
    <x v="7"/>
    <s v="9533855661"/>
    <s v="X"/>
    <n v="41472.959999999999"/>
    <n v="20000"/>
    <n v="61472.959999999999"/>
    <s v=""/>
    <n v="61472.959999999999"/>
    <n v="56645.08"/>
    <n v="45370"/>
    <n v="37650"/>
    <x v="0"/>
    <x v="0"/>
    <n v="0"/>
    <n v="37650"/>
    <x v="0"/>
    <s v="NA"/>
    <n v="0"/>
    <s v="HARI"/>
    <x v="4"/>
    <x v="3"/>
    <s v="12.108.1 velisala.vari.veedhi ..velisala.vari.veedhi near sivani junior college SURYAPET TNG 508206"/>
    <s v="DESIGNANDBUILD 12.108.1.velishala.vari.veedi. kodad.m..kodad. kodad.m..kodad. SURYAPET TNG 508206"/>
    <s v="SURYAPET"/>
    <x v="0"/>
    <x v="2"/>
    <s v="CHAITANYA"/>
    <n v="802555024"/>
    <s v="Ssde@9290"/>
    <m/>
    <m/>
    <x v="0"/>
    <s v="SKIP"/>
    <s v="I have Visited Customer work address Customer not available here Customer vacated Shop before 2 months ago Customer call answered Saying that I'm not able to pay because of my daughter health issues I don't have funds now customer is in Nims Hospital Hyderabad"/>
    <x v="13"/>
    <d v="2024-07-25T00:00:00"/>
    <n v="15000"/>
    <s v="Amazon Pay ICICI Bank Credit Card"/>
    <s v="4TH JULY"/>
    <s v="0000000030737579"/>
    <d v="2026-06-30T00:00:00"/>
  </r>
  <r>
    <s v="4315815454249007"/>
    <s v="MR PATNEEDI SURYANARAYANA"/>
    <n v="0"/>
    <x v="0"/>
    <m/>
    <m/>
    <m/>
    <s v="N"/>
    <x v="7"/>
    <s v="8184832507"/>
    <s v="X"/>
    <n v="3047.1399999999994"/>
    <n v="58000"/>
    <n v="61047.14"/>
    <s v=""/>
    <n v="61047.14"/>
    <n v="50290.67"/>
    <n v="18560"/>
    <n v="9210"/>
    <x v="0"/>
    <x v="0"/>
    <n v="0"/>
    <n v="9210"/>
    <x v="0"/>
    <s v="NA"/>
    <n v="0"/>
    <s v="HARI"/>
    <x v="4"/>
    <x v="3"/>
    <s v="MN.RD.BIKKAVOLU.MANDALAM.MELLURU.MELLURU  ..  RAMACHANDRAPURAM ANP 533255"/>
    <s v="CAPGEMINI.TECHNOLOGY.SERVICES.INDIA.LTD Banglore. Capgemini.epip.phase.2. Capgemini.epip.phase.2. BANGALORE KAR 560066"/>
    <s v="RAMACHANDRAPURAM"/>
    <x v="4"/>
    <x v="33"/>
    <s v="MANIKANTA"/>
    <n v="802852449"/>
    <s v="Ssd@9290"/>
    <m/>
    <m/>
    <x v="0"/>
    <s v="SKIP"/>
    <s v="Custmor not lived  this village    "/>
    <x v="19"/>
    <s v=""/>
    <n v="0"/>
    <s v="Amazon Pay ICICI Bank Credit Card"/>
    <s v="4TH JULY"/>
    <s v="0000000032366005"/>
    <d v="2026-06-30T00:00:00"/>
  </r>
  <r>
    <s v="4315814599310006"/>
    <s v="MR PITANI SRINIVAS"/>
    <n v="0"/>
    <x v="0"/>
    <m/>
    <m/>
    <m/>
    <s v="O"/>
    <x v="7"/>
    <s v="9848713273"/>
    <s v="X"/>
    <n v="424.72000000000116"/>
    <n v="60000"/>
    <n v="60424.72"/>
    <s v=""/>
    <n v="60424.72"/>
    <n v="56037.37"/>
    <n v="11290"/>
    <n v="6300"/>
    <x v="1"/>
    <x v="1"/>
    <n v="11290"/>
    <n v="-4990"/>
    <x v="0"/>
    <s v="D"/>
    <s v="30501-BBPS Payment received"/>
    <s v="HARI"/>
    <x v="7"/>
    <x v="3"/>
    <s v="10-24 KOTHAPETA KOPPISETTI VARI VEEDHI  AMALAPURAM ANP 533223"/>
    <s v="GOVERNMENT OF ANDHRA PRADESH PANCHYAT RAJ DEPARTMENT  KOTHAPETA GRAMA SACHIVALAYAM  2    AVIDI V GRAMA SACHIVALAYAM  2    AVIDI V AMALAPURAM ANP 533229"/>
    <s v="AMALAPURAM"/>
    <x v="4"/>
    <x v="33"/>
    <s v="MANIKANTA"/>
    <n v="802852449"/>
    <s v="Ssd@9290"/>
    <m/>
    <m/>
    <x v="0"/>
    <s v="LIVE"/>
    <s v="Visited custmor office addres_x000a_Custmor go to field phone respond today evining ptp"/>
    <x v="12"/>
    <d v="2025-03-30T00:00:00"/>
    <n v="5000"/>
    <s v="Amazon Pay ICICI Bank Credit Card"/>
    <s v="1ST JULY"/>
    <s v="0000000028545307"/>
    <d v="2026-06-30T00:00:00"/>
  </r>
  <r>
    <s v="4315813439945005"/>
    <s v="MR Mohammed Mujahid"/>
    <n v="0"/>
    <x v="0"/>
    <m/>
    <m/>
    <m/>
    <s v="N"/>
    <x v="7"/>
    <s v="9676186252"/>
    <s v="X"/>
    <n v="4853.8799999999974"/>
    <n v="55000"/>
    <n v="59853.88"/>
    <s v=""/>
    <n v="59853.88"/>
    <n v="51894.21"/>
    <n v="15720"/>
    <n v="5450"/>
    <x v="1"/>
    <x v="2"/>
    <n v="5500"/>
    <n v="-50"/>
    <x v="12"/>
    <s v="FE"/>
    <s v="30501-BBPS Payment received"/>
    <s v="HARI"/>
    <x v="8"/>
    <x v="3"/>
    <s v="7 656 Bangarugadda Bangarugadda Nalgonda SURYAPET TNG 508207"/>
    <s v="FAMOUS POULTRY BAZAAR 13 87 TAKA ROAD TAKA ROAD SURYAPET TNG 508207"/>
    <s v="SURYAPET"/>
    <x v="0"/>
    <x v="2"/>
    <s v="CHAITANYA"/>
    <n v="802555024"/>
    <s v="Ssde@9290"/>
    <m/>
    <m/>
    <x v="0"/>
    <m/>
    <m/>
    <x v="1"/>
    <d v="2022-09-12T00:00:00"/>
    <n v="759"/>
    <s v="Amazon Pay ICICI Bank Credit Card"/>
    <s v="1ST JULY"/>
    <s v="0000000024317978"/>
    <d v="2026-06-30T00:00:00"/>
  </r>
  <r>
    <s v="4315812654746007"/>
    <s v="MR Sirimella Rajesh"/>
    <n v="0"/>
    <x v="0"/>
    <m/>
    <m/>
    <m/>
    <s v="N"/>
    <x v="7"/>
    <s v="9866047532"/>
    <s v="X"/>
    <n v="8072.68"/>
    <n v="50000"/>
    <n v="58072.68"/>
    <s v=""/>
    <n v="58072.68"/>
    <n v="49947.91"/>
    <n v="20480"/>
    <n v="10590"/>
    <x v="0"/>
    <x v="0"/>
    <n v="0"/>
    <n v="10590"/>
    <x v="0"/>
    <s v="NA"/>
    <n v="0"/>
    <s v="HARI"/>
    <x v="5"/>
    <x v="3"/>
    <s v="HNO 17-5-204 warangal ursu karimabad karimabad WARANGAL TNG 506002"/>
    <s v="VANI VIDYANIKETAN HIGH SCHOOL &quot;SRR THOTA , KAREAMABAD WARANGAL&quot; &quot;SRR THOTA, KAREAMABAD, WARANGAL&quot; &quot;SRR THOTA, KAREAMABAD, WARANGAL&quot; WARANGAL TNG 506002"/>
    <s v="WARANGAL"/>
    <x v="0"/>
    <x v="20"/>
    <s v="KARUNAKAR"/>
    <n v="801264672"/>
    <s v="Ssd@9291"/>
    <m/>
    <m/>
    <x v="0"/>
    <s v="MESS"/>
    <s v="Visited Customer Residence Customer Not Available Inform To His Mother"/>
    <x v="14"/>
    <s v=""/>
    <n v="0"/>
    <s v="Amazon Pay ICICI Bank Credit Card"/>
    <s v="4TH JULY"/>
    <s v="0000000021380313"/>
    <d v="2026-06-30T00:00:00"/>
  </r>
  <r>
    <s v="4315815031512000"/>
    <s v="MR Valmiki Murali Krishna"/>
    <n v="0"/>
    <x v="0"/>
    <m/>
    <m/>
    <m/>
    <s v="N"/>
    <x v="7"/>
    <s v="9390511980"/>
    <s v="X"/>
    <n v="-2979.3499999999985"/>
    <n v="60000"/>
    <n v="57020.65"/>
    <s v=""/>
    <n v="57020.65"/>
    <n v="47251.48"/>
    <n v="14390"/>
    <n v="8300"/>
    <x v="1"/>
    <x v="2"/>
    <n v="8500"/>
    <n v="-200"/>
    <x v="18"/>
    <s v="TC"/>
    <s v="30501-BBPS Payment received"/>
    <s v="HARI"/>
    <x v="7"/>
    <x v="3"/>
    <s v="House.no.77.Singapore.Township Putlampalli ..Putlampalli Near rims hospital CUDDAPAH ANP 516002"/>
    <s v="RIMS 1.210 Siddalapuram.road. Siddalapuram.road. ANANTAPUR ANP 515701"/>
    <s v="CUDDAPAH"/>
    <x v="1"/>
    <x v="14"/>
    <s v="SIVARAU"/>
    <n v="801601134"/>
    <s v="Ssd@9290"/>
    <m/>
    <m/>
    <x v="0"/>
    <m/>
    <m/>
    <x v="1"/>
    <s v=""/>
    <n v="0"/>
    <s v="Amazon Pay ICICI Bank Credit Card"/>
    <s v="4TH JULY"/>
    <s v="0000000030408956"/>
    <d v="2026-06-30T00:00:00"/>
  </r>
  <r>
    <s v="4375516371827001"/>
    <s v="MR SAYAM BHARATH"/>
    <n v="0"/>
    <x v="0"/>
    <m/>
    <m/>
    <m/>
    <s v="N"/>
    <x v="7"/>
    <s v="9494560636"/>
    <s v="X"/>
    <n v="6807.1500000000015"/>
    <n v="50000"/>
    <n v="56807.15"/>
    <s v=""/>
    <n v="56807.15"/>
    <n v="48605.52"/>
    <n v="17910"/>
    <n v="5810"/>
    <x v="0"/>
    <x v="0"/>
    <n v="0"/>
    <n v="5810"/>
    <x v="0"/>
    <s v="NA"/>
    <s v="12111-ICICI BANK COLLECTION PAYMENT"/>
    <s v="HARI"/>
    <x v="8"/>
    <x v="3"/>
    <s v="NO 6 2 2 8 1 BALAJI NAGAR HYDERABAS ROAD JALGAON JALGAON Warangal TNG 506166"/>
    <s v="MAHINDRA AND MAHINDRA FIN SERVICES LTD 2 7 136 1ST FLOOR SRI RAJA RAJESHWAR COM JANGAON BUS STAND ROAD JANGAON BUS STAND ROAD Warangal TNG 506166"/>
    <s v="WARANGAL"/>
    <x v="0"/>
    <x v="20"/>
    <s v="KARUNAKAR"/>
    <n v="801264672"/>
    <s v="Ssd@9291"/>
    <m/>
    <m/>
    <x v="1"/>
    <m/>
    <m/>
    <x v="1"/>
    <d v="2026-05-02T00:00:00"/>
    <n v="25380"/>
    <s v="ICICI Bank Coral American Express Credit Card"/>
    <s v="4TH JULY"/>
    <s v="0000000010826905"/>
    <d v="2026-06-30T00:00:00"/>
  </r>
  <r>
    <s v="4315813912244009"/>
    <s v="MR Konkimalla Durga Prasad"/>
    <n v="0"/>
    <x v="0"/>
    <m/>
    <m/>
    <m/>
    <s v="N"/>
    <x v="7"/>
    <s v="9966601096"/>
    <s v="X"/>
    <n v="5959.4100000000035"/>
    <n v="50000"/>
    <n v="55959.41"/>
    <s v=""/>
    <n v="55959.41"/>
    <n v="47390.23"/>
    <n v="18760"/>
    <n v="9180"/>
    <x v="0"/>
    <x v="0"/>
    <n v="0"/>
    <n v="9180"/>
    <x v="0"/>
    <s v="NA"/>
    <n v="0"/>
    <s v="HARI"/>
    <x v="6"/>
    <x v="3"/>
    <s v="1.4.10 nazerpet durga.prasad.vari.veedhi oppossite zanda chettu VIJAYAWADA ANP 522201"/>
    <s v="TATA.CONSULTANCY.SERVICES.LIMITED 1.4.10 DURGA.PRASAD.VARI.STREET..NAZAR.PET DURGA.PRASAD.VARI.STREET..NAZAR.PET VIJAYAWADA ANP 522201"/>
    <s v="VIJAYAWADA"/>
    <x v="5"/>
    <x v="11"/>
    <s v="INAMUL"/>
    <n v="802823175"/>
    <s v="Sgr@9290"/>
    <m/>
    <m/>
    <x v="0"/>
    <s v="LIVE"/>
    <s v="VISITED CUSTOMER GIVEN HOUSE ADDRESS CUSTOMER LIVE RESPONDED ABOUT PAYMENT SAID THAT CALL BACK TOMORROW // Ch asking time to pay jobless"/>
    <x v="18"/>
    <d v="2024-06-29T00:00:00"/>
    <n v="48074.19"/>
    <s v="Amazon Pay ICICI Bank Credit Card"/>
    <s v="4TH JULY"/>
    <s v="0000000025964315"/>
    <d v="2026-06-30T00:00:00"/>
  </r>
  <r>
    <s v="4315812654533017"/>
    <s v="MR Pasham Prashanth"/>
    <n v="0"/>
    <x v="0"/>
    <m/>
    <m/>
    <m/>
    <s v="N"/>
    <x v="7"/>
    <s v="9885215856"/>
    <s v="X"/>
    <n v="-74092.47"/>
    <n v="130000"/>
    <n v="55907.53"/>
    <s v=""/>
    <n v="55907.53"/>
    <n v="47399"/>
    <n v="13140"/>
    <n v="7080"/>
    <x v="0"/>
    <x v="0"/>
    <n v="0"/>
    <n v="7080"/>
    <x v="0"/>
    <s v="NA"/>
    <n v="0"/>
    <s v="HARI"/>
    <x v="9"/>
    <x v="3"/>
    <s v="H.No 7-146 Mandal - Ramannapet Hanuman Nagar Yadadri. NALGONDA TNG 508113"/>
    <s v="POOJITHA AGRO INDUSTRY VANASTALIPURAM HYDERABAD HYDERABAD HYDERABAD TNG 500070"/>
    <s v="NALGONDA"/>
    <x v="0"/>
    <x v="17"/>
    <s v="PAVAN"/>
    <n v="802823180"/>
    <s v="Sgr@9290"/>
    <m/>
    <m/>
    <x v="1"/>
    <m/>
    <m/>
    <x v="1"/>
    <d v="2024-07-06T00:00:00"/>
    <n v="200"/>
    <s v="Amazon Pay ICICI Bank Credit Card"/>
    <s v="4TH JULY"/>
    <s v="0000000021379479"/>
    <d v="2026-06-30T00:00:00"/>
  </r>
  <r>
    <s v="4315815618682002"/>
    <s v="MR Gadivenuka Aravind Goud"/>
    <n v="0"/>
    <x v="0"/>
    <m/>
    <m/>
    <m/>
    <s v="N"/>
    <x v="7"/>
    <s v="9398525437"/>
    <s v="X"/>
    <n v="35821"/>
    <n v="20000"/>
    <n v="55821"/>
    <s v=""/>
    <n v="55821"/>
    <n v="48551"/>
    <n v="42820"/>
    <n v="34510"/>
    <x v="0"/>
    <x v="0"/>
    <n v="0"/>
    <n v="34510"/>
    <x v="0"/>
    <s v="NA"/>
    <n v="0"/>
    <s v="HARI"/>
    <x v="9"/>
    <x v="3"/>
    <s v="594 wargal.mandal nemtoor  MEDAK TNG 502334"/>
    <s v="LIFE.SLIMMING.AND.COSMETIC.PVT.LTD Hitech.City Hitechcity. Hitechcity. HYDERABAD TNG 500081"/>
    <s v="MEDAK"/>
    <x v="0"/>
    <x v="22"/>
    <s v="POORNIMA"/>
    <n v="802824019"/>
    <s v="Nihan@2421"/>
    <m/>
    <m/>
    <x v="1"/>
    <m/>
    <m/>
    <x v="1"/>
    <s v=""/>
    <n v="0"/>
    <s v="Amazon Pay ICICI Bank Credit Card"/>
    <s v="4TH JULY"/>
    <s v="0000000033257952"/>
    <d v="2026-06-30T00:00:00"/>
  </r>
  <r>
    <s v="4315815650333001"/>
    <s v="MR R Lakshman Rao"/>
    <n v="0"/>
    <x v="0"/>
    <m/>
    <m/>
    <m/>
    <s v="N"/>
    <x v="7"/>
    <s v="8978989759"/>
    <s v="X"/>
    <n v="5580.1200000000026"/>
    <n v="50000"/>
    <n v="55580.12"/>
    <s v=""/>
    <n v="55580.12"/>
    <n v="48663.03"/>
    <n v="16890"/>
    <n v="7150"/>
    <x v="0"/>
    <x v="0"/>
    <n v="0"/>
    <n v="7150"/>
    <x v="0"/>
    <s v="NA"/>
    <s v="30501-BBPS Payment received"/>
    <s v="HARI"/>
    <x v="6"/>
    <x v="3"/>
    <s v="111 Kallur Indiramma.Circle Kurnool KURNOOL ANP 518002"/>
    <s v="SRI.VENKATESHWARA.TRADERS 51.15A.26 Plot.no.7.baba.brundavan.nagar.Sbi.colon Plot.no.7.baba.brundavan.nagar.Sbi.colon KURNOOL ANP 518003"/>
    <s v="KURNOOL"/>
    <x v="1"/>
    <x v="18"/>
    <s v="SAMBA"/>
    <n v="801772794"/>
    <s v="Ssde@9876"/>
    <m/>
    <m/>
    <x v="0"/>
    <s v="LIVE"/>
    <s v="Customer address not tracout . Customer not responding for calls . Today evening 5 pm we will visit near his second address sir  // Customer given ptp today evening or tomorrow sir // Customer told that pay will done by his son . I have contacted his son he is in Hyderabad he told that he had just 3000 rupees he will adjust reaming amount &amp; he will pay today night sir"/>
    <x v="15"/>
    <s v=""/>
    <n v="0"/>
    <s v="Amazon Pay ICICI Bank Credit Card"/>
    <s v="4TH JULY"/>
    <s v="0000000033404644"/>
    <d v="2026-06-30T00:00:00"/>
  </r>
  <r>
    <s v="4315813537325001"/>
    <s v="MR KAPARTHI ANIRUDH"/>
    <n v="0"/>
    <x v="0"/>
    <m/>
    <m/>
    <m/>
    <s v="N"/>
    <x v="7"/>
    <s v="9652695455"/>
    <s v="X"/>
    <n v="5214.68"/>
    <n v="50000"/>
    <n v="55214.68"/>
    <s v=""/>
    <n v="55214.68"/>
    <n v="49433.82"/>
    <n v="14010"/>
    <n v="4160"/>
    <x v="1"/>
    <x v="1"/>
    <n v="14010"/>
    <n v="-9850"/>
    <x v="16"/>
    <s v="TC"/>
    <s v="30501-BBPS Payment received"/>
    <s v="HARI"/>
    <x v="8"/>
    <x v="3"/>
    <s v="10 8 129 GAJULPET    NIZAMABAD TNG 503001"/>
    <s v="IT America India Pvt Ltd A3  3rd Floor  Q2  Cyber Towers Hitech City Hitech City HYDERABAD TNG 500081"/>
    <s v="NIZAMABAD"/>
    <x v="0"/>
    <x v="9"/>
    <s v="D RAMU"/>
    <n v="802663344"/>
    <s v="Sgr@9290"/>
    <m/>
    <m/>
    <x v="0"/>
    <m/>
    <m/>
    <x v="1"/>
    <d v="2025-09-13T00:00:00"/>
    <n v="37609.17"/>
    <s v="Amazon Pay ICICI Bank Credit Card"/>
    <s v="1ST JULY"/>
    <s v="0000000024653623"/>
    <d v="2026-06-30T00:00:00"/>
  </r>
  <r>
    <s v="4315813389799006"/>
    <s v="MR Goda Hruday Venkatesh"/>
    <n v="0"/>
    <x v="0"/>
    <m/>
    <m/>
    <m/>
    <s v="N"/>
    <x v="7"/>
    <s v="8121710754"/>
    <s v="X"/>
    <n v="-44910.85"/>
    <n v="100000"/>
    <n v="55089.15"/>
    <s v=""/>
    <n v="55089.15"/>
    <n v="47494.02"/>
    <n v="10480"/>
    <n v="4360"/>
    <x v="1"/>
    <x v="1"/>
    <n v="15089"/>
    <n v="-10729"/>
    <x v="0"/>
    <s v="D"/>
    <s v="30501-BBPS Payment received"/>
    <s v="HARI"/>
    <x v="8"/>
    <x v="3"/>
    <s v="mc 453 Mallaram P V colony Near Singareni school KHAMMAM TNG 507125"/>
    <s v="CAPGEMINI TECHNOLOGY SERVICES INDIA LTD MC 453 PV COLONY MALLARAM NEAR SINGARENI HIGH SCHOOL MALLARAM NEAR SINGARENI HIGH SCHOOL KHAMMAM TNG 507125"/>
    <s v="KHAMMAM"/>
    <x v="0"/>
    <x v="27"/>
    <s v="POORNIMA"/>
    <n v="802824019"/>
    <s v="Nihan@2421"/>
    <m/>
    <m/>
    <x v="0"/>
    <m/>
    <m/>
    <x v="1"/>
    <d v="2024-03-11T00:00:00"/>
    <n v="6400"/>
    <s v="Amazon Pay ICICI Bank Credit Card"/>
    <s v="4TH JULY"/>
    <s v="0000000024170167"/>
    <d v="2026-06-30T00:00:00"/>
  </r>
  <r>
    <s v="4315814918149002"/>
    <s v="MR S MANOJ"/>
    <n v="0"/>
    <x v="0"/>
    <m/>
    <m/>
    <m/>
    <s v="N"/>
    <x v="7"/>
    <s v="7207301515"/>
    <s v="X"/>
    <n v="4652.7300000000032"/>
    <n v="50000"/>
    <n v="54652.73"/>
    <s v=""/>
    <n v="54652.73"/>
    <n v="46499"/>
    <n v="17070"/>
    <n v="7580"/>
    <x v="0"/>
    <x v="0"/>
    <n v="0"/>
    <n v="7580"/>
    <x v="0"/>
    <s v="NA"/>
    <n v="0"/>
    <s v="HARI"/>
    <x v="7"/>
    <x v="3"/>
    <s v="02.07.s3.120.1..Katikirangadi.Street Tirupati..Near.Balavinayakaswamy.Temple Tirupati..Urban. NEAR BALAVINAYAKASWAMI TEMPLE TIRUPATHI ANP 517501"/>
    <s v="S.V.WORKERS BESTS.STREET TIRUPATI. TIRUPATI. TIRUPATHI ANP 517501"/>
    <s v="TIRUPATHI"/>
    <x v="1"/>
    <x v="25"/>
    <s v="S SEKHAR"/>
    <n v="845041675"/>
    <s v="Ssd@9290"/>
    <m/>
    <m/>
    <x v="1"/>
    <m/>
    <m/>
    <x v="1"/>
    <d v="2024-12-30T00:00:00"/>
    <n v="50000"/>
    <s v="Amazon Pay ICICI Bank Credit Card"/>
    <s v="4TH JULY"/>
    <s v="0000000029953085"/>
    <d v="2026-06-30T00:00:00"/>
  </r>
  <r>
    <s v="4315814364882007"/>
    <s v="MR Vaddi Pamuleti"/>
    <n v="0"/>
    <x v="2"/>
    <n v="1"/>
    <s v="CC"/>
    <s v="ALREADY REMOVED CASE"/>
    <s v="N"/>
    <x v="7"/>
    <s v="9177348840"/>
    <s v="X"/>
    <n v="-45408.86"/>
    <n v="100000"/>
    <n v="54591.14"/>
    <n v="29099.68"/>
    <n v="25491.46"/>
    <n v="22618.22"/>
    <n v="15080"/>
    <n v="7550"/>
    <x v="0"/>
    <x v="0"/>
    <n v="0"/>
    <n v="7550"/>
    <x v="0"/>
    <s v="NA"/>
    <n v="0"/>
    <s v="HARI"/>
    <x v="5"/>
    <x v="3"/>
    <s v="3.258 Rameswaram Eswar.Reddy.Nagar Cuddapah PRODDATUR ANP 516360"/>
    <s v="GEMINI.JANAPATI ROOM.NO.196 VIVEKANANDA.CLOTH.MARKET..KORRPADU.RIAD VIVEKANANDA.CLOTH.MARKET..KORRPADU.RIAD PRODDATUR ANP 516360"/>
    <s v="PRODDATUR"/>
    <x v="1"/>
    <x v="15"/>
    <s v="VSSK PRASAD"/>
    <n v="802349062"/>
    <s v="Ssd@9290"/>
    <m/>
    <m/>
    <x v="1"/>
    <m/>
    <m/>
    <x v="1"/>
    <d v="2024-07-12T00:00:00"/>
    <n v="4000"/>
    <s v="Amazon Pay ICICI Bank Credit Card"/>
    <s v="4TH JULY"/>
    <s v="0000000027627965"/>
    <d v="2026-06-30T00:00:00"/>
  </r>
  <r>
    <s v="4315815585208005"/>
    <s v="MS C Soundarya"/>
    <n v="0"/>
    <x v="0"/>
    <m/>
    <m/>
    <m/>
    <s v="N"/>
    <x v="7"/>
    <s v="7386252112"/>
    <s v="X"/>
    <n v="4543.4499999999971"/>
    <n v="50000"/>
    <n v="54543.45"/>
    <n v="8248.51"/>
    <n v="46294.94"/>
    <n v="40978.89"/>
    <n v="18040"/>
    <n v="9140"/>
    <x v="0"/>
    <x v="0"/>
    <n v="0"/>
    <n v="9140"/>
    <x v="0"/>
    <s v="NA"/>
    <n v="0"/>
    <s v="HARI"/>
    <x v="6"/>
    <x v="3"/>
    <s v="3831 Greamspet Gandla.Street  CHITTOOR ANP 517002"/>
    <s v="SUN.LIFE.GLOBAL.SOLUTIONS.PRIVATE We.work.kalamandhir Marthalli.Bengaluru Marthalli.Bengaluru BANGALORE KAR 560037"/>
    <s v="CHITTOOR"/>
    <x v="1"/>
    <x v="42"/>
    <s v="SK MUJEEB"/>
    <n v="802175739"/>
    <s v="Ssd@9290"/>
    <m/>
    <m/>
    <x v="0"/>
    <s v="LIVE"/>
    <s v=" cm_x000a_Not available _x000a_Phone not respond"/>
    <x v="12"/>
    <d v="2025-12-12T00:00:00"/>
    <n v="2000"/>
    <s v="Amazon Pay ICICI Bank Credit Card"/>
    <s v="1ST JULY"/>
    <s v="0000000033095153"/>
    <d v="2026-06-30T00:00:00"/>
  </r>
  <r>
    <s v="4315813789860002"/>
    <s v="MR Vydadi Somaraju"/>
    <n v="0"/>
    <x v="0"/>
    <m/>
    <m/>
    <m/>
    <s v="N"/>
    <x v="7"/>
    <s v="7989770141"/>
    <s v="X"/>
    <n v="4089.1200000000026"/>
    <n v="50000"/>
    <n v="54089.120000000003"/>
    <n v="13116.25"/>
    <n v="40972.870000000003"/>
    <n v="37765.56"/>
    <n v="8930"/>
    <n v="3890"/>
    <x v="1"/>
    <x v="2"/>
    <n v="6000"/>
    <n v="-2110"/>
    <x v="16"/>
    <s v="TC"/>
    <s v="12124 - UPI Payment Received"/>
    <s v="HARI"/>
    <x v="9"/>
    <x v="3"/>
    <s v="1 4 031B Mettakuru Ramabai Nagar Puducherry KAKINADA ANP 533464"/>
    <s v="DURGA PRASAD KIRANA 1 4 031B RAMABAINAGAR YANAM RAMABAINAGAR YANAM KAKINADA ANP 533464"/>
    <s v="KAKINADA"/>
    <x v="4"/>
    <x v="28"/>
    <s v="B NAGABABU"/>
    <n v="801448854"/>
    <s v="Sgr@9290"/>
    <m/>
    <m/>
    <x v="0"/>
    <m/>
    <m/>
    <x v="1"/>
    <d v="2026-06-10T00:00:00"/>
    <n v="6000"/>
    <s v="Amazon Pay ICICI Bank Credit Card"/>
    <s v="1ST JULY"/>
    <s v="0000000025498411"/>
    <d v="2026-06-30T00:00:00"/>
  </r>
  <r>
    <s v="4315814968517009"/>
    <s v="MR BANALA SRIRAM"/>
    <n v="0"/>
    <x v="0"/>
    <m/>
    <m/>
    <m/>
    <s v="N"/>
    <x v="7"/>
    <s v="8186989732"/>
    <s v="X"/>
    <n v="6945.4000000000015"/>
    <n v="47000"/>
    <n v="53945.4"/>
    <s v=""/>
    <n v="53945.4"/>
    <n v="45471.67"/>
    <n v="19360"/>
    <n v="10100"/>
    <x v="0"/>
    <x v="0"/>
    <n v="0"/>
    <n v="10100"/>
    <x v="0"/>
    <s v="NA"/>
    <n v="0"/>
    <s v="HARI"/>
    <x v="4"/>
    <x v="3"/>
    <s v="6-47/1/5 ROAD NO 1 MANASA NAGAR ANJANAPURI COLONY SURYAPET TNG 508213"/>
    <s v="OPTUM GLOBAL SOLUTIONS INDIA PRIVATE LIM BUILDING NO 14 MINDSPACE RIADURG HYDERABAD TELANGANA HYDERABAD TELANGANA HYDERABAD TNG 500081"/>
    <s v="SURYAPET"/>
    <x v="0"/>
    <x v="2"/>
    <s v="CHAITANYA"/>
    <n v="802555024"/>
    <s v="Ssde@9290"/>
    <m/>
    <m/>
    <x v="1"/>
    <m/>
    <m/>
    <x v="1"/>
    <d v="2026-02-27T00:00:00"/>
    <n v="7850"/>
    <s v="Amazon Pay ICICI Bank Credit Card"/>
    <s v="4TH JULY"/>
    <s v="0000000030144475"/>
    <d v="2026-06-30T00:00:00"/>
  </r>
  <r>
    <s v="4315815594162003"/>
    <s v="MS Bada Naga Mani"/>
    <n v="0"/>
    <x v="0"/>
    <m/>
    <m/>
    <m/>
    <s v="O"/>
    <x v="7"/>
    <s v="7569374336"/>
    <s v="X"/>
    <n v="3920.1999999999971"/>
    <n v="50000"/>
    <n v="53920.2"/>
    <s v=""/>
    <n v="53920.2"/>
    <n v="49985.89"/>
    <n v="16570"/>
    <n v="8780"/>
    <x v="1"/>
    <x v="2"/>
    <n v="8800"/>
    <n v="-20"/>
    <x v="19"/>
    <s v="TC"/>
    <s v="30501-BBPS Payment received"/>
    <s v="HARI"/>
    <x v="9"/>
    <x v="3"/>
    <s v=".. Ananthavarappadu.. VATTICHERUKURU  GUNTUR ANP 522017"/>
    <s v="VENKATA.RAJESH.POULTRY.FRAMS Ananthavarapaddu Poultry.frams. Poultry.frams. GUNTUR ANP 522017"/>
    <s v="GUNTUR"/>
    <x v="5"/>
    <x v="11"/>
    <s v="INAMUL"/>
    <n v="802823175"/>
    <s v="Sgr@9290"/>
    <m/>
    <m/>
    <x v="0"/>
    <s v="SKIP"/>
    <s v="Customer given House address and working address visited but customer not available shifted from this address confirmed by neighbour's and told new address want to revist for new working address customer calls not answering // Customer new working address visited customer live waiting for customer // Customer new working address visited customer live given PTP tomorrow // "/>
    <x v="18"/>
    <d v="2026-01-11T00:00:00"/>
    <n v="3900"/>
    <s v="Amazon Pay ICICI Bank Credit Card"/>
    <s v="1ST JULY"/>
    <s v="0000000033141105"/>
    <d v="2026-06-30T00:00:00"/>
  </r>
  <r>
    <s v="4315814298411006"/>
    <s v="MR Batthula Ajay Paul"/>
    <n v="0"/>
    <x v="0"/>
    <m/>
    <m/>
    <m/>
    <s v="N"/>
    <x v="7"/>
    <s v="9160411844"/>
    <s v="X"/>
    <n v="2942.0699999999997"/>
    <n v="50000"/>
    <n v="52942.07"/>
    <n v="28673.14"/>
    <n v="24268.93"/>
    <n v="21057.06"/>
    <n v="12190"/>
    <n v="5120"/>
    <x v="1"/>
    <x v="2"/>
    <n v="5120"/>
    <n v="0"/>
    <x v="20"/>
    <s v="FE"/>
    <s v="30501-BBPS Payment received"/>
    <s v="HARI"/>
    <x v="6"/>
    <x v="3"/>
    <s v="20c.1.14.bosu.bomma.road.gandhi.nagar 20c.1.14.bosu.bomma.road.gandhi.nagar ..20c.1.14.bosu.bomma.road.gandhi.nagar West Godavari ELURU ANP 534001"/>
    <s v="BETHANY.ENTERPRICES POWERPETA.RAILWAY.GATE KANKANALAVARI.STREET. KANKANALAVARI.STREET. ELURU ANP 534002"/>
    <s v="ELURU"/>
    <x v="4"/>
    <x v="32"/>
    <s v="BHARAT CHANDRA"/>
    <n v="802631601"/>
    <s v="Ssde@9290"/>
    <m/>
    <m/>
    <x v="0"/>
    <s v="LIVE"/>
    <s v="Cmr hse address cmr meet sir cmr some time sir // Customer house address cmr ptp sir // Remark Customer Phone Not Answer Customer Out Of Station Inform To Customer Father Sir"/>
    <x v="17"/>
    <d v="2026-05-01T00:00:00"/>
    <n v="1"/>
    <s v="Amazon Pay ICICI Bank Credit Card"/>
    <s v="1ST JULY"/>
    <s v="0000000027420153"/>
    <d v="2026-06-30T00:00:00"/>
  </r>
  <r>
    <s v="4315814815629007"/>
    <s v="MR Pyapili Ram Kumar"/>
    <n v="0"/>
    <x v="0"/>
    <m/>
    <m/>
    <m/>
    <s v="N"/>
    <x v="7"/>
    <s v="9032497340"/>
    <s v="X"/>
    <n v="-47401.919999999998"/>
    <n v="100000"/>
    <n v="52598.080000000002"/>
    <s v=""/>
    <n v="52598.080000000002"/>
    <n v="45131.8"/>
    <n v="14700"/>
    <n v="9270"/>
    <x v="1"/>
    <x v="1"/>
    <n v="52598.080000000002"/>
    <n v="-43328.08"/>
    <x v="16"/>
    <s v="FE"/>
    <s v="30501-BBPS Payment received"/>
    <s v="HARI"/>
    <x v="7"/>
    <x v="3"/>
    <s v="10.11 Rasal.Dar.Street ..Rasal.Dar.Street Near Masoom Basha Dargh KURNOOL ANP 518001"/>
    <s v="NS.TECHNOSOFT 3RD.FLOOR.VIPRAS.ELITE.PATRIKA.NAGAR. HITECH.CITY.. HITECH.CITY.. HYDERABAD TNG 500072"/>
    <s v="KURNOOL"/>
    <x v="1"/>
    <x v="18"/>
    <s v="SAMBA"/>
    <n v="801772794"/>
    <s v="Ssde@9876"/>
    <m/>
    <m/>
    <x v="0"/>
    <s v="LIVE"/>
    <s v="Customer had paid 3000 rupees .not share screenshot. We have seen in his phone ."/>
    <x v="12"/>
    <d v="2024-12-09T00:00:00"/>
    <n v="700"/>
    <s v="Amazon Pay ICICI Bank Credit Card"/>
    <s v="4TH JULY"/>
    <s v="0000000029452216"/>
    <d v="2026-06-30T00:00:00"/>
  </r>
  <r>
    <s v="4315814536823004"/>
    <s v="MR Pasupuleti Mohan Teja"/>
    <n v="0"/>
    <x v="0"/>
    <m/>
    <m/>
    <m/>
    <s v="O"/>
    <x v="7"/>
    <s v="9629668688"/>
    <s v="X"/>
    <n v="-17547.39"/>
    <n v="70000"/>
    <n v="52452.61"/>
    <s v=""/>
    <n v="52452.61"/>
    <n v="45755.6"/>
    <n v="11570"/>
    <n v="5650"/>
    <x v="0"/>
    <x v="0"/>
    <n v="0"/>
    <n v="5650"/>
    <x v="0"/>
    <s v="NA"/>
    <n v="0"/>
    <s v="HARI"/>
    <x v="8"/>
    <x v="3"/>
    <s v="16.2.24.3 POORNANANDAM.PETA LAKSHMANA.RAO.STREET Krishna VIJAYAWADA ANP 520003"/>
    <s v="LORRY.OFFICE 16.2.24.3.PURNANANDAMPET LAXMANA.RAO.STREET. LAXMANA.RAO.STREET. VIJAYAWADA ANP 520003"/>
    <s v="VIJAYAWADA"/>
    <x v="3"/>
    <x v="46"/>
    <s v="SUDHAKAR"/>
    <n v="802913252"/>
    <s v="Ssd@9290"/>
    <m/>
    <m/>
    <x v="0"/>
    <s v="LIVE"/>
    <s v="Cus house visited.cus live.discussed about the payment.willing to pay tomorrow eod"/>
    <x v="16"/>
    <d v="2025-06-30T00:00:00"/>
    <n v="49998"/>
    <s v="Amazon Pay ICICI Bank Credit Card"/>
    <s v="1ST JULY"/>
    <s v="0000000028337995"/>
    <d v="2026-06-30T00:00:00"/>
  </r>
  <r>
    <s v="4315815513799000"/>
    <s v="MS SIVALA PRASANNA"/>
    <n v="0"/>
    <x v="0"/>
    <m/>
    <m/>
    <m/>
    <s v="N"/>
    <x v="7"/>
    <s v="7794045027"/>
    <s v="X"/>
    <n v="2074.7099999999991"/>
    <n v="50000"/>
    <n v="52074.71"/>
    <s v=""/>
    <n v="52074.71"/>
    <n v="47519.17"/>
    <n v="14080"/>
    <n v="6160"/>
    <x v="0"/>
    <x v="0"/>
    <n v="0"/>
    <n v="6160"/>
    <x v="0"/>
    <s v="NA"/>
    <s v="30501-BBPS Payment received"/>
    <s v="HARI"/>
    <x v="4"/>
    <x v="3"/>
    <s v="&quot;11-28,BOMMAKAPALLI,BOMMAKAPALLI,,PEDDA T&quot; HIPPASAMUDRAM  NEAR SACHIVALAYAM CHITTOOR ANP 517391"/>
    <s v="ICICI BANK LIMITED &quot;7-419/1 NGO COLONY,&quot; NEAR NALLA RATHIMEDDE KADAPA NEAR NALLA RATHIMEDDE KADAPA CUDDAPAH ANP 516002"/>
    <s v="CUDDAPAH"/>
    <x v="1"/>
    <x v="22"/>
    <s v="POORNIMA"/>
    <n v="802824019"/>
    <s v="Nihan@2421"/>
    <m/>
    <m/>
    <x v="1"/>
    <m/>
    <m/>
    <x v="1"/>
    <s v=""/>
    <n v="0"/>
    <s v="Amazon Pay ICICI Bank Credit Card"/>
    <s v="4TH JULY"/>
    <s v="0000000032748751"/>
    <d v="2026-06-30T00:00:00"/>
  </r>
  <r>
    <s v="4315812976597005"/>
    <s v="MR Golla Sarat Kumar"/>
    <n v="0"/>
    <x v="0"/>
    <m/>
    <m/>
    <m/>
    <s v="O"/>
    <x v="7"/>
    <s v="9490497801"/>
    <s v="X"/>
    <n v="1400.239999999998"/>
    <n v="50000"/>
    <n v="51400.24"/>
    <s v=""/>
    <n v="51400.24"/>
    <n v="47163.839999999997"/>
    <n v="12270"/>
    <n v="5330"/>
    <x v="0"/>
    <x v="0"/>
    <n v="0"/>
    <n v="5330"/>
    <x v="0"/>
    <s v="NA"/>
    <n v="0"/>
    <s v="HARI"/>
    <x v="7"/>
    <x v="3"/>
    <s v="VENKAYYA NAIDU STREET BESIDE SBI MAIN BRANCH RKS ROSEMILK MSS PLAZA BHIMAVARAM BHIMAVARAM ANP 534201"/>
    <s v="INVENTURUS KNOWLEDGE SOLUTIONS &quot;IKS HEALTH PVT LTD, BLOCK-1&quot; &quot;11TH FLOOR, UPPAL MAIN RD,UPPAL DIST, HY&quot; &quot;11TH FLOOR, UPPAL MAIN RD,UPPAL DIST, HY&quot; HYDERABAD TNG 500039"/>
    <s v="BHIMAVARAM"/>
    <x v="4"/>
    <x v="26"/>
    <s v="B NAGABABU"/>
    <n v="801448854"/>
    <s v="Sgr@9290"/>
    <m/>
    <m/>
    <x v="0"/>
    <s v="LIVE"/>
    <s v="mr not living inthis address, cmr answered call and given ptp on 4 th of this month"/>
    <x v="6"/>
    <d v="2024-08-01T00:00:00"/>
    <n v="6000"/>
    <s v="Amazon Pay ICICI Bank Credit Card"/>
    <s v="1ST JULY"/>
    <s v="0000000022419881"/>
    <d v="2026-06-30T00:00:00"/>
  </r>
  <r>
    <s v="4315813108212000"/>
    <s v="MR Basava Naveen Kumar"/>
    <n v="0"/>
    <x v="0"/>
    <m/>
    <m/>
    <m/>
    <s v="N"/>
    <x v="7"/>
    <s v="9160608085"/>
    <s v="X"/>
    <n v="-69946.320000000007"/>
    <n v="120000"/>
    <n v="50053.68"/>
    <n v="33964.61"/>
    <n v="16089.07"/>
    <n v="12894"/>
    <n v="16089.07"/>
    <n v="7228.63"/>
    <x v="1"/>
    <x v="1"/>
    <n v="16089.07"/>
    <n v="-8860.4399999999987"/>
    <x v="14"/>
    <s v="TC"/>
    <s v="12101-INFINITY PYMT RCVD"/>
    <s v="HARI"/>
    <x v="5"/>
    <x v="3"/>
    <s v="11-689 Edulapuram &quot;Road No-8, T N G O S Colony&quot; Karunagiri Church KHAMMAM TNG 507003"/>
    <s v="MEGHA MEAT MARKET REDDIPALL MAIN ROAD MAIN ROAD KHAMMAM TNG 507003"/>
    <s v="KHAMMAM"/>
    <x v="0"/>
    <x v="2"/>
    <s v="CHAITANYA"/>
    <n v="802555024"/>
    <s v="Ssde@9290"/>
    <m/>
    <m/>
    <x v="0"/>
    <m/>
    <m/>
    <x v="1"/>
    <d v="2026-05-01T00:00:00"/>
    <n v="19072"/>
    <s v="Amazon Pay ICICI Bank Credit Card"/>
    <s v="1ST JULY"/>
    <s v="0000000023005944"/>
    <d v="2026-06-30T00:00:00"/>
  </r>
  <r>
    <s v="4035625838039001"/>
    <s v="MR BANDARU REDDY"/>
    <s v="RTP"/>
    <x v="0"/>
    <n v="1"/>
    <m/>
    <m/>
    <s v="O"/>
    <x v="8"/>
    <s v="9505379508"/>
    <s v="X"/>
    <n v="7990.320000000007"/>
    <n v="153000"/>
    <n v="160990.32"/>
    <s v=""/>
    <n v="160990.32"/>
    <n v="146112.46"/>
    <n v="45400"/>
    <n v="22710"/>
    <x v="0"/>
    <x v="0"/>
    <n v="0"/>
    <n v="22710"/>
    <x v="0"/>
    <s v="NA"/>
    <n v="0"/>
    <s v="SAMBA"/>
    <x v="11"/>
    <x v="3"/>
    <s v="&quot;2-5,GADDAMPALLE,GADDAMPALLE,GADDAMPALLE&quot;    MAHABUB NAGAR TNG 509385 "/>
    <s v="&quot;2-5,GADDAMPALLE,GADDAMPALLE,GADDAMPALLE&quot;    MAHABUB NAGAR TNG 509385 "/>
    <s v="WANAPARTHY"/>
    <x v="0"/>
    <x v="19"/>
    <s v="SAMBA"/>
    <n v="801772794"/>
    <s v="Ssde@9876"/>
    <m/>
    <m/>
    <x v="1"/>
    <m/>
    <m/>
    <x v="1"/>
    <d v="2026-06-12T00:00:00"/>
    <n v="8500"/>
    <s v="ICICI Bank Instant  Platinum Chip Credit Card"/>
    <s v="4TH JULY"/>
    <s v="0000000034255315"/>
    <d v="2026-07-02T00:00:00"/>
  </r>
  <r>
    <s v="5241933733522007"/>
    <s v="MR MOHAMMAD ZULFAQAR"/>
    <n v="0"/>
    <x v="0"/>
    <m/>
    <m/>
    <m/>
    <s v="N"/>
    <x v="8"/>
    <s v="9000060783"/>
    <s v="X"/>
    <n v="-87521.12"/>
    <n v="230000"/>
    <n v="142478.88"/>
    <s v=""/>
    <n v="142478.88"/>
    <n v="129567.5"/>
    <n v="23290"/>
    <n v="4100"/>
    <x v="0"/>
    <x v="0"/>
    <n v="0"/>
    <n v="4100"/>
    <x v="0"/>
    <s v="NA"/>
    <n v="0"/>
    <s v="SAMBA"/>
    <x v="2"/>
    <x v="3"/>
    <s v="H NO 4XXXXXX GAJULAXXXXXXXXXXXXXXXXXXXXXXX  NR GOVT AREA HOSPITAL Khammam TNG 507101"/>
    <s v="RISNIGXXXXXXXXXX M G ROXXXXXXXXXXXXX   Khammam TNG 507101"/>
    <s v="KHAMMAM"/>
    <x v="0"/>
    <x v="27"/>
    <s v="POORNIMA"/>
    <n v="802824019"/>
    <s v="Nihan@2421"/>
    <m/>
    <m/>
    <x v="0"/>
    <s v="SKIP"/>
    <s v=" customer sold this house shifted to Hyderabad call not responding"/>
    <x v="18"/>
    <d v="2026-04-01T00:00:00"/>
    <n v="50116.82"/>
    <s v="ICICI Bank MasterCard Coral Credit Card"/>
    <s v="4TH JULY"/>
    <s v="0000000012634733"/>
    <d v="2026-07-02T00:00:00"/>
  </r>
  <r>
    <s v="4035625827765004"/>
    <s v="MS JANNU SWARUPA"/>
    <n v="0"/>
    <x v="0"/>
    <m/>
    <m/>
    <m/>
    <s v="N"/>
    <x v="8"/>
    <s v="9573911737"/>
    <s v="X"/>
    <n v="9124.7700000000041"/>
    <n v="90000"/>
    <n v="99124.77"/>
    <s v=""/>
    <n v="99124.77"/>
    <n v="89997"/>
    <n v="26580"/>
    <n v="4500"/>
    <x v="0"/>
    <x v="0"/>
    <n v="0"/>
    <n v="4500"/>
    <x v="0"/>
    <s v="NA"/>
    <n v="0"/>
    <s v="SAMBA"/>
    <x v="0"/>
    <x v="3"/>
    <s v="&quot;5-244,XXXXXXXXXX&quot;    KARIMNAGAR TNG 505101"/>
    <s v="&quot;5-244,XXXXXXXXXX&quot;    KARIMNAGAR TNG 505101"/>
    <s v="PEDDAPALLI"/>
    <x v="0"/>
    <x v="39"/>
    <s v="POORNIMA"/>
    <n v="802824019"/>
    <s v="Nihan@2421"/>
    <m/>
    <m/>
    <x v="1"/>
    <m/>
    <m/>
    <x v="1"/>
    <s v=""/>
    <n v="0"/>
    <s v="ICICI Bank Instant  Platinum Chip Credit Card"/>
    <s v="4TH JULY"/>
    <s v="0000000033725684"/>
    <d v="2026-07-02T00:00:00"/>
  </r>
  <r>
    <s v="4035625076499008"/>
    <s v="MRS SATALA NAGAMANI"/>
    <n v="0"/>
    <x v="0"/>
    <m/>
    <m/>
    <m/>
    <s v="N"/>
    <x v="8"/>
    <s v="8074597652"/>
    <s v="X"/>
    <n v="4853.1999999999971"/>
    <n v="90000"/>
    <n v="94853.2"/>
    <n v="10548.81"/>
    <n v="84304.39"/>
    <n v="73201.039999999994"/>
    <n v="44100"/>
    <n v="21280"/>
    <x v="0"/>
    <x v="0"/>
    <n v="0"/>
    <n v="21280"/>
    <x v="0"/>
    <s v="NA"/>
    <s v="12111-ICICI BANK COLLECTION PAYMENT"/>
    <s v="SAMBA"/>
    <x v="3"/>
    <x v="3"/>
    <s v="3-209/XXXXXXXXXXXXXXXXXXXXXXXXXXXXXXXXXXX SCHOOLXXXXXXXXXXXXXXXXXXXXX   NALGONDA TNG 508206"/>
    <s v="3-209/XXXXXXXXXXXXXXXXXXXXXXXXXXXXXXXXXXX SCHOOLXXXXXXXXXXXXXXXXXXXXX   NALGONDA TNG 508206"/>
    <s v="SURYAPET"/>
    <x v="0"/>
    <x v="2"/>
    <s v="CHAITANYA"/>
    <n v="802555024"/>
    <s v="Ssde@9290"/>
    <m/>
    <m/>
    <x v="0"/>
    <s v="SKIP"/>
    <s v="I have Visited Customer given house address customer not available found house locked enquired rented ppl about customer saying that from past 2-3 weeks Customer is in Hyderabad yashoda hospital his husband met with an accident customer call not answering customer mother mobile num_x000a_8985535231 // ReVisited Customer given house address customer not available found house locked enquired rented ppl about customer saying that from past 2-3 weeks Customer is in Hyderabad yashoda hospital his husband met with an accident customer call not answering customer mother mobile num"/>
    <x v="20"/>
    <d v="2025-11-29T00:00:00"/>
    <n v="56390"/>
    <s v="ICICI Bank Instant  Platinum Chip Credit Card"/>
    <s v="4TH JULY"/>
    <s v="0000000020225976"/>
    <d v="2026-07-02T00:00:00"/>
  </r>
  <r>
    <s v="4035625829849004"/>
    <s v="MR MODDUNAGALLA RAVINDRA"/>
    <s v="RTP"/>
    <x v="0"/>
    <n v="1"/>
    <m/>
    <m/>
    <s v="O"/>
    <x v="8"/>
    <s v="9739959847"/>
    <s v="X"/>
    <n v="4832.8000000000029"/>
    <n v="90000"/>
    <n v="94832.8"/>
    <n v="18925.03"/>
    <n v="75907.77"/>
    <n v="70350.5"/>
    <n v="38090"/>
    <n v="25650"/>
    <x v="0"/>
    <x v="0"/>
    <n v="0"/>
    <n v="25650"/>
    <x v="0"/>
    <s v="NA"/>
    <n v="0"/>
    <s v="SAMBA"/>
    <x v="2"/>
    <x v="3"/>
    <s v="&quot;2/32-B,MUCH MARRI,MUCHHU MARRI&quot;    CUDDAPAH ANP 516444 "/>
    <s v="&quot;2/32-B,MUCH MARRI,MUCHHU MARRI&quot;    CUDDAPAH ANP 516444 "/>
    <s v="PRODDATUR"/>
    <x v="1"/>
    <x v="15"/>
    <s v="VSSK PRASAD"/>
    <n v="802349062"/>
    <s v="Ssd@9290"/>
    <m/>
    <m/>
    <x v="1"/>
    <m/>
    <m/>
    <x v="1"/>
    <d v="2026-06-10T00:00:00"/>
    <n v="5320"/>
    <s v="ICICI Bank Instant  Platinum Chip Credit Card"/>
    <s v="4TH JULY"/>
    <s v="0000000033824016"/>
    <d v="2026-07-02T00:00:00"/>
  </r>
  <r>
    <s v="4035625701305000"/>
    <s v="MR PASUPULETI SIVA"/>
    <n v="0"/>
    <x v="0"/>
    <m/>
    <m/>
    <m/>
    <s v="N"/>
    <x v="8"/>
    <s v="9666460587"/>
    <s v="X"/>
    <n v="4736.6900000000023"/>
    <n v="90000"/>
    <n v="94736.69"/>
    <s v=""/>
    <n v="94736.69"/>
    <n v="88005.87"/>
    <n v="14900"/>
    <n v="3500"/>
    <x v="1"/>
    <x v="1"/>
    <n v="10000"/>
    <n v="-6500"/>
    <x v="22"/>
    <s v="TC"/>
    <s v="30501-BBPS Payment received"/>
    <s v="SAMBA"/>
    <x v="11"/>
    <x v="3"/>
    <s v="&quot;5-28,AXXXXXXXXXXXXXXXXXXXXXXXXXXXXXXXXXXX&quot; KARAKUXXXX   EAST GODAVARI ANP 533006"/>
    <s v="&quot;5-28,AXXXXXXXXXXXXXXXXXXXXXXXXXXXXXXXXXXX&quot; KARAKUXXXX   EAST GODAVARI ANP 533006"/>
    <s v="KAKINADA"/>
    <x v="4"/>
    <x v="23"/>
    <s v="UDAY"/>
    <n v="801436997"/>
    <s v="Ssd@9290"/>
    <m/>
    <m/>
    <x v="0"/>
    <s v="DL"/>
    <s v="Customer address visit customer not available door lock call response ptp on Friday sir"/>
    <x v="15"/>
    <d v="2025-05-25T00:00:00"/>
    <n v="16295.75"/>
    <s v="ICICI Bank Instant  Platinum Chip Credit Card"/>
    <s v="4TH JULY"/>
    <s v="0000000028609726"/>
    <d v="2026-07-02T00:00:00"/>
  </r>
  <r>
    <s v="4315815041367015"/>
    <s v="MR Kavuru Rajasekhar"/>
    <n v="0"/>
    <x v="0"/>
    <m/>
    <m/>
    <m/>
    <s v="N"/>
    <x v="8"/>
    <s v="7893218492"/>
    <s v="X"/>
    <n v="9125.1999999999971"/>
    <n v="70000"/>
    <n v="79125.2"/>
    <s v=""/>
    <n v="79125.2"/>
    <n v="69914.5"/>
    <n v="24510"/>
    <n v="11910"/>
    <x v="1"/>
    <x v="1"/>
    <n v="79125.2"/>
    <n v="-67215.199999999997"/>
    <x v="0"/>
    <s v="D"/>
    <s v="30501-BBPS Payment received"/>
    <s v="SAMBA"/>
    <x v="2"/>
    <x v="3"/>
    <s v="1.133.X NarasaXXXXX Mallipudi.vari.Meraka lakshmaneswaram BHIMAVARAM ANP 534275"/>
    <s v="LUMINOXXXXXXXXXXXXXXXXXXXXXXXXXXXXX MALLIPXXXXXXXXXX Lakshmaneswaram. Lakshmaneswaram. BHIMAVARAM ANP 534275"/>
    <s v="BHIMAVARAM"/>
    <x v="4"/>
    <x v="26"/>
    <s v="B NAGABABU"/>
    <n v="801448854"/>
    <s v="Sgr@9290"/>
    <m/>
    <m/>
    <x v="0"/>
    <m/>
    <m/>
    <x v="1"/>
    <d v="2024-09-01T00:00:00"/>
    <n v="1031"/>
    <s v="Amazon Pay ICICI Bank Credit Card"/>
    <s v="4TH JULY"/>
    <s v="0000000030447975"/>
    <d v="2026-07-02T00:00:00"/>
  </r>
  <r>
    <s v="6528682308786008"/>
    <s v="MR Kalluri Suresh"/>
    <n v="0"/>
    <x v="0"/>
    <m/>
    <m/>
    <m/>
    <s v="N"/>
    <x v="8"/>
    <s v="9014544235"/>
    <s v="X"/>
    <n v="-24337.14"/>
    <n v="100000"/>
    <n v="75662.86"/>
    <s v=""/>
    <n v="75662.86"/>
    <n v="66407.05"/>
    <n v="13390"/>
    <n v="5460"/>
    <x v="1"/>
    <x v="2"/>
    <n v="5500"/>
    <n v="-40"/>
    <x v="19"/>
    <s v="FE"/>
    <s v="30501-BBPS Payment received"/>
    <s v="SAMBA"/>
    <x v="3"/>
    <x v="3"/>
    <s v="KAKANIXXXXXXXXXXX KAKANIXXXXXXXXXXX ..KAKANI.VARI.PALEM Guntur NARASAPURAM ANP 522614"/>
    <s v="SQUAREXXXXXXXXXXXXXXXXXX 4TH.FLXXXXXXXXXXX WHITE.HOUSE.BUILDING. WHITE.HOUSE.BUILDING. HYDERABAD TNG 500016"/>
    <s v="NARASARAOPET"/>
    <x v="5"/>
    <x v="40"/>
    <s v="DURGA"/>
    <n v="801723195"/>
    <s v="Sgr@9290"/>
    <m/>
    <m/>
    <x v="0"/>
    <m/>
    <m/>
    <x v="1"/>
    <s v=""/>
    <n v="0"/>
    <s v="ICICI Bank Coral RuPay Credit Card"/>
    <s v="4TH JULY"/>
    <s v="0000000033072995"/>
    <d v="2026-07-02T00:00:00"/>
  </r>
  <r>
    <s v="4315812373259001"/>
    <s v="MR DAGGUPATI NARSIMHA"/>
    <n v="0"/>
    <x v="0"/>
    <m/>
    <m/>
    <m/>
    <s v="N"/>
    <x v="8"/>
    <s v="7702207906"/>
    <s v="X"/>
    <n v="-8077.1900000000023"/>
    <n v="80000"/>
    <n v="71922.81"/>
    <n v="18433.669999999998"/>
    <n v="53489.14"/>
    <n v="48758.26"/>
    <n v="15950"/>
    <n v="5254.93"/>
    <x v="1"/>
    <x v="1"/>
    <n v="53489.14"/>
    <n v="-48234.21"/>
    <x v="13"/>
    <s v="TC"/>
    <s v="30501-BBPS Payment received"/>
    <s v="SAMBA"/>
    <x v="0"/>
    <x v="3"/>
    <s v="&quot;3-182,XXXXXXXXXXXXXXXXXXXXXXXXXXXXXXX&quot; PEDDAVXXXXXXXXXXXXXXX   SURYAPET TNG 508204"/>
    <s v="Owner XXXXXXXXXXXXX 3-182 XXXXXXXXXXXXXXX MATTAMPALLY mandalam MATTAMPALLY mandalam SURYAPET TNG 508204"/>
    <s v="SURYAPET"/>
    <x v="0"/>
    <x v="21"/>
    <s v="PAVAN"/>
    <n v="802823180"/>
    <s v="Sgr@9290"/>
    <m/>
    <m/>
    <x v="0"/>
    <m/>
    <m/>
    <x v="1"/>
    <d v="2025-07-29T00:00:00"/>
    <n v="58557.37"/>
    <s v="Amazon Pay ICICI Bank Credit Card"/>
    <s v="4TH JULY"/>
    <s v="0000000020725576"/>
    <d v="2026-07-02T00:00:00"/>
  </r>
  <r>
    <s v="4035627878007005"/>
    <s v="MR BHUKYA SIDDU BHUKYA SIDDU SRI INDRA"/>
    <n v="0"/>
    <x v="0"/>
    <m/>
    <m/>
    <m/>
    <s v="N"/>
    <x v="8"/>
    <s v="9555959559"/>
    <s v="X"/>
    <n v="3787.260000000002"/>
    <n v="60000"/>
    <n v="63787.26"/>
    <s v=""/>
    <n v="63787.26"/>
    <n v="56490"/>
    <n v="21250"/>
    <n v="10960"/>
    <x v="0"/>
    <x v="0"/>
    <n v="0"/>
    <n v="10960"/>
    <x v="0"/>
    <s v="NA"/>
    <n v="0"/>
    <s v="SAMBA"/>
    <x v="11"/>
    <x v="3"/>
    <s v="&quot;1-155,XXXXXXXXXXXXXXXXXXXXXXXXXXXXX&quot;    WARANGAL TNG 506349"/>
    <s v="      "/>
    <s v="WARANGAL"/>
    <x v="0"/>
    <x v="0"/>
    <s v="AKHIL"/>
    <n v="801772792"/>
    <s v="Sgr@9290"/>
    <m/>
    <m/>
    <x v="1"/>
    <m/>
    <m/>
    <x v="1"/>
    <d v="2025-09-09T00:00:00"/>
    <n v="56291.49"/>
    <s v="ICICI Bank Coral RuPay Credit Card"/>
    <s v="4TH JULY"/>
    <s v="0000000032359265"/>
    <d v="2026-07-02T00:00:00"/>
  </r>
  <r>
    <s v="4035625833710002"/>
    <s v="MR. Raghu  Raghu Ram"/>
    <n v="0"/>
    <x v="0"/>
    <m/>
    <m/>
    <s v="CUSTOMER MOBILE RINGING NOT ANSWERING"/>
    <s v="N"/>
    <x v="8"/>
    <s v="9581758358"/>
    <s v="X"/>
    <n v="5154.2099999999991"/>
    <n v="45000"/>
    <n v="50154.21"/>
    <s v=""/>
    <n v="50154.21"/>
    <n v="44671.26"/>
    <n v="13220"/>
    <n v="4500"/>
    <x v="0"/>
    <x v="0"/>
    <n v="0"/>
    <n v="4500"/>
    <x v="0"/>
    <s v="NA"/>
    <n v="0"/>
    <s v="SAMBA"/>
    <x v="2"/>
    <x v="3"/>
    <s v="3-361-XXXXXXXXXXXXXXXXXXXXXXXXXXXXXXXXX    ANANTAPUR ANP 515001"/>
    <s v="3-361-XXXXXXXXXXXXXXXXXXXXXXXXXXXXXXXXX    ANANTAPUR ANP 515001"/>
    <s v="ANAPARTHI"/>
    <x v="1"/>
    <x v="12"/>
    <s v="POORNIMA"/>
    <n v="802824019"/>
    <s v="Nihan@2421"/>
    <m/>
    <m/>
    <x v="0"/>
    <s v="SKIP"/>
    <s v="ustomer house shifted _x000a_Customer calls not responding // Customer house shifted _x000a_Customer calls not responding"/>
    <x v="21"/>
    <d v="2026-04-14T00:00:00"/>
    <n v="20000"/>
    <s v="ICICI Bank Instant  Platinum Chip Credit Card"/>
    <s v="4TH JULY"/>
    <s v="0000000034030597"/>
    <d v="2026-07-02T00:00:00"/>
  </r>
  <r>
    <s v="5241939247964015"/>
    <s v="Mr M A IMTIYAZ"/>
    <n v="0"/>
    <x v="0"/>
    <m/>
    <m/>
    <m/>
    <s v="N"/>
    <x v="9"/>
    <s v="8686515151"/>
    <s v="X"/>
    <n v="259453.16000000003"/>
    <n v="609000"/>
    <n v="868453.16"/>
    <s v=""/>
    <n v="868453.16"/>
    <n v="814360.53"/>
    <n v="318840"/>
    <n v="235820"/>
    <x v="0"/>
    <x v="0"/>
    <n v="0"/>
    <n v="235820"/>
    <x v="0"/>
    <s v="NA"/>
    <n v="0"/>
    <s v="SAMBA"/>
    <x v="3"/>
    <x v="3"/>
    <s v="&quot;H NO,4XXXXXXXXXXXXXXXXXXXXXXXXXXXXXXXXXXXX&quot;    NIZAMABAD TNG 503235"/>
    <s v="DeltacXXX MIG-1 Balaji Nagar Balaji Nagar HYDERABAD TNG 500072"/>
    <s v="NIZAMABAD"/>
    <x v="0"/>
    <x v="9"/>
    <s v="D RAMU"/>
    <n v="802663344"/>
    <s v="Sgr@9290"/>
    <m/>
    <m/>
    <x v="0"/>
    <s v="SKIP"/>
    <s v="Feedback customer not available to adders talking with Aditya sir"/>
    <x v="20"/>
    <d v="2026-01-05T00:00:00"/>
    <n v="50000"/>
    <s v="ICICI Sapphiro Master PLT Chip Card"/>
    <s v="30TH JUNE"/>
    <s v="0000000029427605"/>
    <d v="2026-07-03T00:00:00"/>
  </r>
  <r>
    <s v="4375511068310007"/>
    <s v="Mr. MUKPESHWAR VADDIRAJU"/>
    <n v="0"/>
    <x v="0"/>
    <m/>
    <m/>
    <m/>
    <s v="N"/>
    <x v="9"/>
    <s v="9885831831"/>
    <s v="X"/>
    <n v="66699.660000000033"/>
    <n v="600000"/>
    <n v="666699.66"/>
    <s v=""/>
    <n v="666699.66"/>
    <n v="599876.78"/>
    <n v="158810"/>
    <n v="72000"/>
    <x v="1"/>
    <x v="1"/>
    <n v="72000"/>
    <n v="0"/>
    <x v="20"/>
    <s v="TC"/>
    <s v="30501-BBPS Payment received"/>
    <s v="SAMBA"/>
    <x v="0"/>
    <x v="3"/>
    <s v="&quot;2-18,GXXXXXXXXXXXXXXX&quot; &quot;NA,HasXXXXXXXXXXXXXXX&quot; Hanamkonda Near Gramapanchyath WARANGAL TNG 506015"/>
    <s v="SYNECTXXXXXXXXXXXXXXXXXXXXXXXXXXXXX 5TH FLXXXXXXXXXXXXXXXXXX NANAKRAMGUDA NANAKRAMGUDA Rangareddy TNG 500032"/>
    <s v="WARANGAL"/>
    <x v="0"/>
    <x v="0"/>
    <s v="AKHIL"/>
    <n v="801772792"/>
    <s v="Sgr@9290"/>
    <m/>
    <m/>
    <x v="0"/>
    <m/>
    <m/>
    <x v="1"/>
    <d v="2026-04-04T00:00:00"/>
    <n v="49999"/>
    <s v="ICICI Rubyx PLT Credit Card (AMEX)"/>
    <s v="30TH JUNE"/>
    <s v="0000000008370686"/>
    <d v="2026-07-03T00:00:00"/>
  </r>
  <r>
    <s v="5241939108506004"/>
    <s v="Mr VEERANKI RAJAGOPAL"/>
    <n v="0"/>
    <x v="0"/>
    <m/>
    <m/>
    <m/>
    <s v="N"/>
    <x v="9"/>
    <s v="8000446699"/>
    <s v="X"/>
    <n v="46857.140000000014"/>
    <n v="500000"/>
    <n v="546857.14"/>
    <s v=""/>
    <n v="546857.14"/>
    <n v="499698.84"/>
    <n v="122370"/>
    <n v="50130"/>
    <x v="1"/>
    <x v="1"/>
    <n v="122370"/>
    <n v="-72240"/>
    <x v="23"/>
    <s v="TC"/>
    <s v="30501-BBPS Payment received"/>
    <s v="SAMBA"/>
    <x v="11"/>
    <x v="3"/>
    <s v="&quot;1-103,XXXXXXXXXXXXXXXXXXXXXXXXXXXX&quot; NUZIVIXXXXXXXXXXX   NUZVID ANP 521201"/>
    <s v="Not ApXXXXXXXX &quot;1-103,XXXXXXXXXXXXXXXXX&quot; NUZUVIDU MANDALAM NUZUVIDU MANDALAM NUZVID ANP 521201"/>
    <s v="GUDIVADA"/>
    <x v="0"/>
    <x v="29"/>
    <s v="SUDHAKAR"/>
    <n v="802913252"/>
    <s v="Ssd@9290"/>
    <m/>
    <m/>
    <x v="0"/>
    <s v="LIVE"/>
    <s v="Costumer present not available call answered PTP today evening sir"/>
    <x v="14"/>
    <d v="2026-03-05T00:00:00"/>
    <n v="52760"/>
    <s v="ICICI Sapphiro Master PLT Chip Card"/>
    <s v="30TH JUNE"/>
    <s v="0000000019977071"/>
    <d v="2026-07-03T00:00:00"/>
  </r>
  <r>
    <s v="5241939199865012"/>
    <s v="Mr KONDURU VIJAYAKUMAR"/>
    <n v="0"/>
    <x v="0"/>
    <m/>
    <m/>
    <m/>
    <s v="N"/>
    <x v="9"/>
    <s v="9440534410"/>
    <s v="X"/>
    <n v="-85146.599999999977"/>
    <n v="500000"/>
    <n v="414853.4"/>
    <s v=""/>
    <n v="414853.4"/>
    <n v="361815.94"/>
    <n v="75810"/>
    <n v="30320"/>
    <x v="0"/>
    <x v="0"/>
    <n v="0"/>
    <n v="30320"/>
    <x v="0"/>
    <s v="NA"/>
    <s v="12111-ICICI BANK COLLECTION PAYMENT"/>
    <s v="SAMBA"/>
    <x v="2"/>
    <x v="3"/>
    <s v="&quot;5/518,XXXXXXXXXXXXXXXXXXXXXXXX&quot;    CUDDAPAH ANP 516115"/>
    <s v="Gkb plXXX KadapaXXXXXXXXXX Rajampet Rajampet CUDDAPAH ANP 516115"/>
    <s v="CUDDAPAH"/>
    <x v="1"/>
    <x v="48"/>
    <s v="SIVARAU"/>
    <n v="801601134"/>
    <s v="Ssd@9290"/>
    <m/>
    <m/>
    <x v="0"/>
    <s v="LIVE"/>
    <s v="visited Cs address was live Cs was not convincing for the payment Cs making Argument&amp; Telling He Will File case on us"/>
    <x v="20"/>
    <d v="2026-05-06T00:00:00"/>
    <n v="21210"/>
    <s v="ICICI Sapphiro Master PLT Chip Card"/>
    <s v="30TH JUNE"/>
    <s v="0000000028650129"/>
    <d v="2026-07-03T00:00:00"/>
  </r>
  <r>
    <s v="5241939110377006"/>
    <s v="MR ALUWALA MADHUSUDHAN"/>
    <n v="0"/>
    <x v="0"/>
    <m/>
    <m/>
    <m/>
    <s v="N"/>
    <x v="9"/>
    <s v="9494557787"/>
    <s v="X"/>
    <n v="1970"/>
    <n v="300000"/>
    <n v="301970"/>
    <s v=""/>
    <n v="301970"/>
    <n v="283136"/>
    <n v="34390"/>
    <n v="14160"/>
    <x v="1"/>
    <x v="1"/>
    <n v="301970"/>
    <n v="-287810"/>
    <x v="11"/>
    <s v="TC"/>
    <s v="30501-BBPS Payment received"/>
    <s v="SAMBA"/>
    <x v="11"/>
    <x v="3"/>
    <s v="HNO-3-XXXXXXXXXXXXXXXXXXX KISHANXXXXXXXXXXXXXXX NIZAMABAD NEAR GOVT HOSPITAL NIZAMABAD TNG 503217"/>
    <s v="LAXMI XXXXXXXXXXXXXXXXXXX LAXMI XXXXXXXXXXXXXXXXXXXXXXXXXXXXXXX KISAN NAGAR KISAN NAGAR NIZAMABAD TNG 503217"/>
    <s v="NIZAMABAD"/>
    <x v="0"/>
    <x v="9"/>
    <s v="D RAMU"/>
    <n v="802663344"/>
    <s v="Sgr@9290"/>
    <m/>
    <m/>
    <x v="0"/>
    <s v="LIVE"/>
    <s v="customer paymet on week"/>
    <x v="6"/>
    <d v="2025-10-07T00:00:00"/>
    <n v="50000"/>
    <s v="ICICI Sapphiro Master PLT Chip Card"/>
    <s v="30TH JUNE"/>
    <s v="0000000020006259"/>
    <d v="2026-07-03T00:00:00"/>
  </r>
  <r>
    <s v="4035620103751000"/>
    <s v="MR TATIMAKULA VINOD KUMARREDDY"/>
    <n v="0"/>
    <x v="0"/>
    <m/>
    <m/>
    <m/>
    <s v="O"/>
    <x v="10"/>
    <s v="9553440018"/>
    <s v="X"/>
    <n v="15922.459999999963"/>
    <n v="560000"/>
    <n v="575922.46"/>
    <s v=""/>
    <n v="575922.46"/>
    <n v="546668.52"/>
    <n v="123910"/>
    <n v="77930"/>
    <x v="1"/>
    <x v="1"/>
    <n v="77930"/>
    <n v="0"/>
    <x v="23"/>
    <s v="TC"/>
    <s v="30501-BBPS Payment received"/>
    <s v="HARI"/>
    <x v="4"/>
    <x v="3"/>
    <s v="5/13 THUVVAPALLI KOTHAGANGIREDDY PALLI NANMANDALAM CIDDAPAH NEAR TEMPLE CUDDAPAH ANP 516218"/>
    <s v="VALUELABS SERVICES PRIVATE LIMITED PLOT 41 HITECITY PHASE 2.MADHAPUR HYDERABAD HYDERABAD HYDERABAD TNG 500081"/>
    <s v="CUDDAPAH"/>
    <x v="1"/>
    <x v="48"/>
    <s v="SIVARAU"/>
    <n v="801601134"/>
    <s v="Ssd@9290"/>
    <m/>
    <m/>
    <x v="0"/>
    <m/>
    <m/>
    <x v="1"/>
    <d v="2025-10-04T00:00:00"/>
    <n v="10474.65"/>
    <s v="ICICI Bank Coral Credit Card"/>
    <s v="7TH JULY"/>
    <s v="0000000019610571"/>
    <d v="2026-07-04T00:00:00"/>
  </r>
  <r>
    <s v="4035621356181002"/>
    <s v="MR GUGULOTH RAJENDER NAIK"/>
    <n v="0"/>
    <x v="0"/>
    <m/>
    <m/>
    <m/>
    <s v="O"/>
    <x v="10"/>
    <s v="9866351508"/>
    <s v="X"/>
    <n v="-136716.65000000002"/>
    <n v="700000"/>
    <n v="563283.35"/>
    <s v=""/>
    <n v="563283.35"/>
    <n v="517392.15"/>
    <n v="101250"/>
    <n v="49670"/>
    <x v="0"/>
    <x v="0"/>
    <n v="0"/>
    <n v="49670"/>
    <x v="0"/>
    <s v="NA"/>
    <n v="0"/>
    <s v="HARI"/>
    <x v="8"/>
    <x v="3"/>
    <s v="35/4/49 KANAKA DURGA COLONY GOPALPURAM WARANGAL NEAR SBI BANK WARANGAL TNG 506015"/>
    <s v="KAKATIYA INSTITUTE OF TECHNOLOGY AND SCI BLOCK 3 DEPARTMENT EEE KAKATIYA INSTITUT &quot;OF T3CHNOLOGY ,, AND SCIENCE  HASABAPART&quot; &quot;OF T3CHNOLOGY ,, AND SCIENCE  HASABAPART&quot; WARANGAL TNG 506015"/>
    <s v="WARANGAL"/>
    <x v="0"/>
    <x v="20"/>
    <s v="KARUNAKAR"/>
    <n v="801264672"/>
    <s v="Ssd@9291"/>
    <m/>
    <m/>
    <x v="0"/>
    <s v="LIVE"/>
    <s v="Visited Customer Given Adress Customer Asking Settlement Sir"/>
    <x v="20"/>
    <d v="2023-11-12T00:00:00"/>
    <n v="5000"/>
    <s v="ICICI Bank Coral Credit Card"/>
    <s v="7TH JULY"/>
    <s v="0000000027179521"/>
    <d v="2026-07-04T00:00:00"/>
  </r>
  <r>
    <s v="4035620073882009"/>
    <s v="MR BETHARASI MOHAN KRISHNA YADAV"/>
    <s v="RTP"/>
    <x v="2"/>
    <n v="1"/>
    <s v="CC"/>
    <s v="REMOVED CASE"/>
    <s v="N"/>
    <x v="10"/>
    <s v="7780177445"/>
    <s v="X"/>
    <n v="45686.119999999995"/>
    <n v="500000"/>
    <n v="545686.12"/>
    <n v="78826.600000000006"/>
    <n v="466859.52000000002"/>
    <n v="418255.81"/>
    <n v="92130"/>
    <n v="40820"/>
    <x v="0"/>
    <x v="0"/>
    <n v="0"/>
    <n v="40820"/>
    <x v="0"/>
    <s v="NA"/>
    <n v="0"/>
    <s v="HARI"/>
    <x v="12"/>
    <x v="3"/>
    <s v="&quot;D NO 4/1764/9,JONNA VEERAIAH COLONY&quot; KLD ANANTAPUR ANANTAPUR NR MAIN ROAD ANAPARTHI ANP 515001"/>
    <s v="MAERSK GLOBAL SERVICE CENTRES INDIA PRIV &quot;PARK,7 TH BUILDING,VIMAN NAGAR&quot;PUNE PUNE PUNE MAH 411014"/>
    <s v="ANAPARTHI"/>
    <x v="1"/>
    <x v="12"/>
    <s v="POORNIMA"/>
    <n v="802824019"/>
    <s v="Nihan@2421"/>
    <m/>
    <m/>
    <x v="0"/>
    <s v="SKIP"/>
    <s v="Customer house shifted _x000a_Customer calls not responding"/>
    <x v="12"/>
    <d v="2026-02-12T00:00:00"/>
    <n v="65000"/>
    <s v="ICICI Bank Platinum Chip Credit Card"/>
    <s v="1ST JULY"/>
    <s v="0000000019371141"/>
    <d v="2026-07-04T00:00:00"/>
  </r>
  <r>
    <s v="4748467777615006"/>
    <s v="MR THATHARI KIRAN KUMAR"/>
    <n v="0"/>
    <x v="0"/>
    <m/>
    <m/>
    <m/>
    <s v="N"/>
    <x v="10"/>
    <s v="9032838908"/>
    <s v="X"/>
    <n v="35461.640000000014"/>
    <n v="510000"/>
    <n v="545461.64"/>
    <n v="152245.65"/>
    <n v="393215.99"/>
    <n v="353254.02"/>
    <n v="93240"/>
    <n v="40080"/>
    <x v="0"/>
    <x v="0"/>
    <n v="0"/>
    <n v="40080"/>
    <x v="0"/>
    <s v="NA"/>
    <n v="0"/>
    <s v="HARI"/>
    <x v="5"/>
    <x v="3"/>
    <s v="H NO 3 4 119 RAYAPURA COLONY TRANSFORMER HANAMKONDA WARANGAL WARANGAL TNG 506011"/>
    <s v="NATIONAL INSTITUTE OF TECHNOLOGY WARANGAL NATIONAL INSTITUTE OFTECHNOLOGY WARANGAL TECHNOLOGY WARANGAL WARANGAL TNG 506011"/>
    <s v="WARANGAL"/>
    <x v="0"/>
    <x v="20"/>
    <s v="KARUNAKAR"/>
    <n v="801264672"/>
    <s v="Ssd@9291"/>
    <m/>
    <m/>
    <x v="0"/>
    <s v="MESS"/>
    <s v="Visited Customer Residence Address Customer Not Available Inform To Customer Wife // Visited Customer Residence Address Customer Live Given Commitment On 15th Sir // Customer Asking Time Sir // Visited Customer Residence Waiting for Customer Sir // Waiting for Payment sir"/>
    <x v="22"/>
    <d v="2026-05-08T00:00:00"/>
    <n v="6000"/>
    <s v="ICICI Bank Rubyx Visa Credit Card"/>
    <s v="1ST JULY"/>
    <s v="0000000017956698"/>
    <d v="2026-07-04T00:00:00"/>
  </r>
  <r>
    <s v="4315810631958000"/>
    <s v="Mr SOLASA BMLS VENKATA RATNA"/>
    <n v="0"/>
    <x v="0"/>
    <m/>
    <m/>
    <m/>
    <s v="N"/>
    <x v="10"/>
    <s v="9550377731"/>
    <s v="X"/>
    <n v="-39581.619999999995"/>
    <n v="550000"/>
    <n v="510418.38"/>
    <n v="38251.1"/>
    <n v="472167.28"/>
    <n v="436656.4"/>
    <n v="94520"/>
    <n v="47220"/>
    <x v="1"/>
    <x v="1"/>
    <n v="50000"/>
    <n v="-2780"/>
    <x v="18"/>
    <s v="TC"/>
    <s v="30501-BBPS Payment received"/>
    <s v="HARI"/>
    <x v="9"/>
    <x v="3"/>
    <s v="2-64/1 BLAKU-1 PRAKKILANKA TALLAPUDIMANDAL   West Godavari ANP 534341"/>
    <s v="INFOSYS LTD &quot;Room no.1,annaporneshwari building&quot; Konnapana agrahara Konnapana agrahara BANGALORE KAR 560100"/>
    <s v="WEST GODAVARI"/>
    <x v="4"/>
    <x v="33"/>
    <s v="MANIKANTA"/>
    <n v="802852449"/>
    <s v="Ssd@9290"/>
    <m/>
    <m/>
    <x v="0"/>
    <m/>
    <m/>
    <x v="1"/>
    <d v="2026-06-02T00:00:00"/>
    <n v="31780"/>
    <s v="Amazon Pay ICICI Bank Credit Card"/>
    <s v="7TH JULY"/>
    <s v="0000000015443056"/>
    <d v="2026-07-04T00:00:00"/>
  </r>
  <r>
    <s v="4102021165957015"/>
    <s v="Ms. NAGA KASULA NAGA MALLESWARI"/>
    <n v="0"/>
    <x v="0"/>
    <m/>
    <m/>
    <m/>
    <s v="N"/>
    <x v="10"/>
    <s v="9963303333"/>
    <s v="X"/>
    <n v="-2731.5499999999884"/>
    <n v="500000"/>
    <n v="497268.45"/>
    <s v=""/>
    <n v="497268.45"/>
    <n v="472891.56"/>
    <n v="69790"/>
    <n v="42270"/>
    <x v="1"/>
    <x v="1"/>
    <n v="497268.45"/>
    <n v="-454998.45"/>
    <x v="14"/>
    <s v="TC"/>
    <s v="12101-INFINITY PYMT RCVD"/>
    <s v="HARI"/>
    <x v="5"/>
    <x v="3"/>
    <s v="TSRCOTTONGINNING MILLGROUND171 &quot;VISNU PRIYA COMPLEX,BONTHAPADU ROAD, KAMMA SESHAIAH GROUND GUNTUR&quot;   GTR ANP 522003"/>
    <s v="TSRCOTTONGINNING MILLGROUND171 &quot;VISNU PRIYA COMPLEX,BONTHAPADU ROAD, KAMMA SESHAIAH GROUND GUNTUR&quot;   GTR ANP 522003"/>
    <s v="GUNTUR"/>
    <x v="5"/>
    <x v="11"/>
    <s v="INAMUL"/>
    <n v="802823175"/>
    <s v="Sgr@9290"/>
    <m/>
    <m/>
    <x v="0"/>
    <m/>
    <m/>
    <x v="1"/>
    <d v="2026-06-15T00:00:00"/>
    <n v="27100"/>
    <s v="ICICI Gold Business Card (BCCL-V)"/>
    <s v="7TH JULY"/>
    <s v="1000000000704063"/>
    <d v="2026-07-04T00:00:00"/>
  </r>
  <r>
    <s v="4315812800243016"/>
    <s v="MR Reddy Sai Teja"/>
    <n v="0"/>
    <x v="0"/>
    <m/>
    <m/>
    <m/>
    <s v="O"/>
    <x v="10"/>
    <s v="8464936408"/>
    <s v="M"/>
    <n v="231828.90000000002"/>
    <n v="240000"/>
    <n v="471828.9"/>
    <n v="397795.15"/>
    <n v="74033.75"/>
    <n v="65306.64"/>
    <n v="73680"/>
    <n v="37370"/>
    <x v="0"/>
    <x v="0"/>
    <n v="0"/>
    <n v="37370"/>
    <x v="0"/>
    <s v="NA"/>
    <n v="0"/>
    <s v="HARI"/>
    <x v="7"/>
    <x v="3"/>
    <s v="11-54/1 amalapuram mandal near ramakrishna samithi konkapalli peruru AMALAPURAM ANP 533201"/>
    <s v="NIVA CORP &quot;D. NO 11-54/1 ,NEAR RAMA KRISHNA SAMITHI&quot;KONKAPALLY AMALAPURAM KONKAPALLY AMALAPURAM AMALAPURAM ANP 533201"/>
    <s v="AMALAPURAM"/>
    <x v="4"/>
    <x v="28"/>
    <s v="B NAGABABU"/>
    <n v="801448854"/>
    <s v="Sgr@9290"/>
    <m/>
    <m/>
    <x v="0"/>
    <s v="SKIP"/>
    <s v=" CUSTOMER NOT STAYING IN GIVEN ADDRESS.RESPONDED TO THE CALL.HE TOLD GOING FOR SETTLEMENT.IF ANY QUERIES PLEASE COME TO MY ADDRESS.AND SENT TO PRESENT ADDRESS LOCATION"/>
    <x v="21"/>
    <d v="2024-12-06T00:00:00"/>
    <n v="100"/>
    <s v="Amazon Pay ICICI Bank Credit Card"/>
    <s v="1ST JULY"/>
    <s v="0000000021828588"/>
    <d v="2026-07-04T00:00:00"/>
  </r>
  <r>
    <s v="4035620536422005"/>
    <s v="MR REPALLE CHANDRASEKHAR"/>
    <n v="0"/>
    <x v="0"/>
    <n v="1"/>
    <m/>
    <m/>
    <s v="N"/>
    <x v="10"/>
    <s v="9008987688"/>
    <s v="X"/>
    <n v="14891.409999999974"/>
    <n v="400000"/>
    <n v="414891.41"/>
    <n v="132704.35"/>
    <n v="282187.06"/>
    <n v="249113.88"/>
    <n v="72780"/>
    <n v="35370"/>
    <x v="0"/>
    <x v="0"/>
    <n v="272"/>
    <n v="35098"/>
    <x v="0"/>
    <s v="NA"/>
    <s v="12111-ICICI BANK COLLECTION PAYMENT"/>
    <s v="HARI"/>
    <x v="12"/>
    <x v="3"/>
    <s v="&quot;H NO,4/166-1 SC COLONY R K DUDYALA,, R K&quot; &quot;DUDYALA,R KANTHALAPADU,&quot;  . KURNOOL ANP 518004"/>
    <s v="WIPRO LIMITED &quot;EC3, INDRA NAGAR, ELECTRONICS CITY&quot;&quot;PHASE 1, ELECTRONIC CITY,&quot; &quot;PHASE 1, ELECTRONIC CITY,&quot; BANGALORE KAR 560100"/>
    <s v="KURNOOL"/>
    <x v="1"/>
    <x v="18"/>
    <s v="SAMBA"/>
    <n v="801772794"/>
    <s v="Ssde@9876"/>
    <m/>
    <m/>
    <x v="0"/>
    <s v="LIVE"/>
    <s v="Customer is in Bangalore. Contact by phone he asking  for settlement. Because of job loss .his family members also not responding properly "/>
    <x v="20"/>
    <d v="2025-06-05T00:00:00"/>
    <n v="92570"/>
    <s v="ICICI Bank Coral Credit Card"/>
    <s v="1ST JULY"/>
    <s v="0000000022674513"/>
    <d v="2026-07-04T00:00:00"/>
  </r>
  <r>
    <s v="4315813358441044"/>
    <s v="MR Jibran Shorida Mohammed"/>
    <n v="0"/>
    <x v="0"/>
    <m/>
    <m/>
    <m/>
    <s v="N"/>
    <x v="10"/>
    <s v="7893470939"/>
    <s v="X"/>
    <n v="-80469.31"/>
    <n v="460000"/>
    <n v="379530.69"/>
    <s v=""/>
    <n v="379530.69"/>
    <n v="345747.87"/>
    <n v="55430"/>
    <n v="20676"/>
    <x v="1"/>
    <x v="1"/>
    <n v="60528"/>
    <n v="-39852"/>
    <x v="22"/>
    <s v="TC"/>
    <s v="12111-ICICI BANK COLLECTION PAYMENT"/>
    <s v="HARI"/>
    <x v="6"/>
    <x v="3"/>
    <s v="&quot;,,12-3-103/3/A/2&quot; &quot;KHADERPURA,.&quot; SIDDIPET Siddipet - SIDDIPET TNG 502103"/>
    <s v="247 INTOUCH MAXIMUS TOWER 2A MIND SPACE HI TECH CITY MIND SPACE HI TECH CITY HYDERABAD TNG 500089"/>
    <s v="MEDAK"/>
    <x v="0"/>
    <x v="30"/>
    <s v="RAJKUMAR"/>
    <n v="802835406"/>
    <s v="Ssde@9290"/>
    <m/>
    <m/>
    <x v="0"/>
    <s v="MESS"/>
    <s v="Customer given permanent house address visited sir his not available living in America inform to his parents"/>
    <x v="20"/>
    <d v="2026-05-13T00:00:00"/>
    <n v="18659"/>
    <s v="Amazon Pay ICICI Bank Credit Card"/>
    <s v="7TH JULY"/>
    <s v="0000000024052300"/>
    <d v="2026-07-04T00:00:00"/>
  </r>
  <r>
    <s v="4375517411308002"/>
    <s v="Mr Mandala Srinivas"/>
    <n v="0"/>
    <x v="0"/>
    <m/>
    <m/>
    <m/>
    <s v="N"/>
    <x v="10"/>
    <s v="7396840555"/>
    <s v="X"/>
    <n v="5578.1599999999744"/>
    <n v="370000"/>
    <n v="375578.16"/>
    <n v="293049.24"/>
    <n v="82528.92"/>
    <n v="66497.14"/>
    <n v="82528.92"/>
    <n v="27330.42"/>
    <x v="1"/>
    <x v="2"/>
    <n v="27400"/>
    <n v="-69.580000000001746"/>
    <x v="24"/>
    <s v="FE"/>
    <s v="30501-BBPS Payment received"/>
    <s v="HARI"/>
    <x v="6"/>
    <x v="3"/>
    <s v="H NO 12-403 REDDY COLONY WARD 20 MANCHERIAL    MANCHIRYAL ANP 504208"/>
    <s v="Business Reddy Colony Mancherial Mancherial MANCHIRYAL ANP 504208"/>
    <s v="ADILABAD"/>
    <x v="0"/>
    <x v="24"/>
    <s v="K RAMU"/>
    <n v="802898520"/>
    <s v="Ssd@9290"/>
    <m/>
    <m/>
    <x v="0"/>
    <s v="MESS"/>
    <s v="Customer given address visit customer not available informed to neighbors, call not answer // Customer given address visit customer not available informed to wife, trying by call // Customer given address visit waiting for customer // Customer given address Re-visit door locked, trying by call"/>
    <x v="22"/>
    <d v="2026-04-30T00:00:00"/>
    <n v="8300"/>
    <s v="ICICI Bank Coral Credit Card"/>
    <s v="7TH JULY"/>
    <s v="0000000015788633"/>
    <d v="2026-07-04T00:00:00"/>
  </r>
  <r>
    <s v="4035621032417002"/>
    <s v="MR VELDI JAGADEESH"/>
    <n v="0"/>
    <x v="0"/>
    <m/>
    <m/>
    <m/>
    <s v="N"/>
    <x v="10"/>
    <s v="8367388102"/>
    <s v="X"/>
    <n v="17861.260000000009"/>
    <n v="340000"/>
    <n v="357861.26"/>
    <n v="216920.19"/>
    <n v="140941.07"/>
    <n v="116830.08"/>
    <n v="51930"/>
    <n v="24747.99"/>
    <x v="1"/>
    <x v="1"/>
    <n v="25000"/>
    <n v="-252.0099999999984"/>
    <x v="22"/>
    <s v="TC"/>
    <s v="30501-BBPS Payment received"/>
    <s v="HARI"/>
    <x v="4"/>
    <x v="3"/>
    <s v="H NO 7-1327 BANGARUGADDA MIRYALAGUDA NEAR BEERAPPA TEMPLE SURYAPET TNG 508207"/>
    <s v="HDB FINANCIAL SERVICES LIMITED HDFC BANK CONSUMAR LOANS DURABLE LOANS &quot;MIRYALAGUDA,SAGAR ROAD&quot; &quot;MIRYALAGUDA,SAGAR ROAD&quot; SURYAPET TNG 508207"/>
    <s v="SURYAPET"/>
    <x v="0"/>
    <x v="21"/>
    <s v="PAVAN"/>
    <n v="802823180"/>
    <s v="Sgr@9290"/>
    <m/>
    <m/>
    <x v="0"/>
    <m/>
    <m/>
    <x v="1"/>
    <d v="2024-07-03T00:00:00"/>
    <n v="10000"/>
    <s v="ICICI Bank Coral Credit Card"/>
    <s v="10TH JULY"/>
    <s v="0000000025554787"/>
    <d v="2026-07-04T00:00:00"/>
  </r>
  <r>
    <s v="4035620713822001"/>
    <s v="MR KONJETI LOKESH KUMAR"/>
    <n v="0"/>
    <x v="0"/>
    <m/>
    <m/>
    <m/>
    <s v="N"/>
    <x v="10"/>
    <s v="7396476692"/>
    <s v="X"/>
    <n v="-146985.56"/>
    <n v="500000"/>
    <n v="353014.44"/>
    <n v="19267.02"/>
    <n v="333747.42"/>
    <n v="316973.12"/>
    <n v="68140"/>
    <n v="33032.129999999997"/>
    <x v="0"/>
    <x v="0"/>
    <n v="0"/>
    <n v="33032.129999999997"/>
    <x v="0"/>
    <s v="NA"/>
    <n v="0"/>
    <s v="HARI"/>
    <x v="9"/>
    <x v="3"/>
    <s v="&quot;6-45/1,NANDIVELUGU,NANDIVELUGU&quot; ...  .NEAR MAIN ROAD GUNTUR ANP 522306"/>
    <s v="MARICO LTD NELLORE   GUNTUR ANP 522306"/>
    <s v="GUNTUR"/>
    <x v="5"/>
    <x v="11"/>
    <s v="INAMUL"/>
    <n v="802823175"/>
    <s v="Sgr@9290"/>
    <m/>
    <m/>
    <x v="0"/>
    <s v="MESS"/>
    <s v="Cmr given address visited customer present not available cmr livng in Hyderabad in job purpose in fom to is brother sir"/>
    <x v="16"/>
    <d v="2026-05-30T00:00:00"/>
    <n v="40767.870000000003"/>
    <s v="ICICI Rubyx Master PLT Chip Card"/>
    <s v="7TH JULY"/>
    <s v="0000000023704873"/>
    <d v="2026-07-04T00:00:00"/>
  </r>
  <r>
    <s v="4102020452814004"/>
    <s v="MS MOPURU NEERAJA"/>
    <n v="0"/>
    <x v="0"/>
    <m/>
    <m/>
    <m/>
    <s v="N"/>
    <x v="10"/>
    <s v="7013586681"/>
    <s v="X"/>
    <n v="29006.869999999995"/>
    <n v="300000"/>
    <n v="329006.87"/>
    <s v=""/>
    <n v="329006.87"/>
    <n v="297869.8"/>
    <n v="73740"/>
    <n v="11865.98"/>
    <x v="1"/>
    <x v="1"/>
    <n v="12000"/>
    <n v="-134.02000000000044"/>
    <x v="18"/>
    <s v="TC"/>
    <s v="30501-BBPS Payment received"/>
    <s v="HARI"/>
    <x v="6"/>
    <x v="3"/>
    <s v="26 853 GURAVAEAH THOTA PRODDATUR   GURAVAEAH THOTA PRODDATUR ANP 516360"/>
    <s v="SRI VARASIDDI VINAYAKASEEDS AND DESICIDE 9 659 2 3 MYDDHWR ROAD PRODDASUR   PRODDATUR ANP 516360"/>
    <s v="PRODDATUR"/>
    <x v="1"/>
    <x v="15"/>
    <s v="VSSK PRASAD"/>
    <n v="802349062"/>
    <s v="Ssd@9290"/>
    <m/>
    <m/>
    <x v="0"/>
    <m/>
    <m/>
    <x v="1"/>
    <d v="2026-05-15T00:00:00"/>
    <n v="20000"/>
    <s v="ICICI Gold Business Card (BCCL-V)"/>
    <s v="10TH JULY"/>
    <s v="1000000000438232"/>
    <d v="2026-07-04T00:00:00"/>
  </r>
  <r>
    <s v="4102021193414005"/>
    <s v="Ms. ANDE LAXMAN"/>
    <n v="0"/>
    <x v="0"/>
    <m/>
    <m/>
    <m/>
    <s v="N"/>
    <x v="10"/>
    <s v="9133421773"/>
    <s v="X"/>
    <n v="23895.419999999984"/>
    <n v="300000"/>
    <n v="323895.42"/>
    <s v=""/>
    <n v="323895.42"/>
    <n v="295037.93"/>
    <n v="66320"/>
    <n v="10666"/>
    <x v="1"/>
    <x v="1"/>
    <n v="11000"/>
    <n v="-334"/>
    <x v="22"/>
    <s v="TC"/>
    <s v="12124 - UPI Payment Received"/>
    <s v="HARI"/>
    <x v="7"/>
    <x v="3"/>
    <s v="4173 SARANGAPURSARANGAPUR    ADL TNG 504110"/>
    <s v="4173 SARANGAPURSARANGAPUR    ADL TNG 504110"/>
    <s v="ADILABAD"/>
    <x v="0"/>
    <x v="3"/>
    <s v="KANTH"/>
    <n v="802794852"/>
    <s v="Ssd@9290"/>
    <m/>
    <m/>
    <x v="0"/>
    <s v="LIVE"/>
    <s v="Customer visit home address meet customer PTP 14th"/>
    <x v="16"/>
    <d v="2026-05-16T00:00:00"/>
    <n v="89500"/>
    <s v="ICICI Gold Business Card (BCCL-V)"/>
    <s v="7TH JULY"/>
    <s v="1000000000741482"/>
    <d v="2026-07-04T00:00:00"/>
  </r>
  <r>
    <s v="4102021103377011"/>
    <s v="MR SHAIK JOHNY BASWA"/>
    <n v="0"/>
    <x v="0"/>
    <m/>
    <m/>
    <m/>
    <s v="N"/>
    <x v="10"/>
    <s v="9642296672"/>
    <s v="X"/>
    <n v="15572.059999999998"/>
    <n v="300000"/>
    <n v="315572.06"/>
    <s v=""/>
    <n v="315572.06"/>
    <n v="299713.59000000003"/>
    <n v="65470"/>
    <n v="32514.78"/>
    <x v="0"/>
    <x v="0"/>
    <n v="945"/>
    <n v="31569.78"/>
    <x v="0"/>
    <s v="NA"/>
    <s v="12111-ICICI BANK COLLECTION PAYMENT"/>
    <s v="HARI"/>
    <x v="9"/>
    <x v="3"/>
    <s v="JOHNPAHAD ROAD NALGONDA DAMERA CHERLA  NAGAR PASS SCHOOL SURYAPET TNG 508355"/>
    <s v="KGF INDIA POULTRY TRADERS DAMERCHERLA GRAM PANCHAYAT PANCHAYAT SURYAPET TNG 508355"/>
    <s v="SURYAPET"/>
    <x v="5"/>
    <x v="49"/>
    <s v="DURGA"/>
    <n v="801723195"/>
    <s v="Sgr@9290"/>
    <m/>
    <m/>
    <x v="1"/>
    <m/>
    <m/>
    <x v="1"/>
    <d v="2026-05-25T00:00:00"/>
    <n v="42505.22"/>
    <s v="ICICI Gold Business Card (BCCL-V)"/>
    <s v="10TH JULY"/>
    <s v="1000000000625564"/>
    <d v="2026-07-04T00:00:00"/>
  </r>
  <r>
    <s v="4035620701148005"/>
    <s v="MR MOHAMMED AZARUDDIN"/>
    <n v="0"/>
    <x v="0"/>
    <m/>
    <m/>
    <m/>
    <s v="N"/>
    <x v="10"/>
    <s v="7842473037"/>
    <s v="X"/>
    <n v="13831.789999999979"/>
    <n v="300000"/>
    <n v="313831.78999999998"/>
    <s v=""/>
    <n v="313831.78999999998"/>
    <n v="290847.21000000002"/>
    <n v="76010"/>
    <n v="38397.81"/>
    <x v="1"/>
    <x v="1"/>
    <n v="76010"/>
    <n v="-37612.19"/>
    <x v="14"/>
    <s v="TC"/>
    <s v="12111-ICICI BANK COLLECTION PAYMENT"/>
    <s v="HARI"/>
    <x v="5"/>
    <x v="3"/>
    <s v="&quot;2-369/3 RAJEEV NAGAR,AMRUTHA,.,,CHILDREN&quot; &quot;S HOSPITAL,BHUPALPALLY&quot;  OPPOSITE SURYA HOSPITAL WARANGAL TNG 506169"/>
    <s v="INFOSYS LIMITED &quot;NO 41,POCHARAM VILLAGE&quot; RANGAREDDY RANGAREDDY HYDERABAD TNG 500088"/>
    <s v="WARANGAL"/>
    <x v="0"/>
    <x v="20"/>
    <s v="KARUNAKAR"/>
    <n v="801264672"/>
    <s v="Ssd@9291"/>
    <m/>
    <m/>
    <x v="0"/>
    <s v="LIVE"/>
    <s v="Visited Customer Residence Address Customer Not Available Customer Brother Saying Customer Job Loss"/>
    <x v="14"/>
    <d v="2026-06-11T00:00:00"/>
    <n v="49782.19"/>
    <s v="ICICI Bank Coral Credit Card"/>
    <s v="7TH JULY"/>
    <s v="0000000023635089"/>
    <d v="2026-07-04T00:00:00"/>
  </r>
  <r>
    <s v="4102021192315005"/>
    <s v="Ms. VEERA SURADA VEERA VENKATA SATYA NAR"/>
    <n v="0"/>
    <x v="0"/>
    <m/>
    <m/>
    <m/>
    <s v="O"/>
    <x v="10"/>
    <s v="8639692425"/>
    <s v="X"/>
    <n v="11138.690000000002"/>
    <n v="300000"/>
    <n v="311138.69"/>
    <s v=""/>
    <n v="311138.69"/>
    <n v="284329.78999999998"/>
    <n v="80650"/>
    <n v="41990"/>
    <x v="1"/>
    <x v="1"/>
    <n v="259312"/>
    <n v="-217322"/>
    <x v="7"/>
    <s v="TC"/>
    <s v="30501-BBPS Payment received"/>
    <s v="HARI"/>
    <x v="4"/>
    <x v="3"/>
    <s v="5147/7 SURADA PETA UKOTTAPALLI UPPADA    KKN ANP 533448"/>
    <s v="5147/7 SURADA PETA UKOTTAPALLI UPPADA   KKN ANP 533448"/>
    <s v="KAKINADA"/>
    <x v="4"/>
    <x v="23"/>
    <s v="UDAY"/>
    <n v="801436997"/>
    <s v="Ssd@9290"/>
    <m/>
    <m/>
    <x v="0"/>
    <m/>
    <m/>
    <x v="1"/>
    <d v="2025-11-27T00:00:00"/>
    <n v="84820"/>
    <s v="ICICI Gold Business Card (BCCL-V)"/>
    <s v="1ST JULY"/>
    <s v="1000000000739220"/>
    <d v="2026-07-04T00:00:00"/>
  </r>
  <r>
    <s v="4035620173435005"/>
    <s v="MR BOIRAGONI KARUNAKAR"/>
    <n v="0"/>
    <x v="0"/>
    <m/>
    <m/>
    <m/>
    <s v="N"/>
    <x v="10"/>
    <s v="9676022844"/>
    <s v="X"/>
    <n v="25889.909999999974"/>
    <n v="280000"/>
    <n v="305889.90999999997"/>
    <n v="52501.81"/>
    <n v="253388.1"/>
    <n v="225830.73"/>
    <n v="67020"/>
    <n v="34280"/>
    <x v="1"/>
    <x v="1"/>
    <n v="67020"/>
    <n v="-32740"/>
    <x v="22"/>
    <s v="TC"/>
    <s v="30501-BBPS Payment received"/>
    <s v="HARI"/>
    <x v="7"/>
    <x v="3"/>
    <s v="H No 7-29 Akinepalle IPPALAPALLI busstand Mogulapalle Mandal Akinepalle WARANGAL TNG 506366"/>
    <s v="CAPGEMINI TECHNOLOGY SERVICES INDIA LIMI &quot;SY NO 115/32 AND 35,ISB ROAD&quot; &quot;NANAKARAMGUDA,GACHIBOWLI&quot; &quot;NANAKARAMGUDA,GACHIBOWLI&quot; HYDERABAD TNG 500032"/>
    <s v="WARANGAL"/>
    <x v="0"/>
    <x v="20"/>
    <s v="KARUNAKAR"/>
    <n v="801264672"/>
    <s v="Ssd@9291"/>
    <m/>
    <m/>
    <x v="0"/>
    <m/>
    <m/>
    <x v="1"/>
    <d v="2025-04-16T00:00:00"/>
    <n v="10000"/>
    <s v="ICICI Bank Sapphiro Visa Credit Card"/>
    <s v="10TH JULY"/>
    <s v="0000000020089314"/>
    <d v="2026-07-04T00:00:00"/>
  </r>
  <r>
    <s v="4035620712865001"/>
    <s v="MR DEVINENI KOTESWARARAO"/>
    <n v="0"/>
    <x v="0"/>
    <m/>
    <m/>
    <m/>
    <s v="N"/>
    <x v="10"/>
    <s v="9618338881"/>
    <s v="X"/>
    <n v="9871.609999999986"/>
    <n v="290000"/>
    <n v="299871.61"/>
    <n v="93649.55"/>
    <n v="206222.06"/>
    <n v="185762.41"/>
    <n v="44240"/>
    <n v="18410"/>
    <x v="0"/>
    <x v="0"/>
    <n v="0"/>
    <n v="18410"/>
    <x v="0"/>
    <s v="NA"/>
    <n v="0"/>
    <s v="HARI"/>
    <x v="5"/>
    <x v="3"/>
    <s v="MUDIVEMULA MUDIVEMULA  NEAR RAMALAYAM NANDYAL ANP 523326"/>
    <s v="WALKING TREE TECHNOLOGIES PVT LTD 9TH FLOOR 903 MANJEERA TRINITY CORPORATE MANJEERA TRINITY CORPORATE HYDERABAD TNG 500072"/>
    <s v="NANDYAL"/>
    <x v="5"/>
    <x v="37"/>
    <s v="DURGA"/>
    <n v="801723195"/>
    <s v="Sgr@9290"/>
    <m/>
    <m/>
    <x v="1"/>
    <m/>
    <m/>
    <x v="1"/>
    <d v="2024-10-03T00:00:00"/>
    <n v="120044.67"/>
    <s v="ICICI Bank Coral Credit Card"/>
    <s v="10TH JULY"/>
    <s v="0000000023700314"/>
    <d v="2026-07-04T00:00:00"/>
  </r>
  <r>
    <s v="4035620762518013"/>
    <s v="MR RUPIREDDY REDDY"/>
    <n v="0"/>
    <x v="0"/>
    <m/>
    <m/>
    <m/>
    <s v="N"/>
    <x v="10"/>
    <s v="9193545454"/>
    <s v="X"/>
    <n v="25675.719999999972"/>
    <n v="270000"/>
    <n v="295675.71999999997"/>
    <s v=""/>
    <n v="295675.71999999997"/>
    <n v="269841.11"/>
    <n v="67170"/>
    <n v="26300"/>
    <x v="1"/>
    <x v="1"/>
    <n v="27300"/>
    <n v="-1000"/>
    <x v="23"/>
    <s v="TC"/>
    <s v="30501-BBPS Payment received"/>
    <s v="HARI"/>
    <x v="8"/>
    <x v="3"/>
    <s v="&quot;HOUSE,NUMBER - 1-7-1324 ROAD,NUMBER -,,5&quot; &quot;NEAR EKASHILA,PARK ADVOCATES,&quot;  NEAR EKASHILA PARK WARANGAL TNG 506001"/>
    <s v="LAXMI SAI DEVELOPERS &quot;2-4-1204/8/10/110, KUDAENCLVE&quot; HANAMKONA HANAMKONA WARANGAL TNG 506004"/>
    <s v="WARANGAL"/>
    <x v="0"/>
    <x v="20"/>
    <s v="KARUNAKAR"/>
    <n v="801264672"/>
    <s v="Ssd@9291"/>
    <m/>
    <m/>
    <x v="0"/>
    <m/>
    <m/>
    <x v="1"/>
    <d v="2026-05-03T00:00:00"/>
    <n v="15560"/>
    <s v="ICICI Bank Coral Credit Card"/>
    <s v="10TH JULY"/>
    <s v="0000000023975131"/>
    <d v="2026-07-04T00:00:00"/>
  </r>
  <r>
    <s v="4035620957556000"/>
    <s v="MR KADARI UMESH"/>
    <n v="0"/>
    <x v="0"/>
    <m/>
    <m/>
    <m/>
    <s v="N"/>
    <x v="10"/>
    <s v="9640019178"/>
    <s v="X"/>
    <n v="25135.280000000028"/>
    <n v="260000"/>
    <n v="285135.28000000003"/>
    <s v=""/>
    <n v="285135.28000000003"/>
    <n v="258337.24"/>
    <n v="66440"/>
    <n v="27640"/>
    <x v="1"/>
    <x v="2"/>
    <n v="28000"/>
    <n v="-360"/>
    <x v="23"/>
    <s v="TC"/>
    <s v="30501-BBPS Payment received"/>
    <s v="HARI"/>
    <x v="8"/>
    <x v="3"/>
    <s v="2-50 RAVIRALA RAVIRALA WARANGAL WARANGAL TNG 506368"/>
    <s v="PANCHAYAT RAJ DEPARTMENT ROTIBANDATHANDA MAHABUBABAD MAHABUBABAD WARANGAL TNG 506104"/>
    <s v="WARANGAL"/>
    <x v="0"/>
    <x v="22"/>
    <s v="KARUNAKAR"/>
    <n v="801264672"/>
    <s v="Ssd@9291"/>
    <m/>
    <m/>
    <x v="0"/>
    <m/>
    <m/>
    <x v="1"/>
    <d v="2024-07-04T00:00:00"/>
    <n v="98248"/>
    <s v="ICICI Bank Coral Credit Card"/>
    <s v="10TH JULY"/>
    <s v="0000000025168297"/>
    <d v="2026-07-04T00:00:00"/>
  </r>
  <r>
    <s v="4102021184412000"/>
    <s v="MR TIRUMANI SURYA PRAKASH"/>
    <n v="0"/>
    <x v="0"/>
    <m/>
    <m/>
    <m/>
    <s v="O"/>
    <x v="10"/>
    <s v="9777699999"/>
    <s v="X"/>
    <n v="-15019.25"/>
    <n v="300000"/>
    <n v="284980.75"/>
    <s v=""/>
    <n v="284980.75"/>
    <n v="259934.07"/>
    <n v="53640"/>
    <n v="26730"/>
    <x v="1"/>
    <x v="1"/>
    <n v="29000"/>
    <n v="-2270"/>
    <x v="23"/>
    <s v="TC"/>
    <s v="30501-BBPS Payment received"/>
    <s v="HARI"/>
    <x v="4"/>
    <x v="3"/>
    <s v="DOOR NO 19 10 33 10 NEAR SENT ANNS SCHOOL BHIMAVARAM NEAR SENT ANNS SCHOOL ROAD BANK COLONY BANK COLONY BHIMAVARAM ANP 534201"/>
    <s v="SURYA FILLING STATION DOOR NO 1 282 1 NH 216 HIGHWAY ROAD NAGIDIPALEM BHEEMAVARAM VILLAGE BHEEMAVARAM MANDAL BHEEMAVARAM VILLAGE BHEEMAVARAM MANDAL BHIMAVARAM ANP 534239"/>
    <s v="BHIMAVARAM"/>
    <x v="4"/>
    <x v="26"/>
    <s v="B NAGABABU"/>
    <n v="801448854"/>
    <s v="Sgr@9290"/>
    <m/>
    <m/>
    <x v="0"/>
    <s v="SKIP"/>
    <s v=" cmr not there at given location and cmr living in Hyderabad, cmr answered call and request to call back"/>
    <x v="20"/>
    <d v="2026-03-26T00:00:00"/>
    <n v="30000"/>
    <s v="ICICI Gold Business Card (BCCL-V)"/>
    <s v="7TH JULY"/>
    <s v="1000000000727852"/>
    <d v="2026-07-04T00:00:00"/>
  </r>
  <r>
    <s v="4035621020054007"/>
    <s v="MR SURAKARAPU NAVEEN"/>
    <n v="0"/>
    <x v="0"/>
    <m/>
    <m/>
    <m/>
    <s v="O"/>
    <x v="10"/>
    <s v="7729953019"/>
    <s v="X"/>
    <n v="-37407.450000000012"/>
    <n v="310000"/>
    <n v="272592.55"/>
    <s v=""/>
    <n v="272592.55"/>
    <n v="258442.53"/>
    <n v="32290"/>
    <n v="16180"/>
    <x v="1"/>
    <x v="2"/>
    <n v="18500"/>
    <n v="-2320"/>
    <x v="17"/>
    <s v="TC"/>
    <s v="30501-BBPS Payment received"/>
    <s v="HARI"/>
    <x v="8"/>
    <x v="3"/>
    <s v="4-145 ANUMULA MANDALAM  RANGUNDLA TANDA SURYAPET TNG 508202"/>
    <s v="MAHINDRA RURAL HOUSING FINANCE LTD &quot;5-16,1ST FLOOR,SHOP NO-2&quot; &quot;SRILAXMI NARSIMHA CONPLEX,HALIYA,NALGOND&quot; &quot;SRILAXMI NARSIMHA CONPLEX,HALIYA,NALGOND&quot; SURYAPET TNG 508202"/>
    <s v="SURYAPET"/>
    <x v="0"/>
    <x v="22"/>
    <s v="POORNIMA"/>
    <n v="802824019"/>
    <s v="Nihan@2421"/>
    <m/>
    <m/>
    <x v="0"/>
    <m/>
    <m/>
    <x v="1"/>
    <d v="2024-11-30T00:00:00"/>
    <n v="15000"/>
    <s v="ICICI Bank Coral Credit Card"/>
    <s v="7TH JULY"/>
    <s v="0000000025493486"/>
    <d v="2026-07-04T00:00:00"/>
  </r>
  <r>
    <s v="4035620225392006"/>
    <s v="MR RAJESH NAKARAKANTI"/>
    <n v="0"/>
    <x v="0"/>
    <m/>
    <m/>
    <m/>
    <s v="N"/>
    <x v="10"/>
    <s v="9959166888"/>
    <s v="X"/>
    <n v="1973.039999999979"/>
    <n v="270000"/>
    <n v="271973.03999999998"/>
    <s v=""/>
    <n v="271973.03999999998"/>
    <n v="249319.32"/>
    <n v="51960"/>
    <n v="25025"/>
    <x v="0"/>
    <x v="0"/>
    <n v="0"/>
    <n v="25025"/>
    <x v="0"/>
    <s v="NA"/>
    <n v="0"/>
    <s v="HARI"/>
    <x v="7"/>
    <x v="3"/>
    <s v="&quot;D.NO.3-91/1,YELLANDA,YELLANDA,&quot; WARDHANAPET MANDALAAM   WARANGAL TNG 506313"/>
    <s v="Fido property 3rd floor Sv Asha arcade Above dominos Miyapur Above dominos Miyapur HYDERABAD TNG 500050"/>
    <s v="WARANGAL"/>
    <x v="0"/>
    <x v="20"/>
    <s v="KARUNAKAR"/>
    <n v="801264672"/>
    <s v="Ssd@9291"/>
    <m/>
    <m/>
    <x v="0"/>
    <s v="SKIP"/>
    <s v="Visited Customer Residence Address Customer Not Available Confirm to Niebours Call Not Answering Sir"/>
    <x v="20"/>
    <d v="2026-06-02T00:00:00"/>
    <n v="10225"/>
    <s v="ICICI Bank Coral Credit Card"/>
    <s v="7TH JULY"/>
    <s v="0000000020358466"/>
    <d v="2026-07-04T00:00:00"/>
  </r>
  <r>
    <s v="4035621559494004"/>
    <s v="MR GORA RAJABABU"/>
    <n v="0"/>
    <x v="0"/>
    <m/>
    <m/>
    <m/>
    <s v="N"/>
    <x v="10"/>
    <s v="9705746039"/>
    <s v="X"/>
    <n v="-9778.5499999999884"/>
    <n v="280000"/>
    <n v="270221.45"/>
    <s v=""/>
    <n v="270221.45"/>
    <n v="245959.91"/>
    <n v="41990"/>
    <n v="16780"/>
    <x v="1"/>
    <x v="2"/>
    <n v="22000"/>
    <n v="-5220"/>
    <x v="23"/>
    <s v="TC"/>
    <s v="30501-BBPS Payment received"/>
    <s v="HARI"/>
    <x v="9"/>
    <x v="3"/>
    <s v="5 3 129 2/A/1 ASHOK NAGAr BHARATHI VIDYA KENDRAM HIGH SChool  100 MTS MPP SCHOOL ADILABAD TNG 505001"/>
    <s v="INDIAN BANK ZONAL OFFICE 2ND FLOOR CVRN ROAD KARIMNAGAR BEHIND KARCHI BAKERY BEHIND KARCHI BAKERY ADILABAD TNG 505001"/>
    <s v="KARIMNAGAR"/>
    <x v="0"/>
    <x v="8"/>
    <s v="SUMANTH"/>
    <n v="802370852"/>
    <s v="Sgr@9290"/>
    <m/>
    <m/>
    <x v="0"/>
    <s v="SKIP"/>
    <s v="Customer shifted to another address 1year back customer job in Indian bank manager and he not answered calls need kyc"/>
    <x v="20"/>
    <d v="2026-05-15T00:00:00"/>
    <n v="28300"/>
    <s v="ICICI Bank Coral RuPay Credit Card"/>
    <s v="10TH JULY"/>
    <s v="0000000028889683"/>
    <d v="2026-07-04T00:00:00"/>
  </r>
  <r>
    <s v="4035621386813004"/>
    <s v="MR KUNCHANGI RAJESH"/>
    <n v="0"/>
    <x v="0"/>
    <m/>
    <m/>
    <m/>
    <s v="N"/>
    <x v="10"/>
    <s v="6303212758"/>
    <s v="X"/>
    <n v="-31171.049999999988"/>
    <n v="300000"/>
    <n v="268828.95"/>
    <n v="21749.01"/>
    <n v="247079.94"/>
    <n v="222766.86"/>
    <n v="47850"/>
    <n v="19820"/>
    <x v="1"/>
    <x v="2"/>
    <n v="20000"/>
    <n v="-180"/>
    <x v="19"/>
    <s v="TC"/>
    <s v="30501-BBPS Payment received"/>
    <s v="HARI"/>
    <x v="7"/>
    <x v="3"/>
    <s v="H NO 5-289 VEERAIAH NAGAR HALIYA NEAR NAGARJUNA COLLEGE SURYAPET TNG 508377"/>
    <s v="TELANGANA STATE POWER GENERATION CORPORA LEFT CANAL POWER HOUSE NAGARJUNA SAGAR NAGARJUNA SAGAR SURYAPET TNG 508202"/>
    <s v="SURYAPET"/>
    <x v="0"/>
    <x v="22"/>
    <s v="POORNIMA"/>
    <n v="802824019"/>
    <s v="Nihan@2421"/>
    <m/>
    <m/>
    <x v="0"/>
    <m/>
    <m/>
    <x v="1"/>
    <d v="2026-02-06T00:00:00"/>
    <n v="19999"/>
    <s v="ICICI Bank HPCL Super Saver Master Credit Card"/>
    <s v="7TH JULY"/>
    <s v="0000000027377447"/>
    <d v="2026-07-04T00:00:00"/>
  </r>
  <r>
    <s v="4035621691822005"/>
    <s v="MR REPALLE JASWANTH KUMAR"/>
    <n v="0"/>
    <x v="0"/>
    <m/>
    <m/>
    <m/>
    <s v="N"/>
    <x v="10"/>
    <s v="9640976956"/>
    <s v="X"/>
    <n v="7114.4899999999907"/>
    <n v="260000"/>
    <n v="267114.49"/>
    <n v="86036.62"/>
    <n v="181077.87"/>
    <n v="169143.1"/>
    <n v="55860"/>
    <n v="30779"/>
    <x v="1"/>
    <x v="2"/>
    <n v="31000"/>
    <n v="-221"/>
    <x v="25"/>
    <s v="FE"/>
    <s v="30501-BBPS Payment received"/>
    <s v="HARI"/>
    <x v="5"/>
    <x v="3"/>
    <s v="3-45 V.KOTHAPALEM   GUDIVADA ANP 521328"/>
    <s v="ZEN QUALITY ASSURANCE PRIVATE LIMITED &quot;1ST FLOOR, ATRIA THE V ASCENDAS IT&quot; &quot;SOFTWARE UNITS LAYOUT, MADHAPUR&quot; &quot;SOFTWARE UNITS LAYOUT, MADHAPUR&quot; HYDERABAD TNG 500081"/>
    <s v="GUDIVADA"/>
    <x v="4"/>
    <x v="6"/>
    <s v="KOTI"/>
    <n v="801597759"/>
    <s v="Ssde@9290"/>
    <m/>
    <m/>
    <x v="0"/>
    <s v="LIVE"/>
    <s v="Customer commitment tomorrow evening"/>
    <x v="20"/>
    <s v=""/>
    <n v="0"/>
    <s v="ICICI Bank Coral Credit Card"/>
    <s v="7TH JULY"/>
    <s v="0000000030351478"/>
    <d v="2026-07-04T00:00:00"/>
  </r>
  <r>
    <s v="4035620747348007"/>
    <s v="MR MANDLI NAGARJUNA"/>
    <n v="0"/>
    <x v="2"/>
    <n v="1"/>
    <s v="CC"/>
    <s v="REMOVED CASE"/>
    <s v="N"/>
    <x v="10"/>
    <s v="9949093734"/>
    <s v="X"/>
    <n v="4480.5899999999965"/>
    <n v="250000"/>
    <n v="254480.59"/>
    <n v="210920.09"/>
    <n v="43560.5"/>
    <n v="36317.120000000003"/>
    <n v="43560.5"/>
    <n v="16901.21"/>
    <x v="0"/>
    <x v="0"/>
    <n v="0"/>
    <n v="16901.21"/>
    <x v="0"/>
    <s v="NA"/>
    <n v="0"/>
    <s v="HARI"/>
    <x v="12"/>
    <x v="3"/>
    <s v="2-164 SANJEEVAPURAM BUKKARAYASAMUDRAM MAIN ROAD ANANTAPUR ANP 515701"/>
    <s v="CGI INFORMATION SYSTEMS AND MANAGEMENT C TOWER2 95/2ELECTRONIC CITY PHASE1 BENGULURU ELECTRONIC CITY PHASE1 BENGULURU BANGALORE KAR 560100"/>
    <s v="ANANTAPUR"/>
    <x v="1"/>
    <x v="12"/>
    <s v="POORNIMA"/>
    <n v="802824019"/>
    <s v="Nihan@2421"/>
    <m/>
    <m/>
    <x v="1"/>
    <m/>
    <m/>
    <x v="1"/>
    <d v="2024-08-11T00:00:00"/>
    <n v="100000"/>
    <s v="ICICI Bank Coral Credit Card"/>
    <s v="1ST JULY"/>
    <s v="0000000023885352"/>
    <d v="2026-07-04T00:00:00"/>
  </r>
  <r>
    <s v="4748467812321008"/>
    <s v="Mrs TAMMIREDDY  ANJANA DEVI"/>
    <n v="0"/>
    <x v="0"/>
    <m/>
    <m/>
    <m/>
    <s v="N"/>
    <x v="10"/>
    <s v="9948324888"/>
    <s v="X"/>
    <n v="15786.890000000014"/>
    <n v="230000"/>
    <n v="245786.89"/>
    <s v=""/>
    <n v="245786.89"/>
    <n v="212691.21"/>
    <n v="61420"/>
    <n v="19080"/>
    <x v="1"/>
    <x v="1"/>
    <n v="62000"/>
    <n v="-42920"/>
    <x v="0"/>
    <s v="D"/>
    <s v="12101-INFINITY PYMT RCVD"/>
    <s v="HARI"/>
    <x v="4"/>
    <x v="3"/>
    <s v="&quot;3-52,GUDIVADAROAD OPP,RAMALAYAM,MANDAVAL&quot; &quot;LI,,MANDAL LOKUMUDI LOKAMUDI&quot; KRISHNA NEAR MAIN ROAD GUDIVADA ANP 521333"/>
    <s v="GOVERNMENT OF ANDHRA PRADESH WATER RESOU ZILLA PARISHAD HIGH SCHOOL TAMARAKOLLU VLJ TAMARAKOLLU VLJ GUDIVADA ANP 521343"/>
    <s v="GUDIVADA"/>
    <x v="4"/>
    <x v="32"/>
    <s v="BHARAT CHANDRA"/>
    <n v="802631601"/>
    <s v="Ssde@9290"/>
    <m/>
    <m/>
    <x v="0"/>
    <m/>
    <m/>
    <x v="1"/>
    <d v="2026-05-15T00:00:00"/>
    <n v="13000"/>
    <s v="ICICI Bank HPCL Super Saver Master Credit Card"/>
    <s v="10TH JULY"/>
    <s v="0000000018196128"/>
    <d v="2026-07-04T00:00:00"/>
  </r>
  <r>
    <s v="4035620551135003"/>
    <s v="MR MOTHKURI ASHOK"/>
    <n v="0"/>
    <x v="0"/>
    <m/>
    <m/>
    <m/>
    <s v="N"/>
    <x v="10"/>
    <s v="9550193831"/>
    <s v="X"/>
    <n v="-55131.53"/>
    <n v="300000"/>
    <n v="244868.47"/>
    <s v=""/>
    <n v="244868.47"/>
    <n v="232367.7"/>
    <n v="29220"/>
    <n v="14660"/>
    <x v="1"/>
    <x v="1"/>
    <n v="29220"/>
    <n v="-14560"/>
    <x v="14"/>
    <s v="TC"/>
    <s v="12124 - UPI Payment Received"/>
    <s v="HARI"/>
    <x v="6"/>
    <x v="3"/>
    <s v="&quot;2-2-39/A BESTA BAZAR,.,MAHABUBABAD,.,&quot; ...  &quot;OPP AXIS BANK , OPP SAINATH JEWELLER.&quot; BHEEMARAM TNG 506101"/>
    <s v="LARSENTOUBRO INFOTECH LIMITED &quot;THE SKYVIEW-BUILDING NO. 20, 14TH  15TH&quot; FLOORPARTLY SEZ DEVELOPER IN SURVEY NO. FLOORPARTLY SEZ DEVELOPER IN SURVEY NO. HYDERABAD TNG 500081"/>
    <s v="WARANGAL"/>
    <x v="0"/>
    <x v="2"/>
    <s v="CHAITANYA"/>
    <n v="802555024"/>
    <s v="Ssde@9290"/>
    <m/>
    <m/>
    <x v="0"/>
    <m/>
    <m/>
    <x v="1"/>
    <d v="2026-06-13T00:00:00"/>
    <n v="11000"/>
    <s v="ICICI Bank Coral Credit Card"/>
    <s v="7TH JULY"/>
    <s v="0000000022754475"/>
    <d v="2026-07-04T00:00:00"/>
  </r>
  <r>
    <s v="4035621757835008"/>
    <s v="MR MORA REDDY"/>
    <n v="0"/>
    <x v="0"/>
    <m/>
    <m/>
    <m/>
    <s v="N"/>
    <x v="10"/>
    <s v="7893901222"/>
    <s v="X"/>
    <n v="2441.2000000000116"/>
    <n v="240000"/>
    <n v="242441.2"/>
    <n v="62045.67"/>
    <n v="180395.53"/>
    <n v="166702.98000000001"/>
    <n v="52830"/>
    <n v="24804.86"/>
    <x v="1"/>
    <x v="2"/>
    <n v="14493"/>
    <n v="10311.86"/>
    <x v="24"/>
    <s v="TC"/>
    <s v="12111-ICICI BANK COLLECTION PAYMENT"/>
    <s v="HARI"/>
    <x v="6"/>
    <x v="3"/>
    <s v="&quot;10,110 G 9 3 NEAR SATSANG,SAI BABA,,MAND&quot; &quot;IRAM JAWAHAR,NAGAR COLONY,MARKAPUR&quot;  JAWAHARNAGAR COLONY NANDYAL ANP 523316"/>
    <s v="VIGNESWARA NATURAL STONES PLOT NO 20 INDUSTRIAL STREET INDUSTRIAL STREET NANDYAL ANP 523316"/>
    <s v="NANDYAL"/>
    <x v="5"/>
    <x v="37"/>
    <s v="DURGA"/>
    <n v="801723195"/>
    <s v="Sgr@9290"/>
    <m/>
    <m/>
    <x v="0"/>
    <m/>
    <m/>
    <x v="1"/>
    <d v="2026-05-25T00:00:00"/>
    <n v="5000"/>
    <s v="ICICI Sapphiro Master PLT Chip Card"/>
    <s v="10TH JULY"/>
    <s v="0000000031005016"/>
    <d v="2026-07-04T00:00:00"/>
  </r>
  <r>
    <s v="4748467780490009"/>
    <s v="MR VENNA VARDHANREDDY"/>
    <n v="0"/>
    <x v="0"/>
    <m/>
    <m/>
    <m/>
    <s v="N"/>
    <x v="10"/>
    <s v="7842426667"/>
    <s v="X"/>
    <n v="14149.779999999999"/>
    <n v="220000"/>
    <n v="234149.78"/>
    <n v="9325.2800000000007"/>
    <n v="224824.5"/>
    <n v="210005.48"/>
    <n v="56230"/>
    <n v="18790"/>
    <x v="1"/>
    <x v="2"/>
    <n v="20000"/>
    <n v="-1210"/>
    <x v="16"/>
    <s v="TC"/>
    <s v="30501-BBPS Payment received"/>
    <s v="HARI"/>
    <x v="7"/>
    <x v="3"/>
    <s v="&quot;5-82/1,THOTAGARI,ATMAKUR,ATMAKUR&quot;    KURNOOL ANP 518422"/>
    <s v="VVVR TRANSPORT H no 5-82/1Thotagiri Thotagiri ATMAKUR ANP 518422"/>
    <s v="KURNOOL"/>
    <x v="1"/>
    <x v="18"/>
    <s v="SAMBA"/>
    <n v="801772794"/>
    <s v="Ssde@9876"/>
    <m/>
    <m/>
    <x v="0"/>
    <m/>
    <m/>
    <x v="1"/>
    <d v="2026-01-14T00:00:00"/>
    <n v="100"/>
    <s v="ICICI Bank Coral Credit Card"/>
    <s v="1ST JULY"/>
    <s v="0000000017979335"/>
    <d v="2026-07-04T00:00:00"/>
  </r>
  <r>
    <s v="4102021006833003"/>
    <s v="Ms. DUSANAPUDI SATYANARAYANA"/>
    <s v="RTP"/>
    <x v="0"/>
    <m/>
    <m/>
    <m/>
    <s v="N"/>
    <x v="10"/>
    <s v="9949696160"/>
    <s v="X"/>
    <n v="-21294.899999999994"/>
    <n v="250000"/>
    <n v="228705.1"/>
    <s v=""/>
    <n v="228705.1"/>
    <n v="207946.41"/>
    <n v="42590"/>
    <n v="20745.71"/>
    <x v="1"/>
    <x v="1"/>
    <n v="21906.12"/>
    <n v="-1160.4099999999999"/>
    <x v="23"/>
    <s v="TC"/>
    <s v="12111-ICICI BANK COLLECTION PAYMENT"/>
    <s v="HARI"/>
    <x v="6"/>
    <x v="3"/>
    <s v="&quot;1223,RAMALAYAM STREET,/1,TILLAPUDI VILLAGE,&quot; PALACOLE MANDAL   BHV ANP 534245"/>
    <s v="&quot;1223,RAMALAYAM STREET,/1,TILLAPUDI VILLAGE,&quot; PALACOLE MANDAL   BHV ANP 534245"/>
    <s v="BHIMAVARAM"/>
    <x v="4"/>
    <x v="26"/>
    <s v="B NAGABABU"/>
    <n v="801448854"/>
    <s v="Sgr@9290"/>
    <m/>
    <m/>
    <x v="0"/>
    <m/>
    <m/>
    <x v="1"/>
    <d v="2026-05-26T00:00:00"/>
    <n v="6895"/>
    <s v="ICICI Gold Business Card (BCCL-V)"/>
    <s v="10TH JULY"/>
    <s v="1000000000505179"/>
    <d v="2026-07-04T00:00:00"/>
  </r>
  <r>
    <s v="4035620856402009"/>
    <s v="MR SAKE RAJESWARI"/>
    <n v="0"/>
    <x v="0"/>
    <m/>
    <m/>
    <m/>
    <s v="N"/>
    <x v="10"/>
    <s v="9885727330"/>
    <s v="X"/>
    <n v="7969.679999999993"/>
    <n v="220000"/>
    <n v="227969.68"/>
    <n v="82844.91"/>
    <n v="145124.76999999999"/>
    <n v="127060.29"/>
    <n v="39350"/>
    <n v="17900"/>
    <x v="1"/>
    <x v="1"/>
    <n v="39350"/>
    <n v="-21450"/>
    <x v="18"/>
    <s v="FE"/>
    <s v="30501-BBPS Payment received"/>
    <s v="HARI"/>
    <x v="4"/>
    <x v="3"/>
    <s v="12 2 403 ASHOK NAGAR NEAR RAMNARESH FUNC &quot;ANANTAPUR ANANTHAPURAMU , ,ANDHR&quot;  MAIN ROAD ANAPARTHI ANP 515001"/>
    <s v="GOVERMENT OF AP &quot;ZP HIGH SCHOOL BOYS NARPALA ,GUNTAKAL ,&quot; GUNTAKAL GUNTAKAL ANAPARTHI ANP 515001"/>
    <s v="ANAPARTHI"/>
    <x v="1"/>
    <x v="12"/>
    <s v="POORNIMA"/>
    <n v="802824019"/>
    <s v="Nihan@2421"/>
    <m/>
    <m/>
    <x v="0"/>
    <m/>
    <m/>
    <x v="1"/>
    <d v="2026-05-15T00:00:00"/>
    <n v="17890"/>
    <s v="ICICI Bank Coral Credit Card"/>
    <s v="10TH JULY"/>
    <s v="0000000024546866"/>
    <d v="2026-07-04T00:00:00"/>
  </r>
  <r>
    <s v="5176532509019005"/>
    <s v="Mr. KANDULA SANTOSH KUMAR"/>
    <n v="0"/>
    <x v="0"/>
    <m/>
    <m/>
    <m/>
    <s v="N"/>
    <x v="10"/>
    <s v="9949270007"/>
    <s v="X"/>
    <n v="27299.070000000007"/>
    <n v="200000"/>
    <n v="227299.07"/>
    <s v=""/>
    <n v="227299.07"/>
    <n v="207022.74"/>
    <n v="58720"/>
    <n v="27390"/>
    <x v="0"/>
    <x v="0"/>
    <n v="0"/>
    <n v="27390"/>
    <x v="0"/>
    <s v="NA"/>
    <n v="0"/>
    <s v="HARI"/>
    <x v="9"/>
    <x v="3"/>
    <s v="S/O RAJESHWAR KANDULA H NO 3 2 70 CHINTA &quot;CHINTAKUNTAWADA NIRMAL ADILABAD ,NIRMAL&quot;  MAIN ROAD ADILABAD TNG 504106"/>
    <s v="BANDHAN BANK LIMITED BANDHAN BANK LIMITED NEAR SURYA TOWERS P &quot;PRAGATI NAGAR NIZAMABAD ,NIZAMABAD ,&quot; &quot;PRAGATI NAGAR NIZAMABAD ,NIZAMABAD ,&quot; NIZAMABAD TNG 503001"/>
    <s v="ADILABAD"/>
    <x v="0"/>
    <x v="3"/>
    <s v="KANTH"/>
    <n v="802794852"/>
    <s v="Ssd@9290"/>
    <m/>
    <m/>
    <x v="0"/>
    <s v="MESS"/>
    <s v="Customer visit home address not available inform to relation phone call not respond"/>
    <x v="20"/>
    <d v="2026-05-05T00:00:00"/>
    <n v="48730"/>
    <s v="ICICI Bank HPCL Super Saver Master Credit Card"/>
    <s v="10TH JULY"/>
    <s v="5176532509019005"/>
    <d v="2026-07-04T00:00:00"/>
  </r>
  <r>
    <s v="4035621386901007"/>
    <s v="Mr PARVATHI GANESH"/>
    <n v="0"/>
    <x v="0"/>
    <m/>
    <m/>
    <m/>
    <s v="N"/>
    <x v="10"/>
    <s v="7013372779"/>
    <s v="X"/>
    <n v="26348.299999999988"/>
    <n v="200000"/>
    <n v="226348.3"/>
    <s v=""/>
    <n v="226348.3"/>
    <n v="198234.21"/>
    <n v="71760"/>
    <n v="41450"/>
    <x v="1"/>
    <x v="1"/>
    <n v="26500"/>
    <n v="14950"/>
    <x v="25"/>
    <s v="TC"/>
    <s v="12118 - NEFT PAYMENT RECEIVED"/>
    <s v="HARI"/>
    <x v="8"/>
    <x v="3"/>
    <s v="&quot;H NO-4-61,KOTHAPALLI MANDAL&quot; MANCHERIAL WARD NO - 9 VAMPALLE NEAR MAIN ROAD ADILABAD TNG 504209"/>
    <s v="STAR HEALTH AND ALLIED INSURANCE COMPANY &quot;H NO 12-429/1 ISLAMPURA,BELLAMPALLY CHOW&quot; MANCHERIAL MANCHERIAL ADILABAD TNG 504208"/>
    <s v="ADILABAD"/>
    <x v="0"/>
    <x v="24"/>
    <s v="SUDHAKAR"/>
    <n v="802913252"/>
    <s v="Ssd@9290"/>
    <m/>
    <m/>
    <x v="0"/>
    <s v="MESS"/>
    <s v="Customer given address visit customer not available informed to relatives, customer call not answer"/>
    <x v="20"/>
    <d v="2024-12-31T00:00:00"/>
    <n v="199991.62"/>
    <s v="ICICI Bank Coral Credit Card"/>
    <s v="10TH JULY"/>
    <s v="0000000027378156"/>
    <d v="2026-07-04T00:00:00"/>
  </r>
  <r>
    <s v="4035620399313002"/>
    <s v="MR SANJEET KUMAR V"/>
    <n v="0"/>
    <x v="0"/>
    <m/>
    <m/>
    <m/>
    <s v="N"/>
    <x v="10"/>
    <s v="9133775558"/>
    <s v="X"/>
    <n v="-80149.070000000007"/>
    <n v="300000"/>
    <n v="219850.93"/>
    <s v=""/>
    <n v="219850.93"/>
    <n v="196059.55"/>
    <n v="42920"/>
    <n v="22600"/>
    <x v="0"/>
    <x v="0"/>
    <n v="0"/>
    <n v="22600"/>
    <x v="0"/>
    <s v="NA"/>
    <n v="0"/>
    <s v="HARI"/>
    <x v="5"/>
    <x v="3"/>
    <s v="HNO 6 6 203 PADMA NAGAR JAGTIAL KARIMNAGAR DIST  KARIMNAGAR TNG 505327"/>
    <s v="SIDDANTH ENTERPRISES 6 6 203 PADMANAGAR JAGTIAL JAGTIAL KARIMNAGAR TNG 505327"/>
    <s v="KARIMNAGAR"/>
    <x v="0"/>
    <x v="8"/>
    <s v="SUMANTH"/>
    <n v="802370852"/>
    <s v="Sgr@9290"/>
    <m/>
    <m/>
    <x v="0"/>
    <s v="SKIP"/>
    <s v="Customer house sale to others and shifted to another place and mother and father both are died and calls not lifting"/>
    <x v="23"/>
    <d v="2025-09-03T00:00:00"/>
    <n v="26873"/>
    <s v="ICICI Bank Coral Credit Card"/>
    <s v="10TH JULY"/>
    <s v="0000000021692820"/>
    <d v="2026-07-04T00:00:00"/>
  </r>
  <r>
    <s v="4035620660517018"/>
    <s v="MR DEGALA KASIBABU"/>
    <n v="0"/>
    <x v="0"/>
    <m/>
    <m/>
    <m/>
    <s v="N"/>
    <x v="10"/>
    <s v="9632232299"/>
    <s v="X"/>
    <n v="19799.410000000003"/>
    <n v="200000"/>
    <n v="219799.41"/>
    <s v=""/>
    <n v="219799.41"/>
    <n v="198157.86"/>
    <n v="52270"/>
    <n v="21770"/>
    <x v="1"/>
    <x v="1"/>
    <n v="52270"/>
    <n v="-30500"/>
    <x v="25"/>
    <s v="TC"/>
    <s v="12111-ICICI BANK COLLECTION PAYMENT"/>
    <s v="HARI"/>
    <x v="5"/>
    <x v="3"/>
    <s v="&quot;11-765/4 NAGARALU,NAGARALU,GORANTLA,.,.,&quot; ...  NEAR ATM GUNTUR ANP 522034"/>
    <s v="INFOSYS LIMITED SY NO 210 ISB ROAD LINGAMPALLY RD MANIKONDA JAGIR MANIKONDA JAGIR HYDERABAD TNG 500032"/>
    <s v="GUNTUR"/>
    <x v="5"/>
    <x v="11"/>
    <s v="INAMUL"/>
    <n v="802823175"/>
    <s v="Sgr@9290"/>
    <m/>
    <m/>
    <x v="0"/>
    <s v="SKIP"/>
    <s v="Customer given House address visited but no one is there this name of person in this entire area customer mobile number not working need alternative address of this customer"/>
    <x v="21"/>
    <d v="2026-05-06T00:00:00"/>
    <n v="27087.91"/>
    <s v="ICICI Bank Coral Credit Card"/>
    <s v="10TH JULY"/>
    <s v="0000000023431039"/>
    <d v="2026-07-04T00:00:00"/>
  </r>
  <r>
    <s v="4102021004818006"/>
    <s v="Ms. SIVA THATIKONDA SIVA PRASAD"/>
    <n v="0"/>
    <x v="0"/>
    <m/>
    <m/>
    <m/>
    <s v="N"/>
    <x v="10"/>
    <s v="9701069243"/>
    <s v="X"/>
    <n v="15670.260000000009"/>
    <n v="200000"/>
    <n v="215670.26"/>
    <n v="77626.820000000007"/>
    <n v="138043.44"/>
    <n v="120374.41"/>
    <n v="44180"/>
    <n v="20450"/>
    <x v="1"/>
    <x v="2"/>
    <n v="21000"/>
    <n v="-550"/>
    <x v="24"/>
    <s v="TC"/>
    <s v="30501-BBPS Payment received"/>
    <s v="HARI"/>
    <x v="9"/>
    <x v="3"/>
    <s v="&quot;3/605/10,YSR DISTRICT,&quot; SARASWATHI VIDHYAMANDIRAM ROAD   PRO ANP 516360"/>
    <s v="&quot;3/605/10,YSR DISTRICT,&quot; SARASWATHI VIDHYAMANDIRAM ROAD   PRO ANP 516360"/>
    <s v="PRODDATUR"/>
    <x v="1"/>
    <x v="15"/>
    <s v="VSSK PRASAD"/>
    <n v="802349062"/>
    <s v="Ssd@9290"/>
    <m/>
    <m/>
    <x v="0"/>
    <m/>
    <m/>
    <x v="1"/>
    <d v="2026-03-13T00:00:00"/>
    <n v="5269.73"/>
    <s v="ICICI Gold Business Card (BCCL-V)"/>
    <s v="7TH JULY"/>
    <s v="1000000000502823"/>
    <d v="2026-07-04T00:00:00"/>
  </r>
  <r>
    <s v="4035621416552002"/>
    <s v="MR CHINTAKAYALA PRANEETH"/>
    <n v="0"/>
    <x v="0"/>
    <m/>
    <m/>
    <m/>
    <s v="N"/>
    <x v="10"/>
    <s v="9063075591"/>
    <s v="X"/>
    <n v="-49021.079999999987"/>
    <n v="260000"/>
    <n v="210978.92"/>
    <s v=""/>
    <n v="210978.92"/>
    <n v="191883.87"/>
    <n v="31260"/>
    <n v="11270"/>
    <x v="1"/>
    <x v="1"/>
    <n v="31260"/>
    <n v="-19990"/>
    <x v="0"/>
    <s v="D"/>
    <s v="12111-ICICI BANK COLLECTION PAYMENT"/>
    <s v="HARI"/>
    <x v="8"/>
    <x v="3"/>
    <s v="3/119-1 GANGAMMA TEMPLE STREET JAMMALAMA DUGU  NEAR BUSTOP PRODDATUR ANP 516434"/>
    <s v="DATA SOFTWARE RESEARCH COMPANY PRIVATE L NO 138 OLD MAHABALIPURAMSHOLINGAPURAM SHOLINGAPURAM CHENNAI TMN 600100"/>
    <s v="PRODDATUR"/>
    <x v="1"/>
    <x v="15"/>
    <s v="VSSK PRASAD"/>
    <n v="802349062"/>
    <s v="Ssd@9290"/>
    <m/>
    <m/>
    <x v="0"/>
    <m/>
    <m/>
    <x v="1"/>
    <d v="2026-02-02T00:00:00"/>
    <n v="11410"/>
    <s v="ICICI Bank Coral Credit Card"/>
    <s v="1ST JULY"/>
    <s v="0000000027611693"/>
    <d v="2026-07-04T00:00:00"/>
  </r>
  <r>
    <s v="4102021122525004"/>
    <s v="MR SHAIK ISMAIL"/>
    <n v="0"/>
    <x v="0"/>
    <m/>
    <m/>
    <m/>
    <s v="N"/>
    <x v="10"/>
    <s v="9908362277"/>
    <s v="X"/>
    <n v="10940.75"/>
    <n v="200000"/>
    <n v="210940.75"/>
    <s v=""/>
    <n v="210940.75"/>
    <n v="192747.9"/>
    <n v="47390"/>
    <n v="11890"/>
    <x v="0"/>
    <x v="0"/>
    <n v="0"/>
    <n v="11890"/>
    <x v="0"/>
    <s v="NA"/>
    <n v="0"/>
    <s v="HARI"/>
    <x v="4"/>
    <x v="3"/>
    <s v="H NO 199 1 STAN PURAM MAMATA NAGAR CHAITANYA TECHNO SCHOOL KURNOOL  KURNOOL ANP 518006"/>
    <s v="S A FATRADERS 39 107 PARK ROAD OSMANIA COLLEGE OSMANIA COLLEGE KURNOOL ANP 518001"/>
    <s v="KURNOOL"/>
    <x v="1"/>
    <x v="18"/>
    <s v="SAMBA"/>
    <n v="801772794"/>
    <s v="Ssde@9876"/>
    <m/>
    <m/>
    <x v="0"/>
    <s v="LIVE"/>
    <s v="Visit near near customer work place . Customer not available.contact by phone he told that he will meet with branch managar. To asking some time to pay amount . Because of he has finance problem. "/>
    <x v="20"/>
    <d v="2026-04-21T00:00:00"/>
    <n v="213391.7"/>
    <s v="ICICI Gold Business Card (BCCL-V)"/>
    <s v="7TH JULY"/>
    <s v="1000000000651229"/>
    <d v="2026-07-04T00:00:00"/>
  </r>
  <r>
    <s v="4035621091710008"/>
    <s v="MR KARUKONDA KUMAR"/>
    <n v="0"/>
    <x v="0"/>
    <m/>
    <m/>
    <m/>
    <s v="N"/>
    <x v="10"/>
    <s v="8978655733"/>
    <s v="X"/>
    <n v="9728.0400000000081"/>
    <n v="200000"/>
    <n v="209728.04"/>
    <s v=""/>
    <n v="209728.04"/>
    <n v="188746.06"/>
    <n v="41490"/>
    <n v="12500"/>
    <x v="1"/>
    <x v="1"/>
    <n v="41490"/>
    <n v="-28990"/>
    <x v="18"/>
    <s v="TC"/>
    <s v="30501-BBPS Payment received"/>
    <s v="HARI"/>
    <x v="7"/>
    <x v="3"/>
    <s v="&quot;H NO,24-3-118/1 PRAKASHREDDY,PET NEAR,,C&quot; &quot;HURCH SUBEDARI,HANAMKODA&quot;  NEAR MAIN ROAD WARANGAL TNG 506001"/>
    <s v="INSEMI TECHNOLOGY SERVICES PRIVATE LIMIT NEILRAO TOWERS EPIPPHASE 1 WHITEFIELD BANGALORE WHITEFIELD BANGALORE BANGALORE KAR 560066"/>
    <s v="WARANGAL"/>
    <x v="0"/>
    <x v="20"/>
    <s v="KARUNAKAR"/>
    <n v="801264672"/>
    <s v="Ssd@9291"/>
    <m/>
    <m/>
    <x v="0"/>
    <m/>
    <m/>
    <x v="1"/>
    <d v="2024-12-14T00:00:00"/>
    <n v="11000"/>
    <s v="ICICI Bank Coral Credit Card"/>
    <s v="10TH JULY"/>
    <s v="0000000025863591"/>
    <d v="2026-07-04T00:00:00"/>
  </r>
  <r>
    <s v="4748467721594000"/>
    <s v="MR PENUBAKULA PRASAD"/>
    <n v="0"/>
    <x v="0"/>
    <n v="1"/>
    <m/>
    <m/>
    <s v="O"/>
    <x v="10"/>
    <s v="9398769196"/>
    <s v="W"/>
    <n v="-190503.26"/>
    <n v="400000"/>
    <n v="209496.74"/>
    <s v=""/>
    <n v="209496.74"/>
    <n v="193874.03"/>
    <n v="36470"/>
    <n v="17940"/>
    <x v="1"/>
    <x v="2"/>
    <n v="18000"/>
    <n v="-60"/>
    <x v="23"/>
    <s v="TC"/>
    <s v="12124 - UPI Payment Received"/>
    <s v="HARI"/>
    <x v="5"/>
    <x v="3"/>
    <s v="21-10/3 86A SRWA 359 3RD LINE SRINAGAR COLONY  NR-SRI NAGAR COLONY VIJAYAWADA ANP 520011"/>
    <s v="DR PRASADS ORTHODONTIC SUPER SPECIALITY DENTAL 23-11-86 SATYA NARYNA PURAM   VIJAYAWADA ANP 520011"/>
    <s v="VIJAYAWADA"/>
    <x v="3"/>
    <x v="46"/>
    <s v="SUDHAKAR"/>
    <n v="802913252"/>
    <s v="Ssd@9290"/>
    <m/>
    <m/>
    <x v="0"/>
    <m/>
    <m/>
    <x v="1"/>
    <d v="2026-06-15T00:00:00"/>
    <n v="12000"/>
    <s v="ICICI Bank Coral Credit Card"/>
    <s v="7TH JULY"/>
    <s v="0000000017462878"/>
    <d v="2026-07-04T00:00:00"/>
  </r>
  <r>
    <s v="4102021165550000"/>
    <s v="MR RUDRARAJU VEERAVENKATA SATYANA"/>
    <n v="0"/>
    <x v="0"/>
    <m/>
    <m/>
    <m/>
    <s v="O"/>
    <x v="10"/>
    <s v="9959229666"/>
    <s v="Y"/>
    <n v="-123446.94"/>
    <n v="300000"/>
    <n v="176553.06"/>
    <s v=""/>
    <n v="176553.06"/>
    <n v="163131.39000000001"/>
    <n v="31080"/>
    <n v="15480"/>
    <x v="1"/>
    <x v="2"/>
    <n v="25670"/>
    <n v="-10190"/>
    <x v="25"/>
    <s v="TC"/>
    <s v="30501-BBPS Payment received"/>
    <s v="HARI"/>
    <x v="7"/>
    <x v="3"/>
    <s v="2 132 GAADIRAJU VARI MERAKA BEHIND SEETHAMARAJU STATUE KUMARAGIRI  AMALAPURAM ANP 533220"/>
    <s v="SATYAM AQUA 2 219 KUMARA GIRI POLAVARAM MANDAL INDIA AP INDIA AP AMALAPURAM ANP 533220"/>
    <s v="AMALAPURAM"/>
    <x v="4"/>
    <x v="28"/>
    <s v="B NAGABABU"/>
    <n v="801448854"/>
    <s v="Sgr@9290"/>
    <m/>
    <m/>
    <x v="0"/>
    <m/>
    <m/>
    <x v="1"/>
    <d v="2025-07-31T00:00:00"/>
    <n v="11000"/>
    <s v="ICICI Gold Business Card (BCCL-V)"/>
    <s v="7TH JULY"/>
    <s v="1000000000703519"/>
    <d v="2026-07-04T00:00:00"/>
  </r>
  <r>
    <s v="4035620610584001"/>
    <s v="MR CHAGALAMARRI HUSSANAIAH"/>
    <n v="0"/>
    <x v="0"/>
    <m/>
    <m/>
    <m/>
    <s v="N"/>
    <x v="10"/>
    <s v="9581818435"/>
    <s v="X"/>
    <n v="22693.109999999986"/>
    <n v="150000"/>
    <n v="172693.11"/>
    <s v=""/>
    <n v="172693.11"/>
    <n v="149978.41"/>
    <n v="58420"/>
    <n v="27439.75"/>
    <x v="0"/>
    <x v="0"/>
    <n v="0"/>
    <n v="27439.75"/>
    <x v="0"/>
    <s v="NA"/>
    <n v="0"/>
    <s v="HARI"/>
    <x v="6"/>
    <x v="3"/>
    <s v="&quot;1/11,LINGALADINNE MYDEKUR,CUDDAPAH,S MYD&quot; &quot;UKUR,&quot;  XXX PRODDATUR ANP 516172"/>
    <s v="COGNIZANT TECHNOLOGY SOLUTIONS INDIA PRI DLF CYBERCITY PLOT NO 129 103 131 APHBCOLONY HYDERBAD COLONY HYDERBAD HYDERABAD TNG 500019"/>
    <s v="PRODDATUR"/>
    <x v="1"/>
    <x v="15"/>
    <s v="VSSK PRASAD"/>
    <n v="802349062"/>
    <s v="Ssd@9290"/>
    <m/>
    <m/>
    <x v="0"/>
    <s v="LIVE"/>
    <s v="Cm job loss sir cm cant pay now cm going to labour work sir."/>
    <x v="14"/>
    <d v="2025-03-02T00:00:00"/>
    <n v="149645.22"/>
    <s v="ICICI Rubyx Master PLT Chip Card"/>
    <s v="1ST JULY"/>
    <s v="0000000023134584"/>
    <d v="2026-07-04T00:00:00"/>
  </r>
  <r>
    <s v="4085110062223000"/>
    <s v="MR RACHANANE MUNI TEJA"/>
    <n v="0"/>
    <x v="0"/>
    <m/>
    <m/>
    <m/>
    <s v="N"/>
    <x v="10"/>
    <s v="9000007318"/>
    <s v="X"/>
    <n v="19300.619999999995"/>
    <n v="150000"/>
    <n v="169300.62"/>
    <n v="2268.69"/>
    <n v="167031.93"/>
    <n v="147692.35"/>
    <n v="53940"/>
    <n v="10410"/>
    <x v="1"/>
    <x v="2"/>
    <n v="10420"/>
    <n v="-10"/>
    <x v="20"/>
    <s v="TC"/>
    <s v="30501-BBPS Payment received"/>
    <s v="HARI"/>
    <x v="8"/>
    <x v="3"/>
    <s v="&quot;14-3,MUCHERLA STREET,JAMMALAMADUGU&quot; CUDDAPAH ANDHRA PRADESH  ATM PRODDATUR ANP 516434"/>
    <s v="SANDISK INDIA DEVICE DESIGN CENTRE PVT &quot;SYNO15/3AND16,SALARPURIAHALLMARK,1ST,2ND&quot; &quot;,3RDFLOOR,MARATHAHALLI SARJAPUROUTERRING&quot; &quot;,3RDFLOOR,MARATHAHALLI SARJAPUROUTERRING&quot; BANGALORE KAR 560103"/>
    <s v="PRODDATUR"/>
    <x v="1"/>
    <x v="15"/>
    <s v="VSSK PRASAD"/>
    <n v="802349062"/>
    <s v="Ssd@9290"/>
    <m/>
    <m/>
    <x v="0"/>
    <m/>
    <m/>
    <x v="1"/>
    <d v="2025-12-13T00:00:00"/>
    <n v="16000"/>
    <s v="Mine Credit Card by ICICI Bank Visa Card"/>
    <s v="7TH JULY"/>
    <s v="0000000024903617"/>
    <d v="2026-07-04T00:00:00"/>
  </r>
  <r>
    <s v="4035621062859008"/>
    <s v="MR AGARAM CHANDRAKEERTHI REDDY"/>
    <n v="0"/>
    <x v="0"/>
    <m/>
    <m/>
    <m/>
    <s v="N"/>
    <x v="10"/>
    <s v="7095630177"/>
    <s v="X"/>
    <n v="14444.910000000003"/>
    <n v="150000"/>
    <n v="164444.91"/>
    <s v=""/>
    <n v="164444.91"/>
    <n v="149179.72"/>
    <n v="38200"/>
    <n v="14270"/>
    <x v="1"/>
    <x v="2"/>
    <n v="14270"/>
    <n v="0"/>
    <x v="25"/>
    <s v="TC"/>
    <s v="30501-BBPS Payment received"/>
    <s v="HARI"/>
    <x v="6"/>
    <x v="3"/>
    <s v="H NO.408/2-3-13/A/1 &quot;SAI BALAJI TOWERS,UP STAIRS OF BIG C&quot; &quot;RAICHUR ROAD,MAHABUBNAGAR&quot; NEAR ASHOK TALKIES MAHBOOBNAGAR TNG 509001"/>
    <s v="ZEE ENTERTAINMENT ENTERPRISES LIMITED RMZ ECOSPACE 1B BUILDING BANGLORE BANGLORE BANGALORE KAR 560103"/>
    <s v="MAHBOOBNAGAR"/>
    <x v="0"/>
    <x v="19"/>
    <s v="SAMBA"/>
    <n v="801772794"/>
    <s v="Ssde@9876"/>
    <m/>
    <m/>
    <x v="0"/>
    <m/>
    <m/>
    <x v="1"/>
    <d v="2024-07-08T00:00:00"/>
    <n v="66000"/>
    <s v="ICICI Bank Coral Credit Card"/>
    <s v="7TH JULY"/>
    <s v="0000000025715485"/>
    <d v="2026-07-04T00:00:00"/>
  </r>
  <r>
    <s v="4102021051318009"/>
    <s v="MS NASEEM SULTANA"/>
    <n v="0"/>
    <x v="0"/>
    <m/>
    <m/>
    <m/>
    <s v="N"/>
    <x v="10"/>
    <s v="9505950909"/>
    <s v="X"/>
    <n v="12812.98000000001"/>
    <n v="150000"/>
    <n v="162812.98000000001"/>
    <s v=""/>
    <n v="162812.98000000001"/>
    <n v="149770.5"/>
    <n v="32390"/>
    <n v="10720"/>
    <x v="0"/>
    <x v="0"/>
    <n v="0"/>
    <n v="10720"/>
    <x v="0"/>
    <s v="NA"/>
    <n v="0"/>
    <s v="HARI"/>
    <x v="9"/>
    <x v="3"/>
    <s v="5 17 JANGAON SURYAPET ROAD   DURGAMMA TEMPLE WARANGAL TNG 506167"/>
    <s v="AYESHA AGENCIES 6 36 NELUTLA LINGALGANPUR JANGAON JANGAON WARANGAL TNG 506167"/>
    <s v="WARANGAL"/>
    <x v="0"/>
    <x v="30"/>
    <s v="RAJKUMAR"/>
    <n v="802835406"/>
    <s v="Ssde@9290"/>
    <m/>
    <m/>
    <x v="0"/>
    <s v="SKIP"/>
    <s v="Customer given permanent house address area visited sir address not found then given office address visited sir office shutter closed 🔐 customer phone call not reachable"/>
    <x v="24"/>
    <d v="2026-05-04T00:00:00"/>
    <n v="146312.70000000001"/>
    <s v="ICICI Gold Business Card (BCCL-V)"/>
    <s v="7TH JULY"/>
    <s v="1000000000560161"/>
    <d v="2026-07-04T00:00:00"/>
  </r>
  <r>
    <s v="4035620760808002"/>
    <s v="MR THANDA SAIDULU"/>
    <n v="0"/>
    <x v="0"/>
    <m/>
    <m/>
    <m/>
    <s v="N"/>
    <x v="10"/>
    <s v="9398579863"/>
    <s v="X"/>
    <n v="10497.470000000001"/>
    <n v="150000"/>
    <n v="160497.47"/>
    <s v=""/>
    <n v="160497.47"/>
    <n v="137931.5"/>
    <n v="43110"/>
    <n v="15710"/>
    <x v="1"/>
    <x v="2"/>
    <n v="16000"/>
    <n v="-290"/>
    <x v="22"/>
    <s v="TC"/>
    <s v="30501-BBPS Payment received"/>
    <s v="HARI"/>
    <x v="4"/>
    <x v="3"/>
    <s v="HNO 2-113 NARKETPAL MANDAL AKKENEPALLI LINGOTAM NALGONDA NEAR MARKETPALLY NALGONDA TNG 508254"/>
    <s v="INFOSYS LIMITED SYNO 210 MANIKONDA VILLAGE LINGAMPALLY RANGAREDDY LINGAMPALLY RANGAREDDY HYDERABAD TNG 500019"/>
    <s v="NALGONDA"/>
    <x v="0"/>
    <x v="21"/>
    <s v="PAVAN"/>
    <n v="802823180"/>
    <s v="Sgr@9290"/>
    <m/>
    <m/>
    <x v="0"/>
    <m/>
    <m/>
    <x v="1"/>
    <d v="2025-12-05T00:00:00"/>
    <n v="33000"/>
    <s v="ICICI Bank HPCL Super Saver Master Credit Card"/>
    <s v="7TH JULY"/>
    <s v="0000000023965532"/>
    <d v="2026-07-04T00:00:00"/>
  </r>
  <r>
    <s v="4035621209846009"/>
    <s v="MS GAJULA ANUSHA"/>
    <n v="0"/>
    <x v="0"/>
    <m/>
    <m/>
    <m/>
    <s v="N"/>
    <x v="10"/>
    <s v="8317692884"/>
    <s v="X"/>
    <n v="-21105.950000000012"/>
    <n v="180000"/>
    <n v="158894.04999999999"/>
    <n v="15689.13"/>
    <n v="143204.92000000001"/>
    <n v="133471.32"/>
    <n v="42590"/>
    <n v="21260"/>
    <x v="0"/>
    <x v="0"/>
    <n v="0"/>
    <n v="21260"/>
    <x v="0"/>
    <s v="NA"/>
    <n v="0"/>
    <s v="HARI"/>
    <x v="7"/>
    <x v="3"/>
    <s v="H NO 7 2 RATNAPUR KAMANPURA RATNAPUT  KARIMNAGAR TNG 505212"/>
    <s v="SELF EMPLOYED METPALLY POLICE STATION METPALLY METPALLY KARIMNAGAR TNG 505326"/>
    <s v="PEDDAPALLI"/>
    <x v="0"/>
    <x v="39"/>
    <s v="POORNIMA"/>
    <n v="802824019"/>
    <s v="Nihan@2421"/>
    <m/>
    <m/>
    <x v="1"/>
    <m/>
    <m/>
    <x v="1"/>
    <d v="2026-05-04T00:00:00"/>
    <n v="19806.759999999998"/>
    <s v="ICICI Bank Coral RuPay Credit Card"/>
    <s v="10TH JULY"/>
    <s v="0000000026410124"/>
    <d v="2026-07-04T00:00:00"/>
  </r>
  <r>
    <s v="4035621264708003"/>
    <s v="MR NAGISETTI MAHESH"/>
    <n v="0"/>
    <x v="0"/>
    <m/>
    <s v="CC"/>
    <s v="04-07-2026 , CUS PAID STAB AMOUNT"/>
    <s v="O"/>
    <x v="10"/>
    <s v="9959293174"/>
    <s v="X"/>
    <n v="18801.109999999986"/>
    <n v="140000"/>
    <n v="158801.10999999999"/>
    <s v=""/>
    <n v="158801.10999999999"/>
    <n v="139961.42000000001"/>
    <n v="56010"/>
    <n v="33920"/>
    <x v="1"/>
    <x v="2"/>
    <n v="33920"/>
    <n v="0"/>
    <x v="13"/>
    <s v="TC"/>
    <s v="30501-BBPS Payment received"/>
    <s v="HARI"/>
    <x v="9"/>
    <x v="3"/>
    <s v="&quot;1-4,KASUKARRU KASUKARRU,.,CHINTALAPUDI,.&quot; &quot;,PONNUR&quot;  NEAR TEMPLE GUNTUR ANP 522124"/>
    <s v="INFOSYS LIMITED &quot;NO 44 INFOSYS AVENUE HOSUR ROAD,&quot;&quot;ELECTRONIC CITY PHASE 1,&quot; &quot;ELECTRONIC CITY PHASE 1,&quot; BANGALORE KAR 560100"/>
    <s v="GUNTUR"/>
    <x v="5"/>
    <x v="10"/>
    <s v="INAMUL"/>
    <n v="802823175"/>
    <s v="Sgr@9290"/>
    <m/>
    <m/>
    <x v="0"/>
    <m/>
    <m/>
    <x v="1"/>
    <d v="2026-03-06T00:00:00"/>
    <n v="250"/>
    <s v="ICICI Bank Coral Credit Card"/>
    <s v="1ST JULY"/>
    <s v="0000000026683540"/>
    <d v="2026-07-04T00:00:00"/>
  </r>
  <r>
    <s v="4035620871144008"/>
    <s v="MS JULATHOTA SUJATHAMMA"/>
    <n v="0"/>
    <x v="0"/>
    <m/>
    <m/>
    <m/>
    <s v="O"/>
    <x v="10"/>
    <s v="9618355305"/>
    <s v="X"/>
    <n v="6953.8500000000058"/>
    <n v="150000"/>
    <n v="156953.85"/>
    <s v=""/>
    <n v="156953.85"/>
    <n v="148228.46"/>
    <n v="38800"/>
    <n v="22990"/>
    <x v="0"/>
    <x v="0"/>
    <n v="0"/>
    <n v="22990"/>
    <x v="0"/>
    <s v="NA"/>
    <n v="0"/>
    <s v="HARI"/>
    <x v="8"/>
    <x v="3"/>
    <s v="&quot;2/294-2 MARUTHI NAGAR,MARUTHI,NAGAR CUDD&quot; &quot;APAH,,CUDDAPAH&quot;  MAIN ROAD CUDDAPAH ANP 516001"/>
    <s v="GOVT OF AP VIDYA SAGAR AIDED UPPER PRIMARY SCHOOL V &quot;VISVANATHAPURAM C. K DINNE KADAPA ,CUDDA&quot; &quot;VISVANATHAPURAM C. K DINNE KADAPA ,CUDDA&quot; CUDDAPAH ANP 516004"/>
    <s v="CUDDAPAH"/>
    <x v="1"/>
    <x v="48"/>
    <s v="SIVARAU"/>
    <n v="801601134"/>
    <s v="Ssd@9290"/>
    <m/>
    <m/>
    <x v="0"/>
    <s v="SKIP"/>
    <s v="Cus given address not found and cus is not responding to calls"/>
    <x v="21"/>
    <d v="2026-03-16T00:00:00"/>
    <n v="9020"/>
    <s v="ICICI Bank Coral Credit Card"/>
    <s v="7TH JULY"/>
    <s v="0000000024639052"/>
    <d v="2026-07-04T00:00:00"/>
  </r>
  <r>
    <s v="4035621360800001"/>
    <s v="MR CHINTA LIMBADRI"/>
    <n v="0"/>
    <x v="0"/>
    <m/>
    <m/>
    <m/>
    <s v="O"/>
    <x v="10"/>
    <s v="9603921104"/>
    <s v="X"/>
    <n v="9963.8500000000058"/>
    <n v="140000"/>
    <n v="149963.85"/>
    <s v=""/>
    <n v="149963.85"/>
    <n v="134371.4"/>
    <n v="38360"/>
    <n v="23080"/>
    <x v="0"/>
    <x v="0"/>
    <n v="0"/>
    <n v="23080"/>
    <x v="0"/>
    <s v="NA"/>
    <s v="30501-BBPS Payment received"/>
    <s v="HARI"/>
    <x v="9"/>
    <x v="3"/>
    <s v="&quot;H NO,1 85 NANDIPET NIZAMABAD,&quot; NANDIPET  NEAR HANUMAN TEMPLE NIZAMABAD TNG 503212"/>
    <s v="GOVERNMENT OF TELANGANA DIVISIONAL ENGINEER ELECTRICAL TSNPDCL OFFICE TSNPDCL OFFICE NIZAMABAD TNG 503001"/>
    <s v="NIZAMABAD"/>
    <x v="0"/>
    <x v="9"/>
    <s v="D RAMU"/>
    <n v="802663344"/>
    <s v="Sgr@9290"/>
    <m/>
    <m/>
    <x v="0"/>
    <s v="LIVE"/>
    <s v="Feedback customer office adders visit asking 2 days time"/>
    <x v="16"/>
    <d v="2025-08-16T00:00:00"/>
    <n v="2590"/>
    <s v="ICICI Bank Coral Credit Card"/>
    <s v="7TH JULY"/>
    <s v="0000000027202862"/>
    <d v="2026-07-04T00:00:00"/>
  </r>
  <r>
    <s v="4035620930127002"/>
    <s v="MR PENTA RAJ KUMAR"/>
    <n v="0"/>
    <x v="0"/>
    <m/>
    <m/>
    <m/>
    <s v="N"/>
    <x v="10"/>
    <s v="8374772172"/>
    <s v="X"/>
    <n v="7302.0899999999965"/>
    <n v="140000"/>
    <n v="147302.09"/>
    <s v=""/>
    <n v="147302.09"/>
    <n v="133439.82999999999"/>
    <n v="29160"/>
    <n v="7840"/>
    <x v="0"/>
    <x v="0"/>
    <n v="0"/>
    <n v="7840"/>
    <x v="0"/>
    <s v="NA"/>
    <n v="0"/>
    <s v="HARI"/>
    <x v="6"/>
    <x v="3"/>
    <s v="HNO 11 25 977/3/1 KOTHAWADA WARANGAL WARANGAL NEAR MAIN ROAD WARANGAL TNG 506002"/>
    <s v="SBA TECH SOULTIONS PRIVATE LIMITED 1102 WALNUT BUILDING T 7 LBS ROAD KANJURMARG MUMBAI KANJURMARG MUMBAI MUMBAI MAH 400078"/>
    <s v="WARANGAL"/>
    <x v="0"/>
    <x v="20"/>
    <s v="KARUNAKAR"/>
    <n v="801264672"/>
    <s v="Ssd@9291"/>
    <m/>
    <m/>
    <x v="0"/>
    <s v="SKIP"/>
    <s v="Visited Customer Given Adress Customer Not Available Customer Staying in Hyd Phone Call Not Answering Sir"/>
    <x v="20"/>
    <d v="2025-07-01T00:00:00"/>
    <n v="162650"/>
    <s v="ICICI Bank Coral Credit Card"/>
    <s v="7TH JULY"/>
    <s v="0000000025026159"/>
    <d v="2026-07-04T00:00:00"/>
  </r>
  <r>
    <s v="4035621408103004"/>
    <s v="MR VUTHURI RAJU"/>
    <n v="0"/>
    <x v="0"/>
    <m/>
    <m/>
    <m/>
    <s v="O"/>
    <x v="10"/>
    <s v="9966069666"/>
    <s v="X"/>
    <n v="1760.3999999999942"/>
    <n v="140000"/>
    <n v="141760.4"/>
    <s v=""/>
    <n v="141760.4"/>
    <n v="133559.67999999999"/>
    <n v="41420"/>
    <n v="31820"/>
    <x v="1"/>
    <x v="1"/>
    <n v="53200"/>
    <n v="-21380"/>
    <x v="11"/>
    <s v="FE"/>
    <s v="30501-BBPS Payment received"/>
    <s v="HARI"/>
    <x v="4"/>
    <x v="3"/>
    <s v="H NO 1-27/1 MEDIPALLE MANDAL KONDAPOOR ROAD NEAR BY MOD BAZAR LOOK KARIMNAGAR TNG 505453"/>
    <s v="CAPGEMINI TECHNOLOGY SERVICES INDIA LIMI &quot;BUILDING NO 164,165 EPIP INDUSTRIAL AREA&quot;EPIP ZONE PHASE2 WHITEFIELD BANGALORE EPIP ZONE PHASE2 WHITEFIELD BANGALORE BANGALORE KAR 560066"/>
    <s v="KARIMNAGAR"/>
    <x v="0"/>
    <x v="9"/>
    <s v="D RAMU"/>
    <n v="802663344"/>
    <s v="Sgr@9290"/>
    <m/>
    <m/>
    <x v="0"/>
    <s v="LIVE"/>
    <s v=" customer paymet on 10th date"/>
    <x v="6"/>
    <d v="2024-08-04T00:00:00"/>
    <n v="10000"/>
    <s v="ICICI Bank Sapphiro Visa Credit Card"/>
    <s v="1ST JULY"/>
    <s v="0000000027544428"/>
    <d v="2026-07-04T00:00:00"/>
  </r>
  <r>
    <s v="4035621570417000"/>
    <s v="MR KARNI KUMAR"/>
    <n v="0"/>
    <x v="0"/>
    <m/>
    <m/>
    <m/>
    <s v="N"/>
    <x v="10"/>
    <s v="9666977755"/>
    <s v="Y"/>
    <n v="-59700.209999999992"/>
    <n v="200000"/>
    <n v="140299.79"/>
    <s v=""/>
    <n v="140299.79"/>
    <n v="127874.11"/>
    <n v="20010"/>
    <n v="7650"/>
    <x v="1"/>
    <x v="2"/>
    <n v="17000"/>
    <n v="-9350"/>
    <x v="23"/>
    <s v="TC"/>
    <s v="30501-BBPS Payment received"/>
    <s v="HARI"/>
    <x v="7"/>
    <x v="3"/>
    <s v="&quot;6-39 MOSRA,NARNI NIZAMABAD&quot; ...  MOBILE 8099998778 NEAR GANDHI STATUE NIZAMABAD TNG 503206"/>
    <s v="BON BLOCK TECHNOLOGIES PRIVATE LIMITED RR TOWERS 8TH FLOOR SHIPPO INDUSTRIAL AREA CHENNAI TAMIL NADU AREA CHENNAI TAMIL NADU CHENNAI TMN 600032"/>
    <s v="NIZAMABAD"/>
    <x v="0"/>
    <x v="9"/>
    <s v="D RAMU"/>
    <n v="802663344"/>
    <s v="Sgr@9290"/>
    <m/>
    <m/>
    <x v="0"/>
    <m/>
    <m/>
    <x v="1"/>
    <d v="2025-08-19T00:00:00"/>
    <n v="306"/>
    <s v="ICICI Bank Coral Credit Card"/>
    <s v="7TH JULY"/>
    <s v="0000000028973405"/>
    <d v="2026-07-04T00:00:00"/>
  </r>
  <r>
    <s v="4035621770930000"/>
    <s v="MS YEGGONI NAGA SHIRISHA"/>
    <n v="0"/>
    <x v="0"/>
    <m/>
    <m/>
    <m/>
    <s v="N"/>
    <x v="10"/>
    <s v="7995859500"/>
    <s v="X"/>
    <n v="6777.9599999999919"/>
    <n v="130000"/>
    <n v="136777.96"/>
    <n v="75669.149999999994"/>
    <n v="61108.81"/>
    <n v="52295.62"/>
    <n v="25530"/>
    <n v="11330"/>
    <x v="0"/>
    <x v="0"/>
    <n v="0"/>
    <n v="11330"/>
    <x v="0"/>
    <s v="NA"/>
    <n v="0"/>
    <s v="HARI"/>
    <x v="8"/>
    <x v="3"/>
    <s v="26-607-Z-22E NANDYAL V C COLONY  NANDYAL ANP 518501"/>
    <s v="SOPRA STERIAPVT LTD 2/G-2 SIPCOT IT PARK SIRUSERI KANCHIPURAM TAMIL NADU 603103 KANCHIPURAM TAMIL NADU 603103 CHENNAI TMN 603103"/>
    <s v="NANDYAL"/>
    <x v="1"/>
    <x v="7"/>
    <s v="HARI"/>
    <n v="802388289"/>
    <s v="Ssd@9290"/>
    <m/>
    <m/>
    <x v="0"/>
    <s v="SKIP"/>
    <s v="Customer house address not found mobile not responding give me kyc details // Customer house address not found mobile not responding // Customer house address not found mobile not responding"/>
    <x v="23"/>
    <s v=""/>
    <n v="0"/>
    <s v="ICICI Bank Coral Credit Card"/>
    <s v="7TH JULY"/>
    <s v="0000000031159881"/>
    <d v="2026-07-04T00:00:00"/>
  </r>
  <r>
    <s v="4315812473428001"/>
    <s v="MR Shaik Yakub Pasha"/>
    <n v="0"/>
    <x v="0"/>
    <m/>
    <m/>
    <m/>
    <s v="N"/>
    <x v="10"/>
    <s v="8121563666"/>
    <s v="X"/>
    <n v="-53331.26999999999"/>
    <n v="190000"/>
    <n v="136668.73000000001"/>
    <s v=""/>
    <n v="136668.73000000001"/>
    <n v="122314.06"/>
    <n v="22050"/>
    <n v="8740"/>
    <x v="1"/>
    <x v="1"/>
    <n v="22050"/>
    <n v="-13310"/>
    <x v="17"/>
    <s v="TC"/>
    <s v="12124 - UPI Payment Received"/>
    <s v="HARI"/>
    <x v="7"/>
    <x v="3"/>
    <s v="1-67 Pogallapalli Pogallapalli Khammam KHAMMAM TNG 507115"/>
    <s v="NAVA BHARAT VENTURES LIMITED &quot;Q NO F-42, NAVA NAGAR COLONY&quot; SIIL CAMPUS POST PALWANCHA SIIL CAMPUS POST PALWANCHA KHAMMAM TNG 507154"/>
    <s v="KHAMMAM"/>
    <x v="0"/>
    <x v="27"/>
    <s v="POORNIMA"/>
    <n v="802824019"/>
    <s v="Nihan@2421"/>
    <m/>
    <m/>
    <x v="0"/>
    <m/>
    <m/>
    <x v="1"/>
    <d v="2026-05-09T00:00:00"/>
    <n v="7310"/>
    <s v="Amazon Pay ICICI Bank Credit Card"/>
    <s v="10TH JULY"/>
    <s v="0000000020938774"/>
    <d v="2026-07-04T00:00:00"/>
  </r>
  <r>
    <s v="4085110097078007"/>
    <s v="MR SARIPALLI NARESH VARMA"/>
    <n v="0"/>
    <x v="0"/>
    <m/>
    <m/>
    <m/>
    <s v="N"/>
    <x v="10"/>
    <s v="9397334455"/>
    <s v="X"/>
    <n v="-96.320000000006985"/>
    <n v="120000"/>
    <n v="119903.67999999999"/>
    <s v=""/>
    <n v="119903.67999999999"/>
    <n v="106965.32"/>
    <n v="19660"/>
    <n v="7830"/>
    <x v="0"/>
    <x v="0"/>
    <n v="386"/>
    <n v="7444"/>
    <x v="0"/>
    <s v="NA"/>
    <s v="12111-ICICI BANK COLLECTION PAYMENT"/>
    <s v="HARI"/>
    <x v="5"/>
    <x v="3"/>
    <s v="&quot;1-88,UPPULURU TOOMU NEAR,KALUVA,UNDI&quot; &quot;MANDALAM,KOLAMURU,WEST GODAVARI&quot; ANDHRA PRADESH XX BHIMAVARAM ANP 534199"/>
    <s v="GOACHIEV TECHNOLOGIES PVT LTD &quot;MANYATA EMBASSY,BUSINESS PARK,GROUND FLR&quot; &quot;E-1 BLK,BEACH OUTER RING RD,&quot; &quot;E-1 BLK,BEACH OUTER RING RD,&quot; BANGALORE KAR 560045"/>
    <s v="BHIMAVARAM"/>
    <x v="4"/>
    <x v="26"/>
    <s v="B NAGABABU"/>
    <n v="801448854"/>
    <s v="Sgr@9290"/>
    <m/>
    <m/>
    <x v="0"/>
    <s v="DL"/>
    <s v="cmr not there at given address, cmr lives in banglore and cmr not answering calls and cmr house door locked"/>
    <x v="23"/>
    <d v="2025-12-01T00:00:00"/>
    <n v="127638.86"/>
    <s v="Mine Credit Card by ICICI Bank Visa Card"/>
    <s v="7TH JULY"/>
    <s v="0000000026237020"/>
    <d v="2026-07-04T00:00:00"/>
  </r>
  <r>
    <s v="4035621732789007"/>
    <s v="Mrs SHAIK AMEEN SAHEB GARI NA"/>
    <n v="0"/>
    <x v="0"/>
    <m/>
    <m/>
    <m/>
    <s v="N"/>
    <x v="10"/>
    <s v="7285959837"/>
    <s v="X"/>
    <n v="5752.3999999999942"/>
    <n v="110000"/>
    <n v="115752.4"/>
    <n v="82084.600000000006"/>
    <n v="33667.800000000003"/>
    <n v="25925.21"/>
    <n v="33667.800000000003"/>
    <n v="16017.52"/>
    <x v="0"/>
    <x v="0"/>
    <n v="0"/>
    <n v="16017.52"/>
    <x v="0"/>
    <s v="NA"/>
    <s v="12111-ICICI BANK COLLECTION PAYMENT"/>
    <s v="HARI"/>
    <x v="9"/>
    <x v="3"/>
    <s v="&quot;11-92,MANGALA STREET MANGALA,STREET,&quot; PORUMAMILLA   CUDDAPAH ANP 516193"/>
    <s v="Not Applicable Porumamillacuddapah cuddapah CUDDAPAH ANP 516193"/>
    <s v="CUDDAPAH"/>
    <x v="1"/>
    <x v="48"/>
    <s v="SIVARAU"/>
    <n v="801601134"/>
    <s v="Ssd@9290"/>
    <m/>
    <m/>
    <x v="1"/>
    <m/>
    <m/>
    <x v="1"/>
    <d v="2026-04-22T00:00:00"/>
    <n v="8665"/>
    <s v="ICICI Bank Coral Credit Card"/>
    <s v="1ST JULY"/>
    <s v="0000000030776516"/>
    <d v="2026-07-04T00:00:00"/>
  </r>
  <r>
    <s v="4035621139641009"/>
    <s v="Mr KADAMMA GARI SURESH"/>
    <n v="0"/>
    <x v="0"/>
    <m/>
    <m/>
    <s v="CUS CALLS NOT RESPONDING"/>
    <s v="N"/>
    <x v="10"/>
    <s v="9000593438"/>
    <s v="X"/>
    <n v="10962.919999999998"/>
    <n v="100000"/>
    <n v="110962.92"/>
    <s v=""/>
    <n v="110962.92"/>
    <n v="94089.48"/>
    <n v="32910"/>
    <n v="12040"/>
    <x v="1"/>
    <x v="2"/>
    <n v="12040"/>
    <n v="0"/>
    <x v="23"/>
    <s v="TC"/>
    <s v="30501-BBPS Payment received"/>
    <s v="HARI"/>
    <x v="4"/>
    <x v="3"/>
    <s v="&quot;VIDAPANAKAL,B C COLONY PALTHUR,VIDAPANAKAL,&quot; PALTHUR   ANANTAPUR ANP 515731"/>
    <s v="Not Applicable Palthur Palthur Palthur ANANTAPUR ANP 515731"/>
    <s v="ANANTAPUR"/>
    <x v="1"/>
    <x v="12"/>
    <s v="POORNIMA"/>
    <n v="802824019"/>
    <s v="Nihan@2421"/>
    <m/>
    <m/>
    <x v="0"/>
    <m/>
    <m/>
    <x v="1"/>
    <d v="2026-03-16T00:00:00"/>
    <n v="4720"/>
    <s v="ICICI Bank Coral Credit Card"/>
    <s v="7TH JULY"/>
    <s v="0000000026093531"/>
    <d v="2026-07-04T00:00:00"/>
  </r>
  <r>
    <s v="4035622204092003"/>
    <s v="MRS D JAYA D JAYA LAKSHMI"/>
    <n v="0"/>
    <x v="0"/>
    <m/>
    <m/>
    <m/>
    <s v="N"/>
    <x v="10"/>
    <s v="8121338133"/>
    <s v="X"/>
    <n v="10204.880000000005"/>
    <n v="100000"/>
    <n v="110204.88"/>
    <s v=""/>
    <n v="110204.88"/>
    <n v="99706.83"/>
    <n v="29920"/>
    <n v="4990"/>
    <x v="1"/>
    <x v="1"/>
    <n v="29920"/>
    <n v="-24930"/>
    <x v="25"/>
    <s v="TC"/>
    <s v="30501-BBPS Payment received"/>
    <s v="HARI"/>
    <x v="5"/>
    <x v="3"/>
    <s v="&quot;28-343/B,RAMNAGAR COLONY,CHITTOOR,&quot; RAMNAGAR COLONY   CHITTOOR ANP 517001"/>
    <s v="      "/>
    <s v="CHITTOOR"/>
    <x v="1"/>
    <x v="42"/>
    <s v="SK MUJEEB"/>
    <n v="802175739"/>
    <s v="Ssd@9290"/>
    <m/>
    <m/>
    <x v="0"/>
    <m/>
    <m/>
    <x v="1"/>
    <s v=""/>
    <n v="0"/>
    <s v="ICICI Bank Coral Credit Card"/>
    <s v="10TH JULY"/>
    <s v="0000000035502010"/>
    <d v="2026-07-04T00:00:00"/>
  </r>
  <r>
    <s v="4102020107614007"/>
    <s v="MR BOGA SATHISH KUMAR"/>
    <n v="0"/>
    <x v="0"/>
    <m/>
    <m/>
    <m/>
    <s v="N"/>
    <x v="10"/>
    <s v="9959651618"/>
    <s v="X"/>
    <n v="8232.4900000000052"/>
    <n v="100000"/>
    <n v="108232.49"/>
    <s v=""/>
    <n v="108232.49"/>
    <n v="99725"/>
    <n v="26060"/>
    <n v="4990"/>
    <x v="0"/>
    <x v="0"/>
    <n v="0"/>
    <n v="4990"/>
    <x v="0"/>
    <s v="NA"/>
    <n v="0"/>
    <s v="HARI"/>
    <x v="4"/>
    <x v="3"/>
    <s v="H NO 6 5 264 SAI NAGAR KARIM NAGAR   NEAR SAI BABA TEMPLE KARIMNAGAR ANP 505001"/>
    <s v="LAXMI GANAPATHI GARMENTS H NO 6 5 264 SAI NAGAR KARIM NAGAR   KARIMNAGAR ANP 505001"/>
    <s v="KARIMNAGAR"/>
    <x v="0"/>
    <x v="8"/>
    <s v="SUMANTH"/>
    <n v="802370852"/>
    <s v="Sgr@9290"/>
    <m/>
    <m/>
    <x v="0"/>
    <s v="SKIP"/>
    <s v="Customer address visited and customer shifted to another address and customer mobile switched off need kyc sir"/>
    <x v="20"/>
    <d v="2024-07-04T00:00:00"/>
    <n v="100000"/>
    <s v="ICICI Gold Business Card (BCCL-V)"/>
    <s v="7TH JULY"/>
    <s v="1000000000155090"/>
    <d v="2026-07-04T00:00:00"/>
  </r>
  <r>
    <s v="4102021196381003"/>
    <s v="Ms. SADIQ MOHAMMED SADIQ AHMED"/>
    <n v="0"/>
    <x v="0"/>
    <m/>
    <m/>
    <m/>
    <s v="N"/>
    <x v="10"/>
    <s v="8125918091"/>
    <s v="X"/>
    <n v="-1960.4400000000023"/>
    <n v="110000"/>
    <n v="108039.56"/>
    <s v=""/>
    <n v="108039.56"/>
    <n v="95687.49"/>
    <n v="18120"/>
    <n v="7350"/>
    <x v="1"/>
    <x v="1"/>
    <n v="18200"/>
    <n v="-10850"/>
    <x v="25"/>
    <s v="TC"/>
    <s v="12101-INFINITY PYMT RCVD"/>
    <s v="HARI"/>
    <x v="8"/>
    <x v="3"/>
    <s v="8209 KATTAVARI STREETWYCHIPETA &quot;GANDHIBOMMA,NTR&quot;   VJW ANP 520001"/>
    <s v="8209 KATTAVARI STREETWYCHIPETA &quot;GANDHIBOMMA,NTR&quot;   VJW ANP 520001"/>
    <s v="VIJAYAWADA"/>
    <x v="3"/>
    <x v="46"/>
    <s v="SUDHAKAR"/>
    <n v="802913252"/>
    <s v="Ssd@9290"/>
    <m/>
    <m/>
    <x v="0"/>
    <m/>
    <m/>
    <x v="1"/>
    <d v="2026-05-08T00:00:00"/>
    <n v="25000"/>
    <s v="ICICI Gold Business Card (BCCL-V)"/>
    <s v="10TH JULY"/>
    <s v="1000000000749841"/>
    <d v="2026-07-04T00:00:00"/>
  </r>
  <r>
    <s v="4102020174045002"/>
    <s v="MR VIJAYA KUMAR YAADAMREDDY"/>
    <n v="0"/>
    <x v="0"/>
    <m/>
    <m/>
    <m/>
    <s v="N"/>
    <x v="10"/>
    <s v="9494576222"/>
    <s v="X"/>
    <n v="7887.2400000000052"/>
    <n v="100000"/>
    <n v="107887.24"/>
    <s v=""/>
    <n v="107887.24"/>
    <n v="95587.65"/>
    <n v="26300"/>
    <n v="8850"/>
    <x v="1"/>
    <x v="1"/>
    <n v="100000"/>
    <n v="-91150"/>
    <x v="22"/>
    <s v="TC"/>
    <s v="12101-INFINITY PYMT RCVD"/>
    <s v="HARI"/>
    <x v="8"/>
    <x v="3"/>
    <s v="3 3 UPPALAKALAVAGUNTA PEDANA   PENANA GUDIVADA ANP S"/>
    <s v="VIJAYA FABRICATION WORKS BLOCK NO B 909 PLOT NO 205 NEW AUTO NAGAR NAGAR VIJAYAWADA ANP 520007"/>
    <s v="VIJAYAWADA"/>
    <x v="4"/>
    <x v="6"/>
    <s v="KOTI"/>
    <n v="801597759"/>
    <s v="Ssde@9290"/>
    <m/>
    <m/>
    <x v="0"/>
    <m/>
    <m/>
    <x v="1"/>
    <d v="2026-05-08T00:00:00"/>
    <n v="3200"/>
    <s v="ICICI Gold Business Card (BCCL-V)"/>
    <s v="7TH JULY"/>
    <s v="1000000000233746"/>
    <d v="2026-07-04T00:00:00"/>
  </r>
  <r>
    <s v="4035620881145003"/>
    <s v="MR ALLAMRAJU SUBRAHMANYAM"/>
    <s v="RTP"/>
    <x v="0"/>
    <m/>
    <m/>
    <m/>
    <s v="N"/>
    <x v="10"/>
    <s v="8374297043"/>
    <s v="X"/>
    <n v="7728.0899999999965"/>
    <n v="100000"/>
    <n v="107728.09"/>
    <s v=""/>
    <n v="107728.09"/>
    <n v="98110.42"/>
    <n v="21870"/>
    <n v="4200.2"/>
    <x v="1"/>
    <x v="1"/>
    <n v="11000"/>
    <n v="-6799.8"/>
    <x v="22"/>
    <s v="TC"/>
    <s v="30501-BBPS Payment received"/>
    <s v="HARI"/>
    <x v="5"/>
    <x v="3"/>
    <s v="D NO 7-180 SHANKHAVARAM MANDALAM ANNAVARAM RATNAGIRI RESORTS BACK SIDE KAKINADA ANP 533406"/>
    <s v="GOVERNMENT OF ANDHRA PRADESH D NO 7-180 ANNAVARAM ANNAVARAM KAKINADA ANP 533406"/>
    <s v="KAKINADA"/>
    <x v="4"/>
    <x v="13"/>
    <s v="POORNIMA"/>
    <n v="802824019"/>
    <s v="Nihan@2421"/>
    <m/>
    <m/>
    <x v="0"/>
    <m/>
    <m/>
    <x v="1"/>
    <d v="2026-03-10T00:00:00"/>
    <n v="33000"/>
    <s v="ICICI Bank Coral Credit Card"/>
    <s v="7TH JULY"/>
    <s v="0000000024714250"/>
    <d v="2026-07-04T00:00:00"/>
  </r>
  <r>
    <s v="4035622016513006"/>
    <s v="MR GOGULAKONDA AKASH"/>
    <n v="0"/>
    <x v="0"/>
    <m/>
    <m/>
    <m/>
    <s v="N"/>
    <x v="10"/>
    <s v="8712234122"/>
    <s v="X"/>
    <n v="62170.020000000004"/>
    <n v="44000"/>
    <n v="106170.02"/>
    <n v="26410.51"/>
    <n v="79759.509999999995"/>
    <n v="70889.42"/>
    <n v="48900"/>
    <n v="33470"/>
    <x v="0"/>
    <x v="0"/>
    <n v="0"/>
    <n v="33470"/>
    <x v="0"/>
    <s v="NA"/>
    <n v="0"/>
    <s v="HARI"/>
    <x v="7"/>
    <x v="3"/>
    <s v="&quot;2-5-32 SIKHWADI,KARIMNAGAR,KARIMNAGAR&quot;    KARIMNAGAR TNG 505001"/>
    <s v="knr 8-6-236/4/B Mallikarjuana colony Kothirampur Mallikarjuana colony Kothirampur KARIM NAGAR TNG 505002"/>
    <s v="KARIMNAGAR"/>
    <x v="0"/>
    <x v="8"/>
    <s v="SUMANTH"/>
    <n v="802370852"/>
    <s v="Sgr@9290"/>
    <m/>
    <m/>
    <x v="0"/>
    <s v="LIVE"/>
    <s v="Customer live in address and customer saying his card limit redused and he is asking time not ready to pay amount"/>
    <x v="20"/>
    <d v="2026-03-28T00:00:00"/>
    <n v="2000"/>
    <s v="ICICI Bank Coral Credit Card"/>
    <s v="7TH JULY"/>
    <s v="0000000033862238"/>
    <d v="2026-07-04T00:00:00"/>
  </r>
  <r>
    <s v="4035620890827005"/>
    <s v="MR RATHOD JAIPAL"/>
    <n v="0"/>
    <x v="0"/>
    <m/>
    <m/>
    <m/>
    <s v="O"/>
    <x v="10"/>
    <s v="9676218854"/>
    <s v="X"/>
    <n v="5941.8800000000047"/>
    <n v="100000"/>
    <n v="105941.88"/>
    <s v=""/>
    <n v="105941.88"/>
    <n v="94322.33"/>
    <n v="31860"/>
    <n v="15920"/>
    <x v="1"/>
    <x v="2"/>
    <n v="15920"/>
    <n v="0"/>
    <x v="18"/>
    <s v="FE"/>
    <s v="30501-BBPS Payment received"/>
    <s v="HARI"/>
    <x v="6"/>
    <x v="3"/>
    <s v="&quot;1-38,LAL TEKIDI LAL TEKIDI,WALGANDA,.,.,&quot; &quot;.,.&quot;  ADILABAD ADILABAD TNG 504346"/>
    <s v="INFOSYS LIMITED PLOT NO 1 RAJIV GANDHI INFOTECH PARK HINJEWADI PHASE 2 PIMPRI CHINCHWAD HINJEWADI PHASE 2 PIMPRI CHINCHWAD PUNE MAH 411057"/>
    <s v="ADILABAD"/>
    <x v="0"/>
    <x v="3"/>
    <s v="KANTH"/>
    <n v="802794852"/>
    <s v="Ssd@9290"/>
    <m/>
    <m/>
    <x v="0"/>
    <m/>
    <m/>
    <x v="1"/>
    <d v="2026-06-08T00:00:00"/>
    <n v="5830"/>
    <s v="ICICI Bank Coral Credit Card"/>
    <s v="7TH JULY"/>
    <s v="0000000024781731"/>
    <d v="2026-07-04T00:00:00"/>
  </r>
  <r>
    <s v="4035620689363006"/>
    <s v="MR PAVANKUMAR R"/>
    <s v="RTP"/>
    <x v="0"/>
    <m/>
    <m/>
    <s v="CUS MBL NUM SWITCHOFF"/>
    <s v="N"/>
    <x v="10"/>
    <s v="9491274545"/>
    <s v="X"/>
    <n v="5806.6300000000047"/>
    <n v="100000"/>
    <n v="105806.63"/>
    <s v=""/>
    <n v="105806.63"/>
    <n v="99783.77"/>
    <n v="26240"/>
    <n v="14019"/>
    <x v="0"/>
    <x v="0"/>
    <n v="0"/>
    <n v="14019"/>
    <x v="0"/>
    <s v="NA"/>
    <n v="0"/>
    <s v="HARI"/>
    <x v="9"/>
    <x v="3"/>
    <s v="&quot;8-83,PAVANSUTHA HOLIDAYS,SUBHASH ROAD,&quot; BESIDE BANGALORE BAKERY   ANANTAPUR ANP 515001"/>
    <s v="RELIANCE LIFE INSURANCE CO LTD Anantapur Anantapur Anantapur ANANTAPUR ANP 515001"/>
    <s v="ANAPARTHI"/>
    <x v="1"/>
    <x v="12"/>
    <s v="POORNIMA"/>
    <n v="802824019"/>
    <s v="Nihan@2421"/>
    <m/>
    <m/>
    <x v="0"/>
    <s v="SKIP"/>
    <s v="Customer  address visited _x000a_Customer shop shifted"/>
    <x v="17"/>
    <d v="2026-05-25T00:00:00"/>
    <n v="16781"/>
    <s v="ICICI Bank Coral Credit Card"/>
    <s v="7TH JULY"/>
    <s v="0000000023569371"/>
    <d v="2026-07-04T00:00:00"/>
  </r>
  <r>
    <s v="4035621425943002"/>
    <s v="MR NANDINI DHANAVATHU"/>
    <n v="0"/>
    <x v="0"/>
    <m/>
    <m/>
    <m/>
    <s v="O"/>
    <x v="10"/>
    <s v="9390585418"/>
    <s v="X"/>
    <n v="5229.5399999999936"/>
    <n v="100000"/>
    <n v="105229.54"/>
    <s v=""/>
    <n v="105229.54"/>
    <n v="98521.2"/>
    <n v="26630"/>
    <n v="15000"/>
    <x v="1"/>
    <x v="1"/>
    <n v="26630"/>
    <n v="-11630"/>
    <x v="19"/>
    <s v="TC"/>
    <s v="30501-BBPS Payment received"/>
    <s v="HARI"/>
    <x v="6"/>
    <x v="3"/>
    <s v="1-3 &quot;RA 0001,MIRYALAGUDA RAVINDRA NAGAR&quot; OPP DURGA PRASAD HOUSE NEAR GREEN CITY SURYAPET TNG 508207"/>
    <s v="MEDICAL COLLEGE RIMS COLLEGE ONGOLE ONGOLE ONGOLE ANP 523001"/>
    <s v="ONGOLE"/>
    <x v="6"/>
    <x v="21"/>
    <s v="PAVAN"/>
    <n v="802823180"/>
    <s v="Sgr@9290"/>
    <m/>
    <m/>
    <x v="0"/>
    <m/>
    <m/>
    <x v="1"/>
    <d v="2024-07-04T00:00:00"/>
    <n v="5480"/>
    <s v="ICICI Bank Coral Credit Card"/>
    <s v="7TH JULY"/>
    <s v="0000000027677245"/>
    <d v="2026-07-04T00:00:00"/>
  </r>
  <r>
    <s v="4102020352023003"/>
    <s v="Ms. WASEEM  SULTANA"/>
    <n v="0"/>
    <x v="0"/>
    <m/>
    <m/>
    <m/>
    <s v="N"/>
    <x v="10"/>
    <s v="8919581747"/>
    <s v="X"/>
    <n v="4797.7299999999959"/>
    <n v="100000"/>
    <n v="104797.73"/>
    <s v=""/>
    <n v="104797.73"/>
    <n v="94993.7"/>
    <n v="20700"/>
    <n v="5500"/>
    <x v="1"/>
    <x v="2"/>
    <n v="0"/>
    <n v="5500"/>
    <x v="0"/>
    <s v="D"/>
    <s v="12101-INFINITY PYMT RCVD"/>
    <s v="HARI"/>
    <x v="4"/>
    <x v="3"/>
    <s v="&quot;SY NO,BODHAN,554,NEAR BUS STAND&quot;    NZM TNG 503185"/>
    <s v="&quot;SY NO,BODHAN,554,NEAR BUS STAND&quot;    NZM TNG 503185"/>
    <s v="NIZAMABAD"/>
    <x v="0"/>
    <x v="9"/>
    <s v="D RAMU"/>
    <n v="802663344"/>
    <s v="Sgr@9290"/>
    <m/>
    <m/>
    <x v="0"/>
    <m/>
    <m/>
    <x v="1"/>
    <d v="2026-05-11T00:00:00"/>
    <n v="80500"/>
    <s v="ICICI Gold Business Card (BCCL-V)"/>
    <s v="7TH JULY"/>
    <s v="1000000000320342"/>
    <d v="2026-07-04T00:00:00"/>
  </r>
  <r>
    <s v="4035620506261003"/>
    <s v="MR PUNYAMANTHULA RAO"/>
    <n v="0"/>
    <x v="0"/>
    <m/>
    <m/>
    <m/>
    <s v="N"/>
    <x v="10"/>
    <s v="9542512606"/>
    <s v="X"/>
    <n v="11081.220000000001"/>
    <n v="90000"/>
    <n v="101081.22"/>
    <s v=""/>
    <n v="101081.22"/>
    <n v="88731.58"/>
    <n v="28420"/>
    <n v="8820"/>
    <x v="1"/>
    <x v="2"/>
    <n v="26000"/>
    <n v="-17180"/>
    <x v="20"/>
    <s v="TC"/>
    <s v="30501-BBPS Payment received"/>
    <s v="HARI"/>
    <x v="9"/>
    <x v="3"/>
    <s v="&quot;6-2-15A MIRPAKAYALA,VEEDHI,&quot; &quot;MARKET CENTER KOTHA,GUDI PITHPAURAM,&quot; PITHAPURAM  EAST GODAVARI ANP 533450"/>
    <s v="HATCH p eswara rao eswara rao PITHAPURAM ANP 533450"/>
    <s v="KAKINADA"/>
    <x v="4"/>
    <x v="23"/>
    <s v="UDAY"/>
    <n v="801436997"/>
    <s v="Ssd@9290"/>
    <m/>
    <m/>
    <x v="0"/>
    <m/>
    <m/>
    <x v="1"/>
    <d v="2026-04-04T00:00:00"/>
    <n v="4000"/>
    <s v="ICICI Bank Sapphiro Visa Credit Card"/>
    <s v="10TH JULY"/>
    <s v="0000000022466557"/>
    <d v="2026-07-04T00:00:00"/>
  </r>
  <r>
    <s v="4035621284272006"/>
    <s v="MR RATHOD CHANDULAL"/>
    <n v="0"/>
    <x v="0"/>
    <m/>
    <m/>
    <m/>
    <s v="O"/>
    <x v="10"/>
    <s v="9177440557"/>
    <s v="Y"/>
    <n v="-120101.8"/>
    <n v="220000"/>
    <n v="99898.2"/>
    <s v=""/>
    <n v="99898.2"/>
    <n v="92042.2"/>
    <n v="17550"/>
    <n v="8770"/>
    <x v="1"/>
    <x v="1"/>
    <n v="17550"/>
    <n v="-8780"/>
    <x v="22"/>
    <s v="FE"/>
    <s v="12124 - UPI Payment Received"/>
    <s v="HARI"/>
    <x v="8"/>
    <x v="3"/>
    <s v="&quot;5-1,ANJANI TANDA ANJANI,TANDA,TANDA,KUSL&quot; &quot;I,&quot;  ANJANI TANDA ADILABAD TNG 504104"/>
    <s v="SELF H.NO 5-1 ANJANI TANDA 5-1 ANJANI TANDA ADILABAD TNG 504104"/>
    <s v="ADILABAD"/>
    <x v="0"/>
    <x v="3"/>
    <s v="KANTH"/>
    <n v="802794852"/>
    <s v="Ssd@9290"/>
    <m/>
    <m/>
    <x v="0"/>
    <m/>
    <m/>
    <x v="1"/>
    <d v="2026-06-08T00:00:00"/>
    <n v="5030"/>
    <s v="ICICI Bank Coral Credit Card"/>
    <s v="7TH JULY"/>
    <s v="0000000026765721"/>
    <d v="2026-07-04T00:00:00"/>
  </r>
  <r>
    <s v="4035620529693000"/>
    <s v="MR MAMIDALA PRADEEP KUMAR"/>
    <n v="0"/>
    <x v="0"/>
    <m/>
    <m/>
    <m/>
    <s v="N"/>
    <x v="10"/>
    <s v="7207775868"/>
    <s v="X"/>
    <n v="8837.75"/>
    <n v="90000"/>
    <n v="98837.75"/>
    <s v=""/>
    <n v="98837.75"/>
    <n v="87623.1"/>
    <n v="24930"/>
    <n v="9740"/>
    <x v="0"/>
    <x v="0"/>
    <n v="0"/>
    <n v="9740"/>
    <x v="0"/>
    <s v="NA"/>
    <n v="0"/>
    <s v="HARI"/>
    <x v="8"/>
    <x v="3"/>
    <s v="&quot;HNO 8-3-104/1/2,&quot; BHAGATH NAGAR KARIMNAGAR NEAR BHAGATH SINGH STATUE ADILABAD TNG 505001"/>
    <s v="SHREE CEMENT LIMITED MANKAMMATHOTA KARIMNAGAR KARIMNAGAR ADILABAD TNG 505001"/>
    <s v="KARIMNAGAR"/>
    <x v="0"/>
    <x v="8"/>
    <s v="SUMANTH"/>
    <n v="802370852"/>
    <s v="Sgr@9290"/>
    <m/>
    <m/>
    <x v="0"/>
    <s v="SKIP"/>
    <s v="Customer shifted to another address and calls not answering need kyc"/>
    <x v="20"/>
    <d v="2024-09-01T00:00:00"/>
    <n v="35918.339999999997"/>
    <s v="ICICI Bank Coral RuPay Credit Card"/>
    <s v="7TH JULY"/>
    <s v="0000000022612188"/>
    <d v="2026-07-04T00:00:00"/>
  </r>
  <r>
    <s v="4035621288317005"/>
    <s v="MR PURUD SHEKAR"/>
    <n v="0"/>
    <x v="0"/>
    <m/>
    <m/>
    <m/>
    <s v="N"/>
    <x v="10"/>
    <s v="8977148917"/>
    <s v="X"/>
    <n v="-1401.3600000000006"/>
    <n v="100000"/>
    <n v="98598.64"/>
    <s v=""/>
    <n v="98598.64"/>
    <n v="90364.87"/>
    <n v="25140"/>
    <n v="9630"/>
    <x v="0"/>
    <x v="0"/>
    <n v="0"/>
    <n v="9630"/>
    <x v="0"/>
    <s v="NA"/>
    <n v="0"/>
    <s v="HARI"/>
    <x v="9"/>
    <x v="3"/>
    <s v="&quot;12-17,HANUMAN VIDI&quot; &quot;BADEPALLY,JADCHERLA&quot; JADCHERLA NEAR IYENGAR BAKERY OPP JEDCHERLA TNG 509301"/>
    <s v="SHEKAR TRADERS HNO 12-17 &quot;HANUMAN STREET,JADCHERLA&quot; &quot;HANUMAN STREET,JADCHERLA&quot; JEDCHERLA TNG 509301"/>
    <s v="JEDCHERLA"/>
    <x v="0"/>
    <x v="19"/>
    <s v="SAMBA"/>
    <n v="801772794"/>
    <s v="Ssde@9876"/>
    <m/>
    <m/>
    <x v="1"/>
    <m/>
    <m/>
    <x v="1"/>
    <d v="2025-07-10T00:00:00"/>
    <n v="4750"/>
    <s v="ICICI Bank HPCL Super Saver Visa Credit Card"/>
    <s v="7TH JULY"/>
    <s v="0000000026782050"/>
    <d v="2026-07-04T00:00:00"/>
  </r>
  <r>
    <s v="4035620649886013"/>
    <s v="MR BOKKU SHIVA KUMAR REDDY"/>
    <n v="0"/>
    <x v="0"/>
    <m/>
    <m/>
    <m/>
    <s v="N"/>
    <x v="10"/>
    <s v="7997126760"/>
    <s v="X"/>
    <n v="10728.839999999997"/>
    <n v="80000"/>
    <n v="90728.84"/>
    <n v="13717.8"/>
    <n v="77011.039999999994"/>
    <n v="65685.81"/>
    <n v="42020"/>
    <n v="20360"/>
    <x v="0"/>
    <x v="0"/>
    <n v="0"/>
    <n v="20360"/>
    <x v="0"/>
    <s v="NA"/>
    <s v="12111-ICICI BANK COLLECTION PAYMENT"/>
    <s v="HARI"/>
    <x v="6"/>
    <x v="3"/>
    <s v="&quot;H NO 12-118/A,VENKAT REDDY BUILDING&quot; &quot;OFFICRA COLONY,NAKREKAL MANDAL,NEXT TO&quot; &quot;KRISHNAVENI HIGH SCHOOL,NALGONDA&quot; NEAR NARAYAN REDDY FUNCTION HALL ROAD SURYAPET TNG 508211"/>
    <s v="CAPGEMINI TECHNOLOGY SERVICES INDIA LIMI &quot;115/32/35,I S B ROAD,FINALCIAL DISTRICT&quot; &quot;NANAKARNMGUDA,GACHIBOWLI VILLAGE&quot; &quot;NANAKARNMGUDA,GACHIBOWLI VILLAGE&quot; HYDERABAD TNG 500032"/>
    <s v="SURYAPET"/>
    <x v="0"/>
    <x v="21"/>
    <s v="PAVAN"/>
    <n v="802823180"/>
    <s v="Sgr@9290"/>
    <m/>
    <m/>
    <x v="1"/>
    <m/>
    <m/>
    <x v="1"/>
    <d v="2025-08-03T00:00:00"/>
    <n v="4020"/>
    <s v="ICICI Bank Coral Credit Card"/>
    <s v="7TH JULY"/>
    <s v="0000000023378224"/>
    <d v="2026-07-04T00:00:00"/>
  </r>
  <r>
    <s v="4035620316987003"/>
    <s v="MR PATHAN FAROOQ"/>
    <n v="0"/>
    <x v="0"/>
    <m/>
    <m/>
    <m/>
    <s v="N"/>
    <x v="10"/>
    <s v="9949803781"/>
    <s v="X"/>
    <n v="-9639.7200000000012"/>
    <n v="100000"/>
    <n v="90360.28"/>
    <s v=""/>
    <n v="90360.28"/>
    <n v="81352.78"/>
    <n v="14150"/>
    <n v="4790"/>
    <x v="0"/>
    <x v="0"/>
    <n v="0"/>
    <n v="4790"/>
    <x v="0"/>
    <s v="NA"/>
    <n v="0"/>
    <s v="HARI"/>
    <x v="4"/>
    <x v="3"/>
    <s v="&quot;3-293, AKKAYAPALLY, NEAR TAJ LORRY KATA&quot; CUDDAPAH ANDHRA PRADESH NEAR TAJ LORRY KATA CUDDAPAH ANP 516003"/>
    <s v="IRON BOLT BUSINESS &quot;3-293-19-1, AKKAYAPALLY,&quot; CUDDAPAH CUDDAPAH CUDDAPAH ANP 516003"/>
    <s v="CUDDAPAH"/>
    <x v="1"/>
    <x v="48"/>
    <s v="SIVARAU"/>
    <n v="801601134"/>
    <s v="Ssd@9290"/>
    <m/>
    <m/>
    <x v="1"/>
    <m/>
    <m/>
    <x v="1"/>
    <d v="2024-10-26T00:00:00"/>
    <n v="24487.96"/>
    <s v="ICICI Bank Coral Credit Card"/>
    <s v="10TH JULY"/>
    <s v="0000000020978272"/>
    <d v="2026-07-04T00:00:00"/>
  </r>
  <r>
    <s v="4035621890421005"/>
    <s v="Mr PREM KUMAR K S"/>
    <n v="0"/>
    <x v="0"/>
    <m/>
    <m/>
    <s v="PTP 11-07-2026"/>
    <s v="N"/>
    <x v="10"/>
    <s v="9538221687"/>
    <s v="X"/>
    <n v="10350.009999999995"/>
    <n v="80000"/>
    <n v="90350.01"/>
    <s v=""/>
    <n v="90350.01"/>
    <n v="79663.990000000005"/>
    <n v="25500"/>
    <n v="7630"/>
    <x v="1"/>
    <x v="1"/>
    <n v="25500"/>
    <n v="-17870"/>
    <x v="25"/>
    <s v="TC"/>
    <s v="30501-BBPS Payment received"/>
    <s v="HARI"/>
    <x v="7"/>
    <x v="3"/>
    <s v="&quot;6-4 B,KOTTAPALLI B KOTTAPALLI,CHINAGANIPALLE,&quot; CHINAGANIPALLE   HINDUPUR ANP 515556"/>
    <s v="Not Applicable 6-4 bkottapalli b kottapallichinaganipal chinagani palle chinagani palle HINDUPUR ANP 515556"/>
    <s v="HINDUPUR"/>
    <x v="1"/>
    <x v="12"/>
    <s v="POORNIMA"/>
    <n v="802824019"/>
    <s v="Nihan@2421"/>
    <m/>
    <m/>
    <x v="0"/>
    <m/>
    <m/>
    <x v="1"/>
    <d v="2025-06-01T00:00:00"/>
    <n v="10760"/>
    <s v="ICICI Bank Coral Credit Card"/>
    <s v="7TH JULY"/>
    <s v="0000000032565488"/>
    <d v="2026-07-04T00:00:00"/>
  </r>
  <r>
    <s v="4035622197080007"/>
    <s v="MR BANDLAMUDI BHARATH BANDLAMUDI BHARATH KUMAR"/>
    <n v="0"/>
    <x v="0"/>
    <m/>
    <m/>
    <m/>
    <s v="N"/>
    <x v="10"/>
    <s v="9515343620"/>
    <s v="X"/>
    <n v="7966.4499999999971"/>
    <n v="80000"/>
    <n v="87966.45"/>
    <s v=""/>
    <n v="87966.45"/>
    <n v="77545.14"/>
    <n v="22440"/>
    <n v="8610"/>
    <x v="1"/>
    <x v="2"/>
    <n v="8006"/>
    <n v="604"/>
    <x v="24"/>
    <s v="TC"/>
    <s v="12111-ICICI BANK COLLECTION PAYMENT"/>
    <s v="HARI"/>
    <x v="5"/>
    <x v="3"/>
    <s v="&quot;4-58,NEAR BRAHMAM TEMPLE,GOTTUMUKKALA,&quot; GOTTUMUKKALA   KRISHNA ANP 521180"/>
    <s v="      "/>
    <s v="VIJAYAWADA"/>
    <x v="3"/>
    <x v="31"/>
    <s v="SUDHAKAR"/>
    <n v="802913252"/>
    <s v="Ssd@9290"/>
    <m/>
    <m/>
    <x v="0"/>
    <s v="LIVE"/>
    <s v="I visited the customer's current address but he is not available at home and i called him and spoke to him He said he would make the payment tomorrow morning."/>
    <x v="23"/>
    <d v="2026-05-03T00:00:00"/>
    <n v="4500"/>
    <s v="ICICI Bank Coral Credit Card"/>
    <s v="7TH JULY"/>
    <s v="0000000035413206"/>
    <d v="2026-07-04T00:00:00"/>
  </r>
  <r>
    <s v="4035620265636007"/>
    <s v="MR SAMBANGI TIRUPATHI RAO"/>
    <n v="0"/>
    <x v="0"/>
    <m/>
    <m/>
    <m/>
    <s v="N"/>
    <x v="10"/>
    <s v="9912344449"/>
    <s v="X"/>
    <n v="7956.4100000000035"/>
    <n v="80000"/>
    <n v="87956.41"/>
    <s v=""/>
    <n v="87956.41"/>
    <n v="80358.100000000006"/>
    <n v="22950"/>
    <n v="5830"/>
    <x v="1"/>
    <x v="1"/>
    <n v="87956.41"/>
    <n v="-82126.41"/>
    <x v="22"/>
    <s v="TC"/>
    <s v="30501-BBPS Payment received"/>
    <s v="HARI"/>
    <x v="6"/>
    <x v="3"/>
    <s v="FLAT NO 201 KAKINADA SURYA PRIDE HOME R T O OFFICE ROAD NEAR TELEPHONE EXECHANGE OFFICE KAKINADA ANP 533005"/>
    <s v="SR LOGISTICS ACHAMPETA JUNCTION   KAKINADA ANP 533005"/>
    <s v="KAKINADA"/>
    <x v="4"/>
    <x v="23"/>
    <s v="UDAY"/>
    <n v="801436997"/>
    <s v="Ssd@9290"/>
    <m/>
    <m/>
    <x v="0"/>
    <m/>
    <m/>
    <x v="1"/>
    <d v="2025-05-16T00:00:00"/>
    <n v="30000"/>
    <s v="ICICI Bank Coral Credit Card"/>
    <s v="10TH JULY"/>
    <s v="0000000020572647"/>
    <d v="2026-07-04T00:00:00"/>
  </r>
  <r>
    <s v="4035620166487005"/>
    <s v="MR BABU JAVVAJI"/>
    <n v="0"/>
    <x v="0"/>
    <m/>
    <m/>
    <m/>
    <s v="N"/>
    <x v="10"/>
    <s v="9948325262"/>
    <s v="X"/>
    <n v="-2924.070000000007"/>
    <n v="90000"/>
    <n v="87075.93"/>
    <n v="16962.419999999998"/>
    <n v="70113.509999999995"/>
    <n v="60801.74"/>
    <n v="20410"/>
    <n v="8960"/>
    <x v="0"/>
    <x v="0"/>
    <n v="100"/>
    <n v="8860"/>
    <x v="0"/>
    <s v="NA"/>
    <s v="30501-BBPS Payment received"/>
    <s v="HARI"/>
    <x v="6"/>
    <x v="3"/>
    <s v="&quot;H.NO1-60 MEDAK MANDALAM,&quot; &quot;FAREEDIPUR,MEDAK&quot;  OPP GOVT SCHOOL MEDAK TNG 502130"/>
    <s v="SAMSUNG AUTHORIZED SERVITE SENTRE &quot;1-9-2-2/5VKR COMPLEX FATHENAGAR ,&quot; MEDAK MEDAK MEDAK TNG 502110"/>
    <s v="MEDAK"/>
    <x v="0"/>
    <x v="44"/>
    <s v="POORNIMA"/>
    <n v="802824019"/>
    <s v="Nihan@2421"/>
    <m/>
    <m/>
    <x v="1"/>
    <m/>
    <m/>
    <x v="1"/>
    <d v="2024-12-10T00:00:00"/>
    <n v="6400"/>
    <s v="ICICI Bank Coral Credit Card"/>
    <s v="10TH JULY"/>
    <s v="0000000020032885"/>
    <d v="2026-07-04T00:00:00"/>
  </r>
  <r>
    <s v="4035621431666001"/>
    <s v="MR KOPPULA BABU"/>
    <n v="0"/>
    <x v="0"/>
    <m/>
    <m/>
    <m/>
    <s v="N"/>
    <x v="10"/>
    <s v="9538567708"/>
    <s v="X"/>
    <n v="7007.6000000000058"/>
    <n v="80000"/>
    <n v="87007.6"/>
    <s v=""/>
    <n v="87007.6"/>
    <n v="79483.48"/>
    <n v="21940"/>
    <n v="3980"/>
    <x v="1"/>
    <x v="1"/>
    <n v="21940"/>
    <n v="-17960"/>
    <x v="22"/>
    <s v="TC"/>
    <s v="30501-BBPS Payment received"/>
    <s v="HARI"/>
    <x v="4"/>
    <x v="3"/>
    <s v="&quot;12/371,GANDHI NGR,KRISHNA,NUZVID&quot;    KRISHNA ANP 521201"/>
    <s v="INFOSYS BPM LTD Infosys phase 2 Phase2 Phase2 PUNE MAH 411057"/>
    <s v="GUDIVADA"/>
    <x v="0"/>
    <x v="29"/>
    <s v="SUDHAKAR"/>
    <n v="802913252"/>
    <s v="Ssd@9290"/>
    <m/>
    <m/>
    <x v="0"/>
    <m/>
    <m/>
    <x v="1"/>
    <d v="2025-09-24T00:00:00"/>
    <n v="11800"/>
    <s v="ICICI Bank Coral Credit Card"/>
    <s v="10TH JULY"/>
    <s v="0000000027726070"/>
    <d v="2026-07-04T00:00:00"/>
  </r>
  <r>
    <s v="4035620846855001"/>
    <s v="MR KUMMETHA KUMARREDDY"/>
    <n v="0"/>
    <x v="0"/>
    <m/>
    <m/>
    <m/>
    <s v="N"/>
    <x v="10"/>
    <s v="9502808864"/>
    <s v="X"/>
    <n v="6535.7100000000064"/>
    <n v="80000"/>
    <n v="86535.71"/>
    <s v=""/>
    <n v="86535.71"/>
    <n v="79997.38"/>
    <n v="20550"/>
    <n v="4000"/>
    <x v="0"/>
    <x v="0"/>
    <n v="0"/>
    <n v="4000"/>
    <x v="0"/>
    <s v="NA"/>
    <n v="0"/>
    <s v="HARI"/>
    <x v="4"/>
    <x v="3"/>
    <s v="&quot;2-5A,EDIGA STREET,SIMHADRIPURAM,,SIMHADR&quot; &quot;IPURAM,SIMHADRIPURAM&quot;  GANGAIAH COOLDRINKS SHOP PRODDATUR ANP 516454"/>
    <s v="INFOSYS LIMITED INFOSYS LTD SY NO-210 MANIKONDA VILLAGE GACHIBOWLI MANIKONDA VILLAGE GACHIBOWLI HYDERABAD TNG 500019"/>
    <s v="PRODDATUR"/>
    <x v="1"/>
    <x v="48"/>
    <s v="SIVARAU"/>
    <n v="801601134"/>
    <s v="Ssd@9290"/>
    <m/>
    <m/>
    <x v="1"/>
    <m/>
    <m/>
    <x v="1"/>
    <d v="2026-05-04T00:00:00"/>
    <n v="37664"/>
    <s v="ICICI Bank Coral Credit Card"/>
    <s v="7TH JULY"/>
    <s v="0000000024494251"/>
    <d v="2026-07-04T00:00:00"/>
  </r>
  <r>
    <s v="4085110048245002"/>
    <s v="MR PAMIREDDY REDDY"/>
    <n v="0"/>
    <x v="0"/>
    <m/>
    <m/>
    <m/>
    <s v="N"/>
    <x v="10"/>
    <s v="9618964134"/>
    <s v="X"/>
    <n v="-114702.24"/>
    <n v="200000"/>
    <n v="85297.76"/>
    <s v=""/>
    <n v="85297.76"/>
    <n v="77074.570000000007"/>
    <n v="13040"/>
    <n v="4080"/>
    <x v="1"/>
    <x v="1"/>
    <n v="13040"/>
    <n v="-8960"/>
    <x v="0"/>
    <s v="D"/>
    <s v="12111-ICICI BANK COLLECTION PAYMENT"/>
    <s v="HARI"/>
    <x v="9"/>
    <x v="3"/>
    <s v="&quot;1/105,MAIN ROAD GOOTY,ANANTHAPURAM,,ANDH&quot; &quot;RAPRADESH,515401&quot;  ANANTAPUR ANANTAPUR ANP 515401"/>
    <s v="INFOSYS LIMITED ISB ROAD LINGAMPALLY RD MANIKONDA JAGIR MANIKONDA JAGIR HYDERABAD TNG 500032"/>
    <s v="ANANTAPUR"/>
    <x v="1"/>
    <x v="12"/>
    <s v="POORNIMA"/>
    <n v="802824019"/>
    <s v="Nihan@2421"/>
    <m/>
    <m/>
    <x v="0"/>
    <s v="LIVE"/>
    <s v="Customer Account lien Marked customer funds transfer into the Savings account _x000a_Check and confirm madam &amp; SIR_x000a_Please mail to the backend team for auto debit"/>
    <x v="24"/>
    <d v="2026-02-04T00:00:00"/>
    <n v="5100"/>
    <s v="Mine Credit Card by ICICI Bank Visa Card"/>
    <s v="10TH JULY"/>
    <s v="0000000024388571"/>
    <d v="2026-07-04T00:00:00"/>
  </r>
  <r>
    <s v="4035620698476005"/>
    <s v="MR SANAPUREDDY MANOHAR REDDY"/>
    <n v="0"/>
    <x v="0"/>
    <m/>
    <m/>
    <m/>
    <s v="N"/>
    <x v="10"/>
    <s v="9110501534"/>
    <s v="X"/>
    <n v="5199.8699999999953"/>
    <n v="80000"/>
    <n v="85199.87"/>
    <s v=""/>
    <n v="85199.87"/>
    <n v="76381"/>
    <n v="21210"/>
    <n v="4410"/>
    <x v="0"/>
    <x v="0"/>
    <n v="0"/>
    <n v="4410"/>
    <x v="0"/>
    <s v="NA"/>
    <n v="0"/>
    <s v="HARI"/>
    <x v="4"/>
    <x v="3"/>
    <s v="&quot;9/4/88,BOVILLAVARIPALLI&quot; CHENNAMPALLI PANCHAYATHI BADVELMUNICIPALITY NEAR MAIN ROAD CUDDAPAH ANP 516502"/>
    <s v="GOVERNMENT OF  HYDROLOGY DIVISION GOVERNMENT OF INDIA HYDROLOGY DEVISIONSI NANDIPALLI CHENNAMPALLI POST NANDIPALLI CHENNAMPALLI POST CUDDAPAH ANP 516502"/>
    <s v="CUDDAPAH"/>
    <x v="1"/>
    <x v="48"/>
    <s v="SIVARAU"/>
    <n v="801601134"/>
    <s v="Ssd@9290"/>
    <m/>
    <m/>
    <x v="1"/>
    <m/>
    <m/>
    <x v="1"/>
    <d v="2025-04-09T00:00:00"/>
    <n v="73600"/>
    <s v="ICICI Bank Coral Credit Card"/>
    <s v="7TH JULY"/>
    <s v="0000000023619090"/>
    <d v="2026-07-04T00:00:00"/>
  </r>
  <r>
    <s v="4035620142888003"/>
    <s v="MR ADLA THIRUPATHI"/>
    <n v="0"/>
    <x v="0"/>
    <m/>
    <m/>
    <m/>
    <s v="N"/>
    <x v="10"/>
    <s v="9676276919"/>
    <s v="X"/>
    <n v="3646"/>
    <n v="80000"/>
    <n v="83646"/>
    <n v="5597.93"/>
    <n v="78048.070000000007"/>
    <n v="72975.59"/>
    <n v="12160"/>
    <n v="6100"/>
    <x v="1"/>
    <x v="2"/>
    <n v="6100"/>
    <n v="0"/>
    <x v="20"/>
    <s v="FE"/>
    <s v="30501-BBPS Payment received"/>
    <s v="HARI"/>
    <x v="6"/>
    <x v="3"/>
    <s v="3-2 SHANKARAPATNAM MANDAL  KARIMNAGAR HYDERABAD TNG 505490"/>
    <s v="EDLA PLOUTRY FRAM KOTHAGATTU SHANKARA PATNUM KARIM NAGAR KARIM NAGAR HYDERABAD TNG 505490"/>
    <s v="KARIMNAGAR"/>
    <x v="0"/>
    <x v="8"/>
    <s v="SUMANTH"/>
    <n v="802370852"/>
    <s v="Sgr@9290"/>
    <m/>
    <m/>
    <x v="0"/>
    <m/>
    <m/>
    <x v="1"/>
    <d v="2026-04-22T00:00:00"/>
    <n v="10656.06"/>
    <s v="ICICI Bank Coral Credit Card"/>
    <s v="10TH JULY"/>
    <s v="0000000019870987"/>
    <d v="2026-07-04T00:00:00"/>
  </r>
  <r>
    <s v="4035620823267006"/>
    <s v="MR RAJU THIRUPATHI"/>
    <n v="0"/>
    <x v="0"/>
    <m/>
    <m/>
    <m/>
    <s v="N"/>
    <x v="10"/>
    <s v="9502862562"/>
    <s v="X"/>
    <n v="-15751.529999999999"/>
    <n v="98000"/>
    <n v="82248.47"/>
    <s v=""/>
    <n v="82248.47"/>
    <n v="71760.679999999993"/>
    <n v="14410"/>
    <n v="5910"/>
    <x v="1"/>
    <x v="2"/>
    <n v="10000"/>
    <n v="-4090"/>
    <x v="23"/>
    <s v="TC"/>
    <s v="30501-BBPS Payment received"/>
    <s v="HARI"/>
    <x v="5"/>
    <x v="3"/>
    <s v="&quot;7-8/2,RAJOLLA PALLI,ATHMAKUR,ATHMAKUR&quot; ...  NEAR ANGANWADI SCHOOL KARIMNAGAR TNG 505526"/>
    <s v="SRI ANJANEYA HARWESTERS D NO 7-8/2 RAJOLLA ATHMAKUR RAJOLLA ATHMAKUR KARIMNAGAR TNG 505526"/>
    <s v="KARIMNAGAR"/>
    <x v="0"/>
    <x v="24"/>
    <s v="K RAMU"/>
    <n v="802898520"/>
    <s v="Ssd@9290"/>
    <m/>
    <m/>
    <x v="0"/>
    <m/>
    <m/>
    <x v="1"/>
    <d v="2026-05-14T00:00:00"/>
    <n v="24229.77"/>
    <s v="ICICI Bank Coral Credit Card"/>
    <s v="7TH JULY"/>
    <s v="0000000024353205"/>
    <d v="2026-07-04T00:00:00"/>
  </r>
  <r>
    <s v="4035620657479008"/>
    <s v="MS MANDA VANAJA"/>
    <n v="0"/>
    <x v="0"/>
    <m/>
    <m/>
    <m/>
    <s v="N"/>
    <x v="10"/>
    <s v="6303579239"/>
    <s v="X"/>
    <n v="11039.479999999996"/>
    <n v="70000"/>
    <n v="81039.48"/>
    <s v=""/>
    <n v="81039.48"/>
    <n v="69730.600000000006"/>
    <n v="31040"/>
    <n v="19429"/>
    <x v="0"/>
    <x v="0"/>
    <n v="0"/>
    <n v="19429"/>
    <x v="0"/>
    <s v="NA"/>
    <n v="0"/>
    <s v="HARI"/>
    <x v="7"/>
    <x v="3"/>
    <s v="&quot;7-135,MAIN ROAD ,GHANTASALA GHANTASALA&quot; KRISHNA ANDHARAPRADESH  BUS STOP MACHILIPATNAM ANP 521133"/>
    <s v="CAPGEMINI TECHNOLOGY SERVICES INDIA LIMI BSRK COMPLEX OPPOSITE HP PETROL BANK JAMMICHETTU CENTER MOGHULRAJPURAM JAMMICHETTU CENTER MOGHULRAJPURAM VIJAYAWADA ANP 520010"/>
    <s v="VIJAYAWADA"/>
    <x v="4"/>
    <x v="6"/>
    <s v="KOTI"/>
    <n v="801597759"/>
    <s v="Ssde@9290"/>
    <m/>
    <m/>
    <x v="0"/>
    <s v="MESS"/>
    <s v="Customer not available in from to father  phone answer commitment in 2 days"/>
    <x v="20"/>
    <d v="2026-03-16T00:00:00"/>
    <n v="9.84"/>
    <s v="ICICI Bank Coral American Express Credit Card"/>
    <s v="7TH JULY"/>
    <s v="0000000023415334"/>
    <d v="2026-07-04T00:00:00"/>
  </r>
  <r>
    <s v="4035620027506001"/>
    <s v="MR KUDUMULA RAJESH"/>
    <n v="0"/>
    <x v="0"/>
    <m/>
    <m/>
    <m/>
    <s v="N"/>
    <x v="10"/>
    <s v="9848509143"/>
    <s v="X"/>
    <n v="-140059.78999999998"/>
    <n v="220000"/>
    <n v="79940.210000000006"/>
    <n v="6577.1"/>
    <n v="73363.11"/>
    <n v="65940.13"/>
    <n v="14160"/>
    <n v="5080"/>
    <x v="0"/>
    <x v="0"/>
    <n v="0"/>
    <n v="5080"/>
    <x v="0"/>
    <s v="NA"/>
    <n v="0"/>
    <s v="HARI"/>
    <x v="8"/>
    <x v="3"/>
    <s v="&quot;11-145/4/A AMBEDKAR,COLONY,&quot; &quot;NEAR Z P U S SCHOOL,KODADA MANDALAM,KODAD&quot; NALGONDA - NALGONDA ANP 508206"/>
    <s v="RAJESH ENTERPRISES &quot;H.NO-6-1-132/69,2ND FLOOR,FAIR VIEW APTS&quot; &quot;PADMARAO NAGAR,SECUNDERABAD&quot; &quot;PADMARAO NAGAR,SECUNDERABAD&quot; HYDERABAD ANP 500061"/>
    <s v="SURYAPET"/>
    <x v="0"/>
    <x v="2"/>
    <s v="CHAITANYA"/>
    <n v="802555024"/>
    <s v="Ssde@9290"/>
    <m/>
    <m/>
    <x v="0"/>
    <s v="LIVE"/>
    <s v="I have Visited Customer given house address Customer not available  here Customer Sold this  house before 3 yrs ago Customer mobile is in Switchoff"/>
    <x v="20"/>
    <d v="2026-05-02T00:00:00"/>
    <n v="20350"/>
    <s v="ICICI Bank Coral Credit Card"/>
    <s v="10TH JULY"/>
    <s v="0000000018959626"/>
    <d v="2026-07-04T00:00:00"/>
  </r>
  <r>
    <s v="4035620765095001"/>
    <s v="MS NAGA DEEPIKA KOTHAPALLI"/>
    <n v="0"/>
    <x v="0"/>
    <m/>
    <m/>
    <m/>
    <s v="N"/>
    <x v="10"/>
    <s v="6309428669"/>
    <s v="X"/>
    <n v="-2581.1199999999953"/>
    <n v="80000"/>
    <n v="77418.880000000005"/>
    <s v=""/>
    <n v="77418.880000000005"/>
    <n v="64361.1"/>
    <n v="16790"/>
    <n v="7350"/>
    <x v="1"/>
    <x v="2"/>
    <n v="7500"/>
    <n v="-150"/>
    <x v="24"/>
    <s v="TC"/>
    <s v="30501-BBPS Payment received"/>
    <s v="HARI"/>
    <x v="6"/>
    <x v="3"/>
    <s v="&quot;1 116,RAMACHANDRAPURAM,KANDULAPALEM EAST&quot; &quot;, GODAVARI ANDHRA,PRADESH 533262&quot;  . KAKINADA ANP 533262"/>
    <s v="INFOSYS LIMITED &quot;NO 138,OLD MAHABALIPURAM ROAD&quot; SHOLIGANALLUR SHOLIGANALLUR CHENNAI TMN 600011"/>
    <s v="KAKINADA"/>
    <x v="4"/>
    <x v="50"/>
    <s v="UDAY"/>
    <n v="801436997"/>
    <s v="Ssd@9290"/>
    <m/>
    <m/>
    <x v="0"/>
    <m/>
    <m/>
    <x v="1"/>
    <d v="2026-04-16T00:00:00"/>
    <n v="3"/>
    <s v="ICICI Bank Coral Credit Card"/>
    <s v="7TH JULY"/>
    <s v="0000000023992182"/>
    <d v="2026-07-04T00:00:00"/>
  </r>
  <r>
    <s v="4102021001541007"/>
    <s v="Ms. DILEEP T DILEEP KUMAR"/>
    <n v="0"/>
    <x v="0"/>
    <m/>
    <m/>
    <m/>
    <s v="N"/>
    <x v="10"/>
    <s v="9963554718"/>
    <s v="Y"/>
    <n v="-24174.67"/>
    <n v="100000"/>
    <n v="75825.33"/>
    <s v=""/>
    <n v="75825.33"/>
    <n v="69393.210000000006"/>
    <n v="10770"/>
    <n v="4090"/>
    <x v="0"/>
    <x v="0"/>
    <n v="2000"/>
    <n v="2090"/>
    <x v="0"/>
    <s v="NA"/>
    <s v="12111-ICICI BANK COLLECTION PAYMENT"/>
    <s v="HARI"/>
    <x v="9"/>
    <x v="3"/>
    <s v="&quot;NEAR,MODALIYARS FUNCTION HALL,&quot; &quot;934/3 CHINTHALA,STREET PUNGANUR, CHITTOOR ANDHRA PRADESH 517247&quot;   MDN ANP 517247"/>
    <s v="&quot;NEAR,MODALIYARS FUNCTION HALL,&quot; &quot;934/3 CHINTHALA,STREET PUNGANUR, CHITTOOR ANDHRA PRADESH 517247&quot;   MDN ANP 517247"/>
    <s v="CHITTOOR"/>
    <x v="1"/>
    <x v="42"/>
    <s v="SK MUJEEB"/>
    <n v="802175739"/>
    <s v="Ssd@9290"/>
    <m/>
    <m/>
    <x v="1"/>
    <m/>
    <m/>
    <x v="1"/>
    <d v="2026-05-14T00:00:00"/>
    <n v="4280"/>
    <s v="ICICI Gold Business Card (BCCL-V)"/>
    <s v="7TH JULY"/>
    <s v="1000000000498501"/>
    <d v="2026-07-04T00:00:00"/>
  </r>
  <r>
    <s v="4035621411325008"/>
    <s v="Mr SURENDRA SINGH"/>
    <n v="0"/>
    <x v="0"/>
    <m/>
    <m/>
    <m/>
    <s v="O"/>
    <x v="10"/>
    <s v="8855907773"/>
    <s v="X"/>
    <n v="-14418.130000000005"/>
    <n v="90000"/>
    <n v="75581.87"/>
    <s v=""/>
    <n v="75581.87"/>
    <n v="67747.59"/>
    <n v="15050"/>
    <n v="7020"/>
    <x v="1"/>
    <x v="2"/>
    <n v="7100"/>
    <n v="-80"/>
    <x v="24"/>
    <s v="FE"/>
    <s v="30501-BBPS Payment received"/>
    <s v="HARI"/>
    <x v="8"/>
    <x v="3"/>
    <s v="&quot;P NO,1 VALIGONDA ROAD,CHOUTUPPAL OPP MS,&quot; GLASS WORKS   NALGONDA TNG 508252"/>
    <s v="RAMDEV PLYWOOD AND HARDWARE PLOT NO 11/12 CHOUTUPPAL CHOUTUPPAL NALGONDA TNG 508252"/>
    <s v="NALGONDA"/>
    <x v="0"/>
    <x v="17"/>
    <s v="PAVAN"/>
    <n v="802823180"/>
    <s v="Sgr@9290"/>
    <m/>
    <m/>
    <x v="0"/>
    <s v="LIVE"/>
    <s v="Customer Adress visit and Customer ptp on Monday // Customer Adress visit and Customer prasent Rajasthan in return to Tommorow and Customer ptp on Tommorow evening // Customer Adress visit and Customer ptp on 1 hour // Customer Adress visit and Waiting for Payment"/>
    <x v="22"/>
    <d v="2024-03-20T00:00:00"/>
    <n v="3065"/>
    <s v="ICICI Bank Coral Credit Card"/>
    <s v="7TH JULY"/>
    <s v="0000000027570536"/>
    <d v="2026-07-04T00:00:00"/>
  </r>
  <r>
    <s v="4748469420798015"/>
    <s v="MR G SOMASEKHAR"/>
    <n v="0"/>
    <x v="0"/>
    <m/>
    <m/>
    <m/>
    <s v="N"/>
    <x v="10"/>
    <s v="9989019688"/>
    <s v="X"/>
    <n v="38130.929999999993"/>
    <n v="37000"/>
    <n v="75130.929999999993"/>
    <s v=""/>
    <n v="75130.929999999993"/>
    <n v="66731.34"/>
    <n v="59920"/>
    <n v="49730"/>
    <x v="0"/>
    <x v="0"/>
    <n v="0"/>
    <n v="49730"/>
    <x v="0"/>
    <s v="NA"/>
    <n v="0"/>
    <s v="HARI"/>
    <x v="8"/>
    <x v="3"/>
    <s v="&quot;306, RAMALAYAM RD, CHANDRA SHAKER REDDY&quot; &quot;COLONY, KORLAGUNTA, TIRUPATHI&quot; ANDHRA PRADESH BESIDE SK HOTEL TIRUPATHI ANP 517501"/>
    <s v="SBI LIFE INSURANCE CO LTD &quot;19-3-13/M, 3RD FLOOR, UP STATIS HERO&quot; &quot;HONDA SHOW ROOM, RENUHUNTA TIRUPATI, AP&quot; &quot;HONDA SHOW ROOM, RENUHUNTA TIRUPATI, AP&quot; TIRUPATHI ANP 517501"/>
    <s v="TIRUPATHI"/>
    <x v="1"/>
    <x v="25"/>
    <s v="S SEKHAR"/>
    <n v="845041675"/>
    <s v="Ssd@9290"/>
    <m/>
    <m/>
    <x v="1"/>
    <m/>
    <m/>
    <x v="1"/>
    <d v="2025-11-07T00:00:00"/>
    <n v="57000"/>
    <s v="ICICI Bank Rubyx Visa Credit Card"/>
    <s v="7TH JULY"/>
    <s v="0000000024535265"/>
    <d v="2026-07-04T00:00:00"/>
  </r>
  <r>
    <s v="4035621327243014"/>
    <s v="MR SANDURU PRASAD"/>
    <n v="0"/>
    <x v="0"/>
    <m/>
    <m/>
    <m/>
    <s v="N"/>
    <x v="10"/>
    <s v="9703607197"/>
    <s v="X"/>
    <n v="2247.1000000000058"/>
    <n v="70000"/>
    <n v="72247.100000000006"/>
    <n v="48511.21"/>
    <n v="23735.89"/>
    <n v="19630.79"/>
    <n v="10200"/>
    <n v="3400"/>
    <x v="1"/>
    <x v="2"/>
    <n v="0"/>
    <n v="3400"/>
    <x v="24"/>
    <s v="TC"/>
    <s v="30501-BBPS Payment received"/>
    <s v="HARI"/>
    <x v="5"/>
    <x v="3"/>
    <s v="000 PEDDAPANJANI MANDALAM GUNDLAPALLE - CHITTOOR ANP 517414"/>
    <s v="GOVERNMENT OF ANDHRAPRADESH &quot;CHALAMANGALAM,CHALAMANGALAM&quot; &quot;PEDDAPANJANI MANDAL,CHITTOOR&quot; &quot;PEDDAPANJANI MANDAL,CHITTOOR&quot; PALAMANER ANP 517408"/>
    <s v="CHITTOOR"/>
    <x v="1"/>
    <x v="42"/>
    <s v="SK MUJEEB"/>
    <n v="802175739"/>
    <s v="Ssd@9290"/>
    <m/>
    <m/>
    <x v="0"/>
    <m/>
    <m/>
    <x v="1"/>
    <d v="2024-04-10T00:00:00"/>
    <n v="5650"/>
    <s v="ICICI Bank Coral Credit Card"/>
    <s v="10TH JULY"/>
    <s v="0000000027001149"/>
    <d v="2026-07-04T00:00:00"/>
  </r>
  <r>
    <s v="4375519925051003"/>
    <s v="MR RAMELLI ASHANNA"/>
    <n v="0"/>
    <x v="0"/>
    <m/>
    <m/>
    <m/>
    <s v="N"/>
    <x v="10"/>
    <s v="9000294920"/>
    <s v="X"/>
    <n v="7109.8600000000006"/>
    <n v="65000"/>
    <n v="72109.86"/>
    <s v=""/>
    <n v="72109.86"/>
    <n v="64909.97"/>
    <n v="23560"/>
    <n v="14840"/>
    <x v="1"/>
    <x v="1"/>
    <n v="15510"/>
    <n v="-670"/>
    <x v="0"/>
    <s v="D"/>
    <s v="12111-ICICI BANK COLLECTION PAYMENT"/>
    <s v="HARI"/>
    <x v="9"/>
    <x v="3"/>
    <s v="H NO-5-44/2 5 44 2 KOWTHA KOWTHA NEAR HANUMAN TEMPLE5 Adilabad TNG 504304"/>
    <s v="VENKATESHWARA AGENCISES H NO 11 24 VENKATESHWARA AGENCISES MAMRO PALLI ARMOOR MAMRO PALLI ARMOOR Nizamabad TNG 503224"/>
    <s v="NIZAMABAD"/>
    <x v="0"/>
    <x v="3"/>
    <s v="KANTH"/>
    <n v="802794852"/>
    <s v="Ssd@9290"/>
    <m/>
    <m/>
    <x v="0"/>
    <s v="LIVE"/>
    <s v="Customer visit New home address meet customer PTP 14th"/>
    <x v="16"/>
    <d v="2026-05-25T00:00:00"/>
    <n v="460"/>
    <s v="Manchester United Platinum Credit Card by ICICI Bank"/>
    <s v="7TH JULY"/>
    <s v="0000000014721170"/>
    <d v="2026-07-04T00:00:00"/>
  </r>
  <r>
    <s v="4035620925274009"/>
    <s v="MR KOLA RAMAKRISHNA"/>
    <n v="0"/>
    <x v="0"/>
    <m/>
    <m/>
    <m/>
    <s v="N"/>
    <x v="10"/>
    <s v="9640405304"/>
    <s v="X"/>
    <n v="6637.1399999999994"/>
    <n v="60000"/>
    <n v="66637.14"/>
    <s v=""/>
    <n v="66637.14"/>
    <n v="59696.72"/>
    <n v="16650"/>
    <n v="2910"/>
    <x v="0"/>
    <x v="0"/>
    <n v="0"/>
    <n v="2910"/>
    <x v="0"/>
    <s v="NA"/>
    <n v="0"/>
    <s v="HARI"/>
    <x v="7"/>
    <x v="3"/>
    <s v="&quot;HOUSE,NUMBER 1-77 BC COLONY,GOPAVARAM,,G&quot; UNTUPALLE GOPAVARAM  . KHAMMAM TNG 507202"/>
    <s v="SVS FACILITY MANAGEMENT SERVICES PVT LTD NO 138 OLD MAHABALIPURAM SHOLINGANALLUR SHOLINGANALLUR CHENNAI TMN 600100"/>
    <s v="KHAMMAM"/>
    <x v="0"/>
    <x v="29"/>
    <s v="SUDHAKAR"/>
    <n v="802913252"/>
    <s v="Ssd@9290"/>
    <m/>
    <m/>
    <x v="1"/>
    <m/>
    <m/>
    <x v="1"/>
    <d v="2025-08-08T00:00:00"/>
    <n v="5"/>
    <s v="ICICI Bank Coral Credit Card"/>
    <s v="10TH JULY"/>
    <s v="0000000025001850"/>
    <d v="2026-07-04T00:00:00"/>
  </r>
  <r>
    <s v="4035620083958005"/>
    <s v="MR SUGALI AKKULAPPA NAIK"/>
    <n v="0"/>
    <x v="0"/>
    <m/>
    <m/>
    <m/>
    <s v="N"/>
    <x v="10"/>
    <s v="8801661118"/>
    <s v="X"/>
    <n v="-44593.57"/>
    <n v="110000"/>
    <n v="65406.43"/>
    <n v="56139.99"/>
    <n v="9266.44"/>
    <n v="5359.02"/>
    <n v="9266.44"/>
    <n v="3748.1"/>
    <x v="1"/>
    <x v="2"/>
    <n v="3748.1"/>
    <n v="0"/>
    <x v="23"/>
    <s v="FE"/>
    <s v="30501-BBPS Payment received"/>
    <s v="HARI"/>
    <x v="7"/>
    <x v="3"/>
    <s v="2 145 3 SARADA NAGAR DHARMAVARAM NEAR MUNCIPAL OFFICE  HINDUPUR ANP 515671"/>
    <s v="SELF EMPLOYEE 2 145 3 SARADA NAGAR SARADA NAGAR HINDUPUR ANP 515671"/>
    <s v="HINDUPUR"/>
    <x v="1"/>
    <x v="12"/>
    <s v="POORNIMA"/>
    <n v="802824019"/>
    <s v="Nihan@2421"/>
    <m/>
    <m/>
    <x v="0"/>
    <s v="LIVE"/>
    <s v="Customer PTP on today evening"/>
    <x v="21"/>
    <d v="2026-04-03T00:00:00"/>
    <n v="4352.1400000000003"/>
    <s v="ICICI Bank Coral Credit Card"/>
    <s v="10TH JULY"/>
    <s v="0000000019472061"/>
    <d v="2026-07-04T00:00:00"/>
  </r>
  <r>
    <s v="4035620713355002"/>
    <s v="MR KODADHALA MALLESH"/>
    <n v="0"/>
    <x v="0"/>
    <m/>
    <m/>
    <m/>
    <s v="O"/>
    <x v="10"/>
    <s v="8465820097"/>
    <s v="X"/>
    <n v="647.94999999999709"/>
    <n v="64000"/>
    <n v="64647.95"/>
    <s v=""/>
    <n v="64647.95"/>
    <n v="59931.78"/>
    <n v="16790"/>
    <n v="11600"/>
    <x v="0"/>
    <x v="0"/>
    <n v="0"/>
    <n v="11600"/>
    <x v="0"/>
    <s v="NA"/>
    <n v="0"/>
    <s v="HARI"/>
    <x v="6"/>
    <x v="3"/>
    <s v="2 130 1 MUSHAMPALLY NALGONDA NALGONDA  NALGONDA TNG 508247"/>
    <s v="SRI RENUKA YELLAMMA POULTRY FROM NEAR NALGONDA NALGONDA NALGONDA NALGONDA TNG 508247"/>
    <s v="NALGONDA"/>
    <x v="0"/>
    <x v="21"/>
    <s v="PAVAN"/>
    <n v="802823180"/>
    <s v="Sgr@9290"/>
    <m/>
    <m/>
    <x v="1"/>
    <m/>
    <m/>
    <x v="1"/>
    <d v="2026-06-13T00:00:00"/>
    <n v="4000"/>
    <s v="ICICI Bank Coral Credit Card"/>
    <s v="7TH JULY"/>
    <s v="0000000023702627"/>
    <d v="2026-07-04T00:00:00"/>
  </r>
  <r>
    <s v="4035621869204010"/>
    <s v="MR BOWJANKU ASHOK"/>
    <n v="0"/>
    <x v="0"/>
    <m/>
    <m/>
    <m/>
    <s v="N"/>
    <x v="10"/>
    <s v="9676243730"/>
    <s v="X"/>
    <n v="3704.2699999999968"/>
    <n v="60000"/>
    <n v="63704.27"/>
    <s v=""/>
    <n v="63704.27"/>
    <n v="58409.13"/>
    <n v="21250"/>
    <n v="10930"/>
    <x v="1"/>
    <x v="2"/>
    <n v="11000"/>
    <n v="-70"/>
    <x v="24"/>
    <s v="FE"/>
    <s v="30501-BBPS Payment received"/>
    <s v="HARI"/>
    <x v="7"/>
    <x v="3"/>
    <s v="7-92 NAMBURIVARIPALEM NAMBURIVARIPALEM  Prakasam ANP 523201"/>
    <s v="NARAYANA EDUCATIONAL SOCIETY 9/99 COURT CENTRE NARAYANA JUNIOR COLLA OUNGUL PRAKSHAN DISTRICT OUNGUL PRAKSHAN DISTRICT ONGOLE ANP 523001"/>
    <s v="PRAKASAM"/>
    <x v="5"/>
    <x v="35"/>
    <s v="DURGA"/>
    <n v="801723195"/>
    <s v="Sgr@9290"/>
    <m/>
    <m/>
    <x v="0"/>
    <s v="LIVE"/>
    <s v="Visit Customer House Customer not available phone responding given PTP on tomorrow // Feedback: Visit Customer House waiting for customer"/>
    <x v="22"/>
    <d v="2026-03-12T00:00:00"/>
    <n v="5860"/>
    <s v="ICICI Bank Coral Credit Card"/>
    <s v="7TH JULY"/>
    <s v="0000000032242835"/>
    <d v="2026-07-04T00:00:00"/>
  </r>
  <r>
    <s v="4035621024369005"/>
    <s v="MR GUJJULA YASHWANTH REDDY"/>
    <n v="0"/>
    <x v="0"/>
    <m/>
    <m/>
    <m/>
    <s v="N"/>
    <x v="10"/>
    <s v="9515206457"/>
    <s v="X"/>
    <n v="-12272.07"/>
    <n v="75000"/>
    <n v="62727.93"/>
    <s v=""/>
    <n v="62727.93"/>
    <n v="58499.1"/>
    <n v="10790"/>
    <n v="6108.88"/>
    <x v="0"/>
    <x v="0"/>
    <n v="0"/>
    <n v="6108.88"/>
    <x v="0"/>
    <s v="NA"/>
    <n v="0"/>
    <s v="HARI"/>
    <x v="5"/>
    <x v="3"/>
    <s v="MIRYALAGUDA   &quot;H NO 18-742, ASHOK NAGAR&quot; MERAYALAGUDA TNG 508207"/>
    <s v="VIT UNIVERSITY VELLORE VELLORE INSTITUTE OF TECHNOLOGY KATPADI TO THRIUVALAM ROAD KATPADI KATPADI TO THRIUVALAM ROAD KATPADI VELLORE TMN 632014"/>
    <s v="SURYAPET"/>
    <x v="0"/>
    <x v="21"/>
    <s v="PAVAN"/>
    <n v="802823180"/>
    <s v="Sgr@9290"/>
    <m/>
    <m/>
    <x v="1"/>
    <m/>
    <m/>
    <x v="1"/>
    <d v="2026-05-22T00:00:00"/>
    <n v="13151.12"/>
    <s v="ICICI Bank Coral Credit Card"/>
    <s v="7TH JULY"/>
    <s v="0000000025512699"/>
    <d v="2026-07-04T00:00:00"/>
  </r>
  <r>
    <s v="4102021103906009"/>
    <s v="MR NAMBURI VENKATA NARAYANA"/>
    <n v="0"/>
    <x v="0"/>
    <m/>
    <m/>
    <m/>
    <s v="N"/>
    <x v="10"/>
    <s v="9441321276"/>
    <s v="X"/>
    <n v="-29084.21"/>
    <n v="90000"/>
    <n v="60915.79"/>
    <s v=""/>
    <n v="60915.79"/>
    <n v="56613.52"/>
    <n v="9330"/>
    <n v="4650"/>
    <x v="0"/>
    <x v="0"/>
    <n v="0"/>
    <n v="4650"/>
    <x v="0"/>
    <s v="NA"/>
    <n v="0"/>
    <s v="HARI"/>
    <x v="4"/>
    <x v="3"/>
    <s v="H NO 22 3 142 22 DAMMAPETA X ROAD SHIVA NAGAR PALWANKHA WAY BRIDZE KATTA KHAMMAM TNG 507118"/>
    <s v="SRI LAXMI NARAYANA ENGINEERING WORKS H NO 22 3 142 22 SHIVA NAGAR SHIVA NAGAR KHAMMAM TNG 507118"/>
    <s v="KHAMMAM"/>
    <x v="0"/>
    <x v="27"/>
    <s v="POORNIMA"/>
    <n v="802824019"/>
    <s v="Nihan@2421"/>
    <m/>
    <m/>
    <x v="0"/>
    <s v="LIVE"/>
    <s v="Feedback customer live PTP given today evening // Feedback customer live customer argue with me He said not pay loan facing any legal issue"/>
    <x v="22"/>
    <d v="2026-05-02T00:00:00"/>
    <n v="10000"/>
    <s v="ICICI Gold Business Card (BCCL-V)"/>
    <s v="7TH JULY"/>
    <s v="1000000000626242"/>
    <d v="2026-07-04T00:00:00"/>
  </r>
  <r>
    <s v="4035621577431004"/>
    <s v="MR K SAPTHAGIRI"/>
    <n v="0"/>
    <x v="0"/>
    <m/>
    <m/>
    <m/>
    <s v="N"/>
    <x v="10"/>
    <s v="9652346665"/>
    <s v="X"/>
    <n v="-566.12999999999738"/>
    <n v="60000"/>
    <n v="59433.87"/>
    <n v="6429.24"/>
    <n v="53004.63"/>
    <n v="48800.59"/>
    <n v="19060"/>
    <n v="7440"/>
    <x v="1"/>
    <x v="2"/>
    <n v="8502"/>
    <n v="-1062"/>
    <x v="25"/>
    <s v="TC"/>
    <s v="12111-ICICI BANK COLLECTION PAYMENT"/>
    <s v="HARI"/>
    <x v="4"/>
    <x v="3"/>
    <s v="&quot;69/1-B-6 JOHARAPURAM B,CAMP,SANGAREDDY&quot; ...  HANUMAN TEMPEL KURNOOL ANP 518001"/>
    <s v="TVS CREDIT SERVICES LIMITED KURNOOL   KURNOOL ANP 518001"/>
    <s v="KURNOOL"/>
    <x v="1"/>
    <x v="18"/>
    <s v="SAMBA"/>
    <n v="801772794"/>
    <s v="Ssde@9876"/>
    <m/>
    <m/>
    <x v="0"/>
    <s v="LIVE"/>
    <s v="Customer not available contact by phone he told 17000 rupees debit from his account // Customer asking for settlement sir"/>
    <x v="23"/>
    <d v="2026-03-06T00:00:00"/>
    <n v="500"/>
    <s v="ICICI Bank Coral Credit Card"/>
    <s v="7TH JULY"/>
    <s v="0000000029026149"/>
    <d v="2026-07-04T00:00:00"/>
  </r>
  <r>
    <s v="4035621041464003"/>
    <s v="MR YERRA KUMAR"/>
    <n v="0"/>
    <x v="0"/>
    <m/>
    <m/>
    <m/>
    <s v="N"/>
    <x v="10"/>
    <s v="9705081622"/>
    <s v="X"/>
    <n v="-42475.5"/>
    <n v="100000"/>
    <n v="57524.5"/>
    <n v="39507.839999999997"/>
    <n v="18016.66"/>
    <n v="9680.59"/>
    <n v="16560"/>
    <n v="9600"/>
    <x v="1"/>
    <x v="2"/>
    <n v="10000"/>
    <n v="-400"/>
    <x v="24"/>
    <s v="FE"/>
    <s v="12124 - UPI Payment Received"/>
    <s v="HARI"/>
    <x v="7"/>
    <x v="3"/>
    <s v="&quot;16-9-394,,PUPPALAGUTTA,,NEAR WATAR TANK,&quot;    WARANGAL TNG 506002"/>
    <s v="Not Applicable Nil Nil Nil WARANGAL TNG 506002"/>
    <s v="WARANGAL"/>
    <x v="0"/>
    <x v="20"/>
    <s v="KARUNAKAR"/>
    <n v="801264672"/>
    <s v="Ssd@9291"/>
    <m/>
    <m/>
    <x v="0"/>
    <s v="LIVE"/>
    <s v="Visited Customer Residence Address Customer Live Given Commitment Tommorow Sir"/>
    <x v="20"/>
    <d v="2026-05-15T00:00:00"/>
    <n v="50000"/>
    <s v="ICICI Bank Coral Credit Card"/>
    <s v="7TH JULY"/>
    <s v="0000000025599776"/>
    <d v="2026-07-04T00:00:00"/>
  </r>
  <r>
    <s v="4102020141744000"/>
    <s v="MR GANESWARA RAO JAYVADY"/>
    <n v="0"/>
    <x v="0"/>
    <m/>
    <m/>
    <m/>
    <s v="N"/>
    <x v="10"/>
    <s v="9160722225"/>
    <s v="X"/>
    <n v="-13108.330000000002"/>
    <n v="70000"/>
    <n v="56891.67"/>
    <s v=""/>
    <n v="56891.67"/>
    <n v="50656.37"/>
    <n v="9400"/>
    <n v="2990"/>
    <x v="1"/>
    <x v="1"/>
    <n v="9400"/>
    <n v="-6410"/>
    <x v="22"/>
    <s v="TC"/>
    <s v="30501-BBPS Payment received"/>
    <s v="HARI"/>
    <x v="5"/>
    <x v="3"/>
    <s v="D NO 3 147 GUTLA PADU VILLAGE   MAIN ROAD BHIMAVARAM ANP 534239"/>
    <s v="S S AQUA TRADERS D NO 3 77 BESIDE OLD ATM ANDHRA BANK MAIN ROAD GUTLAPADU VILLAGE BANK MAIN ROAD GUTLAPADU VILLAGE BHIMAVARAM ANP 534239"/>
    <s v="BHIMAVARAM"/>
    <x v="4"/>
    <x v="26"/>
    <s v="B NAGABABU"/>
    <n v="801448854"/>
    <s v="Sgr@9290"/>
    <m/>
    <m/>
    <x v="0"/>
    <m/>
    <m/>
    <x v="1"/>
    <d v="2026-02-03T00:00:00"/>
    <n v="18000"/>
    <s v="ICICI Gold Business Card (BCCL-V)"/>
    <s v="10TH JULY"/>
    <s v="1000000000197151"/>
    <d v="2026-07-04T00:00:00"/>
  </r>
  <r>
    <s v="4035621670720014"/>
    <s v="MR MALLIPAMU GANGADHAR"/>
    <n v="0"/>
    <x v="0"/>
    <m/>
    <m/>
    <m/>
    <s v="N"/>
    <x v="10"/>
    <s v="9949022528"/>
    <s v="X"/>
    <n v="6486.9000000000015"/>
    <n v="50000"/>
    <n v="56486.9"/>
    <s v=""/>
    <n v="56486.9"/>
    <n v="48196.800000000003"/>
    <n v="21740"/>
    <n v="12240"/>
    <x v="0"/>
    <x v="0"/>
    <n v="0"/>
    <n v="12240"/>
    <x v="0"/>
    <s v="NA"/>
    <n v="0"/>
    <s v="HARI"/>
    <x v="5"/>
    <x v="3"/>
    <s v="4-55 &quot;CINEMA CENTER THONDANGI,CINIMA CENTER,,THONDA&quot; Thondangi East Godavari KKN ANP 533408"/>
    <s v="NO 39 DGS CAMPUS PHASE-1 HOSUR RD UNIVERSAL BLOCK DXC TECHNOLOGY DIGITAL PARK ELECTRONIC CITY ELECTRONIC CITY BNG KAR 560100"/>
    <s v="KAKINADA"/>
    <x v="4"/>
    <x v="13"/>
    <s v="POORNIMA"/>
    <n v="802824019"/>
    <s v="Nihan@2421"/>
    <m/>
    <m/>
    <x v="1"/>
    <m/>
    <m/>
    <x v="1"/>
    <d v="2026-05-15T00:00:00"/>
    <n v="1744"/>
    <s v="ICICI Bank Coral Credit Card"/>
    <s v="7TH JULY"/>
    <s v="0000000030097946"/>
    <d v="2026-07-04T00:00:00"/>
  </r>
  <r>
    <s v="4035620942331006"/>
    <s v="MR YELIJALA MAHESH"/>
    <n v="0"/>
    <x v="0"/>
    <m/>
    <m/>
    <m/>
    <s v="N"/>
    <x v="10"/>
    <s v="9014498961"/>
    <s v="X"/>
    <n v="-6152.010000000002"/>
    <n v="60000"/>
    <n v="53847.99"/>
    <n v="32212.18"/>
    <n v="21635.81"/>
    <n v="16705.900000000001"/>
    <n v="10540"/>
    <n v="5240"/>
    <x v="1"/>
    <x v="1"/>
    <n v="10540"/>
    <n v="-5300"/>
    <x v="22"/>
    <s v="TC"/>
    <s v="30501-BBPS Payment received"/>
    <s v="HARI"/>
    <x v="7"/>
    <x v="3"/>
    <s v="&quot;NO 2-30,&quot; &quot;MALLIKARJUN NAGAR, NALGONDA MANDALAM&quot; &quot;CHARLAPALLY, NALGONDA&quot; NR HP GAS NALGONDA TNG 508001"/>
    <s v="GOVERNMENT OF TELANGANA &quot;12TH BATTALION, ANNAPARTHI,&quot; MALLIKARJUNA NAGAR MALLIKARJUNA NAGAR NARASAPURAM ANP 522660"/>
    <s v="NALGONDA"/>
    <x v="0"/>
    <x v="21"/>
    <s v="PAVAN"/>
    <n v="802823180"/>
    <s v="Sgr@9290"/>
    <m/>
    <m/>
    <x v="0"/>
    <m/>
    <m/>
    <x v="1"/>
    <d v="2024-07-01T00:00:00"/>
    <n v="6800"/>
    <s v="ICICI Bank Coral Credit Card"/>
    <s v="7TH JULY"/>
    <s v="0000000025096073"/>
    <d v="2026-07-04T00:00:00"/>
  </r>
  <r>
    <s v="4035620212448027"/>
    <s v="MR RAJULA REDDY"/>
    <n v="0"/>
    <x v="0"/>
    <m/>
    <m/>
    <m/>
    <s v="N"/>
    <x v="10"/>
    <s v="8985654385"/>
    <s v="X"/>
    <n v="-16285.809999999998"/>
    <n v="70000"/>
    <n v="53714.19"/>
    <s v=""/>
    <n v="53714.19"/>
    <n v="48500"/>
    <n v="7640"/>
    <n v="2638.17"/>
    <x v="1"/>
    <x v="1"/>
    <n v="0"/>
    <n v="2638.17"/>
    <x v="24"/>
    <s v="TC"/>
    <s v="30501-BBPS Payment received"/>
    <s v="HARI"/>
    <x v="5"/>
    <x v="3"/>
    <s v="&quot;1/1842 GANDHI NAGAR,.,YERRAMUKKAPALLI,.&quot;    CUDDAPAH ANP 516004"/>
    <s v="Nihanth Reddy Kadapa Kadapa Kadapa CUDDAPAH ANP 516001"/>
    <s v="CUDDAPAH"/>
    <x v="1"/>
    <x v="48"/>
    <s v="SIVARAU"/>
    <n v="801601134"/>
    <s v="Ssd@9290"/>
    <m/>
    <m/>
    <x v="0"/>
    <m/>
    <m/>
    <x v="1"/>
    <d v="2026-04-04T00:00:00"/>
    <n v="24160"/>
    <s v="ICICI Bank Coral Credit Card"/>
    <s v="10TH JULY"/>
    <s v="0000000020299967"/>
    <d v="2026-07-04T00:00:00"/>
  </r>
  <r>
    <s v="4102021108338000"/>
    <s v="Ms. RAJASEKHAR NANNURU"/>
    <n v="0"/>
    <x v="0"/>
    <m/>
    <m/>
    <s v="CUS CALLS NOT RESPONDING"/>
    <s v="O"/>
    <x v="10"/>
    <s v="9440155064"/>
    <s v="X"/>
    <n v="1411.5199999999968"/>
    <n v="50000"/>
    <n v="51411.519999999997"/>
    <s v=""/>
    <n v="51411.519999999997"/>
    <n v="46977.02"/>
    <n v="16190"/>
    <n v="10440"/>
    <x v="0"/>
    <x v="0"/>
    <n v="0"/>
    <n v="10440"/>
    <x v="0"/>
    <s v="NA"/>
    <n v="0"/>
    <s v="HARI"/>
    <x v="9"/>
    <x v="3"/>
    <s v="16174CROWN TALKIES ROAD TILAK &quot;NAGAR GUNTAKAL,ANANTAPUR, ANDHRA PRADESH 515801&quot;   GTK ANP 515801"/>
    <s v="16174CROWN TALKIES ROAD TILAK &quot;NAGAR GUNTAKAL,ANANTAPUR, ANDHRA PRADESH 515801&quot;   GTK ANP 515801"/>
    <s v="GUNTAKAL"/>
    <x v="1"/>
    <x v="12"/>
    <s v="POORNIMA"/>
    <n v="802824019"/>
    <s v="Nihan@2421"/>
    <m/>
    <m/>
    <x v="1"/>
    <m/>
    <m/>
    <x v="1"/>
    <d v="2026-06-15T00:00:00"/>
    <n v="9300"/>
    <s v="ICICI Gold Business Card (BCCL-V)"/>
    <s v="7TH JULY"/>
    <s v="1000000000632231"/>
    <d v="2026-07-04T00:00:00"/>
  </r>
  <r>
    <s v="4315812669970006"/>
    <s v="MR Kopparam Thrivikram"/>
    <n v="0"/>
    <x v="0"/>
    <m/>
    <m/>
    <s v="CUSTOMER MOBILE RINGING NOT ANSWERING"/>
    <s v="N"/>
    <x v="11"/>
    <s v="8333046460"/>
    <s v="X"/>
    <n v="267646.06000000006"/>
    <n v="480000"/>
    <n v="747646.06"/>
    <n v="442863.83"/>
    <n v="304782.23"/>
    <n v="268667.03999999998"/>
    <n v="146560"/>
    <n v="79330"/>
    <x v="0"/>
    <x v="0"/>
    <n v="1560"/>
    <n v="77770"/>
    <x v="0"/>
    <s v="NA"/>
    <s v="30501-BBPS Payment received"/>
    <s v="SAMBA"/>
    <x v="3"/>
    <x v="3"/>
    <s v="8-143 kalyanadurgam gandhi chowk s l v electrical ANANTAPUR ANP 515761"/>
    <s v="ACRONOTICS PRIVATE LIMITED &quot;NO.507, 4TH BLOCK, 1ST PHASE, HBR LAYOUT&quot; &quot;OUTG ROAD, BENGALURU, KARNATAKA 560043&quot; &quot;OUTG ROAD, BENGALURU, KARNATAKA 560043&quot; BANGALORE KAR 560043"/>
    <s v="ANANTAPUR"/>
    <x v="1"/>
    <x v="12"/>
    <s v="POORNIMA"/>
    <n v="802824019"/>
    <s v="Nihan@2421"/>
    <m/>
    <m/>
    <x v="0"/>
    <s v="DL"/>
    <s v="Visit customer address _x000a_Customer not at home right now Customer given phone ptp by 16th // Customer House door locked _x000a_Customer calls not responding _x000a_Waiting for location"/>
    <x v="25"/>
    <d v="2025-11-27T00:00:00"/>
    <n v="3500"/>
    <s v="Amazon Pay ICICI Bank Credit Card"/>
    <s v="7TH JULY"/>
    <s v="0000000021423706"/>
    <d v="2026-07-05T00:00:00"/>
  </r>
  <r>
    <s v="4035626014854007"/>
    <s v="MR MALLESH UDUTHALA"/>
    <n v="0"/>
    <x v="0"/>
    <m/>
    <s v="CC"/>
    <s v="CUSTOMR PAID AMOUNT"/>
    <s v="N"/>
    <x v="11"/>
    <s v="6300209634"/>
    <s v="X"/>
    <n v="-20811.829999999987"/>
    <n v="190000"/>
    <n v="169188.17"/>
    <s v=""/>
    <n v="169188.17"/>
    <n v="152531.59"/>
    <n v="27080"/>
    <n v="10265.73"/>
    <x v="1"/>
    <x v="1"/>
    <n v="27200"/>
    <n v="-16934.27"/>
    <x v="17"/>
    <s v="TC"/>
    <n v="0"/>
    <s v="SAMBA"/>
    <x v="2"/>
    <x v="3"/>
    <s v="&quot;2-98 DODLAPAHAD DODLAPAHAD AVURUPALLI,MA&quot; DGUL MANDAL AURPALLY  NEAR MAIN ROAD WANAPARTHY TNG 509321"/>
    <s v="ICICI BANK LIMITED BP 4 TECHNOPOLIS BUIDING 4TH FLOOR SECTOR LAKE CITY KOLKATHA SECTOR LAKE CITY KOLKATHA KOLKATA WBL 700091"/>
    <s v="WANAPARTHY"/>
    <x v="0"/>
    <x v="19"/>
    <s v="SAMBA"/>
    <n v="801772794"/>
    <s v="Ssde@9876"/>
    <m/>
    <m/>
    <x v="0"/>
    <m/>
    <m/>
    <x v="1"/>
    <d v="2026-05-16T00:00:00"/>
    <n v="123000"/>
    <s v="ICICI Bank HPCL Super Saver Master Credit Card"/>
    <s v="7TH JULY"/>
    <s v="0000000025233314"/>
    <d v="2026-07-05T00:00:00"/>
  </r>
  <r>
    <s v="4501721440247002"/>
    <s v="MR VENKATA KRISHNA ERIGINENI"/>
    <n v="0"/>
    <x v="0"/>
    <n v="1"/>
    <m/>
    <m/>
    <s v="N"/>
    <x v="12"/>
    <s v="9676720586"/>
    <s v="X"/>
    <n v="130537"/>
    <n v="1500000"/>
    <n v="1630537"/>
    <n v="464093.36"/>
    <n v="1166443.6399999999"/>
    <n v="1035413.55"/>
    <n v="338160"/>
    <n v="137880"/>
    <x v="0"/>
    <x v="0"/>
    <n v="0"/>
    <n v="137880"/>
    <x v="0"/>
    <s v="NA"/>
    <n v="0"/>
    <s v="SAMBA"/>
    <x v="0"/>
    <x v="3"/>
    <s v="HNO 7-32/1 CHAITANYA NAGAR MIRYALA GUDA NALGONDA NEAR ADITYA SCHOOL SURYAPET TNG 508207"/>
    <s v="MCS SOLUTIONS PRIVATE LIMITED DEV X 4TH FLOOR B WING PURVA SUMMIT WHITEFIELD ROAD WHITEFIELD ROAD HYDERABAD TNG 500081"/>
    <s v="SURYAPET"/>
    <x v="0"/>
    <x v="21"/>
    <s v="PAVAN"/>
    <n v="802823180"/>
    <s v="Sgr@9290"/>
    <m/>
    <m/>
    <x v="0"/>
    <s v="SKIP"/>
    <s v="Visited Customer Given Adress Customer Shifted Conform to Owner's Sir"/>
    <x v="21"/>
    <d v="2025-12-06T00:00:00"/>
    <n v="147.35"/>
    <s v="ICICI Bank Sapphiro Visa Credit Card"/>
    <s v="4TH JULY"/>
    <s v="0000000026205669"/>
    <d v="2026-07-06T00:00:00"/>
  </r>
  <r>
    <s v="4629864303724001"/>
    <s v="Mr. KATARU CHANDRA"/>
    <n v="0"/>
    <x v="0"/>
    <m/>
    <m/>
    <m/>
    <s v="N"/>
    <x v="12"/>
    <s v="9348366867"/>
    <s v="X"/>
    <n v="106429.70999999996"/>
    <n v="910000"/>
    <n v="1016429.71"/>
    <s v=""/>
    <n v="1016429.71"/>
    <n v="909436.77"/>
    <n v="264050"/>
    <n v="91110"/>
    <x v="1"/>
    <x v="1"/>
    <n v="544000"/>
    <n v="-452890"/>
    <x v="18"/>
    <s v="TC"/>
    <s v="12118 - NEFT PAYMENT RECEIVED"/>
    <s v="SAMBA"/>
    <x v="11"/>
    <x v="3"/>
    <s v="&quot;306,3rd floor,KALLAM APARTMENTS&quot; &quot;NRT ROAD,NRT ROAD&quot; NALLAPADU NALLAPADU RAILWAY STATION ROAD GUNTUR ANP 522005"/>
    <s v="&quot;7/1,Arundalpet,Gunt&quot; ur   GUNTUR ANP 522601"/>
    <s v="GUNTUR"/>
    <x v="5"/>
    <x v="43"/>
    <s v="INAMUL"/>
    <n v="802823175"/>
    <s v="Sgr@9290"/>
    <m/>
    <m/>
    <x v="0"/>
    <s v="LIVE"/>
    <s v=" Cmr given address visited customer live cmr spoke to maximum will pay today evening 4pm sir // Cmr given address visited customer live cmr spoke to maximum will pay today evening 4pm sir // Cmr given address visited customer live cmr spoke to maximum will pay today evening 4pm sir // Cmr given address visited customer given PTP today afternoon 12 pm sir"/>
    <x v="17"/>
    <d v="2026-04-19T00:00:00"/>
    <n v="49000"/>
    <s v="ICICI Bank Coral Credit Card"/>
    <s v="4TH JULY"/>
    <s v="4629864303724001"/>
    <d v="2026-07-06T00:00:00"/>
  </r>
  <r>
    <s v="4501720933669011"/>
    <s v="MR MANCHALA REDDY"/>
    <n v="0"/>
    <x v="0"/>
    <m/>
    <s v="CC"/>
    <s v="CUSTOMER NOT ABLE TO PAY THE PAYMENT/ REFUSE TO PAY THE PAYMENT "/>
    <s v="N"/>
    <x v="12"/>
    <s v="7093953709"/>
    <s v="X"/>
    <n v="70886.349999999977"/>
    <n v="760000"/>
    <n v="830886.35"/>
    <n v="72210.600000000006"/>
    <n v="758675.75"/>
    <n v="681442.71"/>
    <n v="125860"/>
    <n v="50050"/>
    <x v="0"/>
    <x v="0"/>
    <n v="0"/>
    <n v="50050"/>
    <x v="0"/>
    <s v="NA"/>
    <n v="0"/>
    <s v="SAMBA"/>
    <x v="3"/>
    <x v="3"/>
    <s v="&quot;13/16-1 SHIVA REDDY,STREET,KASAPURAM ROAD,&quot; &quot;GUNTAKAL,ANANTAPUR&quot;   ANANTAPUR ANP 515801"/>
    <s v="HCL TECHNOLOGIES LTD HCL TECHN Nil Nil Nil GUNTAKAL ANP 515801"/>
    <s v="GUNTAKAL"/>
    <x v="1"/>
    <x v="12"/>
    <s v="POORNIMA"/>
    <n v="802824019"/>
    <s v="Nihan@2421"/>
    <m/>
    <m/>
    <x v="0"/>
    <s v="MESS"/>
    <s v="Customer not available _x000a_Customer calls not responding _x000a_Inform in customer mother // Customer house door locked _x000a_Customer living in Hyderabad _x000a_waiting for location // Can't find address _x000a_Customer calls not answering!"/>
    <x v="22"/>
    <d v="2026-05-08T00:00:00"/>
    <n v="54000"/>
    <s v="ICICI Bank Rubyx Visa Credit Card"/>
    <s v="4TH JULY"/>
    <s v="0000000021918110"/>
    <d v="2026-07-06T00:00:00"/>
  </r>
  <r>
    <s v="4501721382995006"/>
    <s v="Mr BAGAIAHGARI KALYAN REDDY"/>
    <n v="0"/>
    <x v="0"/>
    <m/>
    <m/>
    <m/>
    <s v="N"/>
    <x v="12"/>
    <s v="7702211101"/>
    <s v="X"/>
    <n v="15209.410000000033"/>
    <n v="580000"/>
    <n v="595209.41"/>
    <s v=""/>
    <n v="595209.41"/>
    <n v="566582.22"/>
    <n v="163300"/>
    <n v="119689.96"/>
    <x v="1"/>
    <x v="1"/>
    <n v="113703"/>
    <n v="5986.9600000000064"/>
    <x v="24"/>
    <s v="FE"/>
    <s v="12118 - NEFT PAYMENT RECEIVED"/>
    <s v="SAMBA"/>
    <x v="2"/>
    <x v="3"/>
    <s v="&quot;2-10-957,JYOTHINAGAR,KARIMNAGAR,&quot; BESIDE MORE SUPER MARKET LANE   ADILABAD TNG 505001"/>
    <s v="CGI INFORMATION SYSTEMS AND KARIMNAGAR KARIMNAGAR KARIMNAGAR KARIMNAGAR TNG 505002"/>
    <s v="KARIMNAGAR"/>
    <x v="0"/>
    <x v="8"/>
    <s v="SUMANTH"/>
    <n v="802370852"/>
    <s v="Sgr@9290"/>
    <m/>
    <m/>
    <x v="0"/>
    <s v="LIVE"/>
    <s v="Customer live in address and customer not at home met his brother and said today or tomorrow he will amount"/>
    <x v="14"/>
    <d v="2026-06-12T00:00:00"/>
    <n v="50000.04"/>
    <s v="ICICI Bank Sapphiro Visa Credit Card"/>
    <s v="4TH JULY"/>
    <s v="0000000025365062"/>
    <d v="2026-07-06T00:00:00"/>
  </r>
  <r>
    <s v="4315811742274006"/>
    <s v="MR MANOHAR REDDY NANDALURU"/>
    <n v="0"/>
    <x v="0"/>
    <m/>
    <m/>
    <m/>
    <s v="N"/>
    <x v="12"/>
    <s v="9700071417"/>
    <s v="X"/>
    <n v="44596"/>
    <n v="470000"/>
    <n v="514596"/>
    <s v=""/>
    <n v="514596"/>
    <n v="468158.96"/>
    <n v="117300"/>
    <n v="49420"/>
    <x v="1"/>
    <x v="1"/>
    <n v="120000"/>
    <n v="-70580"/>
    <x v="0"/>
    <s v="D"/>
    <s v="30501-BBPS Payment received"/>
    <s v="SAMBA"/>
    <x v="0"/>
    <x v="3"/>
    <s v="&quot;1-14,&quot; &quot;RAMASAMUDRAM,&quot;   CUDDAPAH ANP 516107"/>
    <s v="STANDARD and POORS SOUTH ASIA SERVICES &quot;Building no 5, divyasree Orion, raidurg,&quot; &quot;Hyderabad, Telangana 500008&quot; &quot;Hyderabad, Telangana 500008&quot; HYDERABAD TNG 500008"/>
    <s v="CUDDAPAH"/>
    <x v="1"/>
    <x v="14"/>
    <s v="SIVARAU"/>
    <n v="801601134"/>
    <s v="Ssd@9290"/>
    <m/>
    <m/>
    <x v="0"/>
    <m/>
    <m/>
    <x v="1"/>
    <d v="2026-03-03T00:00:00"/>
    <n v="300"/>
    <s v="Amazon Pay ICICI Bank Credit Card"/>
    <s v="4TH JULY"/>
    <s v="0000000018824264"/>
    <d v="2026-07-06T00:00:00"/>
  </r>
  <r>
    <s v="4501721827013001"/>
    <s v="MR N SUBHAKARA RAO"/>
    <n v="0"/>
    <x v="0"/>
    <n v="1"/>
    <m/>
    <m/>
    <s v="N"/>
    <x v="12"/>
    <s v="9390388842"/>
    <s v="X"/>
    <n v="37136.630000000005"/>
    <n v="470000"/>
    <n v="507136.63"/>
    <s v=""/>
    <n v="507136.63"/>
    <n v="464431.59"/>
    <n v="108080"/>
    <n v="40610"/>
    <x v="0"/>
    <x v="0"/>
    <n v="1202"/>
    <n v="39408"/>
    <x v="0"/>
    <s v="NA"/>
    <s v="12111-ICICI BANK COLLECTION PAYMENT"/>
    <s v="SAMBA"/>
    <x v="11"/>
    <x v="3"/>
    <s v="12A-19 &quot;HARIJANA BASTI M,M PURAM,VILLAGE,PULLA,&quot; West Godavari West Godavari WGD ANP 534401"/>
    <s v="ELECTRONIC CITY PHASE 1 NO 44 INFOSYS AVENUE HOSUR RD Bangalore Bangalore BNG KAR 560100"/>
    <s v="ELURU"/>
    <x v="4"/>
    <x v="32"/>
    <s v="BHARAT CHANDRA"/>
    <n v="802631601"/>
    <s v="Ssde@9290"/>
    <m/>
    <m/>
    <x v="1"/>
    <m/>
    <m/>
    <x v="1"/>
    <d v="2026-04-30T00:00:00"/>
    <n v="25010"/>
    <s v="ICICI Bank Rubyx Visa Credit Card"/>
    <s v="4TH JULY"/>
    <s v="0000000029947503"/>
    <d v="2026-07-06T00:00:00"/>
  </r>
  <r>
    <s v="4501721410038001"/>
    <s v="Mr SONNATHI  SREENATH"/>
    <n v="0"/>
    <x v="0"/>
    <m/>
    <m/>
    <m/>
    <s v="N"/>
    <x v="12"/>
    <s v="9440485230"/>
    <s v="X"/>
    <n v="103605.97999999998"/>
    <n v="380000"/>
    <n v="483605.98"/>
    <n v="203922.95"/>
    <n v="279683.03000000003"/>
    <n v="256882.53"/>
    <n v="136880"/>
    <n v="66960"/>
    <x v="1"/>
    <x v="2"/>
    <n v="0"/>
    <n v="66960"/>
    <x v="0"/>
    <s v="NA"/>
    <s v="30501-BBPS Payment received"/>
    <s v="SAMBA"/>
    <x v="0"/>
    <x v="3"/>
    <s v="&quot;10-76,RAM NAGAR COLONY,NAGARKURNOOL,&quot; NAGARKURNOOL   MAHABUBNAGAR TNG 509209"/>
    <s v="Not Applicable 22 20 2 nagarkurnool nagarkurnool MAHABUBNAGAR TNG 509209"/>
    <s v="WANAPARTHY"/>
    <x v="0"/>
    <x v="19"/>
    <s v="SAMBA"/>
    <n v="801772794"/>
    <s v="Ssde@9876"/>
    <m/>
    <m/>
    <x v="1"/>
    <m/>
    <m/>
    <x v="1"/>
    <d v="2025-11-14T00:00:00"/>
    <n v="65808.86"/>
    <s v="ICICI Bank Sapphiro Visa Credit Card"/>
    <s v="7TH JULY"/>
    <s v="0000000025773514"/>
    <d v="2026-07-06T00:00:00"/>
  </r>
  <r>
    <s v="4501721229585002"/>
    <s v="MR MAHAMMAD ISMAIEL"/>
    <n v="0"/>
    <x v="0"/>
    <m/>
    <m/>
    <m/>
    <s v="N"/>
    <x v="12"/>
    <s v="8341737672"/>
    <s v="X"/>
    <n v="51.46999999997206"/>
    <n v="450000"/>
    <n v="450051.47"/>
    <n v="137513.09"/>
    <n v="312538.38"/>
    <n v="267220.43"/>
    <n v="97090"/>
    <n v="43690"/>
    <x v="1"/>
    <x v="2"/>
    <n v="0"/>
    <n v="43690"/>
    <x v="0"/>
    <s v="D"/>
    <s v="30501-BBPS Payment received"/>
    <s v="SAMBA"/>
    <x v="11"/>
    <x v="3"/>
    <s v="&quot;RAIN,THREE PARK DWARAKA,KRISHNA,&quot; &quot;MAPLE BLOCK FLOT,328 NATIONAL,HIGH ROAD&quot;   GUNTUR ANP 522508"/>
    <s v="Apton Inc Flat number Mapleb328 &quot;Namburu, Rain Tree park&quot; &quot;Namburu, Rain Tree park&quot; GUNTUR ANP 522508"/>
    <s v="GUNTUR"/>
    <x v="5"/>
    <x v="43"/>
    <s v="INAMUL"/>
    <n v="802823175"/>
    <s v="Sgr@9290"/>
    <m/>
    <m/>
    <x v="0"/>
    <s v="LIVE"/>
    <s v="Cmr given address visited security not allowed in this appartment cmr call not answering revisit again sir //  Cmr given address visited given PTP today afternoon 3 pm sir"/>
    <x v="23"/>
    <d v="2026-02-27T00:00:00"/>
    <n v="39480"/>
    <s v="ICICI Bank Sapphiro Visa Credit Card"/>
    <s v="7TH JULY"/>
    <s v="0000000021813176"/>
    <d v="2026-07-06T00:00:00"/>
  </r>
  <r>
    <s v="4501721090978005"/>
    <s v="MS TEKI BALASAI PRASANNA"/>
    <n v="0"/>
    <x v="0"/>
    <n v="1"/>
    <m/>
    <m/>
    <s v="N"/>
    <x v="12"/>
    <s v="7416617828"/>
    <s v="X"/>
    <n v="364006.33"/>
    <n v="79000"/>
    <n v="443006.33"/>
    <n v="154705.98000000001"/>
    <n v="288300.34999999998"/>
    <n v="266950.07"/>
    <n v="243180"/>
    <n v="187880"/>
    <x v="0"/>
    <x v="0"/>
    <n v="0"/>
    <n v="187880"/>
    <x v="0"/>
    <s v="NA"/>
    <n v="0"/>
    <s v="SAMBA"/>
    <x v="3"/>
    <x v="3"/>
    <s v="&quot;NALLAM RESIDENCY, FLAT NO T2&quot; &quot;NEELAPAN CENTER, CINEMA RAOD&quot; &quot;NEAR SAI BABA TEMPLE, KAKINADA&quot; NEELAPAN CENTER KAKINADA ANP 533001"/>
    <s v="AXIS BANK LIMITED MARK HARITAGE MAIN ROAD YANAM YANAM KAKINADA ANP 533464"/>
    <s v="KAKINADA"/>
    <x v="4"/>
    <x v="23"/>
    <s v="UDAY"/>
    <n v="801436997"/>
    <s v="Ssd@9290"/>
    <m/>
    <m/>
    <x v="0"/>
    <s v="MESS"/>
    <s v="Customer address skip call not working need to kyc and alternative numbers"/>
    <x v="18"/>
    <d v="2025-02-06T00:00:00"/>
    <n v="15000"/>
    <s v="ICICI Bank HPCL Super Saver RuPay Credit Card"/>
    <s v="4TH JULY"/>
    <s v="0000000026109070"/>
    <d v="2026-07-06T00:00:00"/>
  </r>
  <r>
    <s v="4501721615762009"/>
    <s v="Mrs MOHAMMAD SAMEERA"/>
    <n v="0"/>
    <x v="0"/>
    <m/>
    <m/>
    <m/>
    <s v="N"/>
    <x v="12"/>
    <s v="8520010647"/>
    <s v="X"/>
    <n v="22442.109999999986"/>
    <n v="410000"/>
    <n v="432442.11"/>
    <s v=""/>
    <n v="432442.11"/>
    <n v="394793.2"/>
    <n v="83890"/>
    <n v="25470"/>
    <x v="1"/>
    <x v="2"/>
    <n v="26000"/>
    <n v="-530"/>
    <x v="23"/>
    <s v="FE"/>
    <s v="30501-BBPS Payment received"/>
    <s v="SAMBA"/>
    <x v="11"/>
    <x v="3"/>
    <s v="&quot;2-10-288 TO 291/C/101,GMR,&quot; &quot;BRINDAVAN APARTMENT,WADDEPALLE  RURAL&quot;   WARANGAL TNG 506370"/>
    <s v="Not Applicable 2-10-288 to 291/c/101 Gmr brindavan apartment Gmr brindavan apartment WARANGAL TNG 506370"/>
    <s v="WARANGAL"/>
    <x v="0"/>
    <x v="0"/>
    <s v="AKHIL"/>
    <n v="801772792"/>
    <s v="Sgr@9290"/>
    <m/>
    <m/>
    <x v="0"/>
    <s v="LIVE"/>
    <s v="Cust husband respond to call and said given ptp on 11th"/>
    <x v="18"/>
    <d v="2025-12-01T00:00:00"/>
    <n v="64450"/>
    <s v="ICICI Bank Sapphiro Visa Credit Card"/>
    <s v="4TH JULY"/>
    <s v="0000000027532784"/>
    <d v="2026-07-06T00:00:00"/>
  </r>
  <r>
    <s v="4315810077489080"/>
    <s v="MR. IMTHIAJ SYED"/>
    <n v="0"/>
    <x v="0"/>
    <m/>
    <m/>
    <m/>
    <s v="N"/>
    <x v="12"/>
    <s v="7710092017"/>
    <s v="X"/>
    <n v="34438.679999999993"/>
    <n v="365000"/>
    <n v="399438.68"/>
    <n v="18547.080000000002"/>
    <n v="380891.6"/>
    <n v="345934.65"/>
    <n v="73540"/>
    <n v="22370"/>
    <x v="1"/>
    <x v="2"/>
    <n v="35000"/>
    <n v="-12630"/>
    <x v="17"/>
    <s v="TC"/>
    <s v="30501-BBPS Payment received"/>
    <s v="SAMBA"/>
    <x v="3"/>
    <x v="3"/>
    <s v="&quot;24-84, NEAR TTD KALYANA MANDAPAM&quot; KONERUPET NUJIVEED XXX NUZVID ANP 521201"/>
    <s v="INDIAN INSTITUTE OF CHEMICAL TECHNOLOGY NR JOHNSON GRAMMAR SCHOOL   Hyderabad TNG 500023"/>
    <s v="GUDIVADA"/>
    <x v="0"/>
    <x v="29"/>
    <s v="SUDHAKAR"/>
    <n v="802913252"/>
    <s v="Ssd@9290"/>
    <m/>
    <m/>
    <x v="0"/>
    <m/>
    <m/>
    <x v="1"/>
    <d v="2025-08-22T00:00:00"/>
    <n v="22960"/>
    <s v="Amazon Pay ICICI Bank Credit Card"/>
    <s v="7TH JULY"/>
    <s v="0000000013118391"/>
    <d v="2026-07-06T00:00:00"/>
  </r>
  <r>
    <s v="4501721390442009"/>
    <s v="Mr NALAVALA ARJUN"/>
    <n v="0"/>
    <x v="0"/>
    <m/>
    <m/>
    <m/>
    <s v="N"/>
    <x v="12"/>
    <s v="9000442266"/>
    <s v="X"/>
    <n v="-104991.26000000001"/>
    <n v="500000"/>
    <n v="395008.74"/>
    <s v=""/>
    <n v="395008.74"/>
    <n v="345675.03"/>
    <n v="86310"/>
    <n v="43130"/>
    <x v="1"/>
    <x v="1"/>
    <n v="43150"/>
    <n v="-20"/>
    <x v="24"/>
    <s v="FE"/>
    <s v="30501-BBPS Payment received"/>
    <s v="SAMBA"/>
    <x v="2"/>
    <x v="3"/>
    <s v="&quot;10-23/2 S C COLONY NEAR,HIGH,SCHOOL,KALWAKOLE&quot;    MAHABUBNAGAR TNG 509102"/>
    <s v="Not Applicable 15-115/1/A housing board colony nagarkurnool nagarkurnool MAHABUBNAGAR TNG 509209"/>
    <s v="WANAPARTHY"/>
    <x v="0"/>
    <x v="19"/>
    <s v="SAMBA"/>
    <n v="801772794"/>
    <s v="Ssde@9876"/>
    <m/>
    <m/>
    <x v="0"/>
    <m/>
    <m/>
    <x v="1"/>
    <d v="2025-11-03T00:00:00"/>
    <n v="36000"/>
    <s v="ICICI Bank Sapphiro Visa Credit Card"/>
    <s v="4TH JULY"/>
    <s v="0000000025471140"/>
    <d v="2026-07-06T00:00:00"/>
  </r>
  <r>
    <s v="4501721630918008"/>
    <s v="MR P GURUMOHAN"/>
    <n v="0"/>
    <x v="0"/>
    <m/>
    <m/>
    <m/>
    <s v="N"/>
    <x v="12"/>
    <s v="8897462483"/>
    <s v="X"/>
    <n v="25045.229999999981"/>
    <n v="360000"/>
    <n v="385045.23"/>
    <s v=""/>
    <n v="385045.23"/>
    <n v="360000"/>
    <n v="83940"/>
    <n v="18000"/>
    <x v="0"/>
    <x v="0"/>
    <n v="0"/>
    <n v="18000"/>
    <x v="0"/>
    <s v="NA"/>
    <n v="0"/>
    <s v="SAMBA"/>
    <x v="11"/>
    <x v="3"/>
    <s v="&quot;3/127-1 MUDIREDDIPALLE,.,.,.&quot;    CUDDAPAH ANP 516173"/>
    <s v="INFOSYS TECHNOLOGIES &quot;3/127,mudireddy palli,cuddapah,Andhra Pradesh ,516173&quot; &quot;3/127,mudireddy palli, cuddapah,Andhra Pradesh&quot; &quot;3/127,mudireddy palli, cuddapah,Andhra Pradesh&quot; PRODDATUR ANP 516173"/>
    <s v="PRODDATUR"/>
    <x v="1"/>
    <x v="15"/>
    <s v="VSSK PRASAD"/>
    <n v="802349062"/>
    <s v="Ssd@9290"/>
    <m/>
    <m/>
    <x v="1"/>
    <m/>
    <m/>
    <x v="1"/>
    <d v="2026-02-01T00:00:00"/>
    <n v="90000"/>
    <s v="ICICI Bank Sapphiro Visa Credit Card"/>
    <s v="4TH JULY"/>
    <s v="0000000028062707"/>
    <d v="2026-07-06T00:00:00"/>
  </r>
  <r>
    <s v="5241933924831001"/>
    <s v="MR PONNAM HAREESH"/>
    <n v="0"/>
    <x v="0"/>
    <m/>
    <m/>
    <m/>
    <s v="N"/>
    <x v="12"/>
    <s v="7799456432"/>
    <s v="X"/>
    <n v="23188.580000000016"/>
    <n v="350000"/>
    <n v="373188.58"/>
    <s v=""/>
    <n v="373188.58"/>
    <n v="329055.01"/>
    <n v="125160"/>
    <n v="60160"/>
    <x v="0"/>
    <x v="0"/>
    <n v="0"/>
    <n v="60160"/>
    <x v="0"/>
    <s v="NA"/>
    <n v="0"/>
    <s v="SAMBA"/>
    <x v="3"/>
    <x v="3"/>
    <s v="House Number 2-105/69/21 Thirumala Nadha Swamy Colony near by government hospital Ghanpur (Station) WARANGAL WARANGAL TNG 506143"/>
    <s v="OVATION SERVICES PRIVATE LIMITED 8 2 624 1 3RD FLOOR H1 POINT BUILDNG ROAD NO 10 BANJARAHILLS BUILDNG ROAD NO 10 BANJARAHILLS HYDERABAD ANP 500034"/>
    <s v="WARANGAL"/>
    <x v="0"/>
    <x v="0"/>
    <s v="AKHIL"/>
    <n v="801772792"/>
    <s v="Sgr@9290"/>
    <m/>
    <m/>
    <x v="0"/>
    <s v="DL"/>
    <s v="House door locked and cust number switched off"/>
    <x v="22"/>
    <d v="2026-05-27T00:00:00"/>
    <n v="4000"/>
    <s v="ICICI Bank Coral RuPay Credit Card"/>
    <s v="4TH JULY"/>
    <s v="0000000016036870"/>
    <d v="2026-07-06T00:00:00"/>
  </r>
  <r>
    <s v="4035620661650008"/>
    <s v="MR MANDLI REDDY"/>
    <n v="0"/>
    <x v="0"/>
    <m/>
    <s v="CC"/>
    <s v="CUSTOMER CALLS NOT ANSWERING"/>
    <s v="N"/>
    <x v="12"/>
    <s v="8074966045"/>
    <s v="X"/>
    <n v="16957.299999999988"/>
    <n v="320000"/>
    <n v="336957.3"/>
    <s v=""/>
    <n v="336957.3"/>
    <n v="304171.53999999998"/>
    <n v="67280"/>
    <n v="20240"/>
    <x v="1"/>
    <x v="2"/>
    <n v="19000"/>
    <n v="1240"/>
    <x v="26"/>
    <s v="FE"/>
    <s v="30501-BBPS Payment received"/>
    <s v="SAMBA"/>
    <x v="2"/>
    <x v="3"/>
    <s v="&quot;1-133,KATTAKINDA PALLI,KATTAKINDA PALLI,&quot; ...  KATTAKINDA PALLI ANAPARTHI ANP 515002"/>
    <s v="TATA CONSULTANCY SERVICES LIMITED &quot;MAAN,SAHAYADRI PARK,PLOT NO.2 AND 3,PH-3&quot; &quot;RAJIV GANDHI INFOTECH PARK,HINJEWDI,PUNE&quot; &quot;RAJIV GANDHI INFOTECH PARK,HINJEWDI,PUNE&quot; PUNE MAH 411057"/>
    <s v="ANAPARTHI"/>
    <x v="1"/>
    <x v="12"/>
    <s v="POORNIMA"/>
    <n v="802824019"/>
    <s v="Nihan@2421"/>
    <m/>
    <m/>
    <x v="0"/>
    <s v="LIVE"/>
    <s v="Customer PTP on 16th // Waiting for location"/>
    <x v="25"/>
    <d v="2026-01-18T00:00:00"/>
    <n v="25120"/>
    <s v="ICICI Bank Coral Credit Card"/>
    <s v="4TH JULY"/>
    <s v="0000000023436154"/>
    <d v="2026-07-06T00:00:00"/>
  </r>
  <r>
    <s v="4501721009168003"/>
    <s v="Mr KOSGI SRINIVAS"/>
    <n v="0"/>
    <x v="0"/>
    <m/>
    <m/>
    <m/>
    <s v="N"/>
    <x v="12"/>
    <s v="9666683159"/>
    <s v="X"/>
    <n v="26615.059999999998"/>
    <n v="300000"/>
    <n v="326615.06"/>
    <s v=""/>
    <n v="326615.06"/>
    <n v="282546.5"/>
    <n v="86550"/>
    <n v="29930"/>
    <x v="1"/>
    <x v="1"/>
    <n v="326615.06"/>
    <n v="-296685.06"/>
    <x v="18"/>
    <s v="TC"/>
    <s v="30501-BBPS Payment received"/>
    <s v="SAMBA"/>
    <x v="0"/>
    <x v="3"/>
    <s v="&quot;H NO,10-43 THIMMAPUR KOTHUR,MANDAL,.,&quot; THIMMAPUR   KALWAKURTHY TNG 509325"/>
    <s v="Hyd Hyd hyd hyd KALWAKURTHY TNG 509325"/>
    <s v="WANAPARTHY"/>
    <x v="0"/>
    <x v="19"/>
    <s v="SAMBA"/>
    <n v="801772794"/>
    <s v="Ssde@9876"/>
    <m/>
    <m/>
    <x v="0"/>
    <m/>
    <m/>
    <x v="1"/>
    <d v="2025-09-17T00:00:00"/>
    <n v="30000"/>
    <s v="ICICI Bank Rubyx Visa Credit Card"/>
    <s v="4TH JULY"/>
    <s v="0000000023765236"/>
    <d v="2026-07-06T00:00:00"/>
  </r>
  <r>
    <s v="4315812637894007"/>
    <s v="MR YADAGANI AVINASH"/>
    <n v="0"/>
    <x v="0"/>
    <m/>
    <m/>
    <m/>
    <s v="N"/>
    <x v="12"/>
    <s v="9618435790"/>
    <s v="X"/>
    <n v="304462.14"/>
    <n v="20000"/>
    <n v="324462.14"/>
    <n v="132291.22"/>
    <n v="192170.92"/>
    <n v="169585.72"/>
    <n v="192170.92"/>
    <n v="163800"/>
    <x v="1"/>
    <x v="1"/>
    <n v="192170.92"/>
    <n v="-28370.920000000013"/>
    <x v="15"/>
    <s v="TC"/>
    <s v="12124 - UPI Payment Received"/>
    <s v="SAMBA"/>
    <x v="2"/>
    <x v="3"/>
    <s v="1-76 unguturu mandalam ramalayam street pedda vellamilli TADEPALLIGUDEM ANP 534411"/>
    <s v="AMITY UNIVERSITY NOIDA SECTOR-125 SECTOR-125 NOIDA UTP 201301"/>
    <s v="TADEPALLIGUDEM"/>
    <x v="4"/>
    <x v="33"/>
    <s v="MANIKANTA"/>
    <n v="802852449"/>
    <s v="Ssd@9290"/>
    <m/>
    <m/>
    <x v="0"/>
    <m/>
    <m/>
    <x v="1"/>
    <d v="2025-10-28T00:00:00"/>
    <n v="155978.97"/>
    <s v="Amazon Pay ICICI Bank Credit Card"/>
    <s v="4TH JULY"/>
    <s v="0000000021333373"/>
    <d v="2026-07-06T00:00:00"/>
  </r>
  <r>
    <s v="4315810486742004"/>
    <s v="MR SAMMIREDDY HARIKRISHNA REDDY"/>
    <n v="0"/>
    <x v="0"/>
    <n v="1"/>
    <m/>
    <m/>
    <s v="N"/>
    <x v="12"/>
    <s v="9553088030"/>
    <s v="X"/>
    <n v="287952.69"/>
    <n v="20000"/>
    <n v="307952.69"/>
    <n v="266795.71000000002"/>
    <n v="41156.980000000003"/>
    <n v="21147.22"/>
    <n v="41156.980000000003"/>
    <n v="23834.78"/>
    <x v="0"/>
    <x v="0"/>
    <n v="0"/>
    <n v="23834.78"/>
    <x v="0"/>
    <s v="NA"/>
    <n v="0"/>
    <s v="SAMBA"/>
    <x v="3"/>
    <x v="3"/>
    <s v="&quot;00,MUTHULURUPADU,BHUMAYAPALLE,MUTHULURUPADU&quot;  CUDDAPAH - CUDDAPAH ANP 516203"/>
    <s v="ADECCO INDIA PRIVATE LIMITED AMOGH PLAZA 6-3-186/5/A RAJ BHAVAN ROAD KAKATIYA HOTEL BEGUMPET HYDERABAD ROAD KAKATIYA HOTEL BEGUMPET HYDERABAD Hyderabad TNG 500016"/>
    <s v="CUDDAPAH"/>
    <x v="1"/>
    <x v="48"/>
    <s v="SIVARAU"/>
    <n v="801601134"/>
    <s v="Ssd@9290"/>
    <m/>
    <m/>
    <x v="0"/>
    <s v="LIVE"/>
    <s v="Customer given address not found and cus responded in call he said present he is not at home he went out side sir // Customer meet at out side and he reduced to pay the bill payment sir"/>
    <x v="25"/>
    <d v="2025-11-01T00:00:00"/>
    <n v="5"/>
    <s v="Amazon Pay ICICI Bank Credit Card"/>
    <s v="4TH JULY"/>
    <s v="0000000015054823"/>
    <d v="2026-07-06T00:00:00"/>
  </r>
  <r>
    <s v="4375518060274008"/>
    <s v="MR G RAJU G"/>
    <n v="0"/>
    <x v="0"/>
    <m/>
    <m/>
    <m/>
    <s v="N"/>
    <x v="12"/>
    <s v="7396897519"/>
    <s v="X"/>
    <n v="31801.940000000002"/>
    <n v="270000"/>
    <n v="301801.94"/>
    <s v=""/>
    <n v="301801.94"/>
    <n v="261655.38"/>
    <n v="86120"/>
    <n v="18720"/>
    <x v="1"/>
    <x v="1"/>
    <n v="10000"/>
    <n v="8720"/>
    <x v="0"/>
    <s v="FE"/>
    <s v="30501-BBPS Payment received"/>
    <s v="SAMBA"/>
    <x v="3"/>
    <x v="3"/>
    <s v="HNO 7-278 KC CAMP CHINTHAGATTU   Warangal TNG 506001"/>
    <s v="GOVT OF TELANGANA KAKATHIYA LONGWALL PROJECT BASUVAPUR WARANGAL BASUVAPUR WARANGAL Warangal TNG 506368"/>
    <s v="WARANGAL"/>
    <x v="0"/>
    <x v="0"/>
    <s v="AKHIL"/>
    <n v="801772792"/>
    <s v="Sgr@9290"/>
    <m/>
    <m/>
    <x v="0"/>
    <m/>
    <m/>
    <x v="1"/>
    <d v="2024-08-17T00:00:00"/>
    <n v="1000"/>
    <s v="ICICI Sapphiro Master PLT Chip Card"/>
    <s v="4TH JULY"/>
    <s v="0000000012760911"/>
    <d v="2026-07-06T00:00:00"/>
  </r>
  <r>
    <s v="4375517909427009"/>
    <s v="MR KIRAN KUMAR C"/>
    <n v="0"/>
    <x v="2"/>
    <m/>
    <s v="CC"/>
    <s v="CUSTOMER SAYS NOT ABLE TO PAY / REPAYMENT ISSUES"/>
    <s v="N"/>
    <x v="12"/>
    <s v="9985258143"/>
    <s v="X"/>
    <n v="184254.97999999998"/>
    <n v="114000"/>
    <n v="298254.98"/>
    <s v=""/>
    <n v="298254.98"/>
    <n v="274000"/>
    <n v="218420"/>
    <n v="165700"/>
    <x v="0"/>
    <x v="0"/>
    <n v="0"/>
    <n v="165700"/>
    <x v="0"/>
    <s v="NA"/>
    <n v="0"/>
    <s v="SAMBA"/>
    <x v="2"/>
    <x v="3"/>
    <s v="&quot;6TH LANE,5-41-7, FLR,6 LANE,BRODIPETA,GUNTUR,&quot; NEAR GURUVAYA SCHOOL BACKSIDE GUNTUR - GUNTUR ANP 522002"/>
    <s v="ARYA DEVELOPERS NO 138 2ND FLOOR KODIGEHALLI MAIN ROAD SAHAKAR NAGAR SAHAKAR NAGAR BANGALORE KAR 560092"/>
    <s v="GUNTUR"/>
    <x v="5"/>
    <x v="43"/>
    <s v="INAMUL"/>
    <n v="802823175"/>
    <s v="Sgr@9290"/>
    <m/>
    <m/>
    <x v="0"/>
    <s v="SKIP"/>
    <s v="Cmr given address visited customer provide was fake address mobile number switch off sir"/>
    <x v="17"/>
    <d v="2026-01-06T00:00:00"/>
    <n v="154000"/>
    <s v="ICICI Bank Platinum Chip Credit Card"/>
    <s v="7TH JULY"/>
    <s v="0000000011926564"/>
    <d v="2026-07-06T00:00:00"/>
  </r>
  <r>
    <s v="4501721054371007"/>
    <s v="MR RAMBARAPU KUMAR"/>
    <n v="0"/>
    <x v="0"/>
    <m/>
    <m/>
    <m/>
    <s v="N"/>
    <x v="12"/>
    <s v="9533133161"/>
    <s v="X"/>
    <n v="17298.5"/>
    <n v="280000"/>
    <n v="297298.5"/>
    <n v="161548.75"/>
    <n v="135749.75"/>
    <n v="114556.08"/>
    <n v="78010"/>
    <n v="37010"/>
    <x v="1"/>
    <x v="1"/>
    <n v="80010"/>
    <n v="-43000"/>
    <x v="20"/>
    <s v="TC"/>
    <s v="12101-INFINITY PYMT RCVD"/>
    <s v="SAMBA"/>
    <x v="11"/>
    <x v="3"/>
    <s v="&quot;DOOR,NO 20 7 41/6 YADAVULA,VARI,&quot; &quot;STREET SUNKARA,PADDAYYA VARI,&quot; STREET BHIMAVARAM  WEST GODAVARI ANP 534201"/>
    <s v="GETRONICS SOLUTIONS INDIA PVT &quot;DNO 4-68/2, Narayanamma thota&quot; Brodipeta 5th street Brodipeta 5th street PALAKOL ANP 534260"/>
    <s v="PALAKOL"/>
    <x v="4"/>
    <x v="26"/>
    <s v="B NAGABABU"/>
    <n v="801448854"/>
    <s v="Sgr@9290"/>
    <m/>
    <m/>
    <x v="0"/>
    <s v="SKIP"/>
    <s v="cmr not living in this address and cmr phone not answering"/>
    <x v="20"/>
    <d v="2026-05-03T00:00:00"/>
    <n v="4150"/>
    <s v="ICICI Bank Coral RuPay Credit Card"/>
    <s v="7TH JULY"/>
    <s v="0000000025205795"/>
    <d v="2026-07-06T00:00:00"/>
  </r>
  <r>
    <s v="4501721396366004"/>
    <s v="MS TADIPARTHI VIJAYA SREE"/>
    <n v="0"/>
    <x v="0"/>
    <m/>
    <m/>
    <m/>
    <s v="N"/>
    <x v="12"/>
    <s v="8790147174"/>
    <s v="X"/>
    <n v="27898.010000000009"/>
    <n v="260000"/>
    <n v="287898.01"/>
    <s v=""/>
    <n v="287898.01"/>
    <n v="259471.16"/>
    <n v="70640"/>
    <n v="31810"/>
    <x v="0"/>
    <x v="0"/>
    <n v="0"/>
    <n v="31810"/>
    <x v="0"/>
    <s v="NA"/>
    <n v="0"/>
    <s v="SAMBA"/>
    <x v="3"/>
    <x v="3"/>
    <s v="DOOR NO. 2-184 BAR -1 MORTI COLONY GANGNAPALLI RORAL EAST WIPER P-SHREENIVASRAV KAKINADA GANGNAPALLI KAKINADA RORAL EAST KAKINADA ANP 533006"/>
    <s v="JANRAL HOSPITAL GOVT GOVT. JANRAL HOSPITAL KAKINADA EAST GODAVARI DISTRICT EAST GODAVARI DISTRICT KAKINADA ANP 533001"/>
    <s v="KAKINADA"/>
    <x v="4"/>
    <x v="23"/>
    <s v="UDAY"/>
    <n v="801436997"/>
    <s v="Ssd@9290"/>
    <m/>
    <m/>
    <x v="0"/>
    <s v="LIVE"/>
    <s v="Customer address visit customer available address customer asking for emi option // Customer address visit customer available asking for emi option facing financial issue"/>
    <x v="23"/>
    <d v="2026-03-11T00:00:00"/>
    <n v="34000"/>
    <s v="ICICI Bank Sapphiro Visa Credit Card"/>
    <s v="7TH JULY"/>
    <s v="0000000025556371"/>
    <d v="2026-07-06T00:00:00"/>
  </r>
  <r>
    <s v="4501721085990015"/>
    <s v="MS DUDARI HANI"/>
    <n v="0"/>
    <x v="0"/>
    <m/>
    <m/>
    <m/>
    <s v="N"/>
    <x v="12"/>
    <s v="9182288272"/>
    <s v="X"/>
    <n v="13466.630000000005"/>
    <n v="260000"/>
    <n v="273466.63"/>
    <s v=""/>
    <n v="273466.63"/>
    <n v="259700.72"/>
    <n v="70000"/>
    <n v="42440"/>
    <x v="1"/>
    <x v="1"/>
    <n v="42500"/>
    <n v="-60"/>
    <x v="0"/>
    <s v="FE"/>
    <s v="30501-BBPS Payment received"/>
    <s v="SAMBA"/>
    <x v="0"/>
    <x v="3"/>
    <s v="&quot;3-30-14,3RD LINE,PEDDACHERUVU,NARASARAOPET,&quot; 3-30-14   GUNTUR ANP 522601"/>
    <s v="SMARTSOC SOLUTIONS PVT LTD Sri Sai homes apartments flat no 512 Madhuranagr issapalem check post Madhuranagr issapalem check post GUNTUR ANP 522601"/>
    <s v="GUNTUR"/>
    <x v="5"/>
    <x v="40"/>
    <s v="DURGA"/>
    <n v="801723195"/>
    <s v="Sgr@9290"/>
    <m/>
    <m/>
    <x v="0"/>
    <s v="SKIP"/>
    <s v="customer adress not traced by local enquiry no person no him not lifting my phone call.... // customer adress not traced by local enquiry no person no him not lifting my phone call going to alternative adress.... // Alternative adress also not available.... // Feedback : customer not available at given address by local enquiry no person no him not responding my phone call..."/>
    <x v="21"/>
    <d v="2026-06-04T00:00:00"/>
    <n v="12990"/>
    <s v="ICICI Bank Rubyx Visa Credit Card"/>
    <s v="7TH JULY"/>
    <s v="0000000026004087"/>
    <d v="2026-07-06T00:00:00"/>
  </r>
  <r>
    <s v="4501721032465004"/>
    <s v="MS THOTA RAMANUSHA"/>
    <n v="0"/>
    <x v="0"/>
    <m/>
    <m/>
    <m/>
    <s v="N"/>
    <x v="12"/>
    <s v="9848933599"/>
    <s v="X"/>
    <n v="22390.049999999988"/>
    <n v="250000"/>
    <n v="272390.05"/>
    <s v=""/>
    <n v="272390.05"/>
    <n v="246626.64"/>
    <n v="61010"/>
    <n v="23570"/>
    <x v="0"/>
    <x v="0"/>
    <n v="1510"/>
    <n v="22060"/>
    <x v="0"/>
    <s v="NA"/>
    <s v="12111-ICICI BANK COLLECTION PAYMENT"/>
    <s v="SAMBA"/>
    <x v="3"/>
    <x v="3"/>
    <s v="13-26-28 NEAR ST ANNS SCHOOL  CHINNA APPARAO THOTA BHIMAVARAM ANP 534201"/>
    <s v="ACCENTURE SOLUTIONS PRIVATE LIMITED DIVYA SHREE ORION TOWER NAGA HILLS ROAD NAGA HILLS ROAD HYDERABAD TNG 500032"/>
    <s v="BHIMAVARAM"/>
    <x v="4"/>
    <x v="26"/>
    <s v="B NAGABABU"/>
    <n v="801448854"/>
    <s v="Sgr@9290"/>
    <m/>
    <m/>
    <x v="0"/>
    <s v="SKIP"/>
    <s v="cmr not answering calls and cmr given house address visited and cmr not live in this address"/>
    <x v="20"/>
    <d v="2025-11-06T00:00:00"/>
    <n v="5000.18"/>
    <s v="ICICI Bank Rubyx Visa Credit Card"/>
    <s v="7TH JULY"/>
    <s v="0000000024478511"/>
    <d v="2026-07-06T00:00:00"/>
  </r>
  <r>
    <s v="4501721155667006"/>
    <s v="MR PERUMANDLA PRASAD"/>
    <s v="RTP"/>
    <x v="0"/>
    <m/>
    <m/>
    <m/>
    <s v="O"/>
    <x v="12"/>
    <s v="9704053025"/>
    <s v="X"/>
    <n v="16773.669999999984"/>
    <n v="250000"/>
    <n v="266773.67"/>
    <s v=""/>
    <n v="266773.67"/>
    <n v="248689.72"/>
    <n v="70230"/>
    <n v="46500"/>
    <x v="0"/>
    <x v="0"/>
    <n v="0"/>
    <n v="46500"/>
    <x v="0"/>
    <s v="NA"/>
    <n v="0"/>
    <s v="SAMBA"/>
    <x v="2"/>
    <x v="3"/>
    <s v="4-2-338 KOTHURJENDDA SHUBASH NAGAR HANAMKONDA NEAR MAIN ROAD WARANGAL TNG 506001"/>
    <s v="GOVERNMENT OF TELANGANA 2-9-135/3 VIKASNAGAR HANAMKONDA VIKASNAGAR HANAMKONDA WARANGAL TNG 506001"/>
    <s v="WARANGAL"/>
    <x v="0"/>
    <x v="0"/>
    <s v="AKHIL"/>
    <n v="801772792"/>
    <s v="Sgr@9290"/>
    <m/>
    <m/>
    <x v="0"/>
    <s v="LIVE"/>
    <s v="Met the cust and given ptp on 17th"/>
    <x v="21"/>
    <d v="2026-03-18T00:00:00"/>
    <n v="9000"/>
    <s v="ICICI Bank Rubyx Visa Credit Card"/>
    <s v="7TH JULY"/>
    <s v="0000000027441823"/>
    <d v="2026-07-06T00:00:00"/>
  </r>
  <r>
    <s v="4501720803438000"/>
    <s v="Mrs CHANDANAREDDY T"/>
    <n v="0"/>
    <x v="0"/>
    <m/>
    <m/>
    <m/>
    <s v="N"/>
    <x v="12"/>
    <s v="9676202720"/>
    <s v="X"/>
    <n v="3653.039999999979"/>
    <n v="260000"/>
    <n v="263653.03999999998"/>
    <s v=""/>
    <n v="263653.03999999998"/>
    <n v="244789.09"/>
    <n v="56700"/>
    <n v="33073"/>
    <x v="1"/>
    <x v="1"/>
    <n v="57000"/>
    <n v="-23927"/>
    <x v="22"/>
    <s v="TC"/>
    <s v="12124 - UPI Payment Received"/>
    <s v="SAMBA"/>
    <x v="2"/>
    <x v="3"/>
    <s v="&quot;1-1,KALIVERU,CHARLA,&quot; KOTHAGATLA-LINGALA CROSS ROADS   KHAMMAM TNG 507140"/>
    <s v="OWIT India services ltd &quot;Unit 4, Level 6,&quot; SS Tech Park SS Tech Park HYDERABAD TNG 500032"/>
    <s v="KHAMMAM"/>
    <x v="0"/>
    <x v="22"/>
    <s v="POORNIMA"/>
    <n v="802824019"/>
    <s v="Nihan@2421"/>
    <m/>
    <m/>
    <x v="0"/>
    <m/>
    <m/>
    <x v="1"/>
    <d v="2026-04-17T00:00:00"/>
    <n v="25000"/>
    <s v="Manchester United Signature Credit Card by ICICI Bank"/>
    <s v="7TH JULY"/>
    <s v="0000000018172098"/>
    <d v="2026-07-06T00:00:00"/>
  </r>
  <r>
    <s v="4501721272602001"/>
    <s v="MR KIRAN MEDABOYINA"/>
    <n v="0"/>
    <x v="0"/>
    <m/>
    <m/>
    <m/>
    <s v="N"/>
    <x v="12"/>
    <s v="9959638024"/>
    <s v="X"/>
    <n v="-49006.619999999995"/>
    <n v="289000"/>
    <n v="239993.38"/>
    <s v=""/>
    <n v="239993.38"/>
    <n v="216089.11"/>
    <n v="36820"/>
    <n v="14420"/>
    <x v="1"/>
    <x v="1"/>
    <n v="37000"/>
    <n v="-22580"/>
    <x v="19"/>
    <s v="TC"/>
    <s v="12124 - UPI Payment Received"/>
    <s v="SAMBA"/>
    <x v="3"/>
    <x v="3"/>
    <s v="&quot;4-182,HANMAPUR,HANUMAPUR&quot;    NALGONDA TNG 508116"/>
    <s v="ACCENTURE SOLUTIONS PVT LTD &quot;Sez,IT/ITES, nanakramguda vill sherlingampally mandal, ranga reddy dis&quot; Hyd Hyd HYDERABAD TNG 500008"/>
    <s v="NALGONDA"/>
    <x v="0"/>
    <x v="17"/>
    <s v="PAVAN"/>
    <n v="802823180"/>
    <s v="Sgr@9290"/>
    <m/>
    <m/>
    <x v="0"/>
    <m/>
    <m/>
    <x v="1"/>
    <d v="2026-05-16T00:00:00"/>
    <n v="19000"/>
    <s v="ICICI Bank Sapphiro Visa Credit Card"/>
    <s v="7TH JULY"/>
    <s v="0000000022847613"/>
    <d v="2026-07-06T00:00:00"/>
  </r>
  <r>
    <s v="4315810675165017"/>
    <s v="MR. NARENDER NAGULA"/>
    <n v="0"/>
    <x v="0"/>
    <m/>
    <m/>
    <m/>
    <s v="N"/>
    <x v="12"/>
    <s v="9848946400"/>
    <s v="X"/>
    <n v="58779.359999999986"/>
    <n v="168000"/>
    <n v="226779.36"/>
    <s v=""/>
    <n v="226779.36"/>
    <n v="195804.91"/>
    <n v="103880"/>
    <n v="65540"/>
    <x v="1"/>
    <x v="1"/>
    <n v="226779.36"/>
    <n v="-161239.35999999999"/>
    <x v="20"/>
    <s v="TC"/>
    <s v="30501-BBPS Payment received"/>
    <s v="SAMBA"/>
    <x v="0"/>
    <x v="3"/>
    <s v="&quot;3-27,ground fl,Pruthviraj nilayam&quot; &quot;Street 4,Street 4&quot; Argul Near water tank NIZAMABAD TNG 503224"/>
    <s v="INFOR INDIA PRIVATE LIMITED INFOR INDIA LTD QCITY BULG NR WIPRO CIRCLE NR WIPRO CIRCLE Rangareddy TNG 500032"/>
    <s v="NIZAMABAD"/>
    <x v="0"/>
    <x v="9"/>
    <s v="D RAMU"/>
    <n v="802663344"/>
    <s v="Sgr@9290"/>
    <m/>
    <m/>
    <x v="0"/>
    <s v="LIVE"/>
    <s v="Feedback customer paymet today or monday"/>
    <x v="17"/>
    <d v="2025-01-05T00:00:00"/>
    <n v="784"/>
    <s v="Amazon Pay ICICI Bank Credit Card"/>
    <s v="7TH JULY"/>
    <s v="0000000015654423"/>
    <d v="2026-07-06T00:00:00"/>
  </r>
  <r>
    <s v="4315810168894008"/>
    <s v="Mr Mokurala Srikanthgoud"/>
    <n v="0"/>
    <x v="2"/>
    <m/>
    <s v="CC"/>
    <s v="CUSTOMER SAYS NOT ABLE TO PAY / REPAYMENT ISSUES"/>
    <s v="N"/>
    <x v="12"/>
    <s v="9705439999"/>
    <s v="X"/>
    <n v="202104.34"/>
    <n v="20000"/>
    <n v="222104.34"/>
    <s v=""/>
    <n v="222104.34"/>
    <n v="203891"/>
    <n v="204070"/>
    <n v="184900"/>
    <x v="0"/>
    <x v="0"/>
    <n v="0"/>
    <n v="184900"/>
    <x v="0"/>
    <s v="NA"/>
    <n v="0"/>
    <s v="SAMBA"/>
    <x v="2"/>
    <x v="3"/>
    <s v="&quot;2-6-1,RAMNAGAR,56/A FLR,SANGAREDDY, SANGAREDDY,SANGAREDDY&quot;    Medak TNG 502001"/>
    <s v="Shiva ganga water trchologies &quot;2-6-1,ramnagar,56/a Flr,sangareddy, Sangareddy,sangareddy&quot; Sangareddy Sangareddy Medak TNG 502001"/>
    <s v="MEDAK"/>
    <x v="0"/>
    <x v="44"/>
    <s v="POORNIMA"/>
    <n v="802824019"/>
    <s v="Nihan@2421"/>
    <m/>
    <m/>
    <x v="1"/>
    <m/>
    <m/>
    <x v="1"/>
    <d v="2026-04-02T00:00:00"/>
    <n v="113800"/>
    <s v="Amazon Pay ICICI Bank Credit Card"/>
    <s v="7TH JULY"/>
    <s v="0000000013787438"/>
    <d v="2026-07-06T00:00:00"/>
  </r>
  <r>
    <s v="4748469529262004"/>
    <s v="MR PANDI SAI SRI HARSHA"/>
    <n v="0"/>
    <x v="0"/>
    <m/>
    <m/>
    <m/>
    <s v="N"/>
    <x v="12"/>
    <s v="8686010370"/>
    <s v="X"/>
    <n v="22152.690000000002"/>
    <n v="180000"/>
    <n v="202152.69"/>
    <s v=""/>
    <n v="202152.69"/>
    <n v="179750.32"/>
    <n v="60410"/>
    <n v="32700"/>
    <x v="1"/>
    <x v="1"/>
    <n v="32700"/>
    <n v="0"/>
    <x v="26"/>
    <s v="FE"/>
    <s v="12101-INFINITY PYMT RCVD"/>
    <s v="SAMBA"/>
    <x v="11"/>
    <x v="3"/>
    <s v="&quot;22 52,NAMBURU GUNTUR ANDHRA,PRADESH,5225&quot; 08  NEAR WATER TANK GUNTUR ANP 522508"/>
    <s v="WISELINK GLOBAL SERVICES PVT LTD &quot;NO.102,SRI BRUNDHAVAM RESIDENCY,HITEC CI&quot; &quot;BLOCK NO.1,PATRIKA NAGAR,MADHAPUR,&quot; &quot;BLOCK NO.1,PATRIKA NAGAR,MADHAPUR,&quot; HYDERABAD TNG 500081"/>
    <s v="GUNTUR"/>
    <x v="5"/>
    <x v="43"/>
    <s v="INAMUL"/>
    <n v="802823175"/>
    <s v="Sgr@9290"/>
    <m/>
    <m/>
    <x v="0"/>
    <s v="LIVE"/>
    <s v="Cmr given address visited customer sid call back to evening 7 pm  // Cmr given address visited customer given PTP 15 th sir // Cmr given address visited customer given PTP today evening or tomorrow morning sir"/>
    <x v="23"/>
    <d v="2026-05-06T00:00:00"/>
    <n v="9000"/>
    <s v="ICICI Bank HPCL Super Saver Visa Credit Card"/>
    <s v="7TH JULY"/>
    <s v="0000000026140914"/>
    <d v="2026-07-06T00:00:00"/>
  </r>
  <r>
    <s v="4501721051342001"/>
    <s v="Mr ANDE PARMESHA"/>
    <n v="0"/>
    <x v="0"/>
    <m/>
    <m/>
    <m/>
    <s v="N"/>
    <x v="12"/>
    <s v="9032813407"/>
    <s v="X"/>
    <n v="14745.73000000001"/>
    <n v="170000"/>
    <n v="184745.73"/>
    <s v=""/>
    <n v="184745.73"/>
    <n v="169918.31"/>
    <n v="48770"/>
    <n v="34219.99"/>
    <x v="1"/>
    <x v="1"/>
    <n v="21000"/>
    <n v="13219.989999999998"/>
    <x v="27"/>
    <s v="FE"/>
    <s v="30501-BBPS Payment received"/>
    <s v="SAMBA"/>
    <x v="0"/>
    <x v="3"/>
    <s v="&quot;HNO,3-143 PITTAM PALLE,KAPARTHY,&quot; &quot;KHURD CHITYALA,MANDAL&quot;   NALGONDA TNG 508114"/>
    <s v="sfc restarunt beside bustand choutuppal mandalam choutuppal mandalam NALGONDA TNG 508252"/>
    <s v="NALGONDA"/>
    <x v="0"/>
    <x v="17"/>
    <s v="PAVAN"/>
    <n v="802823180"/>
    <s v="Sgr@9290"/>
    <m/>
    <m/>
    <x v="0"/>
    <s v="LIVE"/>
    <s v="Customer Adress visit and Customer ptp on Friday // Customer Adress visit and Customer prasent in home and Customer ptp on Tommorow morning"/>
    <x v="22"/>
    <d v="2026-01-03T00:00:00"/>
    <n v="1.6"/>
    <s v="ICICI Bank Rubyx Visa Credit Card"/>
    <s v="7TH JULY"/>
    <s v="0000000025135439"/>
    <d v="2026-07-06T00:00:00"/>
  </r>
  <r>
    <s v="4501721171268003"/>
    <s v="MR GOPALAKRISHAN V"/>
    <n v="0"/>
    <x v="0"/>
    <m/>
    <m/>
    <m/>
    <s v="N"/>
    <x v="12"/>
    <s v="9912947665"/>
    <s v="X"/>
    <n v="9895.1000000000058"/>
    <n v="160000"/>
    <n v="169895.1"/>
    <n v="78243.839999999997"/>
    <n v="91651.26"/>
    <n v="81120.39"/>
    <n v="28410"/>
    <n v="12680.72"/>
    <x v="0"/>
    <x v="0"/>
    <n v="0"/>
    <n v="12680.72"/>
    <x v="0"/>
    <s v="NA"/>
    <n v="0"/>
    <s v="SAMBA"/>
    <x v="11"/>
    <x v="3"/>
    <s v="&quot;8-101,PALEM(P) BIJENEPAL,NAGARKURNOOL,&quot; OLD HOSPITAL STREET   MAHBUBNAGAR TNG 509215"/>
    <s v="NARAYANA EDUCATIONAL SOCIETY Nagarkurnool Nagarkurnool Nagarkurnool MAHABUBNAGAR TNG 509209"/>
    <s v="WANAPARTHY"/>
    <x v="0"/>
    <x v="19"/>
    <s v="SAMBA"/>
    <n v="801772794"/>
    <s v="Ssde@9876"/>
    <m/>
    <m/>
    <x v="0"/>
    <s v="SKIP"/>
    <s v="Cm no such person in this area "/>
    <x v="21"/>
    <d v="2026-05-21T00:00:00"/>
    <n v="4822.46"/>
    <s v="ICICI Bank Rubyx Visa Credit Card"/>
    <s v="7TH JULY"/>
    <s v="0000000027720702"/>
    <d v="2026-07-06T00:00:00"/>
  </r>
  <r>
    <s v="4315814565707003"/>
    <s v="MR Kompallivenkata Subramanya Sar"/>
    <n v="0"/>
    <x v="0"/>
    <m/>
    <m/>
    <m/>
    <s v="N"/>
    <x v="12"/>
    <s v="9292959338"/>
    <s v="X"/>
    <n v="9195.6199999999953"/>
    <n v="160000"/>
    <n v="169195.62"/>
    <n v="77261.77"/>
    <n v="91933.85"/>
    <n v="86087.78"/>
    <n v="46820"/>
    <n v="23035"/>
    <x v="1"/>
    <x v="1"/>
    <n v="46820"/>
    <n v="-23785"/>
    <x v="25"/>
    <s v="FE"/>
    <s v="30501-BBPS Payment received"/>
    <s v="SAMBA"/>
    <x v="2"/>
    <x v="3"/>
    <s v="3.4.14.A..THAMMIRI.VARI.STREET VIDYADHARAPURAM..CHERUVU.CENTER Vijayawada..Urban. SITARA VIJAYAWADA ANP 520012"/>
    <s v="SARMA.TUTORIAL 3.4.14 V.d.puram. V.d.puram. VIJAYAWADA ANP 520012"/>
    <s v="VIJAYAWADA"/>
    <x v="3"/>
    <x v="46"/>
    <s v="SUDHAKAR"/>
    <n v="802913252"/>
    <s v="Ssd@9290"/>
    <m/>
    <m/>
    <x v="0"/>
    <s v="SKIP"/>
    <s v="Cm mob not connecting  // Cus house visited but such kind of person was not living here.calls also not responding / Cus new house address traced and visited.but here also not available"/>
    <x v="21"/>
    <d v="2026-05-28T00:00:00"/>
    <n v="16375"/>
    <s v="Amazon Pay ICICI Bank Credit Card"/>
    <s v="7TH JULY"/>
    <s v="0000000028440981"/>
    <d v="2026-07-06T00:00:00"/>
  </r>
  <r>
    <s v="4375513527088000"/>
    <s v="MR. MD ASIF"/>
    <n v="0"/>
    <x v="0"/>
    <m/>
    <m/>
    <m/>
    <s v="N"/>
    <x v="12"/>
    <s v="8106312354"/>
    <s v="X"/>
    <n v="15856.489999999991"/>
    <n v="150000"/>
    <n v="165856.49"/>
    <s v=""/>
    <n v="165856.49"/>
    <n v="142644.26"/>
    <n v="51940"/>
    <n v="25020"/>
    <x v="0"/>
    <x v="0"/>
    <n v="0"/>
    <n v="25020"/>
    <x v="0"/>
    <s v="NA"/>
    <n v="0"/>
    <s v="SAMBA"/>
    <x v="0"/>
    <x v="3"/>
    <s v="WATER COLONY NASPUR MANCHERIAL ND 1976 NAGARJUNA COLONY BESIDE Adilabad Mancherial ADL TNG 504302"/>
    <s v="SRIRAMPUR SRP OPEN CAST PROJECT SINGARENI COLLIERIES CO LIMITED Adilabad Adilabad ADL TNG 504302"/>
    <s v="ADILABAD"/>
    <x v="0"/>
    <x v="24"/>
    <s v="K RAMU"/>
    <n v="802898520"/>
    <s v="Ssd@9290"/>
    <m/>
    <m/>
    <x v="0"/>
    <s v="SKIP"/>
    <s v="Customer given address visit customer not available information from neighbors customer not living in address shifted to other place, call not answer"/>
    <x v="24"/>
    <d v="2026-05-14T00:00:00"/>
    <n v="7490"/>
    <s v="ICICI Bank Expressions Credit Card"/>
    <s v="7TH JULY"/>
    <s v="0000000009906689"/>
    <d v="2026-07-06T00:00:00"/>
  </r>
  <r>
    <s v="4501720942674002"/>
    <s v="MR N SREEKANTH"/>
    <n v="0"/>
    <x v="0"/>
    <m/>
    <m/>
    <m/>
    <s v="N"/>
    <x v="12"/>
    <s v="9573167958"/>
    <s v="X"/>
    <n v="-143467.85"/>
    <n v="300000"/>
    <n v="156532.15"/>
    <n v="110653.57"/>
    <n v="45878.58"/>
    <n v="34741.769999999997"/>
    <n v="45878.58"/>
    <n v="23299.5"/>
    <x v="0"/>
    <x v="0"/>
    <n v="0"/>
    <n v="23299.5"/>
    <x v="0"/>
    <s v="NA"/>
    <n v="0"/>
    <s v="SAMBA"/>
    <x v="11"/>
    <x v="3"/>
    <s v="2-4-25 BHAVANI NAGAR   MEHBOOBNAGAR TNG 509125"/>
    <s v="HCL TECHNOLOGIES LTD HCL TECHN HNO 2-4-25 &quot;Bhavaninagar,Gadwal,Jogulamba Gadwal dist&quot; &quot;Bhavaninagar,Gadwal,Jogulamba Gadwal dist&quot; MAHABUBNAGAR TNG 509125"/>
    <s v="MAHBOOBNAGAR"/>
    <x v="0"/>
    <x v="19"/>
    <s v="SAMBA"/>
    <n v="801772794"/>
    <s v="Ssde@9876"/>
    <m/>
    <m/>
    <x v="1"/>
    <m/>
    <m/>
    <x v="1"/>
    <d v="2026-05-13T00:00:00"/>
    <n v="50000"/>
    <s v="ICICI Bank Rubyx Visa Credit Card"/>
    <s v="7TH JULY"/>
    <s v="0000000022128367"/>
    <d v="2026-07-06T00:00:00"/>
  </r>
  <r>
    <s v="4501721176717004"/>
    <s v="MR KANTIPUDI SUDHAKAR"/>
    <n v="0"/>
    <x v="0"/>
    <m/>
    <m/>
    <m/>
    <s v="N"/>
    <x v="12"/>
    <s v="7793943793"/>
    <s v="X"/>
    <n v="5900.929999999993"/>
    <n v="140000"/>
    <n v="145900.93"/>
    <n v="91085.21"/>
    <n v="54815.72"/>
    <n v="47217.4"/>
    <n v="25460"/>
    <n v="10590"/>
    <x v="0"/>
    <x v="0"/>
    <n v="0"/>
    <n v="10590"/>
    <x v="0"/>
    <s v="NA"/>
    <n v="0"/>
    <s v="SAMBA"/>
    <x v="3"/>
    <x v="3"/>
    <s v="8-63 GANDHINAGAR - 10  SATHUPALLI MANDALAM KHAMMAM TNG 507303"/>
    <s v="MUNCIPAL OFFICE SATHUPALLY KHAMMAM KHAMMAM KHAMMAM TNG 507001"/>
    <s v="KHAMMAM"/>
    <x v="0"/>
    <x v="29"/>
    <s v="SUDHAKAR"/>
    <n v="802913252"/>
    <s v="Ssd@9290"/>
    <m/>
    <m/>
    <x v="0"/>
    <s v="MESS"/>
    <s v="Costumer present not available calls not connecting inform to his mother revisit again sir // Costumer present not available call answered not willing to pay because of financial and health issues sir"/>
    <x v="25"/>
    <d v="2024-09-04T00:00:00"/>
    <n v="72560.17"/>
    <s v="ICICI Bank Rubyx Visa Credit Card"/>
    <s v="7TH JULY"/>
    <s v="0000000027926770"/>
    <d v="2026-07-06T00:00:00"/>
  </r>
  <r>
    <s v="4501721073576008"/>
    <s v="MR MARELLA SIVARAMAKRISHNA"/>
    <n v="0"/>
    <x v="0"/>
    <m/>
    <m/>
    <m/>
    <s v="N"/>
    <x v="12"/>
    <s v="8978845834"/>
    <s v="X"/>
    <n v="-46894.609999999986"/>
    <n v="190000"/>
    <n v="143105.39000000001"/>
    <s v=""/>
    <n v="143105.39000000001"/>
    <n v="127149"/>
    <n v="28360"/>
    <n v="14720"/>
    <x v="0"/>
    <x v="0"/>
    <n v="0"/>
    <n v="14720"/>
    <x v="0"/>
    <s v="NA"/>
    <n v="0"/>
    <s v="SAMBA"/>
    <x v="2"/>
    <x v="3"/>
    <s v="5-1-104 SIDDHARTHA NAGAR  BESIDE ST ARNOLDS HIGH SCHOOL HYDERABAD TNG 502001"/>
    <s v="MTR FOODS PRIVATE LIMITED 80 BOMMASAN DRA INDUSTRIAL AREA HEBBAGODI HEBBAGODI BANGALORE KAR 560099"/>
    <s v="MEDAK"/>
    <x v="0"/>
    <x v="44"/>
    <s v="POORNIMA"/>
    <n v="802824019"/>
    <s v="Nihan@2421"/>
    <m/>
    <m/>
    <x v="1"/>
    <m/>
    <m/>
    <x v="1"/>
    <d v="2024-01-29T00:00:00"/>
    <n v="2360"/>
    <s v="ICICI Bank Rubyx Visa Credit Card"/>
    <s v="7TH JULY"/>
    <s v="0000000025722424"/>
    <d v="2026-07-06T00:00:00"/>
  </r>
  <r>
    <s v="4315810624403006"/>
    <s v="MR ABDULKHADAR VALI SHAIK"/>
    <n v="0"/>
    <x v="0"/>
    <m/>
    <s v="CC"/>
    <s v="CUSTOMER NOT ABLE TO PAY THE PAYMENT DUE CARD LIMIT DECREASE"/>
    <s v="N"/>
    <x v="12"/>
    <s v="9948271373"/>
    <s v="X"/>
    <n v="8642.6199999999953"/>
    <n v="128000"/>
    <n v="136642.62"/>
    <s v=""/>
    <n v="136642.62"/>
    <n v="126938"/>
    <n v="30300"/>
    <n v="6350"/>
    <x v="0"/>
    <x v="0"/>
    <n v="0"/>
    <n v="6350"/>
    <x v="0"/>
    <s v="NA"/>
    <n v="0"/>
    <s v="SAMBA"/>
    <x v="3"/>
    <x v="3"/>
    <s v="D NO 2-9 MAIN ROAD  NEAR TEMPLE NANDYAL ANP 523330"/>
    <s v="PENNA CEMENT INDUSTRIES LTD D NO 1-10 MAIN ROAD PENNA COLONY BOAY REDDY PALLI YADAK MANDALAM REDDY PALLI YADAK MANDALAM ANANTAPUR ANP 515408"/>
    <s v="ANANTAPUR"/>
    <x v="1"/>
    <x v="12"/>
    <s v="POORNIMA"/>
    <n v="802824019"/>
    <s v="Nihan@2421"/>
    <m/>
    <m/>
    <x v="1"/>
    <m/>
    <m/>
    <x v="1"/>
    <d v="2024-12-04T00:00:00"/>
    <n v="8117"/>
    <s v="Amazon Pay ICICI Bank Credit Card"/>
    <s v="7TH JULY"/>
    <s v="0000000015409081"/>
    <d v="2026-07-06T00:00:00"/>
  </r>
  <r>
    <s v="4315810016495016"/>
    <s v="Mr A PRASHANTH"/>
    <n v="0"/>
    <x v="0"/>
    <m/>
    <m/>
    <m/>
    <s v="N"/>
    <x v="12"/>
    <s v="9676742794"/>
    <s v="X"/>
    <n v="-33466"/>
    <n v="167000"/>
    <n v="133534"/>
    <n v="42300.33"/>
    <n v="91233.67"/>
    <n v="76502.149999999994"/>
    <n v="24290"/>
    <n v="10120"/>
    <x v="1"/>
    <x v="1"/>
    <n v="24290"/>
    <n v="-14170"/>
    <x v="24"/>
    <s v="TC"/>
    <s v="30501-BBPS Payment received"/>
    <s v="SAMBA"/>
    <x v="2"/>
    <x v="3"/>
    <s v="&quot;4-20,TANOOR,TANOOR,TANOOR&quot;    Adilabad TNG 504102"/>
    <s v="SS health Care services AND surgicals Bhainsa Opp sbi bank Opp sbi bank Adilabad TNG 504103"/>
    <s v="ADILABAD"/>
    <x v="0"/>
    <x v="3"/>
    <s v="KANTH"/>
    <n v="802794852"/>
    <s v="Ssd@9290"/>
    <m/>
    <m/>
    <x v="0"/>
    <s v="LIVE"/>
    <s v="Customer visit office address meet customer PTP 15th"/>
    <x v="17"/>
    <d v="2025-01-27T00:00:00"/>
    <n v="5570"/>
    <s v="Amazon Pay ICICI Bank Credit Card"/>
    <s v="7TH JULY"/>
    <s v="0000000012648990"/>
    <d v="2026-07-06T00:00:00"/>
  </r>
  <r>
    <s v="4501721381653002"/>
    <s v="MR NITTALA SIVA KRISHNA SAI"/>
    <n v="0"/>
    <x v="0"/>
    <m/>
    <m/>
    <m/>
    <s v="N"/>
    <x v="12"/>
    <s v="8500707042"/>
    <s v="X"/>
    <n v="12639.279999999999"/>
    <n v="120000"/>
    <n v="132639.28"/>
    <s v=""/>
    <n v="132639.28"/>
    <n v="119970.6"/>
    <n v="41260"/>
    <n v="27850"/>
    <x v="1"/>
    <x v="1"/>
    <n v="41360"/>
    <n v="-13510"/>
    <x v="22"/>
    <s v="FE"/>
    <s v="30501-BBPS Payment received"/>
    <s v="SAMBA"/>
    <x v="0"/>
    <x v="3"/>
    <s v="1-84/1 BALLIPADU    West Godavari ANP 534340"/>
    <s v="AAKASH EDUCATIONAL SERVICES LTD AAKASH INSTITUTE SECOND FLOOR ESHA ELEGANZA SECOND FLOOR ESHA ELEGANZA BELGAUM KAR 590006"/>
    <s v="WEST GODAVARI"/>
    <x v="4"/>
    <x v="33"/>
    <s v="MANIKANTA"/>
    <n v="802852449"/>
    <s v="Ssd@9290"/>
    <m/>
    <m/>
    <x v="0"/>
    <s v="SKIP"/>
    <s v="Custmor shifted // Waiting for custmor school sir"/>
    <x v="20"/>
    <d v="2025-05-08T00:00:00"/>
    <n v="28410"/>
    <s v="ICICI Bank Sapphiro Visa Credit Card"/>
    <s v="7TH JULY"/>
    <s v="0000000025335762"/>
    <d v="2026-07-06T00:00:00"/>
  </r>
  <r>
    <s v="4315810542102003"/>
    <s v="MR KODALA BHAGEERATHA REDDY"/>
    <n v="0"/>
    <x v="0"/>
    <m/>
    <s v="CC"/>
    <s v="CUSTOMER CALLS NOT ANSWERING"/>
    <s v="N"/>
    <x v="12"/>
    <s v="9700417917"/>
    <s v="X"/>
    <n v="-91590.94"/>
    <n v="220000"/>
    <n v="128409.06"/>
    <s v=""/>
    <n v="128409.06"/>
    <n v="116312.39"/>
    <n v="25130"/>
    <n v="12530"/>
    <x v="0"/>
    <x v="0"/>
    <n v="0"/>
    <n v="12530"/>
    <x v="0"/>
    <s v="NA"/>
    <n v="0"/>
    <s v="SAMBA"/>
    <x v="11"/>
    <x v="3"/>
    <s v="HNO 2/66B NO 2/66B O C COLONY D CHERLOPALLE  NEAR RAMALAYAM HINDUPUR ANP 515672"/>
    <s v="SRINIVASA RAMANUJAM INSTITUTE OF TECHNOLOGY ROTARYPURAM VILLEGE ROTARYPURAM VILLEGE ANANTAPUR ANP 515701"/>
    <s v="HINDUPUR"/>
    <x v="1"/>
    <x v="12"/>
    <s v="POORNIMA"/>
    <n v="802824019"/>
    <s v="Nihan@2421"/>
    <m/>
    <m/>
    <x v="1"/>
    <m/>
    <m/>
    <x v="1"/>
    <d v="2024-08-30T00:00:00"/>
    <n v="73669.2"/>
    <s v="Amazon Pay ICICI Bank Credit Card"/>
    <s v="7TH JULY"/>
    <s v="0000000015155965"/>
    <d v="2026-07-06T00:00:00"/>
  </r>
  <r>
    <s v="4501721165038008"/>
    <s v="MR BANDARU VINOD KUMAR"/>
    <n v="0"/>
    <x v="0"/>
    <m/>
    <m/>
    <m/>
    <s v="N"/>
    <x v="12"/>
    <s v="8187089205"/>
    <s v="X"/>
    <n v="6535.3500000000058"/>
    <n v="120000"/>
    <n v="126535.35"/>
    <n v="89073.32"/>
    <n v="37462.03"/>
    <n v="31558.95"/>
    <n v="25370"/>
    <n v="10620"/>
    <x v="0"/>
    <x v="0"/>
    <n v="0"/>
    <n v="10620"/>
    <x v="0"/>
    <s v="NA"/>
    <n v="0"/>
    <s v="SAMBA"/>
    <x v="3"/>
    <x v="3"/>
    <s v="15/28/3 MARUTHINAGAR NANDIKOTKUR SHIVALAYAM TEMPLE KURNOOL ANP 518401"/>
    <s v="SPANDANA SPHOORTY FINANCIAL LIMITED D NO 15/9K/16 MARUTHI NAGAR NANDIKOTKUR KURNOOL NANDIKOTKUR KURNOOL KURNOOL ANP 518401"/>
    <s v="KURNOOL"/>
    <x v="1"/>
    <x v="18"/>
    <s v="SAMBA"/>
    <n v="801772794"/>
    <s v="Ssde@9876"/>
    <m/>
    <m/>
    <x v="0"/>
    <s v="LIVE"/>
    <s v="Customer refused to pay by 18 th he asking time till month end. Because of his card used his friend.&amp; He death ."/>
    <x v="21"/>
    <d v="2024-09-05T00:00:00"/>
    <n v="10"/>
    <s v="ICICI Bank Rubyx Visa Credit Card"/>
    <s v="7TH JULY"/>
    <s v="0000000027566660"/>
    <d v="2026-07-06T00:00:00"/>
  </r>
  <r>
    <s v="4315814312194000"/>
    <s v="MR EDARA NITHIN"/>
    <n v="0"/>
    <x v="0"/>
    <m/>
    <m/>
    <m/>
    <s v="N"/>
    <x v="12"/>
    <s v="9059701910"/>
    <s v="X"/>
    <n v="3448.1900000000023"/>
    <n v="120000"/>
    <n v="123448.19"/>
    <s v=""/>
    <n v="123448.19"/>
    <n v="110278.34"/>
    <n v="22790"/>
    <n v="7540"/>
    <x v="1"/>
    <x v="1"/>
    <n v="123448.19"/>
    <n v="-115908.19"/>
    <x v="17"/>
    <s v="FE"/>
    <s v="30501-BBPS Payment received"/>
    <s v="SAMBA"/>
    <x v="0"/>
    <x v="3"/>
    <s v="FLAT NUMBER 404 E V R RESIDENCY TENALI EDARA RAMAIHA STREET N T R CENTRE VIJAYAWADA ANP 522201"/>
    <s v="CAPGEMINI TECHNOLOGY SERVICES INDIA LIMI &quot;73/1,SUMMIT TOWER A&quot; &quot;WHITE FIELD,BENGALURU&quot; &quot;WHITE FIELD,BENGALURU&quot; BANGALORE KAR 560048"/>
    <s v="VIJAYAWADA"/>
    <x v="3"/>
    <x v="43"/>
    <s v="INAMUL"/>
    <n v="802823175"/>
    <s v="Sgr@9290"/>
    <m/>
    <m/>
    <x v="0"/>
    <s v="LIVE"/>
    <s v="Cmr given address visited customer given PTP today evening 7 pm sir"/>
    <x v="16"/>
    <d v="2024-08-06T00:00:00"/>
    <n v="4017.23"/>
    <s v="Amazon Pay ICICI Bank Credit Card"/>
    <s v="7TH JULY"/>
    <s v="0000000027474488"/>
    <d v="2026-07-06T00:00:00"/>
  </r>
  <r>
    <s v="4315812528870009"/>
    <s v="MR Kadam Ravi Kumar"/>
    <n v="0"/>
    <x v="0"/>
    <m/>
    <m/>
    <m/>
    <s v="N"/>
    <x v="12"/>
    <s v="7087954442"/>
    <s v="X"/>
    <n v="-15403.259999999995"/>
    <n v="130000"/>
    <n v="114596.74"/>
    <n v="23750.74"/>
    <n v="90846"/>
    <n v="80250.52"/>
    <n v="29100"/>
    <n v="13673.96"/>
    <x v="0"/>
    <x v="0"/>
    <n v="0"/>
    <n v="13673.96"/>
    <x v="0"/>
    <s v="NA"/>
    <n v="0"/>
    <s v="SAMBA"/>
    <x v="2"/>
    <x v="3"/>
    <s v="3/109   Kurnool KURNOOL ANP 518405"/>
    <s v="VIRTUSA CONSULTING SERVICES PVT LTD &quot;SY NO115, NANAKRAMGUDA VILLAGE&quot; &quot;SANGAREDDY DISTRICT, HYDERABAD TELANGANA&quot; &quot;SANGAREDDY DISTRICT, HYDERABAD TELANGANA&quot; HYDERABAD TNG 500032"/>
    <s v="KURNOOL"/>
    <x v="1"/>
    <x v="18"/>
    <s v="SAMBA"/>
    <n v="801772794"/>
    <s v="Ssde@9876"/>
    <m/>
    <m/>
    <x v="0"/>
    <s v="SKIP"/>
    <s v="Customer is in Hyderabad _x000a_He told that he can't pay this month.so he give Hyderabad address &amp; told that to come &amp; meet him in Hyderabad. // Customer live in hyderabad.he loss his job from last 1year .so he refused to pay . Sir &amp; he told that all ready mail to icici bank"/>
    <x v="26"/>
    <d v="2024-06-30T00:00:00"/>
    <n v="38800.51"/>
    <s v="Amazon Pay ICICI Bank Credit Card"/>
    <s v="7TH JULY"/>
    <s v="0000000021086596"/>
    <d v="2026-07-06T00:00:00"/>
  </r>
  <r>
    <s v="4315813997126006"/>
    <s v="MR Chukka Leela Manohar"/>
    <n v="0"/>
    <x v="0"/>
    <m/>
    <m/>
    <m/>
    <s v="N"/>
    <x v="12"/>
    <s v="7382077677"/>
    <s v="X"/>
    <n v="12830.25"/>
    <n v="100000"/>
    <n v="112830.25"/>
    <s v=""/>
    <n v="112830.25"/>
    <n v="99983"/>
    <n v="34480"/>
    <n v="17750"/>
    <x v="0"/>
    <x v="0"/>
    <n v="0"/>
    <n v="17750"/>
    <x v="0"/>
    <s v="NA"/>
    <n v="0"/>
    <s v="SAMBA"/>
    <x v="11"/>
    <x v="3"/>
    <s v="77.30.1.10 prakash.nagar fire.station.road Krishna VIJAYAWADA ANP 520015"/>
    <s v="SIVA.SAI.VASTRALAYAM 77.28.1.1 FIRE.STATION.ROAD.PRAKASH.NAGAR.. FIRE.STATION.ROAD.PRAKASH.NAGAR.. VIJAYAWADA ANP 520015"/>
    <s v="VIJAYAWADA"/>
    <x v="3"/>
    <x v="46"/>
    <s v="SUDHAKAR"/>
    <n v="802913252"/>
    <s v="Ssd@9290"/>
    <m/>
    <m/>
    <x v="1"/>
    <m/>
    <m/>
    <x v="1"/>
    <d v="2025-07-25T00:00:00"/>
    <n v="56200"/>
    <s v="Amazon Pay ICICI Bank Credit Card"/>
    <s v="7TH JULY"/>
    <s v="0000000026357392"/>
    <d v="2026-07-06T00:00:00"/>
  </r>
  <r>
    <s v="4501721812879010"/>
    <s v="MR MOHAMMAD MOIZUDDIN"/>
    <n v="0"/>
    <x v="0"/>
    <m/>
    <m/>
    <m/>
    <s v="N"/>
    <x v="12"/>
    <s v="9989933764"/>
    <s v="X"/>
    <n v="12398.210000000006"/>
    <n v="100000"/>
    <n v="112398.21"/>
    <s v=""/>
    <n v="112398.21"/>
    <n v="98300"/>
    <n v="35180"/>
    <n v="18680"/>
    <x v="0"/>
    <x v="0"/>
    <n v="0"/>
    <n v="18680"/>
    <x v="0"/>
    <s v="NA"/>
    <n v="0"/>
    <s v="SAMBA"/>
    <x v="0"/>
    <x v="3"/>
    <s v="4-6-45 MOGHALPURA   PEDDAPALLI TNG 505172"/>
    <s v="INDIAN OIL CORPN LIMITED PEDDAPALLE PEDDAPALLE PEDDAPALLE PEDDAPALLI TNG 505172"/>
    <s v="PEDDAPALLI"/>
    <x v="0"/>
    <x v="39"/>
    <s v="POORNIMA"/>
    <n v="802824019"/>
    <s v="Nihan@2421"/>
    <m/>
    <m/>
    <x v="1"/>
    <m/>
    <m/>
    <x v="1"/>
    <d v="2024-07-06T00:00:00"/>
    <n v="99274.65"/>
    <s v="ICICI Bank Rubyx Visa Credit Card"/>
    <s v="7TH JULY"/>
    <s v="0000000029394617"/>
    <d v="2026-07-06T00:00:00"/>
  </r>
  <r>
    <s v="4315810504790019"/>
    <s v="MR PALAPARTHI DINESH DINESH"/>
    <n v="0"/>
    <x v="0"/>
    <m/>
    <m/>
    <m/>
    <s v="N"/>
    <x v="12"/>
    <s v="7036555954"/>
    <s v="X"/>
    <n v="8084.3099999999977"/>
    <n v="100000"/>
    <n v="108084.31"/>
    <s v=""/>
    <n v="108084.31"/>
    <n v="97710.11"/>
    <n v="39730"/>
    <n v="13440"/>
    <x v="0"/>
    <x v="0"/>
    <n v="0"/>
    <n v="13440"/>
    <x v="0"/>
    <s v="NA"/>
    <n v="0"/>
    <s v="SAMBA"/>
    <x v="3"/>
    <x v="3"/>
    <s v="&quot;14-2-21/A MRUTHYUM JAI,NAGAR,ROY PETA,&quot; &quot;NARASAPURAM,NARASAPURAM&quot; WEST GODAVARI - WEST GODAVARI ANP 534275"/>
    <s v="TVS EDUCATIONAL SOCIETY APOLLO TYRES SIPCOT INDUSTRIAL GROWTH CENTRE 10 RAGADAM CENTRE 10 RAGADAM CHENNAI TMN 602105"/>
    <s v="BHIMAVARAM"/>
    <x v="4"/>
    <x v="26"/>
    <s v="B NAGABABU"/>
    <n v="801448854"/>
    <s v="Sgr@9290"/>
    <m/>
    <m/>
    <x v="0"/>
    <s v="MESS"/>
    <s v="mr not available, message left to cmr sister and cmr phone not working // cmr not there waiting for cmr, cmr phone not working"/>
    <x v="26"/>
    <d v="2026-03-22T00:00:00"/>
    <n v="10000"/>
    <s v="Amazon Pay ICICI Bank Credit Card"/>
    <s v="7TH JULY"/>
    <s v="0000000015082892"/>
    <d v="2026-07-06T00:00:00"/>
  </r>
  <r>
    <s v="4315812424049005"/>
    <s v="MR Lingamdinne Venkata Sudharshan"/>
    <n v="0"/>
    <x v="2"/>
    <m/>
    <s v="CC"/>
    <s v="CUSTOMER CALL BACK FOR PAYMENT UPDATE"/>
    <s v="N"/>
    <x v="12"/>
    <s v="9908924061"/>
    <s v="X"/>
    <n v="87548.41"/>
    <n v="20000"/>
    <n v="107548.41"/>
    <s v=""/>
    <n v="107548.41"/>
    <n v="99364.86"/>
    <n v="97280"/>
    <n v="80370"/>
    <x v="0"/>
    <x v="0"/>
    <n v="0"/>
    <n v="80370"/>
    <x v="0"/>
    <s v="NA"/>
    <n v="0"/>
    <s v="SAMBA"/>
    <x v="2"/>
    <x v="3"/>
    <s v="House Number 10/184-2 Badvel Road Badvel Road Cuddapah PRODDATUR ANP 516172"/>
    <s v="WIPRO LIMITED SARJAPUR ROAD BANGALORE BANGALORE BANGALORE KAR 560035"/>
    <s v="PRODDATUR"/>
    <x v="1"/>
    <x v="15"/>
    <s v="VSSK PRASAD"/>
    <n v="802349062"/>
    <s v="Ssd@9290"/>
    <m/>
    <m/>
    <x v="1"/>
    <m/>
    <m/>
    <x v="1"/>
    <d v="2025-08-06T00:00:00"/>
    <n v="161000"/>
    <s v="Amazon Pay ICICI Bank Credit Card"/>
    <s v="7TH JULY"/>
    <s v="0000000020831043"/>
    <d v="2026-07-06T00:00:00"/>
  </r>
  <r>
    <s v="4501721734045005"/>
    <s v="MS RASAKONDA ANITHA"/>
    <n v="0"/>
    <x v="0"/>
    <m/>
    <m/>
    <m/>
    <s v="N"/>
    <x v="12"/>
    <s v="9014134881"/>
    <s v="X"/>
    <n v="4690.0200000000041"/>
    <n v="100000"/>
    <n v="104690.02"/>
    <s v=""/>
    <n v="104690.02"/>
    <n v="86481.91"/>
    <n v="31100"/>
    <n v="12700"/>
    <x v="0"/>
    <x v="0"/>
    <n v="0"/>
    <n v="12700"/>
    <x v="0"/>
    <s v="NA"/>
    <n v="0"/>
    <s v="SAMBA"/>
    <x v="0"/>
    <x v="3"/>
    <s v="H NO 6-24-116 NIZAMABAD DUBBA NIZAMABAD NIZAMABAD TNG 503002"/>
    <s v="DURGA ENTERPRISES LTD H NO 6-22-270 GOUTHAM NAGAR COLONY NIZAM NEAR GOVT GIRIRAJ COLLEGE NEAR GOVT GIRIRAJ COLLEGE NIZAMABAD TNG 503002"/>
    <s v="NIZAMABAD"/>
    <x v="0"/>
    <x v="9"/>
    <s v="D RAMU"/>
    <n v="802663344"/>
    <s v="Sgr@9290"/>
    <m/>
    <m/>
    <x v="0"/>
    <s v="LIVE"/>
    <s v="customer asking time"/>
    <x v="17"/>
    <s v=""/>
    <n v="0"/>
    <s v="ICICI Bank Sapphiro Visa Credit Card"/>
    <s v="7TH JULY"/>
    <s v="0000000033373423"/>
    <d v="2026-07-06T00:00:00"/>
  </r>
  <r>
    <s v="4315810645435003"/>
    <s v="MR MANOHAR GOLLA"/>
    <n v="0"/>
    <x v="0"/>
    <m/>
    <m/>
    <m/>
    <s v="N"/>
    <x v="12"/>
    <s v="9989909340"/>
    <s v="X"/>
    <n v="4392.2200000000012"/>
    <n v="100000"/>
    <n v="104392.22"/>
    <n v="48930.7"/>
    <n v="55461.52"/>
    <n v="45943.13"/>
    <n v="21930"/>
    <n v="11290"/>
    <x v="0"/>
    <x v="0"/>
    <n v="0"/>
    <n v="11290"/>
    <x v="0"/>
    <s v="NA"/>
    <n v="0"/>
    <s v="SAMBA"/>
    <x v="3"/>
    <x v="3"/>
    <s v="H NO 20-1-98/43 NO 124 M JAI BHEEM NAGAR NR BUS STAND COLONY Karimnagar TNG 505209"/>
    <s v="FRIENDS INTERNET FRIENDS INTERNET   Karimnagar TNG 505209"/>
    <s v="PEDDAPALLI"/>
    <x v="0"/>
    <x v="39"/>
    <s v="POORNIMA"/>
    <n v="802824019"/>
    <s v="Nihan@2421"/>
    <m/>
    <m/>
    <x v="0"/>
    <s v="MESS"/>
    <s v="Customer given address visit customer not available not living in address  customer relatives information, call not answer // I met him directly in his house. _x000a_He is asking one month time for one time settlement to pay remaining amount."/>
    <x v="21"/>
    <d v="2026-01-06T00:00:00"/>
    <n v="19940.09"/>
    <s v="Amazon Pay ICICI Bank Credit Card"/>
    <s v="7TH JULY"/>
    <s v="0000000015505415"/>
    <d v="2026-07-06T00:00:00"/>
  </r>
  <r>
    <s v="4315814576350009"/>
    <s v="MR GONEPALLI SRIKANTH"/>
    <n v="0"/>
    <x v="0"/>
    <m/>
    <m/>
    <m/>
    <s v="N"/>
    <x v="12"/>
    <s v="9704536326"/>
    <s v="X"/>
    <n v="-71918.41"/>
    <n v="160000"/>
    <n v="88081.59"/>
    <s v=""/>
    <n v="88081.59"/>
    <n v="77441.22"/>
    <n v="15200"/>
    <n v="6180"/>
    <x v="1"/>
    <x v="2"/>
    <n v="6180"/>
    <n v="0"/>
    <x v="24"/>
    <s v="TC"/>
    <s v="30501-BBPS Payment received"/>
    <s v="SAMBA"/>
    <x v="3"/>
    <x v="3"/>
    <s v="1 1/26 NAMILIKONDA KARIMNAGAR KODIMIAL  KARIMNAGAR KARIMNAGAR TNG 505501"/>
    <s v="HCL TECHNOLOGIES LIMITED TOWER 8 MAGARPATA MAGARPATA PUNE MAH 411028"/>
    <s v="KARIMNAGAR"/>
    <x v="0"/>
    <x v="8"/>
    <s v="SUMANTH"/>
    <n v="802370852"/>
    <s v="Sgr@9290"/>
    <m/>
    <m/>
    <x v="0"/>
    <s v="SKIP"/>
    <s v="Customer live in address and customer job in hyderabad call answered given ptp today eveing or tomorrow"/>
    <x v="23"/>
    <d v="2024-08-29T00:00:00"/>
    <n v="4103"/>
    <s v="Amazon Pay ICICI Bank Credit Card"/>
    <s v="7TH JULY"/>
    <s v="0000000028475079"/>
    <d v="2026-07-06T00:00:00"/>
  </r>
  <r>
    <s v="4035620847712003"/>
    <s v="MR GONEPALLI SRIKANTH"/>
    <n v="0"/>
    <x v="0"/>
    <m/>
    <m/>
    <m/>
    <s v="N"/>
    <x v="12"/>
    <s v="9704536326"/>
    <s v="X"/>
    <n v="-71950.490000000005"/>
    <n v="160000"/>
    <n v="88049.51"/>
    <s v=""/>
    <n v="88049.51"/>
    <n v="74049.179999999993"/>
    <n v="18290"/>
    <n v="9480"/>
    <x v="1"/>
    <x v="2"/>
    <n v="9480"/>
    <n v="0"/>
    <x v="24"/>
    <s v="TC"/>
    <s v="30501-BBPS Payment received"/>
    <s v="SAMBA"/>
    <x v="0"/>
    <x v="3"/>
    <s v="1 1/26 NAMILIKONDA KARIMNAGAR KODIMIAL  KARIMNAGAR KARIMNAGAR TNG 505501"/>
    <s v="HCL TECHNOLOGIES LIMITED TOWER 8 MAGARPATA MAGARPATA PUNE MAH 411028"/>
    <s v="KARIMNAGAR"/>
    <x v="0"/>
    <x v="8"/>
    <s v="SUMANTH"/>
    <n v="802370852"/>
    <s v="Sgr@9290"/>
    <m/>
    <m/>
    <x v="0"/>
    <m/>
    <m/>
    <x v="1"/>
    <d v="2025-11-01T00:00:00"/>
    <n v="19000"/>
    <s v="ICICI Bank Sapphiro Visa Credit Card"/>
    <s v="7TH JULY"/>
    <s v="0000000024499215"/>
    <d v="2026-07-06T00:00:00"/>
  </r>
  <r>
    <s v="4501721191660007"/>
    <s v="MS MABBU SIRISHA"/>
    <n v="0"/>
    <x v="0"/>
    <m/>
    <m/>
    <m/>
    <s v="N"/>
    <x v="12"/>
    <s v="7569399106"/>
    <s v="X"/>
    <n v="-529.86000000000058"/>
    <n v="85000"/>
    <n v="84470.14"/>
    <n v="14313.44"/>
    <n v="70156.7"/>
    <n v="64759.02"/>
    <n v="17980"/>
    <n v="5933.44"/>
    <x v="1"/>
    <x v="2"/>
    <n v="5933.44"/>
    <n v="0"/>
    <x v="25"/>
    <s v="TC"/>
    <s v="12124 - UPI Payment Received"/>
    <s v="SAMBA"/>
    <x v="2"/>
    <x v="3"/>
    <s v="&quot;6-2-1107,NALGONDA,VT COLONY&quot;    NALGONDA TNG 508001"/>
    <s v="Tsredco 6-2-910 Viveshwarya bhavan Viveshwarya bhavan HYDERABAD TNG 500004"/>
    <s v="NALGONDA"/>
    <x v="0"/>
    <x v="21"/>
    <s v="PAVAN"/>
    <n v="802823180"/>
    <s v="Sgr@9290"/>
    <m/>
    <m/>
    <x v="0"/>
    <m/>
    <m/>
    <x v="1"/>
    <d v="2025-07-18T00:00:00"/>
    <n v="9780"/>
    <s v="ICICI Bank Rubyx Visa Credit Card"/>
    <s v="7TH JULY"/>
    <s v="0000000028463372"/>
    <d v="2026-07-06T00:00:00"/>
  </r>
  <r>
    <s v="4501721635956003"/>
    <s v="MR VADDI PRASANA KUMAR"/>
    <n v="0"/>
    <x v="0"/>
    <m/>
    <m/>
    <m/>
    <s v="N"/>
    <x v="12"/>
    <s v="9885675572"/>
    <s v="X"/>
    <n v="-49848.130000000005"/>
    <n v="130000"/>
    <n v="80151.87"/>
    <s v=""/>
    <n v="80151.87"/>
    <n v="71837.05"/>
    <n v="15240"/>
    <n v="6930"/>
    <x v="1"/>
    <x v="1"/>
    <n v="80151.87"/>
    <n v="-73221.87"/>
    <x v="22"/>
    <s v="TC"/>
    <s v="30501-BBPS Payment received"/>
    <s v="SAMBA"/>
    <x v="0"/>
    <x v="3"/>
    <s v="D/O 1-61 THIMAPURAM AMBEEDKAR STREET   AMBEDKAR STREET KAKINADA ANP 533005"/>
    <s v="ONGC NO 1-61 AMBEDKAR STREET EAST GODAVARI   KAKINADA ANP 533005"/>
    <s v="KAKINADA"/>
    <x v="4"/>
    <x v="23"/>
    <s v="UDAY"/>
    <n v="801436997"/>
    <s v="Ssd@9290"/>
    <m/>
    <m/>
    <x v="0"/>
    <s v="MESS"/>
    <s v="Customer address visit customer not available msg left to mother customer in hy"/>
    <x v="20"/>
    <d v="2024-07-06T00:00:00"/>
    <n v="5949.03"/>
    <s v="ICICI Bank Sapphiro Visa Credit Card"/>
    <s v="7TH JULY"/>
    <s v="0000000028253100"/>
    <d v="2026-07-06T00:00:00"/>
  </r>
  <r>
    <s v="4501721885961000"/>
    <s v="MR GUGULOTH SANTHOSH"/>
    <n v="0"/>
    <x v="0"/>
    <m/>
    <m/>
    <m/>
    <s v="N"/>
    <x v="12"/>
    <s v="9603590216"/>
    <s v="X"/>
    <n v="-2880.4400000000023"/>
    <n v="80000"/>
    <n v="77119.56"/>
    <s v=""/>
    <n v="77119.56"/>
    <n v="72117.39"/>
    <n v="16720"/>
    <n v="11470"/>
    <x v="0"/>
    <x v="0"/>
    <n v="0"/>
    <n v="11470"/>
    <x v="0"/>
    <s v="NA"/>
    <n v="0"/>
    <s v="SAMBA"/>
    <x v="11"/>
    <x v="3"/>
    <s v="H no 3-78Kodakandla Mandalam Devuni bai thanda Pochampally  Kodakandla MandalamJangoan WNL TNG 506317"/>
    <s v="HUZURABAD BRANCH LIC INDIA   HYD TNG 505468"/>
    <s v="WARANGAL"/>
    <x v="0"/>
    <x v="0"/>
    <s v="AKHIL"/>
    <n v="801772792"/>
    <s v="Sgr@9290"/>
    <m/>
    <m/>
    <x v="1"/>
    <m/>
    <m/>
    <x v="1"/>
    <d v="2025-10-31T00:00:00"/>
    <n v="3990"/>
    <s v="ICICI Bank Rubyx Visa Credit Card"/>
    <s v="7TH JULY"/>
    <s v="0000000033859635"/>
    <d v="2026-07-06T00:00:00"/>
  </r>
  <r>
    <s v="4501721135961008"/>
    <s v="MR BANOTHU NARESH"/>
    <n v="0"/>
    <x v="0"/>
    <m/>
    <m/>
    <m/>
    <s v="N"/>
    <x v="12"/>
    <s v="6305241311"/>
    <s v="X"/>
    <n v="6703.1000000000058"/>
    <n v="70000"/>
    <n v="76703.100000000006"/>
    <s v=""/>
    <n v="76703.100000000006"/>
    <n v="68117.679999999993"/>
    <n v="33640"/>
    <n v="16080"/>
    <x v="0"/>
    <x v="0"/>
    <n v="0"/>
    <n v="16080"/>
    <x v="0"/>
    <s v="NA"/>
    <n v="0"/>
    <s v="SAMBA"/>
    <x v="3"/>
    <x v="3"/>
    <s v="7-1-364/12/2A PADMAKSHI COLONY HANMAKONDA SAIBABA TEMPLE SREE RAM NAGAR WARANGAL TNG 506001"/>
    <s v="TRANSCO SALIVAGU JOGAMPALLI JOGAMPALLI WARANGAL TNG 506164"/>
    <s v="WARANGAL"/>
    <x v="0"/>
    <x v="0"/>
    <s v="AKHIL"/>
    <n v="801772792"/>
    <s v="Sgr@9290"/>
    <m/>
    <m/>
    <x v="0"/>
    <s v="SKIP"/>
    <s v="Address not found and cust no respond to calls will update"/>
    <x v="23"/>
    <d v="2024-11-30T00:00:00"/>
    <n v="19400"/>
    <s v="ICICI Sapphiro Master PLT Chip Card"/>
    <s v="7TH JULY"/>
    <s v="0000000027044034"/>
    <d v="2026-07-06T00:00:00"/>
  </r>
  <r>
    <s v="4501721193686000"/>
    <s v="MR VELPUKONDA MANOHAR"/>
    <s v="RTP"/>
    <x v="0"/>
    <m/>
    <m/>
    <m/>
    <s v="O"/>
    <x v="12"/>
    <s v="9618756378"/>
    <s v="X"/>
    <n v="5558.070000000007"/>
    <n v="70000"/>
    <n v="75558.070000000007"/>
    <s v=""/>
    <n v="75558.070000000007"/>
    <n v="69999.17"/>
    <n v="17640"/>
    <n v="12530"/>
    <x v="0"/>
    <x v="0"/>
    <n v="0"/>
    <n v="12530"/>
    <x v="0"/>
    <s v="NA"/>
    <n v="0"/>
    <s v="SAMBA"/>
    <x v="2"/>
    <x v="3"/>
    <s v="16-9-1095 &quot;AC REDDY NAGAR,WARANGAL&quot; &quot;WARANGAL,SHIVANAGAR&quot; NEAR BY KIRANAM SHOP WARANGAL TNG 506002"/>
    <s v="DEPARTMENT OF POST NAKKALAGUTTA HANAMKONDA HANAMKONDA WARANGAL TNG 506001"/>
    <s v="WARANGAL"/>
    <x v="0"/>
    <x v="0"/>
    <s v="AKHIL"/>
    <n v="801772792"/>
    <s v="Sgr@9290"/>
    <m/>
    <m/>
    <x v="0"/>
    <s v="MESS"/>
    <s v="Left msg to cust's family member and cust no respond to calls will update // Left msg to cust's wife and cust no respond to calls will update"/>
    <x v="21"/>
    <d v="2026-01-17T00:00:00"/>
    <n v="5780"/>
    <s v="ICICI Bank Rubyx Visa Credit Card"/>
    <s v="7TH JULY"/>
    <s v="0000000028546710"/>
    <d v="2026-07-06T00:00:00"/>
  </r>
  <r>
    <s v="4501721158145000"/>
    <s v="MR VENGALA REDDY SOMA"/>
    <n v="0"/>
    <x v="0"/>
    <m/>
    <m/>
    <m/>
    <s v="N"/>
    <x v="12"/>
    <s v="7095849565"/>
    <s v="X"/>
    <n v="2498.1999999999971"/>
    <n v="70000"/>
    <n v="72498.2"/>
    <s v=""/>
    <n v="72498.2"/>
    <n v="65687.41"/>
    <n v="13180"/>
    <n v="3220"/>
    <x v="1"/>
    <x v="1"/>
    <n v="0"/>
    <n v="3220"/>
    <x v="0"/>
    <s v="NA"/>
    <s v="30501-BBPS Payment received"/>
    <s v="SAMBA"/>
    <x v="0"/>
    <x v="3"/>
    <s v="&quot;,2-4-21,&quot; &quot;,PWD COLONY,&quot; PULIVENDULA NEAR TTD KADAPA ANP 516390"/>
    <s v="VALUELABS LLP VALUE  LABS PLOT 41 HITECH CITY MADHAPUR BESIDE DELLL INTR MADHAPUR BESIDE DELLL INTR Hyderabad TNG 500081"/>
    <s v="PRODDATUR"/>
    <x v="1"/>
    <x v="15"/>
    <s v="VSSK PRASAD"/>
    <n v="802349062"/>
    <s v="Ssd@9290"/>
    <m/>
    <m/>
    <x v="0"/>
    <m/>
    <m/>
    <x v="1"/>
    <d v="2024-06-06T00:00:00"/>
    <n v="3690"/>
    <s v="ICICI Bank Rubyx Visa Credit Card"/>
    <s v="7TH JULY"/>
    <s v="0000000027454215"/>
    <d v="2026-07-06T00:00:00"/>
  </r>
  <r>
    <s v="6530750092718002"/>
    <s v="MR PEDADA UMA MAHESWARA"/>
    <n v="0"/>
    <x v="2"/>
    <m/>
    <s v="CC"/>
    <s v="CUSTOMER PAID AMOUNT"/>
    <s v="N"/>
    <x v="12"/>
    <s v="9052121244"/>
    <s v="X"/>
    <n v="-98553.29"/>
    <n v="170000"/>
    <n v="71446.710000000006"/>
    <n v="60025.85"/>
    <n v="11420.86"/>
    <n v="9019.74"/>
    <n v="9140"/>
    <n v="4200"/>
    <x v="0"/>
    <x v="0"/>
    <n v="0"/>
    <n v="4200"/>
    <x v="0"/>
    <s v="NA"/>
    <n v="0"/>
    <s v="SAMBA"/>
    <x v="11"/>
    <x v="3"/>
    <s v="2-32 KOTABOMMALI SURYANARAYANA PURAM  SRIKAKULAM ANP 532432"/>
    <s v="      "/>
    <s v="SRIKAKULAM"/>
    <x v="7"/>
    <x v="51"/>
    <s v="POORNIMA"/>
    <n v="802824019"/>
    <s v="Nihan@2421"/>
    <m/>
    <m/>
    <x v="1"/>
    <m/>
    <m/>
    <x v="1"/>
    <s v=""/>
    <n v="0"/>
    <s v="ICICI Bank MakeMyTrip Travel Credit Card - RuPay"/>
    <s v="7TH JULY"/>
    <s v="0000000033521290"/>
    <d v="2026-07-06T00:00:00"/>
  </r>
  <r>
    <s v="4501721175731006"/>
    <s v="MR PEDAPUDI MANIKANTA"/>
    <n v="0"/>
    <x v="0"/>
    <m/>
    <m/>
    <m/>
    <s v="N"/>
    <x v="12"/>
    <s v="9154477571"/>
    <s v="X"/>
    <n v="-209.49000000000524"/>
    <n v="70000"/>
    <n v="69790.509999999995"/>
    <s v=""/>
    <n v="69790.509999999995"/>
    <n v="61063.23"/>
    <n v="12560"/>
    <n v="5140"/>
    <x v="1"/>
    <x v="1"/>
    <n v="12560"/>
    <n v="-7420"/>
    <x v="23"/>
    <s v="TC"/>
    <s v="30501-BBPS Payment received"/>
    <s v="SAMBA"/>
    <x v="3"/>
    <x v="3"/>
    <s v="16-2-11 KABADI VEEDHI PEDDAPURAM MANDALAM PEDDAPURAM EAST GODAVARI EAST GODAVARI BUS STOP PEDDAPURAM ANP 533437"/>
    <s v="APPSTEK SOLUTIONS PVT LTD 17TH FLOOR KAPIL TOWERS FINANCIAL DISTRICT GACHIBOWLI HYDERABAD DISTRICT GACHIBOWLI HYDERABAD HYDERABAD TNG 500032"/>
    <s v="PEDDAPURAM"/>
    <x v="4"/>
    <x v="23"/>
    <s v="UDAY"/>
    <n v="801436997"/>
    <s v="Ssd@9290"/>
    <m/>
    <m/>
    <x v="0"/>
    <m/>
    <m/>
    <x v="1"/>
    <d v="2024-10-03T00:00:00"/>
    <n v="10998"/>
    <s v="ICICI Bank Rubyx Visa Credit Card"/>
    <s v="7TH JULY"/>
    <s v="0000000027891792"/>
    <d v="2026-07-06T00:00:00"/>
  </r>
  <r>
    <s v="4375517881706008"/>
    <s v="MR VIJENDAR KAMPELLI"/>
    <n v="0"/>
    <x v="0"/>
    <m/>
    <m/>
    <m/>
    <s v="O"/>
    <x v="12"/>
    <s v="9441546408"/>
    <s v="X"/>
    <n v="3689.4000000000015"/>
    <n v="60000"/>
    <n v="63689.4"/>
    <s v=""/>
    <n v="63689.4"/>
    <n v="56738.77"/>
    <n v="23670"/>
    <n v="11990"/>
    <x v="0"/>
    <x v="0"/>
    <n v="0"/>
    <n v="11990"/>
    <x v="0"/>
    <s v="NA"/>
    <n v="0"/>
    <s v="SAMBA"/>
    <x v="3"/>
    <x v="3"/>
    <s v="1-12 MUTHOJIPET   NEAR POST OFFICE Warangal TNG 506132"/>
    <s v="CIVIL CONTRACTOR HN0-1-21 MUTHOJIPET   Warangal TNG 506132"/>
    <s v="WARANGAL"/>
    <x v="0"/>
    <x v="0"/>
    <s v="AKHIL"/>
    <n v="801772792"/>
    <s v="Sgr@9290"/>
    <m/>
    <m/>
    <x v="1"/>
    <m/>
    <m/>
    <x v="1"/>
    <d v="2026-04-13T00:00:00"/>
    <n v="16850"/>
    <s v="ICICI Bank Platinum Chip Credit Card"/>
    <s v="7TH JULY"/>
    <s v="0000000011865322"/>
    <d v="2026-07-06T00:00:00"/>
  </r>
  <r>
    <s v="4501720836189000"/>
    <s v="MR DESBOINA VENKATA SATYANARAYANA"/>
    <n v="0"/>
    <x v="0"/>
    <m/>
    <m/>
    <m/>
    <s v="N"/>
    <x v="12"/>
    <s v="9392967282"/>
    <s v="X"/>
    <n v="-109144.12"/>
    <n v="170000"/>
    <n v="60855.88"/>
    <s v=""/>
    <n v="60855.88"/>
    <n v="54351.96"/>
    <n v="9960"/>
    <n v="3190"/>
    <x v="1"/>
    <x v="1"/>
    <n v="9960"/>
    <n v="-6770"/>
    <x v="18"/>
    <s v="TC"/>
    <s v="30501-BBPS Payment received"/>
    <s v="SAMBA"/>
    <x v="2"/>
    <x v="3"/>
    <s v="HNO 4-2-75/2/1/2 SRINIVASA NAGAR DASTA COLONY NEAR AYYAPPA SWAMY TEMPLE BESID3 SATYAM KIRANAM KHAMMAM TNG 507003"/>
    <s v="GOVT OF TS VETERINARY ASSISTANT SURGEON VETERINARY HOSPITAL KOYACHALAKA RAGHUNATHAPALAS RAGHUNATHAPALAS KHAMMAM TNG 507003"/>
    <s v="KHAMMAM"/>
    <x v="0"/>
    <x v="2"/>
    <s v="CHAITANYA"/>
    <n v="802555024"/>
    <s v="Ssde@9290"/>
    <m/>
    <m/>
    <x v="0"/>
    <s v="MESS"/>
    <s v="I have Visited Customer given house address customer not available here Customer parents available called to customer with his father mobile Customer call Answered given ptp on Monday_x000a_Customer father mobile "/>
    <x v="17"/>
    <d v="2024-06-02T00:00:00"/>
    <n v="4199.3100000000004"/>
    <s v="Manchester United Signature Credit Card by ICICI Bank"/>
    <s v="7TH JULY"/>
    <s v="0000000023968063"/>
    <d v="2026-07-06T00:00:00"/>
  </r>
  <r>
    <s v="4501721062698003"/>
    <s v="MRS KAJA SUREKHA"/>
    <n v="0"/>
    <x v="0"/>
    <m/>
    <m/>
    <m/>
    <s v="N"/>
    <x v="12"/>
    <s v="8341371139"/>
    <s v="X"/>
    <n v="-166887.16"/>
    <n v="220000"/>
    <n v="53112.84"/>
    <n v="21993.84"/>
    <n v="31119"/>
    <n v="25433.08"/>
    <n v="21340"/>
    <n v="10040"/>
    <x v="1"/>
    <x v="2"/>
    <n v="15425"/>
    <n v="-5385"/>
    <x v="22"/>
    <s v="TC"/>
    <s v="12124 - UPI Payment Received"/>
    <s v="SAMBA"/>
    <x v="0"/>
    <x v="3"/>
    <s v="&quot;2-12-82 VIDYARANYAPURI,OPPOSITE,&quot; &quot;KU POLICE STATION,HANAMKONDA,&quot; WARANGAL ANDHRAPRADESH 506009  WARANGAL TNG 506009"/>
    <s v="Not Applicable Nil Nil Nil WARANGAL TNG 506009"/>
    <s v="WARANGAL"/>
    <x v="0"/>
    <x v="0"/>
    <s v="AKHIL"/>
    <n v="801772792"/>
    <s v="Sgr@9290"/>
    <m/>
    <m/>
    <x v="0"/>
    <m/>
    <m/>
    <x v="1"/>
    <d v="2026-04-22T00:00:00"/>
    <n v="43443"/>
    <s v="ICICI Bank Rubyx Visa Credit Card"/>
    <s v="7TH JULY"/>
    <s v="0000000025445912"/>
    <d v="2026-07-06T00:00:00"/>
  </r>
  <r>
    <s v="4375519488585009"/>
    <s v="MR SIVA BABU YALAMANCHILI"/>
    <n v="0"/>
    <x v="0"/>
    <m/>
    <m/>
    <m/>
    <s v="N"/>
    <x v="12"/>
    <s v="9573327201"/>
    <s v="X"/>
    <n v="-26888.550000000003"/>
    <n v="80000"/>
    <n v="53111.45"/>
    <n v="16989.12"/>
    <n v="36122.33"/>
    <n v="31774.95"/>
    <n v="33340"/>
    <n v="16130"/>
    <x v="0"/>
    <x v="0"/>
    <n v="0"/>
    <n v="16130"/>
    <x v="0"/>
    <s v="NA"/>
    <n v="0"/>
    <s v="SAMBA"/>
    <x v="11"/>
    <x v="3"/>
    <s v="MAIN ROAD SRUGAVARAM ROWTHALPUDI  KAKINADA ANP 533446"/>
    <s v="VENKATESARA HATCHERIES PVT LTD 391 1A SRIKRISHNAPATNAM VILLAGE RAJ RAJAMUNDRY RAJAMUNDRY RAJAHMUNDRY ANP 533294"/>
    <s v="KAKINADA"/>
    <x v="4"/>
    <x v="50"/>
    <s v="UDAY"/>
    <n v="801436997"/>
    <s v="Ssd@9290"/>
    <m/>
    <m/>
    <x v="1"/>
    <m/>
    <m/>
    <x v="1"/>
    <d v="2026-05-07T00:00:00"/>
    <n v="43988.88"/>
    <s v="ICICI Bank Coral Credit Card"/>
    <s v="7TH JULY"/>
    <s v="0000000013860375"/>
    <d v="2026-07-06T00:00:00"/>
  </r>
  <r>
    <s v="4501720856020002"/>
    <s v="MR MOTHUKURI SRAVAN PRASAD"/>
    <n v="0"/>
    <x v="0"/>
    <m/>
    <m/>
    <m/>
    <s v="N"/>
    <x v="12"/>
    <s v="7659076007"/>
    <s v="X"/>
    <n v="1351.3700000000026"/>
    <n v="50000"/>
    <n v="51351.37"/>
    <s v=""/>
    <n v="51351.37"/>
    <n v="45531"/>
    <n v="10130"/>
    <n v="3180"/>
    <x v="0"/>
    <x v="0"/>
    <n v="0"/>
    <n v="3180"/>
    <x v="0"/>
    <s v="NA"/>
    <n v="0"/>
    <s v="SAMBA"/>
    <x v="3"/>
    <x v="3"/>
    <s v="3-8-289/1 GUTTALA BAZAR  KHAMMAM KHAMMAM TNG 507001"/>
    <s v="SHRIRAM TRANSPORT FINANCE COMPANY LTD &quot;HNO. 1-88 , MBR COMPLEX&quot; 4TH FLOOR HURZURNAGAR ROAD 4TH FLOOR HURZURNAGAR ROAD SURYAPET TNG 508206"/>
    <s v="KHAMMAM"/>
    <x v="0"/>
    <x v="2"/>
    <s v="CHAITANYA"/>
    <n v="802555024"/>
    <s v="Ssde@9290"/>
    <m/>
    <m/>
    <x v="0"/>
    <s v="SKIP"/>
    <s v="I have Visited Customer given house address customer not available here enquired neighbours Customer vacated this house before 3 yrs ago Customer mobile ringing but Customer not responding calls need kyc details // I have Visited Customer given house address customer not available here enquired neighbours Customer vacated this house before 3 yrs ago Customer mobile ringing but Customer not responding calls need kyc details // I have Visited Customer given Work address customer not available here office removed from here before 2yrs ago customer call not answering"/>
    <x v="26"/>
    <d v="2024-06-05T00:00:00"/>
    <n v="36790.97"/>
    <s v="Manchester United Signature Credit Card by ICICI Bank"/>
    <s v="7TH JULY"/>
    <s v="0000000025441800"/>
    <d v="2026-07-06T00:00:00"/>
  </r>
  <r>
    <s v="4035621033749007"/>
    <s v="MR MAHAMMAD AHAMAD"/>
    <n v="0"/>
    <x v="0"/>
    <m/>
    <m/>
    <m/>
    <s v="N"/>
    <x v="13"/>
    <s v="9030915131"/>
    <s v="X"/>
    <n v="81871.459999999963"/>
    <n v="900000"/>
    <n v="981871.46"/>
    <n v="194286.49"/>
    <n v="787584.97"/>
    <n v="699336.44"/>
    <n v="266960"/>
    <n v="137060"/>
    <x v="0"/>
    <x v="0"/>
    <n v="0"/>
    <n v="137060"/>
    <x v="0"/>
    <s v="NA"/>
    <n v="0"/>
    <s v="HARI"/>
    <x v="5"/>
    <x v="3"/>
    <s v="&quot;51-9-38 RAMARAO PETA,KRISHNA,,BHAVANI HO&quot; &quot;SPITAL,ROAD,PALACOLE&quot;  BUS STOP PALAKOL ANP 534260"/>
    <s v="TEST YANTRA SOFTWARE SOLUTIONS INDIA PRI 88 3RD FLOOR BRIGADE CHAMBERS GANDHI BAZAR MAIN RD BASAVANAGUDI GANDHI BAZAR MAIN RD BASAVANAGUDI BANGALORE KAR 560004"/>
    <s v="PALAKOL"/>
    <x v="4"/>
    <x v="26"/>
    <s v="B NAGABABU"/>
    <n v="801448854"/>
    <s v="Sgr@9290"/>
    <m/>
    <m/>
    <x v="0"/>
    <s v="LIVE"/>
    <s v="cmr there at home , cmr  was going to legal proceedings"/>
    <x v="20"/>
    <d v="2025-07-31T00:00:00"/>
    <n v="100116.62"/>
    <s v="ICICI Bank Coral RuPay Credit Card"/>
    <s v="7TH JULY"/>
    <s v="0000000025561168"/>
    <d v="2026-07-08T00:00:00"/>
  </r>
  <r>
    <s v="4748468039270002"/>
    <s v="MR G NAGARAJU"/>
    <n v="0"/>
    <x v="0"/>
    <m/>
    <m/>
    <s v="PTP 15-07-2026"/>
    <s v="O"/>
    <x v="13"/>
    <s v="9844185539"/>
    <s v="X"/>
    <n v="-213.31999999994878"/>
    <n v="740000"/>
    <n v="739786.68"/>
    <n v="192438.7"/>
    <n v="547347.98"/>
    <n v="507746.43"/>
    <n v="167980"/>
    <n v="90410"/>
    <x v="0"/>
    <x v="0"/>
    <n v="0"/>
    <n v="90410"/>
    <x v="0"/>
    <s v="NA"/>
    <n v="0"/>
    <s v="HARI"/>
    <x v="5"/>
    <x v="3"/>
    <s v="1-19A BUGANIPALLI VI KALLAGERI PO GORANTLA MANDAL HINDUPUR TK   ANANTAPUR ANP 515241"/>
    <s v="Adecco India Pvt ltd &quot;No 73/1,13th floor,summit b&quot; &quot;Brigade metropolis,gorudacharpalya,mahadevapura,white field,bangalore&quot; &quot;Brigade metropolis,gorudacharpalya,mahadevapura,white field,bangalore&quot; BANGALORE KAR 560048"/>
    <s v="HINDUPUR"/>
    <x v="1"/>
    <x v="12"/>
    <s v="POORNIMA"/>
    <n v="802824019"/>
    <s v="Nihan@2421"/>
    <m/>
    <m/>
    <x v="1"/>
    <m/>
    <m/>
    <x v="1"/>
    <d v="2026-03-18T00:00:00"/>
    <n v="13492"/>
    <s v="ICICI Bank HPCL Coral VISA Credit Card"/>
    <s v="9TH JULY"/>
    <s v="0000000018070313"/>
    <d v="2026-07-08T00:00:00"/>
  </r>
  <r>
    <s v="5241936723510007"/>
    <s v="MR BANDARU NEELENDRA"/>
    <n v="0"/>
    <x v="0"/>
    <m/>
    <m/>
    <m/>
    <s v="N"/>
    <x v="13"/>
    <s v="7842523742"/>
    <s v="X"/>
    <n v="38884.459999999963"/>
    <n v="550000"/>
    <n v="588884.46"/>
    <n v="169269.2"/>
    <n v="419615.26"/>
    <n v="372885.6"/>
    <n v="134210"/>
    <n v="65410"/>
    <x v="0"/>
    <x v="0"/>
    <n v="30000"/>
    <n v="35410"/>
    <x v="0"/>
    <s v="NA"/>
    <n v="0"/>
    <s v="HARI"/>
    <x v="4"/>
    <x v="3"/>
    <s v="&quot;NO 11/19/13,&quot; &quot;RAMI REDDY PETANARASARAOPETA,&quot; GUNTUR NEAR TEMPLE GUNTUR ANP 522601"/>
    <s v="LUXOFT INDIA LLP &quot;GROUND FLOOR,GARDENIA 2D BUILDING,&quot; &quot;EMBASSY TECH VILLAGE,DEVARABISANHALI&quot; &quot;EMBASSY TECH VILLAGE,DEVARABISANHALI&quot; BANGALORE KAR 560103"/>
    <s v="GUNTUR"/>
    <x v="5"/>
    <x v="52"/>
    <s v="DURGA"/>
    <n v="801723195"/>
    <s v="Sgr@9290"/>
    <m/>
    <m/>
    <x v="0"/>
    <s v="SKIP"/>
    <s v="customer not available at given address by local enquiry no person no him mobile number switch off need to KYC details sir //  customer not available at given address by local enquiry no person no him mobile number switch off .... // customer not available at given address by local enquiry no person no him mobile number switch off need to KYC details sir..... // customer not available at given address by local enquiry no person no him mobile number switch off.... // customer not available at given address by local enquiry no person no him mobile number switch off...."/>
    <x v="23"/>
    <d v="2026-01-20T00:00:00"/>
    <n v="80"/>
    <s v="ICICI Bank MasterCard  Platinum chip Credit Card"/>
    <s v="7TH JULY"/>
    <s v="0000000025051779"/>
    <d v="2026-07-08T00:00:00"/>
  </r>
  <r>
    <s v="4035622814971000"/>
    <s v="MR BITRA PRASAD"/>
    <n v="0"/>
    <x v="2"/>
    <n v="1"/>
    <s v="CC"/>
    <s v="DEATH CASE"/>
    <s v="N"/>
    <x v="13"/>
    <s v="9866663922"/>
    <s v="X"/>
    <n v="26303.900000000023"/>
    <n v="560000"/>
    <n v="586303.9"/>
    <n v="101574.91"/>
    <n v="484728.99"/>
    <n v="450246.98"/>
    <n v="105730"/>
    <n v="41680"/>
    <x v="0"/>
    <x v="0"/>
    <n v="0"/>
    <n v="41680"/>
    <x v="0"/>
    <s v="NA"/>
    <n v="0"/>
    <s v="HARI"/>
    <x v="7"/>
    <x v="3"/>
    <s v="&quot;1-10/1A ST COLONY,CHERUKUPALLI&quot; GUNTUR  NEAR URDU SCHOOL GUNTUR ANP 522309"/>
    <s v="GOVERNMENT OF AP KARUMURU REPALLE GUNTUR GUNTUR GUNTUR ANP 522265"/>
    <s v="GUNTUR"/>
    <x v="5"/>
    <x v="10"/>
    <s v="INAMUL"/>
    <n v="802823175"/>
    <s v="Sgr@9290"/>
    <m/>
    <m/>
    <x v="1"/>
    <m/>
    <m/>
    <x v="1"/>
    <d v="2024-10-31T00:00:00"/>
    <n v="300000"/>
    <s v="ICICI Bank Platinum Chip Credit Card"/>
    <s v="7TH JULY"/>
    <s v="0000000022692777"/>
    <d v="2026-07-08T00:00:00"/>
  </r>
  <r>
    <s v="4748468351305006"/>
    <s v="MR DUDEKULA DASTAGIRI"/>
    <n v="0"/>
    <x v="0"/>
    <m/>
    <m/>
    <m/>
    <s v="N"/>
    <x v="13"/>
    <s v="9866868495"/>
    <s v="X"/>
    <n v="41927.790000000037"/>
    <n v="510000"/>
    <n v="551927.79"/>
    <n v="148293.57"/>
    <n v="403634.22"/>
    <n v="361684.3"/>
    <n v="117360"/>
    <n v="33700"/>
    <x v="0"/>
    <x v="0"/>
    <n v="0"/>
    <n v="33700"/>
    <x v="0"/>
    <s v="NA"/>
    <n v="0"/>
    <s v="HARI"/>
    <x v="8"/>
    <x v="3"/>
    <s v="&quot;4-40,MAIN ROAD,ALLUR,ALLUR&quot; ...  NEAR TEMPLE NANDYAL ANP 518134"/>
    <s v="TERADATA INDIA PRIVATE LIMITED PRESTIGE PEGASUS 3RD FLOOR 14 MARATHALLI SARJAPUR RD AMBLIPURA HARALUR SARJAPUR RD AMBLIPURA HARALUR BANGALORE KAR 560103"/>
    <s v="NANDYAL"/>
    <x v="1"/>
    <x v="7"/>
    <s v="HARI"/>
    <n v="802388289"/>
    <s v="Ssd@9290"/>
    <m/>
    <m/>
    <x v="0"/>
    <s v="LIVE"/>
    <s v="Customer house address visit customer house door lock customer mobile responding customer busy now call back 1 hour"/>
    <x v="21"/>
    <d v="2026-05-18T00:00:00"/>
    <n v="35000"/>
    <s v="ICICI Bank Coral RuPay Credit Card"/>
    <s v="7TH JULY"/>
    <s v="0000000021193660"/>
    <d v="2026-07-08T00:00:00"/>
  </r>
  <r>
    <s v="4315810543021004"/>
    <s v="MR VASKURI SRINIVASULU"/>
    <n v="0"/>
    <x v="0"/>
    <m/>
    <m/>
    <m/>
    <s v="N"/>
    <x v="13"/>
    <s v="9000378838"/>
    <s v="X"/>
    <n v="-896.90999999997439"/>
    <n v="510000"/>
    <n v="509103.09"/>
    <n v="388673.18"/>
    <n v="120429.91"/>
    <n v="97718.37"/>
    <n v="64220"/>
    <n v="23330"/>
    <x v="0"/>
    <x v="0"/>
    <n v="0"/>
    <n v="23330"/>
    <x v="0"/>
    <s v="NA"/>
    <n v="0"/>
    <s v="HARI"/>
    <x v="6"/>
    <x v="3"/>
    <s v="&quot;3-42,,&quot; Near Santa Market &quot;Kalla, Seesali&quot; Seesali WEST GODAVARI ANP 534237"/>
    <s v="RELIANCE JIO RELIANCE CORPORATE IC LTD   HINDUPUR ANP 515551"/>
    <s v="BHIMAVARAM"/>
    <x v="4"/>
    <x v="26"/>
    <s v="B NAGABABU"/>
    <n v="801448854"/>
    <s v="Sgr@9290"/>
    <m/>
    <m/>
    <x v="0"/>
    <s v="MESS"/>
    <s v="mr not at home , cmr house door locked, cmr answering calls, waiting for cmr parents //  waiting for cmr parents"/>
    <x v="25"/>
    <d v="2025-07-29T00:00:00"/>
    <n v="100000"/>
    <s v="Amazon Pay ICICI Bank Credit Card"/>
    <s v="7TH JULY"/>
    <s v="0000000015159599"/>
    <d v="2026-07-08T00:00:00"/>
  </r>
  <r>
    <s v="4748468051554002"/>
    <s v="MRS POOJA AGARWAL"/>
    <n v="0"/>
    <x v="0"/>
    <m/>
    <m/>
    <m/>
    <s v="O"/>
    <x v="13"/>
    <s v="8686532560"/>
    <s v="X"/>
    <n v="31805.710000000021"/>
    <n v="470000"/>
    <n v="501805.71"/>
    <n v="373241.74"/>
    <n v="128563.97"/>
    <n v="96753.79"/>
    <n v="128563.97"/>
    <n v="65633.5"/>
    <x v="0"/>
    <x v="0"/>
    <n v="0"/>
    <n v="65633.5"/>
    <x v="0"/>
    <s v="NA"/>
    <n v="0"/>
    <s v="HARI"/>
    <x v="7"/>
    <x v="3"/>
    <s v="&quot;1-7-143/1,VIVEKANANDA NAGAR,COLLECTOR BANGL&quot;    MAHABUB NAGAR TNG 509001"/>
    <s v="Pooja agarwal 1-7-143/1 Vivekananda masher police  line Vivekananda masher police  line NALGONDA TNG 509001"/>
    <s v="MAHBOOBNAGAR"/>
    <x v="0"/>
    <x v="19"/>
    <s v="SAMBA"/>
    <n v="801772794"/>
    <s v="Ssde@9876"/>
    <m/>
    <m/>
    <x v="1"/>
    <m/>
    <m/>
    <x v="1"/>
    <d v="2026-03-27T00:00:00"/>
    <n v="332"/>
    <s v="ICICI Bank HPCL Coral VISA Credit Card"/>
    <s v="9TH JULY"/>
    <s v="0000000018181955"/>
    <d v="2026-07-08T00:00:00"/>
  </r>
  <r>
    <s v="4315812222706004"/>
    <s v="MR Rekapalli Sandeep Kumar"/>
    <n v="0"/>
    <x v="0"/>
    <m/>
    <m/>
    <m/>
    <s v="N"/>
    <x v="13"/>
    <s v="9989759789"/>
    <s v="X"/>
    <n v="25898.950000000012"/>
    <n v="460000"/>
    <n v="485898.95"/>
    <s v=""/>
    <n v="485898.95"/>
    <n v="456211.25"/>
    <n v="76120"/>
    <n v="22820"/>
    <x v="0"/>
    <x v="0"/>
    <n v="0"/>
    <n v="22820"/>
    <x v="0"/>
    <s v="NA"/>
    <n v="0"/>
    <s v="HARI"/>
    <x v="9"/>
    <x v="3"/>
    <s v="27-9-14/205 NSC bose road NSC bose road West Godavari TANUKU ANP 534211"/>
    <s v="BHARTI AXA LIFE INSURANCE &quot;D NO 6-9-14, 2ND FLOOR&quot; SIVALAYAM STREET T NAGAR SIVALAYAM STREET T NAGAR RAJAHMUNDRY ANP 533101"/>
    <s v="TANUKU"/>
    <x v="4"/>
    <x v="33"/>
    <s v="MANIKANTA"/>
    <n v="802852449"/>
    <s v="Ssd@9290"/>
    <m/>
    <m/>
    <x v="0"/>
    <s v="SKIP"/>
    <s v="Custmor not lived this door no sir phone not respond // isited custmor office address he is not working // Visted custmor gas verfied address but his father go to Hyderabad"/>
    <x v="21"/>
    <d v="2025-06-07T00:00:00"/>
    <n v="150000"/>
    <s v="Amazon Pay ICICI Bank Credit Card"/>
    <s v="7TH JULY"/>
    <s v="0000000020272424"/>
    <d v="2026-07-08T00:00:00"/>
  </r>
  <r>
    <s v="5176537097728008"/>
    <s v="Mr. LODDIPALLI SRIHARI"/>
    <n v="0"/>
    <x v="0"/>
    <m/>
    <m/>
    <m/>
    <s v="N"/>
    <x v="13"/>
    <s v="9490444678"/>
    <s v="X"/>
    <n v="53260.320000000007"/>
    <n v="430000"/>
    <n v="483260.32"/>
    <s v=""/>
    <n v="483260.32"/>
    <n v="427287.2"/>
    <n v="158890"/>
    <n v="76790"/>
    <x v="1"/>
    <x v="1"/>
    <n v="290000"/>
    <n v="-213210"/>
    <x v="27"/>
    <s v="FE"/>
    <s v="12101-INFINITY PYMT RCVD"/>
    <s v="HARI"/>
    <x v="9"/>
    <x v="3"/>
    <s v="&quot;1/506,1/506/9,&quot; khooni moholla khooni moholla -alpha school safari builders KURNOOL ANP 518301"/>
    <s v="&quot;MBM,frst floor,sanchR BHAVAN&quot; CUDDAPAH   CUDDAPAH ANP 516001"/>
    <s v="KURNOOL"/>
    <x v="1"/>
    <x v="18"/>
    <s v="SAMBA"/>
    <n v="801772794"/>
    <s v="Ssde@9876"/>
    <m/>
    <m/>
    <x v="0"/>
    <s v="LIVE"/>
    <s v="4,5 laks just but not share screenshot plz check &amp; confirmed plz"/>
    <x v="25"/>
    <d v="2026-05-08T00:00:00"/>
    <n v="11899"/>
    <s v="ICICI Bank Coral Credit Card"/>
    <s v="7TH JULY"/>
    <s v="5176537097728008"/>
    <d v="2026-07-08T00:00:00"/>
  </r>
  <r>
    <s v="4035623241714005"/>
    <s v="MR NARAMAMIDI SURYACHANDRA SEKHAR"/>
    <n v="0"/>
    <x v="0"/>
    <m/>
    <m/>
    <m/>
    <s v="O"/>
    <x v="13"/>
    <s v="9849723955"/>
    <s v="X"/>
    <n v="349633.12"/>
    <n v="120000"/>
    <n v="469633.12"/>
    <n v="326110.18"/>
    <n v="143522.94"/>
    <n v="134141.59"/>
    <n v="79900"/>
    <n v="54660"/>
    <x v="0"/>
    <x v="0"/>
    <n v="0"/>
    <n v="54660"/>
    <x v="0"/>
    <s v="NA"/>
    <n v="0"/>
    <s v="HARI"/>
    <x v="6"/>
    <x v="3"/>
    <s v="2-97 RAMALAYAM VEEDHI   West Godavari ANP 534313"/>
    <s v="HANU SOFTWARE SOLUTIONS INDIA PRIVATE GLOBLE  DELIVAR CENTER INDIA UNIT F2 FIRST FLOOR PLOT NO 6 GRETAR NOIDA FIRST FLOOR PLOT NO 6 GRETAR NOIDA NOIDA UTP 201308"/>
    <s v="WEST GODAVARI"/>
    <x v="4"/>
    <x v="33"/>
    <s v="MANIKANTA"/>
    <n v="802852449"/>
    <s v="Ssd@9290"/>
    <m/>
    <m/>
    <x v="0"/>
    <s v="MESS"/>
    <s v="I have Visited customer given village house address customer not available customer went to school called to customer with his wife mobile customer call answered given ptp Fri // day // Custmor in banglor  inform mother"/>
    <x v="23"/>
    <d v="2025-07-21T00:00:00"/>
    <n v="23660"/>
    <s v="ICICI Bank Coral RuPay Credit Card"/>
    <s v="7TH JULY"/>
    <s v="0000000027552106"/>
    <d v="2026-07-08T00:00:00"/>
  </r>
  <r>
    <s v="4315812697109007"/>
    <s v="MR AKHEEL ABDUL"/>
    <n v="0"/>
    <x v="0"/>
    <m/>
    <m/>
    <m/>
    <s v="N"/>
    <x v="13"/>
    <s v="9154194440"/>
    <s v="X"/>
    <n v="-33899.580000000016"/>
    <n v="500000"/>
    <n v="466100.42"/>
    <s v=""/>
    <n v="466100.42"/>
    <n v="426776.32000000001"/>
    <n v="81070"/>
    <n v="39599"/>
    <x v="0"/>
    <x v="0"/>
    <n v="0"/>
    <n v="39599"/>
    <x v="0"/>
    <s v="NA"/>
    <n v="0"/>
    <s v="HARI"/>
    <x v="8"/>
    <x v="3"/>
    <s v="19 28 GRND FLR NEAR BSNL KRISHNA ANDHRA PRADESH VELLAMPETA KRISHNA ANDHRA PRADESH VELLAMPETA KRISHNA ANDHRA PRADESH VELLAMPETA GUDIVADA ANP 521333"/>
    <s v="ICICI BANK LIMITED 10-88 Above varasanjivani hospital Beside venk Above varasanjivani hospital Beside venk GUDIVADA ANP 521333"/>
    <s v="GUDIVADA"/>
    <x v="4"/>
    <x v="32"/>
    <s v="BHARAT CHANDRA"/>
    <n v="802631601"/>
    <s v="Ssde@9290"/>
    <m/>
    <m/>
    <x v="0"/>
    <s v="SKIP"/>
    <s v="Remark Customer Phone Not Answer Customer Given Address Shifted Sir"/>
    <x v="17"/>
    <d v="2026-01-03T00:00:00"/>
    <n v="50000"/>
    <s v="Amazon Pay ICICI Bank Credit Card"/>
    <s v="7TH JULY"/>
    <s v="0000000021514294"/>
    <d v="2026-07-08T00:00:00"/>
  </r>
  <r>
    <s v="4375513225785006"/>
    <s v="MR BEDIDE YADAGIRI"/>
    <n v="0"/>
    <x v="0"/>
    <m/>
    <m/>
    <m/>
    <s v="N"/>
    <x v="13"/>
    <s v="9849333576"/>
    <s v="X"/>
    <n v="43005.109999999986"/>
    <n v="420000"/>
    <n v="463005.11"/>
    <s v=""/>
    <n v="463005.11"/>
    <n v="397876"/>
    <n v="144200"/>
    <n v="66080"/>
    <x v="1"/>
    <x v="2"/>
    <n v="90000"/>
    <n v="-23920"/>
    <x v="27"/>
    <s v="FE"/>
    <s v="12111-ICICI BANK COLLECTION PAYMENT"/>
    <s v="HARI"/>
    <x v="7"/>
    <x v="3"/>
    <s v="H NO 2 7 52 KURMAVADA JANGAON NEAR ICICI BANK WARANGAL ANP 506167"/>
    <s v="JAYA LAXMI ELETRINCALS YDERABAD ROAD ROAD WARANGAL ANP 506167"/>
    <s v="WARANGAL"/>
    <x v="0"/>
    <x v="30"/>
    <s v="RAJKUMAR"/>
    <n v="802835406"/>
    <s v="Ssde@9290"/>
    <m/>
    <m/>
    <x v="0"/>
    <s v="LIVE"/>
    <s v="Customer given permanent house address visited sir his not available meet his mother and wife informed  given PTP commitment 15 th Wednesday"/>
    <x v="24"/>
    <d v="2026-04-07T00:00:00"/>
    <n v="249176.55"/>
    <s v="ICICI Bank Platinum Chip Credit Card"/>
    <s v="7TH JULY"/>
    <s v="0000000016400488"/>
    <d v="2026-07-08T00:00:00"/>
  </r>
  <r>
    <s v="4035623370302002"/>
    <s v="MR NANDIKONDA ESWAR"/>
    <n v="0"/>
    <x v="0"/>
    <m/>
    <m/>
    <m/>
    <s v="N"/>
    <x v="13"/>
    <s v="9505630305"/>
    <s v="X"/>
    <n v="17982.989999999991"/>
    <n v="440000"/>
    <n v="457982.99"/>
    <s v=""/>
    <n v="457982.99"/>
    <n v="439309.66"/>
    <n v="53210"/>
    <n v="9880"/>
    <x v="0"/>
    <x v="0"/>
    <n v="0"/>
    <n v="9880"/>
    <x v="0"/>
    <s v="NA"/>
    <n v="0"/>
    <s v="HARI"/>
    <x v="4"/>
    <x v="3"/>
    <s v="&quot;FLAT 302, SRI GAYATRI ARCADE&quot; &quot;GAYATRI NAGAR 7TH LINE, INNER RING ROAD&quot;  BACK SIDE OF AV DRIVE IN RESTAURANT GUNTUR ANP 522034"/>
    <s v="PRICEWATER HOUSE COOPERS PRIVATE LIMITED SALARPURIA SATTVA KNOWLEDGE CITY OCTAVE BUILDING NO 2 - UNIT 2 8TH FLOOR OCTAVE BUILDING NO 2 - UNIT 2 8TH FLOOR HYDERABAD TNG 500081"/>
    <s v="GUNTUR"/>
    <x v="5"/>
    <x v="11"/>
    <s v="INAMUL"/>
    <n v="802823175"/>
    <s v="Sgr@9290"/>
    <m/>
    <m/>
    <x v="0"/>
    <s v="DL"/>
    <s v="Customer given House address visited customer not available living at Hyderabad customer family members available but present no one is there at home door locked customer mobile ringing but not answering will call back again revisit again after one hour // Customer given House address revisited customer not available living at Hyderabad calls not answering customer family members available at home left message to customer  // Customer given House address revisited customer not available living at Hyderabad not responding family members phone calls also discussed payment with customer brother not responding about payment RTP Response from customer brother"/>
    <x v="25"/>
    <d v="2024-08-02T00:00:00"/>
    <n v="100198.83"/>
    <s v="ICICI Bank Platinum Chip Credit Card"/>
    <s v="7TH JULY"/>
    <s v="0000000030251625"/>
    <d v="2026-07-08T00:00:00"/>
  </r>
  <r>
    <s v="4375513398792003"/>
    <s v="MS KOMMA JYOTHI"/>
    <n v="0"/>
    <x v="0"/>
    <m/>
    <m/>
    <m/>
    <s v="N"/>
    <x v="13"/>
    <s v="8523053573"/>
    <s v="X"/>
    <n v="14002.270000000019"/>
    <n v="440000"/>
    <n v="454002.27"/>
    <s v=""/>
    <n v="454002.27"/>
    <n v="416476.43"/>
    <n v="90680"/>
    <n v="20020"/>
    <x v="0"/>
    <x v="0"/>
    <n v="0"/>
    <n v="20020"/>
    <x v="0"/>
    <s v="NA"/>
    <n v="0"/>
    <s v="HARI"/>
    <x v="5"/>
    <x v="3"/>
    <s v="H.NO.4-7-3/1/A/2 BALAJI NAGAR SANGAREDDY NEAR TARA DEGREE COLLEGE HYDERABAD TNG 502001"/>
    <s v="JYOTHISAREE CENTER SANGAREDDY H NO 4-7-3/1/A/2 H NO 4-7-3/1/A/2 HYDERABAD TNG 502001"/>
    <s v="MEDAK"/>
    <x v="0"/>
    <x v="44"/>
    <s v="POORNIMA"/>
    <n v="802824019"/>
    <s v="Nihan@2421"/>
    <m/>
    <m/>
    <x v="1"/>
    <m/>
    <m/>
    <x v="1"/>
    <d v="2026-05-08T00:00:00"/>
    <n v="35850.239999999998"/>
    <s v="ICICI Bank Platinum Chip Credit Card"/>
    <s v="7TH JULY"/>
    <s v="0000000019051324"/>
    <d v="2026-07-08T00:00:00"/>
  </r>
  <r>
    <s v="4315811574620011"/>
    <s v="MR GUJJA RAJ KUMAR"/>
    <n v="0"/>
    <x v="0"/>
    <m/>
    <m/>
    <m/>
    <s v="N"/>
    <x v="13"/>
    <s v="9666918909"/>
    <s v="X"/>
    <n v="40720.400000000023"/>
    <n v="410000"/>
    <n v="450720.4"/>
    <s v=""/>
    <n v="450720.4"/>
    <n v="409934.01"/>
    <n v="119450"/>
    <n v="20500"/>
    <x v="0"/>
    <x v="0"/>
    <n v="0"/>
    <n v="20500"/>
    <x v="0"/>
    <s v="NA"/>
    <n v="0"/>
    <s v="HARI"/>
    <x v="7"/>
    <x v="3"/>
    <s v="16-3-567 JANGAREDDY GUDAM   ADJACENT TO PARIM TOWERS JANGAREDDIGUDUM ANP 534447"/>
    <s v="CHAITANYA GODAVARI GRAMEENA BANK O/O CHAITANYA GODAVARI GRAMEENA BANK JANGAREDDY GUDDEM BRANCH JANGAREDDY GUDDEM BRANCH JANGAREDDIGUDUM ANP 534447"/>
    <s v="JANGAREDDIGUDUM"/>
    <x v="4"/>
    <x v="32"/>
    <s v="BHARAT CHANDRA"/>
    <n v="802631601"/>
    <s v="Ssde@9290"/>
    <m/>
    <m/>
    <x v="0"/>
    <s v="SKIP"/>
    <s v="Remark Customer Phone Not Connect Customer Given Address Trancefar Kakinada 4Years Back Sir"/>
    <x v="26"/>
    <d v="2025-12-05T00:00:00"/>
    <n v="50000"/>
    <s v="Amazon Pay ICICI Bank Credit Card"/>
    <s v="7TH JULY"/>
    <s v="0000000018246597"/>
    <d v="2026-07-08T00:00:00"/>
  </r>
  <r>
    <s v="4748468816869000"/>
    <s v="MR SHANMUKHA NAGA VINAY KUKKALA"/>
    <n v="0"/>
    <x v="0"/>
    <m/>
    <m/>
    <m/>
    <s v="O"/>
    <x v="13"/>
    <s v="9985998685"/>
    <s v="X"/>
    <n v="20384.599999999977"/>
    <n v="430000"/>
    <n v="450384.6"/>
    <s v=""/>
    <n v="450384.6"/>
    <n v="428117.73"/>
    <n v="104100"/>
    <n v="60770"/>
    <x v="0"/>
    <x v="0"/>
    <n v="0"/>
    <n v="60770"/>
    <x v="0"/>
    <s v="NA"/>
    <n v="0"/>
    <s v="HARI"/>
    <x v="4"/>
    <x v="3"/>
    <s v="3 93 2 CHINTHALAGARUVU VADDIPARRU    BHIMAVARAM ANP 534267"/>
    <s v="COGNIZANT TECHNOLOGY SOLUTIONS INDIA PVT LTD MANYATA EMBASSY BUSINESS PARK NEAR NAGAWARA NEAR NAGAWARA BANGALORE KAR 560045"/>
    <s v="BHIMAVARAM"/>
    <x v="4"/>
    <x v="26"/>
    <s v="B NAGABABU"/>
    <n v="801448854"/>
    <s v="Sgr@9290"/>
    <m/>
    <m/>
    <x v="0"/>
    <s v="MESS"/>
    <s v="waiting for payment, cmr father there at home, cmr answerd call // cmr not live in this address, cmr not answering calls and messages left to father"/>
    <x v="22"/>
    <d v="2024-06-08T00:00:00"/>
    <n v="60000"/>
    <s v="ICICI Bank HPCL Coral VISA Credit Card"/>
    <s v="7TH JULY"/>
    <s v="0000000025584972"/>
    <d v="2026-07-08T00:00:00"/>
  </r>
  <r>
    <s v="4315814952393003"/>
    <s v="MR Gonugopula Raju"/>
    <n v="0"/>
    <x v="0"/>
    <m/>
    <m/>
    <m/>
    <s v="N"/>
    <x v="13"/>
    <s v="9963834447"/>
    <s v="X"/>
    <n v="16480.580000000016"/>
    <n v="380000"/>
    <n v="396480.58"/>
    <n v="304890.26"/>
    <n v="91590.32"/>
    <n v="72301.77"/>
    <n v="65700"/>
    <n v="23990"/>
    <x v="0"/>
    <x v="0"/>
    <n v="0"/>
    <n v="23990"/>
    <x v="0"/>
    <s v="NA"/>
    <n v="0"/>
    <s v="HARI"/>
    <x v="9"/>
    <x v="3"/>
    <s v="6.29 Kachapur ..Kachapur Nizamabad NIZAMABAD TNG 503101"/>
    <s v="PINE.LABS.PVT.LTD 8.2.594.1.A.1.ROAD.NO.01 BANJARAHILLS.. BANJARAHILLS.. HYDERABAD TNG 500034"/>
    <s v="NIZAMABAD"/>
    <x v="0"/>
    <x v="38"/>
    <s v="PRASHANTH"/>
    <n v="802551967"/>
    <s v="Ssde@9290"/>
    <m/>
    <m/>
    <x v="0"/>
    <s v="LIVE"/>
    <s v="customer not staying in this house he staying in Hyderabad he response call he hospitalized and job loss he need time to make payment"/>
    <x v="22"/>
    <d v="2025-07-03T00:00:00"/>
    <n v="72013"/>
    <s v="Amazon Pay ICICI Bank Credit Card"/>
    <s v="9TH JULY"/>
    <s v="0000000030089220"/>
    <d v="2026-07-08T00:00:00"/>
  </r>
  <r>
    <s v="4748468566094007"/>
    <s v="MR KOTA CHAKRADHAR"/>
    <n v="0"/>
    <x v="0"/>
    <m/>
    <m/>
    <m/>
    <s v="N"/>
    <x v="13"/>
    <s v="8374910377"/>
    <s v="X"/>
    <n v="28525.159999999974"/>
    <n v="300000"/>
    <n v="328525.15999999997"/>
    <s v=""/>
    <n v="328525.15999999997"/>
    <n v="297995.93"/>
    <n v="75760"/>
    <n v="31440"/>
    <x v="0"/>
    <x v="0"/>
    <n v="0"/>
    <n v="31440"/>
    <x v="0"/>
    <s v="NA"/>
    <n v="0"/>
    <s v="HARI"/>
    <x v="8"/>
    <x v="3"/>
    <s v="&quot;15-135,KODURU,KODURU&quot; &quot;KRISHNA,ANDHRA PRADESH&quot;  XX GUDIVADA ANP 521328"/>
    <s v="WIPRO LIMITED ALSO WIPRO TECHNOLOGIES A &quot;SY NO 64, SERILLINGAMPALLIMADHAPUR, NEAR&quot; &quot;HITEC CITY,PATRIKA NAGAR,HYDERABAD&quot; &quot;HITEC CITY,PATRIKA NAGAR,HYDERABAD&quot; HYDERABAD TNG 500081"/>
    <s v="GUDIVADA"/>
    <x v="4"/>
    <x v="6"/>
    <s v="KOTI"/>
    <n v="801597759"/>
    <s v="Ssde@9290"/>
    <m/>
    <m/>
    <x v="0"/>
    <s v="LIVE"/>
    <s v="Customer commitment 16th."/>
    <x v="20"/>
    <d v="2026-04-08T00:00:00"/>
    <n v="30420"/>
    <s v="ICICI Bank Rubyx Visa Credit Card"/>
    <s v="7TH JULY"/>
    <s v="0000000022965306"/>
    <d v="2026-07-08T00:00:00"/>
  </r>
  <r>
    <s v="4315811721637009"/>
    <s v="MR Madhu Kumar Dorapalli"/>
    <n v="0"/>
    <x v="0"/>
    <n v="1"/>
    <m/>
    <m/>
    <s v="N"/>
    <x v="13"/>
    <s v="9966073943"/>
    <s v="X"/>
    <n v="14981.690000000002"/>
    <n v="300000"/>
    <n v="314981.69"/>
    <s v=""/>
    <n v="314981.69"/>
    <n v="294994"/>
    <n v="62990"/>
    <n v="14750"/>
    <x v="0"/>
    <x v="0"/>
    <n v="0"/>
    <n v="14750"/>
    <x v="0"/>
    <s v="NA"/>
    <n v="0"/>
    <s v="HARI"/>
    <x v="6"/>
    <x v="3"/>
    <s v="1-1-119/A/2/1 Suryapet Thallagadda Nalgonda SURYAPET TNG 508213"/>
    <s v="TECH MAHINDRA LIMITED 1-10 HIECTCITY HIECTCITY HYDERABAD TNG 500082"/>
    <s v="SURYAPET"/>
    <x v="0"/>
    <x v="2"/>
    <s v="CHAITANYA"/>
    <n v="802555024"/>
    <s v="Ssde@9290"/>
    <m/>
    <m/>
    <x v="1"/>
    <m/>
    <m/>
    <x v="1"/>
    <d v="2024-07-23T00:00:00"/>
    <n v="250000"/>
    <s v="Amazon Pay ICICI Bank Credit Card"/>
    <s v="7TH JULY"/>
    <s v="0000000018737568"/>
    <d v="2026-07-08T00:00:00"/>
  </r>
  <r>
    <s v="6528690172901009"/>
    <s v="MR Chavala Rameshbabu"/>
    <n v="0"/>
    <x v="0"/>
    <m/>
    <m/>
    <m/>
    <s v="N"/>
    <x v="13"/>
    <s v="9849762407"/>
    <s v="X"/>
    <n v="34156.010000000009"/>
    <n v="270000"/>
    <n v="304156.01"/>
    <s v=""/>
    <n v="304156.01"/>
    <n v="268408.17"/>
    <n v="93440"/>
    <n v="53500"/>
    <x v="0"/>
    <x v="0"/>
    <n v="0"/>
    <n v="53500"/>
    <x v="0"/>
    <s v="NA"/>
    <n v="0"/>
    <s v="HARI"/>
    <x v="9"/>
    <x v="3"/>
    <s v="2 LINE GUNTUR URBAN GUNTUR H NO 35-3-361 VINGAL RAO NAGAR  ARUNDALPETGuntur GTR ANP 522002"/>
    <s v="SACHIVALAYAM 20 LINE ARCH CENTER GUNTUR URBAN DOOR NO 34-113/1 SARADA COLONY 153 WARD   GTR ANP 522002"/>
    <s v="GUNTUR"/>
    <x v="5"/>
    <x v="11"/>
    <s v="INAMUL"/>
    <n v="802823175"/>
    <s v="Sgr@9290"/>
    <m/>
    <m/>
    <x v="0"/>
    <s v="MESS"/>
    <s v="Customer given House address visited customer not living in this address enquired with house owner's they said this name of person not available in this house customer not responding phone calls going for working address // Customer given working address visited customer live at working address discussed about payment customer said that call back evening // Customer given working address visited customer present not available calls not answering left message to staff // Customer working address visited waiting for customer // Customer working address visited customer available customer waiting for money coming from outside said that call back evening / Customer working address visited waiting for customer"/>
    <x v="26"/>
    <d v="2026-05-16T00:00:00"/>
    <n v="19500"/>
    <s v="ICICI Bank HPCL Super Saver RuPay Credit Card"/>
    <s v="7TH JULY"/>
    <s v="0000000034408931"/>
    <d v="2026-07-08T00:00:00"/>
  </r>
  <r>
    <s v="4035622547961021"/>
    <s v="MR KOTHA RAMA KOTESWARA PRASANTH"/>
    <n v="0"/>
    <x v="0"/>
    <m/>
    <m/>
    <m/>
    <s v="O"/>
    <x v="13"/>
    <s v="8686016064"/>
    <s v="X"/>
    <n v="12898.849999999977"/>
    <n v="290000"/>
    <n v="302898.84999999998"/>
    <n v="10574.63"/>
    <n v="292324.21999999997"/>
    <n v="270637.96000000002"/>
    <n v="81060"/>
    <n v="42890"/>
    <x v="0"/>
    <x v="0"/>
    <n v="0"/>
    <n v="42890"/>
    <x v="0"/>
    <s v="NA"/>
    <n v="0"/>
    <s v="HARI"/>
    <x v="9"/>
    <x v="3"/>
    <s v="&quot;FLAT NO.11,&quot; &quot;8, SESHADRI BLOCK, SRIHARI NIVASAM.,&quot; GUNTUR - GUNTUR ANP 522034"/>
    <s v="EXPLEO SOLUTIONS LIMITED RAJIV GANDHI SALAI KANDANCHAVADI KANDANCHAVADI CHENNAI TMN 600096"/>
    <s v="GUNTUR"/>
    <x v="5"/>
    <x v="11"/>
    <s v="INAMUL"/>
    <n v="802823175"/>
    <s v="Sgr@9290"/>
    <m/>
    <m/>
    <x v="0"/>
    <s v="LIVE"/>
    <s v="Customer given House address visited customer live but present not available at home responded to phone call Said that call back tomorrow // Customer given House address visited customer live but present not available at home responded to phone call given PTP 14/07/26 // Customer given House address revisited customer live but present not available at home responded to phone call given PTP tomorrow afternoon // Customer given House address revisited no one is there at home door locked customer mobile ringing but not answering call back evening revisit again tomorrow"/>
    <x v="22"/>
    <d v="2025-05-20T00:00:00"/>
    <n v="13000"/>
    <s v="ICICI Bank Coral Credit Card"/>
    <s v="7TH JULY"/>
    <s v="0000000020766579"/>
    <d v="2026-07-08T00:00:00"/>
  </r>
  <r>
    <s v="4035622772208023"/>
    <s v="MR NEERATI CHANDRAIAH"/>
    <n v="0"/>
    <x v="0"/>
    <m/>
    <m/>
    <m/>
    <s v="O"/>
    <x v="13"/>
    <s v="8919105495"/>
    <s v="X"/>
    <n v="-69457.729999999981"/>
    <n v="360000"/>
    <n v="290542.27"/>
    <s v=""/>
    <n v="290542.27"/>
    <n v="266044.81"/>
    <n v="53670"/>
    <n v="26740"/>
    <x v="0"/>
    <x v="0"/>
    <n v="0"/>
    <n v="26740"/>
    <x v="0"/>
    <s v="NA"/>
    <n v="0"/>
    <s v="HARI"/>
    <x v="6"/>
    <x v="3"/>
    <s v="9-32/A SHABAD HARIJANAVADA SHABAD WANAPARTHY TNG 509217"/>
    <s v="GOVERNMENT OF TELANGANA SECONDARY EDUCAT MANDAL PARISHAT PRIMARY SCHOOL &quot;AIRPORT COLONY,&quot; &quot;AIRPORT COLONY,&quot; RANGAREDDY TNG 501218"/>
    <s v="WANAPARTHY"/>
    <x v="0"/>
    <x v="19"/>
    <s v="SAMBA"/>
    <n v="801772794"/>
    <s v="Ssde@9876"/>
    <m/>
    <m/>
    <x v="0"/>
    <s v="SKIP"/>
    <s v="Cm address not found_x000a_Need customer documents "/>
    <x v="21"/>
    <d v="2024-06-30T00:00:00"/>
    <n v="81931.05"/>
    <s v="ICICI Bank Platinum Chip Credit Card"/>
    <s v="9TH JULY"/>
    <s v="0000000022400494"/>
    <d v="2026-07-08T00:00:00"/>
  </r>
  <r>
    <s v="4035623369154000"/>
    <s v="MR P SUBHASH REDDY"/>
    <n v="0"/>
    <x v="0"/>
    <m/>
    <m/>
    <m/>
    <s v="N"/>
    <x v="13"/>
    <s v="6361973094"/>
    <s v="X"/>
    <n v="12038.660000000003"/>
    <n v="247000"/>
    <n v="259038.66"/>
    <s v=""/>
    <n v="259038.66"/>
    <n v="238090.71"/>
    <n v="50600"/>
    <n v="13600"/>
    <x v="0"/>
    <x v="0"/>
    <n v="0"/>
    <n v="13600"/>
    <x v="0"/>
    <s v="NA"/>
    <n v="0"/>
    <s v="HARI"/>
    <x v="8"/>
    <x v="3"/>
    <s v="2/109 NANDIPALLI  VANAMPULA PANCHAYATHI  BADVEL MANDALAM VANAMPULA CUDDAPAH NEAR BY NANDIPALLI CUDDAPAH ANP 516502"/>
    <s v="OJAS INNOVATIVE TECHNOLOGIES PVT LTD RAMKY SELENIUM  TOWER B 5TH FLOOR FINANCIAL DISTRICT NANAKRAMGUDA GACHIBOW FINANCIAL DISTRICT NANAKRAMGUDA GACHIBOW HYDERABAD TNG 500032"/>
    <s v="CUDDAPAH"/>
    <x v="1"/>
    <x v="48"/>
    <s v="SIVARAU"/>
    <n v="801601134"/>
    <s v="Ssd@9290"/>
    <m/>
    <m/>
    <x v="0"/>
    <s v="SKIP"/>
    <s v="Cus given address was skip also cus not responded to calls sir"/>
    <x v="26"/>
    <d v="2025-08-06T00:00:00"/>
    <n v="162493"/>
    <s v="ICICI Bank Coral RuPay Credit Card"/>
    <s v="9TH JULY"/>
    <s v="0000000030198174"/>
    <d v="2026-07-08T00:00:00"/>
  </r>
  <r>
    <s v="5241936721694019"/>
    <s v="MS DARAM SRUNGARAM"/>
    <n v="0"/>
    <x v="1"/>
    <m/>
    <m/>
    <m/>
    <s v="N"/>
    <x v="13"/>
    <s v="8919723476"/>
    <s v="X"/>
    <n v="25709.549999999988"/>
    <n v="230000"/>
    <n v="255709.55"/>
    <s v=""/>
    <n v="255709.55"/>
    <n v="229231.9"/>
    <n v="61880"/>
    <n v="26820"/>
    <x v="1"/>
    <x v="1"/>
    <n v="255709.55"/>
    <n v="-228889.55"/>
    <x v="17"/>
    <s v="TC"/>
    <s v="30501-BBPS Payment received"/>
    <s v="HARI"/>
    <x v="12"/>
    <x v="3"/>
    <s v="&quot;H NO 7-1-85/13,SAI BALAJI TOWNSHHIPPERAM&quot; AMPETA ROAD JANGAREDDIGUDEM NEAR PARK JANGAREDDIGUDUM ANP 534447"/>
    <s v="GOVT OF AP &quot;GOVT JUNIOR COLLEGE,BUTTEYAGUDEM&quot; PALACOLE PALACOLE ELURU ANP 534448"/>
    <s v="JANGAREDDIGUDUM"/>
    <x v="4"/>
    <x v="32"/>
    <s v="BHARAT CHANDRA"/>
    <n v="802631601"/>
    <s v="Ssde@9290"/>
    <m/>
    <m/>
    <x v="0"/>
    <m/>
    <m/>
    <x v="1"/>
    <d v="2024-12-09T00:00:00"/>
    <n v="69263"/>
    <s v="ICICI Bank MasterCard  Platinum chip Credit Card"/>
    <s v="10TH JULY"/>
    <s v="0000000024898560"/>
    <d v="2026-07-08T00:00:00"/>
  </r>
  <r>
    <s v="4035622876657000"/>
    <s v="MR SINGAVARAPU SRINIVAS"/>
    <n v="0"/>
    <x v="0"/>
    <m/>
    <m/>
    <m/>
    <s v="O"/>
    <x v="13"/>
    <s v="9959240344"/>
    <s v="X"/>
    <n v="-8037.3999999999942"/>
    <n v="260000"/>
    <n v="251962.6"/>
    <n v="203039.69"/>
    <n v="48922.91"/>
    <n v="41755.410000000003"/>
    <n v="33950"/>
    <n v="16230"/>
    <x v="1"/>
    <x v="1"/>
    <n v="34000"/>
    <n v="-17770"/>
    <x v="27"/>
    <s v="NA"/>
    <s v="30501-BBPS Payment received"/>
    <s v="HARI"/>
    <x v="4"/>
    <x v="3"/>
    <s v="&quot;6-14 PANCHAYATHI,DAGGARA BADAMPUDI&quot; &quot;UNGUTURU VUNGUTURU,WEST GODAVARI&quot;  NEAR PANCHAYATHI OFFICE TADEPALLIGUDEM ANP 534411"/>
    <s v="GOVERNMENT OF ANDHRA PRADESH MPPS SCHOOL BADAMPUDI WEST GODAVAR WEST GODAVAR TADEPALLIGUDEM ANP 534411"/>
    <s v="TADEPALLIGUDEM"/>
    <x v="4"/>
    <x v="33"/>
    <s v="MANIKANTA"/>
    <n v="802852449"/>
    <s v="Ssd@9290"/>
    <m/>
    <m/>
    <x v="0"/>
    <s v="MESS"/>
    <s v="Custmor go to Marrage_x000a_Inform  mother"/>
    <x v="17"/>
    <d v="2025-06-19T00:00:00"/>
    <n v="76700"/>
    <s v="ICICI Bank Platinum Chip Credit Card"/>
    <s v="9TH JULY"/>
    <s v="0000000023076655"/>
    <d v="2026-07-08T00:00:00"/>
  </r>
  <r>
    <s v="4315814057656015"/>
    <s v="MR Burra Chandrasen"/>
    <n v="0"/>
    <x v="0"/>
    <m/>
    <m/>
    <s v="CUS CALLS NOT RESPONDING"/>
    <s v="O"/>
    <x v="13"/>
    <s v="8328535599"/>
    <s v="X"/>
    <n v="31939.97"/>
    <n v="220000"/>
    <n v="251939.97"/>
    <n v="120409.94"/>
    <n v="131530.03"/>
    <n v="123516.47"/>
    <n v="41470"/>
    <n v="20700"/>
    <x v="1"/>
    <x v="2"/>
    <n v="21000"/>
    <n v="-300"/>
    <x v="24"/>
    <s v="FE"/>
    <s v="12124 - UPI Payment Received"/>
    <s v="HARI"/>
    <x v="7"/>
    <x v="3"/>
    <s v="1.289 Mudigubba Mudigubba Mudigubba HINDUPUR ANP 515511"/>
    <s v="SAILAJA.SARRY.CENTER MUDHIGBBA 1.567. 1.567. HINDUPUR ANP 515511"/>
    <s v="HINDUPUR"/>
    <x v="1"/>
    <x v="12"/>
    <s v="POORNIMA"/>
    <n v="802824019"/>
    <s v="Nihan@2421"/>
    <m/>
    <m/>
    <x v="0"/>
    <m/>
    <m/>
    <x v="1"/>
    <d v="2026-06-12T00:00:00"/>
    <n v="3200"/>
    <s v="Amazon Pay ICICI Bank Credit Card"/>
    <s v="9TH JULY"/>
    <s v="0000000026569723"/>
    <d v="2026-07-08T00:00:00"/>
  </r>
  <r>
    <s v="5241936602096003"/>
    <s v="MR MAHESH MAHESH"/>
    <n v="0"/>
    <x v="0"/>
    <m/>
    <m/>
    <m/>
    <s v="O"/>
    <x v="13"/>
    <s v="8501969363"/>
    <s v="X"/>
    <n v="4253.7699999999895"/>
    <n v="230000"/>
    <n v="234253.77"/>
    <n v="72666.87"/>
    <n v="161586.9"/>
    <n v="151364.98000000001"/>
    <n v="53560"/>
    <n v="30590"/>
    <x v="0"/>
    <x v="0"/>
    <n v="0"/>
    <n v="30590"/>
    <x v="0"/>
    <s v="NA"/>
    <n v="0"/>
    <s v="HARI"/>
    <x v="9"/>
    <x v="3"/>
    <s v="HNO 5-5/1 KOILKONDA X ROAD MAHABUBNAGAR NEAR PETROL PUMP MAHBOOBNAGAR TNG 509001"/>
    <s v="GOVENRMENT OF TEPANGANA GANDEED MAHABUBNAGAR MAHABUBNAGAR MAHBOOBNAGAR TNG 509337"/>
    <s v="MAHBOOBNAGAR"/>
    <x v="0"/>
    <x v="19"/>
    <s v="SAMBA"/>
    <n v="801772794"/>
    <s v="Ssde@9876"/>
    <m/>
    <m/>
    <x v="1"/>
    <m/>
    <m/>
    <x v="1"/>
    <d v="2025-03-20T00:00:00"/>
    <n v="5900"/>
    <s v="ICICI Rubyx PLT Credit Card (AMEX)"/>
    <s v="9TH JULY"/>
    <s v="0000000018169351"/>
    <d v="2026-07-08T00:00:00"/>
  </r>
  <r>
    <s v="6528681980547001"/>
    <s v="MR Gudivada Chaithanya"/>
    <n v="0"/>
    <x v="1"/>
    <m/>
    <m/>
    <m/>
    <s v="N"/>
    <x v="13"/>
    <s v="9154548548"/>
    <s v="X"/>
    <n v="-205771.12"/>
    <n v="420000"/>
    <n v="214228.88"/>
    <s v=""/>
    <n v="214228.88"/>
    <n v="185822.07"/>
    <n v="46530"/>
    <n v="27030"/>
    <x v="1"/>
    <x v="1"/>
    <n v="214228.88"/>
    <n v="-187198.88"/>
    <x v="16"/>
    <s v="FE"/>
    <s v="30501-BBPS Payment received"/>
    <s v="HARI"/>
    <x v="12"/>
    <x v="3"/>
    <s v="6 334 1 Gudipadu Road Gudipadu Road Khammam KHAMMAM TNG 507303"/>
    <s v="INSTITUTE OF LANAGUAGE AND MANAGEMENT 6 334 1 GUDIPADU ROAD SATHUPALLY GUDIPADU ROAD SATHUPALLY KHAMMAM TNG 507303"/>
    <s v="KHAMMAM"/>
    <x v="0"/>
    <x v="29"/>
    <s v="SUDHAKAR"/>
    <n v="802913252"/>
    <s v="Ssd@9290"/>
    <m/>
    <m/>
    <x v="0"/>
    <m/>
    <m/>
    <x v="1"/>
    <d v="2026-05-13T00:00:00"/>
    <n v="9790"/>
    <s v="ICICI Bank Coral RuPay Credit Card"/>
    <s v="10TH JULY"/>
    <s v="0000000032339084"/>
    <d v="2026-07-08T00:00:00"/>
  </r>
  <r>
    <s v="4315812550573000"/>
    <s v="MR Vanaparthi Veerachary"/>
    <n v="0"/>
    <x v="0"/>
    <m/>
    <m/>
    <m/>
    <s v="O"/>
    <x v="13"/>
    <s v="9542514241"/>
    <s v="X"/>
    <n v="-17008.399999999994"/>
    <n v="220000"/>
    <n v="202991.6"/>
    <n v="116639.46"/>
    <n v="86352.14"/>
    <n v="79289.789999999994"/>
    <n v="41090"/>
    <n v="20840"/>
    <x v="1"/>
    <x v="2"/>
    <n v="28500"/>
    <n v="-7660"/>
    <x v="20"/>
    <s v="TC"/>
    <s v="30501-BBPS Payment received"/>
    <s v="HARI"/>
    <x v="6"/>
    <x v="3"/>
    <s v="2-44/1 laxmipoor laxmipoor Karimnagar KARIMNAGAR TNG 505530"/>
    <s v="A LAXMIPOOR BEJJANKI SIDDIPET BEJJANKI SIDDIPET KARIMNAGAR TNG 505530"/>
    <s v="KARIMNAGAR"/>
    <x v="0"/>
    <x v="8"/>
    <s v="SUMANTH"/>
    <n v="802370852"/>
    <s v="Sgr@9290"/>
    <m/>
    <m/>
    <x v="0"/>
    <m/>
    <m/>
    <x v="1"/>
    <d v="2025-09-20T00:00:00"/>
    <n v="2530"/>
    <s v="Amazon Pay ICICI Bank Credit Card"/>
    <s v="9TH JULY"/>
    <s v="0000000021133111"/>
    <d v="2026-07-08T00:00:00"/>
  </r>
  <r>
    <s v="4315813698251004"/>
    <s v="MR BAYANA REDDY"/>
    <n v="0"/>
    <x v="0"/>
    <m/>
    <m/>
    <m/>
    <s v="N"/>
    <x v="13"/>
    <s v="9642252985"/>
    <s v="X"/>
    <n v="16603.700000000012"/>
    <n v="170000"/>
    <n v="186603.7"/>
    <s v=""/>
    <n v="186603.7"/>
    <n v="169893.72"/>
    <n v="43200"/>
    <n v="16680"/>
    <x v="0"/>
    <x v="0"/>
    <n v="7316"/>
    <n v="9364"/>
    <x v="0"/>
    <s v="NA"/>
    <s v="12111-ICICI BANK COLLECTION PAYMENT"/>
    <s v="HARI"/>
    <x v="8"/>
    <x v="3"/>
    <s v="&quot;11/56,GANESH PURAM VILLAGE,VALLURU MANDALAM,&quot; VALLUR   CUDDAPAH ANP 516293"/>
    <s v="B RAMAKRISHNA REDDY 11-56 GANGAYAPALLI VALLUR VALLUR CUDDAPAH ANP 516001"/>
    <s v="PRODDATUR"/>
    <x v="1"/>
    <x v="15"/>
    <s v="VSSK PRASAD"/>
    <n v="802349062"/>
    <s v="Ssd@9290"/>
    <m/>
    <m/>
    <x v="1"/>
    <m/>
    <m/>
    <x v="1"/>
    <d v="2026-04-23T00:00:00"/>
    <n v="42900"/>
    <s v="Amazon Pay ICICI Bank Credit Card"/>
    <s v="9TH JULY"/>
    <s v="0000000025109599"/>
    <d v="2026-07-08T00:00:00"/>
  </r>
  <r>
    <s v="5241936841988010"/>
    <s v="MR KODALI KUMAR"/>
    <n v="0"/>
    <x v="0"/>
    <m/>
    <m/>
    <m/>
    <s v="N"/>
    <x v="13"/>
    <s v="9551745979"/>
    <s v="X"/>
    <n v="-29748.109999999986"/>
    <n v="200000"/>
    <n v="170251.89"/>
    <n v="40561.410000000003"/>
    <n v="129690.48"/>
    <n v="116371.65"/>
    <n v="42990"/>
    <n v="18540"/>
    <x v="1"/>
    <x v="1"/>
    <n v="43000"/>
    <n v="-24460"/>
    <x v="27"/>
    <s v="FE"/>
    <s v="12111-ICICI BANK COLLECTION PAYMENT"/>
    <s v="HARI"/>
    <x v="8"/>
    <x v="3"/>
    <s v="&quot;25 9 385 FLAT NO 3,KAVER HEIGHTS,7 3 LAN&quot; &quot;E,,GUNTUR ANDHRA PRADESH&quot;  GUNTUR GUNTUR ANP 522007"/>
    <s v="BERNHARD SCHULTE SHIPMANAGEMENT I PVT LT EGA TRADE CENTRE 5 TH FLOOR 5 TH FLOOR CHENNAI TMN 600010"/>
    <s v="GUNTUR"/>
    <x v="5"/>
    <x v="11"/>
    <s v="INAMUL"/>
    <n v="802823175"/>
    <s v="Sgr@9290"/>
    <m/>
    <m/>
    <x v="0"/>
    <s v="MESS"/>
    <s v="Customer Given House address visited but customer not available at home living at others state customer parent's available at home left message to parents call back afternoon // Customer Given House address visited but customer not available at home living at others state customer parent's will do payment tomorrow"/>
    <x v="22"/>
    <d v="2025-12-12T00:00:00"/>
    <n v="12818"/>
    <s v="ICICI Bank MasterCard  Platinum chip Credit Card"/>
    <s v="9TH JULY"/>
    <s v="0000000031080667"/>
    <d v="2026-07-08T00:00:00"/>
  </r>
  <r>
    <s v="4035623121812002"/>
    <s v="MR BOMMISETTY SIVAIAH"/>
    <n v="0"/>
    <x v="0"/>
    <m/>
    <m/>
    <m/>
    <s v="N"/>
    <x v="13"/>
    <s v="7729025623"/>
    <s v="X"/>
    <n v="11164.109999999986"/>
    <n v="150000"/>
    <n v="161164.10999999999"/>
    <s v=""/>
    <n v="161164.10999999999"/>
    <n v="148120.49"/>
    <n v="38060"/>
    <n v="9040"/>
    <x v="0"/>
    <x v="0"/>
    <n v="259"/>
    <n v="8781"/>
    <x v="0"/>
    <s v="NA"/>
    <s v="12111-ICICI BANK COLLECTION PAYMENT"/>
    <s v="HARI"/>
    <x v="4"/>
    <x v="3"/>
    <s v="3/91 OBULREDDY GARI PALLI SUDDAMALLA &quot;NEAR TO RAMALAYAM,NEAR BY NARAYANA SWAMY TEMPLE&quot; CUDDAPAH ANP 516504"/>
    <s v="COGNIZANT TECHNOLOGY SOLUTIONS INDIA PRI &quot;PLAT NO 129/130/131/132, DLF CYBER CITY&quot; GACHIBOWLI  ROAD AP HP COLONY HYDERABAD GACHIBOWLI  ROAD AP HP COLONY HYDERABAD HYDERABAD TNG 500019"/>
    <s v="CUDDAPAH"/>
    <x v="1"/>
    <x v="48"/>
    <s v="SIVARAU"/>
    <n v="801601134"/>
    <s v="Ssd@9290"/>
    <m/>
    <m/>
    <x v="1"/>
    <m/>
    <m/>
    <x v="1"/>
    <d v="2025-05-08T00:00:00"/>
    <n v="50000"/>
    <s v="ICICI Bank Platinum Chip Credit Card"/>
    <s v="9TH JULY"/>
    <s v="0000000025794767"/>
    <d v="2026-07-08T00:00:00"/>
  </r>
  <r>
    <s v="4315813803605003"/>
    <s v="MR GSurya Narayana Reddy"/>
    <n v="0"/>
    <x v="0"/>
    <m/>
    <m/>
    <m/>
    <s v="O"/>
    <x v="13"/>
    <s v="9494492911"/>
    <s v="X"/>
    <n v="77434.929999999993"/>
    <n v="80000"/>
    <n v="157434.93"/>
    <n v="88237.07"/>
    <n v="69197.86"/>
    <n v="64009.94"/>
    <n v="41140"/>
    <n v="20500"/>
    <x v="0"/>
    <x v="0"/>
    <n v="0"/>
    <n v="20500"/>
    <x v="0"/>
    <s v="NA"/>
    <n v="0"/>
    <s v="HARI"/>
    <x v="9"/>
    <x v="3"/>
    <s v="4 106   JULEPALLE NANDYAL ANP 518674"/>
    <s v="SRINIVAS NAGAR SRINIVAS CENTER SRINIVAS NAGAR SRINIVAS NAGAR NANDYAL ANP 518501"/>
    <s v="NANDYAL"/>
    <x v="1"/>
    <x v="7"/>
    <s v="HARI"/>
    <n v="802388289"/>
    <s v="Ssd@9290"/>
    <m/>
    <m/>
    <x v="0"/>
    <s v="LIVE"/>
    <s v="Customer office address visit customer not in a office customer mobile not respondin // Customer office address visit customer not in a office customer mobile responding call back 1 hour // Customer working address visit customer not in a working address customer mobile not responding iam going to house visit // Customer working address visit customer not in a working address customer mobile responding but customer present in hospital some health issues customer asking some time // Customer house address visit customer house door lock neighbours told customer going to hospital customer mobile not responding"/>
    <x v="25"/>
    <d v="2024-06-30T00:00:00"/>
    <n v="37504.67"/>
    <s v="Amazon Pay ICICI Bank Credit Card"/>
    <s v="9TH JULY"/>
    <s v="0000000025547630"/>
    <d v="2026-07-08T00:00:00"/>
  </r>
  <r>
    <s v="4315813363671007"/>
    <s v="MS BODDU PRASANNA BINDU"/>
    <n v="0"/>
    <x v="0"/>
    <m/>
    <m/>
    <m/>
    <s v="N"/>
    <x v="13"/>
    <s v="9550357959"/>
    <s v="X"/>
    <n v="13539.160000000003"/>
    <n v="140000"/>
    <n v="153539.16"/>
    <n v="16852.64"/>
    <n v="136686.51999999999"/>
    <n v="122034.27"/>
    <n v="30970"/>
    <n v="12488.08"/>
    <x v="0"/>
    <x v="0"/>
    <n v="0"/>
    <n v="12488.08"/>
    <x v="0"/>
    <s v="NA"/>
    <n v="0"/>
    <s v="HARI"/>
    <x v="5"/>
    <x v="3"/>
    <s v="HOUSING BOARD COLONY 5 4 23 BHONGIR    NALGONDA TNG 508116"/>
    <s v="Bharathi Dharma Infrastructures Housing board colony Bhongir Bhongir NALGONDA TNG 508116"/>
    <s v="NALGONDA"/>
    <x v="0"/>
    <x v="17"/>
    <s v="PAVAN"/>
    <n v="802823180"/>
    <s v="Sgr@9290"/>
    <m/>
    <m/>
    <x v="0"/>
    <s v="LIVE"/>
    <s v="Customer Adress visit but this adress parents adress and customer living in Hyderabd Husaband home and Customer not lifiting calls and Customer father ( 8978245331 "/>
    <x v="20"/>
    <d v="2025-09-04T00:00:00"/>
    <n v="300"/>
    <s v="Amazon Pay ICICI Bank Credit Card"/>
    <s v="9TH JULY"/>
    <s v="0000000024064166"/>
    <d v="2026-07-08T00:00:00"/>
  </r>
  <r>
    <s v="4035622973848007"/>
    <s v="MS URKONDA SRAVANI"/>
    <n v="0"/>
    <x v="0"/>
    <m/>
    <m/>
    <m/>
    <s v="O"/>
    <x v="13"/>
    <s v="7010489840"/>
    <s v="X"/>
    <n v="-93363.359999999986"/>
    <n v="230000"/>
    <n v="136636.64000000001"/>
    <s v=""/>
    <n v="136636.64000000001"/>
    <n v="121695.39"/>
    <n v="32310"/>
    <n v="15820"/>
    <x v="0"/>
    <x v="0"/>
    <n v="0"/>
    <n v="15820"/>
    <x v="0"/>
    <s v="NA"/>
    <n v="0"/>
    <s v="HARI"/>
    <x v="6"/>
    <x v="3"/>
    <s v="&quot;9-37,NANDANAVANAM TOWNSHIP,BESIDE,MADHUC&quot; &quot;ON,,GRANIT KHAMMAM,RURAL,MUTHAGUDEM&quot;  &quot;NEAR BY KARTHEKEYA VENTURE,MADHUCON GRAN&quot; KHAMMAM TNG 507163"/>
    <s v="INTEQ SOFTWARE PRIVATE LIMITED &quot;1365,ROADNO.45,JUBILEE HILLS&quot; HYDERABAD HYDERABAD HYDERABAD TNG 500033"/>
    <s v="KHAMMAM"/>
    <x v="0"/>
    <x v="2"/>
    <s v="CHAITANYA"/>
    <n v="802555024"/>
    <s v="Ssde@9290"/>
    <m/>
    <m/>
    <x v="0"/>
    <s v="SKIP"/>
    <s v="I have Visited customer given house address customer not available here Customer vacated this house before 8 months ago customer call answered saying that pls contact to my husband customer husband call not answering _x000a_Customer husband mobile num"/>
    <x v="21"/>
    <d v="2026-04-08T00:00:00"/>
    <n v="25000"/>
    <s v="ICICI Bank Platinum Chip Credit Card"/>
    <s v="9TH JULY"/>
    <s v="0000000023900667"/>
    <d v="2026-07-08T00:00:00"/>
  </r>
  <r>
    <s v="4035622990813000"/>
    <s v="MR NISSANKARARAO RAVITEJA"/>
    <n v="0"/>
    <x v="0"/>
    <m/>
    <m/>
    <m/>
    <s v="N"/>
    <x v="13"/>
    <s v="8179664342"/>
    <s v="X"/>
    <n v="12186.279999999999"/>
    <n v="120000"/>
    <n v="132186.28"/>
    <s v=""/>
    <n v="132186.28"/>
    <n v="119999.78"/>
    <n v="31380"/>
    <n v="11780"/>
    <x v="0"/>
    <x v="0"/>
    <n v="0"/>
    <n v="11780"/>
    <x v="0"/>
    <s v="NA"/>
    <n v="0"/>
    <s v="HARI"/>
    <x v="8"/>
    <x v="3"/>
    <s v="NEHRU NAGAR 11 TH LANE  NEAR TO NEW GUNTUR RAILWAY STATION GUNTUR ANP 522001"/>
    <s v="APEX FUND SERVICES LLP INORBIT MALL VEGAS BUILDING HITECH CITY HYDERABAD HITECH CITY HYDERABAD HYDERABAD TNG 500081"/>
    <s v="GUNTUR"/>
    <x v="5"/>
    <x v="11"/>
    <s v="INAMUL"/>
    <n v="802823175"/>
    <s v="Sgr@9290"/>
    <m/>
    <m/>
    <x v="0"/>
    <s v="SKIP"/>
    <s v="Customer Given House address visited but no such name of person in this area conformed by neighbour's and renters of this area customer mobile number ringing but not answering need alternative address or kyc of this customer"/>
    <x v="17"/>
    <d v="2025-04-02T00:00:00"/>
    <n v="8200"/>
    <s v="ICICI Bank Coral RuPay Credit Card"/>
    <s v="9TH JULY"/>
    <s v="0000000024074884"/>
    <d v="2026-07-08T00:00:00"/>
  </r>
  <r>
    <s v="5241936750920004"/>
    <s v="MS AMGOTHU ARUNA"/>
    <n v="0"/>
    <x v="0"/>
    <m/>
    <m/>
    <m/>
    <s v="N"/>
    <x v="13"/>
    <s v="9110312867"/>
    <s v="X"/>
    <n v="7081.7100000000064"/>
    <n v="120000"/>
    <n v="127081.71"/>
    <s v=""/>
    <n v="127081.71"/>
    <n v="113067.16"/>
    <n v="26540"/>
    <n v="7160"/>
    <x v="1"/>
    <x v="1"/>
    <n v="27000"/>
    <n v="-19840"/>
    <x v="25"/>
    <s v="TC"/>
    <s v="30501-BBPS Payment received"/>
    <s v="HARI"/>
    <x v="4"/>
    <x v="3"/>
    <s v="&quot;H NO 4-64,SAIRAM THANDA&quot; JULURUPADU  NEAR BADRAI KHAMMAM TNG 507166"/>
    <s v="GOVT OF TELANGANA SECONDARY EDUCATION &quot;MPPS,THAKKELLAGUDEM,GUNDALA&quot;   KHAMMAM TNG 507123"/>
    <s v="KHAMMAM"/>
    <x v="0"/>
    <x v="27"/>
    <s v="POORNIMA"/>
    <n v="802824019"/>
    <s v="Nihan@2421"/>
    <m/>
    <m/>
    <x v="0"/>
    <s v="SKIP"/>
    <s v="Feedback customer shifted this address number not working"/>
    <x v="21"/>
    <d v="2024-12-10T00:00:00"/>
    <n v="2000"/>
    <s v="ICICI Bank MasterCard  Platinum chip Credit Card"/>
    <s v="9TH JULY"/>
    <s v="0000000026699856"/>
    <d v="2026-07-08T00:00:00"/>
  </r>
  <r>
    <s v="4035622600040002"/>
    <s v="MR CHINTHA SRINIVAS"/>
    <n v="0"/>
    <x v="0"/>
    <m/>
    <m/>
    <m/>
    <s v="O"/>
    <x v="13"/>
    <s v="8919514178"/>
    <s v="X"/>
    <n v="9892.0899999999965"/>
    <n v="110000"/>
    <n v="119892.09"/>
    <s v=""/>
    <n v="119892.09"/>
    <n v="109905.31"/>
    <n v="34670"/>
    <n v="22160"/>
    <x v="0"/>
    <x v="0"/>
    <n v="0"/>
    <n v="22160"/>
    <x v="0"/>
    <s v="NA"/>
    <n v="0"/>
    <s v="HARI"/>
    <x v="7"/>
    <x v="3"/>
    <s v="3-45 TIMMAMPET DUGGONDI MANDAL TIMMAMPET NEAR ZP HIGH SCHOOL WARANGAL TNG 506331"/>
    <s v="INTERIOR DESIGNERS TIMMAMPET TIMMAMPET TIMMAMPET WARANGAL TNG 506331"/>
    <s v="WARANGAL"/>
    <x v="0"/>
    <x v="20"/>
    <s v="POORNIMA"/>
    <n v="802824019"/>
    <s v="Nihan@2421"/>
    <m/>
    <m/>
    <x v="0"/>
    <s v="LIVE"/>
    <s v="Meet Customer Given Commitment On 18th Sir"/>
    <x v="22"/>
    <d v="2025-07-21T00:00:00"/>
    <n v="17000"/>
    <s v="ICICI Bank Platinum Chip Credit Card"/>
    <s v="9TH JULY"/>
    <s v="0000000021224179"/>
    <d v="2026-07-08T00:00:00"/>
  </r>
  <r>
    <s v="4035622628287007"/>
    <s v="MS GUMMI HARITHA"/>
    <n v="0"/>
    <x v="0"/>
    <m/>
    <m/>
    <m/>
    <s v="N"/>
    <x v="13"/>
    <s v="7731913294"/>
    <s v="X"/>
    <n v="-30136.429999999993"/>
    <n v="150000"/>
    <n v="119863.57"/>
    <n v="43616.53"/>
    <n v="76247.039999999994"/>
    <n v="65487.29"/>
    <n v="27440"/>
    <n v="12360"/>
    <x v="1"/>
    <x v="2"/>
    <n v="13000"/>
    <n v="-640"/>
    <x v="24"/>
    <s v="TC"/>
    <s v="30501-BBPS Payment received"/>
    <s v="HARI"/>
    <x v="5"/>
    <x v="3"/>
    <s v="5-69 ANTHAMMAGUDEM VILKAGE POCHAMPALLI NALGONDA NALGONDA NEAR HANUMAN TEMPLE NALGONDA TNG 508284"/>
    <s v="HARITHA BOTIQUE POCHAMPALLI NALGONDA NALGONDA NALGONDA TNG 508284"/>
    <s v="NALGONDA"/>
    <x v="0"/>
    <x v="17"/>
    <s v="PAVAN"/>
    <n v="802823180"/>
    <s v="Sgr@9290"/>
    <m/>
    <m/>
    <x v="0"/>
    <s v="LIVE"/>
    <s v="Customer Adress Visit and Customer prasent in office and Customer call Answer ptp on Monday"/>
    <x v="17"/>
    <d v="2024-11-02T00:00:00"/>
    <n v="41000"/>
    <s v="ICICI Bank MasterCard Coral Credit Card"/>
    <s v="9TH JULY"/>
    <s v="0000000021444334"/>
    <d v="2026-07-08T00:00:00"/>
  </r>
  <r>
    <s v="5241933889512000"/>
    <s v="MR GANDIKOTA KRISHNA CHAITHANYA"/>
    <n v="0"/>
    <x v="0"/>
    <m/>
    <m/>
    <s v="CUS CALLS NOT ESPONDING"/>
    <s v="N"/>
    <x v="13"/>
    <s v="8885758572"/>
    <s v="X"/>
    <n v="7021.7700000000041"/>
    <n v="100000"/>
    <n v="107021.77"/>
    <n v="92152.4"/>
    <n v="14869.37"/>
    <n v="7701.6"/>
    <n v="14869.37"/>
    <n v="8100.85"/>
    <x v="1"/>
    <x v="1"/>
    <n v="0"/>
    <n v="8100.85"/>
    <x v="0"/>
    <s v="NA"/>
    <s v="12111-ICICI BANK COLLECTION PAYMENT"/>
    <s v="HARI"/>
    <x v="6"/>
    <x v="3"/>
    <s v="12 B C COLONY VANNEDODDI ANANTAPUR GOOTY ANDHARA PRADESH  B C COLONY NEAR RAMASWAMY TEMPLE ANANTAPUR ANP 515401"/>
    <s v="FISERV INDIA PRIVATE LIMITED TRION BUSINESS PARK NAGAR  ROAD KARGIL VIJAY NAGAR  WADGAON SHERIPUNE VIJAY NAGAR  WADGAON SHERIPUNE PUNE MAH 411014"/>
    <s v="ANANTAPUR"/>
    <x v="1"/>
    <x v="12"/>
    <s v="POORNIMA"/>
    <n v="802824019"/>
    <s v="Nihan@2421"/>
    <m/>
    <m/>
    <x v="0"/>
    <m/>
    <m/>
    <x v="1"/>
    <d v="2026-03-11T00:00:00"/>
    <n v="14220"/>
    <s v="ICICI Rubyx PLT Credit Card (AMEX)"/>
    <s v="9TH JULY"/>
    <s v="0000000014922454"/>
    <d v="2026-07-08T00:00:00"/>
  </r>
  <r>
    <s v="4035627665307006"/>
    <s v="MR BITLA HARISH"/>
    <n v="0"/>
    <x v="0"/>
    <m/>
    <m/>
    <m/>
    <s v="N"/>
    <x v="13"/>
    <s v="7036487859"/>
    <s v="X"/>
    <n v="6974.3600000000006"/>
    <n v="100000"/>
    <n v="106974.36"/>
    <s v=""/>
    <n v="106974.36"/>
    <n v="94247.01"/>
    <n v="25250"/>
    <n v="5680"/>
    <x v="0"/>
    <x v="0"/>
    <n v="2536"/>
    <n v="3144"/>
    <x v="0"/>
    <s v="NA"/>
    <s v="12111-ICICI BANK COLLECTION PAYMENT"/>
    <s v="HARI"/>
    <x v="5"/>
    <x v="3"/>
    <s v="&quot;9-36/2,MULUGU,GHANPUR MANDAL,CHELPUR,&quot; DUBBAPALLE   WARANGAL TNG 506168"/>
    <s v="Harish 9-36/2 dhubbapaly chelpur &quot;Mdl -Ghanpur mulugu, dist-jayashanker&quot; &quot;Mdl -Ghanpur mulugu, dist-jayashanker&quot; WARANGAL TNG 506168"/>
    <s v="WARANGAL"/>
    <x v="0"/>
    <x v="20"/>
    <s v="POORNIMA"/>
    <n v="802824019"/>
    <s v="Nihan@2421"/>
    <m/>
    <m/>
    <x v="1"/>
    <m/>
    <m/>
    <x v="1"/>
    <d v="2026-05-08T00:00:00"/>
    <n v="9190"/>
    <s v="ICICI Bank HPCL Coral VISA Credit Card"/>
    <s v="9TH JULY"/>
    <s v="0000000030062482"/>
    <d v="2026-07-08T00:00:00"/>
  </r>
  <r>
    <s v="4035623153654009"/>
    <s v="MR KOTLA AYYASWAMULU"/>
    <n v="0"/>
    <x v="0"/>
    <m/>
    <m/>
    <m/>
    <s v="N"/>
    <x v="13"/>
    <s v="8179797108"/>
    <s v="X"/>
    <n v="1907.1999999999971"/>
    <n v="100000"/>
    <n v="101907.2"/>
    <n v="68103.44"/>
    <n v="33803.760000000002"/>
    <n v="20808.03"/>
    <n v="33803.760000000002"/>
    <n v="15434.51"/>
    <x v="1"/>
    <x v="2"/>
    <n v="6000"/>
    <n v="9434.51"/>
    <x v="25"/>
    <s v="TC"/>
    <s v="30501-BBPS Payment received"/>
    <s v="HARI"/>
    <x v="7"/>
    <x v="3"/>
    <s v="1-79   TADAKANAPALLE POST KURNOOL ANP 518218"/>
    <s v="QUESS CORP LIMITED &quot;8TH FLOOR,&quot; &quot;KHIVIRAJ BUILDING,480,ANNA SALAI&quot; &quot;KHIVIRAJ BUILDING,480,ANNA SALAI&quot; CHENNAI TMN 600035"/>
    <s v="KURNOOL"/>
    <x v="1"/>
    <x v="18"/>
    <s v="SAMBA"/>
    <n v="801772794"/>
    <s v="Ssde@9876"/>
    <m/>
    <m/>
    <x v="0"/>
    <m/>
    <m/>
    <x v="1"/>
    <d v="2025-11-29T00:00:00"/>
    <n v="43000"/>
    <s v="ICICI Bank Platinum Chip Credit Card"/>
    <s v="9TH JULY"/>
    <s v="0000000026219270"/>
    <d v="2026-07-08T00:00:00"/>
  </r>
  <r>
    <s v="4748468998583007"/>
    <s v="MR GUDIBOINA KRISHNA"/>
    <n v="0"/>
    <x v="0"/>
    <n v="1"/>
    <m/>
    <m/>
    <s v="N"/>
    <x v="13"/>
    <s v="9177407001"/>
    <s v="X"/>
    <n v="-13404.210000000006"/>
    <n v="110000"/>
    <n v="96595.79"/>
    <n v="42104.75"/>
    <n v="54491.040000000001"/>
    <n v="47737.47"/>
    <n v="21310"/>
    <n v="8790"/>
    <x v="0"/>
    <x v="0"/>
    <n v="0"/>
    <n v="8790"/>
    <x v="0"/>
    <s v="NA"/>
    <n v="0"/>
    <s v="HARI"/>
    <x v="4"/>
    <x v="3"/>
    <s v="1-3-15 KAZIPET RAHAMATH NAGAR  WARANGAL TNG 506003"/>
    <s v="ICICI BANK LIMITED 1ST FLOOR  BALASAMUDRAM ADVOCATES COLONY  HANAMKONDA TELANGANA COLONY  HANAMKONDA TELANGANA WARANGAL TNG 506003"/>
    <s v="WARANGAL"/>
    <x v="0"/>
    <x v="20"/>
    <s v="POORNIMA"/>
    <n v="802824019"/>
    <s v="Nihan@2421"/>
    <m/>
    <m/>
    <x v="0"/>
    <s v="LIVE"/>
    <s v="Visited Customer Given Adress Customer Expired"/>
    <x v="20"/>
    <d v="2026-05-02T00:00:00"/>
    <n v="44796.88"/>
    <s v="ICICI Bank HPCL Coral VISA Credit Card"/>
    <s v="9TH JULY"/>
    <s v="0000000027239362"/>
    <d v="2026-07-08T00:00:00"/>
  </r>
  <r>
    <s v="4035627501039003"/>
    <s v="MR KODELA SAI KUMAR"/>
    <n v="0"/>
    <x v="0"/>
    <m/>
    <m/>
    <m/>
    <s v="N"/>
    <x v="13"/>
    <s v="8499885116"/>
    <s v="X"/>
    <n v="5934.6199999999953"/>
    <n v="90000"/>
    <n v="95934.62"/>
    <s v=""/>
    <n v="95934.62"/>
    <n v="88261.41"/>
    <n v="24310"/>
    <n v="14880"/>
    <x v="0"/>
    <x v="0"/>
    <n v="0"/>
    <n v="14880"/>
    <x v="0"/>
    <s v="NA"/>
    <n v="0"/>
    <s v="HARI"/>
    <x v="8"/>
    <x v="3"/>
    <s v="3-142/2D KALWAKURTHY SUBHASH NAGAR  WANAPARTHY TNG 509324"/>
    <s v="COGNIZANT TECHNOLOGY SOLUTIONS INDIA PRI DLF GACCHABOLLI LAXMI NAGAR HYDERNBAD TE DLF GACCHABOLLI LAXMI NAGAR HYDERNBAD TE DLF GACCHABOLLI LAXMI NAGAR HYDERNBAD TE HYDERABAD TNG 500032"/>
    <s v="WANAPARTHY"/>
    <x v="0"/>
    <x v="19"/>
    <s v="SAMBA"/>
    <n v="801772794"/>
    <s v="Ssde@9876"/>
    <m/>
    <m/>
    <x v="1"/>
    <m/>
    <m/>
    <x v="1"/>
    <d v="2026-05-27T00:00:00"/>
    <n v="7500"/>
    <s v="ICICI Bank HPCL Coral VISA Credit Card"/>
    <s v="9TH JULY"/>
    <s v="0000000028407265"/>
    <d v="2026-07-08T00:00:00"/>
  </r>
  <r>
    <s v="4035623031195001"/>
    <s v="MR MOHAMMED NAZEERUDDIN"/>
    <n v="0"/>
    <x v="0"/>
    <m/>
    <m/>
    <m/>
    <s v="N"/>
    <x v="13"/>
    <s v="7675901687"/>
    <s v="X"/>
    <n v="4646.1900000000023"/>
    <n v="90000"/>
    <n v="94646.19"/>
    <n v="20586.91"/>
    <n v="74059.28"/>
    <n v="64983.01"/>
    <n v="31840"/>
    <n v="14840"/>
    <x v="0"/>
    <x v="0"/>
    <n v="0"/>
    <n v="14840"/>
    <x v="0"/>
    <s v="NA"/>
    <n v="0"/>
    <s v="HARI"/>
    <x v="6"/>
    <x v="3"/>
    <s v="3-34 &quot;VENKATAPUR,INAVOLE&quot; WARANGAL NEAR BUSSTAND WARANGAL TNG 506003"/>
    <s v="RENTAL INCOME AND AGRICULTURE 3-34 &quot;VENKATAPUR,INAVOLE,WARANGAL&quot; &quot;VENKATAPUR,INAVOLE,WARANGAL&quot; WARANGAL TNG 506006"/>
    <s v="WARANGAL"/>
    <x v="0"/>
    <x v="20"/>
    <s v="POORNIMA"/>
    <n v="802824019"/>
    <s v="Nihan@2421"/>
    <m/>
    <m/>
    <x v="0"/>
    <s v="LIVE"/>
    <s v="Visited Customer Given Adress Customer Not Available Staying in Hyderabad Confirm to Niebours Call Not Answering Sir"/>
    <x v="20"/>
    <d v="2025-02-11T00:00:00"/>
    <n v="44000"/>
    <s v="ICICI Rubyx PLT Credit Card (AMEX)"/>
    <s v="9TH JULY"/>
    <s v="0000000024557067"/>
    <d v="2026-07-08T00:00:00"/>
  </r>
  <r>
    <s v="4035622906609005"/>
    <s v="MR DHARLA HARISH"/>
    <n v="0"/>
    <x v="0"/>
    <m/>
    <m/>
    <m/>
    <s v="O"/>
    <x v="13"/>
    <s v="9177189397"/>
    <s v="X"/>
    <n v="-9620.8000000000029"/>
    <n v="100000"/>
    <n v="90379.199999999997"/>
    <s v=""/>
    <n v="90379.199999999997"/>
    <n v="80897.8"/>
    <n v="18440"/>
    <n v="9190"/>
    <x v="1"/>
    <x v="2"/>
    <n v="10000"/>
    <n v="-810"/>
    <x v="18"/>
    <s v="TC"/>
    <s v="30501-BBPS Payment received"/>
    <s v="HARI"/>
    <x v="9"/>
    <x v="3"/>
    <s v="10-20 CHIKKUDUGUNTA RAMANIJAVARAN MANUGURU NR BTS POWER PLANT KHAMMAM TNG 507117"/>
    <s v="GOVT OF TELAGANA STATEPOWERGENERATION 10-20 CHIKKUDUGUNTA RAMANIJAVARAN MANUGURU RAMANIJAVARAN MANUGURU KHAMMAM TNG 507117"/>
    <s v="KHAMMAM"/>
    <x v="0"/>
    <x v="27"/>
    <s v="POORNIMA"/>
    <n v="802824019"/>
    <s v="Nihan@2421"/>
    <m/>
    <m/>
    <x v="0"/>
    <m/>
    <m/>
    <x v="1"/>
    <d v="2024-12-09T00:00:00"/>
    <n v="40000"/>
    <s v="ICICI Bank Platinum Chip Credit Card"/>
    <s v="9TH JULY"/>
    <s v="0000000023304850"/>
    <d v="2026-07-08T00:00:00"/>
  </r>
  <r>
    <s v="4035623002914000"/>
    <s v="MS KARUR DURGA"/>
    <n v="0"/>
    <x v="0"/>
    <m/>
    <m/>
    <s v="CUS CALLS NOT ESPONDING"/>
    <s v="N"/>
    <x v="13"/>
    <s v="6305461703"/>
    <s v="X"/>
    <n v="-110870.69"/>
    <n v="200000"/>
    <n v="89129.31"/>
    <n v="54753.45"/>
    <n v="34375.86"/>
    <n v="23124.77"/>
    <n v="34375.86"/>
    <n v="19345.45"/>
    <x v="0"/>
    <x v="0"/>
    <n v="0"/>
    <n v="19345.45"/>
    <x v="0"/>
    <s v="NA"/>
    <n v="0"/>
    <s v="HARI"/>
    <x v="9"/>
    <x v="3"/>
    <s v="&quot;2-220,GARLADINNE GARLADINNE,.,GARLADINNE&quot; &quot;,.,&quot;  NEAR MAIN ROAD ANANTAPUR ANP 515731"/>
    <s v="GIRIKON SOLUTIONS PRIVATE LIMITED 206 2ND FLOOR BRIGADE IRV NALLURHALLI WHITEFIELD BANGALORE WHITEFIELD BANGALORE BANGALORE KAR 560066"/>
    <s v="ANANTAPUR"/>
    <x v="1"/>
    <x v="12"/>
    <s v="POORNIMA"/>
    <n v="802824019"/>
    <s v="Nihan@2421"/>
    <m/>
    <m/>
    <x v="1"/>
    <m/>
    <m/>
    <x v="1"/>
    <d v="2025-09-22T00:00:00"/>
    <n v="40875.71"/>
    <s v="ICICI Bank Platinum Chip Credit Card"/>
    <s v="9TH JULY"/>
    <s v="0000000024241110"/>
    <d v="2026-07-08T00:00:00"/>
  </r>
  <r>
    <s v="4315813742272006"/>
    <s v="MR A Maheswar REDDY"/>
    <n v="0"/>
    <x v="0"/>
    <m/>
    <m/>
    <m/>
    <s v="N"/>
    <x v="13"/>
    <s v="9959268405"/>
    <s v="X"/>
    <n v="8488.6000000000058"/>
    <n v="80000"/>
    <n v="88488.6"/>
    <s v=""/>
    <n v="88488.6"/>
    <n v="78354.11"/>
    <n v="23090"/>
    <n v="9240"/>
    <x v="1"/>
    <x v="1"/>
    <n v="23090"/>
    <n v="-13850"/>
    <x v="19"/>
    <s v="TC"/>
    <s v="30501-BBPS Payment received"/>
    <s v="HARI"/>
    <x v="6"/>
    <x v="3"/>
    <s v="6 9 10G PATAMATALANKA NEAR AIRTEL OFFICE 3RD FLOOR VIJAYAWADA ANP 520010"/>
    <s v="APUIAML 4 TH FLOOR NTR ADMINISTRATIVE BLOOK VIJAYAWADA NTR ADMINISTRATIVE BLOOK VIJAYAWADA VIJAYAWADA ANP 520013"/>
    <s v="VIJAYAWADA"/>
    <x v="3"/>
    <x v="5"/>
    <s v="SUDHAKAR"/>
    <n v="802913252"/>
    <s v="Ssd@9290"/>
    <m/>
    <m/>
    <x v="0"/>
    <m/>
    <m/>
    <x v="1"/>
    <d v="2024-06-13T00:00:00"/>
    <n v="15388"/>
    <s v="Amazon Pay ICICI Bank Credit Card"/>
    <s v="9TH JULY"/>
    <s v="0000000025310207"/>
    <d v="2026-07-08T00:00:00"/>
  </r>
  <r>
    <s v="5241933982020000"/>
    <s v="MR THOKALA SAI MAHESHBABU"/>
    <n v="0"/>
    <x v="0"/>
    <m/>
    <m/>
    <m/>
    <s v="N"/>
    <x v="13"/>
    <s v="9949977970"/>
    <s v="X"/>
    <n v="-124111.45"/>
    <n v="210000"/>
    <n v="85888.55"/>
    <s v=""/>
    <n v="85888.55"/>
    <n v="78000"/>
    <n v="15500"/>
    <n v="3900"/>
    <x v="0"/>
    <x v="0"/>
    <n v="0"/>
    <n v="3900"/>
    <x v="0"/>
    <s v="NA"/>
    <n v="0"/>
    <s v="HARI"/>
    <x v="8"/>
    <x v="3"/>
    <s v="&quot;11-4-180 RAJAS GARDEN,4TH LINE,&quot; &quot;NEAR T T D KALYANA,MANDAPAM&quot;  NEARVTTD KALAYANAMANDAPAM GUNTUR ANP 522001"/>
    <s v="CENTRAPRISE PRIVATE LIMITED HYDERABAD NIJAMPET NIJAMPET HYDERABAD TNG 500090"/>
    <s v="GUNTUR"/>
    <x v="5"/>
    <x v="11"/>
    <s v="INAMUL"/>
    <n v="802823175"/>
    <s v="Sgr@9290"/>
    <m/>
    <m/>
    <x v="0"/>
    <s v="SKIP"/>
    <s v="Customer given House address visited but customer door number not found in this area Will revisit again customer mobile number ringing but not answering"/>
    <x v="17"/>
    <d v="2026-04-08T00:00:00"/>
    <n v="66013"/>
    <s v="ICICI Bank MasterCard  Platinum chip Credit Card"/>
    <s v="9TH JULY"/>
    <s v="0000000017651408"/>
    <d v="2026-07-08T00:00:00"/>
  </r>
  <r>
    <s v="4035623026534008"/>
    <s v="MR BODAGOLLA ANJANEYULU"/>
    <n v="0"/>
    <x v="0"/>
    <m/>
    <m/>
    <m/>
    <s v="N"/>
    <x v="13"/>
    <s v="7093988299"/>
    <s v="X"/>
    <n v="5318.4400000000023"/>
    <n v="80000"/>
    <n v="85318.44"/>
    <n v="70572.63"/>
    <n v="14745.81"/>
    <n v="7797.13"/>
    <n v="14670"/>
    <n v="8070"/>
    <x v="0"/>
    <x v="0"/>
    <n v="0"/>
    <n v="8070"/>
    <x v="0"/>
    <s v="NA"/>
    <n v="0"/>
    <s v="HARI"/>
    <x v="4"/>
    <x v="3"/>
    <s v="HNO 30/35 PEDDAMADIGA PALLI KANCHIPATI VANDA PALLIT SUNDUPALLE CUDDAPAH CUDDAPAH NR MAIN ROAD CUDDAPAH ANP 516130"/>
    <s v="DRDA DEPARTMENT DRDA OFFICE T SUNDUPALLI MANDAL CUDDAPAH   CUDDAPAH ANP 516130"/>
    <s v="CUDDAPAH"/>
    <x v="1"/>
    <x v="48"/>
    <s v="SIVARAU"/>
    <n v="801601134"/>
    <s v="Ssd@9290"/>
    <m/>
    <m/>
    <x v="1"/>
    <m/>
    <m/>
    <x v="1"/>
    <d v="2026-05-29T00:00:00"/>
    <n v="3470"/>
    <s v="ICICI Bank MasterCard Coral Credit Card"/>
    <s v="9TH JULY"/>
    <s v="0000000024509372"/>
    <d v="2026-07-08T00:00:00"/>
  </r>
  <r>
    <s v="4035622724370004"/>
    <s v="MR KANAPARTHI SRINIVAS"/>
    <n v="0"/>
    <x v="0"/>
    <m/>
    <m/>
    <m/>
    <s v="N"/>
    <x v="13"/>
    <s v="9299998633"/>
    <s v="X"/>
    <n v="2165.25"/>
    <n v="80000"/>
    <n v="82165.25"/>
    <s v=""/>
    <n v="82165.25"/>
    <n v="73052.899999999994"/>
    <n v="16830"/>
    <n v="6720"/>
    <x v="0"/>
    <x v="0"/>
    <n v="0"/>
    <n v="6720"/>
    <x v="0"/>
    <s v="NA"/>
    <n v="0"/>
    <s v="HARI"/>
    <x v="4"/>
    <x v="3"/>
    <s v="2-2-13 GANDHI NAGAR VEMULAWADA NEAR HANUMAN TEMPLE KARIMNAGAR TNG 505302"/>
    <s v="SURYA SRI IMITATION JEWELLERS 2-2-13 &quot;GANDHI NAGAR,VEMULAWADA&quot; &quot;GANDHI NAGAR,VEMULAWADA&quot; KARIMNAGAR TNG 505302"/>
    <s v="KARIMNAGAR"/>
    <x v="0"/>
    <x v="38"/>
    <s v="PRASHANTH"/>
    <n v="802551967"/>
    <s v="Ssde@9290"/>
    <m/>
    <m/>
    <x v="0"/>
    <s v="LIVE"/>
    <s v="customer house door locked and phone respond agree payment on 2 days"/>
    <x v="24"/>
    <d v="2025-07-06T00:00:00"/>
    <n v="3420"/>
    <s v="ICICI Bank Platinum Chip Credit Card"/>
    <s v="9TH JULY"/>
    <s v="0000000022099811"/>
    <d v="2026-07-08T00:00:00"/>
  </r>
  <r>
    <s v="4748467945341006"/>
    <s v="MS ADEPU MEENA KUMARI"/>
    <n v="0"/>
    <x v="0"/>
    <m/>
    <m/>
    <m/>
    <s v="O"/>
    <x v="13"/>
    <s v="7989059754"/>
    <s v="X"/>
    <n v="1963.0500000000029"/>
    <n v="80000"/>
    <n v="81963.05"/>
    <s v=""/>
    <n v="81963.05"/>
    <n v="76655.7"/>
    <n v="30010"/>
    <n v="16140"/>
    <x v="0"/>
    <x v="0"/>
    <n v="4500"/>
    <n v="11640"/>
    <x v="0"/>
    <s v="NA"/>
    <n v="0"/>
    <s v="HARI"/>
    <x v="7"/>
    <x v="3"/>
    <s v="H.NO3-5-153 KOTAGALLI NIZAAMABAD NIZAMABAD NEAR USHAMAYURI THEATRE NIZAMABAD TNG 503001"/>
    <s v="SAINIVI TECHNOLOGIE SERVICES H.NO9-4-41/2B/1 HASMATHPET OLD BOWENPALLY HASMATHPET OLD BOWENPALLY HYDERABAD TNG 500009"/>
    <s v="NIZAMABAD"/>
    <x v="0"/>
    <x v="9"/>
    <s v="D RAMU"/>
    <n v="802663344"/>
    <s v="Sgr@9290"/>
    <m/>
    <m/>
    <x v="0"/>
    <s v="LIVE"/>
    <s v=" customer paymet on monday"/>
    <x v="17"/>
    <d v="2025-05-08T00:00:00"/>
    <n v="23000"/>
    <s v="ICICI Bank Platinum Chip Credit Card"/>
    <s v="9TH JULY"/>
    <s v="0000000019881640"/>
    <d v="2026-07-08T00:00:00"/>
  </r>
  <r>
    <s v="5241936721151002"/>
    <s v="MR PRATHI YUGANDHAR"/>
    <n v="0"/>
    <x v="0"/>
    <m/>
    <m/>
    <m/>
    <s v="N"/>
    <x v="13"/>
    <s v="7997674177"/>
    <s v="X"/>
    <n v="-21311.75"/>
    <n v="100000"/>
    <n v="78688.25"/>
    <s v=""/>
    <n v="78688.25"/>
    <n v="73279.14"/>
    <n v="13860"/>
    <n v="8370"/>
    <x v="1"/>
    <x v="2"/>
    <n v="10000"/>
    <n v="-1630"/>
    <x v="22"/>
    <s v="TC"/>
    <s v="30501-BBPS Payment received"/>
    <s v="HARI"/>
    <x v="6"/>
    <x v="3"/>
    <s v="2-15 KRUTHIVENNU MANDALAM GANDHI NAGAR ENDAPALLI GUDIVADA ANP 521324"/>
    <s v="COGNIZANT TECHNOLOGY SOLUTIONS INDIA PRI COGNIZANT DLF HYDERABAD GACHIBOWLI GACHIBOWLI HYDERABAD TNG 500081"/>
    <s v="GUDIVADA"/>
    <x v="4"/>
    <x v="6"/>
    <s v="KOTI"/>
    <n v="801597759"/>
    <s v="Ssde@9290"/>
    <m/>
    <m/>
    <x v="0"/>
    <m/>
    <m/>
    <x v="1"/>
    <d v="2025-06-20T00:00:00"/>
    <n v="6500"/>
    <s v="ICICI Bank MasterCard  Platinum chip Credit Card"/>
    <s v="9TH JULY"/>
    <s v="0000000024801514"/>
    <d v="2026-07-08T00:00:00"/>
  </r>
  <r>
    <s v="4748467954761011"/>
    <s v="MR VENKATA DURGA PRASAD BATHINA"/>
    <n v="0"/>
    <x v="0"/>
    <m/>
    <m/>
    <m/>
    <s v="N"/>
    <x v="13"/>
    <s v="9966614409"/>
    <s v="X"/>
    <n v="7348.9799999999959"/>
    <n v="70000"/>
    <n v="77348.98"/>
    <s v=""/>
    <n v="77348.98"/>
    <n v="69537.45"/>
    <n v="29170"/>
    <n v="9030"/>
    <x v="0"/>
    <x v="0"/>
    <n v="0"/>
    <n v="9030"/>
    <x v="0"/>
    <s v="NA"/>
    <n v="0"/>
    <s v="HARI"/>
    <x v="5"/>
    <x v="3"/>
    <s v="&quot;CHAPARALA VARI STREET,30-19-9-1,VIJAYAWA&quot; &quot;DA, URBAN&quot; SEETHARAMPURSM OPP ICON SCHOOL VIJAYAWADA ANP 520004"/>
    <s v="INSPIREDGE IT SOLUTIONS MVP COLONY. SECTOR 8 VISAKHAPATNAM VISAKHAPATNAM VISHAKAPATNAM ANP 530017"/>
    <s v="VIJAYAWADA"/>
    <x v="3"/>
    <x v="46"/>
    <s v="SUDHAKAR"/>
    <n v="802913252"/>
    <s v="Ssd@9290"/>
    <m/>
    <m/>
    <x v="1"/>
    <m/>
    <m/>
    <x v="1"/>
    <d v="2026-04-04T00:00:00"/>
    <n v="17880"/>
    <s v="ICICI Bank Platinum Chip Credit Card"/>
    <s v="9TH JULY"/>
    <s v="0000000020066243"/>
    <d v="2026-07-08T00:00:00"/>
  </r>
  <r>
    <s v="4315814475727000"/>
    <s v="MR VDVara Prasad Gadi"/>
    <n v="0"/>
    <x v="0"/>
    <m/>
    <m/>
    <m/>
    <s v="N"/>
    <x v="13"/>
    <s v="9951590969"/>
    <s v="X"/>
    <n v="56684.47"/>
    <n v="20000"/>
    <n v="76684.47"/>
    <n v="65056.08"/>
    <n v="11628.39"/>
    <n v="7627.46"/>
    <n v="11628.39"/>
    <n v="5071.78"/>
    <x v="0"/>
    <x v="0"/>
    <n v="0"/>
    <n v="5071.78"/>
    <x v="0"/>
    <s v="NA"/>
    <n v="0"/>
    <s v="HARI"/>
    <x v="5"/>
    <x v="3"/>
    <s v="1.49  .. West Godavari BHIMAVARAM ANP 534320"/>
    <s v="ELETIPADU.PACS MAIN.ROAD. ELETIPADU. ELETIPADU. BHIMAVARAM ANP 534320"/>
    <s v="BHIMAVARAM"/>
    <x v="4"/>
    <x v="26"/>
    <s v="B NAGABABU"/>
    <n v="801448854"/>
    <s v="Sgr@9290"/>
    <m/>
    <m/>
    <x v="1"/>
    <m/>
    <m/>
    <x v="1"/>
    <d v="2026-04-21T00:00:00"/>
    <n v="13162"/>
    <s v="Amazon Pay ICICI Bank Credit Card"/>
    <s v="9TH JULY"/>
    <s v="0000000028049043"/>
    <d v="2026-07-08T00:00:00"/>
  </r>
  <r>
    <s v="4035627749566007"/>
    <s v="Mr GADIBAVI SAI KALYANI"/>
    <n v="0"/>
    <x v="0"/>
    <m/>
    <m/>
    <s v="PTP 15-07-2026"/>
    <s v="O"/>
    <x v="13"/>
    <s v="7780371136"/>
    <s v="X"/>
    <n v="5639.2400000000052"/>
    <n v="70000"/>
    <n v="75639.240000000005"/>
    <s v=""/>
    <n v="75639.240000000005"/>
    <n v="69971.039999999994"/>
    <n v="17590"/>
    <n v="12482"/>
    <x v="1"/>
    <x v="1"/>
    <n v="7173"/>
    <n v="5309"/>
    <x v="25"/>
    <s v="TC"/>
    <s v="30501-BBPS Payment received"/>
    <s v="HARI"/>
    <x v="7"/>
    <x v="3"/>
    <s v="&quot;1-11,SANAGALAGUDURU,SANAGALAGUDURU,PUTLURU,&quot; SANAGALAGUDURU ANANTAPUR   TADPATRI ANP 515411"/>
    <s v="not applicable tadipatri tadipatri tadipatri TADPATRI ANP 515411"/>
    <s v="ANANTAPUR"/>
    <x v="1"/>
    <x v="12"/>
    <s v="POORNIMA"/>
    <n v="802824019"/>
    <s v="Nihan@2421"/>
    <m/>
    <m/>
    <x v="0"/>
    <m/>
    <m/>
    <x v="1"/>
    <d v="2026-06-17T00:00:00"/>
    <n v="158"/>
    <s v="ICICI Bank HPCL Coral VISA Credit Card"/>
    <s v="9TH JULY"/>
    <s v="0000000030858200"/>
    <d v="2026-07-08T00:00:00"/>
  </r>
  <r>
    <s v="4375513125212002"/>
    <s v="MR ERUGU YELLAIAH"/>
    <n v="0"/>
    <x v="0"/>
    <m/>
    <m/>
    <m/>
    <s v="O"/>
    <x v="13"/>
    <s v="9912271520"/>
    <s v="X"/>
    <n v="-14988.199999999997"/>
    <n v="90000"/>
    <n v="75011.8"/>
    <s v=""/>
    <n v="75011.8"/>
    <n v="70180.22"/>
    <n v="10870"/>
    <n v="5450"/>
    <x v="1"/>
    <x v="1"/>
    <n v="11000"/>
    <n v="-5550"/>
    <x v="27"/>
    <s v="TC"/>
    <s v="30501-BBPS Payment received"/>
    <s v="HARI"/>
    <x v="4"/>
    <x v="3"/>
    <s v="HARIJANVADA MIRYALA   HARIJANVADA MIRYALA SURYAPET ANP 508221"/>
    <s v="GOVERNMENT OF TELANGANA SCHOOL EDUCATION PS BANDARAMARAM THUGATHURTHY   SURYAPET ANP 508221"/>
    <s v="SURYAPET"/>
    <x v="0"/>
    <x v="22"/>
    <s v="POORNIMA"/>
    <n v="802824019"/>
    <s v="Nihan@2421"/>
    <m/>
    <m/>
    <x v="1"/>
    <m/>
    <m/>
    <x v="1"/>
    <d v="2024-07-10T00:00:00"/>
    <n v="76451.53"/>
    <s v="ICICI Bank Platinum Chip Credit Card"/>
    <s v="9TH JULY"/>
    <s v="0000000015569168"/>
    <d v="2026-07-08T00:00:00"/>
  </r>
  <r>
    <s v="4375513125214008"/>
    <s v="MR THALLA ROLAND PAUL"/>
    <n v="0"/>
    <x v="0"/>
    <m/>
    <m/>
    <m/>
    <s v="N"/>
    <x v="13"/>
    <s v="9247884319"/>
    <s v="X"/>
    <n v="-447867.64"/>
    <n v="520000"/>
    <n v="72132.36"/>
    <s v=""/>
    <n v="72132.36"/>
    <n v="64225.51"/>
    <n v="39760"/>
    <n v="24020"/>
    <x v="0"/>
    <x v="0"/>
    <n v="0"/>
    <n v="24020"/>
    <x v="0"/>
    <s v="NA"/>
    <n v="0"/>
    <s v="HARI"/>
    <x v="4"/>
    <x v="3"/>
    <s v="HNO 1-13-104/D MISSION COMPOUND MEDA   CHURCH MEDAK ANP 502110"/>
    <s v="ZILLA PARISHATH HIGH SCHOOL RAJPALLY ZPHS HIGH SCHOOL   MEDAK ANP 502117"/>
    <s v="MEDAK"/>
    <x v="0"/>
    <x v="44"/>
    <s v="POORNIMA"/>
    <n v="802824019"/>
    <s v="Nihan@2421"/>
    <m/>
    <m/>
    <x v="1"/>
    <m/>
    <m/>
    <x v="1"/>
    <d v="2024-11-04T00:00:00"/>
    <n v="18590"/>
    <s v="Manchester United Platinum Credit Card by ICICI Bank"/>
    <s v="9TH JULY"/>
    <s v="0000000015569173"/>
    <d v="2026-07-08T00:00:00"/>
  </r>
  <r>
    <s v="4748468799227002"/>
    <s v="Mr ALUVALA  NAGARAJU"/>
    <n v="0"/>
    <x v="0"/>
    <m/>
    <m/>
    <m/>
    <s v="N"/>
    <x v="13"/>
    <s v="8522834254"/>
    <s v="X"/>
    <n v="-451.83999999999651"/>
    <n v="70000"/>
    <n v="69548.160000000003"/>
    <n v="40525.550000000003"/>
    <n v="29022.61"/>
    <n v="25399.88"/>
    <n v="11120"/>
    <n v="3730"/>
    <x v="0"/>
    <x v="0"/>
    <n v="0"/>
    <n v="3730"/>
    <x v="0"/>
    <s v="NA"/>
    <n v="0"/>
    <s v="HARI"/>
    <x v="8"/>
    <x v="3"/>
    <s v="&quot;3-7-828 BANK COLONY 1ST,LANE,KARIMNAGAR&quot;    ADILABAD TNG 505001"/>
    <s v="NAGARAJU 3-7-828 BANK COLONY KARIMNAGAR KARIMNAGAR ADILABAD TNG 505001"/>
    <s v="KARIMNAGAR"/>
    <x v="0"/>
    <x v="8"/>
    <s v="SUMANTH"/>
    <n v="802370852"/>
    <s v="Sgr@9290"/>
    <m/>
    <m/>
    <x v="0"/>
    <s v="LIVE"/>
    <s v="Customer live in address and customer given ptp tomorrow morning"/>
    <x v="22"/>
    <d v="2026-01-31T00:00:00"/>
    <n v="5770"/>
    <s v="ICICI Bank HPCL Coral VISA Credit Card"/>
    <s v="9TH JULY"/>
    <s v="0000000025461063"/>
    <d v="2026-07-08T00:00:00"/>
  </r>
  <r>
    <s v="5241933885434001"/>
    <s v="MR FAROOQI ASHWAQ"/>
    <n v="0"/>
    <x v="0"/>
    <m/>
    <m/>
    <s v="PTP 12-07-2026"/>
    <s v="N"/>
    <x v="13"/>
    <s v="7386140404"/>
    <s v="X"/>
    <n v="7835.2700000000041"/>
    <n v="60000"/>
    <n v="67835.27"/>
    <s v=""/>
    <n v="67835.27"/>
    <n v="59871.76"/>
    <n v="18430"/>
    <n v="7080"/>
    <x v="0"/>
    <x v="0"/>
    <n v="0"/>
    <n v="7080"/>
    <x v="0"/>
    <s v="NA"/>
    <n v="0"/>
    <s v="HARI"/>
    <x v="8"/>
    <x v="3"/>
    <s v="16-186 MOMEEN STREET   NEAR URDU SCHOOL HINDUPUR ANP 515541"/>
    <s v="TVS EDUCATIONAL SOCIETY BLOCK NO 3 KIA INDUSTRIAL PARK AMMA VARI PALLI YERRAMANCHI VILLAGE AMMA VARI PALLI YERRAMANCHI VILLAGE HINDUPUR ANP 515110"/>
    <s v="HINDUPUR"/>
    <x v="1"/>
    <x v="12"/>
    <s v="POORNIMA"/>
    <n v="802824019"/>
    <s v="Nihan@2421"/>
    <m/>
    <m/>
    <x v="1"/>
    <m/>
    <m/>
    <x v="1"/>
    <d v="2024-09-08T00:00:00"/>
    <n v="0.6"/>
    <s v="Chennai Super Kings ICICI Bank Credit Card"/>
    <s v="9TH JULY"/>
    <s v="0000000014807530"/>
    <d v="2026-07-08T00:00:00"/>
  </r>
  <r>
    <s v="4035623421677006"/>
    <s v="MS M REBAKA"/>
    <n v="0"/>
    <x v="0"/>
    <m/>
    <m/>
    <m/>
    <s v="N"/>
    <x v="13"/>
    <s v="8106876174"/>
    <s v="X"/>
    <n v="6620.7100000000064"/>
    <n v="60000"/>
    <n v="66620.710000000006"/>
    <s v=""/>
    <n v="66620.710000000006"/>
    <n v="59956.639999999999"/>
    <n v="16910"/>
    <n v="5630"/>
    <x v="1"/>
    <x v="2"/>
    <n v="6000"/>
    <n v="-370"/>
    <x v="26"/>
    <s v="TC"/>
    <n v="0"/>
    <s v="HARI"/>
    <x v="6"/>
    <x v="3"/>
    <s v="4-29CHINNA &quot;CHOWK,SRI KRISHNADEVARAYA COLONY&quot;  Y.S.R. CUP ANP 516002"/>
    <s v="RIMS GOVT GENERAL HOSPITAL PUTLAMPALLI KADAPA CUDDAPAH   CUP ANP 516002"/>
    <s v="CUDDAPAH"/>
    <x v="1"/>
    <x v="48"/>
    <s v="SIVARAU"/>
    <n v="801601134"/>
    <s v="Ssd@9290"/>
    <m/>
    <m/>
    <x v="0"/>
    <s v="SKIP"/>
    <s v="Cus given address not found and cus also not responding to calls and messages sir"/>
    <x v="23"/>
    <d v="2025-11-15T00:00:00"/>
    <n v="9000"/>
    <s v="ICICI Bank Platinum Chip Credit Card"/>
    <s v="9TH JULY"/>
    <s v="0000000033007534"/>
    <d v="2026-07-08T00:00:00"/>
  </r>
  <r>
    <s v="4748468995075015"/>
    <s v="MS NAVALURU SRAVYA"/>
    <n v="0"/>
    <x v="0"/>
    <m/>
    <m/>
    <m/>
    <s v="N"/>
    <x v="13"/>
    <s v="9390773374"/>
    <s v="X"/>
    <n v="3827.6100000000006"/>
    <n v="60000"/>
    <n v="63827.61"/>
    <s v=""/>
    <n v="63827.61"/>
    <n v="55197.38"/>
    <n v="15280"/>
    <n v="4560"/>
    <x v="1"/>
    <x v="2"/>
    <n v="5000"/>
    <n v="-440"/>
    <x v="26"/>
    <s v="TC"/>
    <s v="30501-BBPS Payment received"/>
    <s v="HARI"/>
    <x v="9"/>
    <x v="3"/>
    <s v="&quot;D/O,RAMESH KUMAR 3-791,VARADARAJASWAMY,&quot; &quot;TEMPLE,VARADARAJASWAMY TEMPLE AP&quot;   CHITTOOR ANP 517644"/>
    <s v="INCRED FINANCIAL SERVICES LTD No No No SRIKALAHASTHI ANP 517644"/>
    <s v="TIRUPATHI"/>
    <x v="1"/>
    <x v="25"/>
    <s v="S SEKHAR"/>
    <n v="845041675"/>
    <s v="Ssd@9290"/>
    <m/>
    <m/>
    <x v="1"/>
    <m/>
    <m/>
    <x v="1"/>
    <d v="2025-06-13T00:00:00"/>
    <n v="1034"/>
    <s v="ICICI Bank HPCL Coral VISA Credit Card"/>
    <s v="9TH JULY"/>
    <s v="0000000027209013"/>
    <d v="2026-07-08T00:00:00"/>
  </r>
  <r>
    <s v="4748468653057008"/>
    <s v="MS RAMIJABI S"/>
    <n v="0"/>
    <x v="0"/>
    <m/>
    <m/>
    <m/>
    <s v="N"/>
    <x v="13"/>
    <s v="9705874581"/>
    <s v="X"/>
    <n v="-6484.32"/>
    <n v="70000"/>
    <n v="63515.68"/>
    <s v=""/>
    <n v="63515.68"/>
    <n v="55320.79"/>
    <n v="11660"/>
    <n v="4800"/>
    <x v="0"/>
    <x v="0"/>
    <n v="0"/>
    <n v="4800"/>
    <x v="0"/>
    <s v="NA"/>
    <n v="0"/>
    <s v="HARI"/>
    <x v="9"/>
    <x v="3"/>
    <s v="&quot;H.NO.1-170,EDC COLONIY,PULICHERI,REDDIV&quot; &quot;ARIPALLE,CHITTOOR&quot;  MAIN ROAD TIRUPATHI ANP 517172"/>
    <s v="GOVERNMENT EDUCATION DEPARTMENT &quot;ZPH SCHOOL,PULICH ERILA,CHITTOOR,&quot; CHITTOOR CHITTOOR TIRUPATHI ANP 517172"/>
    <s v="TIRUPATHI"/>
    <x v="1"/>
    <x v="25"/>
    <s v="S SEKHAR"/>
    <n v="845041675"/>
    <s v="Ssd@9290"/>
    <m/>
    <m/>
    <x v="1"/>
    <m/>
    <m/>
    <x v="1"/>
    <d v="2025-10-10T00:00:00"/>
    <n v="11036"/>
    <s v="ICICI Bank HPCL Coral VISA Credit Card"/>
    <s v="9TH JULY"/>
    <s v="0000000023759826"/>
    <d v="2026-07-08T00:00:00"/>
  </r>
  <r>
    <s v="4035622737164006"/>
    <s v="MR TATIKONDA NARESH"/>
    <n v="0"/>
    <x v="0"/>
    <m/>
    <m/>
    <m/>
    <s v="N"/>
    <x v="13"/>
    <s v="6300953704"/>
    <s v="X"/>
    <n v="-159447.32"/>
    <n v="220000"/>
    <n v="60552.68"/>
    <s v=""/>
    <n v="60552.68"/>
    <n v="55129.58"/>
    <n v="14240"/>
    <n v="8570.77"/>
    <x v="0"/>
    <x v="0"/>
    <n v="2115"/>
    <n v="6455.77"/>
    <x v="0"/>
    <s v="NA"/>
    <s v="12111-ICICI BANK COLLECTION PAYMENT"/>
    <s v="HARI"/>
    <x v="6"/>
    <x v="3"/>
    <s v="&quot;5-73/12/2,&quot; KORUTLA MADHAPUR NEAR GRAMAPANCHATATH PEDDAPALLI TNG 505172"/>
    <s v="GK ESTATES TEACHERS COLONY PEDDAPALLI PEDDAPALLI PEDDAPALLI TNG 505172"/>
    <s v="PEDDAPALLI"/>
    <x v="0"/>
    <x v="39"/>
    <s v="POORNIMA"/>
    <n v="802824019"/>
    <s v="Nihan@2421"/>
    <m/>
    <m/>
    <x v="1"/>
    <m/>
    <m/>
    <x v="1"/>
    <d v="2026-06-01T00:00:00"/>
    <n v="8000"/>
    <s v="ICICI Bank Platinum Chip Credit Card"/>
    <s v="9TH JULY"/>
    <s v="0000000022186305"/>
    <d v="2026-07-08T00:00:00"/>
  </r>
  <r>
    <s v="4035622606138008"/>
    <s v="MR KHAJA NAZEEMUDDIN"/>
    <n v="0"/>
    <x v="0"/>
    <m/>
    <m/>
    <m/>
    <s v="N"/>
    <x v="13"/>
    <s v="9441460185"/>
    <s v="X"/>
    <n v="-23756"/>
    <n v="83000"/>
    <n v="59244"/>
    <s v=""/>
    <n v="59244"/>
    <n v="52715.4"/>
    <n v="9750"/>
    <n v="3130"/>
    <x v="1"/>
    <x v="1"/>
    <n v="9750"/>
    <n v="-6620"/>
    <x v="18"/>
    <s v="FE"/>
    <s v="12124 - UPI Payment Received"/>
    <s v="HARI"/>
    <x v="4"/>
    <x v="3"/>
    <s v="H-NO-9-132 FAKEER GUTTA UTNOOR NEAR MAJID ADILABAD TNG 504311"/>
    <s v="GOVARMENT OF TELANGANA DISTRIC EDUCATION OFFICE ADILABAD ADILABAD ADILABAD TNG 504001"/>
    <s v="ADILABAD"/>
    <x v="0"/>
    <x v="3"/>
    <s v="KANTH"/>
    <n v="802794852"/>
    <s v="Ssd@9290"/>
    <m/>
    <m/>
    <x v="0"/>
    <m/>
    <m/>
    <x v="1"/>
    <d v="2026-05-02T00:00:00"/>
    <n v="19220"/>
    <s v="ICICI Bank MasterCard Coral Credit Card"/>
    <s v="9TH JULY"/>
    <s v="0000000021289100"/>
    <d v="2026-07-08T00:00:00"/>
  </r>
  <r>
    <s v="4748468956523003"/>
    <s v="Mr KADAM RAM MOHAN RAO"/>
    <n v="0"/>
    <x v="0"/>
    <m/>
    <m/>
    <m/>
    <s v="N"/>
    <x v="13"/>
    <s v="7396450978"/>
    <s v="X"/>
    <n v="8033.7699999999968"/>
    <n v="50000"/>
    <n v="58033.77"/>
    <s v=""/>
    <n v="58033.77"/>
    <n v="47358.31"/>
    <n v="22790"/>
    <n v="10840"/>
    <x v="0"/>
    <x v="0"/>
    <n v="0"/>
    <n v="10840"/>
    <x v="0"/>
    <s v="NA"/>
    <n v="0"/>
    <s v="HARI"/>
    <x v="8"/>
    <x v="3"/>
    <s v="&quot;5-15,DILAWAR PUR DILAWAR PUR,.&quot;    ADILABAD TNG 504306"/>
    <s v="Not Applicable Icici bank ltd Nirmal Nirmal ADILABAD TNG 504106"/>
    <s v="ADILABAD"/>
    <x v="0"/>
    <x v="3"/>
    <s v="KANTH"/>
    <n v="802794852"/>
    <s v="Ssd@9290"/>
    <m/>
    <m/>
    <x v="0"/>
    <s v="DL"/>
    <s v="Customer visit home address door lock ask the nighbour no one not respond phone call not working"/>
    <x v="17"/>
    <d v="2026-01-20T00:00:00"/>
    <n v="6.22"/>
    <s v="ICICI Bank HPCL Coral VISA Credit Card"/>
    <s v="9TH JULY"/>
    <s v="0000000026860850"/>
    <d v="2026-07-08T00:00:00"/>
  </r>
  <r>
    <s v="4748468390160008"/>
    <s v="MS PUTTA SRAVANI"/>
    <n v="0"/>
    <x v="0"/>
    <m/>
    <m/>
    <m/>
    <s v="N"/>
    <x v="13"/>
    <s v="9392902135"/>
    <s v="X"/>
    <n v="-2444.3099999999977"/>
    <n v="60000"/>
    <n v="57555.69"/>
    <s v=""/>
    <n v="57555.69"/>
    <n v="53246.05"/>
    <n v="12670"/>
    <n v="8350"/>
    <x v="1"/>
    <x v="1"/>
    <n v="57555.69"/>
    <n v="-49205.69"/>
    <x v="24"/>
    <s v="TC"/>
    <s v="12111-ICICI BANK COLLECTION PAYMENT"/>
    <s v="HARI"/>
    <x v="7"/>
    <x v="3"/>
    <s v="&quot;PUTTA,BALIREDDY 2 SAMBATURU,SAMBATURU&quot; &quot;SAMBATURU,CUDDAPAH ANDHRA,PRADESH&quot; CUDDAPAH ATM PRODDATUR ANP 516289"/>
    <s v="HCL TECHNOLOGIES LIMITED &quot;ETA TECHNO PARK 33,RAJIVGANDHI SALAI&quot; &quot;NAVALLUR,CHENGALPATTU,CHENNAI&quot; &quot;NAVALLUR,CHENGALPATTU,CHENNAI&quot; CHENNAI TMN 603103"/>
    <s v="PRODDATUR"/>
    <x v="1"/>
    <x v="15"/>
    <s v="VSSK PRASAD"/>
    <n v="802349062"/>
    <s v="Ssd@9290"/>
    <m/>
    <m/>
    <x v="0"/>
    <m/>
    <m/>
    <x v="1"/>
    <d v="2026-05-02T00:00:00"/>
    <n v="17156.849999999999"/>
    <s v="ICICI Bank HPCL Super Saver Visa Credit Card"/>
    <s v="9TH JULY"/>
    <s v="0000000021630094"/>
    <d v="2026-07-08T00:00:00"/>
  </r>
  <r>
    <s v="4748468323103000"/>
    <s v="MR PITLA PRAVEEN"/>
    <n v="0"/>
    <x v="0"/>
    <m/>
    <m/>
    <m/>
    <s v="N"/>
    <x v="13"/>
    <s v="9666961254"/>
    <s v="X"/>
    <n v="7015.4599999999991"/>
    <n v="50000"/>
    <n v="57015.46"/>
    <s v=""/>
    <n v="57015.46"/>
    <n v="49985"/>
    <n v="18430"/>
    <n v="8570"/>
    <x v="1"/>
    <x v="1"/>
    <n v="0"/>
    <n v="8570"/>
    <x v="0"/>
    <s v="NA"/>
    <s v="30501-BBPS Payment received"/>
    <s v="HARI"/>
    <x v="4"/>
    <x v="3"/>
    <s v="H NO 2-88 RENJAL  RENJAL NIZAMABAD TNG 503235"/>
    <s v="EXIDE LIFE INSURANCE COMPANY LTD &quot;5-6-570/3C,1ST FLOOR,BEHIND AXIS BANK&quot; &quot;NIZAMBAD,TELANGANA&quot; &quot;NIZAMBAD,TELANGANA&quot; NIZAMABAD TNG 503001"/>
    <s v="NIZAMABAD"/>
    <x v="0"/>
    <x v="9"/>
    <s v="D RAMU"/>
    <n v="802663344"/>
    <s v="Sgr@9290"/>
    <m/>
    <m/>
    <x v="0"/>
    <s v="LIVE"/>
    <s v="Feedback customer tacking with bank"/>
    <x v="17"/>
    <d v="2025-08-11T00:00:00"/>
    <n v="2500"/>
    <s v="ICICI Bank HPCL Coral VISA Credit Card"/>
    <s v="9TH JULY"/>
    <s v="0000000020775253"/>
    <d v="2026-07-08T00:00:00"/>
  </r>
  <r>
    <s v="4035622858487004"/>
    <s v="MS RASINENI HEMAVATHI"/>
    <n v="0"/>
    <x v="0"/>
    <m/>
    <m/>
    <s v="CUS CALLS NOT ESPONDING"/>
    <s v="N"/>
    <x v="13"/>
    <s v="8897601168"/>
    <s v="X"/>
    <n v="6980.0299999999988"/>
    <n v="50000"/>
    <n v="56980.03"/>
    <s v=""/>
    <n v="56980.03"/>
    <n v="47488.29"/>
    <n v="21220"/>
    <n v="7150"/>
    <x v="0"/>
    <x v="0"/>
    <n v="0"/>
    <n v="7150"/>
    <x v="0"/>
    <s v="NA"/>
    <n v="0"/>
    <s v="HARI"/>
    <x v="5"/>
    <x v="3"/>
    <s v="&quot;MITTAPALLI MITTAPALLI,.,MITTAPALLI&quot; ...  . HINDUPUR ANP 515591"/>
    <s v="INFOSYS LIMITED 44 INFOSYS AVENUE ELERCTIONC CITY HOSUR HOSUR BANGALORE KAR 560100"/>
    <s v="HINDUPUR"/>
    <x v="1"/>
    <x v="12"/>
    <s v="POORNIMA"/>
    <n v="802824019"/>
    <s v="Nihan@2421"/>
    <m/>
    <m/>
    <x v="1"/>
    <m/>
    <m/>
    <x v="1"/>
    <d v="2025-07-05T00:00:00"/>
    <n v="5005"/>
    <s v="ICICI Bank Platinum Chip Credit Card"/>
    <s v="9TH JULY"/>
    <s v="0000000022975287"/>
    <d v="2026-07-08T00:00:00"/>
  </r>
  <r>
    <s v="4748468707147029"/>
    <s v="MR VARUN U"/>
    <n v="0"/>
    <x v="0"/>
    <m/>
    <m/>
    <s v="CUS CALLS NOT ESPONDING"/>
    <s v="N"/>
    <x v="13"/>
    <s v="9591436460"/>
    <s v="X"/>
    <n v="6743.6999999999971"/>
    <n v="50000"/>
    <n v="56743.7"/>
    <s v=""/>
    <n v="56743.7"/>
    <n v="46951.57"/>
    <n v="19080"/>
    <n v="6720"/>
    <x v="1"/>
    <x v="2"/>
    <n v="6720"/>
    <n v="0"/>
    <x v="26"/>
    <s v="FE"/>
    <n v="0"/>
    <s v="HARI"/>
    <x v="6"/>
    <x v="3"/>
    <s v="&quot;4-78,OC COLONY SREEDHARGATTA,BOMMANAHAL,&quot; &quot;ANANTHAPUR,SREEDHARAGHATTU&quot;   ANANTAPUR ANP 515871"/>
    <s v="Varun 77 ground floor GVR Plaza opposite to central mall Bangalore 560103 77 ground floor GVR Plaza opposite to central mall Bangalore 560103 77 ground floor GVR Plaza opposite to central mall Bangalore 560103 BANGALORE KAR 560103"/>
    <s v="ANANTAPUR"/>
    <x v="1"/>
    <x v="12"/>
    <s v="POORNIMA"/>
    <n v="802824019"/>
    <s v="Nihan@2421"/>
    <m/>
    <m/>
    <x v="1"/>
    <m/>
    <m/>
    <x v="1"/>
    <d v="2026-05-13T00:00:00"/>
    <n v="2820"/>
    <s v="ICICI Bank HPCL Coral VISA Credit Card"/>
    <s v="9TH JULY"/>
    <s v="0000000024513475"/>
    <d v="2026-07-08T00:00:00"/>
  </r>
  <r>
    <s v="4035627565939007"/>
    <s v="MR GOVADA SAI"/>
    <n v="0"/>
    <x v="0"/>
    <m/>
    <m/>
    <m/>
    <s v="N"/>
    <x v="13"/>
    <s v="8919483255"/>
    <s v="X"/>
    <n v="6288.6500000000015"/>
    <n v="50000"/>
    <n v="56288.65"/>
    <s v=""/>
    <n v="56288.65"/>
    <n v="50000"/>
    <n v="19170"/>
    <n v="11880"/>
    <x v="0"/>
    <x v="0"/>
    <n v="0"/>
    <n v="11880"/>
    <x v="0"/>
    <s v="NA"/>
    <s v="30501-BBPS Payment received"/>
    <s v="HARI"/>
    <x v="4"/>
    <x v="3"/>
    <s v="&quot;2-56,CHINAHARIZANAWADA MOVVA,MANDAL,KOSU&quot; &quot;RU,,KOSURU&quot;  MAIN ROAD GUDIVADA ANP 521150"/>
    <s v="HCL TECHNOLOGIES LIMITED &quot;PLOT  17, SOFTWARE UNITS LAYOUT,INORBIT&quot; &quot;MALL RD, VITTAL RAO NAGAR, HITEC CITY,&quot; &quot;MALL RD, VITTAL RAO NAGAR, HITEC CITY,&quot; HYDERABAD TNG 500081"/>
    <s v="GUDIVADA"/>
    <x v="4"/>
    <x v="6"/>
    <s v="KOTI"/>
    <n v="801597759"/>
    <s v="Ssde@9290"/>
    <m/>
    <m/>
    <x v="1"/>
    <m/>
    <m/>
    <x v="1"/>
    <d v="2026-04-04T00:00:00"/>
    <n v="40000"/>
    <s v="ICICI Bank HPCL Coral VISA Credit Card"/>
    <s v="9TH JULY"/>
    <s v="0000000029259855"/>
    <d v="2026-07-08T00:00:00"/>
  </r>
  <r>
    <s v="4035623426869004"/>
    <s v="MR SHANKULA KIRAN"/>
    <n v="0"/>
    <x v="0"/>
    <m/>
    <m/>
    <m/>
    <s v="N"/>
    <x v="13"/>
    <s v="9701694352"/>
    <s v="X"/>
    <n v="5945.9000000000015"/>
    <n v="50000"/>
    <n v="55945.9"/>
    <s v=""/>
    <n v="55945.9"/>
    <n v="48328.480000000003"/>
    <n v="16190"/>
    <n v="6490"/>
    <x v="1"/>
    <x v="1"/>
    <n v="17000"/>
    <n v="-10510"/>
    <x v="25"/>
    <s v="FE"/>
    <s v="30501-BBPS Payment received"/>
    <s v="HARI"/>
    <x v="7"/>
    <x v="3"/>
    <s v="7-54AVANIGADDA 7TH WARD  AVANIGADDAKrishna VJW ANP 521121"/>
    <s v="unit 3 Plot No 2 6th Floor KPMG salarcuria Knowledge City   HYD TNG 500082"/>
    <s v="MACHILIPATNAM"/>
    <x v="4"/>
    <x v="6"/>
    <s v="KOTI"/>
    <n v="801597759"/>
    <s v="Ssde@9290"/>
    <m/>
    <m/>
    <x v="0"/>
    <s v="LIVE"/>
    <s v="Customer commitment tomorrow evening."/>
    <x v="20"/>
    <s v=""/>
    <n v="0"/>
    <s v="ICICI Bank Coral RuPay Credit Card"/>
    <s v="9TH JULY"/>
    <s v="0000000033251165"/>
    <d v="2026-07-08T00:00:00"/>
  </r>
  <r>
    <s v="4748468799584014"/>
    <s v="MR NARENDER M"/>
    <n v="0"/>
    <x v="0"/>
    <m/>
    <m/>
    <m/>
    <s v="N"/>
    <x v="13"/>
    <s v="7995862900"/>
    <s v="X"/>
    <n v="-4733.0299999999988"/>
    <n v="60000"/>
    <n v="55266.97"/>
    <s v=""/>
    <n v="55266.97"/>
    <n v="46332.19"/>
    <n v="13990"/>
    <n v="6840"/>
    <x v="0"/>
    <x v="0"/>
    <n v="4820"/>
    <n v="2020"/>
    <x v="0"/>
    <s v="NA"/>
    <s v="12111-ICICI BANK COLLECTION PAYMENT"/>
    <s v="HARI"/>
    <x v="9"/>
    <x v="3"/>
    <s v="&quot;1-3-62/A GODUGUGERI,NARAYANPET,NARAYANPET,&quot; MAHABOOBNAGAR NARAYANPET   MAHABUB NAGAR TNG 509210"/>
    <s v="Narender M 1-3-62/A Godugugari Narayanpet Godugugari Narayanpet NAGARKURNOOL TNG 509210"/>
    <s v="WANAPARTHY"/>
    <x v="0"/>
    <x v="19"/>
    <s v="SAMBA"/>
    <n v="801772794"/>
    <s v="Ssde@9876"/>
    <m/>
    <m/>
    <x v="1"/>
    <m/>
    <m/>
    <x v="1"/>
    <d v="2026-05-22T00:00:00"/>
    <n v="2740"/>
    <s v="ICICI Bank HPCL Coral VISA Credit Card"/>
    <s v="9TH JULY"/>
    <s v="0000000025462520"/>
    <d v="2026-07-08T00:00:00"/>
  </r>
  <r>
    <s v="4748468865769002"/>
    <s v="Mr PERABATTULA CHINA PULLAYA"/>
    <n v="0"/>
    <x v="0"/>
    <m/>
    <m/>
    <m/>
    <s v="O"/>
    <x v="13"/>
    <s v="9989343393"/>
    <s v="X"/>
    <n v="4843.43"/>
    <n v="50000"/>
    <n v="54843.43"/>
    <s v=""/>
    <n v="54843.43"/>
    <n v="49999"/>
    <n v="15710"/>
    <n v="9720"/>
    <x v="1"/>
    <x v="1"/>
    <n v="18000"/>
    <n v="-8280"/>
    <x v="17"/>
    <s v="FE"/>
    <s v="30501-BBPS Payment received"/>
    <s v="HARI"/>
    <x v="4"/>
    <x v="3"/>
    <s v="&quot;2-76/3 VAKALAGARUVU,VAKALAGARUVU,&quot; VAAKALA GARUVU   AMALAPURAM ANP 533218"/>
    <s v="Redchillies entertainment pvt NA1 NA2 NA2 AMALAPURAM ANP 533218"/>
    <s v="AMALAPURAM"/>
    <x v="4"/>
    <x v="28"/>
    <s v="B NAGABABU"/>
    <n v="801448854"/>
    <s v="Sgr@9290"/>
    <m/>
    <m/>
    <x v="0"/>
    <m/>
    <m/>
    <x v="1"/>
    <d v="2024-08-17T00:00:00"/>
    <n v="3000"/>
    <s v="ICICI Bank HPCL Coral VISA Credit Card"/>
    <s v="9TH JULY"/>
    <s v="0000000026019078"/>
    <d v="2026-07-08T00:00:00"/>
  </r>
  <r>
    <s v="4035622551380001"/>
    <s v="MR VADLURI PRADEEP KUMAR"/>
    <n v="0"/>
    <x v="0"/>
    <m/>
    <m/>
    <m/>
    <s v="O"/>
    <x v="13"/>
    <s v="9948603320"/>
    <s v="X"/>
    <n v="4803.6299999999974"/>
    <n v="50000"/>
    <n v="54803.63"/>
    <s v=""/>
    <n v="54803.63"/>
    <n v="49783.8"/>
    <n v="15720"/>
    <n v="9720"/>
    <x v="1"/>
    <x v="2"/>
    <n v="10000"/>
    <n v="-280"/>
    <x v="27"/>
    <s v="TC"/>
    <s v="12103-CASH PYMT RCVD"/>
    <s v="HARI"/>
    <x v="7"/>
    <x v="3"/>
    <s v="2-231/1 POOSALA ROAD  KARIMNAGAR KARIMNAGAR TNG 505185"/>
    <s v="GOVERNMENT OF TELANGANA 5-262 IQBALAHMED NAGAR MANCHERIAL IQBALAHMED NAGAR MANCHERIAL ADILABAD TNG 504208"/>
    <s v="PEDDAPALLI"/>
    <x v="0"/>
    <x v="39"/>
    <s v="POORNIMA"/>
    <n v="802824019"/>
    <s v="Nihan@2421"/>
    <m/>
    <m/>
    <x v="0"/>
    <m/>
    <m/>
    <x v="1"/>
    <d v="2025-11-12T00:00:00"/>
    <n v="6000"/>
    <s v="ICICI Bank Platinum Chip Credit Card"/>
    <s v="9TH JULY"/>
    <s v="0000000020785352"/>
    <d v="2026-07-08T00:00:00"/>
  </r>
  <r>
    <s v="4035623441220001"/>
    <s v="MR G KUMAR"/>
    <n v="0"/>
    <x v="0"/>
    <m/>
    <m/>
    <s v="CUS CALLS NOT ESPONDING"/>
    <s v="N"/>
    <x v="13"/>
    <s v="8125695041"/>
    <s v="X"/>
    <n v="4524.2300000000032"/>
    <n v="50000"/>
    <n v="54524.23"/>
    <s v=""/>
    <n v="54524.23"/>
    <n v="49744"/>
    <n v="13920"/>
    <n v="2470"/>
    <x v="1"/>
    <x v="2"/>
    <n v="2500"/>
    <n v="-30"/>
    <x v="26"/>
    <s v="TC"/>
    <n v="0"/>
    <s v="HARI"/>
    <x v="8"/>
    <x v="3"/>
    <s v="6-1-422 &quot;LAKSHMI NAGAR,LAKSHMI,NAGAR,&quot;  Anantapur ANA ANP 515001"/>
    <s v="ALUMURU RUDRAMPET ANANTAPUR SANAPA ROAD   ANA ANP 515001"/>
    <s v="ANAPARTHI"/>
    <x v="1"/>
    <x v="12"/>
    <s v="POORNIMA"/>
    <n v="802824019"/>
    <s v="Nihan@2421"/>
    <m/>
    <m/>
    <x v="0"/>
    <s v="LIVE"/>
    <s v="Customer PTP on today evening"/>
    <x v="17"/>
    <s v=""/>
    <n v="0"/>
    <s v="ICICI Bank Platinum Chip Credit Card"/>
    <s v="9TH JULY"/>
    <s v="0000000034290347"/>
    <d v="2026-07-08T00:00:00"/>
  </r>
  <r>
    <s v="4748468655229019"/>
    <s v="MR GUNDU SAIMAHESH"/>
    <n v="0"/>
    <x v="0"/>
    <m/>
    <m/>
    <m/>
    <s v="N"/>
    <x v="13"/>
    <s v="7675012033"/>
    <s v="X"/>
    <n v="-2720.3199999999997"/>
    <n v="57000"/>
    <n v="54279.68"/>
    <s v=""/>
    <n v="54279.68"/>
    <n v="45197.65"/>
    <n v="14010"/>
    <n v="6629.99"/>
    <x v="1"/>
    <x v="1"/>
    <n v="14010"/>
    <n v="-7380.01"/>
    <x v="20"/>
    <s v="TC"/>
    <s v="30501-BBPS Payment received"/>
    <s v="HARI"/>
    <x v="6"/>
    <x v="3"/>
    <s v="&quot;BANGARU MAISAMMA TEMPLE,BAZAR,,GATTIKAL&quot; &quot;ATHMAKUR S,GATTIKAL,NALGONDA&quot; ANDHRAPRADESH . SURYAPET TNG 508222"/>
    <s v="TATA CONSULTANCY SERVICES LIMITED NO 2-56 1 36 PHASE - II GACHIBOWLI ROAD &quot;TCS SYNERGY PARK, SERI LINGAMPALLY, GACH&quot; &quot;TCS SYNERGY PARK, SERI LINGAMPALLY, GACH&quot; HYDERABAD TNG 500019"/>
    <s v="NALGONDA"/>
    <x v="0"/>
    <x v="22"/>
    <s v="POORNIMA"/>
    <n v="802824019"/>
    <s v="Nihan@2421"/>
    <m/>
    <m/>
    <x v="0"/>
    <m/>
    <m/>
    <x v="1"/>
    <d v="2026-06-01T00:00:00"/>
    <n v="2000.01"/>
    <s v="ICICI Bank HPCL Super Saver Visa Credit Card"/>
    <s v="9TH JULY"/>
    <s v="0000000023789091"/>
    <d v="2026-07-08T00:00:00"/>
  </r>
  <r>
    <s v="4748468534347016"/>
    <s v="Mr J VINOD"/>
    <n v="0"/>
    <x v="0"/>
    <m/>
    <m/>
    <m/>
    <s v="N"/>
    <x v="13"/>
    <s v="9963116529"/>
    <s v="X"/>
    <n v="4255.9700000000012"/>
    <n v="50000"/>
    <n v="54255.97"/>
    <s v=""/>
    <n v="54255.97"/>
    <n v="47716.63"/>
    <n v="13430"/>
    <n v="2480"/>
    <x v="0"/>
    <x v="0"/>
    <n v="0"/>
    <n v="2480"/>
    <x v="0"/>
    <s v="NA"/>
    <n v="0"/>
    <s v="HARI"/>
    <x v="9"/>
    <x v="3"/>
    <s v="&quot;13-221 THUGUNDRAM,.,THUGUNDRAM,GANGADHAR,&quot; NELLORE TUNGUNDRAM   CHITTOOR ANP 517421"/>
    <s v="INFOSYS TECHNOLOGIES / INFOSYS 13-221 Thugundram thugundram gangadhar Thugundram thugundram gangadhar CHITTOOR ANP 517421"/>
    <s v="CHITTOOR"/>
    <x v="1"/>
    <x v="42"/>
    <s v="SK MUJEEB"/>
    <n v="802175739"/>
    <s v="Ssd@9290"/>
    <m/>
    <m/>
    <x v="1"/>
    <m/>
    <m/>
    <x v="1"/>
    <d v="2025-10-01T00:00:00"/>
    <n v="15632"/>
    <s v="ICICI Bank HPCL Coral VISA Credit Card"/>
    <s v="9TH JULY"/>
    <s v="0000000022722288"/>
    <d v="2026-07-08T00:00:00"/>
  </r>
  <r>
    <s v="4035628146490007"/>
    <s v="MS KOTHAPALLY  KOTHAPALLY SOUJANYA"/>
    <n v="0"/>
    <x v="0"/>
    <m/>
    <m/>
    <m/>
    <s v="N"/>
    <x v="13"/>
    <s v="8331912780"/>
    <s v="X"/>
    <n v="3957.2699999999968"/>
    <n v="50000"/>
    <n v="53957.27"/>
    <s v=""/>
    <n v="53957.27"/>
    <n v="48566.400000000001"/>
    <n v="13900"/>
    <n v="2910"/>
    <x v="0"/>
    <x v="0"/>
    <n v="0"/>
    <n v="2910"/>
    <x v="0"/>
    <s v="NA"/>
    <n v="0"/>
    <s v="HARI"/>
    <x v="9"/>
    <x v="3"/>
    <s v="&quot;11-24 W/O SWAMY 11-24,MANDAL DHARMARAM,&quot; DHARMA RAM   KARIMNAGAR TNG 505416"/>
    <s v="      "/>
    <s v="KARIMNAGAR"/>
    <x v="0"/>
    <x v="8"/>
    <s v="SUMANTH"/>
    <n v="802370852"/>
    <s v="Sgr@9290"/>
    <m/>
    <m/>
    <x v="1"/>
    <m/>
    <m/>
    <x v="1"/>
    <s v=""/>
    <n v="0"/>
    <s v="ICICI Bank HPCL Coral VISA Credit Card"/>
    <s v="9TH JULY"/>
    <s v="0000000035566314"/>
    <d v="2026-07-08T00:00:00"/>
  </r>
  <r>
    <s v="4035622796865006"/>
    <s v="MR MEDISETTI SHYAM KIRAN"/>
    <n v="0"/>
    <x v="0"/>
    <m/>
    <m/>
    <m/>
    <s v="N"/>
    <x v="13"/>
    <s v="9553049679"/>
    <s v="X"/>
    <n v="3933.6100000000006"/>
    <n v="50000"/>
    <n v="53933.61"/>
    <n v="428.64"/>
    <n v="53504.97"/>
    <n v="46439.24"/>
    <n v="14140"/>
    <n v="3650"/>
    <x v="0"/>
    <x v="0"/>
    <n v="0"/>
    <n v="3650"/>
    <x v="0"/>
    <s v="NA"/>
    <n v="0"/>
    <s v="HARI"/>
    <x v="8"/>
    <x v="3"/>
    <s v="&quot;2-67,THALLAPALEM&quot; RAMACHANDRAPURAM  NAVARATNALA GARUVU RAMACHANDRAPURAM ANP 533255"/>
    <s v="TATA CONSULTANCY SERVICES LIMITED &quot;1/G1,SPICOT IT PARK,&quot; NAVALUR PO SIRUSERI NAVALUR PO SIRUSERI CHENNAI TMN 600119"/>
    <s v="RAMACHANDRAPURAM"/>
    <x v="4"/>
    <x v="50"/>
    <s v="UDAY"/>
    <n v="801436997"/>
    <s v="Ssd@9290"/>
    <m/>
    <m/>
    <x v="1"/>
    <m/>
    <m/>
    <x v="1"/>
    <d v="2024-12-20T00:00:00"/>
    <n v="4.01"/>
    <s v="ICICI Bank Platinum Chip Credit Card"/>
    <s v="9TH JULY"/>
    <s v="0000000022546833"/>
    <d v="2026-07-08T00:00:00"/>
  </r>
  <r>
    <s v="4748468957083007"/>
    <s v="MR VENKATESH VADDI"/>
    <n v="0"/>
    <x v="0"/>
    <m/>
    <m/>
    <s v="CUS CALLS NOT ESPONDING"/>
    <s v="N"/>
    <x v="13"/>
    <s v="8951291475"/>
    <s v="X"/>
    <n v="3880.3099999999977"/>
    <n v="50000"/>
    <n v="53880.31"/>
    <s v=""/>
    <n v="53880.31"/>
    <n v="50000"/>
    <n v="13600"/>
    <n v="5701.13"/>
    <x v="0"/>
    <x v="0"/>
    <n v="0"/>
    <n v="5701.13"/>
    <x v="0"/>
    <s v="NA"/>
    <n v="0"/>
    <s v="HARI"/>
    <x v="6"/>
    <x v="3"/>
    <s v="&quot;1-08,BAPANA KALINI&quot; SETTIPALLE   ANANTAPUR ANP 515110"/>
    <s v="Venkatesh &quot;33/34,HN0 4, Aswani Nilayam, 9th cross, 11th main road,&quot; &quot;Vidya jyothi nagar, Begur main road, Hongasandra, Bangalore&quot; &quot;Vidya jyothi nagar, Begur main road, Hongasandra, Bangalore&quot; BANGALORE KAR 560068"/>
    <s v="HINDUPUR"/>
    <x v="1"/>
    <x v="12"/>
    <s v="POORNIMA"/>
    <n v="802824019"/>
    <s v="Nihan@2421"/>
    <m/>
    <m/>
    <x v="1"/>
    <m/>
    <m/>
    <x v="1"/>
    <d v="2026-03-13T00:00:00"/>
    <n v="39473"/>
    <s v="ICICI Sapphiro Master PLT Chip Card"/>
    <s v="9TH JULY"/>
    <s v="0000000026862860"/>
    <d v="2026-07-08T00:00:00"/>
  </r>
  <r>
    <s v="4035627458909000"/>
    <s v="MR VADITHYA NAGESH"/>
    <n v="0"/>
    <x v="0"/>
    <m/>
    <m/>
    <m/>
    <s v="N"/>
    <x v="13"/>
    <s v="8499955425"/>
    <s v="X"/>
    <n v="3624.6100000000006"/>
    <n v="50000"/>
    <n v="53624.61"/>
    <n v="25275.34"/>
    <n v="28349.27"/>
    <n v="24242.57"/>
    <n v="12020"/>
    <n v="6170"/>
    <x v="1"/>
    <x v="1"/>
    <n v="12020"/>
    <n v="-5850"/>
    <x v="0"/>
    <s v="D"/>
    <s v="12111-ICICI BANK COLLECTION PAYMENT"/>
    <s v="HARI"/>
    <x v="7"/>
    <x v="3"/>
    <s v="&quot;2-36,AMRABAD MANDALAM,IPPALAPALLE,IPPALAPALLE&quot;    MAHABUB NAGAR TNG 509201"/>
    <s v="RADHAKRISHNA HOSPITALITY SERVI H no 63 Bachupally indra nagar Bachupally indra nagar RANGAREDDY TNG 500090"/>
    <s v="WANAPARTHY"/>
    <x v="0"/>
    <x v="19"/>
    <s v="SAMBA"/>
    <n v="801772794"/>
    <s v="Ssde@9876"/>
    <m/>
    <m/>
    <x v="0"/>
    <m/>
    <m/>
    <x v="1"/>
    <d v="2026-05-22T00:00:00"/>
    <n v="3320"/>
    <s v="ICICI Bank HPCL Coral VISA Credit Card"/>
    <s v="9TH JULY"/>
    <s v="0000000027882707"/>
    <d v="2026-07-08T00:00:00"/>
  </r>
  <r>
    <s v="4748468880331002"/>
    <s v="MR TEPALLI NAGARJUNA"/>
    <n v="0"/>
    <x v="0"/>
    <m/>
    <m/>
    <m/>
    <s v="N"/>
    <x v="13"/>
    <s v="7981625699"/>
    <s v="X"/>
    <n v="1586.5500000000029"/>
    <n v="50000"/>
    <n v="51586.55"/>
    <s v=""/>
    <n v="51586.55"/>
    <n v="46824.51"/>
    <n v="16350"/>
    <n v="9370"/>
    <x v="0"/>
    <x v="0"/>
    <n v="1219"/>
    <n v="8151"/>
    <x v="0"/>
    <s v="NA"/>
    <s v="12111-ICICI BANK COLLECTION PAYMENT"/>
    <s v="HARI"/>
    <x v="8"/>
    <x v="3"/>
    <s v="&quot;3-146-14-6-74,AMMACHERUVU MITTA,MADANAPALLE&quot;    CHITTOOR ANP 517325"/>
    <s v="ETEAM INFOSERVICES PVT LTD NOT NOT NOT CHITTOOR ANP 517352"/>
    <s v="MADANAPALLE"/>
    <x v="1"/>
    <x v="25"/>
    <s v="S SEKHAR"/>
    <n v="845041675"/>
    <s v="Ssd@9290"/>
    <m/>
    <m/>
    <x v="1"/>
    <m/>
    <m/>
    <x v="1"/>
    <d v="2026-06-07T00:00:00"/>
    <n v="6040"/>
    <s v="ICICI Bank HPCL Coral VISA Credit Card"/>
    <s v="9TH JULY"/>
    <s v="0000000026135793"/>
    <d v="2026-07-08T00:00:00"/>
  </r>
  <r>
    <s v="4748468912775002"/>
    <s v="MR SHAIK NASEERUDDIN"/>
    <n v="0"/>
    <x v="0"/>
    <m/>
    <m/>
    <m/>
    <s v="N"/>
    <x v="13"/>
    <s v="7601089668"/>
    <s v="X"/>
    <n v="1363.7799999999988"/>
    <n v="50000"/>
    <n v="51363.78"/>
    <s v=""/>
    <n v="51363.78"/>
    <n v="47829.3"/>
    <n v="12990"/>
    <n v="7961.74"/>
    <x v="0"/>
    <x v="0"/>
    <n v="0"/>
    <n v="7961.74"/>
    <x v="0"/>
    <s v="NA"/>
    <n v="0"/>
    <s v="HARI"/>
    <x v="4"/>
    <x v="3"/>
    <s v="&quot;15-306 BANDLAMITTA,STREET,.,,BANDLAMITTA&quot; &quot;STREET,CUDDAPAH&quot;  NEAR BY SHARAD HIGH SCHOOL CUDDAPAH ANP 516001"/>
    <s v="WIPRO ENTERPRISES PVT LTD WIPRO LTM BUILDING NO 12 D 2 / 3/ 4/ FLOOR RAHEJ MINDA SPACE 2 / 3/ 4/ FLOOR RAHEJ MINDA SPACE HYDERABAD TNG 500081"/>
    <s v="CUDDAPAH"/>
    <x v="1"/>
    <x v="48"/>
    <s v="SIVARAU"/>
    <n v="801601134"/>
    <s v="Ssd@9290"/>
    <m/>
    <m/>
    <x v="1"/>
    <m/>
    <m/>
    <x v="1"/>
    <d v="2026-06-02T00:00:00"/>
    <n v="8148.26"/>
    <s v="ICICI Bank HPCL Coral VISA Credit Card"/>
    <s v="9TH JULY"/>
    <s v="0000000026423569"/>
    <d v="2026-07-08T00:00:00"/>
  </r>
  <r>
    <s v="6528680932941007"/>
    <s v="MR BOLLIKONDA ESHWAR"/>
    <n v="0"/>
    <x v="0"/>
    <m/>
    <m/>
    <m/>
    <s v="N"/>
    <x v="13"/>
    <s v="9398847610"/>
    <s v="X"/>
    <n v="1071.9199999999983"/>
    <n v="50000"/>
    <n v="51071.92"/>
    <n v="26387.360000000001"/>
    <n v="24684.560000000001"/>
    <n v="21801.95"/>
    <n v="11340"/>
    <n v="6400"/>
    <x v="1"/>
    <x v="1"/>
    <n v="11340"/>
    <n v="-4940"/>
    <x v="23"/>
    <s v="TC"/>
    <s v="30501-BBPS Payment received"/>
    <s v="HARI"/>
    <x v="4"/>
    <x v="3"/>
    <s v="&quot;2-67,SEEROLE KURAVI MANDAL,KURAVI MANDAL&quot; &quot;, SEEROLE&quot;  NEAR BUS STOP WARANGAL TNG 506105"/>
    <s v="XTGLOBAL INFOTECH LIMITED &quot;PLOT NO 31, 3RD FLOOR, TOWER A, FINANCIA&quot; &quot;L DISTRICT, NANAKARAMGUDA&quot; &quot;L DISTRICT, NANAKARAMGUDA&quot; HYDERABAD TNG 500032"/>
    <s v="WARANGAL"/>
    <x v="0"/>
    <x v="2"/>
    <s v="CHAITANYA"/>
    <n v="802555024"/>
    <s v="Ssde@9290"/>
    <m/>
    <m/>
    <x v="0"/>
    <m/>
    <m/>
    <x v="1"/>
    <d v="2026-04-17T00:00:00"/>
    <n v="2"/>
    <s v="ICICI Bank MasterCard Coral Credit Card"/>
    <s v="9TH JULY"/>
    <s v="0000000029450723"/>
    <d v="2026-07-08T00:00:00"/>
  </r>
  <r>
    <s v="4748461032483003"/>
    <s v="MR KADIYALA SAI KARTHIK"/>
    <n v="0"/>
    <x v="0"/>
    <m/>
    <m/>
    <s v="CUSTOMER MOBILE RINGING NOT ANSWERING"/>
    <s v="N"/>
    <x v="14"/>
    <s v="9347086913"/>
    <s v="X"/>
    <n v="41822.680000000051"/>
    <n v="630000"/>
    <n v="671822.68"/>
    <n v="162250.91"/>
    <n v="509571.77"/>
    <n v="457700.44"/>
    <n v="135490"/>
    <n v="63370"/>
    <x v="1"/>
    <x v="1"/>
    <n v="364997"/>
    <n v="-301627"/>
    <x v="18"/>
    <s v="TC"/>
    <s v="30501-BBPS Payment received"/>
    <s v="SAMBA"/>
    <x v="3"/>
    <x v="3"/>
    <s v="&quot;D.NO-13-594/25,&quot; &quot;6TH FLOOR, SAI GOKULAHERITAGE APPARTMENT&quot; &quot;GOPURAM STREET, PUTTAPARTHI&quot; ABOVE GOKULA SUPER BAZAR PUTTAPARTHI ANP 515134"/>
    <s v="FLIPKART INTERNET PRIVATE LIMITED &quot;FLIPKART INTERNET PVT LTD,&quot; &quot;ALYSSA BEGONIA AND CLOVER, EMBASSYTECH&quot; &quot;ALYSSA BEGONIA AND CLOVER, EMBASSYTECH&quot; BANGALORE KAR 560103"/>
    <s v="PUTTAPARTHI"/>
    <x v="1"/>
    <x v="12"/>
    <s v="POORNIMA"/>
    <n v="802824019"/>
    <s v="Nihan@2421"/>
    <m/>
    <m/>
    <x v="0"/>
    <m/>
    <m/>
    <x v="1"/>
    <d v="2024-09-11T00:00:00"/>
    <n v="16164.49"/>
    <s v="MakeMyTrip ICICI Bank Platinum Credit Card"/>
    <s v="7TH JULY"/>
    <s v="0000000020268323"/>
    <d v="2026-07-09T00:00:00"/>
  </r>
  <r>
    <s v="5241935735333002"/>
    <s v="MR MASHETTY SREENIVAS"/>
    <n v="0"/>
    <x v="0"/>
    <m/>
    <m/>
    <m/>
    <s v="N"/>
    <x v="14"/>
    <s v="9550512051"/>
    <s v="X"/>
    <n v="36775.189999999944"/>
    <n v="530000"/>
    <n v="566775.18999999994"/>
    <s v=""/>
    <n v="566775.18999999994"/>
    <n v="529979.94999999995"/>
    <n v="127930"/>
    <n v="31260"/>
    <x v="0"/>
    <x v="0"/>
    <n v="0"/>
    <n v="31260"/>
    <x v="0"/>
    <s v="NA"/>
    <n v="0"/>
    <s v="SAMBA"/>
    <x v="0"/>
    <x v="3"/>
    <s v="&quot;H NO.1-10-205/4,&quot; GRAIN MARKET JANGAON WARANGAL NEAR GRAIN MARKET WARANGAL TNG 506167"/>
    <s v="COGNIZANT TECHNOLOGY SOLUTIONS INDIA PRI &quot;PLOT NO.129-132, DLF BUILDING APHB COLON&quot; Y GACHIBOWLI SERILINGAMPALLY Y GACHIBOWLI SERILINGAMPALLY HYDERABAD TNG 500019"/>
    <s v="WARANGAL"/>
    <x v="0"/>
    <x v="30"/>
    <s v="RAJKUMAR"/>
    <n v="802835406"/>
    <s v="Ssde@9290"/>
    <m/>
    <m/>
    <x v="0"/>
    <s v="LIVE"/>
    <s v="Customer given permanent house address visited sir door locked 🔐 customer not available phone call not responding inform to neighbour "/>
    <x v="24"/>
    <d v="2024-08-21T00:00:00"/>
    <n v="3000"/>
    <s v="ICICI Bank HPCL Super Saver Master Credit Card"/>
    <s v="7TH JULY"/>
    <s v="0000000026203428"/>
    <d v="2026-07-09T00:00:00"/>
  </r>
  <r>
    <s v="5241935802340005"/>
    <s v="MR SATHISHKUMAR BOGA"/>
    <n v="0"/>
    <x v="0"/>
    <m/>
    <m/>
    <m/>
    <s v="N"/>
    <x v="14"/>
    <s v="9959651618"/>
    <s v="X"/>
    <n v="32341.960000000021"/>
    <n v="480000"/>
    <n v="512341.96"/>
    <s v=""/>
    <n v="512341.96"/>
    <n v="479941"/>
    <n v="109930"/>
    <n v="24000"/>
    <x v="0"/>
    <x v="0"/>
    <n v="0"/>
    <n v="24000"/>
    <x v="0"/>
    <s v="NA"/>
    <n v="0"/>
    <s v="SAMBA"/>
    <x v="0"/>
    <x v="3"/>
    <s v="SAI NAGAR H NO.6-5-264 KARIMNAGAR NEAR SAI NAGAR ADILABAD TNG 505001"/>
    <s v="LAXMI GANAPATHI HANDLOOMS SAI NAGAR 6-5-167/B KARIMNAGAR 6-5-167/B KARIMNAGAR ADILABAD TNG 505001"/>
    <s v="KARIMNAGAR"/>
    <x v="0"/>
    <x v="8"/>
    <s v="SUMANTH"/>
    <n v="802370852"/>
    <s v="Sgr@9290"/>
    <m/>
    <m/>
    <x v="0"/>
    <s v="SKIP"/>
    <s v="Customer address visited and customer shifted to another address and customer mobile switched off need kyc sir"/>
    <x v="20"/>
    <s v=""/>
    <n v="0"/>
    <s v="ICICI Bank HPCL Super Saver Master Credit Card"/>
    <s v="11TH JULY"/>
    <s v="0000000030976277"/>
    <d v="2026-07-09T00:00:00"/>
  </r>
  <r>
    <s v="4748464746806006"/>
    <s v="MR DUMAVATH HARIJANA NAIK"/>
    <n v="0"/>
    <x v="0"/>
    <m/>
    <m/>
    <m/>
    <s v="N"/>
    <x v="14"/>
    <s v="9705709749"/>
    <s v="X"/>
    <n v="20834.929999999993"/>
    <n v="480000"/>
    <n v="500834.93"/>
    <n v="411071.4"/>
    <n v="89763.53"/>
    <n v="68133.539999999994"/>
    <n v="89763.53"/>
    <n v="44629.27"/>
    <x v="1"/>
    <x v="1"/>
    <n v="49500"/>
    <n v="-4870.7300000000032"/>
    <x v="25"/>
    <s v="TC"/>
    <s v="30501-BBPS Payment received"/>
    <s v="SAMBA"/>
    <x v="2"/>
    <x v="3"/>
    <s v="6-25 BODE NAIK THANDA  DORNALA NANDYAL ANP 523331"/>
    <s v="GOVERNMENT OF ANDHRA PRADESH &quot;SY NO 01,CHINNAGUDIPADU SACHIVALAYAM&quot; &quot;DORAKONDA  MANDAL,PRAKASAM,BESIDE RBK&quot; &quot;DORAKONDA  MANDAL,PRAKASAM,BESIDE RBK&quot; NANDYAL ANP 523331"/>
    <s v="NANDYAL"/>
    <x v="5"/>
    <x v="37"/>
    <s v="DURGA"/>
    <n v="801723195"/>
    <s v="Sgr@9290"/>
    <m/>
    <m/>
    <x v="0"/>
    <m/>
    <m/>
    <x v="1"/>
    <d v="2024-12-06T00:00:00"/>
    <n v="27713.75"/>
    <s v="Chennai Super Kings ICICI Bank Credit Card"/>
    <s v="7TH JULY"/>
    <s v="0000000028801397"/>
    <d v="2026-07-09T00:00:00"/>
  </r>
  <r>
    <s v="5241935759709004"/>
    <s v="MR PAMISETTY LAKSHMINARAYANA"/>
    <n v="0"/>
    <x v="0"/>
    <m/>
    <m/>
    <s v="CUSTOMER MOBILE RINGING NOT ANSWERING"/>
    <s v="O"/>
    <x v="14"/>
    <s v="9440458255"/>
    <s v="X"/>
    <n v="-4095.4199999999837"/>
    <n v="500000"/>
    <n v="495904.58"/>
    <n v="233889.62"/>
    <n v="262014.96"/>
    <n v="245485.41"/>
    <n v="123400"/>
    <n v="61030"/>
    <x v="1"/>
    <x v="1"/>
    <n v="61100"/>
    <n v="-70"/>
    <x v="23"/>
    <s v="FE"/>
    <s v="12118 - NEFT PAYMENT RECEIVED"/>
    <s v="SAMBA"/>
    <x v="0"/>
    <x v="3"/>
    <s v="&quot;31-180,RAM NAGAR RAM NAGAR DHARMAVARAM&quot; &quot;DHARMAVARAM,ANANTAPUR&quot;  NEAR MAIN ROAD HINDUPUR ANP 515671"/>
    <s v="CROP AND ANIMAL PRODUCTION HUNTING AND R &quot;9/368,KPT STREET&quot; ANANTAPUR ANANTAPUR HINDUPUR ANP 515671"/>
    <s v="HINDUPUR"/>
    <x v="1"/>
    <x v="12"/>
    <s v="POORNIMA"/>
    <n v="802824019"/>
    <s v="Nihan@2421"/>
    <m/>
    <m/>
    <x v="0"/>
    <s v="LIVE"/>
    <s v="Customer not available _x000a_Waiting for location // Customer PTP on today evening"/>
    <x v="21"/>
    <d v="2024-10-30T00:00:00"/>
    <n v="7000"/>
    <s v="ICICI Bank Expressions Credit Card"/>
    <s v="7TH JULY"/>
    <s v="0000000027341304"/>
    <d v="2026-07-09T00:00:00"/>
  </r>
  <r>
    <s v="4748464737624012"/>
    <s v="MS KUPPILI PRIYANKA"/>
    <n v="0"/>
    <x v="0"/>
    <m/>
    <m/>
    <m/>
    <s v="N"/>
    <x v="14"/>
    <s v="8639364857"/>
    <s v="W"/>
    <n v="329887.46000000002"/>
    <n v="150000"/>
    <n v="479887.46"/>
    <n v="424347.73"/>
    <n v="55539.73"/>
    <n v="52284.28"/>
    <n v="45450"/>
    <n v="22730"/>
    <x v="1"/>
    <x v="2"/>
    <n v="23000"/>
    <n v="-270"/>
    <x v="25"/>
    <s v="TC"/>
    <s v="30501-BBPS Payment received"/>
    <s v="SAMBA"/>
    <x v="11"/>
    <x v="3"/>
    <s v="3-8/1 VAKALAPUDI VENKATESWARA NAGAR SURYA MAHAL KAKINADA ANP 533005"/>
    <s v="GOVT OF ANDHRA PRADES VENKATANAGAR -01 KAKINADA KAKINADA KAKINADA ANP 533003"/>
    <s v="KAKINADA"/>
    <x v="4"/>
    <x v="23"/>
    <s v="UDAY"/>
    <n v="801436997"/>
    <s v="Ssd@9290"/>
    <m/>
    <m/>
    <x v="0"/>
    <s v="MESS"/>
    <s v="ustomer address visit customer not available msg left father customer in hyd call not answering inform pass to family"/>
    <x v="20"/>
    <d v="2026-05-14T00:00:00"/>
    <n v="2000"/>
    <s v="Chennai Super Kings ICICI Bank Credit Card"/>
    <s v="7TH JULY"/>
    <s v="0000000027048129"/>
    <d v="2026-07-09T00:00:00"/>
  </r>
  <r>
    <s v="5241935806799008"/>
    <s v="MS PATTAPAGALU NAGALAKSHMI"/>
    <n v="0"/>
    <x v="0"/>
    <m/>
    <m/>
    <m/>
    <s v="O"/>
    <x v="14"/>
    <s v="8790036312"/>
    <s v="X"/>
    <n v="-15645.210000000021"/>
    <n v="450000"/>
    <n v="434354.79"/>
    <n v="312121.15999999997"/>
    <n v="122233.63"/>
    <n v="109484.38"/>
    <n v="97620"/>
    <n v="48870"/>
    <x v="1"/>
    <x v="1"/>
    <n v="49000"/>
    <n v="-130"/>
    <x v="24"/>
    <s v="FE"/>
    <s v="12118 - NEFT PAYMENT RECEIVED"/>
    <s v="SAMBA"/>
    <x v="0"/>
    <x v="3"/>
    <s v="&quot;DO NO 22-12-40/9,TANUKU MANDALAM,&quot; &quot;MUTYALA VARI STREET,BESIDE OF CHURCH,&quot; &quot;SOCIETY BACK SIDE,TANUKU MANDALAM&quot; BESIDE OF CHURCH TANUKU ANP 534211"/>
    <s v="STATE GOVERNMENT &quot;STATE GOVERNMENT OF ANDHRAPRADESH,&quot; &quot;AREA HOSPITAL,PALACOLE,PALACOLE&quot; &quot;AREA HOSPITAL,PALACOLE,PALACOLE&quot; PALAKOL ANP 534260"/>
    <s v="TANUKU"/>
    <x v="4"/>
    <x v="33"/>
    <s v="MANIKANTA"/>
    <n v="802852449"/>
    <s v="Ssd@9290"/>
    <m/>
    <m/>
    <x v="0"/>
    <s v="LIVE"/>
    <s v="Custmor ptp   2 // Custmor go to work_x000a_Phone not responded"/>
    <x v="21"/>
    <s v=""/>
    <n v="0"/>
    <s v="ICICI Bank HPCL Super Saver Master Credit Card"/>
    <s v="7TH JULY"/>
    <s v="0000000031816950"/>
    <d v="2026-07-09T00:00:00"/>
  </r>
  <r>
    <s v="4748461245403004"/>
    <s v="MR GUNDETI SRINIVAS"/>
    <n v="0"/>
    <x v="0"/>
    <m/>
    <m/>
    <m/>
    <s v="N"/>
    <x v="14"/>
    <s v="9849449812"/>
    <s v="X"/>
    <n v="-178804.14"/>
    <n v="610000"/>
    <n v="431195.86"/>
    <s v=""/>
    <n v="431195.86"/>
    <n v="393493.29"/>
    <n v="62520"/>
    <n v="23130"/>
    <x v="0"/>
    <x v="0"/>
    <n v="0"/>
    <n v="23130"/>
    <x v="0"/>
    <s v="NA"/>
    <n v="0"/>
    <s v="SAMBA"/>
    <x v="2"/>
    <x v="3"/>
    <s v="&quot;7-139/2, ,UPPAL,,KAMALAPUR MANDALAM,&quot;    KARIMNAGAR TNG 505101"/>
    <s v="The Crescents College of Busin 44-8-1 Janpak Janpak WARANGAL TNG 506013"/>
    <s v="WARANGAL"/>
    <x v="0"/>
    <x v="0"/>
    <s v="AKHIL"/>
    <n v="801772792"/>
    <s v="Sgr@9290"/>
    <m/>
    <m/>
    <x v="0"/>
    <s v="LIVE"/>
    <s v="Cust not available respond to call and said cust need settlement"/>
    <x v="25"/>
    <d v="2026-05-11T00:00:00"/>
    <n v="22920"/>
    <s v="MakeMyTrip ICICI Bank Platinum Credit Card"/>
    <s v="7TH JULY"/>
    <s v="0000000022905020"/>
    <d v="2026-07-09T00:00:00"/>
  </r>
  <r>
    <s v="5241935715148008"/>
    <s v="MR CHINAPURAM JAGADEESH"/>
    <n v="0"/>
    <x v="0"/>
    <m/>
    <m/>
    <m/>
    <s v="N"/>
    <x v="14"/>
    <s v="9505618368"/>
    <s v="X"/>
    <n v="12046.780000000028"/>
    <n v="410000"/>
    <n v="422046.78"/>
    <s v=""/>
    <n v="422046.78"/>
    <n v="383721.37"/>
    <n v="73980"/>
    <n v="24090"/>
    <x v="0"/>
    <x v="0"/>
    <n v="15100"/>
    <n v="8990"/>
    <x v="0"/>
    <s v="NA"/>
    <s v="30501-BBPS Payment received"/>
    <s v="SAMBA"/>
    <x v="11"/>
    <x v="3"/>
    <s v="&quot;H NO 1-17/3 , BARANGEDGI   VILLAGE&quot; NIZAMABAD NIZAMABAD BIRKOOR  MANDAL NIZAMABAD TNG 503321"/>
    <s v="NORTHERN  POWER DISTRIBUTION OF TELANGAN ELECTRICITY  REVENUE  OFFICE  TSNPDCL &quot;BODHAN,  NIZAMABAD&quot; &quot;BODHAN,  NIZAMABAD&quot; NIZAMABAD TNG 503185"/>
    <s v="NIZAMABAD"/>
    <x v="0"/>
    <x v="9"/>
    <s v="D RAMU"/>
    <n v="802663344"/>
    <s v="Sgr@9290"/>
    <m/>
    <m/>
    <x v="1"/>
    <m/>
    <m/>
    <x v="1"/>
    <d v="2024-07-08T00:00:00"/>
    <n v="41000"/>
    <s v="ICICI Bank HPCL Super Saver Master Credit Card"/>
    <s v="11TH JULY"/>
    <s v="0000000025319453"/>
    <d v="2026-07-09T00:00:00"/>
  </r>
  <r>
    <s v="4748464747359005"/>
    <s v="MS MUTYALA LAVANYA"/>
    <n v="0"/>
    <x v="0"/>
    <m/>
    <m/>
    <m/>
    <s v="N"/>
    <x v="14"/>
    <s v="6300525953"/>
    <s v="X"/>
    <n v="351209.83"/>
    <n v="70000"/>
    <n v="421209.83"/>
    <n v="347562.37"/>
    <n v="73647.460000000006"/>
    <n v="66261.27"/>
    <n v="44500"/>
    <n v="18200"/>
    <x v="0"/>
    <x v="0"/>
    <n v="0"/>
    <n v="18200"/>
    <x v="0"/>
    <s v="NA"/>
    <n v="0"/>
    <s v="SAMBA"/>
    <x v="3"/>
    <x v="3"/>
    <s v="1-193 ADDATEEGALA MANDALAM LIBRARY STREET  KAKINADA ANP 533428"/>
    <s v="GOVERNMENT OF ANDHRA PRADESH 3-18  EAST LAKSHMIPURAM PANCHAYAT OFFICE EAST LAKSHMIPURAM YELESWARAM KAKINADA EAST LAKSHMIPURAM YELESWARAM KAKINADA KAKINADA ANP 533429"/>
    <s v="KAKINADA"/>
    <x v="4"/>
    <x v="50"/>
    <s v="UDAY"/>
    <n v="801436997"/>
    <s v="Ssd@9290"/>
    <m/>
    <m/>
    <x v="1"/>
    <m/>
    <m/>
    <x v="1"/>
    <d v="2024-09-04T00:00:00"/>
    <n v="46573.83"/>
    <s v="Chennai Super Kings ICICI Bank Credit Card"/>
    <s v="7TH JULY"/>
    <s v="0000000028906201"/>
    <d v="2026-07-09T00:00:00"/>
  </r>
  <r>
    <s v="4748461279438009"/>
    <s v="MR VINOD UPLANCHIWAR"/>
    <n v="0"/>
    <x v="0"/>
    <m/>
    <m/>
    <m/>
    <s v="N"/>
    <x v="14"/>
    <s v="8074964943"/>
    <s v="X"/>
    <n v="349626.34"/>
    <n v="60000"/>
    <n v="409626.34"/>
    <n v="305286.95"/>
    <n v="104339.39"/>
    <n v="95727.69"/>
    <n v="98530"/>
    <n v="41480"/>
    <x v="0"/>
    <x v="0"/>
    <n v="260"/>
    <n v="41220"/>
    <x v="0"/>
    <s v="NA"/>
    <s v="12111-ICICI BANK COLLECTION PAYMENT"/>
    <s v="SAMBA"/>
    <x v="3"/>
    <x v="3"/>
    <s v="&quot;4-7-,BRAHMANWADA,44,BRAHMANWADA,ADILABAD&quot;    ADILABAD TNG 504001"/>
    <s v="ICICI PRUD LIFE ADV H-No-4--7-44 Brahmanvada Brahmanvada NIZAMABAD TNG 504001"/>
    <s v="ADILABAD"/>
    <x v="0"/>
    <x v="3"/>
    <s v="KANTH"/>
    <n v="802794852"/>
    <s v="Ssd@9290"/>
    <m/>
    <m/>
    <x v="0"/>
    <s v="SKIP"/>
    <s v="Customer visit home customer not available prasent living in this address her brother customer shifted to Vijayawada customer not respond phone call"/>
    <x v="20"/>
    <d v="2026-05-04T00:00:00"/>
    <n v="80590"/>
    <s v="MakeMyTrip ICICI Bank Platinum Credit Card"/>
    <s v="11TH JULY"/>
    <s v="0000000023342004"/>
    <d v="2026-07-09T00:00:00"/>
  </r>
  <r>
    <s v="4748464712414009"/>
    <s v="MR PANDUGA RAKESH"/>
    <n v="0"/>
    <x v="0"/>
    <m/>
    <m/>
    <m/>
    <s v="N"/>
    <x v="14"/>
    <s v="8008117027"/>
    <s v="X"/>
    <n v="189747.46999999997"/>
    <n v="210000"/>
    <n v="399747.47"/>
    <n v="214148.96"/>
    <n v="185598.51"/>
    <n v="166971.76"/>
    <n v="45280"/>
    <n v="19440"/>
    <x v="0"/>
    <x v="0"/>
    <n v="0"/>
    <n v="19440"/>
    <x v="0"/>
    <s v="NA"/>
    <n v="0"/>
    <s v="SAMBA"/>
    <x v="2"/>
    <x v="3"/>
    <s v="&quot;H NO 4-162, SARDHAR PET&quot; &quot;PAIDIPALLI, HANAMKONDA&quot; WARANGAL OPP HANUMAN TEMPLE WARANGAL TNG 506006"/>
    <s v="QUESS CORP LIMITED &quot;GMRGS COMPLEX, 2ND FLOOT&quot; &quot;KRISHPUR, HANAMKONDA&quot; &quot;KRISHPUR, HANAMKONDA&quot; WARANGAL TNG 506001"/>
    <s v="WARANGAL"/>
    <x v="0"/>
    <x v="0"/>
    <s v="AKHIL"/>
    <n v="801772792"/>
    <s v="Sgr@9290"/>
    <m/>
    <m/>
    <x v="0"/>
    <s v="LIVE"/>
    <s v="Met the cust said going to through legal not ready to pay"/>
    <x v="26"/>
    <d v="2024-06-29T00:00:00"/>
    <n v="20753.259999999998"/>
    <s v="Chennai Super Kings ICICI Bank Credit Card"/>
    <s v="11TH JULY"/>
    <s v="0000000023899289"/>
    <d v="2026-07-09T00:00:00"/>
  </r>
  <r>
    <s v="4315814997797002"/>
    <s v="MR Chukka Ravinder"/>
    <n v="0"/>
    <x v="0"/>
    <m/>
    <m/>
    <m/>
    <s v="N"/>
    <x v="14"/>
    <s v="9573632994"/>
    <s v="X"/>
    <n v="24659.789999999979"/>
    <n v="350000"/>
    <n v="374659.79"/>
    <s v=""/>
    <n v="374659.79"/>
    <n v="331384.18"/>
    <n v="98680"/>
    <n v="49220"/>
    <x v="0"/>
    <x v="0"/>
    <n v="0"/>
    <n v="49220"/>
    <x v="0"/>
    <s v="NA"/>
    <n v="0"/>
    <s v="SAMBA"/>
    <x v="11"/>
    <x v="3"/>
    <s v="H.NO.1.30 manakondur.mandal ..manakondur.mandal Karimnagar KARIMNAGAR TNG 505505"/>
    <s v="TELANGANA.STATE.POLICE.DEPARTMENT SIRCILLA..SARDAPUR 17TH.BATTALION. 17TH.BATTALION. GodavariKhani TNG 505301"/>
    <s v="KARIMNAGAR"/>
    <x v="0"/>
    <x v="8"/>
    <s v="SUMANTH"/>
    <n v="802370852"/>
    <s v="Sgr@9290"/>
    <m/>
    <m/>
    <x v="0"/>
    <s v="LIVE"/>
    <s v="Customer live in address he is job in another place police consitable he is asking settlement"/>
    <x v="26"/>
    <d v="2025-04-30T00:00:00"/>
    <n v="44000"/>
    <s v="Amazon Pay ICICI Bank Credit Card"/>
    <s v="7TH JULY"/>
    <s v="0000000030274070"/>
    <d v="2026-07-09T00:00:00"/>
  </r>
  <r>
    <s v="4748464734721001"/>
    <s v="MR KANDA VENKATA RAMARAO"/>
    <s v="RTP"/>
    <x v="0"/>
    <m/>
    <m/>
    <m/>
    <s v="O"/>
    <x v="14"/>
    <s v="8919169408"/>
    <s v="X"/>
    <n v="147648.90999999997"/>
    <n v="220000"/>
    <n v="367648.91"/>
    <n v="141315.72"/>
    <n v="226333.19"/>
    <n v="213729.67"/>
    <n v="81380"/>
    <n v="44940"/>
    <x v="0"/>
    <x v="0"/>
    <n v="10000"/>
    <n v="34940"/>
    <x v="0"/>
    <s v="NA"/>
    <s v="30501-BBPS Payment received"/>
    <s v="SAMBA"/>
    <x v="3"/>
    <x v="3"/>
    <s v="1-48/2 GOLLAPROLU MANDALAM KOTTAURU EAST GODAVARI KAKINADA ANP 533449"/>
    <s v="GREENKO ENERGIES PRIVATE LIMITED &quot;GREENKO CAMP OFFICE,GREENKO GANI SOLAR P&quot; &quot;BRAMHANAPALLI,ORVAKAL,KURNOOL&quot; &quot;BRAMHANAPALLI,ORVAKAL,KURNOOL&quot; KURNOOL ANP 518010"/>
    <s v="KAKINADA"/>
    <x v="4"/>
    <x v="23"/>
    <s v="UDAY"/>
    <n v="801436997"/>
    <s v="Ssd@9290"/>
    <m/>
    <m/>
    <x v="0"/>
    <s v="SKIP"/>
    <s v="Customer address shift customer shift Nellore call response ptp on today evening sir"/>
    <x v="22"/>
    <d v="2026-01-22T00:00:00"/>
    <n v="30000"/>
    <s v="Chennai Super Kings ICICI Bank Credit Card"/>
    <s v="7TH JULY"/>
    <s v="0000000026434377"/>
    <d v="2026-07-09T00:00:00"/>
  </r>
  <r>
    <s v="4073520213398010"/>
    <s v="MR PATHAN YAKHUB KHAN"/>
    <n v="0"/>
    <x v="0"/>
    <m/>
    <m/>
    <m/>
    <s v="N"/>
    <x v="14"/>
    <s v="9985782728"/>
    <s v="X"/>
    <n v="150967.79999999999"/>
    <n v="200000"/>
    <n v="350967.8"/>
    <n v="317856.05"/>
    <n v="33111.75"/>
    <n v="29719.74"/>
    <n v="32620"/>
    <n v="16275"/>
    <x v="0"/>
    <x v="0"/>
    <n v="10000"/>
    <n v="6275"/>
    <x v="0"/>
    <s v="NA"/>
    <n v="0"/>
    <s v="SAMBA"/>
    <x v="11"/>
    <x v="3"/>
    <s v="3-247/4/A KODAD MANDAL NAYANAGAR KRISHNA PRIYA THEATRE LINE SURYAPET TNG 508206"/>
    <s v="EMBITEL TECHNOLOGIES INDIA PVT LTD UNIT NO 208 TO 216 2ND FLOOR DELTA BLOCK RAMAGONDANAHALLI RAMAGONDANAHALLI BANGALORE KAR 560066"/>
    <s v="SURYAPET"/>
    <x v="0"/>
    <x v="2"/>
    <s v="CHAITANYA"/>
    <n v="802555024"/>
    <s v="Ssde@9290"/>
    <m/>
    <m/>
    <x v="0"/>
    <s v="MESS"/>
    <s v="I have Visited Customer given house address Customer not available  in home Customer went outside informed to his parents Customer call not answering // REVisited Customer given house address customer Is in Live given ptp Tommorow"/>
    <x v="26"/>
    <d v="2025-12-18T00:00:00"/>
    <n v="14440"/>
    <s v="MakeMyTrip ICICI Bank Signature Credit Card"/>
    <s v="11TH JULY"/>
    <s v="0000000023676370"/>
    <d v="2026-07-09T00:00:00"/>
  </r>
  <r>
    <s v="4748461293504000"/>
    <s v="MS NATI JOSLIN"/>
    <n v="0"/>
    <x v="0"/>
    <m/>
    <m/>
    <m/>
    <s v="N"/>
    <x v="14"/>
    <s v="9381101913"/>
    <s v="X"/>
    <n v="40759.179999999993"/>
    <n v="310000"/>
    <n v="350759.18"/>
    <n v="93771.57"/>
    <n v="256987.61"/>
    <n v="215961.64"/>
    <n v="92500"/>
    <n v="48200"/>
    <x v="1"/>
    <x v="1"/>
    <n v="52000"/>
    <n v="-3800"/>
    <x v="27"/>
    <s v="TC"/>
    <s v="30501-BBPS Payment received"/>
    <s v="SAMBA"/>
    <x v="11"/>
    <x v="3"/>
    <s v="&quot;FLATNO 102 SRINIVASA,RESIDENCY,MARUTHI,,&quot; &quot;NAGAR BHIMAVARAM,BHIMAVARAM, MANDLAM&quot; WEST GODAVRI ANDHRAPRADESH NR KALI MATA MANDIR BHIMAVARAM ANP 534201"/>
    <s v="CAPGEMINI TECHNOLOGY SERVICES INDIA LIMI PLOT NO.14 RAJIV GANDHI INFOTECH PARK PHASE 3 MIDC SEZ VILLAGE MAN PUNE PHASE 3 MIDC SEZ VILLAGE MAN PUNE PUNE MAH 411057"/>
    <s v="BHIMAVARAM"/>
    <x v="4"/>
    <x v="26"/>
    <s v="B NAGABABU"/>
    <n v="801448854"/>
    <s v="Sgr@9290"/>
    <m/>
    <m/>
    <x v="0"/>
    <m/>
    <m/>
    <x v="1"/>
    <d v="2025-12-06T00:00:00"/>
    <n v="15516.89"/>
    <s v="MakeMyTrip ICICI Bank Platinum Credit Card"/>
    <s v="7TH JULY"/>
    <s v="0000000023526743"/>
    <d v="2026-07-09T00:00:00"/>
  </r>
  <r>
    <s v="4748464728431005"/>
    <s v="MR NOSSAM ZAKEER HUSSAIN"/>
    <n v="0"/>
    <x v="0"/>
    <m/>
    <m/>
    <m/>
    <s v="N"/>
    <x v="14"/>
    <s v="6302787323"/>
    <s v="X"/>
    <n v="9324.4000000000233"/>
    <n v="320000"/>
    <n v="329324.40000000002"/>
    <n v="184488.1"/>
    <n v="144836.29999999999"/>
    <n v="126030.64"/>
    <n v="72490"/>
    <n v="34580"/>
    <x v="1"/>
    <x v="1"/>
    <n v="144836.29999999999"/>
    <n v="-110256.29999999999"/>
    <x v="0"/>
    <s v="D"/>
    <s v="30501-BBPS Payment received"/>
    <s v="SAMBA"/>
    <x v="2"/>
    <x v="3"/>
    <s v="9-11-21 ALLAGADDA MEDARA STREET KURNOOL NANDYAL ANP 518543"/>
    <s v="RELIANCE SMSL LIMITED &quot;C/O RELIANCE SMART,SY NO 23/1,OLDWARD 16&quot; &quot;BLOCK 1,TB ROAD,ALLAGADDA,NR OLD BUSSTOP&quot; &quot;BLOCK 1,TB ROAD,ALLAGADDA,NR OLD BUSSTOP&quot; NANDYAL ANP 518543"/>
    <s v="NANDYAL"/>
    <x v="1"/>
    <x v="7"/>
    <s v="HARI"/>
    <n v="802388289"/>
    <s v="Ssd@9290"/>
    <m/>
    <m/>
    <x v="0"/>
    <m/>
    <m/>
    <x v="1"/>
    <d v="2024-07-08T00:00:00"/>
    <n v="20056.89"/>
    <s v="Chennai Super Kings ICICI Bank Credit Card"/>
    <s v="7TH JULY"/>
    <s v="0000000025434340"/>
    <d v="2026-07-09T00:00:00"/>
  </r>
  <r>
    <s v="4748464724275000"/>
    <s v="MR PANDUGA BALAKISHAN"/>
    <n v="0"/>
    <x v="0"/>
    <m/>
    <m/>
    <m/>
    <s v="N"/>
    <x v="14"/>
    <s v="9949179625"/>
    <s v="X"/>
    <n v="23746.549999999988"/>
    <n v="290000"/>
    <n v="313746.55"/>
    <n v="44682.400000000001"/>
    <n v="269064.15000000002"/>
    <n v="242702.57"/>
    <n v="44700"/>
    <n v="17310"/>
    <x v="1"/>
    <x v="1"/>
    <n v="17310"/>
    <n v="0"/>
    <x v="27"/>
    <s v="TC"/>
    <s v="30501-BBPS Payment received"/>
    <s v="SAMBA"/>
    <x v="0"/>
    <x v="3"/>
    <s v="H-NO 3-90 CHERIAL MANDAL CHUNCHANAKOTA WARANGAL WARANGAL TNG 506223"/>
    <s v="GOVERNMENT OF TELANGANA &quot;H NO 12-5-139/A/1,GANESH NAGAR,&quot; SIDDIPET SIDDIPET MEDAK TNG 502103"/>
    <s v="WARANGAL"/>
    <x v="0"/>
    <x v="30"/>
    <s v="RAJKUMAR"/>
    <n v="802835406"/>
    <s v="Ssde@9290"/>
    <m/>
    <m/>
    <x v="0"/>
    <s v="LIVE"/>
    <s v="Customer office address visited sir his not available phone call not responding // Customer office address visited sir his  available given payment commitment to day evening"/>
    <x v="21"/>
    <d v="2025-12-09T00:00:00"/>
    <n v="40000"/>
    <s v="Chennai Super Kings ICICI Bank Credit Card"/>
    <s v="7TH JULY"/>
    <s v="0000000025082646"/>
    <d v="2026-07-09T00:00:00"/>
  </r>
  <r>
    <s v="4748464743901008"/>
    <s v="MR SAKINALA AMRUTHARAJU"/>
    <n v="0"/>
    <x v="0"/>
    <m/>
    <m/>
    <m/>
    <s v="N"/>
    <x v="14"/>
    <s v="9666639630"/>
    <s v="X"/>
    <n v="25343.440000000002"/>
    <n v="280000"/>
    <n v="305343.44"/>
    <s v=""/>
    <n v="305343.44"/>
    <n v="88315.3"/>
    <n v="257960"/>
    <n v="226340"/>
    <x v="0"/>
    <x v="0"/>
    <n v="0"/>
    <n v="226340"/>
    <x v="0"/>
    <s v="NA"/>
    <n v="0"/>
    <s v="SAMBA"/>
    <x v="11"/>
    <x v="3"/>
    <s v="2-65-A DEVANAKONDA NEAR BUSTAND KURNOOL ROAD  KURNOOL ANP 518465"/>
    <s v="GOVERNMENT OF ANDHRA PRADESH &quot;SY NO 01,NELATHALAMARRI SACHIVALAYAM&quot; &quot;DEVANKONDA MANDAL,KURNOOL&quot; &quot;DEVANKONDA MANDAL,KURNOOL&quot; KURNOOL ANP 518465"/>
    <s v="KURNOOL"/>
    <x v="1"/>
    <x v="18"/>
    <s v="SAMBA"/>
    <n v="801772794"/>
    <s v="Ssde@9876"/>
    <m/>
    <m/>
    <x v="1"/>
    <m/>
    <m/>
    <x v="1"/>
    <d v="2024-09-05T00:00:00"/>
    <n v="14270"/>
    <s v="Chennai Super Kings ICICI Bank Credit Card"/>
    <s v="7TH JULY"/>
    <s v="0000000028307657"/>
    <d v="2026-07-09T00:00:00"/>
  </r>
  <r>
    <s v="4748464723994007"/>
    <s v="MR THOTA SRINIVAS"/>
    <n v="0"/>
    <x v="0"/>
    <m/>
    <m/>
    <m/>
    <s v="N"/>
    <x v="14"/>
    <s v="9989710539"/>
    <s v="X"/>
    <n v="6068.7600000000093"/>
    <n v="290000"/>
    <n v="296068.76"/>
    <s v=""/>
    <n v="296068.76"/>
    <n v="275999"/>
    <n v="52750"/>
    <n v="13800"/>
    <x v="1"/>
    <x v="2"/>
    <n v="14000"/>
    <n v="-200"/>
    <x v="27"/>
    <s v="TC"/>
    <s v="30501-BBPS Payment received"/>
    <s v="SAMBA"/>
    <x v="11"/>
    <x v="3"/>
    <s v="55-1-172 RAMARAM  WARANGAL WARANGAL TNG 506015"/>
    <s v="OPTUM GLOBAL SOLUTIONS INDIA PRIVATE LIM &quot;7TH AND 8TH LEVEL, BUILDING NO H04&quot; GACHIBOWLI GACHIBOWLI HYDERABAD TNG 500081"/>
    <s v="WARANGAL"/>
    <x v="0"/>
    <x v="0"/>
    <s v="AKHIL"/>
    <n v="801772792"/>
    <s v="Sgr@9290"/>
    <m/>
    <m/>
    <x v="0"/>
    <m/>
    <m/>
    <x v="1"/>
    <d v="2024-09-02T00:00:00"/>
    <n v="79999"/>
    <s v="ICICI Bank Sapphiro Visa Credit Card"/>
    <s v="11TH JULY"/>
    <s v="0000000025054290"/>
    <d v="2026-07-09T00:00:00"/>
  </r>
  <r>
    <s v="4748464736358018"/>
    <s v="MR RATLAVATH SUDHAKAR"/>
    <n v="0"/>
    <x v="0"/>
    <m/>
    <m/>
    <m/>
    <s v="N"/>
    <x v="14"/>
    <s v="8897204004"/>
    <s v="X"/>
    <n v="18263.710000000021"/>
    <n v="260000"/>
    <n v="278263.71000000002"/>
    <s v=""/>
    <n v="278263.71000000002"/>
    <n v="254100.28"/>
    <n v="60740"/>
    <n v="17440"/>
    <x v="0"/>
    <x v="0"/>
    <n v="0"/>
    <n v="17440"/>
    <x v="0"/>
    <s v="NA"/>
    <n v="0"/>
    <s v="SAMBA"/>
    <x v="0"/>
    <x v="3"/>
    <s v="&quot;HOUSE NO 1-69, CHAKALPALLY,&quot; &quot;KULKA CHARLA,MARRIKAL,&quot; &quot;K.V RANGAREDDY,MAHABOOB NAGAR&quot; NEAR WATER TANK MAHBOOBNAGAR TNG 509340"/>
    <s v="WIPRO LIMITED ALSO WIPRO TECHNOLOGIES A &quot;203, 115/1, ISB RD,FINANCIAL DISTRICT,&quot; &quot;NANAKRAMGUDA ,GATCHIBOWLI&quot; &quot;NANAKRAMGUDA ,GATCHIBOWLI&quot; HYDERABAD TNG 500032"/>
    <s v="MAHBOOBNAGAR"/>
    <x v="0"/>
    <x v="19"/>
    <s v="SAMBA"/>
    <n v="801772794"/>
    <s v="Ssde@9876"/>
    <m/>
    <m/>
    <x v="1"/>
    <m/>
    <m/>
    <x v="1"/>
    <d v="2024-07-17T00:00:00"/>
    <n v="38920"/>
    <s v="Chennai Super Kings ICICI Bank Credit Card"/>
    <s v="11TH JULY"/>
    <s v="0000000026769848"/>
    <d v="2026-07-09T00:00:00"/>
  </r>
  <r>
    <s v="4748464721790001"/>
    <s v="MR ESLAVATH MANYAM"/>
    <n v="0"/>
    <x v="0"/>
    <m/>
    <m/>
    <m/>
    <s v="N"/>
    <x v="14"/>
    <s v="7013907865"/>
    <s v="X"/>
    <n v="12060.709999999992"/>
    <n v="250000"/>
    <n v="262060.71"/>
    <n v="103802.69"/>
    <n v="158258.01999999999"/>
    <n v="143645.1"/>
    <n v="55870"/>
    <n v="26750"/>
    <x v="0"/>
    <x v="0"/>
    <n v="0"/>
    <n v="26750"/>
    <x v="0"/>
    <s v="NA"/>
    <n v="0"/>
    <s v="SAMBA"/>
    <x v="2"/>
    <x v="3"/>
    <s v="5-78 BANAY GANI TAANDA  MAHBUBNAGAR MAHBOOBNAGAR TNG 509381"/>
    <s v="GOVERNMENT OF TELANGANA &quot;UPS MUMMALLA,KOTHAK&quot; &quot;WANAPARTHY,&quot; &quot;WANAPARTHY,&quot; MAHBOOBNAGAR TNG 509381"/>
    <s v="WANAPARTHY"/>
    <x v="0"/>
    <x v="19"/>
    <s v="SAMBA"/>
    <n v="801772794"/>
    <s v="Ssde@9876"/>
    <m/>
    <m/>
    <x v="1"/>
    <m/>
    <m/>
    <x v="1"/>
    <d v="2026-05-09T00:00:00"/>
    <n v="53111"/>
    <s v="Chennai Super Kings ICICI Bank Credit Card"/>
    <s v="11TH JULY"/>
    <s v="0000000024902304"/>
    <d v="2026-07-09T00:00:00"/>
  </r>
  <r>
    <s v="5241935727966009"/>
    <s v="MS JYOTHI BODA"/>
    <n v="0"/>
    <x v="0"/>
    <m/>
    <m/>
    <m/>
    <s v="N"/>
    <x v="14"/>
    <s v="9912524801"/>
    <s v="X"/>
    <n v="22990.399999999994"/>
    <n v="230000"/>
    <n v="252990.4"/>
    <s v=""/>
    <n v="252990.4"/>
    <n v="229982.97"/>
    <n v="58610"/>
    <n v="23720"/>
    <x v="0"/>
    <x v="0"/>
    <n v="0"/>
    <n v="23720"/>
    <x v="0"/>
    <s v="NA"/>
    <n v="0"/>
    <s v="SAMBA"/>
    <x v="3"/>
    <x v="3"/>
    <s v="&quot;H NO-2-57/2,ADAVIKESHVAPUR&quot; &quot;WARANGAL,&quot;  NEAR MAIN ROAD WARANGAL TNG 506167"/>
    <s v="GOVT OF TELANGANA WARANGAL   WARANGAL TNG 506302"/>
    <s v="WARANGAL"/>
    <x v="0"/>
    <x v="30"/>
    <s v="RAJKUMAR"/>
    <n v="802835406"/>
    <s v="Ssde@9290"/>
    <m/>
    <m/>
    <x v="1"/>
    <m/>
    <m/>
    <x v="1"/>
    <d v="2025-06-21T00:00:00"/>
    <n v="13000"/>
    <s v="ICICI Bank HPCL Super Saver Master Credit Card"/>
    <s v="11TH JULY"/>
    <s v="0000000025889996"/>
    <d v="2026-07-09T00:00:00"/>
  </r>
  <r>
    <s v="4748464727040005"/>
    <s v="MR GANDI VIJAYKUMAR"/>
    <n v="0"/>
    <x v="0"/>
    <m/>
    <m/>
    <m/>
    <s v="N"/>
    <x v="14"/>
    <s v="7396300511"/>
    <s v="X"/>
    <n v="10397.510000000009"/>
    <n v="210000"/>
    <n v="220397.51"/>
    <n v="43021.06"/>
    <n v="177376.45"/>
    <n v="152580.34"/>
    <n v="60000"/>
    <n v="32790"/>
    <x v="0"/>
    <x v="0"/>
    <n v="0"/>
    <n v="32790"/>
    <x v="0"/>
    <s v="NA"/>
    <n v="0"/>
    <s v="SAMBA"/>
    <x v="0"/>
    <x v="3"/>
    <s v="HOUSE NUMBER 36-7-87 MANDAL GEESUGONDA DHARMARAM WARANGAL WARANGAL TNG 506330"/>
    <s v="WIPRO LIMITED ALSO WIPRO TECHNOLOGIES A SURVEY NO.124 AND PART OF 132/P SEZ &quot;VATTINAGULAPALLY,GOPAN PALLY&quot; &quot;VATTINAGULAPALLY,GOPAN PALLY&quot; HYDERABAD TNG 501301"/>
    <s v="WARANGAL"/>
    <x v="0"/>
    <x v="0"/>
    <s v="AKHIL"/>
    <n v="801772792"/>
    <s v="Sgr@9290"/>
    <m/>
    <m/>
    <x v="0"/>
    <s v="LIVE"/>
    <s v="Cust went to outside respond to call and said need settlement"/>
    <x v="26"/>
    <d v="2025-12-08T00:00:00"/>
    <n v="33300"/>
    <s v="ICICI Bank Sapphiro Visa Credit Card"/>
    <s v="11TH JULY"/>
    <s v="0000000025344316"/>
    <d v="2026-07-09T00:00:00"/>
  </r>
  <r>
    <s v="5241935791549012"/>
    <s v="MR PUTCHA PAVAN KUMAR REDDY"/>
    <n v="0"/>
    <x v="0"/>
    <m/>
    <m/>
    <m/>
    <s v="N"/>
    <x v="14"/>
    <s v="8500930507"/>
    <s v="X"/>
    <n v="16687.079999999987"/>
    <n v="200000"/>
    <n v="216687.08"/>
    <s v=""/>
    <n v="216687.08"/>
    <n v="196097.22"/>
    <n v="48900"/>
    <n v="18650"/>
    <x v="0"/>
    <x v="0"/>
    <n v="0"/>
    <n v="18650"/>
    <x v="0"/>
    <s v="NA"/>
    <n v="0"/>
    <s v="SAMBA"/>
    <x v="3"/>
    <x v="3"/>
    <s v="&quot;2/116 AGADUR,CUDDAPAH,&quot; THONDUR MANDALM CUDDAPAH NEAR BUSSTAND PRODDATUR ANP 516421"/>
    <s v="AGRICULTURE AND REAL ESTATE 2/116 AGADUR THONDUR MANDALM CUDDAPAH CUDDAPAH PRODDATUR ANP 516421"/>
    <s v="PRODDATUR"/>
    <x v="1"/>
    <x v="15"/>
    <s v="VSSK PRASAD"/>
    <n v="802349062"/>
    <s v="Ssd@9290"/>
    <m/>
    <m/>
    <x v="1"/>
    <m/>
    <m/>
    <x v="1"/>
    <d v="2026-01-13T00:00:00"/>
    <n v="10000"/>
    <s v="ICICI Bank HPCL Super Saver Master Credit Card"/>
    <s v="11TH JULY"/>
    <s v="0000000029629457"/>
    <d v="2026-07-09T00:00:00"/>
  </r>
  <r>
    <s v="4748461212057007"/>
    <s v="MR BOYAPATI GEORGE REDDY"/>
    <n v="0"/>
    <x v="0"/>
    <m/>
    <m/>
    <m/>
    <s v="N"/>
    <x v="14"/>
    <s v="9989457513"/>
    <s v="X"/>
    <n v="17917.420000000013"/>
    <n v="180000"/>
    <n v="197917.42"/>
    <s v=""/>
    <n v="197917.42"/>
    <n v="179883.18"/>
    <n v="46060"/>
    <n v="18130"/>
    <x v="1"/>
    <x v="1"/>
    <n v="46060"/>
    <n v="-27930"/>
    <x v="24"/>
    <s v="TC"/>
    <s v="30501-BBPS Payment received"/>
    <s v="SAMBA"/>
    <x v="3"/>
    <x v="3"/>
    <s v="1-81 REDDYPALEM WARDHANNAPET NANDANAM WARANGAL BESIDE GRAMPANCHAYATHI WARANGAL TNG 506313"/>
    <s v="COGNIZANT TECHNOLOGY SOLUTIONS INDIA PRI 115/535 MAHABALIPURAM ROAD MAHABALIPURAM ROAD CHENNAI TMN 600097"/>
    <s v="WARANGAL"/>
    <x v="0"/>
    <x v="0"/>
    <s v="AKHIL"/>
    <n v="801772792"/>
    <s v="Sgr@9290"/>
    <m/>
    <m/>
    <x v="0"/>
    <m/>
    <m/>
    <x v="1"/>
    <d v="2025-01-21T00:00:00"/>
    <n v="100"/>
    <s v="MakeMyTrip ICICI Bank Platinum Credit Card"/>
    <s v="11TH JULY"/>
    <s v="0000000022489092"/>
    <d v="2026-07-09T00:00:00"/>
  </r>
  <r>
    <s v="4748464731956006"/>
    <s v="MR U CHINNA VENKANNA"/>
    <n v="0"/>
    <x v="0"/>
    <m/>
    <m/>
    <m/>
    <s v="N"/>
    <x v="14"/>
    <s v="8978789976"/>
    <s v="X"/>
    <n v="9718.0100000000093"/>
    <n v="180000"/>
    <n v="189718.01"/>
    <s v=""/>
    <n v="189718.01"/>
    <n v="179503.79"/>
    <n v="47410"/>
    <n v="27340"/>
    <x v="0"/>
    <x v="0"/>
    <n v="0"/>
    <n v="27340"/>
    <x v="0"/>
    <s v="NA"/>
    <n v="0"/>
    <s v="SAMBA"/>
    <x v="11"/>
    <x v="3"/>
    <s v="4-14 MANOPAD MANDAL NEW SC COLONY MANOPAD MAHBOOBNAGAR TNG 509128"/>
    <s v="MANDAL PRAJA PARISHAD OFFICE MANOPAD MANOPAD MANOPAD MAHBOOBNAGAR TNG 509128"/>
    <s v="MAHBOOBNAGAR"/>
    <x v="0"/>
    <x v="19"/>
    <s v="SAMBA"/>
    <n v="801772794"/>
    <s v="Ssde@9876"/>
    <m/>
    <m/>
    <x v="1"/>
    <m/>
    <m/>
    <x v="1"/>
    <d v="2026-06-19T00:00:00"/>
    <n v="14600"/>
    <s v="Chennai Super Kings ICICI Bank Credit Card"/>
    <s v="11TH JULY"/>
    <s v="0000000025892947"/>
    <d v="2026-07-09T00:00:00"/>
  </r>
  <r>
    <s v="5241935774612001"/>
    <s v="MR HARISH MUVVA"/>
    <n v="0"/>
    <x v="0"/>
    <m/>
    <m/>
    <m/>
    <s v="N"/>
    <x v="14"/>
    <s v="9771012345"/>
    <s v="W"/>
    <n v="-75772.88"/>
    <n v="250000"/>
    <n v="174227.12"/>
    <s v=""/>
    <n v="174227.12"/>
    <n v="159090.85"/>
    <n v="24800"/>
    <n v="9450"/>
    <x v="0"/>
    <x v="0"/>
    <n v="0"/>
    <n v="9450"/>
    <x v="0"/>
    <s v="NA"/>
    <n v="0"/>
    <s v="SAMBA"/>
    <x v="0"/>
    <x v="3"/>
    <s v="1-11-5A 05 WARD RAILPET BAPATLA GUNTUR NEAR RAILPET 5 WARD GUNTUR ANP 522101"/>
    <s v="HARISH MUVVA MADHAPUR SERILINGAMPALLY 190/7/B/MS/402/ NR MADHAPUR NR MADHAPUR HYDERABAD TNG 500018"/>
    <s v="GUNTUR"/>
    <x v="5"/>
    <x v="10"/>
    <s v="INAMUL"/>
    <n v="802823175"/>
    <s v="Sgr@9290"/>
    <m/>
    <m/>
    <x v="0"/>
    <s v="SKIP"/>
    <s v="CUSTOMER NOT LIVING IN GIVING ADDRESS CUSTOMER MOBILE NOT ANSWERING SIR // CUSTOMER NOT LIVING IN GIVING ADDRESS CUSTOMER MOBILE NOT ANSWERING SIR"/>
    <x v="23"/>
    <d v="2024-09-05T00:00:00"/>
    <n v="27640"/>
    <s v="ICICI Bank HPCL Super Saver Master Credit Card"/>
    <s v="11TH JULY"/>
    <s v="0000000028197073"/>
    <d v="2026-07-09T00:00:00"/>
  </r>
  <r>
    <s v="5241935730156010"/>
    <s v="MR DOSETTY SARALA"/>
    <n v="0"/>
    <x v="0"/>
    <m/>
    <s v="CC"/>
    <m/>
    <s v="N"/>
    <x v="14"/>
    <s v="9676469952"/>
    <s v="X"/>
    <n v="-29418.619999999995"/>
    <n v="200000"/>
    <n v="170581.38"/>
    <s v=""/>
    <n v="170581.38"/>
    <n v="158199.6"/>
    <n v="26600"/>
    <n v="16490"/>
    <x v="1"/>
    <x v="1"/>
    <n v="170581.38"/>
    <n v="-154091.38"/>
    <x v="27"/>
    <s v="TC"/>
    <s v="30501-BBPS Payment received"/>
    <s v="SAMBA"/>
    <x v="3"/>
    <x v="3"/>
    <s v="&quot;D NO 1-132 ,KUDERU&quot; CHOLASAMUDRAM ANANTAPUR NEAR MAIN ROAD ANANTAPUR ANP 515711"/>
    <s v="COGNIZANT TECHNOLOGY SOLUTIONS INDIA PRI MANYATA EMBASSY BUSSINESS PARK &quot;OUTER RING ROAD,F3 BUILDING&quot; &quot;OUTER RING ROAD,F3 BUILDING&quot; BANGALORE KAR 560045"/>
    <s v="ANANTAPUR"/>
    <x v="1"/>
    <x v="12"/>
    <s v="POORNIMA"/>
    <n v="802824019"/>
    <s v="Nihan@2421"/>
    <m/>
    <m/>
    <x v="0"/>
    <m/>
    <m/>
    <x v="1"/>
    <d v="2026-02-18T00:00:00"/>
    <n v="85948"/>
    <s v="ICICI Bank HPCL Super Saver Master Credit Card"/>
    <s v="11TH JULY"/>
    <s v="0000000025976235"/>
    <d v="2026-07-09T00:00:00"/>
  </r>
  <r>
    <s v="5241935767108009"/>
    <s v="MS DAMMA PUSHPALA"/>
    <n v="0"/>
    <x v="0"/>
    <m/>
    <m/>
    <m/>
    <s v="N"/>
    <x v="14"/>
    <s v="7702271710"/>
    <s v="X"/>
    <n v="19029.709999999992"/>
    <n v="150000"/>
    <n v="169029.71"/>
    <s v=""/>
    <n v="169029.71"/>
    <n v="148369.24"/>
    <n v="47910"/>
    <n v="17160"/>
    <x v="0"/>
    <x v="0"/>
    <n v="0"/>
    <n v="17160"/>
    <x v="0"/>
    <s v="NA"/>
    <n v="0"/>
    <s v="SAMBA"/>
    <x v="2"/>
    <x v="3"/>
    <s v="H NO 17-11 OLD MANCHERIAL MANCHERIAL NEAR WATER TANK ADILABAD TNG 504208"/>
    <s v="GOVT OF TELANGANA TSMS SCHOOL MANDAMARRI MANDAMARRI ADILABAD TNG 504231"/>
    <s v="ADILABAD"/>
    <x v="0"/>
    <x v="24"/>
    <s v="K RAMU"/>
    <n v="802898520"/>
    <s v="Ssd@9290"/>
    <m/>
    <m/>
    <x v="0"/>
    <s v="DL"/>
    <s v="ustomer given address visit address not found trying to alternative // Customer given office address visit customer not available not working transfer to other please no information from staff, customer call not answer // Customer given address visit address door locked trying to alternative"/>
    <x v="26"/>
    <d v="2026-02-17T00:00:00"/>
    <n v="49000"/>
    <s v="ICICI Bank HPCL Super Saver Master Credit Card"/>
    <s v="11TH JULY"/>
    <s v="0000000027695567"/>
    <d v="2026-07-09T00:00:00"/>
  </r>
  <r>
    <s v="5241935707036005"/>
    <s v="MR KUNCHA VENUGOPAL"/>
    <s v="RTP"/>
    <x v="0"/>
    <n v="1"/>
    <s v="CC"/>
    <m/>
    <s v="O"/>
    <x v="14"/>
    <s v="9494503310"/>
    <s v="X"/>
    <n v="2147.8800000000047"/>
    <n v="160000"/>
    <n v="162147.88"/>
    <s v=""/>
    <n v="162147.88"/>
    <n v="147112.4"/>
    <n v="35060"/>
    <n v="17530"/>
    <x v="0"/>
    <x v="0"/>
    <n v="0"/>
    <n v="17530"/>
    <x v="0"/>
    <s v="NA"/>
    <n v="0"/>
    <s v="SAMBA"/>
    <x v="11"/>
    <x v="3"/>
    <s v="&quot;26-03-2434/2B V NAGAR, NEAR SADHANA&quot; &quot;SCHOOL , NELLORE , NELLORE  2&quot; NELLORE NEAR SADHANA SCHOOL NELLORE ANP 524003"/>
    <s v="GOVT OF EDUCATION  DEPARTMENT &quot;KOVURU  , SUBSTATION , PATURU ROAD&quot; &quot;KOVURU , NELLORE&quot; &quot;KOVURU , NELLORE&quot; NELLORE ANP 524137"/>
    <s v="NELLORE"/>
    <x v="2"/>
    <x v="4"/>
    <s v="IMAMVALLI"/>
    <n v="802789320"/>
    <s v="Ssd@9290"/>
    <m/>
    <m/>
    <x v="0"/>
    <s v="SKIP"/>
    <s v="m shifted from here sir and cm call not answering"/>
    <x v="20"/>
    <d v="2025-12-30T00:00:00"/>
    <n v="48676"/>
    <s v="ICICI Bank HPCL Super Saver Master Credit Card"/>
    <s v="11TH JULY"/>
    <s v="0000000024969350"/>
    <d v="2026-07-09T00:00:00"/>
  </r>
  <r>
    <s v="5241935793955001"/>
    <s v="MR SURYANARAYANA PATNEEDI"/>
    <n v="0"/>
    <x v="0"/>
    <m/>
    <m/>
    <m/>
    <s v="N"/>
    <x v="14"/>
    <s v="7013906392"/>
    <s v="X"/>
    <n v="-8462.4200000000128"/>
    <n v="169000"/>
    <n v="160537.57999999999"/>
    <s v=""/>
    <n v="160537.57999999999"/>
    <n v="146702"/>
    <n v="23970"/>
    <n v="8410"/>
    <x v="0"/>
    <x v="0"/>
    <n v="0"/>
    <n v="8410"/>
    <x v="0"/>
    <s v="NA"/>
    <n v="0"/>
    <s v="SAMBA"/>
    <x v="3"/>
    <x v="3"/>
    <s v="MN RD BIKKAVOLU MANDALAM MELLURU MELLURU MAIN ROAD RAMACHANDRAPURAM ANP 533255"/>
    <s v="CAPGEMINI TECHNOLOGY SERVICES INDIA LIMI CAPGEMINI TECHNOLOGY SERVICES INDIA LIMI &quot;SUMMIT TOWER A 73/1,WHITFIELD MAIN ROAD&quot; &quot;SUMMIT TOWER A 73/1,WHITFIELD MAIN ROAD&quot; BANGALORE KAR 560037"/>
    <s v="RAMACHANDRAPURAM"/>
    <x v="4"/>
    <x v="50"/>
    <s v="UDAY"/>
    <n v="801436997"/>
    <s v="Ssd@9290"/>
    <m/>
    <m/>
    <x v="1"/>
    <m/>
    <m/>
    <x v="1"/>
    <d v="2024-08-21T00:00:00"/>
    <n v="11050"/>
    <s v="ICICI Bank HPCL Super Saver Master Credit Card"/>
    <s v="11TH JULY"/>
    <s v="0000000029872383"/>
    <d v="2026-07-09T00:00:00"/>
  </r>
  <r>
    <s v="4748464732390007"/>
    <s v="MR THUNIKI PRASAD"/>
    <s v="RTP"/>
    <x v="0"/>
    <n v="1"/>
    <s v="CC"/>
    <m/>
    <s v="O"/>
    <x v="14"/>
    <s v="9398272098"/>
    <s v="X"/>
    <n v="7047.8999999999942"/>
    <n v="150000"/>
    <n v="157047.9"/>
    <s v=""/>
    <n v="157047.9"/>
    <n v="148380.78"/>
    <n v="38870"/>
    <n v="22980"/>
    <x v="0"/>
    <x v="0"/>
    <n v="0"/>
    <n v="22980"/>
    <x v="0"/>
    <s v="NA"/>
    <n v="0"/>
    <s v="SAMBA"/>
    <x v="2"/>
    <x v="3"/>
    <s v="H NO 2-27/3 GHANPUR MANDAL BANGLAPALLY WARANGAL WARANGAL TNG 506345"/>
    <s v="TELANGANA STATE POWER GENERATION CORPORA 0/0 SE/0 M-11/KTPP CHELPUR GHANPUR CHELPUR GHANPUR WARANGAL TNG 506168"/>
    <s v="WARANGAL"/>
    <x v="0"/>
    <x v="0"/>
    <s v="AKHIL"/>
    <n v="801772792"/>
    <s v="Sgr@9290"/>
    <m/>
    <m/>
    <x v="1"/>
    <m/>
    <m/>
    <x v="1"/>
    <d v="2024-11-11T00:00:00"/>
    <n v="11770"/>
    <s v="Chennai Super Kings ICICI Bank Credit Card"/>
    <s v="11TH JULY"/>
    <s v="0000000025946783"/>
    <d v="2026-07-09T00:00:00"/>
  </r>
  <r>
    <s v="6528690194293005"/>
    <s v="MR Salijamula Haribabu"/>
    <n v="0"/>
    <x v="0"/>
    <m/>
    <m/>
    <m/>
    <s v="N"/>
    <x v="14"/>
    <s v="9908470428"/>
    <s v="X"/>
    <n v="3934.4800000000105"/>
    <n v="150000"/>
    <n v="153934.48000000001"/>
    <n v="120493.7"/>
    <n v="33440.78"/>
    <n v="23608.79"/>
    <n v="20310"/>
    <n v="10540"/>
    <x v="1"/>
    <x v="1"/>
    <n v="20310"/>
    <n v="-9770"/>
    <x v="24"/>
    <s v="TC"/>
    <s v="12124 - UPI Payment Received"/>
    <s v="SAMBA"/>
    <x v="2"/>
    <x v="3"/>
    <s v="312 Idamakallu Edamakallu Po idamakallu Praka 312 Idamakallu  IdamakalluPrakasam ONG ANP 523369"/>
    <s v="PULLALACHERUVU MANDAL PRAKASAM S NO 128 MARRIVEMULA VILLAGE SACHIVALAYAM   ONG ANP 523328"/>
    <s v="NANDYAL"/>
    <x v="1"/>
    <x v="7"/>
    <s v="HARI"/>
    <n v="802388289"/>
    <s v="Ssd@9290"/>
    <m/>
    <m/>
    <x v="0"/>
    <m/>
    <m/>
    <x v="1"/>
    <s v=""/>
    <n v="0"/>
    <s v="ICICI Bank HPCL Super Saver RuPay Credit Card"/>
    <s v="11TH JULY"/>
    <s v="0000000035626845"/>
    <d v="2026-07-09T00:00:00"/>
  </r>
  <r>
    <s v="5241935725547009"/>
    <s v="MR RODDA YADAGIRI"/>
    <n v="0"/>
    <x v="0"/>
    <m/>
    <m/>
    <m/>
    <s v="N"/>
    <x v="14"/>
    <s v="9491453333"/>
    <s v="X"/>
    <n v="5083.25"/>
    <n v="140000"/>
    <n v="145083.25"/>
    <s v=""/>
    <n v="145083.25"/>
    <n v="137588.31"/>
    <n v="27670"/>
    <n v="13960"/>
    <x v="0"/>
    <x v="0"/>
    <n v="0"/>
    <n v="13960"/>
    <x v="0"/>
    <s v="NA"/>
    <n v="0"/>
    <s v="SAMBA"/>
    <x v="0"/>
    <x v="3"/>
    <s v="&quot;571132/2 HOUSING BOARD COLONY,&quot; OPPOSITE WATER TANK KARIMNAGAR NEAR HOUSING BOARD COLONY ADILABAD TNG 505001"/>
    <s v="GOVERNMENT OF TELANGANA RAMAGUNDAM MUNICIPAL CORPORATION MUNICIPAL ADMINISTRATION DEPARTMENT MUNICIPAL ADMINISTRATION DEPARTMENT PEDDAPALLI TNG 505208"/>
    <s v="KARIMNAGAR"/>
    <x v="0"/>
    <x v="8"/>
    <s v="SUMANTH"/>
    <n v="802370852"/>
    <s v="Sgr@9290"/>
    <m/>
    <m/>
    <x v="0"/>
    <s v="LIVE"/>
    <s v="Customer live in address and customer went to office call not received // Customer live in address and customer  given ptp today eveing"/>
    <x v="26"/>
    <d v="2026-03-06T00:00:00"/>
    <n v="10000"/>
    <s v="ICICI Bank HPCL Super Saver Master Credit Card"/>
    <s v="11TH JULY"/>
    <s v="0000000025786373"/>
    <d v="2026-07-09T00:00:00"/>
  </r>
  <r>
    <s v="4748464735021005"/>
    <s v="MR ALISHETTY SAMPATH"/>
    <n v="0"/>
    <x v="0"/>
    <m/>
    <m/>
    <m/>
    <s v="N"/>
    <x v="14"/>
    <s v="9676838162"/>
    <s v="X"/>
    <n v="63780.97"/>
    <n v="80000"/>
    <n v="143780.97"/>
    <n v="91220.08"/>
    <n v="52560.89"/>
    <n v="47935.66"/>
    <n v="32320"/>
    <n v="16140"/>
    <x v="0"/>
    <x v="0"/>
    <n v="0"/>
    <n v="16140"/>
    <x v="0"/>
    <s v="NA"/>
    <n v="0"/>
    <s v="SAMBA"/>
    <x v="3"/>
    <x v="3"/>
    <s v="8-1-157 &quot;NANDISWARA COLONY ,KATTARAMPUR&quot; KARIMNAGAR NEAR GOVT SCHOOL KARIMNAGAR TNG 505525"/>
    <s v="SHRIRAM TRANSPORT FINANCE COMPANY LIMITE MUKARAMPURA KARIMNAGAR KARIMNAGAR ADILABAD TNG 505001"/>
    <s v="KARIMNAGAR"/>
    <x v="0"/>
    <x v="8"/>
    <s v="SUMANTH"/>
    <n v="802370852"/>
    <s v="Sgr@9290"/>
    <m/>
    <m/>
    <x v="0"/>
    <s v="LIVE"/>
    <s v="ustomer live in address and customer went to office call answered given ptp on 20th date"/>
    <x v="26"/>
    <d v="2026-06-20T00:00:00"/>
    <n v="16000"/>
    <s v="Chennai Super Kings ICICI Bank Credit Card"/>
    <s v="11TH JULY"/>
    <s v="0000000026485584"/>
    <d v="2026-07-09T00:00:00"/>
  </r>
  <r>
    <s v="4375518448403006"/>
    <s v="MR CHANDRAGIRI SRIKAR BABU"/>
    <n v="0"/>
    <x v="0"/>
    <m/>
    <m/>
    <m/>
    <s v="N"/>
    <x v="14"/>
    <s v="9966882888"/>
    <s v="X"/>
    <n v="14143.149999999994"/>
    <n v="120000"/>
    <n v="134143.15"/>
    <s v=""/>
    <n v="134143.15"/>
    <n v="118871.73"/>
    <n v="34430"/>
    <n v="14820"/>
    <x v="1"/>
    <x v="2"/>
    <n v="15020"/>
    <n v="-200"/>
    <x v="23"/>
    <s v="TC"/>
    <s v="12124 - UPI Payment Received"/>
    <s v="SAMBA"/>
    <x v="11"/>
    <x v="3"/>
    <s v="H NO 18-3-3 GODAVARIKHANI GANESH NAGAR KARIMNAGAR PEDDAPALLI TNG 505209"/>
    <s v="ADECCO INDIA PVT LTD 19-7-63 LAXMINAGAR GODAVARIKHANI GODAVARIKHANI PEDDAPALLI TNG 505209"/>
    <s v="PEDDAPALLI"/>
    <x v="0"/>
    <x v="39"/>
    <s v="POORNIMA"/>
    <n v="802824019"/>
    <s v="Nihan@2421"/>
    <m/>
    <m/>
    <x v="0"/>
    <s v="LIVE"/>
    <s v="Customer brother stab Amount today evening paid me sir"/>
    <x v="21"/>
    <d v="2026-02-12T00:00:00"/>
    <n v="21979"/>
    <s v="MakeMyTrip ICICI Bank Platinum Credit Card"/>
    <s v="11TH JULY"/>
    <s v="0000000013934510"/>
    <d v="2026-07-09T00:00:00"/>
  </r>
  <r>
    <s v="4073520450231007"/>
    <s v="MR GANNAMANENI PRAVEEN KUMAR"/>
    <n v="0"/>
    <x v="0"/>
    <m/>
    <m/>
    <m/>
    <s v="N"/>
    <x v="14"/>
    <s v="9951151236"/>
    <s v="X"/>
    <n v="-2541.9900000000052"/>
    <n v="130000"/>
    <n v="127458.01"/>
    <s v=""/>
    <n v="127458.01"/>
    <n v="115343.16"/>
    <n v="19410"/>
    <n v="6780"/>
    <x v="0"/>
    <x v="0"/>
    <n v="0"/>
    <n v="6780"/>
    <x v="0"/>
    <s v="NA"/>
    <n v="0"/>
    <s v="SAMBA"/>
    <x v="2"/>
    <x v="3"/>
    <s v="5-8-1000/3 KAMAREDDY ASHOK NAGAR COLONY KAMAREDDY NIZAMABAD TNG 503111"/>
    <s v="AMRUTHA GRAND HOTEL 5-8-1000/3  ASHOK NAGAR &quot;KAMAREDDY TOWN, KAMAREDDY DISTT NIZAMA&quot; &quot;KAMAREDDY TOWN, KAMAREDDY DISTT NIZAMA&quot; NIZAMABAD TNG 503111"/>
    <s v="NIZAMABAD"/>
    <x v="0"/>
    <x v="38"/>
    <s v="PRASHANTH"/>
    <n v="802551967"/>
    <s v="Ssde@9290"/>
    <m/>
    <m/>
    <x v="0"/>
    <s v="LIVE"/>
    <s v="customer not available and phone not responding"/>
    <x v="25"/>
    <d v="2024-07-06T00:00:00"/>
    <n v="12187.44"/>
    <s v="MakeMyTrip ICICI Bank Signature Credit Card"/>
    <s v="11TH JULY"/>
    <s v="0000000030054121"/>
    <d v="2026-07-09T00:00:00"/>
  </r>
  <r>
    <s v="4748464726028035"/>
    <s v="MR CHARUGONDLA POORNA MANIKANTA"/>
    <n v="0"/>
    <x v="0"/>
    <m/>
    <m/>
    <m/>
    <s v="N"/>
    <x v="14"/>
    <s v="8143340327"/>
    <s v="X"/>
    <n v="106374.13"/>
    <n v="20000"/>
    <n v="126374.13"/>
    <n v="100850.43"/>
    <n v="25523.7"/>
    <n v="18891.669999999998"/>
    <n v="25523.7"/>
    <n v="15242.1"/>
    <x v="0"/>
    <x v="0"/>
    <n v="0"/>
    <n v="15242.1"/>
    <x v="0"/>
    <s v="NA"/>
    <n v="0"/>
    <s v="SAMBA"/>
    <x v="0"/>
    <x v="3"/>
    <s v="&quot;H NO 9-47-7A,KUMMARI STREET,CHITINAGAR,&quot; &quot;VIJAYWADA URBAN,KRISHNA&quot; OPP RAJA HIGH SCHOOL NEAR KBN COLLEGE VIJAYAWADA ANP 520001"/>
    <s v="PAI INTERNATIONAL ELECTRONICS LIMITED &quot;H NO 29-37-15,ELURU ROAD,VIJAYAWADA&quot; OPP RAM MANDIRAM OPP RAM MANDIRAM VIJAYAWADA ANP 520002"/>
    <s v="VIJAYAWADA"/>
    <x v="3"/>
    <x v="46"/>
    <s v="SUDHAKAR"/>
    <n v="802913252"/>
    <s v="Ssd@9290"/>
    <m/>
    <m/>
    <x v="1"/>
    <m/>
    <m/>
    <x v="1"/>
    <d v="2025-01-08T00:00:00"/>
    <n v="10"/>
    <s v="Chennai Super Kings ICICI Bank Credit Card"/>
    <s v="11TH JULY"/>
    <s v="0000000025274206"/>
    <d v="2026-07-09T00:00:00"/>
  </r>
  <r>
    <s v="4748464743133008"/>
    <s v="MR MAMIDI VEERABABU"/>
    <n v="0"/>
    <x v="0"/>
    <m/>
    <m/>
    <m/>
    <s v="N"/>
    <x v="14"/>
    <s v="9603345955"/>
    <s v="X"/>
    <n v="-48829.100000000006"/>
    <n v="170000"/>
    <n v="121170.9"/>
    <s v=""/>
    <n v="121170.9"/>
    <n v="108788.87"/>
    <n v="18240"/>
    <n v="6203"/>
    <x v="1"/>
    <x v="1"/>
    <n v="18240"/>
    <n v="-12037"/>
    <x v="24"/>
    <s v="FE"/>
    <s v="30501-BBPS Payment received"/>
    <s v="SAMBA"/>
    <x v="3"/>
    <x v="3"/>
    <s v="H NO 4-122 SIRIPURAM   SURYAPET TNG 508234"/>
    <s v="GOVT PS POLARAM THANDA SCHOOL GOVT PS PALARAM THANDA POLARAM THANDA VILLAGE ANANTHAGIRI  MANDAL SURYAPET DI VILLAGE ANANTHAGIRI  MANDAL SURYAPET DI SURYAPET TNG 508206"/>
    <s v="SURYAPET"/>
    <x v="0"/>
    <x v="2"/>
    <s v="CHAITANYA"/>
    <n v="802555024"/>
    <s v="Ssde@9290"/>
    <m/>
    <m/>
    <x v="0"/>
    <m/>
    <m/>
    <x v="1"/>
    <d v="2025-03-13T00:00:00"/>
    <n v="59740"/>
    <s v="Chennai Super Kings ICICI Bank Credit Card"/>
    <s v="11TH JULY"/>
    <s v="0000000028114093"/>
    <d v="2026-07-09T00:00:00"/>
  </r>
  <r>
    <s v="4748464745301009"/>
    <s v="MR KADIVENDI RAMANA CHARY"/>
    <s v="RTP"/>
    <x v="0"/>
    <n v="1"/>
    <s v="CC"/>
    <m/>
    <s v="O"/>
    <x v="14"/>
    <s v="8099822390"/>
    <s v="X"/>
    <n v="-2911.5"/>
    <n v="120000"/>
    <n v="117088.5"/>
    <n v="31791.81"/>
    <n v="85296.69"/>
    <n v="79435.58"/>
    <n v="28660"/>
    <n v="15240"/>
    <x v="1"/>
    <x v="1"/>
    <n v="29389"/>
    <n v="-14149"/>
    <x v="23"/>
    <s v="TC"/>
    <n v="0"/>
    <s v="SAMBA"/>
    <x v="0"/>
    <x v="3"/>
    <s v="H NO 1-75/2 PARAKAL MANDAL SEETHARAMPURAM  WARANGAL TNG 506164"/>
    <s v="TRANSMISSION CORPORATION OF TELANGANA LI SALIVAGU JOGAMPALLI JOGAMPALLI WARANGAL TNG 506164"/>
    <s v="WARANGAL"/>
    <x v="0"/>
    <x v="0"/>
    <s v="AKHIL"/>
    <n v="801772792"/>
    <s v="Sgr@9290"/>
    <m/>
    <m/>
    <x v="0"/>
    <m/>
    <m/>
    <x v="1"/>
    <d v="2024-07-09T00:00:00"/>
    <n v="114876.7"/>
    <s v="Chennai Super Kings ICICI Bank Credit Card"/>
    <s v="11TH JULY"/>
    <s v="0000000028485726"/>
    <d v="2026-07-09T00:00:00"/>
  </r>
  <r>
    <s v="6528690158588002"/>
    <s v="MR Sydana Kumar"/>
    <n v="0"/>
    <x v="0"/>
    <m/>
    <m/>
    <m/>
    <s v="N"/>
    <x v="14"/>
    <s v="9640857143"/>
    <s v="X"/>
    <n v="5919.3300000000017"/>
    <n v="110000"/>
    <n v="115919.33"/>
    <n v="59340.4"/>
    <n v="56578.93"/>
    <n v="49477.25"/>
    <n v="18710"/>
    <n v="7010"/>
    <x v="0"/>
    <x v="0"/>
    <n v="0"/>
    <n v="7010"/>
    <x v="0"/>
    <s v="NA"/>
    <n v="0"/>
    <s v="SAMBA"/>
    <x v="2"/>
    <x v="3"/>
    <s v="H NO 7-145 SEETHARAMPURAM VATLURU VILLAGE PEDDAPADU MANDAL ELURU DISTRICT  PEDAPADUWest Godavari ELU ANP 534007"/>
    <s v="&quot;SY NO P322-44M, MDR17 SEETHARANAPURAM SACHIVA&quot; VATLURU PANCHAYATI PEDAPADU MANDAL ELURU   ELU ANP 534007"/>
    <s v="ELURU"/>
    <x v="4"/>
    <x v="32"/>
    <s v="BHARAT CHANDRA"/>
    <n v="802631601"/>
    <s v="Ssde@9290"/>
    <m/>
    <m/>
    <x v="0"/>
    <s v="SKIP"/>
    <s v="emark Customer Phone Not Answer Customer Given Address Skip Sir"/>
    <x v="25"/>
    <s v=""/>
    <n v="0"/>
    <s v="ICICI Bank HPCL Super Saver RuPay Credit Card"/>
    <s v="11TH JULY"/>
    <s v="0000000033773626"/>
    <d v="2026-07-09T00:00:00"/>
  </r>
  <r>
    <s v="4748461242001009"/>
    <s v="MR ANUMASULA SUDHAKAR REDDY"/>
    <n v="0"/>
    <x v="0"/>
    <m/>
    <m/>
    <m/>
    <s v="N"/>
    <x v="14"/>
    <s v="9493195395"/>
    <s v="X"/>
    <n v="-24640.990000000005"/>
    <n v="140000"/>
    <n v="115359.01"/>
    <s v=""/>
    <n v="115359.01"/>
    <n v="104173.01"/>
    <n v="17150"/>
    <n v="5380"/>
    <x v="0"/>
    <x v="0"/>
    <n v="0"/>
    <n v="5380"/>
    <x v="0"/>
    <s v="NA"/>
    <n v="0"/>
    <s v="SAMBA"/>
    <x v="11"/>
    <x v="3"/>
    <s v="HNO 2-78/3/2 SEETHARAMPUR TOWN KARIMNAGAR NEAR ANDHRA BANK ADILABAD TNG 505001"/>
    <s v="GOVERNMENT OF TELANGANA ZPHS SULTANABAD SULTANABAD KARIMNAGAR TNG 505185"/>
    <s v="KARIMNAGAR"/>
    <x v="0"/>
    <x v="8"/>
    <s v="SUMANTH"/>
    <n v="802370852"/>
    <s v="Sgr@9290"/>
    <m/>
    <m/>
    <x v="1"/>
    <m/>
    <m/>
    <x v="1"/>
    <d v="2026-04-21T00:00:00"/>
    <n v="7300"/>
    <s v="MakeMyTrip ICICI Bank Platinum Credit Card"/>
    <s v="11TH JULY"/>
    <s v="0000000022859237"/>
    <d v="2026-07-09T00:00:00"/>
  </r>
  <r>
    <s v="6528690000796001"/>
    <s v="MR ANUGANDULA KIRAN"/>
    <n v="0"/>
    <x v="0"/>
    <m/>
    <m/>
    <m/>
    <s v="N"/>
    <x v="14"/>
    <s v="9666657584"/>
    <s v="X"/>
    <n v="14917.059999999998"/>
    <n v="100000"/>
    <n v="114917.06"/>
    <s v=""/>
    <n v="114917.06"/>
    <n v="99499.91"/>
    <n v="35000"/>
    <n v="12740"/>
    <x v="0"/>
    <x v="0"/>
    <n v="0"/>
    <n v="12740"/>
    <x v="0"/>
    <s v="NA"/>
    <n v="0"/>
    <s v="SAMBA"/>
    <x v="3"/>
    <x v="3"/>
    <s v="&quot;13,167 1 VIDYA NAGAR,KHANAPUR,ADILABAD,&quot; ...  OPP KNR DEGREE COLLEGE ADILABAD TNG 504203"/>
    <s v="SRI OM SAI GENUINE COMPUTERS &quot;12-72,MAIN ROAD VIDHYA NAGAR&quot; KHANAPUR KHANAPUR ADILABAD TNG 504203"/>
    <s v="ADILABAD"/>
    <x v="0"/>
    <x v="3"/>
    <s v="KANTH"/>
    <n v="802794852"/>
    <s v="Ssd@9290"/>
    <m/>
    <m/>
    <x v="0"/>
    <s v="LIVE"/>
    <s v="Customer visit home address meet customer PTP 18"/>
    <x v="21"/>
    <d v="2025-08-08T00:00:00"/>
    <n v="0.01"/>
    <s v="ICICI Bank HPCL Super Saver RuPay Credit Card"/>
    <s v="11TH JULY"/>
    <s v="0000000027285011"/>
    <d v="2026-07-09T00:00:00"/>
  </r>
  <r>
    <s v="4748464748270003"/>
    <s v="MR PUCHAKAYALA SIVAPRASAD"/>
    <n v="0"/>
    <x v="0"/>
    <m/>
    <m/>
    <m/>
    <s v="N"/>
    <x v="14"/>
    <s v="9010413611"/>
    <s v="X"/>
    <n v="3128.070000000007"/>
    <n v="110000"/>
    <n v="113128.07"/>
    <n v="50820.12"/>
    <n v="62307.95"/>
    <n v="52256.23"/>
    <n v="29670"/>
    <n v="14980"/>
    <x v="0"/>
    <x v="0"/>
    <n v="0"/>
    <n v="14980"/>
    <x v="0"/>
    <s v="NA"/>
    <n v="0"/>
    <s v="SAMBA"/>
    <x v="2"/>
    <x v="3"/>
    <s v="3-109 SARABHAVARAM BUS STEND DAGGARA ESAT GODAVARI RAJA RAJASWARVRI TUMPAL KAKINADA ANP 533430"/>
    <s v="GOVERNMENT OF AP GRAMA SACHIVALAYAM GAJJANAPUDI VILLAGE PRATHIPADU MANDAL EAST GODAVARI PRATHIPADU MANDAL EAST GODAVARI KAKINADA ANP 533430"/>
    <s v="KAKINADA"/>
    <x v="4"/>
    <x v="23"/>
    <s v="UDAY"/>
    <n v="801436997"/>
    <s v="Ssd@9290"/>
    <m/>
    <m/>
    <x v="1"/>
    <m/>
    <m/>
    <x v="1"/>
    <d v="2024-11-11T00:00:00"/>
    <n v="8000"/>
    <s v="ICICI Bank Coral RuPay Credit Card"/>
    <s v="11TH JULY"/>
    <s v="0000000029007853"/>
    <d v="2026-07-09T00:00:00"/>
  </r>
  <r>
    <s v="5241935744275004"/>
    <s v="MR DARSI KRISHNARAO"/>
    <n v="0"/>
    <x v="0"/>
    <m/>
    <m/>
    <m/>
    <s v="N"/>
    <x v="14"/>
    <s v="9440693722"/>
    <s v="X"/>
    <n v="12462.11"/>
    <n v="100000"/>
    <n v="112462.11"/>
    <s v=""/>
    <n v="112462.11"/>
    <n v="99962"/>
    <n v="33800"/>
    <n v="17080"/>
    <x v="0"/>
    <x v="0"/>
    <n v="0"/>
    <n v="17080"/>
    <x v="0"/>
    <s v="NA"/>
    <n v="0"/>
    <s v="SAMBA"/>
    <x v="0"/>
    <x v="3"/>
    <s v="&quot;8-85/2 PEDAKURAPADU,.,PEDAKURAPADU,.,&quot; &quot;.GUNTUR ,,ANDHRA PRADESH ,INDIA&quot;  MAIN ROAD NARASAPURAM ANP 522402"/>
    <s v="INFOSYS LIMITED &quot;SURVEY NO 41 PT ,50PT ,POCHARAM VILLAGE,&quot; &quot;VILLAGE,SINGAPORE TOWNSHIP PO, GHATKESAR&quot; &quot;VILLAGE,SINGAPORE TOWNSHIP PO, GHATKESAR&quot; HYDERABAD TNG 500088"/>
    <s v="NARASARAOPET"/>
    <x v="5"/>
    <x v="52"/>
    <s v="DURGA"/>
    <n v="801723195"/>
    <s v="Sgr@9290"/>
    <m/>
    <m/>
    <x v="1"/>
    <m/>
    <m/>
    <x v="1"/>
    <d v="2026-03-07T00:00:00"/>
    <n v="20000"/>
    <s v="ICICI Bank HPCL Super Saver Master Credit Card"/>
    <s v="11TH JULY"/>
    <s v="0000000026626857"/>
    <d v="2026-07-09T00:00:00"/>
  </r>
  <r>
    <s v="5241935716628008"/>
    <s v="MR VARAPRASAD RAO KUCHADI"/>
    <n v="0"/>
    <x v="0"/>
    <m/>
    <m/>
    <m/>
    <s v="N"/>
    <x v="14"/>
    <s v="9490671881"/>
    <s v="X"/>
    <n v="12023.429999999993"/>
    <n v="100000"/>
    <n v="112023.43"/>
    <s v=""/>
    <n v="112023.43"/>
    <n v="99999.19"/>
    <n v="29400"/>
    <n v="12590"/>
    <x v="0"/>
    <x v="0"/>
    <n v="0"/>
    <n v="12590"/>
    <x v="0"/>
    <s v="NA"/>
    <n v="0"/>
    <s v="SAMBA"/>
    <x v="3"/>
    <x v="3"/>
    <s v="&quot;H NO 7-118/1, KOTHAGUDEM  AREA&quot; CHENNUR ADILABAD NEAR CHENNUR BUS STAND ADILABAD TNG 504201"/>
    <s v="GOVT OF EDUCATION DEPARTMENT ZPHS  SIRSA VILLAGE  MANDAL KOTAPALLY MANCHERIAL MANCHERIAL ADILABAD TNG 504201"/>
    <s v="ADILABAD"/>
    <x v="0"/>
    <x v="24"/>
    <s v="K RAMU"/>
    <n v="802898520"/>
    <s v="Ssd@9290"/>
    <m/>
    <m/>
    <x v="1"/>
    <m/>
    <m/>
    <x v="1"/>
    <d v="2025-04-08T00:00:00"/>
    <n v="10000"/>
    <s v="ICICI Bank HPCL Super Saver Master Credit Card"/>
    <s v="11TH JULY"/>
    <s v="0000000025366282"/>
    <d v="2026-07-09T00:00:00"/>
  </r>
  <r>
    <s v="4375518741776009"/>
    <s v="MR KONDA YAZNAPALLAPA RAJU"/>
    <n v="0"/>
    <x v="0"/>
    <m/>
    <m/>
    <m/>
    <s v="N"/>
    <x v="14"/>
    <s v="9398800797"/>
    <s v="X"/>
    <n v="10538.369999999995"/>
    <n v="100000"/>
    <n v="110538.37"/>
    <s v=""/>
    <n v="110538.37"/>
    <n v="99554.9"/>
    <n v="28110"/>
    <n v="13750"/>
    <x v="0"/>
    <x v="0"/>
    <n v="0"/>
    <n v="13750"/>
    <x v="0"/>
    <s v="NA"/>
    <n v="0"/>
    <s v="SAMBA"/>
    <x v="11"/>
    <x v="3"/>
    <s v="H NO 61 312 8 KOBBARI THOTA 3RD LINE KRISHNA LANKA VIJAYAWADA VIJAYAWADA NEAR DISNEE LAND KRISHNA LANKA VIJAYAWADA ANP 520013"/>
    <s v="PMJ GEMS AND JEWELLERS PVT LTD D NO 40 5 1 B MOGALRAJ PURAM PINNAMANENI POLIY CLINIC ROAD VIJAYAWADA POLIY CLINIC ROAD VIJAYAWADA VIJAYAWADA ANP 520010"/>
    <s v="VIJAYAWADA"/>
    <x v="3"/>
    <x v="46"/>
    <s v="SUDHAKAR"/>
    <n v="802913252"/>
    <s v="Ssd@9290"/>
    <m/>
    <m/>
    <x v="0"/>
    <s v="SKIP"/>
    <s v="Cus working address visited but such kind of person was not working here.conformed by the HR department.calls also not responding"/>
    <x v="22"/>
    <d v="2024-05-31T00:00:00"/>
    <n v="92566.35"/>
    <s v="MakeMyTrip ICICI Bank Platinum Credit Card"/>
    <s v="11TH JULY"/>
    <s v="0000000016229862"/>
    <d v="2026-07-09T00:00:00"/>
  </r>
  <r>
    <s v="4748464737551017"/>
    <s v="MR KANNETI VAMSHI"/>
    <n v="0"/>
    <x v="0"/>
    <m/>
    <m/>
    <m/>
    <s v="N"/>
    <x v="14"/>
    <s v="8184884701"/>
    <s v="X"/>
    <n v="8853.3500000000058"/>
    <n v="100000"/>
    <n v="108853.35"/>
    <s v=""/>
    <n v="108853.35"/>
    <n v="95578.58"/>
    <n v="27670"/>
    <n v="10190"/>
    <x v="1"/>
    <x v="1"/>
    <n v="11000"/>
    <n v="-810"/>
    <x v="25"/>
    <s v="FE"/>
    <s v="30501-BBPS Payment received"/>
    <s v="SAMBA"/>
    <x v="11"/>
    <x v="3"/>
    <s v="3-243 ANJANAPURAM  KHAMMAM KHAMMAM TNG 507165"/>
    <s v="WIPRO LIMITED ALSO WIPRO TECHNOLOGIES A BUILDING NO 12D 2ND 3RD AND 4TH FLOOR IT SEZ RAHEJAMINDSPACEHITECHCITYMADHAPUR IT SEZ RAHEJAMINDSPACEHITECHCITYMADHAPUR HYDERABAD TNG 500081"/>
    <s v="KHAMMAM"/>
    <x v="0"/>
    <x v="2"/>
    <s v="CHAITANYA"/>
    <n v="802555024"/>
    <s v="Ssde@9290"/>
    <m/>
    <m/>
    <x v="0"/>
    <m/>
    <m/>
    <x v="1"/>
    <d v="2024-07-20T00:00:00"/>
    <n v="22000"/>
    <s v="Chennai Super Kings ICICI Bank Credit Card"/>
    <s v="11TH JULY"/>
    <s v="0000000027039567"/>
    <d v="2026-07-09T00:00:00"/>
  </r>
  <r>
    <s v="4748464740598005"/>
    <s v="MR KOLE MURALIKRISHNA"/>
    <n v="0"/>
    <x v="0"/>
    <m/>
    <m/>
    <m/>
    <s v="N"/>
    <x v="14"/>
    <s v="6281548719"/>
    <s v="X"/>
    <n v="8116.8000000000029"/>
    <n v="100000"/>
    <n v="108116.8"/>
    <s v=""/>
    <n v="108116.8"/>
    <n v="97713.2"/>
    <n v="24270"/>
    <n v="7630"/>
    <x v="1"/>
    <x v="1"/>
    <n v="24270"/>
    <n v="-16640"/>
    <x v="24"/>
    <s v="TC"/>
    <s v="30501-BBPS Payment received"/>
    <s v="SAMBA"/>
    <x v="0"/>
    <x v="3"/>
    <s v="2-46 BUCHINAIDU KANDRIGA GAJULA PELLURU  TIRUPATHI ANP 517645"/>
    <s v="GOVERNMENT OF ANDRA PRADESH WEST WARATHUR SACHIVALAYAM BUCHINAIDU KANDRIGA BUCHINAIDU KANDRIGA TIRUPATHI ANP 517541"/>
    <s v="TIRUPATHI"/>
    <x v="1"/>
    <x v="25"/>
    <s v="S SEKHAR"/>
    <n v="845041675"/>
    <s v="Ssd@9290"/>
    <m/>
    <m/>
    <x v="0"/>
    <m/>
    <m/>
    <x v="1"/>
    <s v=""/>
    <n v="0"/>
    <s v="Chennai Super Kings ICICI Bank Credit Card"/>
    <s v="11TH JULY"/>
    <s v="0000000027690519"/>
    <d v="2026-07-09T00:00:00"/>
  </r>
  <r>
    <s v="4073520211461000"/>
    <s v="MS VELPULA PRIYA DARSHINI"/>
    <n v="0"/>
    <x v="0"/>
    <m/>
    <m/>
    <m/>
    <s v="N"/>
    <x v="14"/>
    <s v="8520970772"/>
    <s v="X"/>
    <n v="-44208.78"/>
    <n v="150000"/>
    <n v="105791.22"/>
    <s v=""/>
    <n v="105791.22"/>
    <n v="94985.08"/>
    <n v="17620"/>
    <n v="7030"/>
    <x v="0"/>
    <x v="0"/>
    <n v="0"/>
    <n v="7030"/>
    <x v="0"/>
    <s v="NA"/>
    <n v="0"/>
    <s v="SAMBA"/>
    <x v="3"/>
    <x v="3"/>
    <s v="&quot;HNO.31-3-707, PARIMALA&quot; &quot;COLONY WADDEPALLY,ROAD&quot; 19HANUMAKONDA WARANGAL NEAR TEJA INTERNATIONAL SCHOOL WARANGAL TNG 506001"/>
    <s v="GOVERNMENT OF TELANGANA VARALAPALLI HANUMAKONDA   HYDERABAD TNG 505471"/>
    <s v="WARANGAL"/>
    <x v="0"/>
    <x v="0"/>
    <s v="AKHIL"/>
    <n v="801772792"/>
    <s v="Sgr@9290"/>
    <m/>
    <m/>
    <x v="1"/>
    <m/>
    <m/>
    <x v="1"/>
    <d v="2026-01-07T00:00:00"/>
    <n v="18000"/>
    <s v="MakeMyTrip ICICI Bank Signature Credit Card"/>
    <s v="11TH JULY"/>
    <s v="0000000023613514"/>
    <d v="2026-07-09T00:00:00"/>
  </r>
  <r>
    <s v="4748464731034002"/>
    <s v="MR BATHINI SRAVAN KUMAR"/>
    <n v="0"/>
    <x v="0"/>
    <m/>
    <m/>
    <m/>
    <s v="N"/>
    <x v="14"/>
    <s v="9908949101"/>
    <s v="X"/>
    <n v="11320.89"/>
    <n v="90000"/>
    <n v="101320.89"/>
    <s v=""/>
    <n v="101320.89"/>
    <n v="88452.32"/>
    <n v="31990"/>
    <n v="16850"/>
    <x v="0"/>
    <x v="0"/>
    <n v="0"/>
    <n v="16850"/>
    <x v="0"/>
    <s v="NA"/>
    <n v="0"/>
    <s v="SAMBA"/>
    <x v="2"/>
    <x v="3"/>
    <s v="3-1-149/2 KAKATHIYA COLONY HANAMKONDA HANAMKONDA SHARATH HOSPITAL BACK SIDE WARANGAL TNG 506001"/>
    <s v="ORANGE RETAIL FINANCE INDIA PVT LTD MULUGU ROAD WARANGAL WARANGAL WARANGAL TNG 506001"/>
    <s v="WARANGAL"/>
    <x v="0"/>
    <x v="0"/>
    <s v="AKHIL"/>
    <n v="801772792"/>
    <s v="Sgr@9290"/>
    <m/>
    <m/>
    <x v="0"/>
    <s v="LIVE"/>
    <s v="Cust not available at home respond to call and given ptp on 17th"/>
    <x v="21"/>
    <d v="2025-12-20T00:00:00"/>
    <n v="12210"/>
    <s v="ICICI Bank Coral RuPay Credit Card"/>
    <s v="11TH JULY"/>
    <s v="0000000025703605"/>
    <d v="2026-07-09T00:00:00"/>
  </r>
  <r>
    <s v="4748464727051002"/>
    <s v="MR KOMARAGIRI RAMU"/>
    <n v="0"/>
    <x v="0"/>
    <m/>
    <m/>
    <m/>
    <s v="N"/>
    <x v="14"/>
    <s v="8341797228"/>
    <s v="X"/>
    <n v="11834.259999999995"/>
    <n v="79000"/>
    <n v="90834.26"/>
    <s v=""/>
    <n v="90834.26"/>
    <n v="78313.320000000007"/>
    <n v="27410"/>
    <n v="13560"/>
    <x v="0"/>
    <x v="0"/>
    <n v="0"/>
    <n v="13560"/>
    <x v="0"/>
    <s v="NA"/>
    <n v="0"/>
    <s v="SAMBA"/>
    <x v="11"/>
    <x v="3"/>
    <s v="3-6-56 SURYAPET KOTHAGUDEM BAZAR KOTHAGUDEM BAZAR SURYAPET TNG 508213"/>
    <s v="RELIANCE SMSL LIMITED &quot;1-6-64,SUDHA BANK ROAD&quot; &quot;VANIJYA BHAVAN CENTER,SURYAPET&quot; &quot;VANIJYA BHAVAN CENTER,SURYAPET&quot; SURYAPET TNG 508213"/>
    <s v="SURYAPET"/>
    <x v="0"/>
    <x v="53"/>
    <s v="POORNIMA"/>
    <n v="802824019"/>
    <s v="Nihan@2421"/>
    <m/>
    <m/>
    <x v="1"/>
    <m/>
    <m/>
    <x v="1"/>
    <d v="2025-03-15T00:00:00"/>
    <n v="20000"/>
    <s v="Chennai Super Kings ICICI Bank Credit Card"/>
    <s v="11TH JULY"/>
    <s v="0000000025345198"/>
    <d v="2026-07-09T00:00:00"/>
  </r>
  <r>
    <s v="4748460733594019"/>
    <s v="MR BELLAM GOPI"/>
    <s v="RTP"/>
    <x v="0"/>
    <n v="1"/>
    <s v="CC"/>
    <m/>
    <s v="O"/>
    <x v="14"/>
    <s v="9908229920"/>
    <s v="X"/>
    <n v="-11165.520000000004"/>
    <n v="100000"/>
    <n v="88834.48"/>
    <s v=""/>
    <n v="88834.48"/>
    <n v="79341.47"/>
    <n v="18150"/>
    <n v="9060"/>
    <x v="1"/>
    <x v="2"/>
    <n v="9060"/>
    <n v="0"/>
    <x v="27"/>
    <s v="TC"/>
    <n v="0"/>
    <s v="SAMBA"/>
    <x v="0"/>
    <x v="3"/>
    <s v="ROOM NO 114 A HOSTEL DIVIS LABS LINGOJI GUDEM  NEAR DIVIS LABS NALGONDA ANP 508252"/>
    <s v="DIVIS LABS LTD LINGOJI GUDEM V CHOUTUPPAL M   NALGONDA ANP 508252"/>
    <s v="NALGONDA"/>
    <x v="0"/>
    <x v="17"/>
    <s v="PAVAN"/>
    <n v="802823180"/>
    <s v="Sgr@9290"/>
    <m/>
    <m/>
    <x v="0"/>
    <s v="LIVE"/>
    <s v="Customer Adress visit and  The customer has currently gone to Choutuppal and said he would meet and speak there in an 1 hour.."/>
    <x v="25"/>
    <d v="2024-06-06T00:00:00"/>
    <n v="96707.31"/>
    <s v="MakeMyTrip ICICI Bank Platinum Credit Card"/>
    <s v="11TH JULY"/>
    <s v="0000000016966739"/>
    <d v="2026-07-09T00:00:00"/>
  </r>
  <r>
    <s v="5241935759431005"/>
    <s v="MR RAMOLLA SESHU"/>
    <n v="0"/>
    <x v="0"/>
    <m/>
    <m/>
    <m/>
    <s v="N"/>
    <x v="14"/>
    <s v="9550210718"/>
    <s v="X"/>
    <n v="-1727.9799999999959"/>
    <n v="90000"/>
    <n v="88272.02"/>
    <n v="13141.58"/>
    <n v="75130.44"/>
    <n v="70038.59"/>
    <n v="11380"/>
    <n v="3892.02"/>
    <x v="0"/>
    <x v="0"/>
    <n v="0"/>
    <n v="3892.02"/>
    <x v="0"/>
    <s v="NA"/>
    <n v="0"/>
    <s v="SAMBA"/>
    <x v="3"/>
    <x v="3"/>
    <s v="H NO 4-13 GUNDLAKUNTA CUDDAPAH CUDDAPAH NEAR POST OFFICE PRODDATUR ANP 516431"/>
    <s v="WELSPUN ENTERPRISES LIMITED SULTANPUR ROAD INFORNT OF OLD RTO OFFICE GOWRI GINJ RELIANCE SMAART POINT TIKADIA GOWRI GINJ RELIANCE SMAART POINT TIKADIA SULTANPUR UTP 227409"/>
    <s v="PRODDATUR"/>
    <x v="1"/>
    <x v="15"/>
    <s v="VSSK PRASAD"/>
    <n v="802349062"/>
    <s v="Ssd@9290"/>
    <m/>
    <m/>
    <x v="1"/>
    <m/>
    <m/>
    <x v="1"/>
    <d v="2024-07-27T00:00:00"/>
    <n v="3156.57"/>
    <s v="ICICI Bank HPCL Super Saver Master Credit Card"/>
    <s v="11TH JULY"/>
    <s v="0000000027328032"/>
    <d v="2026-07-09T00:00:00"/>
  </r>
  <r>
    <s v="5241935739232002"/>
    <s v="MR KOTA NAVEEN KUMAR"/>
    <n v="0"/>
    <x v="0"/>
    <m/>
    <m/>
    <m/>
    <s v="N"/>
    <x v="14"/>
    <s v="7386409207"/>
    <s v="X"/>
    <n v="-3634.8300000000017"/>
    <n v="80000"/>
    <n v="76365.17"/>
    <s v=""/>
    <n v="76365.17"/>
    <n v="71202.11"/>
    <n v="14660"/>
    <n v="9320"/>
    <x v="0"/>
    <x v="0"/>
    <n v="0"/>
    <n v="9320"/>
    <x v="0"/>
    <s v="NA"/>
    <n v="0"/>
    <s v="SAMBA"/>
    <x v="2"/>
    <x v="3"/>
    <s v="1-7-883/6/504 VIVEKANANDA COLONY &quot;SRIJA HOMES,HUNTER ROAD HANAMKODA&quot; WARANGAL NEAR RAJ HOTEL WARANGAL TNG 506001"/>
    <s v="ZPSS GIRLS HIGH SCHOOL &quot;HASANPARTHY,HANAMKODA&quot;   WARANGAL TNG 506003"/>
    <s v="WARANGAL"/>
    <x v="0"/>
    <x v="0"/>
    <s v="AKHIL"/>
    <n v="801772792"/>
    <s v="Sgr@9290"/>
    <m/>
    <m/>
    <x v="0"/>
    <s v="LIVE"/>
    <s v="Cust not available at home respond to call and given ptp on 17th"/>
    <x v="23"/>
    <d v="2026-06-17T00:00:00"/>
    <n v="13000"/>
    <s v="ICICI Bank HPCL Super Saver Master Credit Card"/>
    <s v="11TH JULY"/>
    <s v="0000000026384677"/>
    <d v="2026-07-09T00:00:00"/>
  </r>
  <r>
    <s v="5241935779026009"/>
    <s v="MR CHELLA YASWANTH"/>
    <n v="0"/>
    <x v="0"/>
    <m/>
    <m/>
    <m/>
    <s v="N"/>
    <x v="14"/>
    <s v="9573308520"/>
    <s v="J3"/>
    <n v="-76802.28"/>
    <n v="150000"/>
    <n v="73197.72"/>
    <s v=""/>
    <n v="73197.72"/>
    <n v="67760.850000000006"/>
    <n v="12880"/>
    <n v="6410"/>
    <x v="0"/>
    <x v="0"/>
    <n v="0"/>
    <n v="6410"/>
    <x v="0"/>
    <s v="NA"/>
    <n v="0"/>
    <s v="SAMBA"/>
    <x v="11"/>
    <x v="3"/>
    <s v="&quot;6/62, KUTHALA VANDLA PALLI&quot; PARAMATIKONA &quot;CHINNAMANDEM,  CUDDAPAH&quot; NEAR MAIN ROAD CUDDAPAH ANP 516214"/>
    <s v="CAPGEMINI TECHNOLOGY SERVICES INDIA LIMI &quot;155-156 , EPIP ZONE PHASE 2&quot; BROOKEFILED BROOKEFILED BANGALORE KAR 560066"/>
    <s v="CUDDAPAH"/>
    <x v="1"/>
    <x v="48"/>
    <s v="SIVARAU"/>
    <n v="801601134"/>
    <s v="Ssd@9290"/>
    <m/>
    <m/>
    <x v="1"/>
    <m/>
    <m/>
    <x v="1"/>
    <d v="2025-08-08T00:00:00"/>
    <n v="5000"/>
    <s v="ICICI Bank HPCL Super Saver Master Credit Card"/>
    <s v="11TH JULY"/>
    <s v="0000000028517075"/>
    <d v="2026-07-09T00:00:00"/>
  </r>
  <r>
    <s v="4748464731607005"/>
    <s v="MR MALUGA MANIKANTA"/>
    <n v="0"/>
    <x v="0"/>
    <m/>
    <m/>
    <m/>
    <s v="O"/>
    <x v="14"/>
    <s v="9705552733"/>
    <s v="X"/>
    <n v="4904.3899999999994"/>
    <n v="65000"/>
    <n v="69904.39"/>
    <s v=""/>
    <n v="69904.39"/>
    <n v="64034.68"/>
    <n v="18560"/>
    <n v="11220"/>
    <x v="0"/>
    <x v="0"/>
    <n v="0"/>
    <n v="11220"/>
    <x v="0"/>
    <s v="NA"/>
    <n v="0"/>
    <s v="SAMBA"/>
    <x v="11"/>
    <x v="3"/>
    <s v="6-131   NALGONDA NALGONDA TNG 508112"/>
    <s v="HDB FINANCIAL SERVICES LIMITED 3-388/2 FIRST FLOOR GANESH NAGAR CHOUTUPPAL NALGONDA CHOUTUPPAL NALGONDA NALGONDA TNG 508252"/>
    <s v="NALGONDA"/>
    <x v="0"/>
    <x v="17"/>
    <s v="PAVAN"/>
    <n v="802823180"/>
    <s v="Sgr@9290"/>
    <m/>
    <m/>
    <x v="0"/>
    <s v="LIVE"/>
    <s v="Customer Office adress visit and Customer prasnet in  out side of office and call Answer ptp on Thursday"/>
    <x v="21"/>
    <d v="2024-07-03T00:00:00"/>
    <n v="40000"/>
    <s v="ICICI Bank HPCL Super Saver Visa Credit Card"/>
    <s v="11TH JULY"/>
    <s v="0000000025833497"/>
    <d v="2026-07-09T00:00:00"/>
  </r>
  <r>
    <s v="4902470004366007"/>
    <s v="MR Guggilla Suman Goud"/>
    <n v="0"/>
    <x v="0"/>
    <m/>
    <m/>
    <m/>
    <s v="N"/>
    <x v="14"/>
    <s v="9000633577"/>
    <s v="X"/>
    <n v="-405355.16000000003"/>
    <n v="470000"/>
    <n v="64644.84"/>
    <s v=""/>
    <n v="64644.84"/>
    <n v="56515.91"/>
    <n v="13650"/>
    <n v="4590"/>
    <x v="0"/>
    <x v="0"/>
    <n v="0"/>
    <n v="4590"/>
    <x v="0"/>
    <s v="NA"/>
    <n v="0"/>
    <s v="SAMBA"/>
    <x v="3"/>
    <x v="3"/>
    <s v="H NO 3-3-15 Met Pally Mandal Boyawada Karimnagar KARIMNAGAR TNG 505325"/>
    <s v="RAJALAKSHMI WINES METPALLY BOYA WARD HNO3-3-15  METPALLY BOYAWADA DISTRICT JA HNO3-3-15  METPALLY BOYAWADA DISTRICT JA KARIMNAGAR TNG 505325"/>
    <s v="KARIMNAGAR"/>
    <x v="0"/>
    <x v="9"/>
    <s v="D RAMU"/>
    <n v="802663344"/>
    <s v="Sgr@9290"/>
    <m/>
    <m/>
    <x v="0"/>
    <s v="LIVE"/>
    <s v="Feedback customer not available phone not respond"/>
    <x v="22"/>
    <d v="2025-07-11T00:00:00"/>
    <n v="24641.84"/>
    <s v="ICICI Bank Business Platinum Card"/>
    <s v="11TH JULY"/>
    <s v="1000000000457546"/>
    <d v="2026-07-09T00:00:00"/>
  </r>
  <r>
    <s v="4375519653051001"/>
    <s v="MR DAMERLA PAVAN KUMAR YADAV"/>
    <n v="0"/>
    <x v="0"/>
    <m/>
    <m/>
    <m/>
    <s v="N"/>
    <x v="15"/>
    <s v="8886621112"/>
    <s v="X"/>
    <n v="-58481.530000000028"/>
    <n v="630000"/>
    <n v="571518.47"/>
    <s v=""/>
    <n v="571518.47"/>
    <n v="511032.52"/>
    <n v="109320"/>
    <n v="59370"/>
    <x v="1"/>
    <x v="1"/>
    <n v="571518.47"/>
    <n v="-512148.47"/>
    <x v="0"/>
    <s v="D"/>
    <s v="30501-BBPS Payment received"/>
    <s v="SAMBA"/>
    <x v="11"/>
    <x v="3"/>
    <s v="8-17-174/63/A 8TH WARD SOCIETY COLONY &quot;GIDDALUR, RACHERLA GATE CENTER&quot; PRAKASAM XXX NANDYAL ANP 523357"/>
    <s v="INFOSYS LIMITED &quot;V6RHG3P, NEDUNCHEZIAN SALAI,&quot; &quot;SHOLINGANALLUR, CHENNAI&quot; &quot;SHOLINGANALLUR, CHENNAI&quot; CHENNAI TMN 600119"/>
    <s v="NANDYAL"/>
    <x v="1"/>
    <x v="7"/>
    <s v="HARI"/>
    <n v="802388289"/>
    <s v="Ssd@9290"/>
    <m/>
    <m/>
    <x v="0"/>
    <m/>
    <m/>
    <x v="1"/>
    <d v="2026-05-16T00:00:00"/>
    <n v="20580"/>
    <s v="ICICI Bank Coral Credit Card"/>
    <s v="10TH JULY"/>
    <s v="0000000014563099"/>
    <d v="2026-07-10T00:00:00"/>
  </r>
  <r>
    <s v="4375515465137004"/>
    <s v="MR PRADEEP KUMAR N"/>
    <n v="0"/>
    <x v="0"/>
    <m/>
    <m/>
    <m/>
    <s v="N"/>
    <x v="15"/>
    <s v="9849314711"/>
    <s v="X"/>
    <n v="3293.2099999999991"/>
    <n v="60000"/>
    <n v="63293.21"/>
    <s v=""/>
    <n v="63293.21"/>
    <n v="58000"/>
    <n v="11430"/>
    <n v="3370"/>
    <x v="0"/>
    <x v="0"/>
    <n v="0"/>
    <n v="3370"/>
    <x v="0"/>
    <s v="NA"/>
    <n v="0"/>
    <s v="SAMBA"/>
    <x v="11"/>
    <x v="3"/>
    <s v="H NO 1 1 1392 1 VENKATDRI NAGAR KAZIPET NEAR FCI GODOWNS Warangal TNG 506003"/>
    <s v="PRAKASH TOURS AND TRAVELS H NO 1 1 1392 1 VENKATADRI NAGAR ROD NO 4 KAZIPET ROD NO 4 KAZIPET Warangal TNG 506003"/>
    <s v="WARANGAL"/>
    <x v="0"/>
    <x v="0"/>
    <s v="AKHIL"/>
    <n v="801772792"/>
    <s v="Sgr@9290"/>
    <m/>
    <m/>
    <x v="1"/>
    <m/>
    <m/>
    <x v="1"/>
    <d v="2025-12-11T00:00:00"/>
    <n v="55000"/>
    <s v="ICICI Bank Coral Credit Card"/>
    <s v="10TH JULY"/>
    <s v="0000000011401630"/>
    <d v="2026-07-10T00:00:00"/>
  </r>
  <r>
    <s v="4375514693817008"/>
    <s v="MR. CHENCHURAMARAO KESANA"/>
    <n v="0"/>
    <x v="0"/>
    <m/>
    <m/>
    <m/>
    <s v="N"/>
    <x v="16"/>
    <s v="9848044333"/>
    <s v="X"/>
    <n v="40454.089999999967"/>
    <n v="500000"/>
    <n v="540454.09"/>
    <s v=""/>
    <n v="540454.09"/>
    <n v="499845"/>
    <n v="127790"/>
    <n v="25000"/>
    <x v="0"/>
    <x v="0"/>
    <n v="0"/>
    <n v="25000"/>
    <x v="0"/>
    <s v="NA"/>
    <n v="0"/>
    <s v="SAMBA"/>
    <x v="11"/>
    <x v="3"/>
    <s v="&quot;FLAT NO 402 4TH FLOOR PINEVIW RESIDENCY,&quot; MAHATHMA GANDHI INNER RING ROAD  NEAR AMARAVATI TIFFINS GUNTUR ANP 522034"/>
    <s v="GOVERNMENT OF ANDHRA PRADESH &quot;DGP OFFICE MANGALAGIRI,&quot; &quot;GUNTUR,&quot; &quot;GUNTUR,&quot; VIJAYAWADA ANP 522503"/>
    <s v="GUNTUR"/>
    <x v="5"/>
    <x v="43"/>
    <s v="INAMUL"/>
    <n v="802823175"/>
    <s v="Sgr@9290"/>
    <m/>
    <m/>
    <x v="0"/>
    <s v="LIVE"/>
    <s v="  Cmr given address visited customer present not available at the home call not answering revisit again sir"/>
    <x v="23"/>
    <d v="2026-04-19T00:00:00"/>
    <n v="109.74"/>
    <s v="ICICI Bank HPCL Super Saver Master Credit Card"/>
    <s v="10TH JULY"/>
    <s v="0000000009266285"/>
    <d v="2026-07-11T00:00:00"/>
  </r>
  <r>
    <s v="5241933138610001"/>
    <s v="MR. P SANTHOSHKUMAR"/>
    <n v="0"/>
    <x v="0"/>
    <m/>
    <m/>
    <m/>
    <s v="N"/>
    <x v="16"/>
    <s v="9966775754"/>
    <s v="X"/>
    <n v="96033.539999999979"/>
    <n v="250000"/>
    <n v="346033.54"/>
    <n v="193061.12"/>
    <n v="152972.42000000001"/>
    <n v="138228.25"/>
    <n v="80270"/>
    <n v="34670"/>
    <x v="0"/>
    <x v="0"/>
    <n v="0"/>
    <n v="34670"/>
    <x v="0"/>
    <s v="NA"/>
    <n v="0"/>
    <s v="SAMBA"/>
    <x v="11"/>
    <x v="3"/>
    <s v="NO 55-2-232 FOREST COLONY BHEEMARAM HASANPARTHY OPP CRPF CAMP LANE HANAMKONDA Warangal TNG 506015"/>
    <s v="VIL MEDIA PRIVATE LIMITED C/O V6 OFFICE BALASAMUDRAM HANAMKONDA BESIDE DR K MANOHAR CLINIC BESIDE DR K MANOHAR CLINIC Warangal TNG 506001"/>
    <s v="WARANGAL"/>
    <x v="0"/>
    <x v="0"/>
    <s v="AKHIL"/>
    <n v="801772792"/>
    <s v="Sgr@9290"/>
    <m/>
    <m/>
    <x v="1"/>
    <m/>
    <m/>
    <x v="1"/>
    <d v="2026-05-11T00:00:00"/>
    <n v="0.35"/>
    <s v="ICICI Bank Coral Credit Card"/>
    <s v="10TH JULY"/>
    <s v="0000000009389240"/>
    <d v="2026-07-11T00:00:00"/>
  </r>
  <r>
    <s v="5241933348510009"/>
    <s v="MS. RACHERLA YADAMMA"/>
    <n v="0"/>
    <x v="0"/>
    <m/>
    <m/>
    <m/>
    <s v="N"/>
    <x v="16"/>
    <s v="9989584327"/>
    <s v="X"/>
    <n v="23627.729999999981"/>
    <n v="310000"/>
    <n v="333627.73"/>
    <n v="68269.009999999995"/>
    <n v="265358.71999999997"/>
    <n v="239909.79"/>
    <n v="53520"/>
    <n v="21480"/>
    <x v="0"/>
    <x v="0"/>
    <n v="0"/>
    <n v="21480"/>
    <x v="0"/>
    <s v="NA"/>
    <n v="0"/>
    <s v="SAMBA"/>
    <x v="11"/>
    <x v="3"/>
    <s v="H NO 13 3 195 PATAKMAHILA KOMAL COTTAGE NEAR ZP HIGH SCHOOL Warangal TNG 506002"/>
    <s v="GOVT OF TELANGANA MAHATHMAGANDHI MEDICAL HOSPITAL MGM WARANGAL MGM WARANGAL Warangal TNG 506002"/>
    <s v="WARANGAL"/>
    <x v="0"/>
    <x v="0"/>
    <s v="AKHIL"/>
    <n v="801772792"/>
    <s v="Sgr@9290"/>
    <m/>
    <m/>
    <x v="0"/>
    <s v="SKIP"/>
    <s v="Cust Shifted from given address confirmed by house owner and cust no respond to calls will update // Cust shifted from given address and no respond to calls"/>
    <x v="25"/>
    <d v="2024-12-10T00:00:00"/>
    <n v="15100"/>
    <s v="ICICI Bank MasterCard  Platinum chip Credit Card"/>
    <s v="10TH JULY"/>
    <s v="0000000010338192"/>
    <d v="2026-07-11T00:00:00"/>
  </r>
  <r>
    <s v="4501720834654005"/>
    <s v="MR CHERUKUPALLI PRASHANTH REDDY"/>
    <n v="0"/>
    <x v="0"/>
    <m/>
    <m/>
    <m/>
    <s v="N"/>
    <x v="17"/>
    <s v="9701917799"/>
    <s v="X"/>
    <n v="21748.679999999993"/>
    <n v="210000"/>
    <n v="231748.68"/>
    <s v=""/>
    <n v="231748.68"/>
    <n v="209719"/>
    <n v="63070"/>
    <n v="13900"/>
    <x v="1"/>
    <x v="1"/>
    <n v="231748.68"/>
    <n v="-217848.68"/>
    <x v="18"/>
    <s v="TC"/>
    <s v="30501-BBPS Payment received"/>
    <s v="SAMBA"/>
    <x v="11"/>
    <x v="3"/>
    <s v="3-164 MALLAREDDYPALLI MULUGU WARANGAL NEAR MAIN ROAD WARANGAL TNG 506349"/>
    <s v="WISHWORKS CYBER GATEWAY C BLOCK 2 FLOOR HITECH CITY HYDERABAD HITECH CITY HYDERABAD HYDERABAD TNG 500081"/>
    <s v="WARANGAL"/>
    <x v="0"/>
    <x v="0"/>
    <s v="AKHIL"/>
    <n v="801772792"/>
    <s v="Sgr@9290"/>
    <m/>
    <m/>
    <x v="0"/>
    <m/>
    <m/>
    <x v="1"/>
    <d v="2025-08-04T00:00:00"/>
    <n v="101171"/>
    <s v="Manchester United Signature Credit Card by ICICI Bank"/>
    <s v="10TH JULY"/>
    <s v="0000000023793791"/>
    <d v="2026-07-12T00:00:00"/>
  </r>
  <r>
    <s v="4748468457546032"/>
    <s v="MRS KHAMMAMPATI RAJESWARI"/>
    <n v="0"/>
    <x v="0"/>
    <m/>
    <m/>
    <m/>
    <s v="N"/>
    <x v="17"/>
    <s v="8008194628"/>
    <s v="X"/>
    <n v="5232.260000000002"/>
    <n v="50000"/>
    <n v="55232.26"/>
    <s v=""/>
    <n v="55232.26"/>
    <n v="47118.559999999998"/>
    <n v="55232.26"/>
    <n v="49620.55"/>
    <x v="0"/>
    <x v="0"/>
    <n v="0"/>
    <n v="49620.55"/>
    <x v="0"/>
    <s v="NA"/>
    <n v="0"/>
    <s v="SAMBA"/>
    <x v="11"/>
    <x v="3"/>
    <s v="&quot;H NO,2-84 VISWANADHAPURAM,.,MUCHARAM&quot;    KHAMMAM TNG 507209"/>
    <s v="HATCH 2-84 Viswanadhapuram Viswanadhapuram KHAMMAM TNG 507209"/>
    <s v="KHAMMAM"/>
    <x v="0"/>
    <x v="29"/>
    <s v="SUDHAKAR"/>
    <n v="802913252"/>
    <s v="Ssd@9290"/>
    <m/>
    <m/>
    <x v="0"/>
    <s v="LIVE"/>
    <s v="Costumer not willing to pay because of health and financial issues sir"/>
    <x v="21"/>
    <d v="2025-04-09T00:00:00"/>
    <n v="7000"/>
    <s v="ICICI Bank HPCL Coral VISA Credit Card"/>
    <s v="10TH JULY"/>
    <s v="0000000022133690"/>
    <d v="2026-07-12T00:00:00"/>
  </r>
  <r>
    <s v="6528680469876006"/>
    <s v="MR NARINA TIRUMALA SATYA SAI MANI"/>
    <n v="0"/>
    <x v="0"/>
    <m/>
    <m/>
    <m/>
    <s v="N"/>
    <x v="18"/>
    <s v="9666129160"/>
    <s v="X"/>
    <n v="-50585.900000000023"/>
    <n v="400000"/>
    <n v="349414.1"/>
    <s v=""/>
    <n v="349414.1"/>
    <n v="321821.96000000002"/>
    <n v="58840"/>
    <n v="15950"/>
    <x v="0"/>
    <x v="0"/>
    <n v="0"/>
    <n v="15950"/>
    <x v="0"/>
    <s v="NA"/>
    <n v="0"/>
    <s v="SAMBA"/>
    <x v="2"/>
    <x v="3"/>
    <s v="&quot;32-6-5/2, POLISETTI VARI STREET&quot; PALAKOL MANDALAM WEST GODAVARI NEAR MAIN ROAD PALAKOL ANP 534260"/>
    <s v="PREME NARINA COUTURE &quot;BANUGIRI STREET, PALAKOL&quot; WEST GODAVARI WEST GODAVARI PALAKOL ANP 534260"/>
    <s v="PALAKOL"/>
    <x v="4"/>
    <x v="26"/>
    <s v="B NAGABABU"/>
    <n v="801448854"/>
    <s v="Sgr@9290"/>
    <m/>
    <m/>
    <x v="0"/>
    <s v="DL"/>
    <s v="cmr house door locked and cmr answered call and request to call back, revisit required"/>
    <x v="23"/>
    <d v="2025-06-23T00:00:00"/>
    <n v="45000"/>
    <s v="ICICI Bank Coral RuPay Credit Card"/>
    <s v="11TH JULY"/>
    <s v="0000000028501492"/>
    <d v="2026-07-13T00:00:00"/>
  </r>
  <r>
    <s v="4035620602032001"/>
    <s v="MR SYED MOHAMMED IMRAN"/>
    <n v="0"/>
    <x v="0"/>
    <m/>
    <m/>
    <m/>
    <s v="N"/>
    <x v="10"/>
    <s v="8688167892"/>
    <s v="X"/>
    <n v="-110500.82999999999"/>
    <n v="280000"/>
    <n v="169499.17"/>
    <n v="8675.64"/>
    <n v="160823.53"/>
    <n v="145204.21"/>
    <n v="44290"/>
    <n v="21150"/>
    <x v="0"/>
    <x v="0"/>
    <n v="3253"/>
    <n v="17897"/>
    <x v="0"/>
    <s v="NA"/>
    <s v="12111-ICICI BANK COLLECTION PAYMENT"/>
    <s v="HARI"/>
    <x v="6"/>
    <x v="3"/>
    <s v="&quot;42/257/2  ,NGO COLONY&quot; CHINNA CHOWK CUDDAPAH NEAR RAVI THEARE CUDDAPAH ANP 516002"/>
    <s v="QUALITYKIOSK TECHNOLOGIES PRIVATE LIMITE &quot;RUPA SOLITAIRE,C WING,419 A,SECTOR 1&quot; &quot;MILLENIUM BUSSINESS PARK,MBP,MAHAPE&quot; &quot;MILLENIUM BUSSINESS PARK,MBP,MAHAPE&quot; THANE MAH 400710 "/>
    <s v="CUDDAPAH"/>
    <x v="1"/>
    <x v="48"/>
    <s v="SIVARAU"/>
    <n v="801601134"/>
    <s v="Ssd@9290"/>
    <m/>
    <m/>
    <x v="0"/>
    <s v="DL"/>
    <s v="Cus given address live but cus house door locked and cus not responding to calls and messages sir"/>
    <x v="23"/>
    <d v="2026-03-09T00:00:00"/>
    <n v="10"/>
    <s v="ICICI Bank Coral Credit Card"/>
    <s v="13TH JULY"/>
    <s v="0000000023076713"/>
    <d v="2026-07-04T00:00:00"/>
  </r>
  <r>
    <s v="4035620657356008"/>
    <s v="MR BUREGARI CHARAN"/>
    <n v="0"/>
    <x v="0"/>
    <m/>
    <m/>
    <m/>
    <s v="N"/>
    <x v="10"/>
    <s v="8125952100"/>
    <s v="X"/>
    <n v="-210770.43"/>
    <n v="320000"/>
    <n v="109229.57"/>
    <s v=""/>
    <n v="109229.57"/>
    <n v="100599.05"/>
    <n v="18960"/>
    <n v="7910"/>
    <x v="0"/>
    <x v="0"/>
    <n v="0"/>
    <n v="7910"/>
    <x v="0"/>
    <s v="NA"/>
    <n v="0"/>
    <s v="HARI"/>
    <x v="6"/>
    <x v="3"/>
    <s v="&quot;3-79,THUJALPUR THUJALPUR,DOMAKONDA,.,.,.&quot; ....  NEAR HANUMAN TEMPLE NIZAMABAD TNG 503125"/>
    <s v="INFOSYS LIMITED SURVEY NO 210 ISB ROAD LINGAMPALLY ROAD MANIKONDA JAGIR ROAD MANIKONDA JAGIR HYDERABAD TNG 500032 "/>
    <s v="NIZAMABAD"/>
    <x v="0"/>
    <x v="38"/>
    <s v="PRASHANTH"/>
    <n v="802551967"/>
    <s v="Ssde@9290"/>
    <m/>
    <m/>
    <x v="1"/>
    <m/>
    <m/>
    <x v="1"/>
    <d v="2026-05-30T00:00:00"/>
    <n v="8960"/>
    <s v="ICICI Bank Coral Credit Card"/>
    <s v="13TH JULY"/>
    <s v="0000000023414609"/>
    <d v="2026-07-04T00:00:00"/>
  </r>
  <r>
    <s v="4035620666868001"/>
    <s v="MR GUNDUBOGULA MADHU KUMAR"/>
    <n v="0"/>
    <x v="0"/>
    <n v="1"/>
    <m/>
    <m/>
    <s v="N"/>
    <x v="10"/>
    <s v="8297881191"/>
    <s v="X"/>
    <n v="-42020.210000000006"/>
    <n v="150000"/>
    <n v="107979.79"/>
    <n v="62381.45"/>
    <n v="45598.34"/>
    <n v="35608.519999999997"/>
    <n v="43110"/>
    <n v="18470"/>
    <x v="0"/>
    <x v="0"/>
    <n v="0"/>
    <n v="18470"/>
    <x v="0"/>
    <s v="NA"/>
    <n v="0"/>
    <s v="HARI"/>
    <x v="7"/>
    <x v="3"/>
    <s v="&quot;1-36,GUNDUBOGULA VARI MERAKA,NEAR,&quot; &quot;ELIMENTARY SCHOOL,ANTARVEDI,&quot; DEVASTHANAM SAKHINETIPALLI MAN . AMALAPURAM ANP 533252"/>
    <s v="PERSISTENT SYSTEMS LIMITED TOWER C MAROL CHS RD GAMDEVI MAROL ANDHERI EAST GAMDEVI MAROL ANDHERI EAST MUMBAI MAH 400059 "/>
    <s v="AMALAPURAM"/>
    <x v="4"/>
    <x v="28"/>
    <s v="B NAGABABU"/>
    <n v="801448854"/>
    <s v="Sgr@9290"/>
    <m/>
    <m/>
    <x v="1"/>
    <m/>
    <m/>
    <x v="1"/>
    <d v="2026-05-12T00:00:00"/>
    <n v="11576.58"/>
    <s v="ICICI Bank Rubyx Visa Credit Card"/>
    <s v="13TH JULY"/>
    <s v="0000000023460915"/>
    <d v="2026-07-04T00:00:00"/>
  </r>
  <r>
    <s v="4035620722728009"/>
    <s v="MR BAKKURI PRAGATHI KUMAR"/>
    <n v="0"/>
    <x v="2"/>
    <n v="1"/>
    <s v="CC"/>
    <m/>
    <s v="N"/>
    <x v="10"/>
    <s v="9010008884"/>
    <s v="X"/>
    <n v="-2372.0499999999884"/>
    <n v="150000"/>
    <n v="147627.95000000001"/>
    <s v=""/>
    <n v="147627.95000000001"/>
    <n v="139274.35"/>
    <n v="22260"/>
    <n v="13080"/>
    <x v="0"/>
    <x v="0"/>
    <n v="0"/>
    <n v="13080"/>
    <x v="0"/>
    <s v="NA"/>
    <n v="0"/>
    <s v="HARI"/>
    <x v="7"/>
    <x v="3"/>
    <s v="HNO 3-6/8 MORTAD MANDALSHETPALLE NIZAMABAD  NR MAIN ROAD BALKONDA TNG 503218"/>
    <s v="GOVERNMENT OF TELANGANA MPPS THIMMAPUR MANDALNIZAMABAD   BALKONDA TNG 503218 "/>
    <s v="NIZAMABAD"/>
    <x v="0"/>
    <x v="3"/>
    <s v="KANTH"/>
    <n v="802794852"/>
    <s v="Ssd@9290"/>
    <m/>
    <m/>
    <x v="1"/>
    <m/>
    <m/>
    <x v="1"/>
    <d v="2025-06-12T00:00:00"/>
    <n v="49000"/>
    <s v="ICICI Bank Coral Credit Card"/>
    <s v="13TH JULY"/>
    <s v="0000000023753064"/>
    <d v="2026-07-04T00:00:00"/>
  </r>
  <r>
    <s v="4035620725653014"/>
    <s v="MR MARELLA VENKATESH"/>
    <n v="0"/>
    <x v="0"/>
    <m/>
    <m/>
    <m/>
    <s v="N"/>
    <x v="10"/>
    <s v="9618478632"/>
    <s v="X"/>
    <n v="-29423.820000000007"/>
    <n v="210000"/>
    <n v="180576.18"/>
    <n v="81538.97"/>
    <n v="99037.21"/>
    <n v="82307.62"/>
    <n v="47300"/>
    <n v="24240"/>
    <x v="1"/>
    <x v="2"/>
    <n v="24240"/>
    <n v="0"/>
    <x v="22"/>
    <s v="TC"/>
    <s v="30501-BBPS Payment received"/>
    <s v="HARI"/>
    <x v="8"/>
    <x v="3"/>
    <s v="&quot;14/160 NAKASH STREET,KADAPA,14/160&quot; ...  NEAR AMEEN PEER DARGA CUDDAPAH ANP 516001"/>
    <s v="IBM INDIA PRIVATE LIMITED &quot;XJ2V33R, BENGALURU, EMBASSY GOLF LINKS&quot; &quot;BUSINESS PARK, CHALLAGHATTA, BENGALURU,&quot; &quot;BUSINESS PARK, CHALLAGHATTA, BENGALURU,&quot; BANGALORE KAR 560071 "/>
    <s v="CUDDAPAH"/>
    <x v="1"/>
    <x v="14"/>
    <s v="SIVARAU"/>
    <n v="801601134"/>
    <s v="Ssd@9290"/>
    <m/>
    <m/>
    <x v="0"/>
    <m/>
    <m/>
    <x v="1"/>
    <d v="2026-05-16T00:00:00"/>
    <n v="14.01"/>
    <s v="ICICI Bank Coral Credit Card"/>
    <s v="13TH JULY"/>
    <s v="0000000023771417"/>
    <d v="2026-07-04T00:00:00"/>
  </r>
  <r>
    <s v="4035620824655001"/>
    <s v="MR CHINTARAO CHINTAPALLI"/>
    <n v="0"/>
    <x v="2"/>
    <n v="1"/>
    <s v="CC"/>
    <m/>
    <s v="N"/>
    <x v="10"/>
    <s v="9848798129"/>
    <s v="X"/>
    <n v="5318.8699999999953"/>
    <n v="100000"/>
    <n v="105318.87"/>
    <s v=""/>
    <n v="105318.87"/>
    <n v="94709.13"/>
    <n v="29830"/>
    <n v="14480"/>
    <x v="0"/>
    <x v="0"/>
    <n v="0"/>
    <n v="14480"/>
    <x v="0"/>
    <s v="NA"/>
    <n v="0"/>
    <s v="HARI"/>
    <x v="5"/>
    <x v="3"/>
    <s v="&quot;14-7-5,RAIPET,WESTGODVARI&quot; &quot;MARUTHINILAYAM ,NARASAPURAM&quot; WEST GODAVARI SRI HARI RAJU APPARTMENTS BHIMAVARAM ANP 534275"/>
    <s v="KLCP HOLDINGS WORK FROM HOME &quot;NARASAPURAM,WESTGODAVARI&quot; &quot;NARASAPURAM,WESTGODAVARI&quot; BHIMAVARAM ANP 534275 "/>
    <s v="BHIMAVARAM"/>
    <x v="4"/>
    <x v="26"/>
    <s v="B NAGABABU"/>
    <n v="801448854"/>
    <s v="Sgr@9290"/>
    <m/>
    <m/>
    <x v="1"/>
    <m/>
    <m/>
    <x v="1"/>
    <s v=""/>
    <n v="0"/>
    <s v="ICICI Bank Coral Credit Card"/>
    <s v="13TH JULY"/>
    <s v="0000000024361582"/>
    <d v="2026-07-04T00:00:00"/>
  </r>
  <r>
    <s v="4035621294869007"/>
    <s v="MS BANAVATH KRISHNAVENI"/>
    <n v="0"/>
    <x v="0"/>
    <n v="1"/>
    <m/>
    <m/>
    <s v="N"/>
    <x v="10"/>
    <s v="7702231155"/>
    <s v="X"/>
    <n v="25129.140000000014"/>
    <n v="210000"/>
    <n v="235129.14"/>
    <n v="193703.77"/>
    <n v="41425.370000000003"/>
    <n v="14663.23"/>
    <n v="41425.370000000003"/>
    <n v="28376.69"/>
    <x v="1"/>
    <x v="2"/>
    <n v="28376.69"/>
    <n v="0"/>
    <x v="24"/>
    <s v="TC"/>
    <s v="30501-BBPS Payment received"/>
    <s v="HARI"/>
    <x v="7"/>
    <x v="3"/>
    <s v="4-3/1 KRISHNAPURAM MADHIRA KHAMMAM NEAR TEMPLE KHAMMAM TNG 507203"/>
    <s v="CAPGEMINI TECHNOLOGY SERVICES INDIA LIMI &quot;NANAKRAM GUDA   ,GACCHIBOWLI&quot; HYDERABAD HYDERABAD HYDERABAD TNG 500008 "/>
    <s v="KHAMMAM"/>
    <x v="0"/>
    <x v="29"/>
    <s v="SUDHAKAR"/>
    <n v="802913252"/>
    <s v="Ssd@9290"/>
    <m/>
    <m/>
    <x v="0"/>
    <s v="SKIP"/>
    <s v="Costumer present not available in given address present living in Bengaluru call answered call back today 10am sir"/>
    <x v="22"/>
    <d v="2025-10-05T00:00:00"/>
    <n v="800"/>
    <s v="ICICI Bank Sapphiro Visa Credit Card"/>
    <s v="13TH JULY"/>
    <s v="0000000026816052"/>
    <d v="2026-07-04T00:00:00"/>
  </r>
  <r>
    <s v="4035621391307000"/>
    <s v="MR ANJAN KUMAR"/>
    <n v="0"/>
    <x v="0"/>
    <m/>
    <m/>
    <m/>
    <s v="N"/>
    <x v="10"/>
    <s v="7032237385"/>
    <s v="X"/>
    <n v="2570.5"/>
    <n v="100000"/>
    <n v="102570.5"/>
    <n v="44912.36"/>
    <n v="57658.14"/>
    <n v="51188.15"/>
    <n v="17040"/>
    <n v="6220"/>
    <x v="1"/>
    <x v="2"/>
    <n v="3800"/>
    <n v="2420"/>
    <x v="24"/>
    <s v="TC"/>
    <s v="30501-BBPS Payment received"/>
    <s v="HARI"/>
    <x v="9"/>
    <x v="3"/>
    <s v="&quot;503 ,GOVERNMENT MEDICAL COLLEGE&quot; MAHABUBNAGAR  EDIRI MAHBOOBNAGAR TNG 509001"/>
    <s v="GOVERNMENT MEDICAL COLLEGE MAHABUBNAGAR GOVERNMENT MEDICAL COLLEGE MAHABUBNAGAR EDIRA VILLAGE EDIRA VILLAGE MAHBOOBNAGAR TNG 509001 "/>
    <s v="MAHBOOBNAGAR"/>
    <x v="0"/>
    <x v="19"/>
    <s v="SAMBA"/>
    <n v="801772794"/>
    <s v="Ssde@9876"/>
    <m/>
    <m/>
    <x v="0"/>
    <m/>
    <m/>
    <x v="1"/>
    <d v="2024-09-03T00:00:00"/>
    <n v="62226"/>
    <s v="ICICI Bank Coral Credit Card"/>
    <s v="13TH JULY"/>
    <s v="0000000027411090"/>
    <d v="2026-07-04T00:00:00"/>
  </r>
  <r>
    <s v="4035621650930005"/>
    <s v="MS POOLA USHARANI"/>
    <n v="0"/>
    <x v="0"/>
    <m/>
    <s v="CC"/>
    <m/>
    <s v="N"/>
    <x v="10"/>
    <s v="6305399366"/>
    <s v="X"/>
    <n v="-100527.35"/>
    <n v="220000"/>
    <n v="119472.65"/>
    <s v=""/>
    <n v="119472.65"/>
    <n v="101659.54"/>
    <n v="27740"/>
    <n v="16340"/>
    <x v="1"/>
    <x v="1"/>
    <n v="28000"/>
    <n v="-11660"/>
    <x v="25"/>
    <s v="TC"/>
    <s v="30501-BBPS Payment received"/>
    <s v="HARI"/>
    <x v="9"/>
    <x v="3"/>
    <s v="1-128 VELLAMADDI VELLAMADDI  HINDUPUR ANP 515501"/>
    <s v="GOVERNMENT OF ANDHRA PRADESH GOVERNMENT HIGH SCHOOL KADIRI &quot;R AND B BUNGALOW,  KADIRI&quot; &quot;R AND B BUNGALOW,  KADIRI&quot; HINDUPUR ANP 515591 "/>
    <s v="HINDUPUR"/>
    <x v="1"/>
    <x v="12"/>
    <s v="POORNIMA"/>
    <n v="802824019"/>
    <s v="Nihan@2421"/>
    <m/>
    <m/>
    <x v="0"/>
    <m/>
    <m/>
    <x v="1"/>
    <d v="2026-05-02T00:00:00"/>
    <n v="34000"/>
    <s v="ICICI Bank Coral Credit Card"/>
    <s v="13TH JULY"/>
    <s v="0000000029873064"/>
    <d v="2026-07-04T00:00:00"/>
  </r>
  <r>
    <s v="4035621919006001"/>
    <s v="MR Ponugumati Kumar"/>
    <n v="0"/>
    <x v="0"/>
    <m/>
    <s v="CC"/>
    <m/>
    <s v="N"/>
    <x v="10"/>
    <s v="6303355243"/>
    <s v="X"/>
    <n v="14268.390000000014"/>
    <n v="140000"/>
    <n v="154268.39000000001"/>
    <s v=""/>
    <n v="154268.39000000001"/>
    <n v="138499"/>
    <n v="37750"/>
    <n v="15560"/>
    <x v="0"/>
    <x v="0"/>
    <n v="0"/>
    <n v="15560"/>
    <x v="0"/>
    <s v="NA"/>
    <n v="0"/>
    <s v="HARI"/>
    <x v="9"/>
    <x v="3"/>
    <s v="H NO 4-79pedhavegi mandal goginepalli  pedhavegi mandalWest Godavari ELU ANP 534002"/>
    <s v="SHRI VIDYALAYA JUNIOR COLLEGE NR PETH KELURU   ELU ANP 534006 "/>
    <s v="ELURU"/>
    <x v="4"/>
    <x v="32"/>
    <s v="BHARAT CHANDRA"/>
    <n v="802631601"/>
    <s v="Ssde@9290"/>
    <m/>
    <m/>
    <x v="1"/>
    <m/>
    <m/>
    <x v="1"/>
    <s v=""/>
    <n v="0"/>
    <s v="ICICI Bank Coral Credit Card"/>
    <s v="13TH JULY"/>
    <s v="0000000032930983"/>
    <d v="2026-07-04T00:00:00"/>
  </r>
  <r>
    <s v="4085110045775001"/>
    <s v="MR KODALI RAMESH"/>
    <n v="0"/>
    <x v="0"/>
    <m/>
    <m/>
    <m/>
    <s v="N"/>
    <x v="10"/>
    <s v="7093453226"/>
    <s v="X"/>
    <n v="-61042.950000000012"/>
    <n v="250000"/>
    <n v="188957.05"/>
    <n v="49227.94"/>
    <n v="139729.10999999999"/>
    <n v="122269.71"/>
    <n v="53470"/>
    <n v="24500"/>
    <x v="1"/>
    <x v="2"/>
    <n v="15000"/>
    <n v="9500"/>
    <x v="24"/>
    <s v="TC"/>
    <s v="12101-INFINITY PYMT RCVD"/>
    <s v="HARI"/>
    <x v="8"/>
    <x v="3"/>
    <s v="&quot;1-52/2 MADHIRAPADU,MADHIRAPADU,MADHIRAPA&quot; &quot;DU,&quot;  .... GUDIVADA ANP 521311"/>
    <s v="EITACIES SOLUTION  INDIA PVT LTD &quot;410 PSR TOWERS,STREET NO 4&quot; &quot;GACHIBOWLI,HYDERABAD&quot; &quot;GACHIBOWLI,HYDERABAD&quot; HYDERABAD TNG 500032 "/>
    <s v="GUDIVADA"/>
    <x v="4"/>
    <x v="46"/>
    <s v="KOTI"/>
    <n v="801597759"/>
    <s v="Ssde@9290"/>
    <m/>
    <m/>
    <x v="0"/>
    <m/>
    <m/>
    <x v="1"/>
    <d v="2025-11-27T00:00:00"/>
    <n v="44440"/>
    <s v="Mine Credit Card by ICICI Bank Visa Card"/>
    <s v="13TH JULY"/>
    <s v="0000000024319612"/>
    <d v="2026-07-04T00:00:00"/>
  </r>
  <r>
    <s v="4102020120636011"/>
    <s v="MR AMBATIPATI RAMALINGA MURTHY"/>
    <n v="0"/>
    <x v="0"/>
    <m/>
    <m/>
    <m/>
    <s v="N"/>
    <x v="10"/>
    <s v="9704554666"/>
    <s v="X"/>
    <n v="2693.929999999993"/>
    <n v="100000"/>
    <n v="102693.93"/>
    <s v=""/>
    <n v="102693.93"/>
    <n v="91117.05"/>
    <n v="25530"/>
    <n v="12300.02"/>
    <x v="0"/>
    <x v="0"/>
    <n v="0"/>
    <n v="12300.02"/>
    <x v="0"/>
    <s v="NA"/>
    <n v="0"/>
    <s v="HARI"/>
    <x v="4"/>
    <x v="3"/>
    <s v="&quot;46-10-12 OLD HOSPITAL ST,JAGANNAICKPUR&quot; - KAKINADA - KAKINADA ANP 533002"/>
    <s v="HEALTH CARE MEDICAL AND SURGICALS HEALTH CARE MEDICAL AND SURGICALS D NO 27 5 21 3 BHUDDVARAPU VARI STREET D NO 27 5 21 3 BHUDDVARAPU VARI STREET KAKINADA ANP 533001 "/>
    <s v="KAKINADA"/>
    <x v="4"/>
    <x v="23"/>
    <s v="UDAY"/>
    <n v="801436997"/>
    <s v="Ssd@9290"/>
    <m/>
    <m/>
    <x v="0"/>
    <s v="SKIP"/>
    <s v="Customer wife no 9959077734_x000a_Customer address skip call not answering sir @Hari Garu"/>
    <x v="23"/>
    <d v="2026-05-18T00:00:00"/>
    <n v="5389.98"/>
    <s v="ICICI Gold Business Card (BCCL-V)"/>
    <s v="13TH JULY"/>
    <s v="1000000000171146"/>
    <d v="2026-07-04T00:00:00"/>
  </r>
  <r>
    <s v="4102021159640007"/>
    <s v="MR LAKKISETTI VEERAVENKATA SATYAS"/>
    <n v="0"/>
    <x v="0"/>
    <m/>
    <m/>
    <m/>
    <s v="N"/>
    <x v="10"/>
    <s v="9490719773"/>
    <s v="X"/>
    <n v="10442.290000000008"/>
    <n v="250000"/>
    <n v="260442.29"/>
    <s v=""/>
    <n v="260442.29"/>
    <n v="247367.08"/>
    <n v="33650"/>
    <n v="7970"/>
    <x v="1"/>
    <x v="1"/>
    <n v="33650"/>
    <n v="-25680"/>
    <x v="23"/>
    <s v="TC"/>
    <s v="30501-BBPS Payment received"/>
    <s v="HARI"/>
    <x v="5"/>
    <x v="3"/>
    <s v="7 366 MAIN ROAD THATIPAKA RAZOLE MANDAL RAZOLE   AMALAPURAM ANP 533249"/>
    <s v="SRI RAGHAVENDRASWAMY BUILDING MATERILAS 7 252 TATIPAKA RAZOLE MANDAL MAIN ROAD DR  BR AMBHEDKAR KONASEEMA MAIN ROAD DR  BR AMBHEDKAR KONASEEMA AMALAPURAM ANP 533249 "/>
    <s v="AMALAPURAM"/>
    <x v="4"/>
    <x v="28"/>
    <s v="B NAGABABU"/>
    <n v="801448854"/>
    <s v="Sgr@9290"/>
    <m/>
    <m/>
    <x v="0"/>
    <s v="LIVE"/>
    <s v="CUSTOMER GIVEN PTP TO TOD OR TOMORROW MORNING SIR"/>
    <x v="21"/>
    <d v="2024-11-30T00:00:00"/>
    <n v="6000"/>
    <s v="ICICI Gold Business Card (BCCL-V)"/>
    <s v="13TH JULY"/>
    <s v="1000000000696433"/>
    <d v="2026-07-04T00:00:00"/>
  </r>
  <r>
    <s v="4102021169631004"/>
    <s v="Ms. RAMESH KATTAMURI"/>
    <n v="0"/>
    <x v="0"/>
    <m/>
    <m/>
    <m/>
    <s v="N"/>
    <x v="10"/>
    <s v="9290995083"/>
    <s v="X"/>
    <n v="-44576.84"/>
    <n v="300000"/>
    <n v="255423.16"/>
    <s v=""/>
    <n v="255423.16"/>
    <n v="232500.12"/>
    <n v="48180"/>
    <n v="24170"/>
    <x v="1"/>
    <x v="1"/>
    <n v="25000"/>
    <n v="-830"/>
    <x v="23"/>
    <s v="TC"/>
    <s v="12118 - NEFT PAYMENT RECEIVED"/>
    <s v="HARI"/>
    <x v="4"/>
    <x v="3"/>
    <s v="MAIN ROAD D NO 102 NEARMACHERLA BUSSTAND PIDUGURALLA   PDG ANP 522413"/>
    <s v="MAIN ROAD D NO 102 NEARMACHERLA BUSSTAND PIDUGURALLA   PDG ANP 522413 "/>
    <s v="NARASARAOPET"/>
    <x v="5"/>
    <x v="40"/>
    <s v="DURGA"/>
    <n v="801723195"/>
    <s v="Sgr@9290"/>
    <m/>
    <m/>
    <x v="0"/>
    <m/>
    <m/>
    <x v="1"/>
    <d v="2026-05-20T00:00:00"/>
    <n v="15880"/>
    <s v="ICICI Gold Business Card (BCCL-V)"/>
    <s v="13TH JULY"/>
    <s v="1000000000708915"/>
    <d v="2026-07-04T00:00:00"/>
  </r>
  <r>
    <s v="4315810965741006"/>
    <s v="MS APPARI SHANTHI PRIYA"/>
    <n v="0"/>
    <x v="0"/>
    <m/>
    <m/>
    <m/>
    <s v="N"/>
    <x v="10"/>
    <s v="9550038222"/>
    <s v="X"/>
    <n v="100224.29999999999"/>
    <n v="230000"/>
    <n v="330224.3"/>
    <n v="266516.19"/>
    <n v="63708.11"/>
    <n v="56084.97"/>
    <n v="63708.11"/>
    <n v="29461.17"/>
    <x v="0"/>
    <x v="0"/>
    <n v="0"/>
    <n v="29461.17"/>
    <x v="0"/>
    <s v="NA"/>
    <n v="0"/>
    <s v="HARI"/>
    <x v="6"/>
    <x v="3"/>
    <s v="3-30 MAIN ROAD DEVARAPALLI   PANCHAYATHI OFFICE AMALAPURAM ANP 533223"/>
    <s v="B.V.C INSTITUTE OF TECHNOLOGY AND SCIENCE MAIN ROAD BHATALAPALEM   AMALAPURAM ANP 533201 "/>
    <s v="AMALAPURAM"/>
    <x v="4"/>
    <x v="28"/>
    <s v="B NAGABABU"/>
    <n v="801448854"/>
    <s v="Sgr@9290"/>
    <m/>
    <m/>
    <x v="0"/>
    <s v="SKIP"/>
    <s v="CUSTOMER LEFT JOB IN GIVEN WORKING ADDRESS BEFORE 4 YEARS SIR"/>
    <x v="23"/>
    <d v="2025-09-05T00:00:00"/>
    <n v="12477.35"/>
    <s v="Amazon Pay ICICI Bank Credit Card"/>
    <s v="13TH JULY"/>
    <s v="0000000016807664"/>
    <d v="2026-07-04T00:00:00"/>
  </r>
  <r>
    <s v="4035622672103001"/>
    <s v="MR PRAVEEN KUSUMA"/>
    <n v="0"/>
    <x v="0"/>
    <m/>
    <m/>
    <m/>
    <s v="N"/>
    <x v="13"/>
    <s v="8897001517"/>
    <s v="X"/>
    <n v="8517.25"/>
    <n v="180000"/>
    <n v="188517.25"/>
    <n v="151065.15"/>
    <n v="37452.1"/>
    <n v="28403.93"/>
    <n v="37280"/>
    <n v="17620"/>
    <x v="0"/>
    <x v="0"/>
    <n v="0"/>
    <n v="17620"/>
    <x v="0"/>
    <s v="NA"/>
    <n v="0"/>
    <s v="HARI"/>
    <x v="6"/>
    <x v="3"/>
    <s v="2-375 DABA GARDENS AMALAPURAM AMALAPURAM NEAR EDARAPALLI BRIDGE AMALAPURAM ANP 533201"/>
    <s v="KUSUMA ASSOCIATES 2-375 DABA GARDENS AMALAPURAM AMALAPURAM AMALAPURAM ANP 533201"/>
    <s v="AMALAPURAM"/>
    <x v="4"/>
    <x v="28"/>
    <s v="B NAGABABU"/>
    <n v="801448854"/>
    <s v="Sgr@9290"/>
    <m/>
    <m/>
    <x v="0"/>
    <s v="MESS"/>
    <s v="FEED BACK: CUSTOMER SHIFTED TO RAJAMUNDRY SIR. INFORMED TO HIS FATHER"/>
    <x v="22"/>
    <d v="2025-06-03T00:00:00"/>
    <n v="52562"/>
    <s v="ICICI Bank Platinum Chip Credit Card"/>
    <s v="13TH JULY"/>
    <s v="0000000021725827"/>
    <d v="2026-07-08T00:00:00"/>
  </r>
  <r>
    <s v="4035622814843001"/>
    <s v="MR INTI VENKATAIAH"/>
    <n v="0"/>
    <x v="0"/>
    <m/>
    <m/>
    <m/>
    <s v="N"/>
    <x v="13"/>
    <s v="9492869703"/>
    <s v="X"/>
    <n v="8943.2700000000041"/>
    <n v="100000"/>
    <n v="108943.27"/>
    <s v=""/>
    <n v="108943.27"/>
    <n v="99941.42"/>
    <n v="31350"/>
    <n v="19800"/>
    <x v="0"/>
    <x v="0"/>
    <n v="0"/>
    <n v="19800"/>
    <x v="0"/>
    <s v="NA"/>
    <n v="0"/>
    <s v="HARI"/>
    <x v="4"/>
    <x v="3"/>
    <s v="2-87 PEDDAVEDU MATTAMPALLY NEAR WATER TANK SURYAPET TNG 508204"/>
    <s v="NCL INDUSTRIES LIMITED MAIN ROAD MATTAMPALLY MATTAMPALLY SURYAPET TNG 508204"/>
    <s v="SURYAPET"/>
    <x v="0"/>
    <x v="22"/>
    <s v="POORNIMA"/>
    <n v="802824019"/>
    <s v="Nihan@2421"/>
    <m/>
    <m/>
    <x v="1"/>
    <m/>
    <m/>
    <x v="1"/>
    <d v="2024-11-30T00:00:00"/>
    <n v="50000"/>
    <s v="ICICI Bank Platinum Chip Credit Card"/>
    <s v="13TH JULY"/>
    <s v="0000000022692066"/>
    <d v="2026-07-08T00:00:00"/>
  </r>
  <r>
    <s v="4035622819182025"/>
    <s v="MR M LINGAN"/>
    <n v="0"/>
    <x v="0"/>
    <m/>
    <m/>
    <m/>
    <s v="N"/>
    <x v="13"/>
    <s v="7997229757"/>
    <s v="X"/>
    <n v="-98043.56"/>
    <n v="180000"/>
    <n v="81956.44"/>
    <s v=""/>
    <n v="81956.44"/>
    <n v="72603.320000000007"/>
    <n v="13940"/>
    <n v="3850"/>
    <x v="1"/>
    <x v="1"/>
    <n v="50000"/>
    <n v="-46150"/>
    <x v="23"/>
    <s v="TC"/>
    <s v="30501-BBPS Payment received"/>
    <s v="HARI"/>
    <x v="4"/>
    <x v="3"/>
    <s v="&quot;2-476, GURUKULA MADUGU,VEERNAMALA&quot; &quot;CHITTOOR, ANDHRAPRADESH&quot;  ATM CHITTOOR ANP 517401"/>
    <s v="ACCENTURE SOLUTIONS PRIVATE LIMITED IBC KNOWEDGE PARK TOWER BANGALORE BANGALORE BANGALORE KAR 560029"/>
    <s v="CHITTOOR"/>
    <x v="1"/>
    <x v="22"/>
    <s v="POORNIMA"/>
    <n v="802824019"/>
    <s v="Nihan@2421"/>
    <m/>
    <m/>
    <x v="0"/>
    <m/>
    <m/>
    <x v="1"/>
    <d v="2025-08-07T00:00:00"/>
    <n v="1290"/>
    <s v="ICICI Bank Platinum Chip Credit Card"/>
    <s v="13TH JULY"/>
    <s v="0000000022715556"/>
    <d v="2026-07-08T00:00:00"/>
  </r>
  <r>
    <s v="4035622844959009"/>
    <s v="MR CHOUDARAPU SIDDARTHA"/>
    <n v="0"/>
    <x v="0"/>
    <m/>
    <m/>
    <m/>
    <s v="N"/>
    <x v="13"/>
    <s v="9398136297"/>
    <s v="X"/>
    <n v="9463.4400000000023"/>
    <n v="60000"/>
    <n v="69463.44"/>
    <s v=""/>
    <n v="69463.44"/>
    <n v="59960.51"/>
    <n v="26740"/>
    <n v="15859.31"/>
    <x v="0"/>
    <x v="0"/>
    <n v="0"/>
    <n v="15859.31"/>
    <x v="0"/>
    <s v="NA"/>
    <n v="0"/>
    <s v="HARI"/>
    <x v="6"/>
    <x v="3"/>
    <s v="&quot;HOUSE,NO 4-36 PEDDA EDGI PEDDA,EDGI,.,.,&quot; .  .. NIZAMABAD TNG 503305"/>
    <s v="TATA CONSULTANCY SERVICES LIMITED &quot;1/124,9TH FLOOR,MOUNT POONAMALEE RD,&quot; &quot;DLF IT PARK RD, BLOCK 9 MANAPAKKAM&quot; &quot;DLF IT PARK RD, BLOCK 9 MANAPAKKAM&quot; CHENNAI TMN 600089"/>
    <s v="NIZAMABAD"/>
    <x v="0"/>
    <x v="9"/>
    <s v="D RAMU"/>
    <n v="802663344"/>
    <s v="Sgr@9290"/>
    <m/>
    <m/>
    <x v="1"/>
    <m/>
    <m/>
    <x v="1"/>
    <d v="2026-06-01T00:00:00"/>
    <n v="3150.69"/>
    <s v="ICICI Bank HPCL Super Saver Visa Credit Card"/>
    <s v="13TH JULY"/>
    <s v="0000000022864483"/>
    <d v="2026-07-08T00:00:00"/>
  </r>
  <r>
    <s v="4035622896931005"/>
    <s v="MS VELPULA PRIYA DARSHINI"/>
    <n v="0"/>
    <x v="0"/>
    <m/>
    <m/>
    <m/>
    <s v="N"/>
    <x v="13"/>
    <s v="8520970772"/>
    <s v="X"/>
    <n v="-97626.75"/>
    <n v="150000"/>
    <n v="52373.25"/>
    <s v=""/>
    <n v="52373.25"/>
    <n v="48510.92"/>
    <n v="5970"/>
    <n v="1830"/>
    <x v="0"/>
    <x v="0"/>
    <n v="0"/>
    <n v="1830"/>
    <x v="0"/>
    <s v="NA"/>
    <n v="0"/>
    <s v="HARI"/>
    <x v="7"/>
    <x v="3"/>
    <s v="&quot;HNO.31-3-707, PARIMALA&quot; &quot;COLONY WADDEPALLY,ROAD&quot; 19HANUMAKONDA WARANGAL NEAR TEJA INTERNATIONAL SCHOOL WARANGAL TNG 506001"/>
    <s v="GOVERNMENT OF TELANGANA VARALAPALLI HANUMAKONDA   HYDERABAD TNG 505471"/>
    <s v="WARANGAL"/>
    <x v="0"/>
    <x v="20"/>
    <s v="KARUNAKAR"/>
    <n v="801264672"/>
    <s v="Ssd@9291"/>
    <m/>
    <m/>
    <x v="1"/>
    <m/>
    <m/>
    <x v="1"/>
    <d v="2024-02-01T00:00:00"/>
    <n v="71346"/>
    <s v="ICICI Bank Platinum Chip Credit Card"/>
    <s v="13TH JULY"/>
    <s v="0000000023207269"/>
    <d v="2026-07-08T00:00:00"/>
  </r>
  <r>
    <s v="4035622897386001"/>
    <s v="MR MUDAVATH CHINNA KASINAYAK"/>
    <n v="0"/>
    <x v="0"/>
    <m/>
    <m/>
    <m/>
    <s v="N"/>
    <x v="13"/>
    <s v="9573152276"/>
    <s v="X"/>
    <n v="3580.5099999999948"/>
    <n v="80000"/>
    <n v="83580.509999999995"/>
    <s v=""/>
    <n v="83580.509999999995"/>
    <n v="73901"/>
    <n v="18010"/>
    <n v="5990"/>
    <x v="0"/>
    <x v="0"/>
    <n v="0"/>
    <n v="5990"/>
    <x v="0"/>
    <s v="NA"/>
    <n v="0"/>
    <s v="HARI"/>
    <x v="5"/>
    <x v="3"/>
    <s v="10-03-69 AGANDHINAGAR PRAKASAM NEAR VIVEKANANDA SCHOOL NANDYAL ANP 523316"/>
    <s v="GOVERNMENT OF ANDRAPRADESH GOVERNMENT BC COLLEGE &quot;BOYS HOSTEL,JAVAHARNAGAR&quot; &quot;BOYS HOSTEL,JAVAHARNAGAR&quot; NANDYAL ANP 523316"/>
    <s v="NANDYAL"/>
    <x v="5"/>
    <x v="37"/>
    <s v="DURGA"/>
    <n v="801723195"/>
    <s v="Sgr@9290"/>
    <m/>
    <m/>
    <x v="1"/>
    <m/>
    <m/>
    <x v="1"/>
    <d v="2025-04-02T00:00:00"/>
    <n v="70000"/>
    <s v="ICICI Bank Platinum Chip Credit Card"/>
    <s v="13TH JULY"/>
    <s v="0000000023209162"/>
    <d v="2026-07-08T00:00:00"/>
  </r>
  <r>
    <s v="4035622899471009"/>
    <s v="MR YEDOTI VENKATESWARLU"/>
    <n v="0"/>
    <x v="0"/>
    <m/>
    <m/>
    <m/>
    <s v="N"/>
    <x v="13"/>
    <s v="9704625821"/>
    <s v="X"/>
    <n v="-992.27999999999884"/>
    <n v="80000"/>
    <n v="79007.72"/>
    <s v=""/>
    <n v="79007.72"/>
    <n v="70972.27"/>
    <n v="12530"/>
    <n v="4170"/>
    <x v="0"/>
    <x v="0"/>
    <n v="0"/>
    <n v="4170"/>
    <x v="0"/>
    <s v="NA"/>
    <n v="0"/>
    <s v="HARI"/>
    <x v="8"/>
    <x v="3"/>
    <s v="&quot;1/59,MAIN ROAD ,OPP RTC BUSSTAND&quot; CHITVEL POST AND MANDAL CHITVEL CUDDAPAH CHITVEL NEAR MAIN ROAD CUDDAPAH ANP 516104"/>
    <s v="SREE SRINIVASA TRADERS 1/59 MAIN ROAD OPP.APSRTC BUSSTAND OPP.APSRTC BUSSTAND CUDDAPAH ANP 516104"/>
    <s v="CUDDAPAH"/>
    <x v="1"/>
    <x v="48"/>
    <s v="SIVARAU"/>
    <n v="801601134"/>
    <s v="Ssd@9290"/>
    <m/>
    <m/>
    <x v="1"/>
    <m/>
    <m/>
    <x v="1"/>
    <d v="2024-09-05T00:00:00"/>
    <n v="20000"/>
    <s v="ICICI Bank Rubyx Visa Credit Card"/>
    <s v="13TH JULY"/>
    <s v="0000000023241457"/>
    <d v="2026-07-08T00:00:00"/>
  </r>
  <r>
    <s v="4035622911235002"/>
    <s v="MR PEDDAGAMALLA ABHINAY KUMAR"/>
    <n v="0"/>
    <x v="0"/>
    <m/>
    <m/>
    <m/>
    <s v="N"/>
    <x v="13"/>
    <s v="8328530604"/>
    <s v="X"/>
    <n v="5676.3700000000026"/>
    <n v="50000"/>
    <n v="55676.37"/>
    <s v=""/>
    <n v="55676.37"/>
    <n v="49998"/>
    <n v="15950"/>
    <n v="2500"/>
    <x v="0"/>
    <x v="0"/>
    <n v="0"/>
    <n v="2500"/>
    <x v="0"/>
    <s v="NA"/>
    <n v="0"/>
    <s v="HARI"/>
    <x v="5"/>
    <x v="3"/>
    <s v="H NO -2-5 PRAKASH NAGAR CHINTALPUDI MANDALAM PRAGADAVARAM RAMALAYAM TEMPULE ELURU ANP 534461"/>
    <s v="NTT DATA BUSINESS SOLUTIONS PVT LTD BLOCK-2 2FLORV D7 PLOT NO -123 EPIP PHASE -2 WHITEFIELD INDUSTRIAL RAEA EPIP PHASE -2 WHITEFIELD INDUSTRIAL RAEA BANGALORE KAR 560066"/>
    <s v="ELURU"/>
    <x v="4"/>
    <x v="32"/>
    <s v="BHARAT CHANDRA"/>
    <n v="802631601"/>
    <s v="Ssde@9290"/>
    <m/>
    <m/>
    <x v="0"/>
    <s v="LIVE"/>
    <s v="Remark Customer PTP Evening Sir"/>
    <x v="26"/>
    <d v="2026-05-07T00:00:00"/>
    <n v="56257.17"/>
    <s v="ICICI Bank Coral Credit Card"/>
    <s v="13TH JULY"/>
    <s v="0000000023340695"/>
    <d v="2026-07-08T00:00:00"/>
  </r>
  <r>
    <s v="4035622965714001"/>
    <s v="MR S GIRIDHAR"/>
    <n v="0"/>
    <x v="0"/>
    <m/>
    <m/>
    <m/>
    <s v="N"/>
    <x v="13"/>
    <s v="9014329830"/>
    <s v="X"/>
    <n v="8783.6999999999971"/>
    <n v="60000"/>
    <n v="68783.7"/>
    <s v=""/>
    <n v="68783.7"/>
    <n v="59687.7"/>
    <n v="23060"/>
    <n v="11830"/>
    <x v="0"/>
    <x v="0"/>
    <n v="0"/>
    <n v="11830"/>
    <x v="0"/>
    <s v="NA"/>
    <n v="0"/>
    <s v="HARI"/>
    <x v="9"/>
    <x v="3"/>
    <s v="&quot;0-0,MITTOOR VENGAM PALLE,IRALA,.,.,.&quot; ...  MAIN ROAD CHITTOOR ANP 517129"/>
    <s v="TATA CONSULTANCY SERVICES LIMITED &quot;GODREJ  BOYCE COMPLEX, PLANT NO. 12, L&quot; &quot;S MARG, GODREJ  BOYCE INDUSTRY ESTATE,&quot; &quot;S MARG, GODREJ  BOYCE INDUSTRY ESTATE,&quot; MUMBAI MAH 400079"/>
    <s v="CHITTOOR"/>
    <x v="1"/>
    <x v="42"/>
    <s v="SK MUJEEB"/>
    <n v="802175739"/>
    <s v="Ssd@9290"/>
    <m/>
    <m/>
    <x v="1"/>
    <m/>
    <m/>
    <x v="1"/>
    <d v="2025-07-17T00:00:00"/>
    <n v="13647.91"/>
    <s v="ICICI Bank Platinum Chip Credit Card"/>
    <s v="13TH JULY"/>
    <s v="0000000023797920"/>
    <d v="2026-07-08T00:00:00"/>
  </r>
  <r>
    <s v="4035622972918009"/>
    <s v="MR DUDI GANGADHAR"/>
    <n v="0"/>
    <x v="0"/>
    <m/>
    <m/>
    <m/>
    <s v="N"/>
    <x v="13"/>
    <s v="9908062444"/>
    <s v="X"/>
    <n v="5894.8399999999965"/>
    <n v="50000"/>
    <n v="55894.84"/>
    <s v=""/>
    <n v="55894.84"/>
    <n v="49998.19"/>
    <n v="14730"/>
    <n v="4820"/>
    <x v="0"/>
    <x v="0"/>
    <n v="0"/>
    <n v="4820"/>
    <x v="0"/>
    <s v="NA"/>
    <n v="0"/>
    <s v="HARI"/>
    <x v="7"/>
    <x v="3"/>
    <s v="&quot;3-64,PANCHAYATI SCHOOL VADDA,.,SANKARAGU&quot; &quot;PTAM,,MALIKIPURAM&quot;  NEAR BUS STAND AMALAPURAM ANP 533250"/>
    <s v="INFOSYS LIMITED 44 INFOSYS AVENUE ELECTRONICS CITY HOSUR ROAD BANGLORE HOSUR ROAD BANGLORE BANGALORE KAR 560100"/>
    <s v="AMALAPURAM"/>
    <x v="4"/>
    <x v="28"/>
    <s v="B NAGABABU"/>
    <n v="801448854"/>
    <s v="Sgr@9290"/>
    <m/>
    <m/>
    <x v="1"/>
    <m/>
    <m/>
    <x v="1"/>
    <d v="2025-07-08T00:00:00"/>
    <n v="20300"/>
    <s v="ICICI Bank Coral RuPay Credit Card"/>
    <s v="13TH JULY"/>
    <s v="0000000023887948"/>
    <d v="2026-07-08T00:00:00"/>
  </r>
  <r>
    <s v="4035622999217005"/>
    <s v="MR BELLAMKONDA KOTESWARA RAO"/>
    <n v="0"/>
    <x v="0"/>
    <m/>
    <m/>
    <m/>
    <s v="N"/>
    <x v="13"/>
    <s v="9490007040"/>
    <s v="X"/>
    <n v="12879.340000000026"/>
    <n v="260000"/>
    <n v="272879.34000000003"/>
    <n v="176350.61"/>
    <n v="96528.73"/>
    <n v="80225.119999999995"/>
    <n v="41500"/>
    <n v="20310"/>
    <x v="0"/>
    <x v="0"/>
    <n v="998"/>
    <n v="19312"/>
    <x v="0"/>
    <s v="NA"/>
    <s v="12111-ICICI BANK COLLECTION PAYMENT"/>
    <s v="HARI"/>
    <x v="8"/>
    <x v="3"/>
    <s v="&quot;7-19/A BHADRAIAH NAGAR,CHILUKURU MANDALA&quot; &quot;M, BETHAVOLU&quot;  ATM SURYAPET TNG 508204"/>
    <s v="TVS CREDIT SERVICES LIMITED &quot;2ND AND 3RD,10,SARDAR PATEL ROAD,&quot; &quot;BEGUMPET, TELANGANA&quot; &quot;BEGUMPET, TELANGANA&quot; HYDERABAD TNG 500016"/>
    <s v="SURYAPET"/>
    <x v="0"/>
    <x v="22"/>
    <s v="POORNIMA"/>
    <n v="802824019"/>
    <s v="Nihan@2421"/>
    <m/>
    <m/>
    <x v="1"/>
    <m/>
    <m/>
    <x v="1"/>
    <d v="2026-04-07T00:00:00"/>
    <n v="68037.78"/>
    <s v="ICICI Bank Platinum Chip Credit Card"/>
    <s v="13TH JULY"/>
    <s v="0000000024198428"/>
    <d v="2026-07-08T00:00:00"/>
  </r>
  <r>
    <s v="4035623058257007"/>
    <s v="MR MYLA SEKHAR"/>
    <n v="0"/>
    <x v="0"/>
    <m/>
    <m/>
    <m/>
    <s v="N"/>
    <x v="13"/>
    <s v="7981848132"/>
    <s v="X"/>
    <n v="5613.2100000000064"/>
    <n v="80000"/>
    <n v="85613.21"/>
    <s v=""/>
    <n v="85613.21"/>
    <n v="75046.820000000007"/>
    <n v="23210"/>
    <n v="9660"/>
    <x v="0"/>
    <x v="0"/>
    <n v="0"/>
    <n v="9660"/>
    <x v="0"/>
    <s v="NA"/>
    <n v="0"/>
    <s v="HARI"/>
    <x v="8"/>
    <x v="3"/>
    <s v="&quot;1-11 , MAINBAZAAR ,,SC COLONY,CHINTAKOMM&quot; &quot;ADINNE , ALLAGADDA,KURNOOL&quot;  BUS STOP NANDYAL ANP 518543"/>
    <s v="EUCLID INNOVATIONS PVT LTD &quot;6TH FLOOR SLN TERMINUS,KONDAPUR TO GACHI&quot; BOWLIROAD BESIDES BOTANCAL GARDEN BOWLIROAD BESIDES BOTANCAL GARDEN HYDERABAD TNG 500032"/>
    <s v="NANDYAL"/>
    <x v="1"/>
    <x v="7"/>
    <s v="HARI"/>
    <n v="802388289"/>
    <s v="Ssd@9290"/>
    <m/>
    <m/>
    <x v="0"/>
    <s v="DL"/>
    <s v="Customer house address visit customer house door lock neighbours told customer shifted customer mobile switch off"/>
    <x v="25"/>
    <d v="2026-03-10T00:00:00"/>
    <n v="116.82"/>
    <s v="ICICI Bank Platinum Chip Credit Card"/>
    <s v="13TH JULY"/>
    <s v="0000000024951845"/>
    <d v="2026-07-08T00:00:00"/>
  </r>
  <r>
    <s v="4035623060013000"/>
    <s v="MR RACHABATTUNI HEMANTH"/>
    <n v="0"/>
    <x v="0"/>
    <m/>
    <m/>
    <m/>
    <s v="N"/>
    <x v="13"/>
    <s v="9581986516"/>
    <s v="X"/>
    <n v="53074.5"/>
    <n v="320000"/>
    <n v="373074.5"/>
    <n v="252029.15"/>
    <n v="121045.35"/>
    <n v="109348.19"/>
    <n v="63280"/>
    <n v="31209"/>
    <x v="0"/>
    <x v="0"/>
    <n v="0"/>
    <n v="31209"/>
    <x v="0"/>
    <s v="NA"/>
    <n v="0"/>
    <s v="HARI"/>
    <x v="4"/>
    <x v="3"/>
    <s v="21-6-14 OPPOSITE TO TDP OFFICE RAMALINGESGWARA PET SATYANARAYA PARK ROAD VIJAYAWADA ANP 522201"/>
    <s v="INMORPHIS SERVICES PRIVATE LIMITED &quot;ANJUMAN K, ARR TOWER NO-77,1,28&quot; 1ST FLOOR P LING RAO ROAD NEAR RICH MONT 1ST FLOOR P LING RAO ROAD NEAR RICH MONT BANGALORE KAR 560027"/>
    <s v="VIJAYAWADA"/>
    <x v="3"/>
    <x v="46"/>
    <s v="INAMUL"/>
    <n v="802823175"/>
    <s v="Sgr@9290"/>
    <m/>
    <m/>
    <x v="1"/>
    <m/>
    <m/>
    <x v="1"/>
    <d v="2024-10-01T00:00:00"/>
    <n v="28170"/>
    <s v="ICICI Bank Coral RuPay Credit Card"/>
    <s v="13TH JULY"/>
    <s v="0000000024970857"/>
    <d v="2026-07-08T00:00:00"/>
  </r>
  <r>
    <s v="4035623075558007"/>
    <s v="MR YENUGU SUNAND KUMAR"/>
    <n v="0"/>
    <x v="0"/>
    <m/>
    <m/>
    <m/>
    <s v="N"/>
    <x v="13"/>
    <s v="9177355344"/>
    <s v="X"/>
    <n v="8741.36"/>
    <n v="80000"/>
    <n v="88741.36"/>
    <s v=""/>
    <n v="88741.36"/>
    <n v="79911.58"/>
    <n v="22060"/>
    <n v="7630"/>
    <x v="0"/>
    <x v="0"/>
    <n v="0"/>
    <n v="7630"/>
    <x v="0"/>
    <s v="NA"/>
    <n v="0"/>
    <s v="HARI"/>
    <x v="9"/>
    <x v="3"/>
    <s v="FLAT NO 3 GF ABHINANDANA APARTMENT KK RAJU GREEN CITY ELURU  NEAR WATER TANK ELURU ANP 534001"/>
    <s v="ICICI HOME FINANCE COMPANY LIMITED HOUSE NO 23B-5-7 4 FLOOR VASAVI PLAZA RR PETA ELURU 4 FLOOR VASAVI PLAZA RR PETA ELURU ELURU ANP 534002"/>
    <s v="ELURU"/>
    <x v="4"/>
    <x v="32"/>
    <s v="BHARAT CHANDRA"/>
    <n v="802631601"/>
    <s v="Ssde@9290"/>
    <m/>
    <m/>
    <x v="0"/>
    <s v="SKIP"/>
    <s v="Remark Customer Phone Not Answer Customer Given Address Shifted Sir // Remark Customer Phone Not Connect Customer Given Second Address No Search Person Sir"/>
    <x v="23"/>
    <d v="2026-05-07T00:00:00"/>
    <n v="7850"/>
    <s v="ICICI Bank HPCL Super Saver RuPay Credit Card"/>
    <s v="13TH JULY"/>
    <s v="0000000025147101"/>
    <d v="2026-07-08T00:00:00"/>
  </r>
  <r>
    <s v="4035623080575004"/>
    <s v="MR K CHANDRA SEKHAR"/>
    <n v="0"/>
    <x v="0"/>
    <m/>
    <m/>
    <m/>
    <s v="N"/>
    <x v="13"/>
    <s v="7416754156"/>
    <s v="X"/>
    <n v="6001.8000000000029"/>
    <n v="100000"/>
    <n v="106001.8"/>
    <s v=""/>
    <n v="106001.8"/>
    <n v="97272.6"/>
    <n v="23930"/>
    <n v="5940"/>
    <x v="0"/>
    <x v="0"/>
    <n v="0"/>
    <n v="5940"/>
    <x v="0"/>
    <s v="NA"/>
    <n v="0"/>
    <s v="HARI"/>
    <x v="5"/>
    <x v="3"/>
    <s v="PLOT NO 16 Kurnool GKR TOWNSHIP opp. CRR school NH 7 DINNEDEVARAPADU Kurnool KURNOOL ANP 518002"/>
    <s v="SADGURU HEALTHCARE SERVICES PVT LTD OASIS FERTILITY KURNOOL KURNOOL KURNOOL ANP 518002"/>
    <s v="KURNOOL"/>
    <x v="1"/>
    <x v="18"/>
    <s v="SAMBA"/>
    <n v="801772794"/>
    <s v="Ssde@9876"/>
    <m/>
    <m/>
    <x v="0"/>
    <s v="SKIP"/>
    <s v="Visit near customer house &amp; work place also he not working at given address not responding for calls .  / Customer not available at given address. Visit again // Customer given ptp tomorrow evening by 7pm "/>
    <x v="25"/>
    <d v="2026-05-08T00:00:00"/>
    <n v="54729.31"/>
    <s v="ICICI Bank Platinum Chip Credit Card"/>
    <s v="13TH JULY"/>
    <s v="0000000025230893"/>
    <d v="2026-07-08T00:00:00"/>
  </r>
  <r>
    <s v="4035623174746016"/>
    <s v="MR MANALA SAICHARAN"/>
    <n v="0"/>
    <x v="0"/>
    <m/>
    <m/>
    <m/>
    <s v="N"/>
    <x v="13"/>
    <s v="9652447037"/>
    <s v="X"/>
    <n v="79177.3"/>
    <n v="20000"/>
    <n v="99177.3"/>
    <n v="39880.519999999997"/>
    <n v="59296.78"/>
    <n v="52784.160000000003"/>
    <n v="59296.78"/>
    <n v="32500"/>
    <x v="0"/>
    <x v="0"/>
    <n v="17177"/>
    <n v="15323"/>
    <x v="0"/>
    <s v="NA"/>
    <s v="12111-ICICI BANK COLLECTION PAYMENT"/>
    <s v="HARI"/>
    <x v="9"/>
    <x v="3"/>
    <s v="&quot;3-111,,Chandrupatla&quot; &quot;,&quot; Opp bustand Kalluru Mandal Chandrupatla KHAMMAM TNG 507209"/>
    <s v="SAMIKA DESIGN S UNIT F 3  133  OLD MUMBAI HAIWAY BIODIVERSITY COMPLEX GACHIBOWLI BIODIVERSITY COMPLEX GACHIBOWLI HYDERABAD TNG 500032"/>
    <s v="KHAMMAM"/>
    <x v="0"/>
    <x v="29"/>
    <s v="SUDHAKAR"/>
    <n v="802913252"/>
    <s v="Ssd@9290"/>
    <m/>
    <m/>
    <x v="1"/>
    <m/>
    <m/>
    <x v="1"/>
    <d v="2026-06-02T00:00:00"/>
    <n v="7000"/>
    <s v="ICICI Bank Coral RuPay Credit Card"/>
    <s v="13TH JULY"/>
    <s v="0000000026508292"/>
    <d v="2026-07-08T00:00:00"/>
  </r>
  <r>
    <s v="4035623179120001"/>
    <s v="MR DUBBAKA SRIKANTH"/>
    <n v="0"/>
    <x v="0"/>
    <m/>
    <m/>
    <m/>
    <s v="N"/>
    <x v="13"/>
    <s v="7032046571"/>
    <s v="X"/>
    <n v="3414.5099999999948"/>
    <n v="110000"/>
    <n v="113414.51"/>
    <n v="87097.03"/>
    <n v="26317.48"/>
    <n v="17972.32"/>
    <n v="20290"/>
    <n v="10004.36"/>
    <x v="1"/>
    <x v="1"/>
    <n v="20290"/>
    <n v="-10285.64"/>
    <x v="26"/>
    <s v="TC"/>
    <n v="0"/>
    <s v="HARI"/>
    <x v="5"/>
    <x v="3"/>
    <s v="&quot;3-28,MAIN STREET,DUBBAKAVANIPETA,POLAKI,&quot; TALASAMUDRAM  . SRIKAKULAM ANP 532429"/>
    <s v="AASAN SOFTWARE PRIVATE LIMITED JAYARAM NAGAR THIRUVANMIYUR CHENNAI CHENNAI CHENNAI TMN 600041"/>
    <s v="SRIKAKULAM"/>
    <x v="7"/>
    <x v="51"/>
    <s v="POORNIMA"/>
    <n v="802824019"/>
    <s v="Nihan@2421"/>
    <m/>
    <m/>
    <x v="1"/>
    <m/>
    <m/>
    <x v="1"/>
    <d v="2026-01-20T00:00:00"/>
    <n v="40000"/>
    <s v="ICICI Bank HPCL Coral VISA Credit Card"/>
    <s v="13TH JULY"/>
    <s v="0000000026564377"/>
    <d v="2026-07-08T00:00:00"/>
  </r>
  <r>
    <s v="4035623217913003"/>
    <s v="MR NAKIREKANTI CHANDRA"/>
    <n v="0"/>
    <x v="0"/>
    <m/>
    <m/>
    <m/>
    <s v="N"/>
    <x v="13"/>
    <s v="9603157031"/>
    <s v="X"/>
    <n v="13648.429999999993"/>
    <n v="110000"/>
    <n v="123648.43"/>
    <s v=""/>
    <n v="123648.43"/>
    <n v="109282.6"/>
    <n v="33890"/>
    <n v="15850"/>
    <x v="0"/>
    <x v="0"/>
    <n v="0"/>
    <n v="15850"/>
    <x v="0"/>
    <s v="NA"/>
    <n v="0"/>
    <s v="HARI"/>
    <x v="8"/>
    <x v="3"/>
    <s v="1-55 IMMAMPET SURYAPET  NEAR GRAMAPANCHAYITHI SURYAPET TNG 508213"/>
    <s v="LIFE INSURANCE CORPORATION OF INDIAPLICA JAGGAIAHPET JAGGAIAHPET JAGGAIAHPET SURYAPET TNG 508213"/>
    <s v="SURYAPET"/>
    <x v="0"/>
    <x v="53"/>
    <s v="POORNIMA"/>
    <n v="802824019"/>
    <s v="Nihan@2421"/>
    <m/>
    <m/>
    <x v="1"/>
    <m/>
    <m/>
    <x v="1"/>
    <d v="2024-07-04T00:00:00"/>
    <n v="22264.91"/>
    <s v="ICICI Bank Platinum Chip Credit Card"/>
    <s v="13TH JULY"/>
    <s v="0000000027162699"/>
    <d v="2026-07-08T00:00:00"/>
  </r>
  <r>
    <s v="4035623235593001"/>
    <s v="MS BALSUGURI TEJASWINI"/>
    <n v="0"/>
    <x v="0"/>
    <m/>
    <m/>
    <m/>
    <s v="N"/>
    <x v="13"/>
    <s v="9515980737"/>
    <s v="X"/>
    <n v="32618.190000000002"/>
    <n v="20000"/>
    <n v="52618.19"/>
    <n v="38644.800000000003"/>
    <n v="13973.39"/>
    <n v="10898.11"/>
    <n v="13973.39"/>
    <n v="4648.9399999999996"/>
    <x v="0"/>
    <x v="0"/>
    <n v="0"/>
    <n v="4648.9399999999996"/>
    <x v="0"/>
    <s v="NA"/>
    <n v="0"/>
    <s v="HARI"/>
    <x v="8"/>
    <x v="3"/>
    <s v="&quot;7 WARD,7-12,HANAMKONDA,KADIPIKONDA&quot; ...  NEAR WARANGAL TNG 506003"/>
    <s v="WIPRO LIMITED ALSO WIPRO TECHNOLOGIES A WIPRO LIMITED BLOCK E NANAKRAMGUDA HYDERABAD TELANGANA HYDERABAD TELANGANA HYDERABAD TNG 500081"/>
    <s v="WARANGAL"/>
    <x v="0"/>
    <x v="0"/>
    <s v="AKHIL"/>
    <n v="801772792"/>
    <s v="Sgr@9290"/>
    <m/>
    <m/>
    <x v="1"/>
    <m/>
    <m/>
    <x v="1"/>
    <d v="2025-11-01T00:00:00"/>
    <n v="5889"/>
    <s v="ICICI Bank Platinum Chip Credit Card"/>
    <s v="13TH JULY"/>
    <s v="0000000027429072"/>
    <d v="2026-07-08T00:00:00"/>
  </r>
  <r>
    <s v="4035623331753004"/>
    <s v="MR AKSHAY KUMAR TALARE"/>
    <n v="0"/>
    <x v="0"/>
    <m/>
    <m/>
    <m/>
    <s v="N"/>
    <x v="13"/>
    <s v="9381363398"/>
    <s v="X"/>
    <n v="-53780.209999999992"/>
    <n v="250000"/>
    <n v="196219.79"/>
    <s v=""/>
    <n v="196219.79"/>
    <n v="179195.18"/>
    <n v="28540"/>
    <n v="10030"/>
    <x v="1"/>
    <x v="1"/>
    <n v="50000"/>
    <n v="-39970"/>
    <x v="24"/>
    <s v="TC"/>
    <s v="12118 - NEFT PAYMENT RECEIVED"/>
    <s v="HARI"/>
    <x v="5"/>
    <x v="3"/>
    <s v="H NO 1-48/B MADNOOR MANDAL LIMBOOR  NIZAMABAD TNG 503309"/>
    <s v="DBS TECHNOLOGY SERVICES INDIA PVT LTD &quot;D.NO1 98 9/3/33,35 37/4,PLOT NO 28 TO&quot; &quot;IMAGE GARDENS RD, SILICON VALLEY&quot; &quot;IMAGE GARDENS RD, SILICON VALLEY&quot; HYDERABAD TNG 500081"/>
    <s v="NIZAMABAD"/>
    <x v="0"/>
    <x v="22"/>
    <s v="POORNIMA"/>
    <n v="802824019"/>
    <s v="Nihan@2421"/>
    <m/>
    <m/>
    <x v="0"/>
    <m/>
    <m/>
    <x v="1"/>
    <d v="2024-07-17T00:00:00"/>
    <n v="8000"/>
    <s v="ICICI Bank Platinum Chip Credit Card"/>
    <s v="13TH JULY"/>
    <s v="0000000029179520"/>
    <d v="2026-07-08T00:00:00"/>
  </r>
  <r>
    <s v="4035623384426003"/>
    <s v="MS MUDDI BHAGYA"/>
    <n v="0"/>
    <x v="0"/>
    <m/>
    <s v="CC"/>
    <m/>
    <s v="O"/>
    <x v="13"/>
    <s v="6303683561"/>
    <s v="X"/>
    <n v="-405053.97"/>
    <n v="610000"/>
    <n v="204946.03"/>
    <n v="2078.69"/>
    <n v="202867.34"/>
    <n v="187045.34"/>
    <n v="51030"/>
    <n v="26801.24"/>
    <x v="0"/>
    <x v="0"/>
    <n v="0"/>
    <n v="26801.24"/>
    <x v="0"/>
    <s v="NA"/>
    <n v="0"/>
    <s v="HARI"/>
    <x v="8"/>
    <x v="3"/>
    <s v="&quot;2/19,AMBAKA PALLI AMBAKA,PALLE,CUDDAPAH,&quot; &quot;,CHINNAKUDALA&quot;  MAIN ROAD PRODDATUR ANP 516396"/>
    <s v="ORACLECERNER HEALTHCARESOLUTIONINDIAPVT &quot;GROUND FLOOR,WING B-BLOCK,H2 MOUNTAIN&quot; &quot;ASH MANYATA EMBASSY BUSINESS PARK,BANGAL&quot; &quot;ASH MANYATA EMBASSY BUSINESS PARK,BANGAL&quot; BANGALORE KAR 560045"/>
    <s v="PRODDATUR"/>
    <x v="1"/>
    <x v="12"/>
    <s v="POORNIMA"/>
    <n v="802824019"/>
    <s v="Nihan@2421"/>
    <m/>
    <m/>
    <x v="1"/>
    <m/>
    <m/>
    <x v="1"/>
    <d v="2026-03-31T00:00:00"/>
    <n v="40000"/>
    <s v="ICICI Bank Coral RuPay Credit Card"/>
    <s v="13TH JULY"/>
    <s v="0000000030832696"/>
    <d v="2026-07-08T00:00:00"/>
  </r>
  <r>
    <s v="4035623390520005"/>
    <s v="MR MARAMULLA DAVIDRAJU"/>
    <n v="0"/>
    <x v="0"/>
    <m/>
    <m/>
    <m/>
    <s v="O"/>
    <x v="13"/>
    <s v="7337308147"/>
    <s v="X"/>
    <n v="293.18000000000029"/>
    <n v="50000"/>
    <n v="50293.18"/>
    <n v="29283.66"/>
    <n v="21009.52"/>
    <n v="18485.28"/>
    <n v="9970"/>
    <n v="4830"/>
    <x v="0"/>
    <x v="0"/>
    <n v="0"/>
    <n v="4830"/>
    <x v="0"/>
    <s v="NA"/>
    <n v="0"/>
    <s v="HARI"/>
    <x v="6"/>
    <x v="3"/>
    <s v="&quot;6-150,YELESWARAM,MAIN RAOD,SIRIPURAM&quot; ...  NEAR AMBEDKAR STATUE KAKINADA ANP 533432"/>
    <s v="MUTHOOT HOUSING FINANCE COMPANY LIMITED KAKINADA MAIN ROAD TEMPLE STREET NEAR HDFC BANK NEAR HDFC BANK KAKINADA ANP 533001"/>
    <s v="KAKINADA"/>
    <x v="4"/>
    <x v="22"/>
    <s v="UDAY"/>
    <n v="801436997"/>
    <s v="Ssd@9290"/>
    <m/>
    <m/>
    <x v="1"/>
    <m/>
    <m/>
    <x v="1"/>
    <d v="2025-06-07T00:00:00"/>
    <n v="50000.800000000003"/>
    <s v="ICICI Bank Coral Credit Card"/>
    <s v="13TH JULY"/>
    <s v="0000000031149779"/>
    <d v="2026-07-08T00:00:00"/>
  </r>
  <r>
    <s v="4035623399689009"/>
    <s v="MR DAMISETTY GANESH"/>
    <n v="0"/>
    <x v="0"/>
    <m/>
    <m/>
    <m/>
    <s v="N"/>
    <x v="13"/>
    <s v="8317525157"/>
    <s v="X"/>
    <n v="5006.6900000000023"/>
    <n v="50000"/>
    <n v="55006.69"/>
    <s v=""/>
    <n v="55006.69"/>
    <n v="49936.78"/>
    <n v="14700"/>
    <n v="2500"/>
    <x v="0"/>
    <x v="0"/>
    <n v="0"/>
    <n v="2500"/>
    <x v="0"/>
    <s v="NA"/>
    <n v="0"/>
    <s v="HARI"/>
    <x v="6"/>
    <x v="3"/>
    <s v="H NO 2-46 ELURU MANDAL  NEAR RANAMMA TEMPLE ELURU ANP 534002"/>
    <s v="TATA CAPITAL LIMITED TATA CAPITAL 2ND FLOOR GUDIVADA GUDIVADA GUDIVADA ANP 521301"/>
    <s v="ELURU"/>
    <x v="4"/>
    <x v="32"/>
    <s v="BHARAT CHANDRA"/>
    <n v="802631601"/>
    <s v="Ssde@9290"/>
    <m/>
    <m/>
    <x v="1"/>
    <m/>
    <m/>
    <x v="1"/>
    <s v=""/>
    <n v="0"/>
    <s v="ICICI Bank Coral RuPay Credit Card"/>
    <s v="13TH JULY"/>
    <s v="0000000031632483"/>
    <d v="2026-07-08T00:00:00"/>
  </r>
  <r>
    <s v="4035623413483009"/>
    <s v="MS POTNARSAM RAVALIKA"/>
    <n v="0"/>
    <x v="0"/>
    <m/>
    <m/>
    <m/>
    <s v="N"/>
    <x v="13"/>
    <s v="9704827908"/>
    <s v="X"/>
    <n v="4353.07"/>
    <n v="50000"/>
    <n v="54353.07"/>
    <s v=""/>
    <n v="54353.07"/>
    <n v="50000"/>
    <n v="10910"/>
    <n v="2500"/>
    <x v="1"/>
    <x v="2"/>
    <n v="2500"/>
    <n v="0"/>
    <x v="26"/>
    <s v="FE"/>
    <s v="12111-ICICI BANK COLLECTION PAYMENT"/>
    <s v="HARI"/>
    <x v="9"/>
    <x v="3"/>
    <s v="&quot;H NO,2-84/1&quot; &quot;MAHALINGI TANOOR,MAHALINGI,,MAHALINGI&quot;  Nirmal ADL TNG 504103"/>
    <s v="&quot;350,HEBBAL ELECTRONIC CITY&quot; HOOTAGALLI MYSURU   MYS KAR 570027"/>
    <s v="ADILABAD"/>
    <x v="0"/>
    <x v="3"/>
    <s v="KANTH"/>
    <n v="802794852"/>
    <s v="Ssd@9290"/>
    <m/>
    <m/>
    <x v="0"/>
    <s v="LIVE"/>
    <s v="Customer visit home address meet her Brother PTP 18TH"/>
    <x v="23"/>
    <s v=""/>
    <n v="0"/>
    <s v="ICICI Bank Coral RuPay Credit Card"/>
    <s v="13TH JULY"/>
    <s v="0000000032626790"/>
    <d v="2026-07-08T00:00:00"/>
  </r>
  <r>
    <s v="4035627401350005"/>
    <s v="MR PIDAMARTHI RAM KUMAR"/>
    <n v="0"/>
    <x v="0"/>
    <m/>
    <m/>
    <m/>
    <s v="N"/>
    <x v="13"/>
    <s v="9014619794"/>
    <s v="X"/>
    <n v="9454.7899999999936"/>
    <n v="70000"/>
    <n v="79454.789999999994"/>
    <n v="45030.28"/>
    <n v="34424.51"/>
    <n v="25376.76"/>
    <n v="34424.51"/>
    <n v="12911.85"/>
    <x v="0"/>
    <x v="0"/>
    <n v="0"/>
    <n v="12911.85"/>
    <x v="0"/>
    <s v="NA"/>
    <n v="0"/>
    <s v="HARI"/>
    <x v="5"/>
    <x v="3"/>
    <s v="3-5-131/2/A/R5 SURYAPET MANDALAM &quot;HANUMAN NAGAR, INDIAN OIL PETROL BUNK BA&quot; SURYAPET POST SURYAPET TNG 508213"/>
    <s v="GOVT OF TELANGANA GST DEPARTMENT H.NO4-51/4 &quot;BESIDE IOC PETROL PUMP, KHAMMAM, X&quot; &quot;BESIDE IOC PETROL PUMP, KHAMMAM, X&quot; SURYAPET TNG 508206"/>
    <s v="SURYAPET"/>
    <x v="0"/>
    <x v="53"/>
    <s v="POORNIMA"/>
    <n v="802824019"/>
    <s v="Nihan@2421"/>
    <m/>
    <m/>
    <x v="1"/>
    <m/>
    <m/>
    <x v="1"/>
    <d v="2025-07-19T00:00:00"/>
    <n v="10000"/>
    <s v="ICICI Bank Sapphiro Visa Credit Card"/>
    <s v="13TH JULY"/>
    <s v="0000000027298794"/>
    <d v="2026-07-08T00:00:00"/>
  </r>
  <r>
    <s v="4035627481300003"/>
    <s v="Mr DAMMALA VEERA VENKATA SAT"/>
    <n v="0"/>
    <x v="0"/>
    <m/>
    <m/>
    <m/>
    <s v="N"/>
    <x v="13"/>
    <s v="9989534831"/>
    <s v="X"/>
    <n v="-11872.230000000003"/>
    <n v="70000"/>
    <n v="58127.77"/>
    <n v="50467.31"/>
    <n v="7660.46"/>
    <n v="4817.5200000000004"/>
    <n v="7660.46"/>
    <n v="3369.37"/>
    <x v="0"/>
    <x v="0"/>
    <n v="0"/>
    <n v="3369.37"/>
    <x v="0"/>
    <s v="NA"/>
    <n v="0"/>
    <s v="HARI"/>
    <x v="5"/>
    <x v="3"/>
    <s v="&quot;4-130,KARANAM GARI THOTA,KARANAM GARI THOTA,&quot; GOLLAPROLU   KAKINADA ANP 533445"/>
    <s v="Not Applicable 4-130 Karanam gari thota Gollaprolu Gollaprolu KAKINADA ANP 533445"/>
    <s v="KAKINADA"/>
    <x v="4"/>
    <x v="23"/>
    <s v="UDAY"/>
    <n v="801436997"/>
    <s v="Ssd@9290"/>
    <m/>
    <m/>
    <x v="1"/>
    <m/>
    <m/>
    <x v="1"/>
    <d v="2026-03-11T00:00:00"/>
    <n v="4576.07"/>
    <s v="ICICI Bank HPCL Coral VISA Credit Card"/>
    <s v="13TH JULY"/>
    <s v="0000000028145098"/>
    <d v="2026-07-08T00:00:00"/>
  </r>
  <r>
    <s v="4035627538035008"/>
    <s v="MRS KOTTOLLA LAXMI"/>
    <n v="0"/>
    <x v="0"/>
    <m/>
    <m/>
    <m/>
    <s v="N"/>
    <x v="13"/>
    <s v="6300782373"/>
    <s v="X"/>
    <n v="10239.979999999996"/>
    <n v="60000"/>
    <n v="70239.98"/>
    <s v=""/>
    <n v="70239.98"/>
    <n v="59983.58"/>
    <n v="22840"/>
    <n v="8540"/>
    <x v="0"/>
    <x v="0"/>
    <n v="3500"/>
    <n v="5040"/>
    <x v="0"/>
    <s v="NA"/>
    <s v="30501-BBPS Payment received"/>
    <s v="HARI"/>
    <x v="6"/>
    <x v="3"/>
    <s v="&quot;INTI,NAN 3-72/4 BIRKOOR,MANDALAM,&quot; &quot;BOMMANDEVPALLE,BOMMANDEVPALLE&quot;   NIZAMABAD TNG 503301"/>
    <s v="Not Applicable 738809780184 Bommandevpally Bommandevpally NIZAMABAD TNG 503301"/>
    <s v="NIZAMABAD"/>
    <x v="0"/>
    <x v="9"/>
    <s v="D RAMU"/>
    <n v="802663344"/>
    <s v="Sgr@9290"/>
    <m/>
    <m/>
    <x v="1"/>
    <m/>
    <m/>
    <x v="1"/>
    <d v="2025-09-30T00:00:00"/>
    <n v="17"/>
    <s v="ICICI Sapphiro Master PLT Chip Card"/>
    <s v="13TH JULY"/>
    <s v="0000000028913038"/>
    <d v="2026-07-08T00:00:00"/>
  </r>
  <r>
    <s v="4035627572203009"/>
    <s v="MR SHEKAR KANTAMOLLA"/>
    <n v="0"/>
    <x v="0"/>
    <m/>
    <m/>
    <m/>
    <s v="N"/>
    <x v="13"/>
    <s v="9573224835"/>
    <s v="X"/>
    <n v="4058.2699999999968"/>
    <n v="50000"/>
    <n v="54058.27"/>
    <s v=""/>
    <n v="54058.27"/>
    <n v="49623.12"/>
    <n v="13090"/>
    <n v="2440"/>
    <x v="0"/>
    <x v="0"/>
    <n v="0"/>
    <n v="2440"/>
    <x v="0"/>
    <s v="NA"/>
    <n v="0"/>
    <s v="HARI"/>
    <x v="8"/>
    <x v="3"/>
    <s v="&quot;2-34,HANWADA MANDAL,NAGINONI PALLY,HANWA&quot; &quot;DA,&quot;  HOUSE NO.-2-34 MAHBOOBNAGAR TNG 509334"/>
    <s v="SHEKHAR ENTERPRISES &quot;UPPER GROUND FLOOR, HANWADA MANDAL,&quot; &quot;MAHABUB NAGAR,&quot; &quot;MAHABUB NAGAR,&quot; MAHBOOBNAGAR TNG 509334"/>
    <s v="MAHBOOBNAGAR"/>
    <x v="0"/>
    <x v="19"/>
    <s v="SAMBA"/>
    <n v="801772794"/>
    <s v="Ssde@9876"/>
    <m/>
    <m/>
    <x v="1"/>
    <m/>
    <m/>
    <x v="1"/>
    <d v="2026-04-01T00:00:00"/>
    <n v="236"/>
    <s v="ICICI Bank HPCL Coral VISA Credit Card"/>
    <s v="13TH JULY"/>
    <s v="0000000029304088"/>
    <d v="2026-07-08T00:00:00"/>
  </r>
  <r>
    <s v="4035627588976010"/>
    <s v="MR JILLELLA SAHADEVUDU"/>
    <n v="0"/>
    <x v="0"/>
    <m/>
    <m/>
    <m/>
    <s v="N"/>
    <x v="13"/>
    <s v="9398039667"/>
    <s v="X"/>
    <n v="10218.119999999995"/>
    <n v="90000"/>
    <n v="100218.12"/>
    <s v=""/>
    <n v="100218.12"/>
    <n v="90290.19"/>
    <n v="45440"/>
    <n v="35470"/>
    <x v="0"/>
    <x v="0"/>
    <n v="0"/>
    <n v="35470"/>
    <x v="0"/>
    <s v="NA"/>
    <n v="0"/>
    <s v="HARI"/>
    <x v="7"/>
    <x v="3"/>
    <s v="&quot;2-78/1 SC COLONY,SREERANGAPURAM,RUDRAVAR&quot; &quot;AM,,SREERANGAPURAM&quot;  NEAR CHURCH NANDYAL ANP 518583"/>
    <s v="FACTSET SYSTEMS INDIA PRIVATE LIMITED &quot;C9CF RRP,MADHURA NAGAR COLONY&quot; &quot;GACHIBOWLI,HYDERABAD&quot; &quot;GACHIBOWLI,HYDERABAD&quot; HYDERABAD TNG 500032"/>
    <s v="NANDYAL"/>
    <x v="1"/>
    <x v="7"/>
    <s v="HARI"/>
    <n v="802388289"/>
    <s v="Ssd@9290"/>
    <m/>
    <m/>
    <x v="0"/>
    <s v="DL"/>
    <s v="Customer house address visit customer house door lock neighbours told customer shifted customer mobile not responding"/>
    <x v="22"/>
    <d v="2026-04-01T00:00:00"/>
    <n v="3017"/>
    <s v="ICICI Bank HPCL Coral VISA Credit Card"/>
    <s v="13TH JULY"/>
    <s v="0000000029394602"/>
    <d v="2026-07-08T00:00:00"/>
  </r>
  <r>
    <s v="4035627744515009"/>
    <s v="MR P REDDY"/>
    <n v="0"/>
    <x v="0"/>
    <m/>
    <m/>
    <m/>
    <s v="N"/>
    <x v="13"/>
    <s v="9182197189"/>
    <s v="X"/>
    <n v="2801.6699999999983"/>
    <n v="50000"/>
    <n v="52801.67"/>
    <s v=""/>
    <n v="52801.67"/>
    <n v="47900"/>
    <n v="12250"/>
    <n v="2520"/>
    <x v="0"/>
    <x v="0"/>
    <n v="0"/>
    <n v="2520"/>
    <x v="0"/>
    <s v="NA"/>
    <n v="0"/>
    <s v="HARI"/>
    <x v="4"/>
    <x v="3"/>
    <s v="&quot;1-115,PAIPADU WADDEPALLE,MANDAL,PAIPADU,&quot; &quot;,PAIPADU&quot;  NEAR BY GOVT SCHOOL MAHBOOBNAGAR TNG 509126"/>
    <s v="JAGADESHWAR REDDY SOLAR LIGHTS SHOP NO 2-1 KOILDINNE ROAD SHANTHINAGAR SHANTHINAGAR MAHBOOBNAGAR TNG 509126"/>
    <s v="MAHBOOBNAGAR"/>
    <x v="0"/>
    <x v="19"/>
    <s v="SAMBA"/>
    <n v="801772794"/>
    <s v="Ssde@9876"/>
    <m/>
    <m/>
    <x v="1"/>
    <m/>
    <m/>
    <x v="1"/>
    <d v="2024-09-05T00:00:00"/>
    <n v="19917.939999999999"/>
    <s v="ICICI Bank Coral RuPay Credit Card"/>
    <s v="13TH JULY"/>
    <s v="0000000030798343"/>
    <d v="2026-07-08T00:00:00"/>
  </r>
  <r>
    <s v="4035627794315003"/>
    <s v="Mr ARAVA VENKATA PADMA SAI"/>
    <n v="0"/>
    <x v="0"/>
    <m/>
    <m/>
    <m/>
    <s v="N"/>
    <x v="13"/>
    <s v="9494780512"/>
    <s v="X"/>
    <n v="5161.0800000000017"/>
    <n v="60000"/>
    <n v="65161.08"/>
    <n v="18158.41"/>
    <n v="47002.67"/>
    <n v="38734.6"/>
    <n v="14130"/>
    <n v="6800"/>
    <x v="0"/>
    <x v="0"/>
    <n v="0"/>
    <n v="6800"/>
    <x v="0"/>
    <s v="NA"/>
    <n v="0"/>
    <s v="HARI"/>
    <x v="8"/>
    <x v="3"/>
    <s v="&quot;2-104,NANDAMURUGARUVU NEAR,SCHOOL,&quot; &quot;VEERAVASARAM,MANDALAM,NANDAMURUGARUVU&quot;   BHIMAVARAM ANP 534245"/>
    <s v="2104 nandamurugaruvu near school near school BHIMAVARAM ANP 534245"/>
    <s v="BHIMAVARAM"/>
    <x v="4"/>
    <x v="26"/>
    <s v="B NAGABABU"/>
    <n v="801448854"/>
    <s v="Sgr@9290"/>
    <m/>
    <m/>
    <x v="0"/>
    <s v="LIVE"/>
    <s v="cmr not there at home , cmr answered call and given today Evening PTP"/>
    <x v="23"/>
    <d v="2025-03-10T00:00:00"/>
    <n v="10.51"/>
    <s v="ICICI Bank Coral RuPay Credit Card"/>
    <s v="13TH JULY"/>
    <s v="0000000031322004"/>
    <d v="2026-07-08T00:00:00"/>
  </r>
  <r>
    <s v="4035627885340001"/>
    <s v="MS KOKKILIGADDA JASMINE"/>
    <n v="0"/>
    <x v="0"/>
    <m/>
    <m/>
    <m/>
    <s v="N"/>
    <x v="13"/>
    <s v="8790751198"/>
    <s v="X"/>
    <n v="7689.929999999993"/>
    <n v="60000"/>
    <n v="67689.929999999993"/>
    <s v=""/>
    <n v="67689.929999999993"/>
    <n v="59302.09"/>
    <n v="21330"/>
    <n v="10150"/>
    <x v="1"/>
    <x v="1"/>
    <n v="21330"/>
    <n v="-11180"/>
    <x v="27"/>
    <s v="TC"/>
    <s v="30501-BBPS Payment received"/>
    <s v="HARI"/>
    <x v="7"/>
    <x v="3"/>
    <s v="&quot;H NO,8-6-238/1&quot; &quot;KOTHIRAMPUR,NEAR,near Indian gas godown, Koth&quot; Karimnagar Karimnagar ADL TNG 505001"/>
    <s v="BUILDING NO 1A ND 1B RAHEJA MIND SPACE MADHAP &quot;HUDA TECHNO ENCLAVE, HITECH CITY, HYDERABAD&quot; Hyderabad Hyderabad HYD TNG 500086"/>
    <s v="KARIMNAGAR"/>
    <x v="0"/>
    <x v="8"/>
    <s v="SUMANTH"/>
    <n v="802370852"/>
    <s v="Sgr@9290"/>
    <m/>
    <m/>
    <x v="0"/>
    <s v="LIVE"/>
    <s v="Customer live in address and customer given ptp today eveing or tomorrow"/>
    <x v="25"/>
    <d v="2026-04-30T00:00:00"/>
    <n v="3880"/>
    <s v="ICICI Bank Coral RuPay Credit Card"/>
    <s v="13TH JULY"/>
    <s v="0000000032546954"/>
    <d v="2026-07-08T00:00:00"/>
  </r>
  <r>
    <s v="4035627915167002"/>
    <s v="MR INALA NARESH"/>
    <n v="0"/>
    <x v="0"/>
    <m/>
    <m/>
    <m/>
    <s v="N"/>
    <x v="13"/>
    <s v="9618013525"/>
    <s v="X"/>
    <n v="3352.3399999999965"/>
    <n v="60000"/>
    <n v="63352.34"/>
    <s v=""/>
    <n v="63352.34"/>
    <n v="55166.13"/>
    <n v="14820"/>
    <n v="4790"/>
    <x v="0"/>
    <x v="0"/>
    <n v="0"/>
    <n v="4790"/>
    <x v="0"/>
    <s v="NA"/>
    <n v="0"/>
    <s v="HARI"/>
    <x v="5"/>
    <x v="3"/>
    <s v="H NO 6 125/1 NEAR VISWAKAVI school CHINAMEERAm   BHIMAVARAM ANP 534202"/>
    <s v="H NO 2 16 4/1D THATAPARTI COMPLEX NEAR UNDI RAILWAY GATE   BHIMAVARAM ANP 534202"/>
    <s v="BHIMAVARAM"/>
    <x v="4"/>
    <x v="26"/>
    <s v="B NAGABABU"/>
    <n v="801448854"/>
    <s v="Sgr@9290"/>
    <m/>
    <m/>
    <x v="0"/>
    <s v="MESS"/>
    <s v="cmr not there , message left to the neighbour, cmr phone not available"/>
    <x v="22"/>
    <s v=""/>
    <n v="0"/>
    <s v="ICICI Bank HPCL Coral VISA Credit Card"/>
    <s v="13TH JULY"/>
    <s v="0000000033022791"/>
    <d v="2026-07-08T00:00:00"/>
  </r>
  <r>
    <s v="4035628024285008"/>
    <s v="Mrs JAYAVARAPU VEERANGA SATYA"/>
    <n v="0"/>
    <x v="0"/>
    <m/>
    <m/>
    <m/>
    <s v="N"/>
    <x v="13"/>
    <s v="9010720678"/>
    <s v="X"/>
    <n v="2902.0899999999965"/>
    <n v="60000"/>
    <n v="62902.09"/>
    <n v="45858.51"/>
    <n v="17043.580000000002"/>
    <n v="12211.73"/>
    <n v="9980"/>
    <n v="4850"/>
    <x v="1"/>
    <x v="2"/>
    <n v="0"/>
    <n v="4850"/>
    <x v="0"/>
    <s v="D"/>
    <s v="12111-ICICI BANK COLLECTION PAYMENT"/>
    <s v="HARI"/>
    <x v="4"/>
    <x v="3"/>
    <s v="&quot;DULLA VARI VEEDHI,31-3-6 FLR,WARD 30,&quot; &quot;SURYANARAYANAPURAM,KAKINADA URBAN&quot;   KAKINADA ANP 533001"/>
    <s v="Not Applicable 54-2-25 &quot;yesu vaari street,jaganaikpur&quot; &quot;yesu vaari street,jaganaikpur&quot; KAKINADA ANP 533001"/>
    <s v="KAKINADA"/>
    <x v="4"/>
    <x v="23"/>
    <s v="UDAY"/>
    <n v="801436997"/>
    <s v="Ssd@9290"/>
    <m/>
    <m/>
    <x v="0"/>
    <s v="LIVE"/>
    <s v="Customer paid"/>
    <x v="25"/>
    <s v=""/>
    <n v="0"/>
    <s v="ICICI Bank HPCL Coral VISA Credit Card"/>
    <s v="13TH JULY"/>
    <s v="0000000034665871"/>
    <d v="2026-07-08T00:00:00"/>
  </r>
  <r>
    <s v="4035628039284004"/>
    <s v="MR SRINIVAS REDDY KOMPELLI"/>
    <n v="0"/>
    <x v="0"/>
    <m/>
    <m/>
    <m/>
    <s v="N"/>
    <x v="13"/>
    <s v="9010161113"/>
    <s v="X"/>
    <n v="2102.7099999999991"/>
    <n v="50000"/>
    <n v="52102.71"/>
    <n v="36324.82"/>
    <n v="15777.89"/>
    <n v="12744.87"/>
    <n v="10980"/>
    <n v="4720"/>
    <x v="0"/>
    <x v="0"/>
    <n v="0"/>
    <n v="4720"/>
    <x v="0"/>
    <s v="NA"/>
    <n v="0"/>
    <s v="HARI"/>
    <x v="9"/>
    <x v="3"/>
    <s v="&quot;21-303/3-5,BHAGWANTHAM WADA,MANCHERIAL,&quot; LAXMI NAGAR   ADILABAD TNG 504208"/>
    <s v="      "/>
    <s v="ADILABAD"/>
    <x v="0"/>
    <x v="24"/>
    <s v="K RAMU"/>
    <n v="802898520"/>
    <s v="Ssd@9290"/>
    <m/>
    <m/>
    <x v="1"/>
    <m/>
    <m/>
    <x v="1"/>
    <s v=""/>
    <n v="0"/>
    <s v="ICICI Bank Coral RuPay Credit Card"/>
    <s v="13TH JULY"/>
    <s v="0000000034861285"/>
    <d v="2026-07-08T00:00:00"/>
  </r>
  <r>
    <s v="4315813089141004"/>
    <s v="MR PEDAPATI NAGENDRABABU"/>
    <n v="0"/>
    <x v="0"/>
    <m/>
    <m/>
    <m/>
    <s v="N"/>
    <x v="13"/>
    <s v="9553383537"/>
    <s v="X"/>
    <n v="16511.690000000002"/>
    <n v="170000"/>
    <n v="186511.69"/>
    <s v=""/>
    <n v="186511.69"/>
    <n v="167809.3"/>
    <n v="43460"/>
    <n v="9970"/>
    <x v="0"/>
    <x v="0"/>
    <n v="0"/>
    <n v="9970"/>
    <x v="0"/>
    <s v="NA"/>
    <n v="0"/>
    <s v="HARI"/>
    <x v="7"/>
    <x v="3"/>
    <s v="&quot;2-41,THONDANGI,SC COLONY FLR,MANDALAM,&quot; KOMMANAPALLE   KAKINADA ANP 533449"/>
    <s v="Andhra Pradesh Maritime board 1st floor Port administrative building Port administrative building KAKINADA ANP 533001"/>
    <s v="KAKINADA"/>
    <x v="4"/>
    <x v="23"/>
    <s v="UDAY"/>
    <n v="801436997"/>
    <s v="Ssd@9290"/>
    <m/>
    <m/>
    <x v="1"/>
    <m/>
    <m/>
    <x v="1"/>
    <d v="2025-10-16T00:00:00"/>
    <n v="6000"/>
    <s v="Amazon Pay ICICI Bank Credit Card"/>
    <s v="13TH JULY"/>
    <s v="0000000022924348"/>
    <d v="2026-07-08T00:00:00"/>
  </r>
  <r>
    <s v="4315813945663001"/>
    <s v="MR Boddu Sathvik"/>
    <n v="0"/>
    <x v="0"/>
    <m/>
    <m/>
    <m/>
    <s v="N"/>
    <x v="13"/>
    <s v="8686567972"/>
    <s v="X"/>
    <n v="-35551.31"/>
    <n v="220000"/>
    <n v="184448.69"/>
    <n v="3770.65"/>
    <n v="180678.04"/>
    <n v="162499.09"/>
    <n v="42190"/>
    <n v="18050"/>
    <x v="1"/>
    <x v="2"/>
    <n v="28000"/>
    <n v="-9950"/>
    <x v="26"/>
    <s v="FE"/>
    <n v="0"/>
    <s v="HARI"/>
    <x v="9"/>
    <x v="3"/>
    <s v="HOUSENUMBER.3.7.335.57 KHAMMAM.URBAN MANCHIKANTI.NAGAR.2 NEAR SUNGLORY SCHOOL KHAMMAM TNG 507003"/>
    <s v="BAJAJ.FINANCE.LIMITED KHAMMAM. KHAMMAM..KHAMMAM. KHAMMAM..KHAMMAM. KHAMMAM TNG 507002"/>
    <s v="KHAMMAM"/>
    <x v="0"/>
    <x v="2"/>
    <s v="CHAITANYA"/>
    <n v="802555024"/>
    <s v="Ssde@9290"/>
    <m/>
    <m/>
    <x v="0"/>
    <s v="SKIP"/>
    <s v="I Have Visited customer given working address no person available with that name here Customer call not answering need KYC details / /I Have Visited customer given house address Customer not available in home customer parents available Customer staying in Hyderabad called to customer with his father mobile Customer call answered given ptp Tommorow"/>
    <x v="25"/>
    <d v="2024-04-13T00:00:00"/>
    <n v="10640"/>
    <s v="Amazon Pay ICICI Bank Credit Card"/>
    <s v="13TH JULY"/>
    <s v="0000000026140398"/>
    <d v="2026-07-08T00:00:00"/>
  </r>
  <r>
    <s v="4315814430029005"/>
    <s v="MR Payam Yeshwanthdora"/>
    <n v="0"/>
    <x v="0"/>
    <m/>
    <m/>
    <m/>
    <s v="N"/>
    <x v="13"/>
    <s v="9347786633"/>
    <s v="X"/>
    <n v="-3666.6499999999942"/>
    <n v="100000"/>
    <n v="96333.35"/>
    <n v="73004.240000000005"/>
    <n v="23329.11"/>
    <n v="18259.47"/>
    <n v="12400"/>
    <n v="5040"/>
    <x v="0"/>
    <x v="0"/>
    <n v="0"/>
    <n v="5040"/>
    <x v="0"/>
    <s v="NA"/>
    <n v="0"/>
    <s v="HARI"/>
    <x v="6"/>
    <x v="3"/>
    <s v="5.117 LAXMI.DEVIPALLI SANJAY.NAGAR Khammam KHAMMAM TNG 507101"/>
    <s v="YASHWANTH SANJAY.NAGAR. LAXMIDEVIPALLY. LAXMIDEVIPALLY. KHAMMAM TNG 507101"/>
    <s v="KHAMMAM"/>
    <x v="0"/>
    <x v="27"/>
    <s v="POORNIMA"/>
    <n v="802824019"/>
    <s v="Nihan@2421"/>
    <m/>
    <m/>
    <x v="0"/>
    <s v="MESS"/>
    <s v="Feedback customer staying in Hyderabad cm mother live she also not available call not responding"/>
    <x v="25"/>
    <d v="2024-07-31T00:00:00"/>
    <n v="2623"/>
    <s v="Amazon Pay ICICI Bank Credit Card"/>
    <s v="13TH JULY"/>
    <s v="0000000027881153"/>
    <d v="2026-07-08T00:00:00"/>
  </r>
  <r>
    <s v="4315814455657003"/>
    <s v="MR RaghuPhani Pradeep Kumar"/>
    <n v="0"/>
    <x v="0"/>
    <m/>
    <m/>
    <m/>
    <s v="N"/>
    <x v="13"/>
    <s v="8886988955"/>
    <s v="X"/>
    <n v="5784.1699999999983"/>
    <n v="50000"/>
    <n v="55784.17"/>
    <n v="13503.99"/>
    <n v="42280.18"/>
    <n v="36186.22"/>
    <n v="12990"/>
    <n v="6610"/>
    <x v="1"/>
    <x v="2"/>
    <n v="6610"/>
    <n v="0"/>
    <x v="27"/>
    <s v="TC"/>
    <s v="30501-BBPS Payment received"/>
    <s v="HARI"/>
    <x v="9"/>
    <x v="3"/>
    <s v="H.NO.4.100 Nadigudem.Mandal ..Nadigudem.Mandal Nalgonda SURYAPET TNG 508234"/>
    <s v="CONCENTRIX.DAKSH.SERVICES.INDIA.PVT.LTD CONCENTRIX.DASKSH.SERVICES.3RD.FLOOR MILLINEUM.TOWERS.BROOKFIELDS MILLINEUM.TOWERS.BROOKFIELDS BANGALORE KAR 560037"/>
    <s v="SURYAPET"/>
    <x v="0"/>
    <x v="22"/>
    <s v="CHAITANYA"/>
    <n v="802555024"/>
    <s v="Ssde@9290"/>
    <m/>
    <m/>
    <x v="0"/>
    <m/>
    <m/>
    <x v="1"/>
    <d v="2024-06-25T00:00:00"/>
    <n v="2597.11"/>
    <s v="Amazon Pay ICICI Bank Credit Card"/>
    <s v="13TH JULY"/>
    <s v="0000000027971788"/>
    <d v="2026-07-08T00:00:00"/>
  </r>
  <r>
    <s v="4315814840416016"/>
    <s v="MR Jelli Prema Vishal"/>
    <n v="0"/>
    <x v="0"/>
    <m/>
    <m/>
    <m/>
    <s v="N"/>
    <x v="13"/>
    <s v="7032464090"/>
    <s v="X"/>
    <n v="-47213.64"/>
    <n v="100000"/>
    <n v="52786.36"/>
    <n v="25751.57"/>
    <n v="27034.79"/>
    <n v="24476.84"/>
    <n v="9700"/>
    <n v="2970"/>
    <x v="0"/>
    <x v="0"/>
    <n v="0"/>
    <n v="2970"/>
    <x v="0"/>
    <s v="NA"/>
    <n v="0"/>
    <s v="HARI"/>
    <x v="5"/>
    <x v="3"/>
    <s v="81.255.37 BACHUM.PALLI ..BACHUM.PALLI Cuddapah CUDDAPAH ANP 516002"/>
    <s v="GOVERNMENT.GENRAL.HOSPITAL.KADAPA GOVERNMENT.GENRAL.HOSPITAL. PUTLAMPALLI. PUTLAMPALLI. CUDDAPAH ANP 516001"/>
    <s v="CUDDAPAH"/>
    <x v="1"/>
    <x v="48"/>
    <s v="SIVARAU"/>
    <n v="801601134"/>
    <s v="Ssd@9290"/>
    <m/>
    <m/>
    <x v="1"/>
    <m/>
    <m/>
    <x v="1"/>
    <d v="2024-07-11T00:00:00"/>
    <n v="28000"/>
    <s v="Amazon Pay ICICI Bank Credit Card"/>
    <s v="13TH JULY"/>
    <s v="0000000029580436"/>
    <d v="2026-07-08T00:00:00"/>
  </r>
  <r>
    <s v="4375513147622006"/>
    <s v="MS EERPA VIJAYA"/>
    <n v="0"/>
    <x v="0"/>
    <m/>
    <m/>
    <m/>
    <s v="N"/>
    <x v="13"/>
    <s v="9959104748"/>
    <s v="X"/>
    <n v="3248.6699999999983"/>
    <n v="50000"/>
    <n v="53248.67"/>
    <s v=""/>
    <n v="53248.67"/>
    <n v="49648.29"/>
    <n v="9090"/>
    <n v="3260"/>
    <x v="0"/>
    <x v="0"/>
    <n v="0"/>
    <n v="3260"/>
    <x v="0"/>
    <s v="NA"/>
    <n v="0"/>
    <s v="HARI"/>
    <x v="5"/>
    <x v="3"/>
    <s v="H NO 11-19 SUDIMALLA YELLANDU   NEAR MAZID KHAMMAM ANP 507123"/>
    <s v="MEDICAL AND HEALTH DIPART MANT MAIN ROAD YELLANDU   KHAMMAM ANP 507123"/>
    <s v="KHAMMAM"/>
    <x v="0"/>
    <x v="27"/>
    <s v="POORNIMA"/>
    <n v="802824019"/>
    <s v="Nihan@2421"/>
    <m/>
    <m/>
    <x v="0"/>
    <s v="SKIP"/>
    <s v="Feedback visited customer loan address address not found house number not match call not responding"/>
    <x v="22"/>
    <d v="2024-07-10T00:00:00"/>
    <n v="2052.33"/>
    <s v="ICICI Bank Expressions Credit Card"/>
    <s v="13TH JULY"/>
    <s v="0000000015754043"/>
    <d v="2026-07-08T00:00:00"/>
  </r>
  <r>
    <s v="4375513168972009"/>
    <s v="MR NAGA DHANUNJAYARAM NANDAM"/>
    <n v="0"/>
    <x v="0"/>
    <m/>
    <m/>
    <m/>
    <s v="N"/>
    <x v="13"/>
    <s v="9550044922"/>
    <s v="X"/>
    <n v="9875.8999999999942"/>
    <n v="100000"/>
    <n v="109875.9"/>
    <s v=""/>
    <n v="109875.9"/>
    <n v="99996"/>
    <n v="33120"/>
    <n v="21540"/>
    <x v="0"/>
    <x v="0"/>
    <n v="0"/>
    <n v="21540"/>
    <x v="0"/>
    <s v="NA"/>
    <n v="0"/>
    <s v="HARI"/>
    <x v="6"/>
    <x v="3"/>
    <s v="&quot;PADMASALILA VEEDI,4-105/1,MAMIDIKUDURU,&quot; &quot;ADURRU,NEAR WATER TANK&quot; EAST GODAVARI - EAST GODAVARI ANP 533247"/>
    <s v="INFOSYS LIMITED SEZ SURVEY NO 41PT 50 PT POCHARAM VILLAG GHATKESAR MANDAL GHATKESAR MANDAL HYDERABAD ANP 500088"/>
    <s v="AMALAPURAM"/>
    <x v="4"/>
    <x v="28"/>
    <s v="B NAGABABU"/>
    <n v="801448854"/>
    <s v="Sgr@9290"/>
    <m/>
    <m/>
    <x v="1"/>
    <m/>
    <m/>
    <x v="1"/>
    <d v="2025-09-01T00:00:00"/>
    <n v="19590"/>
    <s v="ICICI Bank Platinum Chip Credit Card"/>
    <s v="13TH JULY"/>
    <s v="0000000015944362"/>
    <d v="2026-07-08T00:00:00"/>
  </r>
  <r>
    <s v="4375513296518005"/>
    <s v="MR AN RAJU"/>
    <n v="0"/>
    <x v="0"/>
    <m/>
    <m/>
    <m/>
    <s v="N"/>
    <x v="13"/>
    <s v="9553355820"/>
    <s v="X"/>
    <n v="5191.4800000000032"/>
    <n v="48000"/>
    <n v="53191.48"/>
    <s v=""/>
    <n v="53191.48"/>
    <n v="47823.99"/>
    <n v="16650"/>
    <n v="7670"/>
    <x v="1"/>
    <x v="1"/>
    <n v="0"/>
    <n v="7670"/>
    <x v="0"/>
    <s v="D"/>
    <s v="12111-ICICI BANK COLLECTION PAYMENT"/>
    <s v="HARI"/>
    <x v="4"/>
    <x v="3"/>
    <s v="4-73 WADDEPALLE MANDAL PEDDA THANDRAPAPADU MANI ROAD MAHBOOBNAGAR TNG 509135"/>
    <s v="SAINATHA MOTERS 4-73 WADDEPALLE WADDEPALLE MAHBOOBNAGAR TNG 509135"/>
    <s v="MAHBOOBNAGAR"/>
    <x v="0"/>
    <x v="19"/>
    <s v="SAMBA"/>
    <n v="801772794"/>
    <s v="Ssde@9876"/>
    <m/>
    <m/>
    <x v="0"/>
    <m/>
    <m/>
    <x v="1"/>
    <d v="2026-05-06T00:00:00"/>
    <n v="20920"/>
    <s v="ICICI Bank Rubyx Visa Credit Card"/>
    <s v="13TH JULY"/>
    <s v="0000000017339419"/>
    <d v="2026-07-08T00:00:00"/>
  </r>
  <r>
    <s v="4375513366352004"/>
    <s v="MR VALASA HARI PRASAD"/>
    <n v="0"/>
    <x v="0"/>
    <m/>
    <m/>
    <m/>
    <s v="N"/>
    <x v="13"/>
    <s v="6309575712"/>
    <s v="X"/>
    <n v="2067.0099999999948"/>
    <n v="70000"/>
    <n v="72067.009999999995"/>
    <s v=""/>
    <n v="72067.009999999995"/>
    <n v="64655"/>
    <n v="15690"/>
    <n v="3470"/>
    <x v="1"/>
    <x v="1"/>
    <n v="15690"/>
    <n v="-12220"/>
    <x v="25"/>
    <s v="TC"/>
    <s v="30501-BBPS Payment received"/>
    <s v="HARI"/>
    <x v="9"/>
    <x v="3"/>
    <s v="4-22 DIGUVA BOPARAJU PALEM PETTU TIRUPATI PALEM PUTTU CHITTOOR ANP 517581"/>
    <s v="EY GLOBAL DELIVERY SERVICES INDIA LLP 6TH FLOOR BLOCK-B LAXMI CYBER TOWER KOTHAGUDA KOTHAGUDA HYDERABAD TNG 500084"/>
    <s v="CHITTOOR"/>
    <x v="1"/>
    <x v="25"/>
    <s v="S SEKHAR"/>
    <n v="845041675"/>
    <s v="Ssd@9290"/>
    <m/>
    <m/>
    <x v="0"/>
    <m/>
    <m/>
    <x v="1"/>
    <d v="2024-07-10T00:00:00"/>
    <n v="2599.9699999999998"/>
    <s v="ICICI Bank Coral Credit Card"/>
    <s v="13TH JULY"/>
    <s v="0000000018709130"/>
    <d v="2026-07-08T00:00:00"/>
  </r>
  <r>
    <s v="4375513385306007"/>
    <s v="MR SHAIK BASHEER AHMED"/>
    <n v="0"/>
    <x v="0"/>
    <m/>
    <m/>
    <m/>
    <s v="N"/>
    <x v="13"/>
    <s v="9985104620"/>
    <s v="X"/>
    <n v="18181.260000000009"/>
    <n v="200000"/>
    <n v="218181.26"/>
    <s v=""/>
    <n v="218181.26"/>
    <n v="199986.24"/>
    <n v="54970"/>
    <n v="10000"/>
    <x v="1"/>
    <x v="2"/>
    <n v="10000"/>
    <n v="0"/>
    <x v="27"/>
    <s v="TC"/>
    <s v="30501-BBPS Payment received"/>
    <s v="HARI"/>
    <x v="5"/>
    <x v="3"/>
    <s v="7-10-194 LINGAM BHIE COLONY GADWAL GADWAL LINGAMU BAVI COLONY MAHBOOBNAGAR TNG 509125"/>
    <s v="GOVERNMENT OF TELAGNA IRGEIONS DEPRATMENT OF TELAGANA GADWAL GADWAL MAHBOOBNAGAR TNG 509125"/>
    <s v="MAHBOOBNAGAR"/>
    <x v="0"/>
    <x v="22"/>
    <s v="SAMBA"/>
    <n v="801772794"/>
    <s v="Ssde@9876"/>
    <m/>
    <m/>
    <x v="0"/>
    <s v="SKIP"/>
    <s v="Customer shifted from given address call not answering"/>
    <x v="23"/>
    <d v="2026-04-23T00:00:00"/>
    <n v="590"/>
    <s v="ICICI Bank Coral American Express Credit Card"/>
    <s v="13TH JULY"/>
    <s v="0000000018879436"/>
    <d v="2026-07-08T00:00:00"/>
  </r>
  <r>
    <s v="4375513747227008"/>
    <s v="MR RAFIQUE MOHAMMAD"/>
    <n v="0"/>
    <x v="0"/>
    <m/>
    <m/>
    <m/>
    <s v="N"/>
    <x v="13"/>
    <s v="9502353850"/>
    <s v="X"/>
    <n v="185584"/>
    <n v="33000"/>
    <n v="218584"/>
    <n v="151984.31"/>
    <n v="66599.69"/>
    <n v="60161.4"/>
    <n v="66599.69"/>
    <n v="28870"/>
    <x v="0"/>
    <x v="0"/>
    <n v="0"/>
    <n v="28870"/>
    <x v="0"/>
    <s v="NA"/>
    <n v="0"/>
    <s v="HARI"/>
    <x v="9"/>
    <x v="3"/>
    <s v="1-3/1 RAJIPETA BESIDE GOVT SCHOOL RAJIPET  WARANGAL TNG 506164"/>
    <s v="SAMEER DIGITALS 2 3 512 A 303 CHENNAREDDY NAGAR AMBERPET AMBERPET HYDERABAD ANP 500013"/>
    <s v="WARANGAL"/>
    <x v="0"/>
    <x v="20"/>
    <s v="KARUNAKAR"/>
    <n v="801264672"/>
    <s v="Ssd@9291"/>
    <m/>
    <m/>
    <x v="1"/>
    <m/>
    <m/>
    <x v="1"/>
    <d v="2026-04-06T00:00:00"/>
    <n v="10"/>
    <s v="ICICI Bank Coral Credit Card"/>
    <s v="13TH JULY"/>
    <s v="0000000016080843"/>
    <d v="2026-07-08T00:00:00"/>
  </r>
  <r>
    <s v="4375513772426020"/>
    <s v="MR THOKALA MAHESHBABU"/>
    <n v="0"/>
    <x v="0"/>
    <m/>
    <m/>
    <m/>
    <s v="N"/>
    <x v="13"/>
    <s v="9949977970"/>
    <s v="X"/>
    <n v="8403.0299999999988"/>
    <n v="210000"/>
    <n v="218403.03"/>
    <n v="158661.74"/>
    <n v="59741.29"/>
    <n v="43781.64"/>
    <n v="42890"/>
    <n v="16250"/>
    <x v="0"/>
    <x v="0"/>
    <n v="0"/>
    <n v="16250"/>
    <x v="0"/>
    <s v="NA"/>
    <n v="0"/>
    <s v="HARI"/>
    <x v="6"/>
    <x v="3"/>
    <s v="&quot;11-4-180 RAJAS GARDEN,4TH LINE,&quot; &quot;NEAR T T D KALYANA,MANDAPAM&quot;   GUNTUR ANP 522001"/>
    <s v="Salaried &quot;Centraprise global, plot no 32, OPP SBI Bank, Nizampet, kukatpally&quot; &quot;OPP Bata Showroom, Nizampet village main road, Kukatpally&quot; &quot;OPP Bata Showroom, Nizampet village main road, Kukatpally&quot; RANGAREDDY TNG 500090"/>
    <s v="GUNTUR"/>
    <x v="5"/>
    <x v="11"/>
    <s v="INAMUL"/>
    <n v="802823175"/>
    <s v="Sgr@9290"/>
    <m/>
    <m/>
    <x v="1"/>
    <m/>
    <m/>
    <x v="1"/>
    <d v="2026-04-08T00:00:00"/>
    <n v="23892"/>
    <s v="ICICI Bank HPCL Coral VISA Credit Card"/>
    <s v="13TH JULY"/>
    <s v="0000000016276576"/>
    <d v="2026-07-08T00:00:00"/>
  </r>
  <r>
    <s v="4375513896994002"/>
    <s v="MR ABDUT TAWAB"/>
    <n v="0"/>
    <x v="0"/>
    <m/>
    <m/>
    <m/>
    <s v="N"/>
    <x v="13"/>
    <s v="9948282430"/>
    <s v="X"/>
    <n v="1473.5800000000017"/>
    <n v="50000"/>
    <n v="51473.58"/>
    <n v="18240.759999999998"/>
    <n v="33232.82"/>
    <n v="27713.02"/>
    <n v="11370"/>
    <n v="5040"/>
    <x v="1"/>
    <x v="2"/>
    <n v="5050"/>
    <n v="-10"/>
    <x v="26"/>
    <s v="TC"/>
    <n v="0"/>
    <s v="HARI"/>
    <x v="6"/>
    <x v="3"/>
    <s v="&quot;4-88,GP ROAD,KOTHUR&quot;    RANGAREDDY TNG 509228"/>
    <s v="KD supply chain solution pvt l Survey no 432 inmulnarva KOTHUR mandal KOTHUR mandal MAHABUBNAGAR TNG 509228"/>
    <s v="WANAPARTHY"/>
    <x v="0"/>
    <x v="19"/>
    <s v="SAMBA"/>
    <n v="801772794"/>
    <s v="Ssde@9876"/>
    <m/>
    <m/>
    <x v="1"/>
    <m/>
    <m/>
    <x v="1"/>
    <d v="2026-05-16T00:00:00"/>
    <n v="3770"/>
    <s v="ICICI Bank HPCL Coral VISA Credit Card"/>
    <s v="13TH JULY"/>
    <s v="0000000017626874"/>
    <d v="2026-07-08T00:00:00"/>
  </r>
  <r>
    <s v="4375516928031008"/>
    <s v="MR TARADAPU RAJU"/>
    <n v="0"/>
    <x v="0"/>
    <m/>
    <m/>
    <m/>
    <s v="N"/>
    <x v="13"/>
    <s v="8897331103"/>
    <s v="X"/>
    <n v="9002.36"/>
    <n v="100000"/>
    <n v="109002.36"/>
    <s v=""/>
    <n v="109002.36"/>
    <n v="99882.19"/>
    <n v="23820"/>
    <n v="9970"/>
    <x v="0"/>
    <x v="0"/>
    <n v="0"/>
    <n v="9970"/>
    <x v="0"/>
    <s v="NA"/>
    <n v="0"/>
    <s v="HARI"/>
    <x v="4"/>
    <x v="3"/>
    <s v="H NO 1 67 GIRNUR GIRNUR ADIWABAD NEAR GOVERNMENT SCHOOL OPP VENKATESHWARA Adilabad TNG 504307"/>
    <s v="BHARAT FINANCIAL INCLUSION LIMITED BHARAT FINANCIAL INCLUSION LTD DOOR NO 6 183 5 TEACHERS COLONY ICCHODA NO 6 183 5 TEACHERS COLONY ICCHODA Adilabad TNG 504307"/>
    <s v="ADILABAD"/>
    <x v="0"/>
    <x v="3"/>
    <s v="KANTH"/>
    <n v="802794852"/>
    <s v="Ssd@9290"/>
    <m/>
    <m/>
    <x v="0"/>
    <s v="LIVE"/>
    <s v="Customer visit office address not available customer not responding phone call"/>
    <x v="23"/>
    <d v="2025-08-08T00:00:00"/>
    <n v="8038"/>
    <s v="ICICI Bank Expressions Credit Card"/>
    <s v="13TH JULY"/>
    <s v="0000000012633387"/>
    <d v="2026-07-08T00:00:00"/>
  </r>
  <r>
    <s v="4375519976395010"/>
    <s v="MR RAJU GAIKOTI"/>
    <n v="0"/>
    <x v="0"/>
    <m/>
    <m/>
    <m/>
    <s v="N"/>
    <x v="13"/>
    <s v="9849762044"/>
    <s v="X"/>
    <n v="-42734.149999999994"/>
    <n v="220000"/>
    <n v="177265.85"/>
    <n v="102792.47"/>
    <n v="74473.38"/>
    <n v="67105.67"/>
    <n v="61180"/>
    <n v="25209.79"/>
    <x v="1"/>
    <x v="2"/>
    <n v="30000"/>
    <n v="-4790.2099999999991"/>
    <x v="25"/>
    <s v="TC"/>
    <s v="30501-BBPS Payment received"/>
    <s v="HARI"/>
    <x v="7"/>
    <x v="3"/>
    <s v="H NO 6-2-P594 HYDERABAD ROAD JANGAON  SRIVILLAS COLONY WARANGAL ANP 506167"/>
    <s v="RENUKA ENTERPRICESS RENUKA ENTERPRICESS JANGAON SIDDIPET ROAD ROAD WARANGAL ANP 506167"/>
    <s v="WARANGAL"/>
    <x v="0"/>
    <x v="30"/>
    <s v="RAJKUMAR"/>
    <n v="802835406"/>
    <s v="Ssde@9290"/>
    <m/>
    <m/>
    <x v="0"/>
    <m/>
    <m/>
    <x v="1"/>
    <d v="2026-05-06T00:00:00"/>
    <n v="60000"/>
    <s v="Manchester United Signature Credit Card by ICICI Bank"/>
    <s v="13TH JULY"/>
    <s v="0000000015142351"/>
    <d v="2026-07-08T00:00:00"/>
  </r>
  <r>
    <s v="4748467943323006"/>
    <s v="MR METLA VENKATA RAMANA"/>
    <n v="0"/>
    <x v="0"/>
    <m/>
    <m/>
    <m/>
    <s v="N"/>
    <x v="13"/>
    <s v="9849133666"/>
    <s v="X"/>
    <n v="20275.290000000008"/>
    <n v="240000"/>
    <n v="260275.29"/>
    <s v=""/>
    <n v="260275.29"/>
    <n v="237002.29"/>
    <n v="58440"/>
    <n v="22660"/>
    <x v="0"/>
    <x v="0"/>
    <n v="0"/>
    <n v="22660"/>
    <x v="0"/>
    <s v="NA"/>
    <n v="0"/>
    <s v="HARI"/>
    <x v="7"/>
    <x v="3"/>
    <s v="D NO 1-4-6/2 MAIN ROAD AMALAPURAM   BESIDE SRI CHAITANYA TECHNO SCHOOL AMALAPURAM ANP 533201"/>
    <s v="AMALAPURAM COMMUNICATION NETWORK D NO 1-4-6/2 MAIN ROAD AMALAPURAM   AMALAPURAM ANP 533201"/>
    <s v="AMALAPURAM"/>
    <x v="4"/>
    <x v="28"/>
    <s v="B NAGABABU"/>
    <n v="801448854"/>
    <s v="Sgr@9290"/>
    <m/>
    <m/>
    <x v="0"/>
    <s v="MESS"/>
    <s v=" CUSTOMER NOT AVAILABLE AT HOME INFORMED TO HIS ACCOUNTANT"/>
    <x v="23"/>
    <d v="2024-07-19T00:00:00"/>
    <n v="15000"/>
    <s v="ICICI Bank Platinum Chip Credit Card"/>
    <s v="13TH JULY"/>
    <s v="0000000019850399"/>
    <d v="2026-07-08T00:00:00"/>
  </r>
  <r>
    <s v="4748468442067003"/>
    <s v="MR MUDDIREDDIGARI VENKATARAMANARE"/>
    <n v="0"/>
    <x v="0"/>
    <m/>
    <s v="CC"/>
    <m/>
    <s v="N"/>
    <x v="13"/>
    <s v="9042335855"/>
    <s v="Y"/>
    <n v="-89692.700000000012"/>
    <n v="300000"/>
    <n v="210307.3"/>
    <s v=""/>
    <n v="210307.3"/>
    <n v="191349.69"/>
    <n v="30030"/>
    <n v="11510"/>
    <x v="1"/>
    <x v="2"/>
    <n v="15000"/>
    <n v="-3490"/>
    <x v="24"/>
    <s v="TC"/>
    <s v="30501-BBPS Payment received"/>
    <s v="HARI"/>
    <x v="9"/>
    <x v="3"/>
    <s v="4-30A KESAPURAM KESAPURAM ANANTAPUR HINDUPUR ANP 515144"/>
    <s v="COGNIZANT TECHNOLOGY SOLUTIONS INDIA PRI BEGHMNE TECH PARK 65/2 /1 ADZ LRD 65/2 /1 ADZ LRD BANGALORE KAR 560093"/>
    <s v="HINDUPUR"/>
    <x v="1"/>
    <x v="12"/>
    <s v="POORNIMA"/>
    <n v="802824019"/>
    <s v="Nihan@2421"/>
    <m/>
    <m/>
    <x v="0"/>
    <m/>
    <m/>
    <x v="1"/>
    <d v="2026-05-04T00:00:00"/>
    <n v="36500"/>
    <s v="ICICI Bank HPCL Coral VISA Credit Card"/>
    <s v="13TH JULY"/>
    <s v="0000000022026463"/>
    <d v="2026-07-08T00:00:00"/>
  </r>
  <r>
    <s v="4748468492830003"/>
    <s v="MS LAKSHMI MEKALA"/>
    <n v="0"/>
    <x v="0"/>
    <m/>
    <m/>
    <m/>
    <s v="N"/>
    <x v="13"/>
    <s v="7799333943"/>
    <s v="X"/>
    <n v="2461.3000000000029"/>
    <n v="100000"/>
    <n v="102461.3"/>
    <s v=""/>
    <n v="102461.3"/>
    <n v="94461.87"/>
    <n v="24560"/>
    <n v="13620"/>
    <x v="1"/>
    <x v="1"/>
    <n v="24560"/>
    <n v="-10940"/>
    <x v="27"/>
    <s v="TC"/>
    <s v="30501-BBPS Payment received"/>
    <s v="HARI"/>
    <x v="8"/>
    <x v="3"/>
    <s v="&quot;87-5-364 1ST LINE NETAJI,NAGAR,&quot; &quot;AMBEDKAR STATUE,LALPURAM ROAD&quot;  ISWARYA APARTMENTS OPPOSITE GUNTUR ANP 522004"/>
    <s v="DISTRICT HOSPITAL TENALI CHENCHUPETA NEAR YARD NEAR YARD GUNTUR ANP 522202"/>
    <s v="GUNTUR"/>
    <x v="5"/>
    <x v="11"/>
    <s v="INAMUL"/>
    <n v="802823175"/>
    <s v="Sgr@9290"/>
    <m/>
    <m/>
    <x v="0"/>
    <s v="LIVE"/>
    <s v="ustomer given House address visited customer not available at home responded to phone call said that call back afternoon // Customer given House address revisited customer injured with accident discussed about payment customer said that call back afternoon"/>
    <x v="25"/>
    <d v="2026-05-27T00:00:00"/>
    <n v="2000"/>
    <s v="ICICI Bank HPCL Coral VISA Credit Card"/>
    <s v="13TH JULY"/>
    <s v="0000000022443355"/>
    <d v="2026-07-08T00:00:00"/>
  </r>
  <r>
    <s v="4748468556047007"/>
    <s v="MR CHENNURI ASHOK KUMAR"/>
    <n v="0"/>
    <x v="0"/>
    <m/>
    <m/>
    <m/>
    <s v="N"/>
    <x v="13"/>
    <s v="9603856494"/>
    <s v="X"/>
    <n v="6333.010000000002"/>
    <n v="50000"/>
    <n v="56333.01"/>
    <s v=""/>
    <n v="56333.01"/>
    <n v="47282.37"/>
    <n v="30140"/>
    <n v="22030"/>
    <x v="0"/>
    <x v="0"/>
    <n v="0"/>
    <n v="22030"/>
    <x v="0"/>
    <s v="NA"/>
    <n v="0"/>
    <s v="HARI"/>
    <x v="8"/>
    <x v="3"/>
    <s v="13-25/3 SEETHANAGARAM PATTABI RAMULA COLONY GUNTUR GUNTUR ANP 522501"/>
    <s v="BRAND ON BRAND 13-21/3 PATABERAMBAR COLONY SITA NAGARR GUNTUR GUNTUR GUNTUR ANP 522501"/>
    <s v="GUNTUR"/>
    <x v="5"/>
    <x v="11"/>
    <s v="INAMUL"/>
    <n v="802823175"/>
    <s v="Sgr@9290"/>
    <m/>
    <m/>
    <x v="0"/>
    <s v="MESS"/>
    <s v="Customer given House address visited customer not available at home customer father available at home discussed about card payment customer father said that call back tomorrow // Customer given working address visited customer not available door locked for shop calls not answering call back afternoon"/>
    <x v="23"/>
    <d v="2024-09-04T00:00:00"/>
    <n v="48999"/>
    <s v="ICICI Bank HPCL Coral VISA Credit Card"/>
    <s v="13TH JULY"/>
    <s v="0000000022860044"/>
    <d v="2026-07-08T00:00:00"/>
  </r>
  <r>
    <s v="4748468566979009"/>
    <s v="MR TALLAPAKA KRISHNA"/>
    <n v="0"/>
    <x v="0"/>
    <m/>
    <m/>
    <m/>
    <s v="N"/>
    <x v="13"/>
    <s v="7799110369"/>
    <s v="X"/>
    <n v="6014.8300000000017"/>
    <n v="70000"/>
    <n v="76014.83"/>
    <s v=""/>
    <n v="76014.83"/>
    <n v="63716.43"/>
    <n v="22000"/>
    <n v="6970"/>
    <x v="0"/>
    <x v="0"/>
    <n v="0"/>
    <n v="6970"/>
    <x v="0"/>
    <s v="NA"/>
    <n v="0"/>
    <s v="HARI"/>
    <x v="7"/>
    <x v="3"/>
    <s v="&quot;20/420 GANDLA STREET,KADAPA,CUDDAPAH&quot;    CUDDAPAH ANP 516001"/>
    <s v="Not Applicable Kadapa Koti Reddy circle Koti Reddy circle CUDDAPAH ANP 516001"/>
    <s v="CUDDAPAH"/>
    <x v="1"/>
    <x v="48"/>
    <s v="SIVARAU"/>
    <n v="801601134"/>
    <s v="Ssd@9290"/>
    <m/>
    <m/>
    <x v="0"/>
    <s v="SKIP"/>
    <s v="Cus  given address not found but cus responded in call and said that he will do payment on 20th sir // Cus given address found, door locked and cus  not responding to given number sir"/>
    <x v="26"/>
    <d v="2024-06-30T00:00:00"/>
    <n v="50000"/>
    <s v="ICICI Rubyx Master PLT Chip Card"/>
    <s v="13TH JULY"/>
    <s v="0000000022973437"/>
    <d v="2026-07-08T00:00:00"/>
  </r>
  <r>
    <s v="4748468646881019"/>
    <s v="MR AMBATI DURGA LAKSHMI SATYANARA"/>
    <n v="0"/>
    <x v="0"/>
    <m/>
    <m/>
    <m/>
    <s v="N"/>
    <x v="13"/>
    <s v="9550248998"/>
    <s v="X"/>
    <n v="32938.080000000002"/>
    <n v="50000"/>
    <n v="82938.080000000002"/>
    <n v="22541.23"/>
    <n v="60396.85"/>
    <n v="52822.47"/>
    <n v="23290"/>
    <n v="7910"/>
    <x v="1"/>
    <x v="1"/>
    <n v="18901"/>
    <n v="-10991"/>
    <x v="23"/>
    <s v="TC"/>
    <s v="30501-BBPS Payment received"/>
    <s v="HARI"/>
    <x v="4"/>
    <x v="3"/>
    <s v="&quot;1-25,RAMALAYAM STREET,PEDDAPURAM MANDALA&quot; &quot;M, GUDIVADA&quot;  NEAR RAMALAYAM PEDDAPURAM ANP 533437"/>
    <s v="VIVIEN BIO TECH LIMITED &quot;RAMANAPUDI, 2-19&quot; GUDIVADA GUDIVADA GUDIVADA ANP 521322"/>
    <s v="PEDDAPURAM"/>
    <x v="0"/>
    <x v="22"/>
    <s v="POORNIMA"/>
    <n v="802824019"/>
    <s v="Nihan@2421"/>
    <m/>
    <m/>
    <x v="0"/>
    <m/>
    <m/>
    <x v="1"/>
    <d v="2026-02-07T00:00:00"/>
    <n v="6540"/>
    <s v="ICICI Bank HPCL Coral VISA Credit Card"/>
    <s v="13TH JULY"/>
    <s v="0000000023684540"/>
    <d v="2026-07-08T00:00:00"/>
  </r>
  <r>
    <s v="4748468684232000"/>
    <s v="Mr CHALLA KARUNAKAR"/>
    <n v="0"/>
    <x v="0"/>
    <m/>
    <m/>
    <m/>
    <s v="N"/>
    <x v="13"/>
    <s v="9989470147"/>
    <s v="X"/>
    <n v="5065.1600000000035"/>
    <n v="50000"/>
    <n v="55065.16"/>
    <s v=""/>
    <n v="55065.16"/>
    <n v="49954.89"/>
    <n v="14800"/>
    <n v="2500"/>
    <x v="0"/>
    <x v="0"/>
    <n v="0"/>
    <n v="2500"/>
    <x v="0"/>
    <s v="NA"/>
    <n v="0"/>
    <s v="HARI"/>
    <x v="6"/>
    <x v="3"/>
    <s v="&quot;H NO,5-10 SAIDAPOOR MANDAL,.,DUDDANAPALLI&quot;    KARIMNAGAR TNG 505472"/>
    <s v="POWER LINKS ICICI Bank ltd Mancheriyal Mancheriyal ADILABAD TNG 504208"/>
    <s v="ADILABAD"/>
    <x v="0"/>
    <x v="24"/>
    <s v="K RAMU"/>
    <n v="802898520"/>
    <s v="Ssd@9290"/>
    <m/>
    <m/>
    <x v="1"/>
    <m/>
    <m/>
    <x v="1"/>
    <d v="2024-10-01T00:00:00"/>
    <n v="49500"/>
    <s v="ICICI Sapphiro Master PLT Chip Card"/>
    <s v="13TH JULY"/>
    <s v="0000000024246470"/>
    <d v="2026-07-08T00:00:00"/>
  </r>
  <r>
    <s v="4748468695840007"/>
    <s v="MR PAMARTHY ANIL KUMAR"/>
    <n v="0"/>
    <x v="0"/>
    <m/>
    <m/>
    <m/>
    <s v="N"/>
    <x v="13"/>
    <s v="8179302224"/>
    <s v="X"/>
    <n v="-20079.140000000014"/>
    <n v="210000"/>
    <n v="189920.86"/>
    <n v="45341.58"/>
    <n v="144579.28"/>
    <n v="133205.24"/>
    <n v="30430"/>
    <n v="13130"/>
    <x v="0"/>
    <x v="0"/>
    <n v="0"/>
    <n v="13130"/>
    <x v="0"/>
    <s v="NA"/>
    <n v="0"/>
    <s v="HARI"/>
    <x v="4"/>
    <x v="3"/>
    <s v="&quot;2-47/2 BARRIPADU,BANTUMILLI MANDAL,BARRI&quot; PADU  NEAR BY  TEMPLE GUDIVADA ANP 521369"/>
    <s v="COGNIZANT TECHNOLOGY SOLUTIONS INDIA PRI COGNIZANT DLF CYBER SECURTY BLD  GACHIBO COGNIZANT DLF CYBER SECURTY BLD  GACHIBO COGNIZANT DLF CYBER SECURTY BLD  GACHIBO HYDERABAD TNG 500065"/>
    <s v="GUDIVADA"/>
    <x v="4"/>
    <x v="6"/>
    <s v="KOTI"/>
    <n v="801597759"/>
    <s v="Ssde@9290"/>
    <m/>
    <m/>
    <x v="0"/>
    <s v="SKIP"/>
    <s v="Customer shifted to Hyderabad phone not answering in from to grand mother"/>
    <x v="25"/>
    <d v="2024-07-04T00:00:00"/>
    <n v="87246.46"/>
    <s v="ICICI Bank HPCL Coral VISA Credit Card"/>
    <s v="13TH JULY"/>
    <s v="0000000024404079"/>
    <d v="2026-07-08T00:00:00"/>
  </r>
  <r>
    <s v="4748468730482005"/>
    <s v="Mr VANTARI KONDAL REDDY"/>
    <n v="0"/>
    <x v="0"/>
    <m/>
    <m/>
    <m/>
    <s v="N"/>
    <x v="13"/>
    <s v="9059545775"/>
    <s v="X"/>
    <n v="5467.0399999999936"/>
    <n v="90000"/>
    <n v="95467.04"/>
    <s v=""/>
    <n v="95467.04"/>
    <n v="84390.52"/>
    <n v="21670"/>
    <n v="4840"/>
    <x v="0"/>
    <x v="0"/>
    <n v="0"/>
    <n v="4840"/>
    <x v="0"/>
    <s v="NA"/>
    <n v="0"/>
    <s v="HARI"/>
    <x v="6"/>
    <x v="3"/>
    <s v="2-2 GAJWEL MANDAL KYASARAM DACHARAM  MAIN ROAD MEDAK TNG 502278"/>
    <s v="WIPRO ENTERPRISES PVT LTD 8-38/1 OPPOSITE GOVERNMENT HOSPITAL GAJWEL GAJWEL MEDAK TNG 502278"/>
    <s v="MEDAK"/>
    <x v="0"/>
    <x v="30"/>
    <s v="RAJKUMAR"/>
    <n v="802835406"/>
    <s v="Ssde@9290"/>
    <m/>
    <m/>
    <x v="1"/>
    <m/>
    <m/>
    <x v="1"/>
    <d v="2026-05-06T00:00:00"/>
    <n v="8070"/>
    <s v="ICICI Bank HPCL Super Saver Master Credit Card"/>
    <s v="13TH JULY"/>
    <s v="0000000024829601"/>
    <d v="2026-07-08T00:00:00"/>
  </r>
  <r>
    <s v="4748468873110009"/>
    <s v="MR UPPALAPATI PRASAD"/>
    <n v="0"/>
    <x v="0"/>
    <m/>
    <m/>
    <m/>
    <s v="N"/>
    <x v="13"/>
    <s v="7680066182"/>
    <s v="X"/>
    <n v="347.06999999999971"/>
    <n v="60000"/>
    <n v="60347.07"/>
    <n v="48407.24"/>
    <n v="11939.83"/>
    <n v="9198.16"/>
    <n v="9770"/>
    <n v="3280"/>
    <x v="1"/>
    <x v="2"/>
    <n v="3300"/>
    <n v="-20"/>
    <x v="23"/>
    <s v="TC"/>
    <s v="30501-BBPS Payment received"/>
    <s v="HARI"/>
    <x v="4"/>
    <x v="3"/>
    <s v="&quot;3-39,MUDINEPALLI MUDINEPALLE,.,.,.&quot;    KRISHNA ANP 521325"/>
    <s v="PPA WIPRO ENTERPRISES LTD Bagmane tech park Bangalore Bangalore BANGALORE KAR 560036"/>
    <s v="GUDIVADA"/>
    <x v="4"/>
    <x v="6"/>
    <s v="KOTI"/>
    <n v="801597759"/>
    <s v="Ssde@9290"/>
    <m/>
    <m/>
    <x v="0"/>
    <m/>
    <m/>
    <x v="1"/>
    <d v="2025-09-07T00:00:00"/>
    <n v="3370"/>
    <s v="ICICI Bank HPCL Coral VISA Credit Card"/>
    <s v="13TH JULY"/>
    <s v="0000000026062223"/>
    <d v="2026-07-08T00:00:00"/>
  </r>
  <r>
    <s v="5241936721599002"/>
    <s v="MR CHENNA SRI RAM"/>
    <n v="0"/>
    <x v="0"/>
    <m/>
    <m/>
    <m/>
    <s v="N"/>
    <x v="13"/>
    <s v="9392640513"/>
    <s v="X"/>
    <n v="8538.4900000000052"/>
    <n v="80000"/>
    <n v="88538.49"/>
    <s v=""/>
    <n v="88538.49"/>
    <n v="79747.179999999993"/>
    <n v="22020"/>
    <n v="7990"/>
    <x v="0"/>
    <x v="0"/>
    <n v="0"/>
    <n v="7990"/>
    <x v="0"/>
    <s v="NA"/>
    <n v="0"/>
    <s v="HARI"/>
    <x v="7"/>
    <x v="3"/>
    <s v="S/O VENKATA H.NO 1-75/2 KUSUMANCHI MANDAL OPPOSITE ROAD VILLAGE JEELACHERUVU NEAR BY KRISHNMURTI KIRANA SHOP KHAMMAM TNG 507170"/>
    <s v="TCS  PVT DECCAN PARK MADAPUR  HYDRABAD HYDRABAD HYDRABAD HYDERABAD TNG 500081"/>
    <s v="KHAMMAM"/>
    <x v="0"/>
    <x v="2"/>
    <s v="CHAITANYA"/>
    <n v="802555024"/>
    <s v="Ssde@9290"/>
    <m/>
    <m/>
    <x v="0"/>
    <s v="LIVE"/>
    <s v=" have Visited customer given village house address customer is in live given ptp on Saturday"/>
    <x v="23"/>
    <d v="2024-11-07T00:00:00"/>
    <n v="7350"/>
    <s v="ICICI Bank MasterCard  Platinum chip Credit Card"/>
    <s v="13TH JULY"/>
    <s v="0000000024887670"/>
    <d v="2026-07-08T00:00:00"/>
  </r>
  <r>
    <s v="5241936858781001"/>
    <s v="MR MARRIBOINA HARSHAVARDHAN"/>
    <n v="0"/>
    <x v="0"/>
    <m/>
    <m/>
    <m/>
    <s v="O"/>
    <x v="13"/>
    <s v="6304470461"/>
    <s v="X"/>
    <n v="4068.5"/>
    <n v="90000"/>
    <n v="94068.5"/>
    <s v=""/>
    <n v="94068.5"/>
    <n v="88185.94"/>
    <n v="24170"/>
    <n v="14220"/>
    <x v="0"/>
    <x v="0"/>
    <n v="0"/>
    <n v="14220"/>
    <x v="0"/>
    <s v="NA"/>
    <n v="0"/>
    <s v="HARI"/>
    <x v="5"/>
    <x v="3"/>
    <s v="1/199 1ST WARD VILLAGE KALLUR  Y.S.R. CUP ANP 516355"/>
    <s v="B BLOCK 59/2 KADERANAHALLI BENGALURU HERITAGE BUILDING OUTER RING ROAD   BNG KAR 560070"/>
    <s v="PRODDATUR"/>
    <x v="1"/>
    <x v="15"/>
    <s v="VSSK PRASAD"/>
    <n v="802349062"/>
    <s v="Ssd@9290"/>
    <m/>
    <m/>
    <x v="1"/>
    <m/>
    <m/>
    <x v="1"/>
    <d v="2026-05-20T00:00:00"/>
    <n v="800"/>
    <s v="ICICI Bank MasterCard  Platinum chip Credit Card"/>
    <s v="13TH JULY"/>
    <s v="0000000033068769"/>
    <d v="2026-07-08T00:00:00"/>
  </r>
  <r>
    <s v="6528681863231004"/>
    <s v="MR ALURU SURESH"/>
    <n v="0"/>
    <x v="0"/>
    <m/>
    <m/>
    <m/>
    <s v="N"/>
    <x v="13"/>
    <s v="8519873165"/>
    <s v="X"/>
    <n v="-15646.93"/>
    <n v="70000"/>
    <n v="54353.07"/>
    <s v=""/>
    <n v="54353.07"/>
    <n v="50000"/>
    <n v="6770"/>
    <n v="2500"/>
    <x v="0"/>
    <x v="0"/>
    <n v="0"/>
    <n v="2500"/>
    <x v="0"/>
    <s v="NA"/>
    <n v="0"/>
    <s v="HARI"/>
    <x v="7"/>
    <x v="3"/>
    <s v="10-6-39/2 SRINIVAS COLONY OPP SRI RAMA TVS SHOWROOM MAHABUBNAGAR TELANGANA MAHBOOBNAGAR TNG 509001"/>
    <s v="INFINITI RETAIL LTD &quot;CROMA,AVANTHI COMOLEX,&quot; &quot;RAJENDRA NAGAR,MAHABUB NAGAR&quot; &quot;RAJENDRA NAGAR,MAHABUB NAGAR&quot; MAHBOOBNAGAR TNG 509001"/>
    <s v="MAHBOOBNAGAR"/>
    <x v="0"/>
    <x v="19"/>
    <s v="SAMBA"/>
    <n v="801772794"/>
    <s v="Ssde@9876"/>
    <m/>
    <m/>
    <x v="1"/>
    <m/>
    <m/>
    <x v="1"/>
    <s v=""/>
    <n v="0"/>
    <s v="ICICI Bank Coral RuPay Credit Card"/>
    <s v="13TH JULY"/>
    <s v="0000000032021092"/>
    <d v="2026-07-08T00:00:00"/>
  </r>
  <r>
    <s v="4375514453306002"/>
    <s v="MR. BATHULA PAVAN KUMAR"/>
    <n v="0"/>
    <x v="0"/>
    <m/>
    <m/>
    <m/>
    <s v="N"/>
    <x v="16"/>
    <s v="9550516234"/>
    <s v="X"/>
    <n v="10834.570000000007"/>
    <n v="104000"/>
    <n v="114834.57"/>
    <s v=""/>
    <n v="114834.57"/>
    <n v="101405.54"/>
    <n v="29930"/>
    <n v="12420"/>
    <x v="1"/>
    <x v="1"/>
    <n v="0"/>
    <n v="12420"/>
    <x v="0"/>
    <s v="D"/>
    <s v="30501-BBPS Payment received"/>
    <s v="SAMBA"/>
    <x v="2"/>
    <x v="3"/>
    <s v="VIJAYA KRISHNA RESIDENCY 1ST FLOOR NO 101 CHUTTUGUNTA CHUTTUGUNTA H NO 25-16-121 BESIDE SBI BANK GUNTUR ANP 522004"/>
    <s v="EXIDE LIFE INSURANCE COMPANY LTD EXIDE LIFE INSURANCE COMPANY LTD 3RD FLOOR RAGHU MANSION BRODIPET 4/1 3RD FLOOR RAGHU MANSION BRODIPET 4/1 GUNTUR ANP 522004"/>
    <s v="GUNTUR"/>
    <x v="5"/>
    <x v="43"/>
    <s v="INAMUL"/>
    <n v="802823175"/>
    <s v="Sgr@9290"/>
    <m/>
    <m/>
    <x v="0"/>
    <m/>
    <m/>
    <x v="1"/>
    <d v="2026-01-08T00:00:00"/>
    <n v="9420"/>
    <s v="ICICI Rubyx PLT Credit Card (AMEX)"/>
    <s v="13TH JULY"/>
    <s v="0000000009220183"/>
    <d v="2026-07-11T00:00:00"/>
  </r>
  <r>
    <s v="4375514461417007"/>
    <s v="MR. RAMESH JAVVAJI"/>
    <n v="0"/>
    <x v="0"/>
    <m/>
    <m/>
    <m/>
    <s v="N"/>
    <x v="16"/>
    <s v="9704893203"/>
    <s v="X"/>
    <n v="-285504.55"/>
    <n v="430000"/>
    <n v="144495.45000000001"/>
    <s v=""/>
    <n v="144495.45000000001"/>
    <n v="132625.53"/>
    <n v="23870"/>
    <n v="5647.14"/>
    <x v="0"/>
    <x v="0"/>
    <n v="0"/>
    <n v="5647.14"/>
    <x v="0"/>
    <s v="NA"/>
    <n v="0"/>
    <s v="SAMBA"/>
    <x v="2"/>
    <x v="3"/>
    <s v="&quot;2-7,,Sri laxmi Nilayam&quot;  &quot;Kazipet, Hanamk&quot; Tharalpally WARANGAL TNG 506003"/>
    <s v="BRISTLECONE INDIA LTD TECHMINDHRA HITECH LTD MADHAPUR MADHAPUR Hyderabad TNG 500081"/>
    <s v="WARANGAL"/>
    <x v="0"/>
    <x v="0"/>
    <s v="AKHIL"/>
    <n v="801772792"/>
    <s v="Sgr@9290"/>
    <m/>
    <m/>
    <x v="1"/>
    <m/>
    <m/>
    <x v="1"/>
    <d v="2026-05-12T00:00:00"/>
    <n v="39000"/>
    <s v="ICICI Bank Platinum Chip Credit Card"/>
    <s v="13TH JULY"/>
    <s v="0000000009236046"/>
    <d v="2026-07-11T00:00:00"/>
  </r>
  <r>
    <s v="4375517648881003"/>
    <s v="MR GOUTHAM REDDY THANGIRALA"/>
    <n v="0"/>
    <x v="0"/>
    <m/>
    <m/>
    <m/>
    <s v="N"/>
    <x v="16"/>
    <s v="9966316162"/>
    <s v="X"/>
    <n v="5829.1100000000006"/>
    <n v="50000"/>
    <n v="55829.11"/>
    <s v=""/>
    <n v="55829.11"/>
    <n v="49941.09"/>
    <n v="14660"/>
    <n v="4760"/>
    <x v="0"/>
    <x v="0"/>
    <n v="0"/>
    <n v="4760"/>
    <x v="0"/>
    <s v="NA"/>
    <n v="0"/>
    <s v="SAMBA"/>
    <x v="2"/>
    <x v="3"/>
    <s v="&quot;3-31,S B H ROAD,OPPOSITE S B H,KESHAVAPUR,&quot; MULUG WARANGAL - WARANGAL TNG 506343"/>
    <s v="ICICI BANK LTD ICICI TOWERS SY NO:115-27 PLOT NO:12 NANAKRAMGUDA GACHIBOWLI NANAKRAMGUDA GACHIBOWLI HYDERABAD TNG 500032"/>
    <s v="WARANGAL"/>
    <x v="0"/>
    <x v="0"/>
    <s v="AKHIL"/>
    <n v="801772792"/>
    <s v="Sgr@9290"/>
    <m/>
    <m/>
    <x v="1"/>
    <m/>
    <m/>
    <x v="1"/>
    <d v="2024-07-09T00:00:00"/>
    <n v="52331.79"/>
    <s v="ICICI Bank LeadtheNew Coral Credit Card"/>
    <s v="13TH JULY"/>
    <s v="0000000011306233"/>
    <d v="2026-07-11T00:00:00"/>
  </r>
  <r>
    <s v="4375519629008002"/>
    <s v="Mr K Srinivasulu"/>
    <s v="RTP"/>
    <x v="0"/>
    <n v="1"/>
    <m/>
    <m/>
    <s v="O"/>
    <x v="16"/>
    <s v="9182015954"/>
    <s v="X"/>
    <n v="35125.440000000002"/>
    <n v="480000"/>
    <n v="515125.44"/>
    <s v=""/>
    <n v="515125.44"/>
    <n v="470795.77"/>
    <n v="178120"/>
    <n v="88419.99"/>
    <x v="0"/>
    <x v="0"/>
    <n v="0"/>
    <n v="88419.99"/>
    <x v="0"/>
    <s v="NA"/>
    <n v="0"/>
    <s v="SAMBA"/>
    <x v="3"/>
    <x v="3"/>
    <s v="&quot;H NO 2-63,GADWAL(RURAL),GADWAL, CHENUGONIPALLE GADWAL MANDAL&quot;    Mahbubnagar TNG 509125"/>
    <s v="SElf employed Gadwal Noor Majid Noor Majid Mahbubnagar TNG 509125"/>
    <s v="MAHBOOBNAGAR"/>
    <x v="0"/>
    <x v="22"/>
    <s v="SAMBA"/>
    <n v="801772794"/>
    <s v="Ssde@9876"/>
    <m/>
    <m/>
    <x v="0"/>
    <s v="LIVE"/>
    <s v="Customer live given PTP 18th"/>
    <x v="23"/>
    <d v="2026-06-15T00:00:00"/>
    <n v="1490.01"/>
    <s v="ICICI Bank Coral Credit Card"/>
    <s v="13TH JULY"/>
    <s v="0000000012830882"/>
    <d v="2026-07-11T00:00:00"/>
  </r>
  <r>
    <s v="4375519792414003"/>
    <s v="MR LAVUDIYA NAYAK"/>
    <n v="0"/>
    <x v="0"/>
    <m/>
    <m/>
    <m/>
    <s v="N"/>
    <x v="16"/>
    <s v="8187029925"/>
    <s v="X"/>
    <n v="6747.429999999993"/>
    <n v="60000"/>
    <n v="66747.429999999993"/>
    <s v=""/>
    <n v="66747.429999999993"/>
    <n v="60708"/>
    <n v="18310"/>
    <n v="5090"/>
    <x v="0"/>
    <x v="0"/>
    <n v="0"/>
    <n v="5090"/>
    <x v="0"/>
    <s v="NA"/>
    <n v="0"/>
    <s v="SAMBA"/>
    <x v="11"/>
    <x v="3"/>
    <s v="6 4 5 MELLA CHERUVU GUDIMALKAP URAM  NALGONDA ANP 508246"/>
    <s v="GLENDALE ACADEMY SUNCITY BANDLAGUDA JAGIR HYDERABAD 500086 HYDERABAD 500086 HYDERABAD ANP 500086"/>
    <s v="NALGONDA"/>
    <x v="0"/>
    <x v="22"/>
    <s v="POORNIMA"/>
    <n v="802824019"/>
    <s v="Nihan@2421"/>
    <m/>
    <m/>
    <x v="1"/>
    <m/>
    <m/>
    <x v="1"/>
    <d v="2026-05-12T00:00:00"/>
    <n v="60704.97"/>
    <s v="ICICI Bank Coral Credit Card"/>
    <s v="13TH JULY"/>
    <s v="0000000015649902"/>
    <d v="2026-07-11T00:00:00"/>
  </r>
  <r>
    <s v="4748466719616007"/>
    <s v="MR. SIVANNARAYANA MANYAM"/>
    <n v="0"/>
    <x v="0"/>
    <m/>
    <m/>
    <m/>
    <s v="N"/>
    <x v="16"/>
    <s v="9640381416"/>
    <s v="X"/>
    <n v="9419.7299999999959"/>
    <n v="90000"/>
    <n v="99419.73"/>
    <n v="604.77"/>
    <n v="98814.96"/>
    <n v="87153.22"/>
    <n v="26630"/>
    <n v="6110"/>
    <x v="0"/>
    <x v="0"/>
    <n v="0"/>
    <n v="6110"/>
    <x v="0"/>
    <s v="NA"/>
    <n v="0"/>
    <s v="SAMBA"/>
    <x v="11"/>
    <x v="3"/>
    <s v="H NO 17 10 41A DURGAMMAGUDI VEEDHI SANJAY NAGAR  BESIDE KANAKA DURGA TEMPLE KAKINADA ANP 533001"/>
    <s v="BLUE CHIP CORPORTE INVESTMENT CENTRE LTD H NO 1 9 24 SRI RAM NAGAR SRI RAM NAGAR KAKINADA ANP 533001"/>
    <s v="KAKINADA"/>
    <x v="4"/>
    <x v="23"/>
    <s v="UDAY"/>
    <n v="801436997"/>
    <s v="Ssd@9290"/>
    <m/>
    <m/>
    <x v="0"/>
    <s v="DL"/>
    <s v="Customer address visit customer not available door lock call response ptp on Monday"/>
    <x v="26"/>
    <d v="2026-03-25T00:00:00"/>
    <n v="50000"/>
    <s v="ICICI Bank Coral Credit Card"/>
    <s v="13TH JULY"/>
    <s v="0000000008927299"/>
    <d v="2026-07-11T00:00:00"/>
  </r>
  <r>
    <s v="5241931170545010"/>
    <s v="MR. SRINIVAS NOMULA"/>
    <n v="0"/>
    <x v="0"/>
    <m/>
    <m/>
    <m/>
    <s v="N"/>
    <x v="16"/>
    <s v="8801706060"/>
    <s v="X"/>
    <n v="26234.289999999979"/>
    <n v="270000"/>
    <n v="296234.28999999998"/>
    <s v=""/>
    <n v="296234.28999999998"/>
    <n v="269980.46000000002"/>
    <n v="67700"/>
    <n v="27300"/>
    <x v="0"/>
    <x v="0"/>
    <n v="0"/>
    <n v="27300"/>
    <x v="0"/>
    <s v="NA"/>
    <n v="0"/>
    <s v="SAMBA"/>
    <x v="2"/>
    <x v="3"/>
    <s v="&quot;7/1,DEENDAYAL,393/1,RAMNAGAR,&quot; &quot;KAZIPET, HANAMKONDA,KADIPIKONDA&quot; WARANGAL - WARANGAL TNG 506003"/>
    <s v="ZENSAR TECHNOLOGIES LTD 9TH FLOOR BLOCK 3 ZENSAR GACHIBOWLI DLF GACHIBOWLI DLF Rangareddy TNG 500019"/>
    <s v="WARANGAL"/>
    <x v="0"/>
    <x v="0"/>
    <s v="AKHIL"/>
    <n v="801772792"/>
    <s v="Sgr@9290"/>
    <m/>
    <m/>
    <x v="1"/>
    <m/>
    <m/>
    <x v="1"/>
    <d v="2026-03-31T00:00:00"/>
    <n v="36580"/>
    <s v="ICICI Bank Coral Credit Card"/>
    <s v="13TH JULY"/>
    <s v="0000000009304478"/>
    <d v="2026-07-11T00:00:00"/>
  </r>
  <r>
    <s v="4315810294157007"/>
    <s v="MR DUSSA SRINIVAS"/>
    <n v="0"/>
    <x v="0"/>
    <m/>
    <s v="CC"/>
    <m/>
    <s v="N"/>
    <x v="12"/>
    <s v="9000577243"/>
    <s v="X"/>
    <n v="-10121.200000000012"/>
    <n v="365000"/>
    <n v="354878.8"/>
    <s v=""/>
    <n v="354878.8"/>
    <n v="316530"/>
    <n v="69220"/>
    <n v="37520"/>
    <x v="0"/>
    <x v="0"/>
    <n v="0"/>
    <n v="37520"/>
    <x v="0"/>
    <s v="NA"/>
    <n v="0"/>
    <s v="SAMBA"/>
    <x v="11"/>
    <x v="3"/>
    <s v="&quot;590,,&quot; &quot;,Urban Colony&quot; Bhongir Near Water Tank BHONGIR TNG 508116"/>
    <s v="FINE TECH CORPORATION PVT LTD SHOP NO 301 310 406 AND 410 2ND  AND 3RD FLOOR SWARNA PALACE FLOOR SWARNA PALACE Nalgonda TNG 508001"/>
    <s v="NALGONDA"/>
    <x v="0"/>
    <x v="17"/>
    <s v="PAVAN"/>
    <n v="802823180"/>
    <s v="Sgr@9290"/>
    <m/>
    <m/>
    <x v="1"/>
    <m/>
    <m/>
    <x v="1"/>
    <d v="2024-10-01T00:00:00"/>
    <n v="200000"/>
    <s v="Amazon Pay ICICI Bank Credit Card"/>
    <s v="13TH JULY"/>
    <s v="0000000014353819"/>
    <d v="2026-07-06T00:00:00"/>
  </r>
  <r>
    <s v="4501720941369000"/>
    <s v="MR SREEKANTH KE"/>
    <n v="0"/>
    <x v="0"/>
    <m/>
    <s v="CC"/>
    <m/>
    <s v="N"/>
    <x v="12"/>
    <s v="9493704561"/>
    <s v="X"/>
    <n v="-1846.2000000000116"/>
    <n v="290000"/>
    <n v="288153.8"/>
    <s v=""/>
    <n v="288153.8"/>
    <n v="266062.02"/>
    <n v="94580"/>
    <n v="45999.79"/>
    <x v="0"/>
    <x v="0"/>
    <n v="0"/>
    <n v="45999.79"/>
    <x v="0"/>
    <s v="NA"/>
    <n v="0"/>
    <s v="SAMBA"/>
    <x v="3"/>
    <x v="3"/>
    <s v="&quot;H NO 13-87,KODUMUR,KURNOOL&quot;    KURNOOL ANP 518464"/>
    <s v="Sreekanth goud KE &quot;13/87-2, kotthapeta street&quot; Kodumur Kodumur KURNOOL ANP 518464"/>
    <s v="KURNOOL"/>
    <x v="1"/>
    <x v="18"/>
    <s v="SAMBA"/>
    <n v="801772794"/>
    <s v="Ssde@9876"/>
    <m/>
    <m/>
    <x v="0"/>
    <s v="LIVE"/>
    <s v="Customer told present he is busy he will talk tomorrow // Customer given ptp tomorrow sir"/>
    <x v="22"/>
    <d v="2026-04-17T00:00:00"/>
    <n v="36410"/>
    <s v="ICICI Bank Rubyx Visa Credit Card"/>
    <s v="13TH JULY"/>
    <s v="0000000022105873"/>
    <d v="2026-07-06T00:00:00"/>
  </r>
  <r>
    <s v="4501720971838007"/>
    <s v="MS CHELLUBOINA SRUTHI"/>
    <n v="0"/>
    <x v="0"/>
    <m/>
    <s v="CC"/>
    <m/>
    <s v="O"/>
    <x v="12"/>
    <s v="9573043735"/>
    <s v="X"/>
    <n v="-33524.960000000006"/>
    <n v="103000"/>
    <n v="69475.039999999994"/>
    <s v=""/>
    <n v="69475.039999999994"/>
    <n v="64697.46"/>
    <n v="19200"/>
    <n v="9839"/>
    <x v="1"/>
    <x v="2"/>
    <n v="10000"/>
    <n v="-161"/>
    <x v="27"/>
    <s v="TC"/>
    <s v="12124 - UPI Payment Received"/>
    <s v="SAMBA"/>
    <x v="0"/>
    <x v="3"/>
    <s v="&quot;1-99,ANTARVEDI PALEM NEAR,CHERUVU,GATTU,&quot; SAKHINETIPALLI   EAST GODAVARI ANP 533252"/>
    <s v="CAPGEMINI TECHNOLOGY SERVICES Gachibowli financial district financial district HYDERABAD TNG 500081"/>
    <s v="AMALAPURAM"/>
    <x v="4"/>
    <x v="28"/>
    <s v="B NAGABABU"/>
    <n v="801448854"/>
    <s v="Sgr@9290"/>
    <m/>
    <m/>
    <x v="0"/>
    <m/>
    <m/>
    <x v="1"/>
    <d v="2026-05-11T00:00:00"/>
    <n v="12030"/>
    <s v="ICICI Bank Rubyx Visa Credit Card"/>
    <s v="13TH JULY"/>
    <s v="0000000022723864"/>
    <d v="2026-07-06T00:00:00"/>
  </r>
  <r>
    <s v="4501721168913009"/>
    <s v="MR POLA RAVI BABU"/>
    <n v="0"/>
    <x v="0"/>
    <m/>
    <s v="CC"/>
    <m/>
    <s v="N"/>
    <x v="12"/>
    <s v="9441412152"/>
    <s v="X"/>
    <n v="5772.5199999999895"/>
    <n v="210000"/>
    <n v="215772.52"/>
    <n v="884.51"/>
    <n v="214888.01"/>
    <n v="203468.93"/>
    <n v="46350"/>
    <n v="29180"/>
    <x v="1"/>
    <x v="1"/>
    <n v="29180"/>
    <n v="0"/>
    <x v="26"/>
    <s v="TC"/>
    <s v="30501-BBPS Payment received"/>
    <s v="SAMBA"/>
    <x v="11"/>
    <x v="3"/>
    <s v="&quot;H NO 13-149, BANDIREVU THUMU PEDAPADU&quot; &quot;MANDALAM , WEST GODAVARI&quot; WEST GODAVARI PEDAPADU ELURU ANP 534437"/>
    <s v="GOVERNMENT GOVT OF AP &quot;II ADDITIONAL JUDICIAL, 1 CLASS&quot; MAGISTRATE COURT ELURU MAGISTRATE COURT ELURU ELURU ANP 534001"/>
    <s v="ELURU"/>
    <x v="4"/>
    <x v="32"/>
    <s v="BHARAT CHANDRA"/>
    <n v="802631601"/>
    <s v="Ssde@9290"/>
    <m/>
    <m/>
    <x v="0"/>
    <s v="MESS"/>
    <s v="Remark Customer Phone Not Connect Customer Out Of Station Inform To Customer mother Sir"/>
    <x v="21"/>
    <d v="2024-12-06T00:00:00"/>
    <n v="21000"/>
    <s v="ICICI Bank Rubyx Visa Credit Card"/>
    <s v="13TH JULY"/>
    <s v="0000000027694585"/>
    <d v="2026-07-06T00:00:00"/>
  </r>
  <r>
    <s v="4501721630771001"/>
    <s v="Mr MAHESHWARAM UMAMAHESHWAR"/>
    <n v="0"/>
    <x v="0"/>
    <m/>
    <s v="CC"/>
    <m/>
    <s v="N"/>
    <x v="12"/>
    <s v="9502360884"/>
    <s v="X"/>
    <n v="-42711.369999999995"/>
    <n v="440000"/>
    <n v="397288.63"/>
    <n v="81754.3"/>
    <n v="315534.33"/>
    <n v="292555.75"/>
    <n v="86270"/>
    <n v="46880"/>
    <x v="1"/>
    <x v="2"/>
    <n v="12000"/>
    <n v="34880"/>
    <x v="27"/>
    <s v="TC"/>
    <s v="30501-BBPS Payment received"/>
    <s v="SAMBA"/>
    <x v="2"/>
    <x v="3"/>
    <s v="&quot;HNO,1-118,KUNOOR,WARANGAL,ZAFFARGARH MANDAL&quot;    WARANGAL TNG 506143"/>
    <s v="Not Applicable &quot;H NO 31-3-334 Road No 8,&quot; &quot;Sapthagiri colony, phase 2, waddepally&quot; &quot;Sapthagiri colony, phase 2, waddepally&quot; WARANGAL TNG 506370"/>
    <s v="WARANGAL"/>
    <x v="0"/>
    <x v="0"/>
    <s v="AKHIL"/>
    <n v="801772792"/>
    <s v="Sgr@9290"/>
    <m/>
    <m/>
    <x v="0"/>
    <s v="MESS"/>
    <s v="Cust shifted from given address confirmed by neighbours and cust number switched off // Visited to cust second address not available at home left msg to cust's mother will update"/>
    <x v="22"/>
    <d v="2026-05-26T00:00:00"/>
    <n v="63500"/>
    <s v="ICICI Bank Sapphiro Visa Credit Card"/>
    <s v="13TH JULY"/>
    <s v="0000000028058651"/>
    <d v="2026-07-06T00:00:00"/>
  </r>
  <r>
    <s v="4501721859059005"/>
    <s v="MR SAMMANGI SRI SAMMANGI SRI BHARGAV"/>
    <n v="0"/>
    <x v="0"/>
    <m/>
    <s v="CC"/>
    <m/>
    <s v="N"/>
    <x v="12"/>
    <s v="8143788172"/>
    <s v="X"/>
    <n v="7214.6500000000233"/>
    <n v="260000"/>
    <n v="267214.65000000002"/>
    <n v="99102.41"/>
    <n v="168112.24"/>
    <n v="156602.74"/>
    <n v="42540"/>
    <n v="15180"/>
    <x v="1"/>
    <x v="1"/>
    <n v="15500"/>
    <n v="-320"/>
    <x v="24"/>
    <s v="TC"/>
    <s v="12118 - NEFT PAYMENT RECEIVED"/>
    <s v="SAMBA"/>
    <x v="0"/>
    <x v="3"/>
    <s v="&quot;H NO,4-130 DENDULURU WEST,GODAVARI,.&quot;    WEST GODAVARI ANP 534432"/>
    <s v="      "/>
    <s v="ELURU"/>
    <x v="4"/>
    <x v="32"/>
    <s v="BHARAT CHANDRA"/>
    <n v="802631601"/>
    <s v="Ssde@9290"/>
    <m/>
    <m/>
    <x v="0"/>
    <m/>
    <m/>
    <x v="1"/>
    <d v="2026-06-09T00:00:00"/>
    <n v="10600"/>
    <s v="ICICI Bank HPCL Super Saver RuPay Credit Card"/>
    <s v="13TH JULY"/>
    <s v="0000000031901078"/>
    <d v="2026-07-06T00:00:00"/>
  </r>
  <r>
    <s v="4315811013672003"/>
    <s v="MR GUNDETI SRINIVAS"/>
    <n v="0"/>
    <x v="0"/>
    <m/>
    <m/>
    <m/>
    <s v="N"/>
    <x v="19"/>
    <s v="9849449812"/>
    <s v="X"/>
    <n v="-405681.33999999997"/>
    <n v="610000"/>
    <n v="204318.66"/>
    <s v=""/>
    <n v="204318.66"/>
    <n v="185482.97"/>
    <n v="25850"/>
    <n v="6060"/>
    <x v="1"/>
    <x v="2"/>
    <n v="6060"/>
    <n v="0"/>
    <x v="23"/>
    <s v="TC"/>
    <s v="30501-BBPS Payment received"/>
    <s v="SAMBA"/>
    <x v="3"/>
    <x v="3"/>
    <s v="&quot;7-139/2, ,UPPAL,,KAMALAPUR MANDALAM,&quot;    KARIMNAGAR TNG 505101"/>
    <s v="The Crescents College of Busin 44-8-1 Janpak Janpak WARANGAL TNG 506013"/>
    <s v="WARANGAL"/>
    <x v="0"/>
    <x v="0"/>
    <s v="AKHIL"/>
    <n v="801772792"/>
    <s v="Sgr@9290"/>
    <m/>
    <m/>
    <x v="0"/>
    <m/>
    <m/>
    <x v="1"/>
    <d v="2026-05-16T00:00:00"/>
    <n v="11170"/>
    <s v="Amazon Pay ICICI Bank Credit Card"/>
    <s v="13TH JULY"/>
    <s v="0000000016898439"/>
    <d v="2026-07-16T00:00:00"/>
  </r>
  <r>
    <s v="4315811366842005"/>
    <s v="MR Ganupala Raviprakash"/>
    <n v="0"/>
    <x v="0"/>
    <m/>
    <m/>
    <m/>
    <s v="N"/>
    <x v="19"/>
    <s v="9866144759"/>
    <s v="X"/>
    <n v="-14901.219999999972"/>
    <n v="600000"/>
    <n v="585098.78"/>
    <n v="46052.02"/>
    <n v="539046.76"/>
    <n v="490861.82"/>
    <n v="97250"/>
    <n v="38720.589999999997"/>
    <x v="1"/>
    <x v="1"/>
    <n v="0"/>
    <n v="38720.589999999997"/>
    <x v="0"/>
    <s v="D"/>
    <s v="12118 - NEFT PAYMENT RECEIVED"/>
    <s v="SAMBA"/>
    <x v="0"/>
    <x v="3"/>
    <s v="H No 25-236-1 Sanjeeva Nagar Sanjeeva Nagar Kurnool NANDYAL ANP 518501"/>
    <s v="SOUTH CENTRAL RAILWAY OFFICE OF THE CHIEF CREW CONTROLLER PLATFORM NO.1 RAILWAY STATION PLATFORM NO.1 RAILWAY STATION NANDYAL ANP 518501"/>
    <s v="NANDYAL"/>
    <x v="1"/>
    <x v="7"/>
    <s v="HARI"/>
    <n v="802388289"/>
    <s v="Ssd@9290"/>
    <m/>
    <m/>
    <x v="0"/>
    <m/>
    <m/>
    <x v="1"/>
    <d v="2023-05-05T00:00:00"/>
    <n v="8470"/>
    <s v="Amazon Pay ICICI Bank Credit Card"/>
    <s v="13TH JULY"/>
    <s v="0000000017779417"/>
    <d v="2026-07-16T00:00:00"/>
  </r>
  <r>
    <s v="4748469390465009"/>
    <s v="MR AMJURI SATYA SWAROOP"/>
    <n v="0"/>
    <x v="0"/>
    <n v="1"/>
    <m/>
    <m/>
    <s v="O"/>
    <x v="19"/>
    <s v="8073756094"/>
    <s v="X"/>
    <n v="20381.670000000013"/>
    <n v="230000"/>
    <n v="250381.67"/>
    <s v=""/>
    <n v="250381.67"/>
    <n v="227993"/>
    <n v="73370"/>
    <n v="50310"/>
    <x v="0"/>
    <x v="0"/>
    <n v="0"/>
    <n v="50310"/>
    <x v="0"/>
    <s v="NA"/>
    <n v="0"/>
    <s v="SAMBA"/>
    <x v="11"/>
    <x v="3"/>
    <s v="1-257/1 MADHAVAPATNAM SAMARLAKOTA EAST GODAVARI ANDHRAPRADESH BESIDE COMMUNITY HALL KAKINADA ANP 533005"/>
    <s v="CYIENT LIMITED CYIENT LIMTED K13 KAKINADA AUTONAGAR KAKINADA EAST GODAVARI ANDHRAORADESH KAKINADA EAST GODAVARI ANDHRAORADESH KAKINADA ANP 533005"/>
    <s v="KAKINADA"/>
    <x v="4"/>
    <x v="23"/>
    <s v="BHARAT CHANDRA"/>
    <n v="802631601"/>
    <s v="Ssde@9290"/>
    <m/>
    <m/>
    <x v="1"/>
    <m/>
    <m/>
    <x v="1"/>
    <d v="2025-07-10T00:00:00"/>
    <n v="116717"/>
    <s v="ICICI Bank HPCL Super Saver Visa Credit Card"/>
    <s v="13TH JULY"/>
    <s v="0000000024238901"/>
    <d v="2026-07-16T00:00:00"/>
  </r>
  <r>
    <s v="4035620097352005"/>
    <s v="MR RAJASEKHAR REDDY VANKIREDDY"/>
    <n v="0"/>
    <x v="0"/>
    <m/>
    <m/>
    <m/>
    <s v="N"/>
    <x v="18"/>
    <s v="9008610959"/>
    <s v="X"/>
    <n v="3484.0399999999936"/>
    <n v="100000"/>
    <n v="103484.04"/>
    <n v="16072.9"/>
    <n v="87411.14"/>
    <n v="80985.34"/>
    <n v="24800"/>
    <n v="13570"/>
    <x v="0"/>
    <x v="0"/>
    <n v="0"/>
    <n v="13570"/>
    <x v="0"/>
    <s v="NA"/>
    <n v="0"/>
    <s v="SAMBA"/>
    <x v="11"/>
    <x v="3"/>
    <s v="&quot;5-89/1,Gajulamandyam&quot; Perumal Swamy Street Beside Perumal Swamy Temple Gajul &quot;amandyam, Renigunta Gajulamandyam&quot; TIRUPATHI ANP 517520"/>
    <s v="SUN PHARMACUTICAL INDUSTRIES LTD SUN PHARMA ROAD TANDALJA BARODA GUJARAT BARODA GUJARAT BARODA GUJ 390012"/>
    <s v="TIRUPATHI"/>
    <x v="1"/>
    <x v="25"/>
    <s v="S SEKHAR"/>
    <n v="845041675"/>
    <s v="Ssd@9290"/>
    <m/>
    <m/>
    <x v="1"/>
    <m/>
    <m/>
    <x v="1"/>
    <d v="2026-06-23T00:00:00"/>
    <n v="10000"/>
    <s v="ICICI Bank Coral Credit Card"/>
    <s v="14TH JULY"/>
    <s v="0000000019566574"/>
    <d v="2026-07-13T00:00:00"/>
  </r>
  <r>
    <s v="4035621222506002"/>
    <s v="MR BULAGONDLA LAVANYA KUMAR"/>
    <n v="0"/>
    <x v="0"/>
    <m/>
    <m/>
    <m/>
    <s v="N"/>
    <x v="18"/>
    <s v="9182824450"/>
    <s v="X"/>
    <n v="19623.770000000019"/>
    <n v="250000"/>
    <n v="269623.77"/>
    <n v="81679.740000000005"/>
    <n v="187944.03"/>
    <n v="168249.83"/>
    <n v="41780"/>
    <n v="16920"/>
    <x v="0"/>
    <x v="0"/>
    <n v="0"/>
    <n v="16920"/>
    <x v="0"/>
    <s v="NA"/>
    <n v="0"/>
    <s v="SAMBA"/>
    <x v="2"/>
    <x v="3"/>
    <s v="20-940 KURABA STREET  ANANTHAPUR HINDUPUR ANP 515671"/>
    <s v="SHQ SOLUTIONS INDIA PVT LTD &quot;8-2-268/R/5, ARORA COLONY RD, SRI NAGAR,&quot; &quot;SAGAR SOCIETY 2ND FLOOR, SRI LAKSHMI NA&quot; &quot;SAGAR SOCIETY 2ND FLOOR, SRI LAKSHMI NA&quot; HYDERABAD TNG 500073"/>
    <s v="HINDUPUR"/>
    <x v="1"/>
    <x v="12"/>
    <s v="POORNIMA"/>
    <n v="802824019"/>
    <s v="Nihan@2421"/>
    <m/>
    <m/>
    <x v="1"/>
    <m/>
    <m/>
    <x v="1"/>
    <d v="2026-04-27T00:00:00"/>
    <n v="49180"/>
    <s v="ICICI Bank Coral RuPay Credit Card"/>
    <s v="14TH JULY"/>
    <s v="0000000026461481"/>
    <d v="2026-07-13T00:00:00"/>
  </r>
  <r>
    <s v="4035621250263005"/>
    <s v="MR K ASHOK REDDY"/>
    <n v="0"/>
    <x v="0"/>
    <m/>
    <m/>
    <m/>
    <s v="N"/>
    <x v="18"/>
    <s v="7893372856"/>
    <s v="X"/>
    <n v="8259.2899999999936"/>
    <n v="100000"/>
    <n v="108259.29"/>
    <n v="3613.48"/>
    <n v="104645.81"/>
    <n v="94371.8"/>
    <n v="21940"/>
    <n v="6240"/>
    <x v="0"/>
    <x v="0"/>
    <n v="0"/>
    <n v="6240"/>
    <x v="0"/>
    <s v="NA"/>
    <n v="0"/>
    <s v="SAMBA"/>
    <x v="3"/>
    <x v="3"/>
    <s v="10-2-211-6 S R NAGAR RAYADURG BHAM BHAM SWAMY TEMPLE ANANTAPUR ANP 515865"/>
    <s v="AP MODEL SCHOOL RAYADURG   ANANTAPUR ANP 515865"/>
    <s v="ANANTAPUR"/>
    <x v="1"/>
    <x v="12"/>
    <s v="POORNIMA"/>
    <n v="802824019"/>
    <s v="Nihan@2421"/>
    <m/>
    <m/>
    <x v="1"/>
    <m/>
    <m/>
    <x v="1"/>
    <d v="2023-12-01T00:00:00"/>
    <n v="78874.320000000007"/>
    <s v="ICICI Bank Coral Credit Card"/>
    <s v="14TH JULY"/>
    <s v="0000000026614177"/>
    <d v="2026-07-13T00:00:00"/>
  </r>
  <r>
    <s v="4035622036161000"/>
    <s v="MS MOPATI BHAVYA"/>
    <n v="0"/>
    <x v="0"/>
    <m/>
    <m/>
    <m/>
    <s v="N"/>
    <x v="18"/>
    <s v="7815800237"/>
    <s v="X"/>
    <n v="9514.1300000000047"/>
    <n v="90000"/>
    <n v="99514.13"/>
    <s v=""/>
    <n v="99514.13"/>
    <n v="89755.04"/>
    <n v="24300"/>
    <n v="8860"/>
    <x v="0"/>
    <x v="0"/>
    <n v="0"/>
    <n v="8860"/>
    <x v="0"/>
    <s v="NA"/>
    <n v="0"/>
    <s v="SAMBA"/>
    <x v="3"/>
    <x v="3"/>
    <s v="&quot;9-117/B VIJAYAPURAM,JEEVAKONA ROAD,TIRUPATI,&quot; TIRUPATI URBAN   CHITTOOR ANP 517501"/>
    <s v="O2F INFO SOULTIONS Private Lim 6-5-177 Picchireddythopu Picchireddythopu NAIDUPETA ANP 524126"/>
    <s v="GUDUR"/>
    <x v="2"/>
    <x v="42"/>
    <s v="IMAMVALLI"/>
    <n v="802789320"/>
    <s v="Ssd@9290"/>
    <m/>
    <m/>
    <x v="1"/>
    <m/>
    <m/>
    <x v="1"/>
    <d v="2026-05-14T00:00:00"/>
    <n v="9150"/>
    <s v="ICICI Bank Coral Credit Card"/>
    <s v="14TH JULY"/>
    <s v="0000000034044604"/>
    <d v="2026-07-13T00:00:00"/>
  </r>
  <r>
    <s v="4035627584004007"/>
    <s v="Mr MUDAVATH HAMINA"/>
    <n v="0"/>
    <x v="0"/>
    <m/>
    <m/>
    <m/>
    <s v="N"/>
    <x v="18"/>
    <s v="9059366611"/>
    <s v="X"/>
    <n v="6005.239999999998"/>
    <n v="50000"/>
    <n v="56005.24"/>
    <s v=""/>
    <n v="56005.24"/>
    <n v="48566.400000000001"/>
    <n v="15480"/>
    <n v="4480"/>
    <x v="0"/>
    <x v="0"/>
    <n v="0"/>
    <n v="4480"/>
    <x v="0"/>
    <s v="NA"/>
    <s v="12111-ICICI BANK COLLECTION PAYMENT"/>
    <s v="SAMBA"/>
    <x v="11"/>
    <x v="3"/>
    <s v="&quot;H N,3-89 KOCHERU THANDA,MEDAK,MANDALAM,&quot; SHAMNAPUR   MEDAK TNG 502115"/>
    <s v="Not Applicable H NO 3-89 KOCHERU THANDA MEDAK KOCHERU THANDA MEDAK MEDAK TNG 502115"/>
    <s v="MEDAK"/>
    <x v="0"/>
    <x v="44"/>
    <s v="POORNIMA"/>
    <n v="802824019"/>
    <s v="Nihan@2421"/>
    <m/>
    <m/>
    <x v="1"/>
    <m/>
    <m/>
    <x v="1"/>
    <d v="2026-05-14T00:00:00"/>
    <n v="50156.2"/>
    <s v="ICICI Bank Coral American Express Credit Card"/>
    <s v="14TH JULY"/>
    <s v="0000000029361931"/>
    <d v="2026-07-13T00:00:00"/>
  </r>
  <r>
    <s v="4315810223711007"/>
    <s v="MR. NAGARJUNAS NAGARJUNA"/>
    <n v="0"/>
    <x v="0"/>
    <m/>
    <m/>
    <m/>
    <s v="N"/>
    <x v="18"/>
    <s v="9951958429"/>
    <s v="X"/>
    <n v="12181.950000000012"/>
    <n v="120000"/>
    <n v="132181.95000000001"/>
    <s v=""/>
    <n v="132181.95000000001"/>
    <n v="119895.07"/>
    <n v="31390"/>
    <n v="11790"/>
    <x v="0"/>
    <x v="0"/>
    <n v="0"/>
    <n v="11790"/>
    <x v="0"/>
    <s v="NA"/>
    <n v="0"/>
    <s v="SAMBA"/>
    <x v="11"/>
    <x v="3"/>
    <s v="NO 16 35 10/1 SAMBAMURTHY NAGAR  3RD STREET KAKINADA KAKINADA ANP 533001"/>
    <s v="AVINEON INDIA PVT LTD PALECUS RAJ NAGAR D NO 35/4 7 HILLS ROAD ROAD NO 1 ROAD NO 1 KAKINADA ANP 533001"/>
    <s v="KAKINADA"/>
    <x v="4"/>
    <x v="23"/>
    <s v="UDAY"/>
    <n v="801436997"/>
    <s v="Ssd@9290"/>
    <m/>
    <m/>
    <x v="0"/>
    <s v="SKIP"/>
    <s v="Customer address skip call not answering sir"/>
    <x v="26"/>
    <d v="2026-05-11T00:00:00"/>
    <n v="14730"/>
    <s v="Amazon Pay ICICI Bank Credit Card"/>
    <s v="14TH JULY"/>
    <s v="0000000014126158"/>
    <d v="2026-07-13T00:00:00"/>
  </r>
  <r>
    <s v="4315812506811017"/>
    <s v="MR Kumbha Siva Anjaneyulu"/>
    <n v="0"/>
    <x v="0"/>
    <m/>
    <m/>
    <m/>
    <s v="N"/>
    <x v="18"/>
    <s v="9177031242"/>
    <s v="X"/>
    <n v="7152.0899999999965"/>
    <n v="100000"/>
    <n v="107152.09"/>
    <s v=""/>
    <n v="107152.09"/>
    <n v="99400"/>
    <n v="24240"/>
    <n v="4968"/>
    <x v="0"/>
    <x v="0"/>
    <n v="0"/>
    <n v="4968"/>
    <x v="0"/>
    <s v="NA"/>
    <n v="0"/>
    <s v="SAMBA"/>
    <x v="2"/>
    <x v="3"/>
    <s v="10 Guttikonda Yerukula Colony Guntur NARASAPURAM ANP 522413"/>
    <s v="UNIEX INTERNATIONAL COURIER &quot;DOOR NO. 59-13-1, POLYCLINIC RD, GAYATRI&quot; &quot;GAYATRI NAGAR ,BENZ CIRCLE&quot; &quot;GAYATRI NAGAR ,BENZ CIRCLE&quot; VIJAYAWADA ANP 520008"/>
    <s v="VIJAYAWADA"/>
    <x v="5"/>
    <x v="49"/>
    <s v="DURGA"/>
    <n v="801723195"/>
    <s v="Sgr@9290"/>
    <m/>
    <m/>
    <x v="1"/>
    <m/>
    <m/>
    <x v="1"/>
    <d v="2025-10-28T00:00:00"/>
    <n v="600"/>
    <s v="Amazon Pay ICICI Bank Credit Card"/>
    <s v="14TH JULY"/>
    <s v="0000000021018160"/>
    <d v="2026-07-13T00:00:00"/>
  </r>
  <r>
    <s v="4315812978510006"/>
    <s v="MR Dakarapu Satish"/>
    <n v="0"/>
    <x v="0"/>
    <m/>
    <m/>
    <m/>
    <s v="N"/>
    <x v="18"/>
    <s v="8465023393"/>
    <s v="X"/>
    <n v="-8812.14"/>
    <n v="100000"/>
    <n v="91187.86"/>
    <n v="73713.240000000005"/>
    <n v="17474.62"/>
    <n v="14236.78"/>
    <n v="17474.62"/>
    <n v="8695.74"/>
    <x v="1"/>
    <x v="1"/>
    <n v="17474.62"/>
    <n v="-8778.8799999999992"/>
    <x v="23"/>
    <s v="TC"/>
    <n v="0"/>
    <s v="SAMBA"/>
    <x v="2"/>
    <x v="3"/>
    <s v="1-71/1 kothapalli krishna mudinepalli GUDIVADA ANP 521329"/>
    <s v="GRAMA SACHIVALAYAM KOTHAPALLI MUDINEPALLI MANDAL KRISHNA DISTRICT MUDINEPALLI MANDAL KRISHNA DISTRICT GUDIVADA ANP 521329"/>
    <s v="GUDIVADA"/>
    <x v="4"/>
    <x v="6"/>
    <s v="KOTI"/>
    <n v="801597759"/>
    <s v="Ssde@9290"/>
    <m/>
    <m/>
    <x v="0"/>
    <m/>
    <m/>
    <x v="1"/>
    <d v="2024-09-21T00:00:00"/>
    <n v="10300"/>
    <s v="Amazon Pay ICICI Bank Credit Card"/>
    <s v="14TH JULY"/>
    <s v="0000000022427212"/>
    <d v="2026-07-13T00:00:00"/>
  </r>
  <r>
    <s v="4315813357033008"/>
    <s v="MR Sollu Laxmi Narayana"/>
    <n v="0"/>
    <x v="0"/>
    <m/>
    <m/>
    <m/>
    <s v="N"/>
    <x v="18"/>
    <s v="9182947386"/>
    <s v="X"/>
    <n v="-15277.589999999997"/>
    <n v="200000"/>
    <n v="184722.41"/>
    <s v=""/>
    <n v="184722.41"/>
    <n v="162373.03"/>
    <n v="38190"/>
    <n v="21100"/>
    <x v="0"/>
    <x v="0"/>
    <n v="0"/>
    <n v="21100"/>
    <x v="0"/>
    <s v="NA"/>
    <n v="0"/>
    <s v="SAMBA"/>
    <x v="2"/>
    <x v="3"/>
    <s v="H NO 3 47 KARIMNAGAR MANDALAM Malkapur  KARIMNAGAR TNG 505451"/>
    <s v="TSRTC KARIMNAGAR TSRTC WORKSHOP REKURTHI ROAD KARIMNAGAR REKURTHI ROAD KARIMNAGAR KARIMNAGAR TNG 505451"/>
    <s v="KARIMNAGAR"/>
    <x v="0"/>
    <x v="8"/>
    <s v="SUMANTH"/>
    <n v="802370852"/>
    <s v="Sgr@9290"/>
    <m/>
    <m/>
    <x v="1"/>
    <m/>
    <m/>
    <x v="1"/>
    <d v="2024-06-27T00:00:00"/>
    <n v="55702"/>
    <s v="Amazon Pay ICICI Bank Credit Card"/>
    <s v="14TH JULY"/>
    <s v="0000000024047324"/>
    <d v="2026-07-13T00:00:00"/>
  </r>
  <r>
    <s v="4315813694789015"/>
    <s v="MR GAJULA VEERRAJU"/>
    <n v="0"/>
    <x v="0"/>
    <m/>
    <m/>
    <m/>
    <s v="N"/>
    <x v="18"/>
    <s v="8332813119"/>
    <s v="X"/>
    <n v="16572.950000000012"/>
    <n v="130000"/>
    <n v="146572.95000000001"/>
    <s v=""/>
    <n v="146572.95000000001"/>
    <n v="129874"/>
    <n v="44700"/>
    <n v="23840"/>
    <x v="0"/>
    <x v="0"/>
    <n v="0"/>
    <n v="23840"/>
    <x v="0"/>
    <s v="NA"/>
    <n v="0"/>
    <s v="SAMBA"/>
    <x v="3"/>
    <x v="3"/>
    <s v="H NO 12 615 GANAPAVARAM GAJULA VARI STREET West Godavari TADEPALLIGUDEM ANP 534198"/>
    <s v="VARALAKSHMI SHO MART UNDI ROAD GANAPAVARAM OPP PADMA PRIYA HOTEL GANAPAVARAM OPP PADMA PRIYA HOTEL GANAPAVARAM TADEPALLIGUDEM ANP 534198"/>
    <s v="TADEPALLIGUDEM"/>
    <x v="4"/>
    <x v="26"/>
    <s v="B NAGABABU"/>
    <n v="801448854"/>
    <s v="Sgr@9290"/>
    <m/>
    <m/>
    <x v="1"/>
    <m/>
    <m/>
    <x v="1"/>
    <d v="2025-08-25T00:00:00"/>
    <n v="4800"/>
    <s v="Amazon Pay ICICI Bank Credit Card"/>
    <s v="14TH JULY"/>
    <s v="0000000025098402"/>
    <d v="2026-07-13T00:00:00"/>
  </r>
  <r>
    <s v="4315813722398003"/>
    <s v="MR SYED RIYAZ"/>
    <n v="0"/>
    <x v="0"/>
    <m/>
    <m/>
    <m/>
    <s v="N"/>
    <x v="18"/>
    <s v="9885487348"/>
    <s v="X"/>
    <n v="5239.8899999999994"/>
    <n v="70000"/>
    <n v="75239.89"/>
    <s v=""/>
    <n v="75239.89"/>
    <n v="64645.25"/>
    <n v="33200"/>
    <n v="14810"/>
    <x v="1"/>
    <x v="1"/>
    <n v="33200"/>
    <n v="-18390"/>
    <x v="25"/>
    <s v="TC"/>
    <s v="30501-BBPS Payment received"/>
    <s v="SAMBA"/>
    <x v="0"/>
    <x v="3"/>
    <s v="7 432 NARASARAMAIAH ST MOCHAMPETA YSR KA    CUDDAPAH ANP 516001"/>
    <s v="COGNIZANT TECH SOLU IND PVT LTD 7 432 Narsaramiah street Narsaramiah street CUDDAPAH ANP 516001"/>
    <s v="CUDDAPAH"/>
    <x v="1"/>
    <x v="48"/>
    <s v="SIVARAU"/>
    <n v="801601134"/>
    <s v="Ssd@9290"/>
    <m/>
    <m/>
    <x v="0"/>
    <m/>
    <m/>
    <x v="1"/>
    <d v="2024-09-05T00:00:00"/>
    <n v="69718"/>
    <s v="Amazon Pay ICICI Bank Credit Card"/>
    <s v="14TH JULY"/>
    <s v="0000000025206149"/>
    <d v="2026-07-13T00:00:00"/>
  </r>
  <r>
    <s v="4315814004896003"/>
    <s v="MR VelugotlaVenkata Sampath Kumar"/>
    <n v="0"/>
    <x v="0"/>
    <m/>
    <m/>
    <m/>
    <s v="N"/>
    <x v="18"/>
    <s v="9538666466"/>
    <s v="X"/>
    <n v="19902.170000000013"/>
    <n v="200000"/>
    <n v="219902.17"/>
    <s v=""/>
    <n v="219902.17"/>
    <n v="198459.57"/>
    <n v="52420"/>
    <n v="21930"/>
    <x v="0"/>
    <x v="0"/>
    <n v="0"/>
    <n v="21930"/>
    <x v="0"/>
    <s v="NA"/>
    <n v="0"/>
    <s v="SAMBA"/>
    <x v="0"/>
    <x v="3"/>
    <s v="BUILDING.NO.4. NALLA.SATYANARAYANA.ENCLVE .CHALLA.PALLI.ROAD. NEAR PARAM JYOTHI SCHOOL AMALAPURAM ANP 533201"/>
    <s v="HCL.TECHNOLOGIES.LIMITED PHEONIX.INFOCITY HITECH.CITY.. HITECH.CITY.. HYDERABAD TNG 500082"/>
    <s v="AMALAPURAM"/>
    <x v="4"/>
    <x v="28"/>
    <s v="B NAGABABU"/>
    <n v="801448854"/>
    <s v="Sgr@9290"/>
    <m/>
    <m/>
    <x v="0"/>
    <s v="SKIP"/>
    <s v="WITH THIS NAME NO ONE IS THEIR SIR IN THE GIVEN ADDRESS"/>
    <x v="26"/>
    <d v="2024-11-28T00:00:00"/>
    <n v="163059.47"/>
    <s v="Amazon Pay ICICI Bank Credit Card"/>
    <s v="14TH JULY"/>
    <s v="0000000026387201"/>
    <d v="2026-07-13T00:00:00"/>
  </r>
  <r>
    <s v="4315814377566001"/>
    <s v="MS GADDAM SUKANYA"/>
    <n v="0"/>
    <x v="0"/>
    <m/>
    <m/>
    <m/>
    <s v="N"/>
    <x v="18"/>
    <s v="9985880992"/>
    <s v="J3"/>
    <n v="-57800.56"/>
    <n v="120000"/>
    <n v="62199.44"/>
    <s v=""/>
    <n v="62199.44"/>
    <n v="52377.05"/>
    <n v="14940"/>
    <n v="12450"/>
    <x v="0"/>
    <x v="0"/>
    <n v="0"/>
    <n v="12450"/>
    <x v="0"/>
    <s v="NA"/>
    <n v="0"/>
    <s v="SAMBA"/>
    <x v="11"/>
    <x v="3"/>
    <s v="8.3.8..subbaramaiah.nagar badvel.munisipality.. Badvel BESIDE UV FASHIONS CUDDAPAH ANP 516227"/>
    <s v="KGBV.SCHOOL KGBV.SCHOOL B.MATTAM. B.MATTAM. CUDDAPAH ANP 516503"/>
    <s v="CUDDAPAH"/>
    <x v="1"/>
    <x v="48"/>
    <s v="SIVARAU"/>
    <n v="801601134"/>
    <s v="Ssd@9290"/>
    <m/>
    <m/>
    <x v="1"/>
    <m/>
    <m/>
    <x v="1"/>
    <d v="2024-10-29T00:00:00"/>
    <n v="25000"/>
    <s v="Amazon Pay ICICI Bank Credit Card"/>
    <s v="14TH JULY"/>
    <s v="0000000027666682"/>
    <d v="2026-07-13T00:00:00"/>
  </r>
  <r>
    <s v="4315814934476009"/>
    <s v="MR Pitta Avinash Raju"/>
    <n v="0"/>
    <x v="0"/>
    <m/>
    <m/>
    <m/>
    <s v="N"/>
    <x v="18"/>
    <s v="9949340985"/>
    <s v="X"/>
    <n v="-67.489999999990687"/>
    <n v="220000"/>
    <n v="219932.51"/>
    <s v=""/>
    <n v="219932.51"/>
    <n v="198849.17"/>
    <n v="33550"/>
    <n v="12880"/>
    <x v="0"/>
    <x v="0"/>
    <n v="0"/>
    <n v="12880"/>
    <x v="0"/>
    <s v="NA"/>
    <n v="0"/>
    <s v="SAMBA"/>
    <x v="11"/>
    <x v="3"/>
    <s v="4.189.1 vakalapudi church.peta East Godavari KAKINADA ANP 533005"/>
    <s v="HUE.DIGI.SOLUTIONS.PVT.LTD DNO.4.189.1..2ND.FLOOR 3RD.APSP.CHURCH.BACK.SIDE..CHURCH.PETA.S 3RD.APSP.CHURCH.BACK.SIDE..CHURCH.PETA.S KAKINADA ANP 533005"/>
    <s v="KAKINADA"/>
    <x v="4"/>
    <x v="23"/>
    <s v="UDAY"/>
    <n v="801436997"/>
    <s v="Ssd@9290"/>
    <m/>
    <m/>
    <x v="0"/>
    <s v="MESS"/>
    <s v="Customer address visit customer not available msg left to family call not answering sir"/>
    <x v="26"/>
    <d v="2025-05-02T00:00:00"/>
    <n v="18000"/>
    <s v="Amazon Pay ICICI Bank Credit Card"/>
    <s v="14TH JULY"/>
    <s v="0000000030015515"/>
    <d v="2026-07-13T00:00:00"/>
  </r>
  <r>
    <s v="4375512977472011"/>
    <s v="MR. AKUMALLA KASIM VALI"/>
    <n v="0"/>
    <x v="0"/>
    <m/>
    <m/>
    <m/>
    <s v="N"/>
    <x v="18"/>
    <s v="9989660654"/>
    <s v="X"/>
    <n v="24235.460000000021"/>
    <n v="250000"/>
    <n v="274235.46000000002"/>
    <s v=""/>
    <n v="274235.46000000002"/>
    <n v="249928.11"/>
    <n v="62720"/>
    <n v="25100"/>
    <x v="0"/>
    <x v="0"/>
    <n v="0"/>
    <n v="25100"/>
    <x v="0"/>
    <s v="NA"/>
    <n v="0"/>
    <s v="SAMBA"/>
    <x v="11"/>
    <x v="3"/>
    <s v="4-7-411 Raghavendra Nagar Near Fire Station Hayathnagar Bus Depot Hayathnagar -Near Fire Station Rangareddy TNG 501505"/>
    <s v="PINNACLE INFOTECH SOLUTIONS PINNACLE INFOTECH SOLUTIONS S S B SARANI BIDHANNAGAR DIST-BURDWAN BIDHANNAGAR DIST-BURDWAN DURGAPUR WBL 713212"/>
    <s v="GHATKESAR"/>
    <x v="0"/>
    <x v="22"/>
    <s v="POORNIMA"/>
    <n v="802824019"/>
    <s v="Nihan@2421"/>
    <m/>
    <m/>
    <x v="1"/>
    <m/>
    <m/>
    <x v="1"/>
    <d v="2025-02-21T00:00:00"/>
    <n v="82371.570000000007"/>
    <s v="ICICI Bank Coral Credit Card"/>
    <s v="14TH JULY"/>
    <s v="0000000009655505"/>
    <d v="2026-07-13T00:00:00"/>
  </r>
  <r>
    <s v="4501721671208012"/>
    <s v="Mr ESWARA NARAYANA REDDY NAG"/>
    <n v="0"/>
    <x v="0"/>
    <m/>
    <m/>
    <m/>
    <s v="N"/>
    <x v="18"/>
    <s v="9885522366"/>
    <s v="X"/>
    <n v="-60556.669999999984"/>
    <n v="500000"/>
    <n v="439443.33"/>
    <s v=""/>
    <n v="439443.33"/>
    <n v="384698"/>
    <n v="92260"/>
    <n v="44430"/>
    <x v="0"/>
    <x v="0"/>
    <n v="0"/>
    <n v="44430"/>
    <x v="0"/>
    <s v="NA"/>
    <s v="12111-ICICI BANK COLLECTION PAYMENT"/>
    <s v="SAMBA"/>
    <x v="3"/>
    <x v="3"/>
    <s v="&quot;1/28-2B VIJAYA NAGAR,COLONY&quot;    CUDDAPAH ANP 516003"/>
    <s v="Not Applicable 44/26-8-2-3 VIJAYANAGAR COLONY VIJAYANAGAR COLONY CUDDAPAH ANP 516003"/>
    <s v="CUDDAPAH"/>
    <x v="1"/>
    <x v="48"/>
    <s v="SIVARAU"/>
    <n v="801601134"/>
    <s v="Ssd@9290"/>
    <m/>
    <m/>
    <x v="0"/>
    <s v="SKIP"/>
    <s v="Customer address was not found waiting for tracing details sir // Customer address was not found waiting for tracing details sir"/>
    <x v="22"/>
    <d v="2026-05-13T00:00:00"/>
    <n v="19990"/>
    <s v="ICICI Bank Coral RuPay Credit Card"/>
    <s v="14TH JULY"/>
    <s v="0000000029822952"/>
    <d v="2026-07-13T00:00:00"/>
  </r>
  <r>
    <s v="4748468796613006"/>
    <s v="MR BOYI REDDY"/>
    <n v="0"/>
    <x v="0"/>
    <m/>
    <m/>
    <m/>
    <s v="N"/>
    <x v="18"/>
    <s v="9666350109"/>
    <s v="X"/>
    <n v="3555.1500000000015"/>
    <n v="50000"/>
    <n v="53555.15"/>
    <s v=""/>
    <n v="53555.15"/>
    <n v="49968.54"/>
    <n v="15990"/>
    <n v="8813"/>
    <x v="0"/>
    <x v="0"/>
    <n v="0"/>
    <n v="8813"/>
    <x v="0"/>
    <s v="NA"/>
    <n v="0"/>
    <s v="SAMBA"/>
    <x v="3"/>
    <x v="3"/>
    <s v="&quot;9-48-14 KUMMARI STREET,MAMATA,&quot; &quot;HOSPITAL GANAPATHI,RAO ROAD,&quot; VIJAYAWADA URBAN  KRISHNA ANP 520001"/>
    <s v="Boyi Girish reddy Vijayawada Vijayawada Vijayawada VIJAYAWADA ANP 520001"/>
    <s v="VIJAYAWADA"/>
    <x v="3"/>
    <x v="46"/>
    <s v="SUDHAKAR"/>
    <n v="802913252"/>
    <s v="Ssd@9290"/>
    <m/>
    <m/>
    <x v="1"/>
    <m/>
    <m/>
    <x v="1"/>
    <d v="2026-04-04T00:00:00"/>
    <n v="15900"/>
    <s v="ICICI Bank HPCL Coral VISA Credit Card"/>
    <s v="14TH JULY"/>
    <s v="0000000025443764"/>
    <d v="2026-07-13T00:00:00"/>
  </r>
  <r>
    <s v="4748469632741001"/>
    <s v="MR KANDAVALLI RAMESH"/>
    <n v="0"/>
    <x v="0"/>
    <m/>
    <m/>
    <m/>
    <s v="N"/>
    <x v="18"/>
    <s v="9493789567"/>
    <s v="X"/>
    <n v="13171.050000000003"/>
    <n v="100000"/>
    <n v="113171.05"/>
    <s v=""/>
    <n v="113171.05"/>
    <n v="99897.21"/>
    <n v="35210"/>
    <n v="18470"/>
    <x v="0"/>
    <x v="0"/>
    <n v="0"/>
    <n v="18470"/>
    <x v="0"/>
    <s v="NA"/>
    <n v="0"/>
    <s v="SAMBA"/>
    <x v="0"/>
    <x v="3"/>
    <s v="6-109 SC PETA   KAKINADA ANP 533408"/>
    <s v="GOVERNMENT OF ANDHRAPRADESH GRAMA SACHIVALAYAM A KOTHAPALLI THONDANGI MANDAL EAST GODAVARI THONDANGI MANDAL EAST GODAVARI KAKINADA ANP 533408"/>
    <s v="KAKINADA"/>
    <x v="4"/>
    <x v="47"/>
    <s v="POORNIMA"/>
    <n v="802824019"/>
    <s v="Nihan@2421"/>
    <m/>
    <m/>
    <x v="1"/>
    <m/>
    <m/>
    <x v="1"/>
    <d v="2024-09-05T00:00:00"/>
    <n v="22425"/>
    <s v="ICICI Bank HPCL Super Saver Visa Credit Card"/>
    <s v="14TH JULY"/>
    <s v="0000000028839900"/>
    <d v="2026-07-13T00:00:00"/>
  </r>
  <r>
    <s v="5241932065914014"/>
    <s v="MR. ELIGETI RAMESH"/>
    <n v="0"/>
    <x v="0"/>
    <m/>
    <m/>
    <m/>
    <s v="N"/>
    <x v="18"/>
    <s v="9505805565"/>
    <s v="X"/>
    <n v="21777.349999999977"/>
    <n v="300000"/>
    <n v="321777.34999999998"/>
    <s v=""/>
    <n v="321777.34999999998"/>
    <n v="299109.52"/>
    <n v="96250"/>
    <n v="51755.79"/>
    <x v="1"/>
    <x v="1"/>
    <n v="96250"/>
    <n v="-44494.21"/>
    <x v="25"/>
    <s v="TC"/>
    <s v="30501-BBPS Payment received"/>
    <s v="SAMBA"/>
    <x v="0"/>
    <x v="3"/>
    <s v="&quot;10-62,CHOPPADANDI&quot; KARIMNAGAR  NEAR MAIN ROAD HYDERABAD TNG 505415"/>
    <s v="OTHERS GOVERNMENT KARIMNAGAR RAJOLAPALLY VI GOAAPALLY MDL RAJOLAPALLY VI GOAAPALLY MDL HYDERABAD TNG 505415"/>
    <s v="KARIMNAGAR"/>
    <x v="0"/>
    <x v="8"/>
    <s v="SUMANTH"/>
    <n v="802370852"/>
    <s v="Sgr@9290"/>
    <m/>
    <m/>
    <x v="0"/>
    <m/>
    <m/>
    <x v="1"/>
    <d v="2026-06-08T00:00:00"/>
    <n v="37084.21"/>
    <s v="ICICI Rubyx PLT Credit Card (AMEX)"/>
    <s v="14TH JULY"/>
    <s v="0000000009397478"/>
    <d v="2026-07-13T00:00:00"/>
  </r>
  <r>
    <s v="5241933774352009"/>
    <s v="MR BANDARI SATISH"/>
    <n v="0"/>
    <x v="0"/>
    <m/>
    <m/>
    <m/>
    <s v="O"/>
    <x v="18"/>
    <s v="9010941578"/>
    <s v="X"/>
    <n v="-179203.06"/>
    <n v="320000"/>
    <n v="140796.94"/>
    <s v=""/>
    <n v="140796.94"/>
    <n v="132782.79999999999"/>
    <n v="18020"/>
    <n v="9030"/>
    <x v="0"/>
    <x v="0"/>
    <n v="0"/>
    <n v="9030"/>
    <x v="0"/>
    <s v="NA"/>
    <n v="0"/>
    <s v="SAMBA"/>
    <x v="2"/>
    <x v="3"/>
    <s v="H NO 73 PADMASHALIWADA CHENNUR   NEAR SHIVALAYAM Adilabad TNG 504201"/>
    <s v="GOVT OT TELANGANA EDUCATION DEPARTMENT M P P S OTHUKULAPALLY   Adilabad TNG 504201"/>
    <s v="ADILABAD"/>
    <x v="0"/>
    <x v="24"/>
    <s v="K RAMU"/>
    <n v="802898520"/>
    <s v="Ssd@9290"/>
    <m/>
    <m/>
    <x v="1"/>
    <m/>
    <m/>
    <x v="1"/>
    <d v="2024-06-30T00:00:00"/>
    <n v="5390"/>
    <s v="ICICI Bank MasterCard  Platinum chip Credit Card"/>
    <s v="14TH JULY"/>
    <s v="0000000013097632"/>
    <d v="2026-07-13T00:00:00"/>
  </r>
  <r>
    <s v="5241934119942009"/>
    <s v="MR BODIGE SANDEEP"/>
    <n v="0"/>
    <x v="0"/>
    <m/>
    <m/>
    <m/>
    <s v="N"/>
    <x v="18"/>
    <s v="9652636737"/>
    <s v="X"/>
    <n v="6171.760000000002"/>
    <n v="50000"/>
    <n v="56171.76"/>
    <s v=""/>
    <n v="56171.76"/>
    <n v="49642.65"/>
    <n v="15530"/>
    <n v="5680"/>
    <x v="0"/>
    <x v="0"/>
    <n v="0"/>
    <n v="5680"/>
    <x v="0"/>
    <s v="NA"/>
    <n v="0"/>
    <s v="SAMBA"/>
    <x v="3"/>
    <x v="3"/>
    <s v="&quot;H-NO,1-10 CHOPPADANDI,MANDALAM,.,.,.&quot; - KARIMNAGAR - KARIMNAGAR ANP 505415"/>
    <s v="AXIS BANK LIMITED 16-11-741/B/B PART 283 MOOSARAMBAGH DILSUKHNAGAR DILSUKHNAGAR Rangareddy TNG 500060"/>
    <s v="KARIMNAGAR"/>
    <x v="0"/>
    <x v="8"/>
    <s v="SUMANTH"/>
    <n v="802370852"/>
    <s v="Sgr@9290"/>
    <m/>
    <m/>
    <x v="1"/>
    <m/>
    <m/>
    <x v="1"/>
    <d v="2026-01-21T00:00:00"/>
    <n v="8300"/>
    <s v="ICICI Bank HPCL Super Saver Visa Credit Card"/>
    <s v="14TH JULY"/>
    <s v="0000000012220117"/>
    <d v="2026-07-13T00:00:00"/>
  </r>
  <r>
    <s v="5241935742962017"/>
    <s v="MR PUSALA NARAHARI"/>
    <n v="0"/>
    <x v="0"/>
    <m/>
    <m/>
    <m/>
    <s v="N"/>
    <x v="18"/>
    <s v="9492010030"/>
    <s v="X"/>
    <n v="5675.9700000000012"/>
    <n v="100000"/>
    <n v="105675.97"/>
    <s v=""/>
    <n v="105675.97"/>
    <n v="93803.02"/>
    <n v="23060"/>
    <n v="7090"/>
    <x v="0"/>
    <x v="0"/>
    <n v="0"/>
    <n v="7090"/>
    <x v="0"/>
    <s v="NA"/>
    <n v="0"/>
    <s v="SAMBA"/>
    <x v="2"/>
    <x v="3"/>
    <s v="HNO 4-163 PUSALA THANDASIKONDA MANDALGADKOLE  NEAR WATER TANK NIZAMABAD TNG 503165"/>
    <s v="GOVERNMENT EDUCATIONAL DEPARTMENT GOVT OF TELANGANA GADKOL MANDAL MANDAL ADILABAD TNG 504308"/>
    <s v="NIZAMABAD"/>
    <x v="0"/>
    <x v="38"/>
    <s v="PRASHANTH"/>
    <n v="802551967"/>
    <s v="Ssde@9290"/>
    <m/>
    <m/>
    <x v="1"/>
    <m/>
    <m/>
    <x v="1"/>
    <d v="2024-11-13T00:00:00"/>
    <n v="1000"/>
    <s v="ICICI Bank HPCL Super Saver Master Credit Card"/>
    <s v="14TH JULY"/>
    <s v="0000000026520103"/>
    <d v="2026-07-13T00:00:00"/>
  </r>
  <r>
    <s v="5241935800776002"/>
    <s v="MR VISLAVATH KRUSHNA"/>
    <n v="0"/>
    <x v="0"/>
    <m/>
    <m/>
    <m/>
    <s v="N"/>
    <x v="18"/>
    <s v="9949661961"/>
    <s v="X"/>
    <n v="24365.739999999991"/>
    <n v="200000"/>
    <n v="224365.74"/>
    <n v="25067.8"/>
    <n v="199297.94"/>
    <n v="174052.99"/>
    <n v="52090"/>
    <n v="31110"/>
    <x v="0"/>
    <x v="0"/>
    <n v="0"/>
    <n v="31110"/>
    <x v="0"/>
    <s v="NA"/>
    <n v="0"/>
    <s v="SAMBA"/>
    <x v="3"/>
    <x v="3"/>
    <s v="17-15-TE0010 TEACHERS COLONY NAGARKURNOOL  NEAR BUS STOP WANAPARTHY TNG 509209"/>
    <s v="STATE BANK OF INDIA FIRST FLOOR BUILDING 1 NAGARKURNOOL   WANAPARTHY TNG 509209"/>
    <s v="WANAPARTHY"/>
    <x v="0"/>
    <x v="19"/>
    <s v="SAMBA"/>
    <n v="801772794"/>
    <s v="Ssde@9876"/>
    <m/>
    <m/>
    <x v="1"/>
    <m/>
    <m/>
    <x v="1"/>
    <d v="2024-08-04T00:00:00"/>
    <n v="20000"/>
    <s v="ICICI Bank HPCL Super Saver Master Credit Card"/>
    <s v="14TH JULY"/>
    <s v="0000000030721464"/>
    <d v="2026-07-13T00:00:00"/>
  </r>
  <r>
    <s v="6528680217785004"/>
    <s v="MR BEEMIREDDY SUDHAKARREDDY"/>
    <n v="0"/>
    <x v="0"/>
    <m/>
    <m/>
    <m/>
    <s v="N"/>
    <x v="18"/>
    <s v="9573360772"/>
    <s v="X"/>
    <n v="-359976.08999999997"/>
    <n v="420000"/>
    <n v="60023.91"/>
    <n v="13419.99"/>
    <n v="46603.92"/>
    <n v="42303.41"/>
    <n v="14110"/>
    <n v="5510"/>
    <x v="0"/>
    <x v="0"/>
    <n v="0"/>
    <n v="5510"/>
    <x v="0"/>
    <s v="NA"/>
    <n v="0"/>
    <s v="SAMBA"/>
    <x v="2"/>
    <x v="3"/>
    <s v="D.NO 2 /198  1 5 JAYANAGAR COLONY TADIPATRI ANANTHAPUR BESIDE VIJAYALAKSHMI THEATRE ANANTAPUR ANP 515411"/>
    <s v="GOVERNMENT OF ANDHRAPRADESH CHAPPIDI VENGANNAPALLI PUTLUR VENGANNAPALLI PUTLUR ANANTAPUR ANP 515414"/>
    <s v="ANANTAPUR"/>
    <x v="1"/>
    <x v="12"/>
    <s v="POORNIMA"/>
    <n v="802824019"/>
    <s v="Nihan@2421"/>
    <m/>
    <m/>
    <x v="0"/>
    <s v="LIVE"/>
    <s v="Customer PTP on 20th"/>
    <x v="22"/>
    <s v=""/>
    <n v="0"/>
    <s v="ICICI Bank Coral RuPay Credit Card"/>
    <s v="14TH JULY"/>
    <s v="0000000028073543"/>
    <d v="2026-07-13T00:00:00"/>
  </r>
  <r>
    <s v="6528690066679018"/>
    <s v="MS ITHA SOWMYA"/>
    <n v="0"/>
    <x v="0"/>
    <m/>
    <m/>
    <m/>
    <s v="N"/>
    <x v="18"/>
    <s v="9014726487"/>
    <s v="X"/>
    <n v="22149.859999999986"/>
    <n v="300000"/>
    <n v="322149.86"/>
    <n v="13870.45"/>
    <n v="308279.40999999997"/>
    <n v="281347.49"/>
    <n v="78320"/>
    <n v="29280"/>
    <x v="0"/>
    <x v="0"/>
    <n v="0"/>
    <n v="29280"/>
    <x v="0"/>
    <s v="NA"/>
    <n v="0"/>
    <s v="SAMBA"/>
    <x v="2"/>
    <x v="3"/>
    <s v="&quot;HNO 13/485A, L B S NAGAR&quot; CHINTAKUNTA &quot;PRAKASAM, MARKAPUR&quot; NEAR RAMALAYAM TEMPLE NANDYAL ANP 523329"/>
    <s v="CAPGEMINI TECHNOLOGY SERVICES INDIA LIMI &quot;IT PARK, 1,115/32 AND 35,&quot; &quot;NANAKRAMGUDA, GACHIBOWLI&quot; &quot;NANAKRAMGUDA, GACHIBOWLI&quot; HYDERABAD TNG 500032"/>
    <s v="NANDYAL"/>
    <x v="5"/>
    <x v="37"/>
    <s v="DURGA"/>
    <n v="801723195"/>
    <s v="Sgr@9290"/>
    <m/>
    <m/>
    <x v="1"/>
    <m/>
    <m/>
    <x v="1"/>
    <d v="2026-05-15T00:00:00"/>
    <n v="23860"/>
    <s v="ICICI Bank HPCL Super Saver RuPay Credit Card"/>
    <s v="14TH JULY"/>
    <s v="0000000031238434"/>
    <d v="2026-07-13T00:00:00"/>
  </r>
  <r>
    <s v="4035620585120005"/>
    <s v="MR KALYANKAR RAVIKUMAR"/>
    <n v="0"/>
    <x v="0"/>
    <m/>
    <m/>
    <m/>
    <s v="N"/>
    <x v="14"/>
    <s v="9550885609"/>
    <s v="X"/>
    <n v="-8073.7799999999988"/>
    <n v="100000"/>
    <n v="91926.22"/>
    <s v=""/>
    <n v="91926.22"/>
    <n v="81328.160000000003"/>
    <n v="15700"/>
    <n v="6330"/>
    <x v="0"/>
    <x v="0"/>
    <n v="0"/>
    <n v="6330"/>
    <x v="0"/>
    <s v="NA"/>
    <n v="0"/>
    <s v="SAMBA"/>
    <x v="13"/>
    <x v="3"/>
    <s v="&quot;4 72,KURVAGADDA PALLY,ALWANPALLE GANGAPU&quot; &quot;R, MAHABUBNAGAR,JADCHERLA&quot;  NEAR T SHIRT AHOP JEDCHERLA TNG 509301"/>
    <s v="VISION R PHOTOGRAPHY RNGRAO THOTA   JEDCHERLA TNG 509301"/>
    <s v="JEDCHERLA"/>
    <x v="0"/>
    <x v="19"/>
    <s v="SAMBA"/>
    <n v="801772794"/>
    <s v="Ssde@9876"/>
    <m/>
    <m/>
    <x v="1"/>
    <m/>
    <m/>
    <x v="1"/>
    <d v="2026-05-18T00:00:00"/>
    <n v="5850"/>
    <s v="ICICI Rubyx Master PLT Chip Card"/>
    <s v="14TH JULY"/>
    <s v="0000000022969042"/>
    <d v="2026-07-09T00:00:00"/>
  </r>
  <r>
    <s v="4073520273102005"/>
    <s v="MR PALWANCHA BHANU PRASAD"/>
    <n v="0"/>
    <x v="0"/>
    <m/>
    <m/>
    <m/>
    <s v="N"/>
    <x v="14"/>
    <s v="9963222857"/>
    <s v="X"/>
    <n v="7074.8600000000006"/>
    <n v="90000"/>
    <n v="97074.86"/>
    <s v=""/>
    <n v="97074.86"/>
    <n v="84529.5"/>
    <n v="27450"/>
    <n v="12540"/>
    <x v="0"/>
    <x v="0"/>
    <n v="0"/>
    <n v="12540"/>
    <x v="0"/>
    <s v="NA"/>
    <n v="0"/>
    <s v="SAMBA"/>
    <x v="13"/>
    <x v="3"/>
    <s v="4 121 GANGAMMA TEMPLE STREET GOLLAPUDI  VIJAYAWADA ANP 521225"/>
    <s v="B NET 4 121 GANGANAMMA TEMPLE STREET GOLLAPUDI GANGANAMMA TEMPLE STREET GOLLAPUDI VIJAYAWADA ANP 521225"/>
    <s v="VIJAYAWADA"/>
    <x v="3"/>
    <x v="46"/>
    <s v="SUDHAKAR"/>
    <n v="802913252"/>
    <s v="Ssd@9290"/>
    <m/>
    <m/>
    <x v="1"/>
    <m/>
    <m/>
    <x v="1"/>
    <d v="2025-01-26T00:00:00"/>
    <n v="24000"/>
    <s v="MakeMyTrip ICICI Bank Signature Credit Card"/>
    <s v="14TH JULY"/>
    <s v="0000000026040162"/>
    <d v="2026-07-09T00:00:00"/>
  </r>
  <r>
    <s v="4073520296190003"/>
    <s v="MR CHALLA CHAKRADHAR"/>
    <n v="0"/>
    <x v="0"/>
    <m/>
    <m/>
    <m/>
    <s v="N"/>
    <x v="14"/>
    <s v="9100584536"/>
    <s v="X"/>
    <n v="7228.2400000000052"/>
    <n v="120000"/>
    <n v="127228.24"/>
    <s v=""/>
    <n v="127228.24"/>
    <n v="116907.77"/>
    <n v="31290"/>
    <n v="19020"/>
    <x v="0"/>
    <x v="0"/>
    <n v="0"/>
    <n v="19020"/>
    <x v="0"/>
    <s v="NA"/>
    <n v="0"/>
    <s v="SAMBA"/>
    <x v="0"/>
    <x v="3"/>
    <s v="HNO 7-13 KODIMIAL MANDAL POCHAMMA VEEDHI KARIMNAGAR KARIMNAGAR TNG 505501"/>
    <s v="IIFL FINANCE LIMITED &quot;H.NO 3/1/871,HIMABINDU COMPLEX, CVRN ROA&quot; KARIMNAGAR KARIMNAGAR ADILABAD TNG 505001"/>
    <s v="KARIMNAGAR"/>
    <x v="0"/>
    <x v="8"/>
    <s v="SUMANTH"/>
    <n v="802370852"/>
    <s v="Sgr@9290"/>
    <m/>
    <m/>
    <x v="1"/>
    <m/>
    <m/>
    <x v="1"/>
    <d v="2025-01-08T00:00:00"/>
    <n v="29000"/>
    <s v="MakeMyTrip ICICI Bank Signature Credit Card"/>
    <s v="14TH JULY"/>
    <s v="0000000027070766"/>
    <d v="2026-07-09T00:00:00"/>
  </r>
  <r>
    <s v="4073520361776009"/>
    <s v="MR BUDDI MAHESH"/>
    <n v="0"/>
    <x v="0"/>
    <m/>
    <m/>
    <m/>
    <s v="N"/>
    <x v="14"/>
    <s v="9010391329"/>
    <s v="X"/>
    <n v="166415.70000000001"/>
    <n v="210000"/>
    <n v="376415.7"/>
    <n v="154211.71"/>
    <n v="222203.99"/>
    <n v="207336.89"/>
    <n v="55290"/>
    <n v="15970"/>
    <x v="0"/>
    <x v="0"/>
    <n v="10000"/>
    <n v="5970"/>
    <x v="0"/>
    <s v="NA"/>
    <s v="30501-BBPS Payment received"/>
    <s v="SAMBA"/>
    <x v="3"/>
    <x v="3"/>
    <s v="6-44/2 KHAMMAM VENKATA SUDHA NAGAR WARANGAL CROSS ROAD KHAMMAM TNG 507003"/>
    <s v="MUTHOOT FINCORP LTD GANDHICHOWK   KHAMMAM TNG 507003"/>
    <s v="KHAMMAM"/>
    <x v="0"/>
    <x v="2"/>
    <s v="CHAITANYA"/>
    <n v="802555024"/>
    <s v="Ssde@9290"/>
    <m/>
    <m/>
    <x v="0"/>
    <s v="LIVE"/>
    <s v="I have Visited customer work address customer is in live Customer paid 10,000/- remaining amount given ptp on Tommorow"/>
    <x v="23"/>
    <d v="2024-08-04T00:00:00"/>
    <n v="60000"/>
    <s v="MakeMyTrip ICICI Bank Signature Credit Card"/>
    <s v="14TH JULY"/>
    <s v="0000000028324469"/>
    <d v="2026-07-09T00:00:00"/>
  </r>
  <r>
    <s v="4073520389136004"/>
    <s v="MR SHAIK IRFAN"/>
    <n v="0"/>
    <x v="0"/>
    <m/>
    <m/>
    <m/>
    <s v="N"/>
    <x v="14"/>
    <s v="7036931785"/>
    <s v="X"/>
    <n v="-24229.839999999997"/>
    <n v="180000"/>
    <n v="155770.16"/>
    <n v="113194.64"/>
    <n v="42575.519999999997"/>
    <n v="39003.08"/>
    <n v="42575.519999999997"/>
    <n v="20096.150000000001"/>
    <x v="0"/>
    <x v="0"/>
    <n v="0"/>
    <n v="20096.150000000001"/>
    <x v="0"/>
    <s v="NA"/>
    <n v="0"/>
    <s v="SAMBA"/>
    <x v="3"/>
    <x v="3"/>
    <s v="6-2-651/A HUSSAINIPURA  KARIMNAGAR ADILABAD TNG 505001"/>
    <s v="TEAMLEASE SERVICES LTD &quot;8/5,403/3&quot; RAGHAVENDRA NAGAR RAGHAVENDRA NAGAR ADILABAD TNG 505001"/>
    <s v="KARIMNAGAR"/>
    <x v="0"/>
    <x v="8"/>
    <s v="SUMANTH"/>
    <n v="802370852"/>
    <s v="Sgr@9290"/>
    <m/>
    <m/>
    <x v="0"/>
    <s v="SKIP"/>
    <s v="Customer shifted to another address and calls no answering need kyc"/>
    <x v="25"/>
    <d v="2024-07-14T00:00:00"/>
    <n v="18800"/>
    <s v="MakeMyTrip ICICI Bank Signature Credit Card"/>
    <s v="14TH JULY"/>
    <s v="0000000028920612"/>
    <d v="2026-07-09T00:00:00"/>
  </r>
  <r>
    <s v="4375518366697001"/>
    <s v="MR SAVARAPU RAVI KUMAR"/>
    <n v="0"/>
    <x v="0"/>
    <m/>
    <m/>
    <m/>
    <s v="N"/>
    <x v="14"/>
    <s v="9676009168"/>
    <s v="X"/>
    <n v="-147689.4"/>
    <n v="250000"/>
    <n v="102310.6"/>
    <s v=""/>
    <n v="102310.6"/>
    <n v="86295.97"/>
    <n v="39120"/>
    <n v="21800"/>
    <x v="0"/>
    <x v="0"/>
    <n v="0"/>
    <n v="21800"/>
    <x v="0"/>
    <s v="NA"/>
    <n v="0"/>
    <s v="SAMBA"/>
    <x v="13"/>
    <x v="3"/>
    <s v="&quot;4-92,,&quot; Indira colony Siripalli &quot;Ainavilli , Mukteswaram&quot; EAST GODAVARI ANP 533211"/>
    <s v="UBIC EXPORTS PVT LTD BOSCH HEMA PLAZA PEDDA WALTAIR   VISHAKAPATNAM ANP 530017"/>
    <s v="AMALAPURAM"/>
    <x v="4"/>
    <x v="28"/>
    <s v="B NAGABABU"/>
    <n v="801448854"/>
    <s v="Sgr@9290"/>
    <m/>
    <m/>
    <x v="0"/>
    <s v="LIVE"/>
    <s v="USTOMER RESPONDED TO HIS MOTHER NUMBER.GIVEN PTP TO 20TH SIR"/>
    <x v="25"/>
    <d v="2024-12-10T00:00:00"/>
    <n v="1420"/>
    <s v="MakeMyTrip ICICI Bank Signature Credit Card"/>
    <s v="14TH JULY"/>
    <s v="0000000013336551"/>
    <d v="2026-07-09T00:00:00"/>
  </r>
  <r>
    <s v="4375518621220003"/>
    <s v="MR GOLLA CHINNA RAYUDU"/>
    <n v="0"/>
    <x v="2"/>
    <n v="1"/>
    <m/>
    <m/>
    <s v="N"/>
    <x v="14"/>
    <s v="9966733748"/>
    <s v="X"/>
    <n v="20837.299999999988"/>
    <n v="160000"/>
    <n v="180837.3"/>
    <s v=""/>
    <n v="180837.3"/>
    <n v="158033.45000000001"/>
    <n v="57460"/>
    <n v="32680"/>
    <x v="0"/>
    <x v="0"/>
    <n v="0"/>
    <n v="32680"/>
    <x v="0"/>
    <s v="NA"/>
    <n v="0"/>
    <s v="SAMBA"/>
    <x v="10"/>
    <x v="3"/>
    <s v="S O GOLLA KOMALA KURUMURTHY 42 174 1 VENGAL RAO COLONY WARD 21 NR RDO OFFICE BHARATH PETROL BUNK P S WANAPARTHY ANP 509103"/>
    <s v="GOVERNENT OF TELANGANA GOVT DEGREE COLLEGE FOR WOMEN NANDHI HILLS WANAPARTHY HILLS WANAPARTHY WANAPARTHY ANP 509103"/>
    <s v="WANAPARTHY"/>
    <x v="0"/>
    <x v="19"/>
    <s v="SAMBA"/>
    <n v="801772794"/>
    <s v="Ssde@9876"/>
    <m/>
    <m/>
    <x v="1"/>
    <m/>
    <m/>
    <x v="1"/>
    <d v="2025-07-26T00:00:00"/>
    <n v="151200"/>
    <s v="MakeMyTrip ICICI Bank Platinum Credit Card"/>
    <s v="14TH JULY"/>
    <s v="0000000015258878"/>
    <d v="2026-07-09T00:00:00"/>
  </r>
  <r>
    <s v="4748460931314004"/>
    <s v="MR J SUNITHA"/>
    <n v="0"/>
    <x v="0"/>
    <m/>
    <m/>
    <m/>
    <s v="N"/>
    <x v="14"/>
    <s v="7675830353"/>
    <s v="X"/>
    <n v="3066.8899999999994"/>
    <n v="100000"/>
    <n v="103066.89"/>
    <n v="68443.42"/>
    <n v="34623.47"/>
    <n v="27398.31"/>
    <n v="23790"/>
    <n v="11350"/>
    <x v="1"/>
    <x v="1"/>
    <n v="23790"/>
    <n v="-12440"/>
    <x v="27"/>
    <s v="TC"/>
    <s v="30501-BBPS Payment received"/>
    <s v="SAMBA"/>
    <x v="3"/>
    <x v="3"/>
    <s v="1-114A AUTONAGAR ROAD PARAMAIAH KUNTA   BESIDE KALIKAMMA TEMPLE GUNTUR GUNTUR ANP 522001"/>
    <s v="INDIAN BANK ZONAL OFFICE SECOND FLOOR J K B COLLEGE ROAD ROAD GUNTUR ANP 522006"/>
    <s v="GUNTUR"/>
    <x v="5"/>
    <x v="43"/>
    <s v="INAMUL"/>
    <n v="802823175"/>
    <s v="Sgr@9290"/>
    <m/>
    <m/>
    <x v="0"/>
    <s v="LIVE"/>
    <s v="His family members spoke to already paid  24580/- norm amount_x000a_   Check it once sir"/>
    <x v="25"/>
    <d v="2024-09-04T00:00:00"/>
    <n v="12780"/>
    <s v="MakeMyTrip ICICI Bank Platinum Credit Card"/>
    <s v="14TH JULY"/>
    <s v="0000000019131516"/>
    <d v="2026-07-09T00:00:00"/>
  </r>
  <r>
    <s v="4748461040835004"/>
    <s v="MR AEKU SURESH KUMAR"/>
    <n v="0"/>
    <x v="0"/>
    <m/>
    <m/>
    <m/>
    <s v="N"/>
    <x v="14"/>
    <s v="8686863918"/>
    <s v="X"/>
    <n v="359.52999999999884"/>
    <n v="60000"/>
    <n v="60359.53"/>
    <s v=""/>
    <n v="60359.53"/>
    <n v="53406.63"/>
    <n v="10300"/>
    <n v="3240"/>
    <x v="0"/>
    <x v="0"/>
    <n v="0"/>
    <n v="3240"/>
    <x v="0"/>
    <s v="NA"/>
    <n v="0"/>
    <s v="SAMBA"/>
    <x v="13"/>
    <x v="3"/>
    <s v="SHARADHA RESIDENCY SHANTINAGAR SPENCERS LINE &quot;ADALATH , HANAMKONDA&quot; WARANGAL TNG 506001"/>
    <s v="GOVT OF TELANGANA NEHRU CENTER MAHABUBABAD MAHABUBABAD BHEEMARAM TNG 506101"/>
    <s v="WARANGAL"/>
    <x v="0"/>
    <x v="0"/>
    <s v="AKHIL"/>
    <n v="801772792"/>
    <s v="Sgr@9290"/>
    <m/>
    <m/>
    <x v="1"/>
    <m/>
    <m/>
    <x v="1"/>
    <d v="2024-07-09T00:00:00"/>
    <n v="890"/>
    <s v="MakeMyTrip ICICI Bank Platinum Credit Card"/>
    <s v="14TH JULY"/>
    <s v="0000000020356916"/>
    <d v="2026-07-09T00:00:00"/>
  </r>
  <r>
    <s v="4748461083187016"/>
    <s v="MR MUDIYALA SAMPATH REDDY"/>
    <n v="0"/>
    <x v="0"/>
    <m/>
    <m/>
    <m/>
    <s v="N"/>
    <x v="14"/>
    <s v="9966696716"/>
    <s v="X"/>
    <n v="-164607.60999999999"/>
    <n v="290000"/>
    <n v="125392.39"/>
    <s v=""/>
    <n v="125392.39"/>
    <n v="110255"/>
    <n v="25890"/>
    <n v="13820"/>
    <x v="0"/>
    <x v="0"/>
    <n v="0"/>
    <n v="13820"/>
    <x v="0"/>
    <s v="NA"/>
    <n v="0"/>
    <s v="SAMBA"/>
    <x v="3"/>
    <x v="3"/>
    <s v="3-499/2/2 NTR COLONY  GUNTUR GUNTUR ANP 522509"/>
    <s v="DCB BANK LTD 422 RAILWAY STATION ROAD NEAR GRAMA SACHIVALAYAM NEAR GRAMA SACHIVALAYAM GUNTUR ANP 522005"/>
    <s v="GUNTUR"/>
    <x v="5"/>
    <x v="43"/>
    <s v="INAMUL"/>
    <n v="802823175"/>
    <s v="Sgr@9290"/>
    <m/>
    <m/>
    <x v="1"/>
    <m/>
    <m/>
    <x v="1"/>
    <d v="2024-09-05T00:00:00"/>
    <n v="130"/>
    <s v="MakeMyTrip ICICI Bank Platinum Credit Card"/>
    <s v="14TH JULY"/>
    <s v="0000000020937052"/>
    <d v="2026-07-09T00:00:00"/>
  </r>
  <r>
    <s v="4748461153472009"/>
    <s v="MR GOLLENA CHANDU"/>
    <n v="0"/>
    <x v="0"/>
    <m/>
    <m/>
    <m/>
    <s v="N"/>
    <x v="14"/>
    <s v="8074355934"/>
    <s v="X"/>
    <n v="3942.489999999998"/>
    <n v="50000"/>
    <n v="53942.49"/>
    <n v="41429"/>
    <n v="12513.49"/>
    <n v="7571"/>
    <n v="12513.49"/>
    <n v="6686"/>
    <x v="0"/>
    <x v="0"/>
    <n v="0"/>
    <n v="6686"/>
    <x v="0"/>
    <s v="NA"/>
    <n v="0"/>
    <s v="SAMBA"/>
    <x v="13"/>
    <x v="3"/>
    <s v="H NO 1-63 HASANPARTHY MANDAL  WARANGAL WARANGAL TNG 506015"/>
    <s v="MUTHOOT FINCORP LTD PARKAL   WARANGAL TNG 506164"/>
    <s v="WARANGAL"/>
    <x v="0"/>
    <x v="0"/>
    <s v="AKHIL"/>
    <n v="801772792"/>
    <s v="Sgr@9290"/>
    <m/>
    <m/>
    <x v="1"/>
    <m/>
    <m/>
    <x v="1"/>
    <d v="2025-06-20T00:00:00"/>
    <n v="4000"/>
    <s v="MakeMyTrip ICICI Bank Platinum Credit Card"/>
    <s v="14TH JULY"/>
    <s v="0000000021834065"/>
    <d v="2026-07-09T00:00:00"/>
  </r>
  <r>
    <s v="4748461210715002"/>
    <s v="MR SHAIK SAMEEMULLA"/>
    <n v="0"/>
    <x v="0"/>
    <m/>
    <m/>
    <m/>
    <s v="N"/>
    <x v="14"/>
    <s v="7893613628"/>
    <s v="X"/>
    <n v="-38706.959999999999"/>
    <n v="100000"/>
    <n v="61293.04"/>
    <n v="17465.3"/>
    <n v="43827.74"/>
    <n v="39548.92"/>
    <n v="31430"/>
    <n v="14150"/>
    <x v="1"/>
    <x v="1"/>
    <n v="0"/>
    <n v="14150"/>
    <x v="0"/>
    <s v="NA"/>
    <s v="30501-BBPS Payment received"/>
    <s v="SAMBA"/>
    <x v="13"/>
    <x v="3"/>
    <s v="&quot;3-42,RAVELA,RAVELA&quot; RAVELA  NEAR SUPER MARKET GUNTUR ANP 522018"/>
    <s v="WIPRO LIMITED ALSO WIPRO TECHNOLOGIES A SEZ UNIT 1 AND 2 DIVYA SREE WHITE FIELD DIVYA SREE WHITE FIELD BANGALORE KAR 560037"/>
    <s v="GUNTUR"/>
    <x v="5"/>
    <x v="43"/>
    <s v="INAMUL"/>
    <n v="802823175"/>
    <s v="Sgr@9290"/>
    <m/>
    <m/>
    <x v="0"/>
    <s v="LIVE"/>
    <s v=" Cmr given working address visited cmr spoke to already paid norm amount 31430/- check it once sir"/>
    <x v="25"/>
    <d v="2026-02-03T00:00:00"/>
    <n v="12672.82"/>
    <s v="MakeMyTrip ICICI Bank Platinum Credit Card"/>
    <s v="14TH JULY"/>
    <s v="0000000022464226"/>
    <d v="2026-07-09T00:00:00"/>
  </r>
  <r>
    <s v="4748461255270004"/>
    <s v="MR PRODDUTURI DINESH KUMAR"/>
    <n v="0"/>
    <x v="0"/>
    <m/>
    <m/>
    <m/>
    <s v="N"/>
    <x v="14"/>
    <s v="9890489476"/>
    <s v="X"/>
    <n v="6880.2599999999948"/>
    <n v="60000"/>
    <n v="66880.259999999995"/>
    <s v=""/>
    <n v="66880.259999999995"/>
    <n v="59931.57"/>
    <n v="17220"/>
    <n v="5920"/>
    <x v="1"/>
    <x v="2"/>
    <n v="8500"/>
    <n v="-2580"/>
    <x v="27"/>
    <s v="FE"/>
    <s v="30501-BBPS Payment received"/>
    <s v="SAMBA"/>
    <x v="13"/>
    <x v="3"/>
    <s v="HI 11-1-1945/B/303 BHARGAVI RESIDENCY GANGASTHAN PHASE-1 MUBARAK NAGAR  NIZAMABAD NIZAMABAD TNG 503003"/>
    <s v="UNION BANK &quot;UNION BANK OF INDIA,DWARAKANAGAR&quot; &quot;HYDERABAD ROAD,NIZAMABAD&quot; &quot;HYDERABAD ROAD,NIZAMABAD&quot; NIZAMABAD TNG 503001"/>
    <s v="NIZAMABAD"/>
    <x v="0"/>
    <x v="9"/>
    <s v="D RAMU"/>
    <n v="802663344"/>
    <s v="Sgr@9290"/>
    <m/>
    <m/>
    <x v="0"/>
    <s v="LIVE"/>
    <s v="Feedback customer paymet twommro"/>
    <x v="22"/>
    <d v="2024-12-07T00:00:00"/>
    <n v="3040"/>
    <s v="MakeMyTrip ICICI Bank Platinum Credit Card"/>
    <s v="14TH JULY"/>
    <s v="0000000023026481"/>
    <d v="2026-07-09T00:00:00"/>
  </r>
  <r>
    <s v="4748461268971002"/>
    <s v="MR DEVANABOYINA MALLAIAH"/>
    <n v="0"/>
    <x v="0"/>
    <m/>
    <m/>
    <m/>
    <s v="N"/>
    <x v="14"/>
    <s v="7386802332"/>
    <s v="X"/>
    <n v="45364.380000000005"/>
    <n v="200000"/>
    <n v="245364.38"/>
    <n v="187341.79"/>
    <n v="58022.59"/>
    <n v="46297.81"/>
    <n v="48900"/>
    <n v="24559.94"/>
    <x v="1"/>
    <x v="2"/>
    <n v="25000"/>
    <n v="-440.06000000000131"/>
    <x v="25"/>
    <s v="TC"/>
    <n v="0"/>
    <s v="SAMBA"/>
    <x v="3"/>
    <x v="3"/>
    <s v="&quot;H NO 3-2-89, BESTHA BAJAR PATHA BAJAR&quot; MAHABUBABAD WARANGAL DISTRICT NERA SHIVALAYAM TEMPLE BHEEMARAM TNG 506101"/>
    <s v="GOVT OF TELANGANA REVENUE DEPARTMENT Z P P S JAMANDLAPALLY MAHABUBABAD MAHABUBABAD BHEEMARAM TNG 506101"/>
    <s v="WARANGAL"/>
    <x v="0"/>
    <x v="2"/>
    <s v="CHAITANYA"/>
    <n v="802555024"/>
    <s v="Ssde@9290"/>
    <m/>
    <m/>
    <x v="0"/>
    <m/>
    <m/>
    <x v="1"/>
    <d v="2024-11-06T00:00:00"/>
    <n v="2500"/>
    <s v="MakeMyTrip ICICI Bank Platinum Credit Card"/>
    <s v="14TH JULY"/>
    <s v="0000000023178148"/>
    <d v="2026-07-09T00:00:00"/>
  </r>
  <r>
    <s v="4748461427159002"/>
    <s v="MR PALLAPOTHU BALA SUBRAMANYAM"/>
    <n v="0"/>
    <x v="0"/>
    <m/>
    <m/>
    <m/>
    <s v="N"/>
    <x v="14"/>
    <s v="9182393519"/>
    <s v="X"/>
    <n v="-19087.97"/>
    <n v="100000"/>
    <n v="80912.03"/>
    <s v=""/>
    <n v="80912.03"/>
    <n v="70966.97"/>
    <n v="14170"/>
    <n v="5780"/>
    <x v="1"/>
    <x v="1"/>
    <n v="14170"/>
    <n v="-8390"/>
    <x v="27"/>
    <s v="TC"/>
    <s v="12124 - UPI Payment Received"/>
    <s v="SAMBA"/>
    <x v="13"/>
    <x v="3"/>
    <s v="10-123/1 AZAD ROAD  KHAMMAM KHAMMAM TNG 507203"/>
    <s v="TATA CONSULTANCY SERVICES LIMITED &quot;BLOCKS SDB1  SDB2, SY. NO. 255PART IBR&quot; &quot;IBRAHIPATNAM MANDAL,ADIBATLA&quot; &quot;IBRAHIPATNAM MANDAL,ADIBATLA&quot; RANGAREDDY TNG 501510"/>
    <s v="KHAMMAM"/>
    <x v="0"/>
    <x v="29"/>
    <s v="SUDHAKAR"/>
    <n v="802913252"/>
    <s v="Ssd@9290"/>
    <m/>
    <m/>
    <x v="0"/>
    <s v="LIVE"/>
    <s v="VCostumer out of station calls also not responding sir"/>
    <x v="22"/>
    <d v="2026-05-20T00:00:00"/>
    <n v="13251"/>
    <s v="MakeMyTrip ICICI Bank Platinum Credit Card"/>
    <s v="14TH JULY"/>
    <s v="0000000026937221"/>
    <d v="2026-07-09T00:00:00"/>
  </r>
  <r>
    <s v="4748461452528006"/>
    <s v="MR PENDAM SHIVA TEJA"/>
    <n v="0"/>
    <x v="0"/>
    <m/>
    <m/>
    <m/>
    <s v="N"/>
    <x v="14"/>
    <s v="9100686226"/>
    <s v="X"/>
    <n v="4107.68"/>
    <n v="50000"/>
    <n v="54107.68"/>
    <s v=""/>
    <n v="54107.68"/>
    <n v="49666.91"/>
    <n v="10420"/>
    <n v="2260"/>
    <x v="0"/>
    <x v="0"/>
    <n v="0"/>
    <n v="2260"/>
    <x v="0"/>
    <s v="NA"/>
    <n v="0"/>
    <s v="SAMBA"/>
    <x v="13"/>
    <x v="3"/>
    <s v="11-25-119/1 KOTHAWADA  WARANGAL WARANGAL TNG 506002"/>
    <s v="PROMANTRA SYNERGY SOLUTIONS LTD NO 6-3-698/A  PAVANI PLAZA  2ND FLOOR PA NJAGUTTA  HYDERABAD OPPOSITE TO JOYALLUK NJAGUTTA  HYDERABAD OPPOSITE TO JOYALLUK HYDERABAD TNG 500082"/>
    <s v="WARANGAL"/>
    <x v="0"/>
    <x v="0"/>
    <s v="AKHIL"/>
    <n v="801772792"/>
    <s v="Sgr@9290"/>
    <m/>
    <m/>
    <x v="1"/>
    <m/>
    <m/>
    <x v="1"/>
    <d v="2024-04-29T00:00:00"/>
    <n v="3000"/>
    <s v="MakeMyTrip ICICI Bank Platinum Credit Card"/>
    <s v="14TH JULY"/>
    <s v="0000000027824438"/>
    <d v="2026-07-09T00:00:00"/>
  </r>
  <r>
    <s v="4748461483354000"/>
    <s v="MR AKULA NAVEEN KUMAR"/>
    <n v="0"/>
    <x v="0"/>
    <m/>
    <m/>
    <m/>
    <s v="N"/>
    <x v="14"/>
    <s v="9603227327"/>
    <s v="X"/>
    <n v="12540.080000000002"/>
    <n v="100000"/>
    <n v="112540.08"/>
    <s v=""/>
    <n v="112540.08"/>
    <n v="98397.91"/>
    <n v="35350"/>
    <n v="18840"/>
    <x v="0"/>
    <x v="0"/>
    <n v="0"/>
    <n v="18840"/>
    <x v="0"/>
    <s v="NA"/>
    <s v="30501-BBPS Payment received"/>
    <s v="SAMBA"/>
    <x v="11"/>
    <x v="3"/>
    <s v="HNO 6-237/A GUDIPADU ROAD AYYAGARPETA SATHUPALLE KHAMMAM ANDHARA PRADESH NEAR GOVT HIGH SCHOOL KHAMMAM TNG 507303"/>
    <s v="QUESS CORP LIMITED 3/3/2 AMBLIPURA BELLANDUR GATE SARJAPUR RD BANGALORE GATE SARJAPUR RD BANGALORE BANGALORE KAR 560103"/>
    <s v="KHAMMAM"/>
    <x v="0"/>
    <x v="29"/>
    <s v="SUDHAKAR"/>
    <n v="802913252"/>
    <s v="Ssd@9290"/>
    <m/>
    <m/>
    <x v="1"/>
    <m/>
    <m/>
    <x v="1"/>
    <d v="2024-07-10T00:00:00"/>
    <n v="21471"/>
    <s v="MakeMyTrip ICICI Bank Platinum Credit Card"/>
    <s v="14TH JULY"/>
    <s v="0000000029154946"/>
    <d v="2026-07-09T00:00:00"/>
  </r>
  <r>
    <s v="4748461502042008"/>
    <s v="MR BANAGANI NARAYANA"/>
    <n v="0"/>
    <x v="0"/>
    <m/>
    <m/>
    <m/>
    <s v="N"/>
    <x v="14"/>
    <s v="9490593224"/>
    <s v="X"/>
    <n v="2994.0800000000017"/>
    <n v="90000"/>
    <n v="92994.08"/>
    <s v=""/>
    <n v="92994.08"/>
    <n v="85000"/>
    <n v="15090"/>
    <n v="4947.3900000000003"/>
    <x v="0"/>
    <x v="0"/>
    <n v="0"/>
    <n v="4947.3900000000003"/>
    <x v="0"/>
    <s v="NA"/>
    <n v="0"/>
    <s v="SAMBA"/>
    <x v="13"/>
    <x v="3"/>
    <s v="D NO 112 RENUKA GATED COMMUNITY JNTU ANANTHAPUR NEAR BY THINMAYA NAGAR ANANTAPUR ANP 515722"/>
    <s v="MPUP SCHOOL RAPTHADU MANDAL GUNTAKAL ANANTHAPUR GUNTAKAL ANANTHAPUR ANANTAPUR ANP 515722"/>
    <s v="ANANTAPUR"/>
    <x v="1"/>
    <x v="12"/>
    <s v="POORNIMA"/>
    <n v="802824019"/>
    <s v="Nihan@2421"/>
    <m/>
    <m/>
    <x v="1"/>
    <m/>
    <m/>
    <x v="1"/>
    <d v="2024-10-21T00:00:00"/>
    <n v="830"/>
    <s v="MakeMyTrip ICICI Bank Platinum Credit Card"/>
    <s v="14TH JULY"/>
    <s v="0000000029698691"/>
    <d v="2026-07-09T00:00:00"/>
  </r>
  <r>
    <s v="4748464710891026"/>
    <s v="MR KATURI JAGADEESH BABU"/>
    <n v="0"/>
    <x v="2"/>
    <n v="1"/>
    <m/>
    <m/>
    <s v="N"/>
    <x v="14"/>
    <s v="9701956464"/>
    <s v="X"/>
    <n v="30733.039999999979"/>
    <n v="320000"/>
    <n v="350733.04"/>
    <s v=""/>
    <n v="350733.04"/>
    <n v="319068.65999999997"/>
    <n v="80110"/>
    <n v="32860"/>
    <x v="0"/>
    <x v="0"/>
    <n v="0"/>
    <n v="32860"/>
    <x v="0"/>
    <s v="NA"/>
    <n v="0"/>
    <s v="SAMBA"/>
    <x v="10"/>
    <x v="3"/>
    <s v="2-345 KARANAM GARI STREET KARANAM GARI STREET KRISHNA MACHILIPATNAM ANP 521165"/>
    <s v="WIPRO LIMITED ALSO WIPRO TECHNOLOGIES A &quot;SY NO 203,115/1,ISB ROAD,FINANCIAL DISTR&quot; &quot;ICT,GACHIBOWLI,NANAKARAMGUDA&quot; &quot;ICT,GACHIBOWLI,NANAKARAMGUDA&quot; HYDERABAD TNG 500032"/>
    <s v="MACHILIPATNAM"/>
    <x v="4"/>
    <x v="6"/>
    <s v="KOTI"/>
    <n v="801597759"/>
    <s v="Ssde@9290"/>
    <m/>
    <m/>
    <x v="1"/>
    <m/>
    <m/>
    <x v="1"/>
    <d v="2024-07-15T00:00:00"/>
    <n v="15000"/>
    <s v="Chennai Super Kings ICICI Bank Credit Card"/>
    <s v="14TH JULY"/>
    <s v="0000000023751595"/>
    <d v="2026-07-09T00:00:00"/>
  </r>
  <r>
    <s v="4748464715248008"/>
    <s v="MR THALLA SAMPATH"/>
    <n v="0"/>
    <x v="2"/>
    <m/>
    <m/>
    <m/>
    <s v="N"/>
    <x v="14"/>
    <s v="9640510705"/>
    <s v="X"/>
    <n v="19314.51999999999"/>
    <n v="220000"/>
    <n v="239314.52"/>
    <s v=""/>
    <n v="239314.52"/>
    <n v="212710"/>
    <n v="65330"/>
    <n v="32860"/>
    <x v="0"/>
    <x v="0"/>
    <n v="0"/>
    <n v="32860"/>
    <x v="0"/>
    <s v="NA"/>
    <n v="0"/>
    <s v="SAMBA"/>
    <x v="10"/>
    <x v="3"/>
    <s v="3-14-697/A HANUMAN NAGAR HANAMKONDA NEAR HANUMAN TEMPLE WARANGAL TNG 506001"/>
    <s v="BANDHAN BANK LIMITED 11-23-1413 GROUND FLOOR POCHAMMAIDAN WARANGAL POCHAMMAIDAN WARANGAL WARANGAL TNG 506002"/>
    <s v="WARANGAL"/>
    <x v="0"/>
    <x v="0"/>
    <s v="AKHIL"/>
    <n v="801772792"/>
    <s v="Sgr@9290"/>
    <m/>
    <m/>
    <x v="1"/>
    <m/>
    <m/>
    <x v="1"/>
    <d v="2025-08-16T00:00:00"/>
    <n v="9200"/>
    <s v="Chennai Super Kings ICICI Bank Credit Card"/>
    <s v="14TH JULY"/>
    <s v="0000000024170198"/>
    <d v="2026-07-09T00:00:00"/>
  </r>
  <r>
    <s v="4748464715752009"/>
    <s v="MS GUNDA DIVYA"/>
    <n v="0"/>
    <x v="2"/>
    <m/>
    <m/>
    <m/>
    <s v="N"/>
    <x v="14"/>
    <s v="9059277536"/>
    <s v="X"/>
    <n v="18225.5"/>
    <n v="220000"/>
    <n v="238225.5"/>
    <s v=""/>
    <n v="238225.5"/>
    <n v="219948.79999999999"/>
    <n v="57040"/>
    <n v="11180"/>
    <x v="0"/>
    <x v="0"/>
    <n v="0"/>
    <n v="11180"/>
    <x v="0"/>
    <s v="NA"/>
    <n v="0"/>
    <s v="SAMBA"/>
    <x v="10"/>
    <x v="3"/>
    <s v="2-9-149/1/A VIKAS NAGAR HANAMKONDA WARANGAL NEAR VIKAS SCHOOL WARANGAL TNG 506001"/>
    <s v="HDB FINANCIAL SERVICES LIMITED 1-8-605/1 2ND FLOOR NAKKALAGUTTA HANAMKONDA NAKKALAGUTTA HANAMKONDA WARANGAL TNG 506001"/>
    <s v="WARANGAL"/>
    <x v="0"/>
    <x v="0"/>
    <s v="AKHIL"/>
    <n v="801772792"/>
    <s v="Sgr@9290"/>
    <m/>
    <m/>
    <x v="1"/>
    <m/>
    <m/>
    <x v="1"/>
    <d v="2026-02-04T00:00:00"/>
    <n v="10"/>
    <s v="Chennai Super Kings ICICI Bank Credit Card"/>
    <s v="14TH JULY"/>
    <s v="0000000024223109"/>
    <d v="2026-07-09T00:00:00"/>
  </r>
  <r>
    <s v="4748464716150005"/>
    <s v="MR UMMAREDDY NARESH"/>
    <n v="0"/>
    <x v="0"/>
    <m/>
    <m/>
    <m/>
    <s v="N"/>
    <x v="14"/>
    <s v="9848120698"/>
    <s v="X"/>
    <n v="8614.2600000000093"/>
    <n v="150000"/>
    <n v="158614.26"/>
    <n v="136598.59"/>
    <n v="22015.67"/>
    <n v="10359.719999999999"/>
    <n v="22010"/>
    <n v="12470"/>
    <x v="0"/>
    <x v="0"/>
    <n v="0"/>
    <n v="12470"/>
    <x v="0"/>
    <s v="NA"/>
    <n v="0"/>
    <s v="SAMBA"/>
    <x v="0"/>
    <x v="3"/>
    <s v="1-79 ANKUSAPOOR ANKUSAPOOR KARIMNAGAR HYDERABAD TNG 505405"/>
    <s v="ZPHS THANGALLAPALLY THANGALLAPALLY THANGALLAPALLY HYDERABAD TNG 505405"/>
    <s v="KARIMNAGAR"/>
    <x v="0"/>
    <x v="8"/>
    <s v="SUMANTH"/>
    <n v="802370852"/>
    <s v="Sgr@9290"/>
    <m/>
    <m/>
    <x v="1"/>
    <m/>
    <m/>
    <x v="1"/>
    <d v="2026-01-13T00:00:00"/>
    <n v="21200"/>
    <s v="Chennai Super Kings ICICI Bank Credit Card"/>
    <s v="14TH JULY"/>
    <s v="0000000024286052"/>
    <d v="2026-07-09T00:00:00"/>
  </r>
  <r>
    <s v="4748464718273011"/>
    <s v="MR SOPPARI NAVEEN"/>
    <n v="0"/>
    <x v="0"/>
    <m/>
    <m/>
    <m/>
    <s v="N"/>
    <x v="14"/>
    <s v="7075797191"/>
    <s v="X"/>
    <n v="-28222.22"/>
    <n v="100000"/>
    <n v="71777.78"/>
    <n v="52381.440000000002"/>
    <n v="19396.34"/>
    <n v="16518.240000000002"/>
    <n v="13610"/>
    <n v="6800"/>
    <x v="0"/>
    <x v="0"/>
    <n v="0"/>
    <n v="6800"/>
    <x v="0"/>
    <s v="NA"/>
    <n v="0"/>
    <s v="SAMBA"/>
    <x v="13"/>
    <x v="3"/>
    <s v="12-171 BHUPALPALLY SUBHASH COLONY WARANGAL WARANGAL TNG 506169"/>
    <s v="RELIANCE SMSL LIMITED LASHKAR SINGARAM NAYEEM NAGAR NAYEEM NAGAR WARANGAL TNG 506009"/>
    <s v="WARANGAL"/>
    <x v="0"/>
    <x v="0"/>
    <s v="AKHIL"/>
    <n v="801772792"/>
    <s v="Sgr@9290"/>
    <m/>
    <m/>
    <x v="1"/>
    <m/>
    <m/>
    <x v="1"/>
    <d v="2026-06-08T00:00:00"/>
    <n v="6000"/>
    <s v="Chennai Super Kings ICICI Bank Credit Card"/>
    <s v="14TH JULY"/>
    <s v="0000000024501892"/>
    <d v="2026-07-09T00:00:00"/>
  </r>
  <r>
    <s v="4748464724745002"/>
    <s v="MR VASIKARLA ADITHYA"/>
    <n v="0"/>
    <x v="0"/>
    <m/>
    <m/>
    <m/>
    <s v="N"/>
    <x v="14"/>
    <s v="8341875479"/>
    <s v="X"/>
    <n v="44503.839999999997"/>
    <n v="20000"/>
    <n v="64503.839999999997"/>
    <n v="26781.09"/>
    <n v="37722.75"/>
    <n v="33357.32"/>
    <n v="37722.75"/>
    <n v="14880"/>
    <x v="0"/>
    <x v="0"/>
    <n v="0"/>
    <n v="14880"/>
    <x v="0"/>
    <s v="NA"/>
    <n v="0"/>
    <s v="SAMBA"/>
    <x v="13"/>
    <x v="3"/>
    <s v="4-7-239 KHAMMAM URBAN PRAKASH NAGAR KHAMMAM KHAMMAM TNG 507003"/>
    <s v="RELIANCE SMSL LIMITED 11-91 NST ROAD KHAMMAM KHAMMAM KHAMMAM TNG 507002"/>
    <s v="KHAMMAM"/>
    <x v="0"/>
    <x v="2"/>
    <s v="CHAITANYA"/>
    <n v="802555024"/>
    <s v="Ssde@9290"/>
    <m/>
    <m/>
    <x v="0"/>
    <s v="MESS"/>
    <s v="I have Visited Customer given working address customer not available here customer left from this working address before 2 yrs ago Customer call not answering need KYC details // I have Visited Customer given house address customer not available here found house locked enquired about customer he is not staying here &amp; customer mother father went to work purpose customer call not answering // I have Visited Customer Traced working address customer not available here Customer resigned here before 5 months ago customer call not answering"/>
    <x v="25"/>
    <d v="2024-09-06T00:00:00"/>
    <n v="10000"/>
    <s v="Chennai Super Kings ICICI Bank Credit Card"/>
    <s v="14TH JULY"/>
    <s v="0000000025136462"/>
    <d v="2026-07-09T00:00:00"/>
  </r>
  <r>
    <s v="4748464726574004"/>
    <s v="MR THALLAPALLI RAKSHITH"/>
    <n v="0"/>
    <x v="0"/>
    <m/>
    <m/>
    <m/>
    <s v="O"/>
    <x v="14"/>
    <s v="8555066945"/>
    <s v="X"/>
    <n v="25334.210000000006"/>
    <n v="60000"/>
    <n v="85334.21"/>
    <n v="31265.1"/>
    <n v="54069.11"/>
    <n v="49767.14"/>
    <n v="41230"/>
    <n v="20530"/>
    <x v="0"/>
    <x v="0"/>
    <n v="0"/>
    <n v="20530"/>
    <x v="0"/>
    <s v="NA"/>
    <s v="30501-BBPS Payment received"/>
    <s v="SAMBA"/>
    <x v="13"/>
    <x v="3"/>
    <s v="4-5-23/3 JANGAON CHAMAN WARANGAL WARANGAL TNG 506167"/>
    <s v="TATA CONSULTANCY SERVICES LIMITED PLOT NO 1 TECHNO ENCLAVE HITECH CITY MADHAPUR UNITS LAYOUT HITECH CITY MADHAPUR UNITS LAYOUT HYDERABAD TNG 500081"/>
    <s v="WARANGAL"/>
    <x v="0"/>
    <x v="30"/>
    <s v="RAJKUMAR"/>
    <n v="802835406"/>
    <s v="Ssde@9290"/>
    <m/>
    <m/>
    <x v="0"/>
    <s v="MESS"/>
    <s v="Customer permanent house address visited sir his not available phone call not responding inform to his father"/>
    <x v="25"/>
    <d v="2025-04-15T00:00:00"/>
    <n v="13000"/>
    <s v="Chennai Super Kings ICICI Bank Credit Card"/>
    <s v="14TH JULY"/>
    <s v="0000000025321911"/>
    <d v="2026-07-09T00:00:00"/>
  </r>
  <r>
    <s v="4748464726608000"/>
    <s v="MR YADLAPALLI SURENDRA"/>
    <n v="0"/>
    <x v="0"/>
    <m/>
    <m/>
    <m/>
    <s v="N"/>
    <x v="14"/>
    <s v="9390281377"/>
    <s v="X"/>
    <n v="8535.4400000000023"/>
    <n v="60000"/>
    <n v="68535.44"/>
    <s v=""/>
    <n v="68535.44"/>
    <n v="59988.02"/>
    <n v="22320"/>
    <n v="11090"/>
    <x v="0"/>
    <x v="0"/>
    <n v="0"/>
    <n v="11090"/>
    <x v="0"/>
    <s v="NA"/>
    <n v="0"/>
    <s v="SAMBA"/>
    <x v="13"/>
    <x v="3"/>
    <s v="INDIRA COLONY INDIRA COLONY  2-28 ELURU ANP 534426"/>
    <s v="RELIANCE SMSL LIMITED 3RD FLOOR ELURU PATHAPADA RD ELURU ELURU ELURU ANP 534002"/>
    <s v="ELURU"/>
    <x v="4"/>
    <x v="32"/>
    <s v="BHARAT CHANDRA"/>
    <n v="802631601"/>
    <s v="Ssde@9290"/>
    <m/>
    <m/>
    <x v="1"/>
    <m/>
    <m/>
    <x v="1"/>
    <d v="2024-07-14T00:00:00"/>
    <n v="34517.74"/>
    <s v="Chennai Super Kings ICICI Bank Credit Card"/>
    <s v="14TH JULY"/>
    <s v="0000000025322211"/>
    <d v="2026-07-09T00:00:00"/>
  </r>
  <r>
    <s v="4748464730474001"/>
    <s v="MR MEDI SANTHOSH"/>
    <n v="0"/>
    <x v="0"/>
    <m/>
    <m/>
    <m/>
    <s v="N"/>
    <x v="14"/>
    <s v="9052526283"/>
    <s v="X"/>
    <n v="7032.679999999993"/>
    <n v="90000"/>
    <n v="97032.68"/>
    <s v=""/>
    <n v="97032.68"/>
    <n v="85467.65"/>
    <n v="26520"/>
    <n v="11560"/>
    <x v="0"/>
    <x v="0"/>
    <n v="0"/>
    <n v="11560"/>
    <x v="0"/>
    <s v="NA"/>
    <n v="0"/>
    <s v="SAMBA"/>
    <x v="13"/>
    <x v="3"/>
    <s v="1-34/1 CHENNARAO PETA MANDAL PAPAIAHPET VILLAGE WARANGAL WARANGAL TNG 506332"/>
    <s v="QUESS CORP LIMITED &quot;301-306,3RD FLOOR,ABHIJEET-V ,OPP MAYOR&quot; &quot;BUNGLOW,MITHAKHALI,AHMEDABAD&quot; &quot;BUNGLOW,MITHAKHALI,AHMEDABAD&quot; AHMEDABAD GUJ 380006"/>
    <s v="WARANGAL"/>
    <x v="0"/>
    <x v="0"/>
    <s v="AKHIL"/>
    <n v="801772792"/>
    <s v="Sgr@9290"/>
    <m/>
    <m/>
    <x v="1"/>
    <m/>
    <m/>
    <x v="1"/>
    <d v="2026-05-10T00:00:00"/>
    <n v="4500"/>
    <s v="Chennai Super Kings ICICI Bank Credit Card"/>
    <s v="14TH JULY"/>
    <s v="0000000025634154"/>
    <d v="2026-07-09T00:00:00"/>
  </r>
  <r>
    <s v="4748464730632004"/>
    <s v="MR BOLLAM VAMSHI"/>
    <n v="0"/>
    <x v="2"/>
    <m/>
    <m/>
    <m/>
    <s v="N"/>
    <x v="14"/>
    <s v="8179490422"/>
    <s v="X"/>
    <n v="11522.029999999999"/>
    <n v="230000"/>
    <n v="241522.03"/>
    <n v="134706.15"/>
    <n v="106815.88"/>
    <n v="90997.91"/>
    <n v="39870"/>
    <n v="18800"/>
    <x v="0"/>
    <x v="0"/>
    <n v="0"/>
    <n v="18800"/>
    <x v="0"/>
    <s v="NA"/>
    <n v="0"/>
    <s v="SAMBA"/>
    <x v="10"/>
    <x v="3"/>
    <s v="H NO 9-82 MANAKONDUR MANDAL  KARIMNAGAR KARIMNAGAR TNG 505505"/>
    <s v="CAPGEMINI TECHNOLOGY SERVICES INDIA LIMI &quot;115/32,35 PLOT NO 1 ROAD NO 2&quot; &quot;GACHIBOWLI,NANAKRAMGUDA&quot; &quot;GACHIBOWLI,NANAKRAMGUDA&quot; HYDERABAD TNG 500032"/>
    <s v="KARIMNAGAR"/>
    <x v="0"/>
    <x v="8"/>
    <s v="SUMANTH"/>
    <n v="802370852"/>
    <s v="Sgr@9290"/>
    <m/>
    <m/>
    <x v="1"/>
    <m/>
    <m/>
    <x v="1"/>
    <d v="2025-01-11T00:00:00"/>
    <n v="129200"/>
    <s v="ICICI Bank Coral RuPay Credit Card"/>
    <s v="14TH JULY"/>
    <s v="0000000025647404"/>
    <d v="2026-07-09T00:00:00"/>
  </r>
  <r>
    <s v="4748464732388001"/>
    <s v="MR BIKKANOORI MALLESHAM"/>
    <n v="0"/>
    <x v="0"/>
    <m/>
    <m/>
    <m/>
    <s v="N"/>
    <x v="14"/>
    <s v="9010101132"/>
    <s v="X"/>
    <n v="5738.5200000000041"/>
    <n v="100000"/>
    <n v="105738.52"/>
    <s v=""/>
    <n v="105738.52"/>
    <n v="91707.23"/>
    <n v="28240"/>
    <n v="12500"/>
    <x v="1"/>
    <x v="2"/>
    <n v="13000"/>
    <n v="-500"/>
    <x v="27"/>
    <s v="FE"/>
    <s v="30501-BBPS Payment received"/>
    <s v="SAMBA"/>
    <x v="2"/>
    <x v="3"/>
    <s v="H NO 2-15/1 THOGUTA MANDAL  MEDAK MEDAK TNG 502278"/>
    <s v="SHRIRAM TRANSPORT FINANCE COMPANY LIMITE 2-90 1ST FLOOR 1ST FLOOR MEDAK TNG 502311"/>
    <s v="MEDAK"/>
    <x v="0"/>
    <x v="30"/>
    <s v="RAJKUMAR"/>
    <n v="802835406"/>
    <s v="Ssde@9290"/>
    <m/>
    <m/>
    <x v="0"/>
    <m/>
    <m/>
    <x v="1"/>
    <d v="2024-07-09T00:00:00"/>
    <n v="23000"/>
    <s v="Chennai Super Kings ICICI Bank Credit Card"/>
    <s v="14TH JULY"/>
    <s v="0000000025946740"/>
    <d v="2026-07-09T00:00:00"/>
  </r>
  <r>
    <s v="4748464733083015"/>
    <s v="MS MARINGANTI NIKITHA"/>
    <n v="0"/>
    <x v="0"/>
    <m/>
    <m/>
    <m/>
    <s v="N"/>
    <x v="14"/>
    <s v="8499878067"/>
    <s v="X"/>
    <n v="2827.3399999999965"/>
    <n v="190000"/>
    <n v="192827.34"/>
    <n v="154580.82999999999"/>
    <n v="38246.51"/>
    <n v="32422.25"/>
    <n v="26810"/>
    <n v="13390"/>
    <x v="0"/>
    <x v="0"/>
    <n v="0"/>
    <n v="13390"/>
    <x v="0"/>
    <s v="NA"/>
    <n v="0"/>
    <s v="SAMBA"/>
    <x v="0"/>
    <x v="3"/>
    <s v="4-20 GOLLAWADA  SEETHARAMANJANEYA SWAMY TEMPLE KARIMNAGAR TNG 505528"/>
    <s v="RELIANCE RETAIL FINANCE LIMITED JAGTIAL ROAD KARIMNAGAR KARIMNAGAR ADILABAD TNG 505001"/>
    <s v="KARIMNAGAR"/>
    <x v="0"/>
    <x v="8"/>
    <s v="SUMANTH"/>
    <n v="802370852"/>
    <s v="Sgr@9290"/>
    <m/>
    <m/>
    <x v="1"/>
    <m/>
    <m/>
    <x v="1"/>
    <d v="2024-07-09T00:00:00"/>
    <n v="73395.48"/>
    <s v="ICICI Sapphiro Master PLT Chip Card"/>
    <s v="14TH JULY"/>
    <s v="0000000026111104"/>
    <d v="2026-07-09T00:00:00"/>
  </r>
  <r>
    <s v="4748464735251008"/>
    <s v="MR CHINTHA SAI RAJU"/>
    <n v="0"/>
    <x v="0"/>
    <m/>
    <m/>
    <m/>
    <s v="N"/>
    <x v="14"/>
    <s v="9642684934"/>
    <s v="X"/>
    <n v="6997.4499999999971"/>
    <n v="60000"/>
    <n v="66997.45"/>
    <s v=""/>
    <n v="66997.45"/>
    <n v="59995.14"/>
    <n v="17350"/>
    <n v="6040"/>
    <x v="0"/>
    <x v="0"/>
    <n v="0"/>
    <n v="6040"/>
    <x v="0"/>
    <s v="NA"/>
    <n v="0"/>
    <s v="SAMBA"/>
    <x v="13"/>
    <x v="3"/>
    <s v="11-17-27 KASHIBUGGA KASHIBUGGA WARANGAL WARANGAL TNG 506002"/>
    <s v="V5 GLOBAL SERVICES PRIVATE LIMITED &quot;POCHAMAIDAN,WARANGAL&quot; WARANGAL WARANGAL WARANGAL TNG 506002"/>
    <s v="WARANGAL"/>
    <x v="0"/>
    <x v="0"/>
    <s v="AKHIL"/>
    <n v="801772792"/>
    <s v="Sgr@9290"/>
    <m/>
    <m/>
    <x v="0"/>
    <s v="SKIP"/>
    <s v="Address not found and cust no respond to calls revisit and update // ress not found and cust no respond to calls revisit and update"/>
    <x v="26"/>
    <d v="2026-04-10T00:00:00"/>
    <n v="24740"/>
    <s v="Chennai Super Kings ICICI Bank Credit Card"/>
    <s v="14TH JULY"/>
    <s v="0000000026509731"/>
    <d v="2026-07-09T00:00:00"/>
  </r>
  <r>
    <s v="4748464736599009"/>
    <s v="MR MEDANKI CHANDRASEKHAR"/>
    <n v="0"/>
    <x v="0"/>
    <m/>
    <m/>
    <m/>
    <s v="N"/>
    <x v="14"/>
    <s v="7675026147"/>
    <s v="X"/>
    <n v="99157.37"/>
    <n v="210000"/>
    <n v="309157.37"/>
    <n v="80002.13"/>
    <n v="229155.24"/>
    <n v="217458.55"/>
    <n v="60720"/>
    <n v="42310"/>
    <x v="0"/>
    <x v="0"/>
    <n v="0"/>
    <n v="42310"/>
    <x v="0"/>
    <s v="NA"/>
    <n v="0"/>
    <s v="SAMBA"/>
    <x v="2"/>
    <x v="3"/>
    <s v="2-113 KOTHA PALLI KOTHA PALLI KRISHNA MACHILIPATNAM ANP 521133"/>
    <s v="GOVERNMENT OF ANDHRA PRADESH SURVY NO 623/1 SALEM PALEM SACHIVALAYAM KODURU MANADAL NEAR MAIN CENTER KODURU MANADAL NEAR MAIN CENTER GUDIVADA ANP 521328"/>
    <s v="MACHILIPATNAM"/>
    <x v="4"/>
    <x v="6"/>
    <s v="KOTI"/>
    <n v="801597759"/>
    <s v="Ssde@9290"/>
    <m/>
    <m/>
    <x v="1"/>
    <m/>
    <m/>
    <x v="1"/>
    <d v="2025-10-09T00:00:00"/>
    <n v="60000"/>
    <s v="ICICI Bank Coral RuPay Credit Card"/>
    <s v="14TH JULY"/>
    <s v="0000000026808043"/>
    <d v="2026-07-09T00:00:00"/>
  </r>
  <r>
    <s v="4748464737418001"/>
    <s v="MR PAMARTHI ANIL"/>
    <n v="0"/>
    <x v="2"/>
    <m/>
    <m/>
    <m/>
    <s v="N"/>
    <x v="14"/>
    <s v="7730900711"/>
    <s v="X"/>
    <n v="65122.95"/>
    <n v="32000"/>
    <n v="97122.95"/>
    <n v="26808.6"/>
    <n v="70314.350000000006"/>
    <n v="60510.400000000001"/>
    <n v="53260"/>
    <n v="38400"/>
    <x v="0"/>
    <x v="0"/>
    <n v="0"/>
    <n v="38400"/>
    <x v="0"/>
    <s v="NA"/>
    <n v="0"/>
    <s v="SAMBA"/>
    <x v="10"/>
    <x v="3"/>
    <s v="1 40 CHINTHAPALLE POST KURAVI CHINTHAPALLE WARANGAL CHINTHAPALLE POST KURAVI WARANGAL TNG 506105"/>
    <s v="TEAMLEASE SERVICES LTD 4-3-10 &quot;MARWADI BAZAR,MAHABUBABAD&quot; &quot;MARWADI BAZAR,MAHABUBABAD&quot; BHEEMARAM TNG 506101"/>
    <s v="WARANGAL"/>
    <x v="0"/>
    <x v="2"/>
    <s v="CHAITANYA"/>
    <n v="802555024"/>
    <s v="Ssde@9290"/>
    <m/>
    <m/>
    <x v="1"/>
    <m/>
    <m/>
    <x v="1"/>
    <d v="2025-05-07T00:00:00"/>
    <n v="16000"/>
    <s v="Chennai Super Kings ICICI Bank Credit Card"/>
    <s v="14TH JULY"/>
    <s v="0000000027023540"/>
    <d v="2026-07-09T00:00:00"/>
  </r>
  <r>
    <s v="4748464737972007"/>
    <s v="MR BADINENI VINAY KUMAR"/>
    <s v="RTP"/>
    <x v="0"/>
    <m/>
    <m/>
    <m/>
    <s v="N"/>
    <x v="14"/>
    <s v="8074927343"/>
    <s v="X"/>
    <n v="16998.75"/>
    <n v="220000"/>
    <n v="236998.75"/>
    <n v="188733.15"/>
    <n v="48265.599999999999"/>
    <n v="31713.85"/>
    <n v="48265.599999999999"/>
    <n v="19045.93"/>
    <x v="0"/>
    <x v="0"/>
    <n v="0"/>
    <n v="19045.93"/>
    <x v="0"/>
    <s v="NA"/>
    <n v="0"/>
    <s v="SAMBA"/>
    <x v="2"/>
    <x v="3"/>
    <s v="H NO 3-161 METPALLY MANDAL ARAPET KARIMNAGAR KARIMNAGAR TNG 505325"/>
    <s v="WIPRO LIMITED ALSO WIPRO TECHNOLOGIES A &quot;BUILDING NO-12D,2ND,3RD,4THFLOOR,IT SEZ&quot; &quot;RAHEJA MIND SPACE,HITECH CITY,MADHAPUR&quot; &quot;RAHEJA MIND SPACE,HITECH CITY,MADHAPUR&quot; HYDERABAD TNG 500081"/>
    <s v="KARIMNAGAR"/>
    <x v="0"/>
    <x v="9"/>
    <s v="D RAMU"/>
    <n v="802663344"/>
    <s v="Sgr@9290"/>
    <m/>
    <m/>
    <x v="0"/>
    <s v="LIVE"/>
    <s v="Feedback customer paymet today or tomorrow"/>
    <x v="22"/>
    <d v="2026-04-14T00:00:00"/>
    <n v="19000"/>
    <s v="Chennai Super Kings ICICI Bank Credit Card"/>
    <s v="14TH JULY"/>
    <s v="0000000027092021"/>
    <d v="2026-07-09T00:00:00"/>
  </r>
  <r>
    <s v="4748464738006003"/>
    <s v="MR VENNA SANDEEP"/>
    <n v="0"/>
    <x v="0"/>
    <n v="1"/>
    <m/>
    <m/>
    <s v="N"/>
    <x v="14"/>
    <s v="9700154772"/>
    <s v="X"/>
    <n v="58073.91"/>
    <n v="190000"/>
    <n v="248073.91"/>
    <n v="38054.76"/>
    <n v="210019.15"/>
    <n v="198324.52"/>
    <n v="63810"/>
    <n v="45810"/>
    <x v="0"/>
    <x v="0"/>
    <n v="0"/>
    <n v="45810"/>
    <x v="0"/>
    <s v="NA"/>
    <n v="0"/>
    <s v="SAMBA"/>
    <x v="2"/>
    <x v="3"/>
    <s v="H.NO. 2-98/9-B-1 GHANPUR STATION VIDYANAGAR COLONY WARANGAL WARANGAL TNG 506143"/>
    <s v="WIPRO LIMITED ALSO WIPRO TECHNOLOGIES &quot;SYNO.203,115/1ISB ROADFINANCIALDISTRICT&quot; &quot;GACHIBOWLI,NANAKARAMGUDA,HYD&quot; &quot;GACHIBOWLI,NANAKARAMGUDA,HYD&quot; HYDERABAD TNG 500032"/>
    <s v="WARANGAL"/>
    <x v="0"/>
    <x v="0"/>
    <s v="AKHIL"/>
    <n v="801772792"/>
    <s v="Sgr@9290"/>
    <m/>
    <m/>
    <x v="0"/>
    <s v="LIVE"/>
    <s v="Cust staying in hyd respond to calls and said suffering vth health issues he heed some time will update"/>
    <x v="22"/>
    <d v="2025-10-09T00:00:00"/>
    <n v="191500"/>
    <s v="Chennai Super Kings ICICI Bank Credit Card"/>
    <s v="14TH JULY"/>
    <s v="0000000027097856"/>
    <d v="2026-07-09T00:00:00"/>
  </r>
  <r>
    <s v="4748464740173007"/>
    <s v="MR SHAIK ARIF PASHA"/>
    <n v="0"/>
    <x v="0"/>
    <m/>
    <m/>
    <m/>
    <s v="N"/>
    <x v="14"/>
    <s v="9494623744"/>
    <s v="X"/>
    <n v="4946.8300000000017"/>
    <n v="80000"/>
    <n v="84946.83"/>
    <n v="39609.410000000003"/>
    <n v="45337.42"/>
    <n v="38365.53"/>
    <n v="22810"/>
    <n v="11410"/>
    <x v="0"/>
    <x v="0"/>
    <n v="0"/>
    <n v="11410"/>
    <x v="0"/>
    <s v="NA"/>
    <n v="0"/>
    <s v="SAMBA"/>
    <x v="13"/>
    <x v="3"/>
    <s v="12-9 MARUTHY NAGAR   ELURU ANP 534460"/>
    <s v="GOVERNMENT OF ANDHRA PRADESH &quot;PRAGADAVARAM , 2 SACHIVALAYAM&quot; VELAGALAPALLI VELAGALAPALLI ELURU ANP 534461"/>
    <s v="ELURU"/>
    <x v="0"/>
    <x v="29"/>
    <s v="SUDHAKAR"/>
    <n v="802913252"/>
    <s v="Ssd@9290"/>
    <m/>
    <m/>
    <x v="1"/>
    <m/>
    <m/>
    <x v="1"/>
    <d v="2024-06-11T00:00:00"/>
    <n v="5610"/>
    <s v="ICICI Bank Coral RuPay Credit Card"/>
    <s v="14TH JULY"/>
    <s v="0000000027655376"/>
    <d v="2026-07-09T00:00:00"/>
  </r>
  <r>
    <s v="4748464740381006"/>
    <s v="MR MALLE MALLIKARJUNA RAO"/>
    <n v="0"/>
    <x v="0"/>
    <m/>
    <m/>
    <m/>
    <s v="N"/>
    <x v="14"/>
    <s v="8790219641"/>
    <s v="X"/>
    <n v="10354.100000000006"/>
    <n v="70000"/>
    <n v="80354.100000000006"/>
    <s v=""/>
    <n v="80354.100000000006"/>
    <n v="70038.8"/>
    <n v="26750"/>
    <n v="12980"/>
    <x v="0"/>
    <x v="0"/>
    <n v="0"/>
    <n v="12980"/>
    <x v="0"/>
    <s v="NA"/>
    <n v="0"/>
    <s v="SAMBA"/>
    <x v="13"/>
    <x v="3"/>
    <s v="H.NO. 263 BC COLONY BC COLONY  NELLORE ANP 524201"/>
    <s v="GOVERMENT OF ANDRAPRADESH KOMMI SACHIVALAYAM KONDAPURAM KONDAPURAM NELLORE ANP 524239"/>
    <s v="NELLORE"/>
    <x v="2"/>
    <x v="4"/>
    <s v="IMAMVALLI"/>
    <n v="802789320"/>
    <s v="Ssd@9290"/>
    <m/>
    <m/>
    <x v="1"/>
    <m/>
    <m/>
    <x v="1"/>
    <d v="2024-07-30T00:00:00"/>
    <n v="3400"/>
    <s v="ICICI Bank HPCL Super Saver RuPay Credit Card"/>
    <s v="14TH JULY"/>
    <s v="0000000027673141"/>
    <d v="2026-07-09T00:00:00"/>
  </r>
  <r>
    <s v="4748464740382004"/>
    <s v="MR KATHIMANDA SRIKIRAN"/>
    <n v="0"/>
    <x v="0"/>
    <m/>
    <m/>
    <m/>
    <s v="N"/>
    <x v="14"/>
    <s v="9490028600"/>
    <s v="X"/>
    <n v="10227.339999999997"/>
    <n v="80000"/>
    <n v="90227.34"/>
    <s v=""/>
    <n v="90227.34"/>
    <n v="79866.09"/>
    <n v="28940"/>
    <n v="13640"/>
    <x v="0"/>
    <x v="0"/>
    <n v="0"/>
    <n v="13640"/>
    <x v="0"/>
    <s v="NA"/>
    <n v="0"/>
    <s v="SAMBA"/>
    <x v="13"/>
    <x v="3"/>
    <s v="8-154 SANTHI NAGAR SAKHINETIPALLI  AMALAPURAM ANP 533251"/>
    <s v="GOVERNMENT OF ANDHRA PRADESH &quot;RAMESWARAM 2 SACHIVALAYAM,KALUVAREVU&quot; &quot;CENTER,RAMESWARAM,SAKHINETIPALLI&quot; &quot;CENTER,RAMESWARAM,SAKHINETIPALLI&quot; AMALAPURAM ANP 533251"/>
    <s v="AMALAPURAM"/>
    <x v="4"/>
    <x v="28"/>
    <s v="B NAGABABU"/>
    <n v="801448854"/>
    <s v="Sgr@9290"/>
    <m/>
    <m/>
    <x v="1"/>
    <m/>
    <m/>
    <x v="1"/>
    <d v="2024-07-02T00:00:00"/>
    <n v="5100"/>
    <s v="Chennai Super Kings ICICI Bank Credit Card"/>
    <s v="14TH JULY"/>
    <s v="0000000027673150"/>
    <d v="2026-07-09T00:00:00"/>
  </r>
  <r>
    <s v="4748464740942013"/>
    <s v="MR NAGARAJU GARI RUDRAMUNI"/>
    <n v="0"/>
    <x v="0"/>
    <m/>
    <m/>
    <m/>
    <s v="N"/>
    <x v="14"/>
    <s v="7702593763"/>
    <s v="X"/>
    <n v="12534.580000000002"/>
    <n v="110000"/>
    <n v="122534.58"/>
    <s v=""/>
    <n v="122534.58"/>
    <n v="108410"/>
    <n v="32540"/>
    <n v="14560"/>
    <x v="1"/>
    <x v="2"/>
    <n v="14560"/>
    <n v="0"/>
    <x v="27"/>
    <s v="TC"/>
    <s v="30501-BBPS Payment received"/>
    <s v="SAMBA"/>
    <x v="2"/>
    <x v="3"/>
    <s v="11-88 PHALARAM   HINDUPUR ANP 515271"/>
    <s v="GOVERNMENT OF ANDHRA PRADESH VETERINARY HOSPITAL PENUKONADA PENUKONADA HINDUPUR ANP 515110"/>
    <s v="HINDUPUR"/>
    <x v="1"/>
    <x v="12"/>
    <s v="POORNIMA"/>
    <n v="802824019"/>
    <s v="Nihan@2421"/>
    <m/>
    <m/>
    <x v="0"/>
    <m/>
    <m/>
    <x v="1"/>
    <d v="2026-02-20T00:00:00"/>
    <n v="13451"/>
    <s v="Chennai Super Kings ICICI Bank Credit Card"/>
    <s v="14TH JULY"/>
    <s v="0000000027751929"/>
    <d v="2026-07-09T00:00:00"/>
  </r>
  <r>
    <s v="4748464745112000"/>
    <s v="MR SHAIK HAMDI"/>
    <n v="0"/>
    <x v="2"/>
    <n v="1"/>
    <m/>
    <m/>
    <s v="N"/>
    <x v="14"/>
    <s v="9493117518"/>
    <s v="X"/>
    <n v="161103.78000000003"/>
    <n v="230000"/>
    <n v="391103.78"/>
    <n v="157560.35"/>
    <n v="233543.43"/>
    <n v="214859.68"/>
    <n v="80520"/>
    <n v="31240"/>
    <x v="0"/>
    <x v="0"/>
    <n v="0"/>
    <n v="31240"/>
    <x v="0"/>
    <s v="NA"/>
    <n v="0"/>
    <s v="SAMBA"/>
    <x v="10"/>
    <x v="3"/>
    <s v="1-2-12 SAMARLAKOTA MANDALAM PENSION LINE  KAKINADA ANP 533440"/>
    <s v="RAK CERAMICS INDIA PRIVATE LIMITED S.NO 163 SAMARLKOTA VILLAGE SAMARLKOTA MANDAL KAKINADA SAMARLKOTA MANDAL KAKINADA KAKINADA ANP 533440"/>
    <s v="KAKINADA"/>
    <x v="4"/>
    <x v="23"/>
    <s v="UDAY"/>
    <n v="801436997"/>
    <s v="Ssd@9290"/>
    <m/>
    <m/>
    <x v="1"/>
    <m/>
    <m/>
    <x v="1"/>
    <d v="2025-09-06T00:00:00"/>
    <n v="10000"/>
    <s v="Chennai Super Kings ICICI Bank Credit Card"/>
    <s v="14TH JULY"/>
    <s v="0000000028454640"/>
    <d v="2026-07-09T00:00:00"/>
  </r>
  <r>
    <s v="4748464746546008"/>
    <s v="MR VASAMSETTI RAMA PRASAD"/>
    <n v="0"/>
    <x v="2"/>
    <n v="1"/>
    <m/>
    <m/>
    <s v="N"/>
    <x v="14"/>
    <s v="9989888278"/>
    <s v="X"/>
    <n v="269778.25"/>
    <n v="150000"/>
    <n v="419778.25"/>
    <n v="361366.1"/>
    <n v="58412.15"/>
    <n v="46279.82"/>
    <n v="58412.15"/>
    <n v="27955.45"/>
    <x v="0"/>
    <x v="0"/>
    <n v="0"/>
    <n v="27955.45"/>
    <x v="0"/>
    <s v="NA"/>
    <n v="0"/>
    <s v="SAMBA"/>
    <x v="10"/>
    <x v="3"/>
    <s v="HNO 4-8-142 &quot;MADAPURAM ROAD, PITHAPURAM VILLAGE&quot; &quot;PITHAPURAM, MANDAL&quot; NEAR SATYA THEATRE KAKINADA ANP 533450"/>
    <s v="GOVERNMENT OF ANDHRA PRADESH &quot;WARD SACHIVALAYAM, 13-2-1/5A PITHAPURAM&quot; &quot;MANDAL, JAGGAYYA CHERUVU VILLAGE&quot; &quot;MANDAL, JAGGAYYA CHERUVU VILLAGE&quot; KAKINADA ANP 533450"/>
    <s v="KAKINADA"/>
    <x v="4"/>
    <x v="23"/>
    <s v="UDAY"/>
    <n v="801436997"/>
    <s v="Ssd@9290"/>
    <m/>
    <m/>
    <x v="1"/>
    <m/>
    <m/>
    <x v="1"/>
    <d v="2024-05-31T00:00:00"/>
    <n v="13000"/>
    <s v="Chennai Super Kings ICICI Bank Credit Card"/>
    <s v="14TH JULY"/>
    <s v="0000000028746934"/>
    <d v="2026-07-09T00:00:00"/>
  </r>
  <r>
    <s v="4748464746832002"/>
    <s v="MR KANAGANTI UDAY KIRAN"/>
    <n v="0"/>
    <x v="0"/>
    <m/>
    <m/>
    <m/>
    <s v="N"/>
    <x v="14"/>
    <s v="9392952178"/>
    <s v="X"/>
    <n v="323472.55"/>
    <n v="150000"/>
    <n v="473472.55"/>
    <n v="297746.14"/>
    <n v="175726.41"/>
    <n v="160528.98000000001"/>
    <n v="81850"/>
    <n v="24880"/>
    <x v="1"/>
    <x v="2"/>
    <n v="24880"/>
    <n v="0"/>
    <x v="26"/>
    <s v="TC"/>
    <s v="30501-BBPS Payment received"/>
    <s v="SAMBA"/>
    <x v="11"/>
    <x v="3"/>
    <s v="TRIPURARAM MANDALAM LAKSHMI PURAM   NALGONDA TNG 508278"/>
    <s v="EXIDE LIFE INSURANCE COMPANY LTD BDR COMPLEX &quot;1ST FLOOR,NALGONDA&quot; &quot;1ST FLOOR,NALGONDA&quot; NALGONDA TNG 508001"/>
    <s v="NALGONDA"/>
    <x v="0"/>
    <x v="54"/>
    <s v="POORNIMA"/>
    <n v="802824019"/>
    <s v="Nihan@2421"/>
    <m/>
    <m/>
    <x v="1"/>
    <m/>
    <m/>
    <x v="1"/>
    <d v="2024-08-25T00:00:00"/>
    <n v="1700"/>
    <s v="Chennai Super Kings ICICI Bank Credit Card"/>
    <s v="14TH JULY"/>
    <s v="0000000028806754"/>
    <d v="2026-07-09T00:00:00"/>
  </r>
  <r>
    <s v="4748464747319009"/>
    <s v="MR KARRI SRINIVAS"/>
    <n v="0"/>
    <x v="0"/>
    <n v="1"/>
    <m/>
    <m/>
    <s v="N"/>
    <x v="14"/>
    <s v="8639199073"/>
    <s v="X"/>
    <n v="89762.890000000014"/>
    <n v="210000"/>
    <n v="299762.89"/>
    <n v="142160.31"/>
    <n v="157602.57999999999"/>
    <n v="139291.96"/>
    <n v="54660"/>
    <n v="23160"/>
    <x v="1"/>
    <x v="2"/>
    <n v="23200"/>
    <n v="-40"/>
    <x v="27"/>
    <s v="TC"/>
    <s v="30501-BBPS Payment received"/>
    <s v="SAMBA"/>
    <x v="11"/>
    <x v="3"/>
    <s v="3-35 CHIRRAYANAM CHIRRAYANAM  AMALAPURAM ANP 533212"/>
    <s v="GOVERNMENT OF ANDHRA PRADESH GEDDANAPALLI SACHIVALAYAM &quot;KOTRENIKONDA MANDAL,DR BR AMBEDKAR KONAS&quot; &quot;KOTRENIKONDA MANDAL,DR BR AMBEDKAR KONAS&quot; AMALAPURAM ANP 533212"/>
    <s v="AMALAPURAM"/>
    <x v="4"/>
    <x v="28"/>
    <s v="B NAGABABU"/>
    <n v="801448854"/>
    <s v="Sgr@9290"/>
    <m/>
    <m/>
    <x v="0"/>
    <m/>
    <m/>
    <x v="1"/>
    <d v="2024-07-27T00:00:00"/>
    <n v="100"/>
    <s v="Chennai Super Kings ICICI Bank Credit Card"/>
    <s v="14TH JULY"/>
    <s v="0000000028899349"/>
    <d v="2026-07-09T00:00:00"/>
  </r>
  <r>
    <s v="4748464748051007"/>
    <s v="MR BATTHULA RAVITEJA"/>
    <n v="0"/>
    <x v="0"/>
    <m/>
    <m/>
    <m/>
    <s v="N"/>
    <x v="14"/>
    <s v="8106231052"/>
    <s v="X"/>
    <n v="15556.229999999981"/>
    <n v="330000"/>
    <n v="345556.23"/>
    <n v="2661.95"/>
    <n v="342894.28"/>
    <n v="310609.65999999997"/>
    <n v="66440"/>
    <n v="21060"/>
    <x v="0"/>
    <x v="0"/>
    <n v="0"/>
    <n v="21060"/>
    <x v="0"/>
    <s v="NA"/>
    <n v="0"/>
    <s v="SAMBA"/>
    <x v="3"/>
    <x v="3"/>
    <s v="5-141 SURYARAOPALEM INDIRA COLONY UNDRAJAVARAM MANDALAM West Godavari ANP 534156"/>
    <s v="GOVERNMENT OF ANDHRA PRADESH SY.NO 170 KALDHARI GRAMA SACHIVALAYAM UNDRAJAVARAM MANDAL EAST GODAVARI UNDRAJAVARAM MANDAL EAST GODAVARI West Godavari ANP 534329"/>
    <s v="WEST GODAVARI"/>
    <x v="4"/>
    <x v="33"/>
    <s v="MANIKANTA"/>
    <n v="802852449"/>
    <s v="Ssd@9290"/>
    <m/>
    <m/>
    <x v="0"/>
    <s v="MESS"/>
    <s v="Custmor go to work  inform mother"/>
    <x v="22"/>
    <d v="2024-07-09T00:00:00"/>
    <n v="150532.43"/>
    <s v="Chennai Super Kings ICICI Bank Credit Card"/>
    <s v="14TH JULY"/>
    <s v="0000000028994893"/>
    <d v="2026-07-09T00:00:00"/>
  </r>
  <r>
    <s v="4748464748959001"/>
    <s v="MR KATTHULA RAJKUMAR"/>
    <s v="RTP"/>
    <x v="0"/>
    <m/>
    <m/>
    <m/>
    <s v="N"/>
    <x v="14"/>
    <s v="9014467207"/>
    <s v="X"/>
    <n v="11237.48000000001"/>
    <n v="120000"/>
    <n v="131237.48000000001"/>
    <s v=""/>
    <n v="131237.48000000001"/>
    <n v="117228.22"/>
    <n v="31090"/>
    <n v="11670"/>
    <x v="0"/>
    <x v="0"/>
    <n v="0"/>
    <n v="11670"/>
    <x v="0"/>
    <s v="NA"/>
    <n v="0"/>
    <s v="SAMBA"/>
    <x v="11"/>
    <x v="3"/>
    <s v="4-44/3 SANGEM KUNTAPALLY  WARANGAL TNG 506330"/>
    <s v="HINDUJA LEYLAND FINANCE &quot;H NO 15-1-237,F NO F5 F6, 4TH FLR&quot; &quot;CITYCENTRE COMPLEX,MULUGU RD,HANAMKONDA&quot; &quot;CITYCENTRE COMPLEX,MULUGU RD,HANAMKONDA&quot; WARANGAL TNG 506001"/>
    <s v="WARANGAL"/>
    <x v="0"/>
    <x v="0"/>
    <s v="AKHIL"/>
    <n v="801772792"/>
    <s v="Sgr@9290"/>
    <m/>
    <m/>
    <x v="1"/>
    <m/>
    <m/>
    <x v="1"/>
    <d v="2024-08-21T00:00:00"/>
    <n v="14040"/>
    <s v="ICICI Bank Coral RuPay Credit Card"/>
    <s v="14TH JULY"/>
    <s v="0000000029054216"/>
    <d v="2026-07-09T00:00:00"/>
  </r>
  <r>
    <s v="4748464749793003"/>
    <s v="MR RUPANI SRIKANTH"/>
    <n v="0"/>
    <x v="0"/>
    <m/>
    <m/>
    <m/>
    <s v="N"/>
    <x v="14"/>
    <s v="9700016900"/>
    <s v="X"/>
    <n v="11313.26999999999"/>
    <n v="140000"/>
    <n v="151313.26999999999"/>
    <n v="13854.61"/>
    <n v="137458.66"/>
    <n v="127076.39"/>
    <n v="28760"/>
    <n v="10280"/>
    <x v="0"/>
    <x v="0"/>
    <n v="0"/>
    <n v="10280"/>
    <x v="0"/>
    <s v="NA"/>
    <n v="0"/>
    <s v="SAMBA"/>
    <x v="2"/>
    <x v="3"/>
    <s v="1-1-475/6 SURYAPET NEHRU NAGAR  SURYAPET TNG 508213"/>
    <s v="QUESS CORP LIMITED &quot;C/O BAJAJ FINANCE LTD,HNO 1-4-249/153/1&quot; &quot;SR ANANTHULA COMPLEX,MG ROAD&quot; &quot;SR ANANTHULA COMPLEX,MG ROAD&quot; SURYAPET TNG 508213"/>
    <s v="SURYAPET"/>
    <x v="0"/>
    <x v="53"/>
    <s v="POORNIMA"/>
    <n v="802824019"/>
    <s v="Nihan@2421"/>
    <m/>
    <m/>
    <x v="1"/>
    <m/>
    <m/>
    <x v="1"/>
    <d v="2025-04-16T00:00:00"/>
    <n v="100"/>
    <s v="Chennai Super Kings ICICI Bank Credit Card"/>
    <s v="14TH JULY"/>
    <s v="0000000029109543"/>
    <d v="2026-07-09T00:00:00"/>
  </r>
  <r>
    <s v="4748464752491008"/>
    <s v="MR MACHAVARAPU VINAY KUMAR"/>
    <n v="0"/>
    <x v="0"/>
    <m/>
    <m/>
    <m/>
    <s v="N"/>
    <x v="14"/>
    <s v="7989313075"/>
    <s v="X"/>
    <n v="6820.4100000000035"/>
    <n v="60000"/>
    <n v="66820.41"/>
    <s v=""/>
    <n v="66820.41"/>
    <n v="59749.43"/>
    <n v="17310"/>
    <n v="6040"/>
    <x v="1"/>
    <x v="2"/>
    <n v="6050"/>
    <n v="-10"/>
    <x v="27"/>
    <s v="FE"/>
    <s v="30501-BBPS Payment received"/>
    <s v="SAMBA"/>
    <x v="13"/>
    <x v="3"/>
    <s v="15-4-225 ISREAL PET 2ND LINE   GUNTUR ANP 522001"/>
    <s v="SUN PHARMACEUTICAL INDUSTRIES LIMITED &quot;SHOP NO 48,SANJEEVANI NILAYAM&quot; &quot;KAKUMANUVARI STREET, KOTHAPET&quot; &quot;KAKUMANUVARI STREET, KOTHAPET&quot; GUNTUR ANP 522001"/>
    <s v="GUNTUR"/>
    <x v="5"/>
    <x v="43"/>
    <s v="INAMUL"/>
    <n v="802823175"/>
    <s v="Sgr@9290"/>
    <m/>
    <m/>
    <x v="0"/>
    <s v="LIVE"/>
    <s v="Customer given address visited customer given PTP 18th sir _x000a_  Brother pH No :Kanaka Raj: 79816 80342"/>
    <x v="25"/>
    <d v="2024-03-10T00:00:00"/>
    <n v="5380"/>
    <s v="Chennai Super Kings ICICI Bank Credit Card"/>
    <s v="14TH JULY"/>
    <s v="0000000029420206"/>
    <d v="2026-07-09T00:00:00"/>
  </r>
  <r>
    <s v="4748469635087006"/>
    <s v="MS PANDLA LAKSHMI MOHINI"/>
    <n v="0"/>
    <x v="0"/>
    <m/>
    <m/>
    <m/>
    <s v="N"/>
    <x v="14"/>
    <s v="9704474493"/>
    <s v="X"/>
    <n v="111879.85"/>
    <n v="108000"/>
    <n v="219879.85"/>
    <n v="171147.6"/>
    <n v="48732.25"/>
    <n v="40886.51"/>
    <n v="27350"/>
    <n v="13720"/>
    <x v="1"/>
    <x v="1"/>
    <n v="48732.25"/>
    <n v="-35012.25"/>
    <x v="27"/>
    <s v="TC"/>
    <s v="30501-BBPS Payment received"/>
    <s v="SAMBA"/>
    <x v="0"/>
    <x v="3"/>
    <s v="4-33 S.T COLONY   ELURU ANP 534460"/>
    <s v="GOVERNMENT OF ANDHRA PRADESH YERRAGUNTAPALLI VILLAGE BESIDE MAIN ROAD CHINTALAPUDI MANDAL ELURU DIST MAIN ROAD CHINTALAPUDI MANDAL ELURU DIST ELURU ANP 534460"/>
    <s v="ELURU"/>
    <x v="4"/>
    <x v="29"/>
    <s v="SUDHAKAR"/>
    <n v="802913252"/>
    <s v="Ssd@9290"/>
    <m/>
    <m/>
    <x v="0"/>
    <m/>
    <m/>
    <x v="1"/>
    <s v=""/>
    <n v="0"/>
    <s v="ICICI Bank HPCL Super Saver Visa Credit Card"/>
    <s v="14TH JULY"/>
    <s v="0000000028988308"/>
    <d v="2026-07-09T00:00:00"/>
  </r>
  <r>
    <s v="5241935702541025"/>
    <s v="MR N KOTHAPALLI"/>
    <n v="0"/>
    <x v="0"/>
    <m/>
    <m/>
    <m/>
    <s v="N"/>
    <x v="14"/>
    <s v="9676665602"/>
    <s v="X"/>
    <n v="30793.260000000009"/>
    <n v="990000"/>
    <n v="1020793.26"/>
    <n v="516082.11"/>
    <n v="504711.15"/>
    <n v="443996.29"/>
    <n v="176280"/>
    <n v="79470"/>
    <x v="1"/>
    <x v="2"/>
    <n v="100000"/>
    <n v="-20530"/>
    <x v="26"/>
    <s v="TC"/>
    <n v="0"/>
    <s v="SAMBA"/>
    <x v="0"/>
    <x v="3"/>
    <s v="&quot;D.NO 12-124, NEAR Y-JUNCTION&quot; PERURUPETA AMALAPURAM MANDAL BESIDE KANAKADURGA TEMPLE AMALAPURAM ANP 533218"/>
    <s v="EVOKE TECHNOLOGIES PRIVATE LIMITED CAPELLA BLOCK 4TH 8TH FLOOR PLOT NO 17 MADHAPUR MADHAPUR HYDERABAD TNG 500081"/>
    <s v="AMALAPURAM"/>
    <x v="4"/>
    <x v="28"/>
    <s v="B NAGABABU"/>
    <n v="801448854"/>
    <s v="Sgr@9290"/>
    <m/>
    <m/>
    <x v="0"/>
    <s v="SKIP"/>
    <s v="CUSTOMER NOT STAYING IN GIVEN ADDRESS SIR.HE IS STAYING IN HYDERABAD MANIKONDA AREA"/>
    <x v="23"/>
    <d v="2026-01-03T00:00:00"/>
    <n v="110000"/>
    <s v="ICICI Bank HPCL Super Saver Master Credit Card"/>
    <s v="14TH JULY"/>
    <s v="0000000024729136"/>
    <d v="2026-07-09T00:00:00"/>
  </r>
  <r>
    <s v="5241935702741013"/>
    <s v="MR S ARUNKUMARREDDY"/>
    <n v="0"/>
    <x v="0"/>
    <m/>
    <m/>
    <m/>
    <s v="N"/>
    <x v="14"/>
    <s v="9945805435"/>
    <s v="X"/>
    <n v="-357293.53"/>
    <n v="490000"/>
    <n v="132706.47"/>
    <n v="16088.87"/>
    <n v="116617.60000000001"/>
    <n v="103352.17"/>
    <n v="48510"/>
    <n v="22380"/>
    <x v="1"/>
    <x v="1"/>
    <n v="48510"/>
    <n v="-26130"/>
    <x v="27"/>
    <s v="TC"/>
    <s v="30501-BBPS Payment received"/>
    <s v="SAMBA"/>
    <x v="11"/>
    <x v="3"/>
    <s v="7 440 GUMMAIAHGARIPALLI VIL AND POGORANTLA MANDAL  GORANTLA HINDUPUR ANP 515231"/>
    <s v="ACCENTURE SOLUTIONS PRIVATE LIMITED PRITECH SEZ BLOCK 7 OUTER ROAD BELLANDUR VILLAGE BELLANDUR VILLAGE BANGALORE KAR 560103"/>
    <s v="HINDUPUR"/>
    <x v="1"/>
    <x v="12"/>
    <s v="POORNIMA"/>
    <n v="802824019"/>
    <s v="Nihan@2421"/>
    <m/>
    <m/>
    <x v="0"/>
    <m/>
    <m/>
    <x v="1"/>
    <d v="2025-12-10T00:00:00"/>
    <n v="21480"/>
    <s v="ICICI Bank HPCL Super Saver Master Credit Card"/>
    <s v="14TH JULY"/>
    <s v="0000000024735915"/>
    <d v="2026-07-09T00:00:00"/>
  </r>
  <r>
    <s v="5241935707136003"/>
    <s v="MR KAMBHAM GOVARDHAN REDDY"/>
    <n v="0"/>
    <x v="0"/>
    <m/>
    <m/>
    <m/>
    <s v="N"/>
    <x v="14"/>
    <s v="8799604336"/>
    <s v="X"/>
    <n v="3560.9899999999907"/>
    <n v="150000"/>
    <n v="153560.99"/>
    <n v="31204.34"/>
    <n v="122356.65"/>
    <n v="114791.7"/>
    <n v="35750"/>
    <n v="20640"/>
    <x v="1"/>
    <x v="2"/>
    <n v="0"/>
    <n v="20640"/>
    <x v="0"/>
    <s v="NA"/>
    <s v="30501-BBPS Payment received"/>
    <s v="SAMBA"/>
    <x v="0"/>
    <x v="3"/>
    <s v="1/78MOILLACHERUVUMOILLACHERUVU CUDDAPAH  NR GOVT SCHOOL PRODDATUR ANP 516321"/>
    <s v="WINJIT TECHNOLOGIES PVT LTD 1 ST FLOORPINE VALLEYEMBASSY GOLF BUILDING PARK BUILDING PARK BANGALORE KAR 560071"/>
    <s v="PRODDATUR"/>
    <x v="1"/>
    <x v="15"/>
    <s v="VSSK PRASAD"/>
    <n v="802349062"/>
    <s v="Ssd@9290"/>
    <m/>
    <m/>
    <x v="1"/>
    <m/>
    <m/>
    <x v="1"/>
    <d v="2024-11-27T00:00:00"/>
    <n v="100.46"/>
    <s v="ICICI Bank HPCL Super Saver Master Credit Card"/>
    <s v="14TH JULY"/>
    <s v="0000000024973412"/>
    <d v="2026-07-09T00:00:00"/>
  </r>
  <r>
    <s v="5241935710765004"/>
    <s v="MR BACHU PEDDA BABU REDDY"/>
    <n v="0"/>
    <x v="0"/>
    <m/>
    <m/>
    <m/>
    <s v="N"/>
    <x v="14"/>
    <s v="9949040160"/>
    <s v="X"/>
    <n v="12235.440000000002"/>
    <n v="200000"/>
    <n v="212235.44"/>
    <n v="100612.44"/>
    <n v="111623"/>
    <n v="97207.87"/>
    <n v="37750"/>
    <n v="16979"/>
    <x v="0"/>
    <x v="0"/>
    <n v="0"/>
    <n v="16979"/>
    <x v="0"/>
    <s v="NA"/>
    <n v="0"/>
    <s v="SAMBA"/>
    <x v="2"/>
    <x v="3"/>
    <s v="&quot;1-40,CHOUTAPALLE KADAPA,.,&quot; CUDDAPAH  MAIN ROAD PRODDATUR ANP 516360"/>
    <s v="COGNIZANT TECHNOLOGY SOLUTIONS PVT LTD COGNIZANT TECHNOLOGY SERVICES PVT LTD MADHAPUR HYDERABAD MADHAPUR HYDERABAD HYDERABAD TNG 500081"/>
    <s v="PRODDATUR"/>
    <x v="1"/>
    <x v="15"/>
    <s v="VSSK PRASAD"/>
    <n v="802349062"/>
    <s v="Ssd@9290"/>
    <m/>
    <m/>
    <x v="1"/>
    <m/>
    <m/>
    <x v="1"/>
    <d v="2026-04-22T00:00:00"/>
    <n v="100000"/>
    <s v="ICICI Bank HPCL Super Saver Master Credit Card"/>
    <s v="14TH JULY"/>
    <s v="0000000025107017"/>
    <d v="2026-07-09T00:00:00"/>
  </r>
  <r>
    <s v="5241935713493000"/>
    <s v="MR GARULE VISHAL"/>
    <n v="0"/>
    <x v="0"/>
    <m/>
    <m/>
    <m/>
    <s v="N"/>
    <x v="14"/>
    <s v="9182515975"/>
    <s v="X"/>
    <n v="-117.08999999999651"/>
    <n v="200000"/>
    <n v="199882.91"/>
    <n v="59166.69"/>
    <n v="140716.22"/>
    <n v="126925.68"/>
    <n v="49770"/>
    <n v="24370"/>
    <x v="0"/>
    <x v="0"/>
    <n v="10000"/>
    <n v="14370"/>
    <x v="0"/>
    <s v="NA"/>
    <s v="30501-BBPS Payment received"/>
    <s v="SAMBA"/>
    <x v="11"/>
    <x v="3"/>
    <s v="&quot;1-7, ANJI INDRAVELLI, ADILABAD&quot; &quot;NEAR TEMPLE, ADILABAD, TELANGANA&quot; TELANGANA NEAR TEMPLE ADILABAD TNG 504346"/>
    <s v="AGRICULTURE &quot;1-7, ANJI INDRAVELLI, ADILABAD,&quot; &quot;NEAR TEMPLE, ADILABAD TELANGANA&quot; &quot;NEAR TEMPLE, ADILABAD TELANGANA&quot; ADILABAD TNG 504346"/>
    <s v="ADILABAD"/>
    <x v="0"/>
    <x v="3"/>
    <s v="KANTH"/>
    <n v="802794852"/>
    <s v="Ssd@9290"/>
    <m/>
    <m/>
    <x v="0"/>
    <s v="SKIP"/>
    <s v="Customer visit office address Not available ask nighbour no one not respond phone call not lifting"/>
    <x v="23"/>
    <d v="2025-06-06T00:00:00"/>
    <n v="16530"/>
    <s v="ICICI Bank Coral RuPay Credit Card"/>
    <s v="14TH JULY"/>
    <s v="0000000025248669"/>
    <d v="2026-07-09T00:00:00"/>
  </r>
  <r>
    <s v="5241935721113004"/>
    <s v="MR MANGALI GANESH"/>
    <n v="0"/>
    <x v="0"/>
    <m/>
    <m/>
    <m/>
    <s v="N"/>
    <x v="14"/>
    <s v="8142363715"/>
    <s v="X"/>
    <n v="5863.1100000000006"/>
    <n v="50000"/>
    <n v="55863.11"/>
    <s v=""/>
    <n v="55863.11"/>
    <n v="48394.28"/>
    <n v="17040"/>
    <n v="6320"/>
    <x v="0"/>
    <x v="0"/>
    <n v="0"/>
    <n v="6320"/>
    <x v="0"/>
    <s v="NA"/>
    <n v="0"/>
    <s v="SAMBA"/>
    <x v="13"/>
    <x v="3"/>
    <s v="&quot;DOOR NO 45,K NARASAPURAM&quot; PEDDA PAPPURU ANANTAPUR NEAR RAMALAYAM ANANTAPUR ANP 515408"/>
    <s v="TECH ASPECT SOLUTIONSPTCAS 1ST FLOOR PLOTNO 83 HITECH CITY MADHAPUR HITECH CITY MADHAPUR HYDERABAD TNG 500081"/>
    <s v="ANANTAPUR"/>
    <x v="1"/>
    <x v="12"/>
    <s v="POORNIMA"/>
    <n v="802824019"/>
    <s v="Nihan@2421"/>
    <m/>
    <m/>
    <x v="1"/>
    <m/>
    <m/>
    <x v="1"/>
    <d v="2026-05-14T00:00:00"/>
    <n v="12960"/>
    <s v="ICICI Bank HPCL Super Saver Master Credit Card"/>
    <s v="14TH JULY"/>
    <s v="0000000025574227"/>
    <d v="2026-07-09T00:00:00"/>
  </r>
  <r>
    <s v="5241935730183006"/>
    <s v="MR VARIKUTI VENKAT PAWAN"/>
    <n v="0"/>
    <x v="0"/>
    <m/>
    <m/>
    <m/>
    <s v="N"/>
    <x v="14"/>
    <s v="6303242124"/>
    <s v="X"/>
    <n v="-23027.160000000003"/>
    <n v="100000"/>
    <n v="76972.84"/>
    <s v=""/>
    <n v="76972.84"/>
    <n v="68861.81"/>
    <n v="12280"/>
    <n v="4100"/>
    <x v="0"/>
    <x v="0"/>
    <n v="0"/>
    <n v="4100"/>
    <x v="0"/>
    <s v="NA"/>
    <n v="0"/>
    <s v="SAMBA"/>
    <x v="13"/>
    <x v="3"/>
    <s v="&quot;11, MYSOORIVARIPALLI&quot; SURAPURAJUPALLI KODUR NEAR WATER TANK CUDDAPAH ANP 516101"/>
    <s v="AGRICULTURE &quot;11, MYSOORIVARIPALLI&quot; KODUR KODUR CUDDAPAH ANP 516101"/>
    <s v="CUDDAPAH"/>
    <x v="1"/>
    <x v="25"/>
    <s v="S SEKHAR"/>
    <n v="845041675"/>
    <s v="Ssd@9290"/>
    <m/>
    <m/>
    <x v="1"/>
    <m/>
    <m/>
    <x v="1"/>
    <d v="2026-01-17T00:00:00"/>
    <n v="8540"/>
    <s v="ICICI Bank HPCL Super Saver Master Credit Card"/>
    <s v="14TH JULY"/>
    <s v="0000000025977116"/>
    <d v="2026-07-09T00:00:00"/>
  </r>
  <r>
    <s v="5241935730333007"/>
    <s v="MR SALAPALA JANARDHANAREDDY"/>
    <n v="0"/>
    <x v="0"/>
    <m/>
    <m/>
    <m/>
    <s v="N"/>
    <x v="14"/>
    <s v="8374627706"/>
    <s v="X"/>
    <n v="3406.7100000000064"/>
    <n v="80000"/>
    <n v="83406.710000000006"/>
    <s v=""/>
    <n v="83406.710000000006"/>
    <n v="74887.679999999993"/>
    <n v="15500"/>
    <n v="4753.37"/>
    <x v="0"/>
    <x v="0"/>
    <n v="0"/>
    <n v="4753.37"/>
    <x v="0"/>
    <s v="NA"/>
    <n v="0"/>
    <s v="SAMBA"/>
    <x v="13"/>
    <x v="3"/>
    <s v="1-81 NARAYANAPURAM SITARAMARAJU NAGAR  MAIN ROAD ANAPARTHI ANP 515004"/>
    <s v="REAL ESTATE QQ1-81 NARAYANAPURAM SITARAMARAJU NAGAR NAGAR ANAPARTHI ANP 515004"/>
    <s v="ANAPARTHI"/>
    <x v="1"/>
    <x v="12"/>
    <s v="POORNIMA"/>
    <n v="802824019"/>
    <s v="Nihan@2421"/>
    <m/>
    <m/>
    <x v="1"/>
    <m/>
    <m/>
    <x v="1"/>
    <d v="2025-07-08T00:00:00"/>
    <n v="15000"/>
    <s v="ICICI Bank HPCL Super Saver Master Credit Card"/>
    <s v="14TH JULY"/>
    <s v="0000000025983250"/>
    <d v="2026-07-09T00:00:00"/>
  </r>
  <r>
    <s v="5241935738987002"/>
    <s v="MR PANUGANTI LAKSHMANARAO"/>
    <n v="0"/>
    <x v="0"/>
    <m/>
    <m/>
    <m/>
    <s v="N"/>
    <x v="14"/>
    <s v="8179567848"/>
    <s v="X"/>
    <n v="3220"/>
    <n v="90000"/>
    <n v="93220"/>
    <n v="70480.850000000006"/>
    <n v="22739.15"/>
    <n v="18761.61"/>
    <n v="16560"/>
    <n v="5820"/>
    <x v="0"/>
    <x v="0"/>
    <n v="0"/>
    <n v="5820"/>
    <x v="0"/>
    <s v="NA"/>
    <n v="0"/>
    <s v="SAMBA"/>
    <x v="13"/>
    <x v="3"/>
    <s v="HSNO 3-39 BANJARA COLONY DAMMAPETA  MAIN ROAD KHAMMAM TNG 507306"/>
    <s v="BAJAJ FINANCIAL SECURITIES LIMITED HNO 5-44  ADAPA SATYANARAYANA STREET SATHUPALLY SATHUPALLY KHAMMAM TNG 507303"/>
    <s v="KHAMMAM"/>
    <x v="0"/>
    <x v="29"/>
    <s v="SUDHAKAR"/>
    <n v="802913252"/>
    <s v="Ssd@9290"/>
    <m/>
    <m/>
    <x v="1"/>
    <m/>
    <m/>
    <x v="1"/>
    <d v="2026-05-02T00:00:00"/>
    <n v="9640.93"/>
    <s v="ICICI Bank HPCL Super Saver Master Credit Card"/>
    <s v="14TH JULY"/>
    <s v="0000000026376065"/>
    <d v="2026-07-09T00:00:00"/>
  </r>
  <r>
    <s v="5241935760986005"/>
    <s v="MR ADIPELLI SRIKANTH"/>
    <n v="0"/>
    <x v="0"/>
    <m/>
    <m/>
    <m/>
    <s v="N"/>
    <x v="14"/>
    <s v="9391278273"/>
    <s v="X"/>
    <n v="4874.8800000000047"/>
    <n v="90000"/>
    <n v="94874.880000000005"/>
    <n v="59170.15"/>
    <n v="35704.730000000003"/>
    <n v="28571.64"/>
    <n v="16430"/>
    <n v="8570"/>
    <x v="0"/>
    <x v="0"/>
    <n v="0"/>
    <n v="8570"/>
    <x v="0"/>
    <s v="NA"/>
    <n v="0"/>
    <s v="SAMBA"/>
    <x v="13"/>
    <x v="3"/>
    <s v="0-05 MANDAL TALAMADUGU DORLI  ADILABAD TNG 504312"/>
    <s v="RELIANCE SMSL LIMITED C/O RELIANCE DIGITAL H NO 3-2-29/15/B1 AMBEDKAR CHOWK ADILABAD AMBEDKAR CHOWK ADILABAD ADILABAD TNG 504001"/>
    <s v="ADILABAD"/>
    <x v="0"/>
    <x v="3"/>
    <s v="KANTH"/>
    <n v="802794852"/>
    <s v="Ssd@9290"/>
    <m/>
    <m/>
    <x v="0"/>
    <s v="LIVE"/>
    <s v="Customer visit office address customer present not working this office present working at Hyderabad location talk to customer PTP 18TH"/>
    <x v="23"/>
    <d v="2025-10-21T00:00:00"/>
    <n v="11582"/>
    <s v="ICICI Bank HPCL Super Saver Master Credit Card"/>
    <s v="14TH JULY"/>
    <s v="0000000027388885"/>
    <d v="2026-07-09T00:00:00"/>
  </r>
  <r>
    <s v="5241935763039000"/>
    <s v="MS POTHURAJU BALA SARASWATHI"/>
    <n v="0"/>
    <x v="0"/>
    <m/>
    <m/>
    <m/>
    <s v="N"/>
    <x v="14"/>
    <s v="9866288345"/>
    <s v="Y"/>
    <n v="-143173.78"/>
    <n v="200000"/>
    <n v="56826.22"/>
    <s v=""/>
    <n v="56826.22"/>
    <n v="56670.23"/>
    <n v="5570"/>
    <n v="2870"/>
    <x v="0"/>
    <x v="0"/>
    <n v="0"/>
    <n v="2870"/>
    <x v="0"/>
    <s v="NA"/>
    <n v="0"/>
    <s v="SAMBA"/>
    <x v="13"/>
    <x v="3"/>
    <s v="D NO 5/90 NANDALUR CHUDDAPAH NANDALUR CUDDAPAH ANP 516150"/>
    <s v="ZILLA PRAJA PARISHAD PANCHAYATHY ZILLA PRAJA PARISHAD PANCHAYAYHY &quot;NEAR KOTIREDDY CIRCLE ,KADAPA&quot; &quot;NEAR KOTIREDDY CIRCLE ,KADAPA&quot; CUDDAPAH ANP 516001"/>
    <s v="CUDDAPAH"/>
    <x v="1"/>
    <x v="48"/>
    <s v="SIVARAU"/>
    <n v="801601134"/>
    <s v="Ssd@9290"/>
    <m/>
    <m/>
    <x v="1"/>
    <m/>
    <m/>
    <x v="1"/>
    <d v="2024-07-16T00:00:00"/>
    <n v="25560"/>
    <s v="ICICI Bank HPCL Super Saver Master Credit Card"/>
    <s v="14TH JULY"/>
    <s v="0000000027516916"/>
    <d v="2026-07-09T00:00:00"/>
  </r>
  <r>
    <s v="5241935765482000"/>
    <s v="MR ASWAPURI JAYARAGHAVA"/>
    <n v="0"/>
    <x v="0"/>
    <m/>
    <m/>
    <m/>
    <s v="N"/>
    <x v="14"/>
    <s v="9502925571"/>
    <s v="X"/>
    <n v="181.50999999999476"/>
    <n v="80000"/>
    <n v="80181.509999999995"/>
    <s v=""/>
    <n v="80181.509999999995"/>
    <n v="70905.070000000007"/>
    <n v="15420"/>
    <n v="7260"/>
    <x v="1"/>
    <x v="2"/>
    <n v="8000"/>
    <n v="-740"/>
    <x v="25"/>
    <s v="TC"/>
    <s v="30501-BBPS Payment received"/>
    <s v="SAMBA"/>
    <x v="13"/>
    <x v="3"/>
    <s v="13-1-525-182 LECTURERS COLONEY  NEAR .MAIN ROAD ANAPARTHI ANP 515001"/>
    <s v="RICE BUSINESS 13-1-525-182 LECTURERS COLONY COLONY ANAPARTHI ANP 515001"/>
    <s v="ANAPARTHI"/>
    <x v="1"/>
    <x v="12"/>
    <s v="POORNIMA"/>
    <n v="802824019"/>
    <s v="Nihan@2421"/>
    <m/>
    <m/>
    <x v="0"/>
    <m/>
    <m/>
    <x v="1"/>
    <d v="2026-05-14T00:00:00"/>
    <n v="20870"/>
    <s v="ICICI Bank HPCL Super Saver Master Credit Card"/>
    <s v="14TH JULY"/>
    <s v="0000000027634923"/>
    <d v="2026-07-09T00:00:00"/>
  </r>
  <r>
    <s v="5241935784584000"/>
    <s v="MR MALIGELA SANGEETHA RAO"/>
    <n v="0"/>
    <x v="0"/>
    <m/>
    <m/>
    <m/>
    <s v="N"/>
    <x v="14"/>
    <s v="9985231451"/>
    <s v="X"/>
    <n v="10416.179999999993"/>
    <n v="200000"/>
    <n v="210416.18"/>
    <s v=""/>
    <n v="210416.18"/>
    <n v="187579.49"/>
    <n v="53750"/>
    <n v="24600"/>
    <x v="0"/>
    <x v="0"/>
    <n v="0"/>
    <n v="24600"/>
    <x v="0"/>
    <s v="NA"/>
    <n v="0"/>
    <s v="SAMBA"/>
    <x v="3"/>
    <x v="3"/>
    <s v="C/O A SUJATA REDDEPPA REDDY NAIDU COLONY MARPURI KRISHNA MURTHY STREET MADANAPET  MAIN ROAD MADANAPALLE ANP 517325"/>
    <s v="ICICI PRUDENTIAL LIFE INSURANCE CO LIMIT MADANAPALLE   MADANAPALLE ANP 517325"/>
    <s v="MADANAPALLE"/>
    <x v="1"/>
    <x v="25"/>
    <s v="S SEKHAR"/>
    <n v="845041675"/>
    <s v="Ssd@9290"/>
    <m/>
    <m/>
    <x v="1"/>
    <m/>
    <m/>
    <x v="1"/>
    <d v="2025-03-03T00:00:00"/>
    <n v="33000"/>
    <s v="ICICI Bank HPCL Super Saver Master Credit Card"/>
    <s v="14TH JULY"/>
    <s v="0000000029028145"/>
    <d v="2026-07-09T00:00:00"/>
  </r>
  <r>
    <s v="5241935788511009"/>
    <s v="MR TIRUMALARAJU VARMA"/>
    <n v="0"/>
    <x v="0"/>
    <m/>
    <m/>
    <m/>
    <s v="N"/>
    <x v="14"/>
    <s v="9346111119"/>
    <s v="X"/>
    <n v="45224.089999999967"/>
    <n v="500000"/>
    <n v="545224.09"/>
    <s v=""/>
    <n v="545224.09"/>
    <n v="497819.37"/>
    <n v="140240"/>
    <n v="93210"/>
    <x v="0"/>
    <x v="0"/>
    <n v="0"/>
    <n v="93210"/>
    <x v="0"/>
    <s v="NA"/>
    <n v="0"/>
    <s v="SAMBA"/>
    <x v="3"/>
    <x v="3"/>
    <s v="&quot;2-273/1, GAYATRI NAGAR&quot; KONGODU GOLLAPALEM KARAPA NEAR GAYATRI NAGAR KAKINADA ANP 533468"/>
    <s v="SRI MANVITHA INFRA DEVELOPERS &quot;2-273/1, KARAPA&quot; &quot;GAYATRI NAGAR, GOLLAPALEM&quot; &quot;GAYATRI NAGAR, GOLLAPALEM&quot; KAKINADA ANP 533468"/>
    <s v="KAKINADA"/>
    <x v="4"/>
    <x v="28"/>
    <s v="B NAGABABU"/>
    <n v="801448854"/>
    <s v="Sgr@9290"/>
    <m/>
    <m/>
    <x v="1"/>
    <m/>
    <m/>
    <x v="1"/>
    <d v="2024-12-17T00:00:00"/>
    <n v="49000"/>
    <s v="ICICI Bank HPCL Super Saver Master Credit Card"/>
    <s v="14TH JULY"/>
    <s v="0000000029327255"/>
    <d v="2026-07-09T00:00:00"/>
  </r>
  <r>
    <s v="5241935803827000"/>
    <s v="MS VANITHA UIKKE"/>
    <n v="0"/>
    <x v="0"/>
    <m/>
    <m/>
    <m/>
    <s v="N"/>
    <x v="14"/>
    <s v="9492328010"/>
    <s v="X"/>
    <n v="15500.210000000021"/>
    <n v="409000"/>
    <n v="424500.21"/>
    <s v=""/>
    <n v="424500.21"/>
    <n v="384510.95"/>
    <n v="79840"/>
    <n v="26680"/>
    <x v="0"/>
    <x v="0"/>
    <n v="0"/>
    <n v="26680"/>
    <x v="0"/>
    <s v="NA"/>
    <n v="0"/>
    <s v="SAMBA"/>
    <x v="2"/>
    <x v="3"/>
    <s v="DASNAPUR H NO.11-25/7 ADILABAD NEAR DASNAPUR ADILABAD TNG 504001"/>
    <s v="GOVERNMENT OF TELANGANA RIMS HOSPITAL ADILABAD ADILABAD ADILABAD TNG 504001"/>
    <s v="ADILABAD"/>
    <x v="0"/>
    <x v="3"/>
    <s v="KANTH"/>
    <n v="802794852"/>
    <s v="Ssd@9290"/>
    <m/>
    <m/>
    <x v="0"/>
    <s v="SKIP"/>
    <s v="Customer visit office address not available customer ask nighbour no one not respond phone not lifting // Customer visit home address not found home address ask nighbour no one not respond phone not lifting"/>
    <x v="22"/>
    <d v="2026-03-05T00:00:00"/>
    <n v="42880"/>
    <s v="ICICI Sapphiro Master PLT Chip Card"/>
    <s v="14TH JULY"/>
    <s v="0000000031235476"/>
    <d v="2026-07-09T00:00:00"/>
  </r>
  <r>
    <s v="5241935810086004"/>
    <s v="MR SIVA INDLA"/>
    <n v="0"/>
    <x v="0"/>
    <m/>
    <m/>
    <m/>
    <s v="N"/>
    <x v="14"/>
    <s v="9061877635"/>
    <s v="X"/>
    <n v="5493.4200000000128"/>
    <n v="160000"/>
    <n v="165493.42000000001"/>
    <n v="49020.54"/>
    <n v="116472.88"/>
    <n v="105756.35"/>
    <n v="47370"/>
    <n v="22740"/>
    <x v="1"/>
    <x v="1"/>
    <n v="47370"/>
    <n v="-24630"/>
    <x v="27"/>
    <s v="FE"/>
    <s v="12111-ICICI BANK COLLECTION PAYMENT"/>
    <s v="SAMBA"/>
    <x v="11"/>
    <x v="3"/>
    <s v="787 &quot;SRINAGAR 7/4 GUNTUR,&quot;  Guntur GTR ANP 522002"/>
    <s v="NAGULAPALEM 5 33 TIRUMALA COMPLEX CHIRALAROAD NEAR INDIAN OIL PETROL BUNK PARCH   ONG ANP 523169"/>
    <s v="GUNTUR"/>
    <x v="5"/>
    <x v="43"/>
    <s v="INAMUL"/>
    <n v="802823175"/>
    <s v="Sgr@9290"/>
    <m/>
    <m/>
    <x v="0"/>
    <m/>
    <m/>
    <x v="1"/>
    <d v="2026-04-30T00:00:00"/>
    <n v="88021.759999999995"/>
    <s v="ICICI Bank HPCL Super Saver Master Credit Card"/>
    <s v="14TH JULY"/>
    <s v="0000000032756989"/>
    <d v="2026-07-09T00:00:00"/>
  </r>
  <r>
    <s v="6528690030605008"/>
    <s v="MS CHELLURI AMBICA"/>
    <n v="0"/>
    <x v="0"/>
    <m/>
    <m/>
    <m/>
    <s v="N"/>
    <x v="14"/>
    <s v="9392662366"/>
    <s v="X"/>
    <n v="9427.5899999999965"/>
    <n v="190000"/>
    <n v="199427.59"/>
    <n v="118660.84"/>
    <n v="80766.75"/>
    <n v="69637.509999999995"/>
    <n v="52150"/>
    <n v="23180"/>
    <x v="0"/>
    <x v="0"/>
    <n v="0"/>
    <n v="23180"/>
    <x v="0"/>
    <s v="NA"/>
    <n v="0"/>
    <s v="SAMBA"/>
    <x v="3"/>
    <x v="3"/>
    <s v="&quot;DNO 23B-8-70, EEDAVARI STREET, RR PETA&quot; &quot;ELURU, WEST GODAVARI&quot;  BESIDE SHOPPING MALLS ELURU ANP 534002"/>
    <s v="BAJAJ CAPITAL INSURANCE BROKING LIMITED &quot;2ND FLOOR, DNO 23B-9-6, JAYALAXMI CMPLX&quot; &quot;RRPETA, ELURU, WEST GODAVARI&quot; &quot;RRPETA, ELURU, WEST GODAVARI&quot; ELURU ANP 534002"/>
    <s v="ELURU"/>
    <x v="4"/>
    <x v="32"/>
    <s v="BHARAT CHANDRA"/>
    <n v="802631601"/>
    <s v="Ssde@9290"/>
    <m/>
    <m/>
    <x v="1"/>
    <m/>
    <m/>
    <x v="1"/>
    <d v="2024-11-30T00:00:00"/>
    <n v="12142.57"/>
    <s v="ICICI Bank HPCL Super Saver RuPay Credit Card"/>
    <s v="14TH JULY"/>
    <s v="0000000029294932"/>
    <d v="2026-07-09T00:00:00"/>
  </r>
  <r>
    <s v="6528690032443002"/>
    <s v="MR PULLA VARUN CHANDRA"/>
    <n v="0"/>
    <x v="0"/>
    <m/>
    <m/>
    <m/>
    <s v="N"/>
    <x v="14"/>
    <s v="9160098500"/>
    <s v="X"/>
    <n v="20019.75"/>
    <n v="200000"/>
    <n v="220019.75"/>
    <s v=""/>
    <n v="220019.75"/>
    <n v="196979.21"/>
    <n v="53980"/>
    <n v="23510"/>
    <x v="0"/>
    <x v="0"/>
    <n v="0"/>
    <n v="23510"/>
    <x v="0"/>
    <s v="NA"/>
    <n v="0"/>
    <s v="SAMBA"/>
    <x v="11"/>
    <x v="3"/>
    <s v="25-6-8 KAZIPET VIDYA NAGAR KAZIPET WARANGAL TNG 506003"/>
    <s v="COGNIZANT TECHNOLOGY SOLUTIONS INDIA PRI &quot;SY NO 51P,58,59P,62P,&quot; &quot;NANAKRAMGUDA VILLAGES,SERILINGAMPALLY&quot; &quot;NANAKRAMGUDA VILLAGES,SERILINGAMPALLY&quot; HYDERABAD TNG 500008"/>
    <s v="WARANGAL"/>
    <x v="0"/>
    <x v="0"/>
    <s v="AKHIL"/>
    <n v="801772792"/>
    <s v="Sgr@9290"/>
    <m/>
    <m/>
    <x v="1"/>
    <m/>
    <m/>
    <x v="1"/>
    <d v="2024-08-06T00:00:00"/>
    <n v="180055"/>
    <s v="ICICI Bank HPCL Super Saver RuPay Credit Card"/>
    <s v="14TH JULY"/>
    <s v="0000000029449863"/>
    <d v="2026-07-09T00:00:00"/>
  </r>
  <r>
    <s v="6528690034556009"/>
    <s v="MR KASTURI SIVA SANKAR"/>
    <n v="0"/>
    <x v="0"/>
    <m/>
    <m/>
    <m/>
    <s v="N"/>
    <x v="14"/>
    <s v="9885110143"/>
    <s v="X"/>
    <n v="20394.840000000026"/>
    <n v="250000"/>
    <n v="270394.84000000003"/>
    <s v=""/>
    <n v="270394.84000000003"/>
    <n v="245062.51"/>
    <n v="60610"/>
    <n v="23600"/>
    <x v="0"/>
    <x v="0"/>
    <n v="0"/>
    <n v="23600"/>
    <x v="0"/>
    <s v="NA"/>
    <n v="0"/>
    <s v="SAMBA"/>
    <x v="3"/>
    <x v="3"/>
    <s v="10/682 PAGADALAPALLY  RLY KODUR CUDDAPAH ANP 516101"/>
    <s v="T SYSTEMS INFORMATION AND COMMUNICATION &quot;UMIYA BUSINESS BAY TOWERII,4TH FLOOR CAS&quot; &quot;SENA BUSINESS PARK,OFF,OUTER RING RD,MAR&quot; &quot;SENA BUSINESS PARK,OFF,OUTER RING RD,MAR&quot; BANGALORE KAR 560103"/>
    <s v="CUDDAPAH"/>
    <x v="1"/>
    <x v="25"/>
    <s v="S SEKHAR"/>
    <n v="845041675"/>
    <s v="Ssd@9290"/>
    <m/>
    <m/>
    <x v="1"/>
    <m/>
    <m/>
    <x v="1"/>
    <d v="2025-06-08T00:00:00"/>
    <n v="40000"/>
    <s v="ICICI Bank HPCL Super Saver RuPay Credit Card"/>
    <s v="14TH JULY"/>
    <s v="0000000029662501"/>
    <d v="2026-07-09T00:00:00"/>
  </r>
  <r>
    <s v="6528690061833008"/>
    <s v="MR. SYED GHOUSE BASHA"/>
    <n v="0"/>
    <x v="0"/>
    <m/>
    <m/>
    <m/>
    <s v="N"/>
    <x v="14"/>
    <s v="9849500720"/>
    <s v="X"/>
    <n v="-247845.31"/>
    <n v="300000"/>
    <n v="52154.69"/>
    <s v=""/>
    <n v="52154.69"/>
    <n v="45932.88"/>
    <n v="8610"/>
    <n v="2840"/>
    <x v="0"/>
    <x v="0"/>
    <n v="0"/>
    <n v="2840"/>
    <x v="0"/>
    <s v="NA"/>
    <n v="0"/>
    <s v="SAMBA"/>
    <x v="13"/>
    <x v="3"/>
    <s v="1/26-4-a vijaya nagar colony CUDAPPAH CHEMMUMIAPET KADAPA gopal driving school CUDDAPAH ANP 516003"/>
    <s v="AJANTA PHARMA LTD AJANTA PHARMA LIMITED H NO 376/16 BASANT NAGAR KACHIGUDA BASANT NAGAR KACHIGUDA Hyderabad TNG 500027"/>
    <s v="CUDDAPAH"/>
    <x v="1"/>
    <x v="48"/>
    <s v="SIVARAU"/>
    <n v="801601134"/>
    <s v="Ssd@9290"/>
    <m/>
    <m/>
    <x v="1"/>
    <m/>
    <m/>
    <x v="1"/>
    <d v="2026-05-03T00:00:00"/>
    <n v="1"/>
    <s v="ICICI Bank HPCL Super Saver RuPay Credit Card"/>
    <s v="14TH JULY"/>
    <s v="0000000031035156"/>
    <d v="2026-07-09T00:00:00"/>
  </r>
  <r>
    <s v="6528690095035000"/>
    <s v="MR Thanda Sanjay Goud"/>
    <n v="0"/>
    <x v="0"/>
    <m/>
    <m/>
    <m/>
    <s v="N"/>
    <x v="14"/>
    <s v="9573989053"/>
    <s v="X"/>
    <n v="-1395.6499999999942"/>
    <n v="230000"/>
    <n v="228604.35"/>
    <n v="194801.05"/>
    <n v="33803.300000000003"/>
    <n v="16983.759999999998"/>
    <n v="33803.300000000003"/>
    <n v="19794.13"/>
    <x v="0"/>
    <x v="0"/>
    <n v="0"/>
    <n v="19794.13"/>
    <x v="0"/>
    <s v="NA"/>
    <n v="0"/>
    <s v="SAMBA"/>
    <x v="0"/>
    <x v="3"/>
    <s v="H No 2 2 Hasanparthi Mandal Siddhapoor Warangal WARANGAL TNG 506006"/>
    <s v="SAI SIDDAPUR MANDA HASANPARTHI SIDDAPUR MANDAL HASANPARTHI SIDDAPUR MANDAL HASANPARTHI WARANGAL TNG 506002"/>
    <s v="WARANGAL"/>
    <x v="0"/>
    <x v="0"/>
    <s v="AKHIL"/>
    <n v="801772792"/>
    <s v="Sgr@9290"/>
    <m/>
    <m/>
    <x v="1"/>
    <m/>
    <m/>
    <x v="1"/>
    <s v=""/>
    <n v="0"/>
    <s v="ICICI Bank Coral RuPay Credit Card"/>
    <s v="14TH JULY"/>
    <s v="0000000032272082"/>
    <d v="2026-07-09T00:00:00"/>
  </r>
  <r>
    <s v="6528690097568008"/>
    <s v="MS GODUMALA DIVYA"/>
    <n v="0"/>
    <x v="0"/>
    <m/>
    <m/>
    <m/>
    <s v="N"/>
    <x v="14"/>
    <s v="8142646359"/>
    <s v="X"/>
    <n v="14824.770000000004"/>
    <n v="77000"/>
    <n v="91824.77"/>
    <s v=""/>
    <n v="91824.77"/>
    <n v="80937.2"/>
    <n v="32420"/>
    <n v="18490"/>
    <x v="0"/>
    <x v="0"/>
    <n v="0"/>
    <n v="18490"/>
    <x v="0"/>
    <s v="NA"/>
    <n v="0"/>
    <s v="SAMBA"/>
    <x v="13"/>
    <x v="3"/>
    <s v="H.No.7.115 VILLAGE.VELLANKI HANUMAN.NAGAR Mandal ramannapet NALGONDA TNG 508113"/>
    <s v="DIVYA.TAILORING.WORKS 13.11.120 VALIGONDA.ROAD..CHOUTUPPAL.. VALIGONDA.ROAD..CHOUTUPPAL.. NALGONDA TNG 508252"/>
    <s v="NALGONDA"/>
    <x v="0"/>
    <x v="17"/>
    <s v="PAVAN"/>
    <n v="802823180"/>
    <s v="Sgr@9290"/>
    <m/>
    <m/>
    <x v="0"/>
    <s v="LIVE"/>
    <s v="Customer  and Customer husband meet in Choutuppal and Customer &amp; Customer husband ptp on Saturday"/>
    <x v="22"/>
    <d v="2026-04-25T00:00:00"/>
    <n v="500"/>
    <s v="ICICI Bank Coral RuPay Credit Card"/>
    <s v="14TH JULY"/>
    <s v="0000000032328031"/>
    <d v="2026-07-09T00:00:00"/>
  </r>
  <r>
    <s v="6528690175120003"/>
    <s v="MR SINGAMSETTI KUMAR"/>
    <n v="0"/>
    <x v="0"/>
    <m/>
    <m/>
    <m/>
    <s v="N"/>
    <x v="14"/>
    <s v="9398001560"/>
    <s v="X"/>
    <n v="9401.8699999999953"/>
    <n v="100000"/>
    <n v="109401.87"/>
    <n v="24383.93"/>
    <n v="85017.94"/>
    <n v="72450.429999999993"/>
    <n v="28730"/>
    <n v="18140"/>
    <x v="1"/>
    <x v="1"/>
    <n v="30000"/>
    <n v="-11860"/>
    <x v="27"/>
    <s v="FE"/>
    <s v="30501-BBPS Payment received"/>
    <s v="SAMBA"/>
    <x v="0"/>
    <x v="3"/>
    <s v="12-91/2 &quot;CHALLAVARI PALEM,.,,ANKIREDDIPALEM RURAL&quot;  &quot;Dndl Smart City , Nallapdu Village Guntur MuGuntur&quot; GTR ANP 522005"/>
    <s v="&quot;Sy. No. 30, 34, Avinash Hitech City 2&quot; &quot;Society, Plot H-01B, 35 &amp; 38, Gachibowli, Se&quot;   HYD TNG 500081"/>
    <s v="GUNTUR"/>
    <x v="5"/>
    <x v="43"/>
    <s v="INAMUL"/>
    <n v="802823175"/>
    <s v="Sgr@9290"/>
    <m/>
    <m/>
    <x v="0"/>
    <s v="MESS"/>
    <s v="Cmr given address visited discussing about payment with father sir"/>
    <x v="25"/>
    <d v="2026-01-05T00:00:00"/>
    <n v="9570"/>
    <s v="ICICI Bank HPCL Super Saver RuPay Credit Card"/>
    <s v="14TH JULY"/>
    <s v="0000000034594642"/>
    <d v="2026-07-09T00:00:00"/>
  </r>
  <r>
    <s v="4035623055504005"/>
    <s v="MS UDATHA ANUSHA"/>
    <n v="0"/>
    <x v="0"/>
    <m/>
    <m/>
    <m/>
    <s v="N"/>
    <x v="18"/>
    <s v="8340886192"/>
    <s v="X"/>
    <n v="8235.1199999999953"/>
    <n v="290000"/>
    <n v="298235.12"/>
    <n v="201287.82"/>
    <n v="96947.3"/>
    <n v="80301.05"/>
    <n v="68490"/>
    <n v="33015.79"/>
    <x v="0"/>
    <x v="0"/>
    <n v="0"/>
    <n v="33015.79"/>
    <x v="0"/>
    <s v="NA"/>
    <n v="0"/>
    <s v="SAMBA"/>
    <x v="11"/>
    <x v="3"/>
    <s v="&quot;DR NO 2-10,SUSARLA VARI STREET&quot; &quot;KALUVOYA, NELLORE&quot;  CHENNAKESAVA SWAMY TEMPLE GUDUR ANP 524343"/>
    <s v="ANVHYA TECHNICAL SOLUTION PVT LTD &quot;NO 37,SECRETARIAT COLONY RD,&quot; GACHIBOWLI GACHIBOWLI TNG 500032"/>
    <s v="GUDUR"/>
    <x v="2"/>
    <x v="4"/>
    <s v="IMAMVALLI"/>
    <n v="802789320"/>
    <s v="Ssd@9290"/>
    <m/>
    <m/>
    <x v="1"/>
    <m/>
    <m/>
    <x v="1"/>
    <d v="2026-05-24T00:00:00"/>
    <n v="28277.88"/>
    <s v="ICICI Bank Platinum Chip Credit Card"/>
    <s v="15TH JULY"/>
    <s v="0000000024915437"/>
    <d v="2026-07-13T00:00:00"/>
  </r>
  <r>
    <s v="4073520021601001"/>
    <s v="MR PAVAN CHAKRAVARTHI V"/>
    <n v="0"/>
    <x v="0"/>
    <m/>
    <m/>
    <m/>
    <s v="N"/>
    <x v="18"/>
    <s v="9000033337"/>
    <s v="X"/>
    <n v="-19924.97"/>
    <n v="121000"/>
    <n v="101075.03"/>
    <s v=""/>
    <n v="101075.03"/>
    <n v="90515.59"/>
    <n v="20280"/>
    <n v="10130"/>
    <x v="0"/>
    <x v="0"/>
    <n v="0"/>
    <n v="10130"/>
    <x v="0"/>
    <s v="NA"/>
    <n v="0"/>
    <s v="SAMBA"/>
    <x v="3"/>
    <x v="3"/>
    <s v="NO 18 6 LINGALA STREET PENUGONDA NEAR REDDY KJALYANAMANDAPAN BHIMAVARAM ANP 534320"/>
    <s v="GOVERNMENT OF ADHRAPARADESH CO OPERATIVE 90 THE NARASAPURAM URBAN SOCIETY NARSAPURAM NARSAPURAM ANP 534275"/>
    <s v="BHIMAVARAM"/>
    <x v="4"/>
    <x v="26"/>
    <s v="B NAGABABU"/>
    <n v="801448854"/>
    <s v="Sgr@9290"/>
    <m/>
    <m/>
    <x v="1"/>
    <m/>
    <m/>
    <x v="1"/>
    <d v="2025-06-03T00:00:00"/>
    <n v="7552.26"/>
    <s v="MakeMyTrip ICICI Bank Signature Credit Card"/>
    <s v="15TH JULY"/>
    <s v="0000000014407078"/>
    <d v="2026-07-13T00:00:00"/>
  </r>
  <r>
    <s v="4375518923520019"/>
    <s v="MR POLASU LOKESH"/>
    <n v="0"/>
    <x v="0"/>
    <m/>
    <m/>
    <m/>
    <s v="N"/>
    <x v="18"/>
    <s v="9701067473"/>
    <s v="X"/>
    <n v="7850.6199999999953"/>
    <n v="100000"/>
    <n v="107850.62"/>
    <n v="47765.3"/>
    <n v="60085.32"/>
    <n v="51427.48"/>
    <n v="20790"/>
    <n v="7370"/>
    <x v="0"/>
    <x v="0"/>
    <n v="0"/>
    <n v="7370"/>
    <x v="0"/>
    <s v="NA"/>
    <n v="0"/>
    <s v="SAMBA"/>
    <x v="2"/>
    <x v="3"/>
    <s v="&quot;37,333,1,PURUSHOTHA PATNAM,CHILAKALURIPE&quot; &quot;T,,NEAR WATER TANK&quot;  NEAR BY WATER  TANK GUNTUR ANP 522616"/>
    <s v="CLOUD4C SERVICES PRIVATE LIMITED PLOT NO-126 RAHEJA MINDSPACE OPP KNOWLEDGE CITY  HIGH TECH OPP KNOWLEDGE CITY  HIGH TECH TNG 500081"/>
    <s v="GUNTUR"/>
    <x v="5"/>
    <x v="35"/>
    <s v="DURGA"/>
    <n v="801723195"/>
    <s v="Sgr@9290"/>
    <m/>
    <m/>
    <x v="1"/>
    <m/>
    <m/>
    <x v="1"/>
    <d v="2024-06-24T00:00:00"/>
    <n v="6000"/>
    <s v="ICICI Bank Platinum Chip Credit Card"/>
    <s v="15TH JULY"/>
    <s v="0000000012733024"/>
    <d v="2026-07-13T00:00:00"/>
  </r>
  <r>
    <s v="4035621266560006"/>
    <s v="MR KANCHARLA PHANEENDRA"/>
    <n v="0"/>
    <x v="0"/>
    <m/>
    <m/>
    <m/>
    <s v="N"/>
    <x v="20"/>
    <s v="9492907252"/>
    <s v="X"/>
    <n v="9473.3099999999977"/>
    <n v="110000"/>
    <n v="119473.31"/>
    <n v="77842.17"/>
    <n v="41631.14"/>
    <n v="31849.81"/>
    <n v="29800"/>
    <n v="14780"/>
    <x v="0"/>
    <x v="0"/>
    <n v="19"/>
    <n v="14761"/>
    <x v="0"/>
    <s v="NA"/>
    <s v="12111-ICICI BANK COLLECTION PAYMENT"/>
    <s v="SAMBA"/>
    <x v="11"/>
    <x v="3"/>
    <s v="&quot;8-2-29,,Kakinada (Urban)&quot; Mallya agraharam Gandhinagar KAKINADA Near Krishna temple KAKINADA ANP 533004"/>
    <s v="MOLBIO BIAGANGOSTITS PVT LTD &quot;GANESH, GANPATI TEMPLE RD&quot; GOA 403722 GOA 403722 GOA 403722"/>
    <s v="KAKINADA"/>
    <x v="4"/>
    <x v="23"/>
    <s v="UDAY"/>
    <n v="801436997"/>
    <s v="Ssd@9290"/>
    <m/>
    <m/>
    <x v="1"/>
    <m/>
    <m/>
    <x v="1"/>
    <d v="2026-05-02T00:00:00"/>
    <n v="36230"/>
    <s v="ICICI Bank Coral Credit Card"/>
    <s v="15TH JULY"/>
    <s v="0000000026691738"/>
    <d v="2026-07-14T00:00:00"/>
  </r>
  <r>
    <s v="4315813923781007"/>
    <s v="MR MEDISETTI KUMAR"/>
    <n v="0"/>
    <x v="0"/>
    <m/>
    <m/>
    <m/>
    <s v="N"/>
    <x v="20"/>
    <s v="8185953542"/>
    <s v="W"/>
    <n v="-80688.92"/>
    <n v="150000"/>
    <n v="69311.08"/>
    <n v="50424.08"/>
    <n v="18887"/>
    <n v="15613.46"/>
    <n v="18887"/>
    <n v="9642.5499999999993"/>
    <x v="0"/>
    <x v="0"/>
    <n v="0"/>
    <n v="9642.5499999999993"/>
    <x v="0"/>
    <s v="NA"/>
    <n v="0"/>
    <s v="SAMBA"/>
    <x v="11"/>
    <x v="3"/>
    <s v="2.163.MEDISETTI.VARI.VEEDHI.KAJULURU.MAN KOLANKA.. ..  KAKINADA ANP 533464"/>
    <s v="Padmaja.general.agency. 2.163.Medisetti.vari.veedhi. Kolanka Kolanka ANP 533464"/>
    <s v="KAKINADA"/>
    <x v="4"/>
    <x v="28"/>
    <s v="B NAGABABU"/>
    <n v="801448854"/>
    <s v="Sgr@9290"/>
    <m/>
    <m/>
    <x v="1"/>
    <m/>
    <m/>
    <x v="1"/>
    <d v="2025-09-01T00:00:00"/>
    <n v="200"/>
    <s v="Amazon Pay ICICI Bank Credit Card"/>
    <s v="15TH JULY"/>
    <s v="0000000026017257"/>
    <d v="2026-07-14T00:00:00"/>
  </r>
  <r>
    <s v="4315814003595002"/>
    <s v="MR Mohammed Muzammil Tabrez"/>
    <n v="0"/>
    <x v="0"/>
    <m/>
    <m/>
    <m/>
    <s v="N"/>
    <x v="20"/>
    <s v="9959951469"/>
    <s v="X"/>
    <n v="23425.300000000003"/>
    <n v="50000"/>
    <n v="73425.3"/>
    <n v="44249.59"/>
    <n v="29175.71"/>
    <n v="25404.04"/>
    <n v="28870"/>
    <n v="13312.82"/>
    <x v="0"/>
    <x v="0"/>
    <n v="0"/>
    <n v="13312.82"/>
    <x v="0"/>
    <s v="NA"/>
    <n v="0"/>
    <s v="SAMBA"/>
    <x v="11"/>
    <x v="3"/>
    <s v="8.9.54.1 KHILLA ..KHILLA INSIDE FORT BAGH KHAMMAM TNG 507001"/>
    <s v="MODERN.REAL.ESTTES 89.54.1 INSIDE.FORT.BAGH.KHILLA INSIDE.FORT.BAGH.KHILLA TNG 507001"/>
    <s v="KHAMMAM"/>
    <x v="0"/>
    <x v="2"/>
    <s v="CHAITANYA"/>
    <n v="802555024"/>
    <s v="Ssde@9290"/>
    <m/>
    <m/>
    <x v="0"/>
    <s v="MESS"/>
    <s v="I have Visited Customer given house address customer not available customer father available given ptp by Wednesday"/>
    <x v="25"/>
    <d v="2025-06-05T00:00:00"/>
    <n v="12000"/>
    <s v="Amazon Pay ICICI Bank Credit Card"/>
    <s v="15TH JULY"/>
    <s v="0000000026382524"/>
    <d v="2026-07-14T00:00:00"/>
  </r>
  <r>
    <s v="5474670013848003"/>
    <s v="MR MALLESHWARAM VENKATA KRISHNARA"/>
    <n v="0"/>
    <x v="0"/>
    <m/>
    <m/>
    <m/>
    <s v="N"/>
    <x v="21"/>
    <s v="9440911351"/>
    <s v="X"/>
    <n v="79892.040000000037"/>
    <n v="1000000"/>
    <n v="1079892.04"/>
    <s v=""/>
    <n v="1079892.04"/>
    <n v="980647.24"/>
    <n v="235730"/>
    <n v="96949.94"/>
    <x v="0"/>
    <x v="0"/>
    <n v="0"/>
    <n v="96949.94"/>
    <x v="0"/>
    <s v="NA"/>
    <n v="0"/>
    <s v="SAMBA"/>
    <x v="0"/>
    <x v="3"/>
    <s v="18 36 SANJAY NAGAR COLONY NEAR U P S NAGARKURNOOL  A WANAPARTHY TNG 509209"/>
    <s v="RAMOJIRAO FUEL STATION SY NO 172 F SRIPURAM VILLAGE NAGARKURNOOL NAGARKURNOOL TNG 509209"/>
    <s v="WANAPARTHY"/>
    <x v="0"/>
    <x v="19"/>
    <s v="SAMBA"/>
    <n v="801772794"/>
    <s v="Ssde@9876"/>
    <m/>
    <m/>
    <x v="1"/>
    <m/>
    <m/>
    <x v="1"/>
    <d v="2026-05-16T00:00:00"/>
    <n v="320000"/>
    <s v="ICICI Gold Business Card (BCCL-M)"/>
    <s v="15TH JULY"/>
    <s v="1000000000758258"/>
    <d v="2026-07-15T00:00:00"/>
  </r>
  <r>
    <s v="4375518515995009"/>
    <s v="MR MOHAMMED FAROOQ"/>
    <n v="0"/>
    <x v="0"/>
    <m/>
    <m/>
    <m/>
    <s v="N"/>
    <x v="14"/>
    <s v="9966827550"/>
    <s v="X"/>
    <n v="12252.169999999984"/>
    <n v="250000"/>
    <n v="262252.17"/>
    <n v="146608.43"/>
    <n v="115643.74"/>
    <n v="100326.82"/>
    <n v="37670"/>
    <n v="16150"/>
    <x v="1"/>
    <x v="1"/>
    <n v="37670"/>
    <n v="-21520"/>
    <x v="24"/>
    <s v="TC"/>
    <s v="30501-BBPS Payment received"/>
    <s v="SAMBA"/>
    <x v="11"/>
    <x v="3"/>
    <s v="19 204 MOMINABAD GUNTAKAL GUNTAKAL NEAR BULAN MASEED GUNTUR ANP 515801"/>
    <s v="SOUTH CENTRAL RAILWAY SSC TRD OFFICE RAILWAY STATION ANANTAPUR ANANTAPUR ANAPARTHI ANP 515001"/>
    <s v="GUNTAKAL"/>
    <x v="1"/>
    <x v="12"/>
    <s v="POORNIMA"/>
    <n v="802824019"/>
    <s v="Nihan@2421"/>
    <m/>
    <m/>
    <x v="0"/>
    <m/>
    <m/>
    <x v="1"/>
    <d v="2024-09-08T00:00:00"/>
    <n v="70000"/>
    <s v="MakeMyTrip ICICI Bank Platinum Credit Card"/>
    <s v="15TH JULY"/>
    <s v="0000000014404773"/>
    <d v="2026-07-09T00:00:00"/>
  </r>
  <r>
    <s v="4375518586144008"/>
    <s v="MR SABBAVARAPU VENKATA GANESH"/>
    <n v="0"/>
    <x v="0"/>
    <m/>
    <m/>
    <m/>
    <s v="N"/>
    <x v="14"/>
    <s v="9848414079"/>
    <s v="X"/>
    <n v="1574.5599999999977"/>
    <n v="200000"/>
    <n v="201574.56"/>
    <n v="128179.92"/>
    <n v="73394.64"/>
    <n v="62059.67"/>
    <n v="36980"/>
    <n v="19730"/>
    <x v="0"/>
    <x v="0"/>
    <n v="0"/>
    <n v="19730"/>
    <x v="0"/>
    <s v="NA"/>
    <n v="0"/>
    <s v="SAMBA"/>
    <x v="3"/>
    <x v="3"/>
    <s v="7 5 200 19 A BRINDAVAN MAHBOOBNAGAR BACKSIDE HIMALAYA RESTARANT COLONY Mahbubnagar TNG 509001"/>
    <s v="SOUTHERN POWER DISTRIBUTION CO O O THE SPDCL VIDYUTH BHAVAN TSSPDCL METUGADDA S H 18 METUGADDA S H 18 Mahbubnagar TNG 509001"/>
    <s v="MAHBOOBNAGAR"/>
    <x v="0"/>
    <x v="19"/>
    <s v="SAMBA"/>
    <n v="801772794"/>
    <s v="Ssde@9876"/>
    <m/>
    <m/>
    <x v="1"/>
    <m/>
    <m/>
    <x v="1"/>
    <d v="2024-09-03T00:00:00"/>
    <n v="15000"/>
    <s v="MakeMyTrip ICICI Bank Platinum Credit Card"/>
    <s v="15TH JULY"/>
    <s v="0000000014896797"/>
    <d v="2026-07-09T00:00:00"/>
  </r>
  <r>
    <s v="4748464704841003"/>
    <s v="MR MOHAMMAD MUJAHID ANWAR"/>
    <n v="0"/>
    <x v="0"/>
    <m/>
    <m/>
    <m/>
    <s v="N"/>
    <x v="14"/>
    <s v="9848197414"/>
    <s v="X"/>
    <n v="-29673.619999999995"/>
    <n v="130000"/>
    <n v="100326.38"/>
    <s v=""/>
    <n v="100326.38"/>
    <n v="27484.93"/>
    <n v="75530"/>
    <n v="68030"/>
    <x v="0"/>
    <x v="0"/>
    <n v="0"/>
    <n v="68030"/>
    <x v="0"/>
    <s v="NA"/>
    <n v="0"/>
    <s v="SAMBA"/>
    <x v="2"/>
    <x v="3"/>
    <s v="5-8-315 NALGONDA SHAMS NAGAR NEAR DIET B T S NALGONDA TNG 508001"/>
    <s v="MISSION BHAGIRATHA GRID SUB DIVISION AVANTHIPURAM HUZURNAGAR ROAD MIRYALAGUDA MANDAL NALGONDA MIRYALAGUDA MANDAL NALGONDA SURYAPET TNG 508207"/>
    <s v="NALGONDA"/>
    <x v="0"/>
    <x v="21"/>
    <s v="PAVAN"/>
    <n v="802823180"/>
    <s v="Sgr@9290"/>
    <m/>
    <m/>
    <x v="1"/>
    <m/>
    <m/>
    <x v="1"/>
    <d v="2024-09-09T00:00:00"/>
    <n v="14640.82"/>
    <s v="Chennai Super Kings ICICI Bank Credit Card"/>
    <s v="15TH JULY"/>
    <s v="0000000023318088"/>
    <d v="2026-07-09T00:00:00"/>
  </r>
  <r>
    <s v="4748464742104000"/>
    <s v="MR MIRIYALA VISWANADH"/>
    <n v="0"/>
    <x v="0"/>
    <m/>
    <m/>
    <m/>
    <s v="N"/>
    <x v="14"/>
    <s v="7659964523"/>
    <s v="X"/>
    <n v="271400.56"/>
    <n v="80000"/>
    <n v="351400.56"/>
    <n v="313715.31"/>
    <n v="37685.25"/>
    <n v="31559.18"/>
    <n v="37685.25"/>
    <n v="15194.37"/>
    <x v="0"/>
    <x v="0"/>
    <n v="0"/>
    <n v="15194.37"/>
    <x v="0"/>
    <s v="NA"/>
    <n v="0"/>
    <s v="SAMBA"/>
    <x v="0"/>
    <x v="3"/>
    <s v="11-89A WATER TANK BAZAR VADLAMUDI ROAD  GUNTUR ANP 522212"/>
    <s v="GOVERNMENT OF ANDHRA PRADEH &quot;TAKKELLAPADU 2, GRAMA&quot; &quot;SACHIVALAYAM,&quot; &quot;SACHIVALAYAM,&quot; GUNTUR ANP 522509"/>
    <s v="GUNTUR"/>
    <x v="5"/>
    <x v="10"/>
    <s v="INAMUL"/>
    <n v="802823175"/>
    <s v="Sgr@9290"/>
    <m/>
    <m/>
    <x v="1"/>
    <m/>
    <m/>
    <x v="1"/>
    <d v="2025-06-07T00:00:00"/>
    <n v="77141"/>
    <s v="ICICI Bank Coral RuPay Credit Card"/>
    <s v="15TH JULY"/>
    <s v="0000000027972947"/>
    <d v="2026-07-09T00:00:00"/>
  </r>
  <r>
    <s v="4748464743383017"/>
    <s v="MR ASHOK KUMAR GUMMADI"/>
    <n v="0"/>
    <x v="0"/>
    <m/>
    <m/>
    <m/>
    <s v="N"/>
    <x v="14"/>
    <s v="9959361313"/>
    <s v="X"/>
    <n v="4176.5500000000029"/>
    <n v="100000"/>
    <n v="104176.55"/>
    <n v="72560.73"/>
    <n v="31615.82"/>
    <n v="24435.67"/>
    <n v="15440"/>
    <n v="7210"/>
    <x v="0"/>
    <x v="0"/>
    <n v="0"/>
    <n v="7210"/>
    <x v="0"/>
    <s v="NA"/>
    <n v="0"/>
    <s v="SAMBA"/>
    <x v="0"/>
    <x v="3"/>
    <s v="16-42-111 INDIRA COLONY KAKINADA EAST GODAVARI NEAR BY ADITYA WOMENS DEGREE COLLEGE KAKINADA ANP 533001"/>
    <s v="GOVERNMENT OF ANDHRA PRADESH APEPDCL OSD/KKD TOWN SANJAY NAGAR PMC KAKINADA SANJAY NAGAR PMC KAKINADA KAKINADA ANP 533001"/>
    <s v="KAKINADA"/>
    <x v="4"/>
    <x v="23"/>
    <s v="UDAY"/>
    <n v="801436997"/>
    <s v="Ssd@9290"/>
    <m/>
    <m/>
    <x v="1"/>
    <m/>
    <m/>
    <x v="1"/>
    <d v="2025-10-21T00:00:00"/>
    <n v="12000"/>
    <s v="Chennai Super Kings ICICI Bank Credit Card"/>
    <s v="15TH JULY"/>
    <s v="0000000028203298"/>
    <d v="2026-07-09T00:00:00"/>
  </r>
  <r>
    <s v="4748464745917002"/>
    <s v="MR PITTA PRASANNA"/>
    <n v="0"/>
    <x v="0"/>
    <m/>
    <m/>
    <m/>
    <s v="N"/>
    <x v="14"/>
    <s v="9491656453"/>
    <s v="X"/>
    <n v="6646.1499999999942"/>
    <n v="120000"/>
    <n v="126646.15"/>
    <s v=""/>
    <n v="126646.15"/>
    <n v="113611.89"/>
    <n v="52720"/>
    <n v="35410"/>
    <x v="0"/>
    <x v="0"/>
    <n v="0"/>
    <n v="35410"/>
    <x v="0"/>
    <s v="NA"/>
    <n v="0"/>
    <s v="SAMBA"/>
    <x v="2"/>
    <x v="3"/>
    <s v="2-157/33 KOVVADA  SATTEMMA THOTA KAKINADA ANP 533006"/>
    <s v="ALIVIRA ANIMAL HEALTH LIMITED FLAT NO 104 TO 109 RAMKY PHARMA CITY VIZAG VIZAG ANAKAPALLE ANP 531019"/>
    <s v="KAKINADA"/>
    <x v="4"/>
    <x v="23"/>
    <s v="UDAY"/>
    <n v="801436997"/>
    <s v="Ssd@9290"/>
    <m/>
    <m/>
    <x v="1"/>
    <m/>
    <m/>
    <x v="1"/>
    <d v="2026-05-16T00:00:00"/>
    <n v="44720"/>
    <s v="Chennai Super Kings ICICI Bank Credit Card"/>
    <s v="15TH JULY"/>
    <s v="0000000028633299"/>
    <d v="2026-07-09T00:00:00"/>
  </r>
  <r>
    <s v="4748464746981007"/>
    <s v="MR CHILUKA KIRAN"/>
    <n v="0"/>
    <x v="0"/>
    <m/>
    <m/>
    <m/>
    <s v="N"/>
    <x v="14"/>
    <s v="8919978072"/>
    <s v="X"/>
    <n v="13246.009999999995"/>
    <n v="100000"/>
    <n v="113246.01"/>
    <s v=""/>
    <n v="113246.01"/>
    <n v="99456.9"/>
    <n v="35750"/>
    <n v="19090"/>
    <x v="0"/>
    <x v="0"/>
    <n v="0"/>
    <n v="19090"/>
    <x v="0"/>
    <s v="NA"/>
    <n v="0"/>
    <s v="SAMBA"/>
    <x v="3"/>
    <x v="3"/>
    <s v="1-1-66/1000 URBAN COLONY  NEAR COMMUNITI HALL NALGONDA TNG 508116"/>
    <s v="SOUTH CENTRAL RAILWAY &quot;SY NO 115, LALAGUDA,SECUNDERABAD&quot; HYDERABAD HYDERABAD HYDERABAD TNG 500017"/>
    <s v="NALGONDA"/>
    <x v="0"/>
    <x v="17"/>
    <s v="PAVAN"/>
    <n v="802823180"/>
    <s v="Sgr@9290"/>
    <m/>
    <m/>
    <x v="0"/>
    <s v="LIVE"/>
    <s v="Customer Adress visit and Customer ptp on Saturday"/>
    <x v="22"/>
    <d v="2024-12-01T00:00:00"/>
    <n v="31082.82"/>
    <s v="Chennai Super Kings ICICI Bank Credit Card"/>
    <s v="15TH JULY"/>
    <s v="0000000028814234"/>
    <d v="2026-07-09T00:00:00"/>
  </r>
  <r>
    <s v="5241935723704008"/>
    <s v="MR RANJIT KUMAR KORUKONDA"/>
    <n v="0"/>
    <x v="0"/>
    <m/>
    <m/>
    <m/>
    <s v="N"/>
    <x v="14"/>
    <s v="9949562469"/>
    <s v="X"/>
    <n v="15433.98000000001"/>
    <n v="140000"/>
    <n v="155433.98000000001"/>
    <s v=""/>
    <n v="155433.98000000001"/>
    <n v="139448.29"/>
    <n v="39100"/>
    <n v="16830"/>
    <x v="0"/>
    <x v="0"/>
    <n v="0"/>
    <n v="16830"/>
    <x v="0"/>
    <s v="NA"/>
    <n v="0"/>
    <s v="SAMBA"/>
    <x v="11"/>
    <x v="3"/>
    <s v="25-14-6 SAMBHUNI PERA PALAKOL WEST GODAVARI  NR MAIN ROAD PALAKOL ANP 534260"/>
    <s v="AP TRANSCO DEE LINES 132 KVSUB STATION AP TRANSCO NIDAVOLE AP TRANSCO NIDAVOLE TADEPALLIGUDEM ANP 534301"/>
    <s v="PALAKOL"/>
    <x v="4"/>
    <x v="26"/>
    <s v="B NAGABABU"/>
    <n v="801448854"/>
    <s v="Sgr@9290"/>
    <m/>
    <m/>
    <x v="1"/>
    <m/>
    <m/>
    <x v="1"/>
    <d v="2024-07-16T00:00:00"/>
    <n v="7760"/>
    <s v="ICICI Bank HPCL Super Saver Master Credit Card"/>
    <s v="15TH JULY"/>
    <s v="0000000025672839"/>
    <d v="2026-07-09T00:00:00"/>
  </r>
  <r>
    <s v="5241935736622007"/>
    <s v="MR ANNE PAVANKUMAR"/>
    <n v="0"/>
    <x v="0"/>
    <m/>
    <m/>
    <m/>
    <s v="N"/>
    <x v="14"/>
    <s v="8754427998"/>
    <s v="X"/>
    <n v="9243.6600000000035"/>
    <n v="180000"/>
    <n v="189243.66"/>
    <n v="12771.01"/>
    <n v="176472.65"/>
    <n v="158379.66"/>
    <n v="39380"/>
    <n v="16800"/>
    <x v="1"/>
    <x v="1"/>
    <n v="176472.65"/>
    <n v="-159672.65"/>
    <x v="26"/>
    <s v="FE"/>
    <n v="0"/>
    <s v="SAMBA"/>
    <x v="2"/>
    <x v="3"/>
    <s v="NO 1 60 SIRIPURAM GUNTUR GUNTUR NEAR MAIN ROAD GUNTUR ANP 522304"/>
    <s v="HCL TECHNOLOGIES LIMITED &quot;NO 20/3  NH 5, KESARAPALLI  GANNAVARAM&quot; VIJAYAWADA VIJAYAWADA VIJAYAWADA ANP 521102"/>
    <s v="GUNTUR"/>
    <x v="5"/>
    <x v="43"/>
    <s v="INAMUL"/>
    <n v="802823175"/>
    <s v="Sgr@9290"/>
    <m/>
    <m/>
    <x v="0"/>
    <s v="LIVE"/>
    <s v=" Cmr given address visited customer not living in this place shifted from Hyderabad in job purpose cmr call answering given phone PTP today evening 7 pm sir"/>
    <x v="25"/>
    <d v="2025-02-21T00:00:00"/>
    <n v="4000"/>
    <s v="ICICI Bank HPCL Super Saver Master Credit Card"/>
    <s v="15TH JULY"/>
    <s v="0000000026249950"/>
    <d v="2026-07-09T00:00:00"/>
  </r>
  <r>
    <s v="5241935769659009"/>
    <s v="MR BADAKALA VENKATESHWARLU"/>
    <n v="0"/>
    <x v="0"/>
    <m/>
    <m/>
    <m/>
    <s v="N"/>
    <x v="14"/>
    <s v="9381577837"/>
    <s v="X"/>
    <n v="-142596.45000000001"/>
    <n v="390000"/>
    <n v="247403.55"/>
    <s v=""/>
    <n v="247403.55"/>
    <n v="216803.68"/>
    <n v="55290"/>
    <n v="27368"/>
    <x v="1"/>
    <x v="2"/>
    <n v="27400"/>
    <n v="-32"/>
    <x v="27"/>
    <s v="TC"/>
    <s v="12124 - UPI Payment Received"/>
    <s v="SAMBA"/>
    <x v="2"/>
    <x v="3"/>
    <s v="HNO 3-11 MEDIVEMULA MEEDIVEMULA KURNOOL MEDIVEMULA KURNOOL ANP 518002"/>
    <s v="GENPACT INDIA 12A GROUND FLOOR PRAKASH DEEP BUILDING 7 TOLSTOY MARG PRAKASH DEEP BUILDING 7 TOLSTOY MARG DELHI DEL 110001"/>
    <s v="KURNOOL"/>
    <x v="1"/>
    <x v="18"/>
    <s v="SAMBA"/>
    <n v="801772794"/>
    <s v="Ssde@9876"/>
    <m/>
    <m/>
    <x v="0"/>
    <s v="LIVE"/>
    <s v="Customer live location present know"/>
    <x v="25"/>
    <d v="2026-06-20T00:00:00"/>
    <n v="15272"/>
    <s v="ICICI Bank HPCL Super Saver Master Credit Card"/>
    <s v="15TH JULY"/>
    <s v="0000000027871080"/>
    <d v="2026-07-09T00:00:00"/>
  </r>
  <r>
    <s v="6528690087865000"/>
    <s v="MR RAPOLU SAI SIDDARDHA"/>
    <n v="0"/>
    <x v="0"/>
    <m/>
    <m/>
    <m/>
    <s v="N"/>
    <x v="14"/>
    <s v="9818338175"/>
    <s v="X"/>
    <n v="-1089.6499999999942"/>
    <n v="170000"/>
    <n v="168910.35"/>
    <n v="22492.82"/>
    <n v="146417.53"/>
    <n v="127404.56"/>
    <n v="41390"/>
    <n v="17250"/>
    <x v="0"/>
    <x v="0"/>
    <n v="0"/>
    <n v="17250"/>
    <x v="0"/>
    <s v="NA"/>
    <s v="30501-BBPS Payment received"/>
    <s v="SAMBA"/>
    <x v="3"/>
    <x v="3"/>
    <s v="H NO 7-29/5 NAKREKAL MANDAL DOCTORS COLONY VENKATESHWARA THEATER LANE SURYAPET TNG 508211"/>
    <s v="SABSIDIARY INTELLIGENCE BUREAU &quot;CGO COMPLEX, AUTO NAGAR,&quot; VIJAYAWADA VIJAYAWADA VIJAYAWADA ANP 520007"/>
    <s v="SURYAPET"/>
    <x v="0"/>
    <x v="22"/>
    <s v="POORNIMA"/>
    <n v="802824019"/>
    <s v="Nihan@2421"/>
    <m/>
    <m/>
    <x v="1"/>
    <m/>
    <m/>
    <x v="1"/>
    <s v=""/>
    <n v="0"/>
    <s v="ICICI Bank HPCL Super Saver RuPay Credit Card"/>
    <s v="15TH JULY"/>
    <s v="0000000032062896"/>
    <d v="2026-07-09T00:00:00"/>
  </r>
  <r>
    <s v="6528690140445006"/>
    <s v="MS AVVARU BHARGAVI"/>
    <n v="0"/>
    <x v="0"/>
    <m/>
    <m/>
    <m/>
    <s v="N"/>
    <x v="14"/>
    <s v="9949580658"/>
    <s v="X"/>
    <n v="15812.410000000003"/>
    <n v="160000"/>
    <n v="175812.41"/>
    <s v=""/>
    <n v="175812.41"/>
    <n v="159147.94"/>
    <n v="41550"/>
    <n v="16500"/>
    <x v="1"/>
    <x v="1"/>
    <n v="18000"/>
    <n v="-1500"/>
    <x v="25"/>
    <s v="TC"/>
    <s v="12118 - NEFT PAYMENT RECEIVED"/>
    <s v="SAMBA"/>
    <x v="0"/>
    <x v="3"/>
    <s v="DOSAKAYALA VILLAGE TALLUR MANDAL H NO 1-25 MAIN ROAD  Prakasam ONG ANP 523252"/>
    <s v="TALLUR MANDAL PRAKASAM S NO 150 DOSAKAYALA VILLAGE SACHIVALAYAM   ONG ANP 523252"/>
    <s v="PRAKASAM"/>
    <x v="6"/>
    <x v="35"/>
    <s v="DURGA"/>
    <n v="801723195"/>
    <s v="Sgr@9290"/>
    <m/>
    <m/>
    <x v="0"/>
    <m/>
    <m/>
    <x v="1"/>
    <s v=""/>
    <n v="0"/>
    <s v="ICICI Bank HPCL Super Saver RuPay Credit Card"/>
    <s v="15TH JULY"/>
    <s v="0000000033336993"/>
    <d v="2026-07-09T00:00:00"/>
  </r>
  <r>
    <s v="4035620735333003"/>
    <s v="MR ANUJ ROY"/>
    <n v="0"/>
    <x v="0"/>
    <m/>
    <m/>
    <m/>
    <s v="N"/>
    <x v="19"/>
    <s v="7001502230"/>
    <s v="X"/>
    <n v="30469.530000000028"/>
    <n v="480000"/>
    <n v="510469.53"/>
    <n v="349907.72"/>
    <n v="160561.81"/>
    <n v="128054.87"/>
    <n v="108750"/>
    <n v="54150"/>
    <x v="0"/>
    <x v="0"/>
    <n v="0"/>
    <n v="54150"/>
    <x v="0"/>
    <s v="NA"/>
    <n v="0"/>
    <s v="SAMBA"/>
    <x v="14"/>
    <x v="3"/>
    <s v="HOUSE NO 3 424 C O P SRINIWAS RAO 2ND FLOOR SRINIWASA NILAYAM &quot;ROAD NO 14,TELANGANA&quot; NEAR SRINIWASA NILAYAM ADILABAD TNG 504208"/>
    <s v="JINDAL POWER LTD JINDAL POWER LIMITED 3400 MEGHA WATT RAIGARH RAIGARH RAIGARH CHS 496107 \"/>
    <s v="ADILABAD"/>
    <x v="0"/>
    <x v="55"/>
    <m/>
    <m/>
    <m/>
    <m/>
    <m/>
    <x v="1"/>
    <m/>
    <m/>
    <x v="1"/>
    <d v="2026-03-27T00:00:00"/>
    <n v="94.46"/>
    <s v="ICICI Bank Coral Credit Card"/>
    <s v="18TH JULY"/>
    <s v="0000000023823613"/>
    <d v="2026-07-16T00:00:00"/>
  </r>
  <r>
    <s v="4035620813302003"/>
    <s v="MR CHINTHALAPUDI SAIKRISHNA"/>
    <n v="0"/>
    <x v="0"/>
    <m/>
    <m/>
    <m/>
    <s v="N"/>
    <x v="19"/>
    <s v="8790458518"/>
    <s v="X"/>
    <n v="12473.399999999994"/>
    <n v="100000"/>
    <n v="112473.4"/>
    <s v=""/>
    <n v="112473.4"/>
    <n v="98397"/>
    <n v="35230"/>
    <n v="18720"/>
    <x v="0"/>
    <x v="0"/>
    <n v="0"/>
    <n v="18720"/>
    <x v="0"/>
    <s v="NA"/>
    <n v="0"/>
    <s v="SAMBA"/>
    <x v="14"/>
    <x v="3"/>
    <s v="18-1-397 TIRUPATI BHAVANI NAGAR CHITTOOR TIRUPATHI ANP 517501"/>
    <s v="PRIEST HOUSE NO 18/1/455 BHAVANI NAGAR TIRUPATI ANDHRAPRADESH BHAVANI NAGAR TIRUPATI ANDHRAPRADESH TIRUPATHI ANP 517501 \"/>
    <s v="TIRUPATHI"/>
    <x v="1"/>
    <x v="25"/>
    <m/>
    <m/>
    <m/>
    <m/>
    <m/>
    <x v="1"/>
    <m/>
    <m/>
    <x v="1"/>
    <d v="2024-07-10T00:00:00"/>
    <n v="94260.05"/>
    <s v="ICICI Bank Coral Credit Card"/>
    <s v="18TH JULY"/>
    <s v="0000000024297211"/>
    <d v="2026-07-16T00:00:00"/>
  </r>
  <r>
    <s v="4035620966514008"/>
    <s v="MR CHINTHAPALLY ANAND KUMAR"/>
    <n v="0"/>
    <x v="0"/>
    <m/>
    <m/>
    <m/>
    <s v="N"/>
    <x v="19"/>
    <s v="9014634680"/>
    <s v="X"/>
    <n v="6179.3099999999977"/>
    <n v="130000"/>
    <n v="136179.31"/>
    <s v=""/>
    <n v="136179.31"/>
    <n v="122498.09"/>
    <n v="38280"/>
    <n v="19470"/>
    <x v="0"/>
    <x v="0"/>
    <n v="0"/>
    <n v="19470"/>
    <x v="0"/>
    <s v="NA"/>
    <n v="0"/>
    <s v="SAMBA"/>
    <x v="14"/>
    <x v="3"/>
    <s v="H NO 12 117 3 SANTHOSH NAGAAR ERRAKUNTA NAKIREKA MANDAL NAKREKAL  SURYAPET TNG 508211"/>
    <s v="HOME HOUSE NUMBER 12 117 3 SANTHOSH NAGAR SANTHOSH NAGAR SURYAPET TNG 508211 \"/>
    <s v="SURYAPET"/>
    <x v="0"/>
    <x v="55"/>
    <m/>
    <m/>
    <m/>
    <m/>
    <m/>
    <x v="1"/>
    <m/>
    <m/>
    <x v="1"/>
    <d v="2025-05-08T00:00:00"/>
    <n v="500"/>
    <s v="ICICI Bank Coral Credit Card"/>
    <s v="18TH JULY"/>
    <s v="0000000025219807"/>
    <d v="2026-07-16T00:00:00"/>
  </r>
  <r>
    <s v="4073520230617012"/>
    <s v="MR. BUDUGU SANTHOSHREDDY"/>
    <n v="0"/>
    <x v="0"/>
    <m/>
    <m/>
    <m/>
    <s v="N"/>
    <x v="19"/>
    <s v="8985141213"/>
    <s v="X"/>
    <n v="-164995.60999999999"/>
    <n v="230000"/>
    <n v="65004.39"/>
    <n v="53800.38"/>
    <n v="11204.01"/>
    <n v="6318.05"/>
    <n v="11204.01"/>
    <n v="5085.53"/>
    <x v="0"/>
    <x v="0"/>
    <n v="0"/>
    <n v="5085.53"/>
    <x v="0"/>
    <s v="NA"/>
    <n v="0"/>
    <s v="SAMBA"/>
    <x v="14"/>
    <x v="3"/>
    <s v="H NO 5-6-123/1 KAPUWADA MARUTHI NAGAR MARUTHI NAGAR OPP GAYATRI NAGAR Karimnagar TNG 505001"/>
    <s v="SRI DURGAON LINE SERVICES D NO 5-6-123/1 GROUND FLOOR MARUTHI NAGAR KAPUWADA MARUTHI NAGAR KAPUWADA Karimnagar TNG 505001 \"/>
    <s v="KARIMNAGAR"/>
    <x v="0"/>
    <x v="55"/>
    <m/>
    <m/>
    <m/>
    <m/>
    <m/>
    <x v="1"/>
    <m/>
    <m/>
    <x v="1"/>
    <d v="2026-03-18T00:00:00"/>
    <n v="3194"/>
    <s v="MakeMyTrip ICICI Bank Signature Credit Card"/>
    <s v="18TH JULY"/>
    <s v="0000000024350976"/>
    <d v="2026-07-16T00:00:00"/>
  </r>
  <r>
    <s v="4073520457269000"/>
    <s v="MR SHAIK VULLIGADLA MOHAMMAD"/>
    <n v="0"/>
    <x v="0"/>
    <m/>
    <m/>
    <m/>
    <s v="N"/>
    <x v="19"/>
    <s v="7036592824"/>
    <s v="X"/>
    <n v="71474.48000000001"/>
    <n v="120000"/>
    <n v="191474.48"/>
    <n v="154413.78"/>
    <n v="37060.699999999997"/>
    <n v="31105.24"/>
    <n v="37060.699999999997"/>
    <n v="18468.810000000001"/>
    <x v="0"/>
    <x v="0"/>
    <n v="0"/>
    <n v="18468.810000000001"/>
    <x v="0"/>
    <s v="NA"/>
    <n v="0"/>
    <s v="SAMBA"/>
    <x v="14"/>
    <x v="3"/>
    <s v="HOUSE NO 9 &quot;DWARKA SWEET HOMES, PRASANNAYANAPALLI&quot;  NEAR BHAIRAVA NAGAR 20TH CROSS ANAPARTHI ANP 515002"/>
    <s v="GOVERNMENT OF AP &quot;TAHSILDAR OFFICE,RODDAM MANDAL&quot; SRI SATHYA SAI DIST SRI SATHYA SAI DIST HINDUPUR ANP 515123 \"/>
    <s v="ANAPARTHI"/>
    <x v="1"/>
    <x v="12"/>
    <m/>
    <m/>
    <m/>
    <m/>
    <m/>
    <x v="1"/>
    <m/>
    <m/>
    <x v="1"/>
    <d v="2024-06-01T00:00:00"/>
    <n v="49532.58"/>
    <s v="MakeMyTrip ICICI Bank Signature Credit Card"/>
    <s v="18TH JULY"/>
    <s v="0000000030166417"/>
    <d v="2026-07-16T00:00:00"/>
  </r>
  <r>
    <s v="4315810795409006"/>
    <s v="MS KAMMATI MANASA"/>
    <n v="0"/>
    <x v="0"/>
    <m/>
    <m/>
    <m/>
    <s v="N"/>
    <x v="19"/>
    <s v="9989838974"/>
    <s v="X"/>
    <n v="-534.7899999999936"/>
    <n v="80000"/>
    <n v="79465.210000000006"/>
    <s v=""/>
    <n v="79465.210000000006"/>
    <n v="69649.399999999994"/>
    <n v="20520"/>
    <n v="12600"/>
    <x v="0"/>
    <x v="0"/>
    <n v="0"/>
    <n v="12600"/>
    <x v="0"/>
    <s v="NA"/>
    <n v="0"/>
    <s v="SAMBA"/>
    <x v="14"/>
    <x v="3"/>
    <s v="2/151-5 MARUTHI NAGAR   NEW SURIYAN HOSPITAL CUDDAPAH ANP 516001"/>
    <s v="GOVT OF PRICIPAL GOVT DIETRABACHOTY DEPARTMENT RAYA CHOTY   CUDDAPAH ANP 516001 \"/>
    <s v="CUDDAPAH"/>
    <x v="1"/>
    <x v="48"/>
    <m/>
    <m/>
    <m/>
    <m/>
    <m/>
    <x v="1"/>
    <m/>
    <m/>
    <x v="1"/>
    <d v="2024-07-14T00:00:00"/>
    <n v="10813.43"/>
    <s v="Amazon Pay ICICI Bank Credit Card"/>
    <s v="18TH JULY"/>
    <s v="0000000016228551"/>
    <d v="2026-07-16T00:00:00"/>
  </r>
  <r>
    <s v="4315810799530005"/>
    <s v="MR. GOPI SRIKANTH"/>
    <n v="0"/>
    <x v="0"/>
    <m/>
    <m/>
    <m/>
    <s v="N"/>
    <x v="19"/>
    <s v="9533596596"/>
    <s v="X"/>
    <n v="-21525.919999999998"/>
    <n v="99000"/>
    <n v="77474.080000000002"/>
    <s v=""/>
    <n v="77474.080000000002"/>
    <n v="68857.009999999995"/>
    <n v="16160"/>
    <n v="8060"/>
    <x v="0"/>
    <x v="0"/>
    <n v="0"/>
    <n v="8060"/>
    <x v="0"/>
    <s v="NA"/>
    <n v="0"/>
    <s v="SAMBA"/>
    <x v="14"/>
    <x v="3"/>
    <s v="D NO 61-15-4 RAMALINGESWARA NAGAR RAMA LINGESWARA NAGAR ROAD YK MAIN ROAD VIJAYAWADA ANP 520013"/>
    <s v="MAHINDRA RURAL HOUSING FINANCE LTD D NO 54-1/2D 4TH FLOOR SRI SURYA PREMIEAR VETERNORY COLONY NH 5 VETERNORY COLONY NH 5 VIJAYAWADA ANP 520008 \"/>
    <s v="VIJAYAWADA"/>
    <x v="3"/>
    <x v="46"/>
    <m/>
    <m/>
    <m/>
    <m/>
    <m/>
    <x v="1"/>
    <m/>
    <m/>
    <x v="1"/>
    <d v="2026-06-22T00:00:00"/>
    <n v="4060"/>
    <s v="Amazon Pay ICICI Bank Credit Card"/>
    <s v="18TH JULY"/>
    <s v="0000000016246030"/>
    <d v="2026-07-16T00:00:00"/>
  </r>
  <r>
    <s v="4315810827947007"/>
    <s v="MR MOHAMMAD ZULFAQAR"/>
    <n v="0"/>
    <x v="0"/>
    <m/>
    <m/>
    <m/>
    <s v="N"/>
    <x v="19"/>
    <s v="9000060783"/>
    <s v="X"/>
    <n v="-117897.56"/>
    <n v="230000"/>
    <n v="112102.44"/>
    <s v=""/>
    <n v="112102.44"/>
    <n v="100198.04"/>
    <n v="21680"/>
    <n v="5010"/>
    <x v="0"/>
    <x v="0"/>
    <n v="0"/>
    <n v="5010"/>
    <x v="0"/>
    <s v="NA"/>
    <n v="0"/>
    <s v="SAMBA"/>
    <x v="14"/>
    <x v="3"/>
    <s v="H NO 4-3-153 GAJULA RAJAM BASTI KOTHAGUDEM  NR GOVT AREA HOSPITAL Khammam TNG 507101"/>
    <s v="RISNIG FOOT WEAR M G ROAD KOTHAGUDEM   Khammam TNG 507101 \"/>
    <s v="KHAMMAM"/>
    <x v="0"/>
    <x v="55"/>
    <m/>
    <m/>
    <m/>
    <m/>
    <m/>
    <x v="1"/>
    <m/>
    <m/>
    <x v="1"/>
    <d v="2026-05-16T00:00:00"/>
    <n v="47478"/>
    <s v="Amazon Pay ICICI Bank Credit Card"/>
    <s v="18TH JULY"/>
    <s v="0000000016353233"/>
    <d v="2026-07-16T00:00:00"/>
  </r>
  <r>
    <s v="4315810955426006"/>
    <s v="MR. SHIVAKUMAR PANDI"/>
    <n v="0"/>
    <x v="0"/>
    <m/>
    <m/>
    <m/>
    <s v="N"/>
    <x v="19"/>
    <s v="9908764433"/>
    <s v="X"/>
    <n v="-3422.0800000000017"/>
    <n v="110000"/>
    <n v="106577.92"/>
    <s v=""/>
    <n v="106577.92"/>
    <n v="96005.91"/>
    <n v="16480"/>
    <n v="5690"/>
    <x v="0"/>
    <x v="0"/>
    <n v="0"/>
    <n v="5690"/>
    <x v="0"/>
    <s v="NA"/>
    <n v="0"/>
    <s v="SAMBA"/>
    <x v="14"/>
    <x v="3"/>
    <s v="&quot;89,1ST,DOOR NO.59A-8-4-6/2&quot; &quot;VASAVI ,GURUNANAK COLONY&quot; VASAVI NAGAR &quot;OPP SWAPNA CLINC, BESIDE BASKI&quot; VIJAYAWADA ANP 520008"/>
    <s v="ING VYSYA BANK LTD HNO 3-3-798 GENERAL BAZAR SECUNDERABAD SECUNDERABAD Hyderabad TNG 500003 \"/>
    <s v="VIJAYAWADA"/>
    <x v="3"/>
    <x v="46"/>
    <m/>
    <m/>
    <m/>
    <m/>
    <m/>
    <x v="1"/>
    <m/>
    <m/>
    <x v="1"/>
    <d v="2024-08-01T00:00:00"/>
    <n v="97000"/>
    <s v="Amazon Pay ICICI Bank Credit Card"/>
    <s v="18TH JULY"/>
    <s v="0000000016790892"/>
    <d v="2026-07-16T00:00:00"/>
  </r>
  <r>
    <s v="4315810960956013"/>
    <s v="MR BANDARI SHOBHANBABU"/>
    <n v="0"/>
    <x v="0"/>
    <m/>
    <m/>
    <m/>
    <s v="N"/>
    <x v="19"/>
    <s v="9441680184"/>
    <s v="X"/>
    <n v="-459935.33999999997"/>
    <n v="620000"/>
    <n v="160064.66"/>
    <n v="112216.95"/>
    <n v="47847.71"/>
    <n v="40380.26"/>
    <n v="47847.71"/>
    <n v="22457.24"/>
    <x v="0"/>
    <x v="0"/>
    <n v="0"/>
    <n v="22457.24"/>
    <x v="0"/>
    <s v="NA"/>
    <n v="0"/>
    <s v="SAMBA"/>
    <x v="14"/>
    <x v="3"/>
    <s v="HNO 6-61 SAGARAVEEDHI PARKALMANDAL   NR SANTHOSH HOSPITAL WARANGAL ANP 506164"/>
    <s v="GOVT OF TELANGANA MANDAL PARISHAD PRIMARY SCHOOL GOPALPURM   WARANGAL ANP 506348 \"/>
    <s v="WARANGAL"/>
    <x v="0"/>
    <x v="55"/>
    <m/>
    <m/>
    <m/>
    <m/>
    <m/>
    <x v="1"/>
    <m/>
    <m/>
    <x v="1"/>
    <d v="2024-07-14T00:00:00"/>
    <n v="8653.2900000000009"/>
    <s v="Amazon Pay ICICI Bank Credit Card"/>
    <s v="18TH JULY"/>
    <s v="0000000016800551"/>
    <d v="2026-07-16T00:00:00"/>
  </r>
  <r>
    <s v="4315810978954000"/>
    <s v="MR RAVULAKOLANU PRASAD"/>
    <n v="0"/>
    <x v="0"/>
    <m/>
    <m/>
    <m/>
    <s v="N"/>
    <x v="19"/>
    <s v="7702767575"/>
    <s v="X"/>
    <n v="-38664.01999999999"/>
    <n v="260000"/>
    <n v="221335.98"/>
    <s v=""/>
    <n v="221335.98"/>
    <n v="201068.63"/>
    <n v="32760"/>
    <n v="11860"/>
    <x v="0"/>
    <x v="0"/>
    <n v="0"/>
    <n v="11860"/>
    <x v="0"/>
    <s v="NA"/>
    <n v="0"/>
    <s v="SAMBA"/>
    <x v="14"/>
    <x v="3"/>
    <s v="H NO 28/184/L/5 SADIK NAGAR NADYALA   OPP SRI SHAILA HIGH SCHOOL NANDYAL ANP 518501"/>
    <s v="STATE BANK OF INDIA NUNNE PALLE ROAD 28/987/A 1ST FLOOR SAI BABA NAGAR NANDYAL SAI BABA NAGAR NANDYAL NANDYAL ANP 518501 \"/>
    <s v="NANDYAL"/>
    <x v="1"/>
    <x v="7"/>
    <m/>
    <m/>
    <m/>
    <m/>
    <m/>
    <x v="1"/>
    <m/>
    <m/>
    <x v="1"/>
    <d v="2024-07-04T00:00:00"/>
    <n v="2"/>
    <s v="Amazon Pay ICICI Bank Credit Card"/>
    <s v="18TH JULY"/>
    <s v="0000000016833495"/>
    <d v="2026-07-16T00:00:00"/>
  </r>
  <r>
    <s v="4315811058555014"/>
    <s v="MR ISMAL PASHA"/>
    <n v="0"/>
    <x v="0"/>
    <m/>
    <m/>
    <m/>
    <s v="N"/>
    <x v="19"/>
    <s v="9966508072"/>
    <s v="X"/>
    <n v="2200.7900000000009"/>
    <n v="55000"/>
    <n v="57200.79"/>
    <n v="20394.7"/>
    <n v="36806.089999999997"/>
    <n v="34025.870000000003"/>
    <n v="28260"/>
    <n v="10849.94"/>
    <x v="0"/>
    <x v="0"/>
    <n v="0"/>
    <n v="10849.94"/>
    <x v="0"/>
    <s v="NA"/>
    <n v="0"/>
    <s v="SAMBA"/>
    <x v="14"/>
    <x v="3"/>
    <s v="&quot;2-11-88,SARASWATHI NAGAR,GOPALPUR&quot; &quot;ROAD,HANAMKONDA,WARANGAL&quot; TELANGANA . WARANGAL TNG 506009"/>
    <s v="TAWAKKAL COMMUNICATIONS H NO 2-11-88 MAIN ROAD GOPALPUR GOPALPUR WARANGAL TNG 506009 \"/>
    <s v="WARANGAL"/>
    <x v="0"/>
    <x v="55"/>
    <m/>
    <m/>
    <m/>
    <m/>
    <m/>
    <x v="1"/>
    <m/>
    <m/>
    <x v="1"/>
    <d v="2026-05-09T00:00:00"/>
    <n v="8267.5400000000009"/>
    <s v="Amazon Pay ICICI Bank Credit Card"/>
    <s v="18TH JULY"/>
    <s v="0000000017002273"/>
    <d v="2026-07-16T00:00:00"/>
  </r>
  <r>
    <s v="4315811074786015"/>
    <s v="MR M NAIK"/>
    <n v="0"/>
    <x v="0"/>
    <m/>
    <m/>
    <m/>
    <s v="N"/>
    <x v="19"/>
    <s v="9177917626"/>
    <s v="X"/>
    <n v="-100945.24"/>
    <n v="210000"/>
    <n v="109054.76"/>
    <n v="90500.95"/>
    <n v="18553.810000000001"/>
    <n v="13446.09"/>
    <n v="18553.810000000001"/>
    <n v="8312.9599999999991"/>
    <x v="0"/>
    <x v="0"/>
    <n v="0"/>
    <n v="8312.9599999999991"/>
    <x v="0"/>
    <s v="NA"/>
    <n v="0"/>
    <s v="SAMBA"/>
    <x v="14"/>
    <x v="3"/>
    <s v="6/1061-e Guntakal bhagya nagar near Ganta church bhagya nagar Guntakal  GUNTAKAL ANP 515801"/>
    <s v="Ashok Naik 6/1061-e Bhagya Nagar Guntakal Guntakal GUNTAKAL ANP 515801 \"/>
    <s v="GUNTAKAL"/>
    <x v="1"/>
    <x v="12"/>
    <m/>
    <m/>
    <m/>
    <m/>
    <m/>
    <x v="1"/>
    <m/>
    <m/>
    <x v="1"/>
    <d v="2026-05-09T00:00:00"/>
    <n v="8328.77"/>
    <s v="Amazon Pay ICICI Bank Credit Card"/>
    <s v="18TH JULY"/>
    <s v="0000000017042398"/>
    <d v="2026-07-16T00:00:00"/>
  </r>
  <r>
    <s v="4315811100792003"/>
    <s v="MR SHAIK SAIDA"/>
    <n v="0"/>
    <x v="0"/>
    <m/>
    <m/>
    <m/>
    <s v="N"/>
    <x v="19"/>
    <s v="9492721202"/>
    <s v="X"/>
    <n v="2791.2299999999959"/>
    <n v="120000"/>
    <n v="122791.23"/>
    <s v=""/>
    <n v="122791.23"/>
    <n v="113829.79"/>
    <n v="14640"/>
    <n v="4932.51"/>
    <x v="0"/>
    <x v="0"/>
    <n v="0"/>
    <n v="4932.51"/>
    <x v="0"/>
    <s v="NA"/>
    <n v="0"/>
    <s v="SAMBA"/>
    <x v="14"/>
    <x v="3"/>
    <s v="&quot;MANGALI BAZAR,12-181 FLR,JAGGAYYAPETA,&quot; &quot;JAGGAYYAPETA,NEAR MAZID&quot;   KRISHNA ANP 521175"/>
    <s v="Nagul saida &quot;12-181, MANGALI bazar near mazid&quot; Jaggayyapeta Jaggayyapeta JAGGAIAHPET ANP 521175 \"/>
    <s v="VIJAYAWADA"/>
    <x v="3"/>
    <x v="31"/>
    <m/>
    <m/>
    <m/>
    <m/>
    <m/>
    <x v="1"/>
    <m/>
    <m/>
    <x v="1"/>
    <d v="2026-04-19T00:00:00"/>
    <n v="3324.2"/>
    <s v="Amazon Pay ICICI Bank Credit Card"/>
    <s v="18TH JULY"/>
    <s v="0000000017087706"/>
    <d v="2026-07-16T00:00:00"/>
  </r>
  <r>
    <s v="4315811208592008"/>
    <s v="MR Gangula Seetha Rami"/>
    <n v="0"/>
    <x v="0"/>
    <m/>
    <m/>
    <m/>
    <s v="N"/>
    <x v="19"/>
    <s v="9441788258"/>
    <s v="X"/>
    <n v="27213.890000000014"/>
    <n v="158000"/>
    <n v="185213.89"/>
    <n v="136568.85999999999"/>
    <n v="48645.03"/>
    <n v="29475.77"/>
    <n v="31390"/>
    <n v="19780"/>
    <x v="0"/>
    <x v="0"/>
    <n v="0"/>
    <n v="19780"/>
    <x v="0"/>
    <s v="NA"/>
    <n v="0"/>
    <s v="SAMBA"/>
    <x v="14"/>
    <x v="3"/>
    <s v="3-93   lingamguntla GUNTUR ANP 522601"/>
    <s v="CREDIBLENGINEERINGCONSTRUCTIONPROJECTLTD PLOT NO .32 SAGAR SOCIETY.ROAD NO 2 BANJARA HILLS HY SAGAR SOCIETY.ROAD NO 2 BANJARA HILLS HY HYDERABAD TNG 500034 \"/>
    <s v="GUNTUR"/>
    <x v="5"/>
    <x v="52"/>
    <m/>
    <m/>
    <m/>
    <m/>
    <m/>
    <x v="1"/>
    <m/>
    <m/>
    <x v="1"/>
    <d v="2024-06-10T00:00:00"/>
    <n v="145457"/>
    <s v="Amazon Pay ICICI Bank Credit Card"/>
    <s v="18TH JULY"/>
    <s v="0000000017384636"/>
    <d v="2026-07-16T00:00:00"/>
  </r>
  <r>
    <s v="4315811238885000"/>
    <s v="MR Goskula Srinivas"/>
    <n v="0"/>
    <x v="0"/>
    <m/>
    <m/>
    <m/>
    <s v="N"/>
    <x v="19"/>
    <s v="9948996396"/>
    <s v="X"/>
    <n v="-22095.429999999993"/>
    <n v="100000"/>
    <n v="77904.570000000007"/>
    <s v=""/>
    <n v="77904.570000000007"/>
    <n v="69590.89"/>
    <n v="12430"/>
    <n v="4170"/>
    <x v="0"/>
    <x v="0"/>
    <n v="0"/>
    <n v="4170"/>
    <x v="0"/>
    <s v="NA"/>
    <n v="0"/>
    <s v="SAMBA"/>
    <x v="14"/>
    <x v="3"/>
    <s v="MPPS KONDAPOOR VELGATOOR JAGTIAL KONDAPOOR KARIMNAGAR TNG 505526"/>
    <s v="MPPS KONDAPOOR MPPS KONDAPOOR VELGATOOR JAGTIAL VELGATOOR JAGTIAL KARIMNAGAR TNG 505526 \"/>
    <s v="KARIMNAGAR"/>
    <x v="0"/>
    <x v="55"/>
    <m/>
    <m/>
    <m/>
    <m/>
    <m/>
    <x v="1"/>
    <m/>
    <m/>
    <x v="1"/>
    <d v="2024-06-25T00:00:00"/>
    <n v="800"/>
    <s v="Amazon Pay ICICI Bank Credit Card"/>
    <s v="18TH JULY"/>
    <s v="0000000017452403"/>
    <d v="2026-07-16T00:00:00"/>
  </r>
  <r>
    <s v="4315811252949005"/>
    <s v="MR KIRAN KUMAR CHALLA"/>
    <n v="0"/>
    <x v="0"/>
    <m/>
    <m/>
    <m/>
    <s v="N"/>
    <x v="19"/>
    <s v="8722045222"/>
    <s v="X"/>
    <n v="-15762.61"/>
    <n v="130000"/>
    <n v="114237.39"/>
    <n v="89307.57"/>
    <n v="24929.82"/>
    <n v="21158.51"/>
    <n v="24929.82"/>
    <n v="9705.5300000000007"/>
    <x v="0"/>
    <x v="0"/>
    <n v="0"/>
    <n v="9705.5300000000007"/>
    <x v="0"/>
    <s v="NA"/>
    <n v="0"/>
    <s v="SAMBA"/>
    <x v="14"/>
    <x v="3"/>
    <s v="D NO 23-1 FATHEKANPET 469 FLR ARIGELA VARI STRET  NR MAHALAXMI TEMPLE NELLORE ANP 524002"/>
    <s v="RATNAM SCHOOL HARINADHA PURAM 2ND LINE   NELLORE ANP 524002 \"/>
    <s v="NELLORE"/>
    <x v="2"/>
    <x v="4"/>
    <m/>
    <m/>
    <m/>
    <m/>
    <m/>
    <x v="1"/>
    <m/>
    <m/>
    <x v="1"/>
    <d v="2026-06-11T00:00:00"/>
    <n v="22004.01"/>
    <s v="Amazon Pay ICICI Bank Credit Card"/>
    <s v="18TH JULY"/>
    <s v="0000000017476805"/>
    <d v="2026-07-16T00:00:00"/>
  </r>
  <r>
    <s v="4315811280652001"/>
    <s v="MR SIVANAGAKUMAR MELLABOINA"/>
    <n v="0"/>
    <x v="0"/>
    <m/>
    <m/>
    <m/>
    <s v="N"/>
    <x v="19"/>
    <s v="9160661235"/>
    <s v="X"/>
    <n v="-111358.42000000001"/>
    <n v="250000"/>
    <n v="138641.57999999999"/>
    <n v="111122.59"/>
    <n v="27518.99"/>
    <n v="20289.62"/>
    <n v="27020"/>
    <n v="12140"/>
    <x v="0"/>
    <x v="0"/>
    <n v="0"/>
    <n v="12140"/>
    <x v="0"/>
    <s v="NA"/>
    <n v="0"/>
    <s v="SAMBA"/>
    <x v="14"/>
    <x v="3"/>
    <s v="7-11-174 4th line kakumanu vari thota donka road -donka road GUNTUR ANP 522002"/>
    <s v="SLEEK INTERNATIONAL PVT LTD 3RD FLOOR D G WING LOTUS CORPORATE PARK OFF WESTERN EXPRESS HIGWAY GOREGAON OFF WESTERN EXPRESS HIGWAY GOREGAON MUMBAI MAH 400063 \"/>
    <s v="GUNTUR"/>
    <x v="5"/>
    <x v="43"/>
    <m/>
    <m/>
    <m/>
    <m/>
    <m/>
    <x v="1"/>
    <m/>
    <m/>
    <x v="1"/>
    <d v="2026-05-08T00:00:00"/>
    <n v="26560.47"/>
    <s v="Amazon Pay ICICI Bank Credit Card"/>
    <s v="18TH JULY"/>
    <s v="0000000017611178"/>
    <d v="2026-07-16T00:00:00"/>
  </r>
  <r>
    <s v="4315811285805000"/>
    <s v="MR. PONNAGANTI DAVID"/>
    <n v="0"/>
    <x v="0"/>
    <m/>
    <m/>
    <m/>
    <s v="N"/>
    <x v="19"/>
    <s v="9848649409"/>
    <s v="X"/>
    <n v="150285.46000000002"/>
    <n v="150000"/>
    <n v="300285.46000000002"/>
    <n v="214364.26"/>
    <n v="85921.2"/>
    <n v="75976.429999999993"/>
    <n v="35490"/>
    <n v="13980"/>
    <x v="0"/>
    <x v="0"/>
    <n v="0"/>
    <n v="13980"/>
    <x v="0"/>
    <s v="NA"/>
    <n v="0"/>
    <s v="SAMBA"/>
    <x v="14"/>
    <x v="3"/>
    <s v="C O KRUPA NELAYAM DNO 24C 11 26P R R PET ELURU  2 BESIDE S E S D M H SCHOOL ELURU ANP 534002"/>
    <s v="SUMUTOMO CHEMICAL INDIA PVT LTD BLOCK NO 2  PLAT NO 2 AUTO NAGAR  HYDERABAD AUTO NAGAR  HYDERABAD Rangareddy TNG 500070 \"/>
    <s v="ELURU"/>
    <x v="4"/>
    <x v="32"/>
    <m/>
    <m/>
    <m/>
    <m/>
    <m/>
    <x v="1"/>
    <m/>
    <m/>
    <x v="1"/>
    <d v="2025-08-12T00:00:00"/>
    <n v="12047.56"/>
    <s v="Amazon Pay ICICI Bank Credit Card"/>
    <s v="18TH JULY"/>
    <s v="0000000017627542"/>
    <d v="2026-07-16T00:00:00"/>
  </r>
  <r>
    <s v="4315811315563009"/>
    <s v="MR M R Suresh"/>
    <n v="0"/>
    <x v="0"/>
    <m/>
    <m/>
    <m/>
    <s v="N"/>
    <x v="19"/>
    <s v="8712929000"/>
    <s v="X"/>
    <n v="-130573.41"/>
    <n v="260000"/>
    <n v="129426.59"/>
    <s v=""/>
    <n v="129426.59"/>
    <n v="115172.2"/>
    <n v="21080"/>
    <n v="8420"/>
    <x v="0"/>
    <x v="0"/>
    <n v="0"/>
    <n v="8420"/>
    <x v="0"/>
    <s v="NA"/>
    <n v="0"/>
    <s v="SAMBA"/>
    <x v="14"/>
    <x v="3"/>
    <s v="3-82/2 M N M Rice Mill M N M Rice Mill Kapu Street CHITTOOR ANP 517583"/>
    <s v="SAI RAM CLINIC 5-9 SENGUNDHA STREET SENGUNDHA STREET CHITTOOR ANP 517583 \"/>
    <s v="CHITTOOR"/>
    <x v="1"/>
    <x v="25"/>
    <m/>
    <m/>
    <m/>
    <m/>
    <m/>
    <x v="1"/>
    <m/>
    <m/>
    <x v="1"/>
    <d v="2024-06-15T00:00:00"/>
    <n v="10980"/>
    <s v="Amazon Pay ICICI Bank Credit Card"/>
    <s v="18TH JULY"/>
    <s v="0000000017694088"/>
    <d v="2026-07-16T00:00:00"/>
  </r>
  <r>
    <s v="4315811364542003"/>
    <s v="MR Pedda Mallu Malleswara"/>
    <n v="0"/>
    <x v="0"/>
    <m/>
    <m/>
    <m/>
    <s v="N"/>
    <x v="19"/>
    <s v="9440149632"/>
    <s v="X"/>
    <n v="2903.6999999999971"/>
    <n v="50000"/>
    <n v="52903.7"/>
    <s v=""/>
    <n v="52903.7"/>
    <n v="49018.47"/>
    <n v="14880"/>
    <n v="8326.8799999999992"/>
    <x v="0"/>
    <x v="0"/>
    <n v="0"/>
    <n v="8326.8799999999992"/>
    <x v="0"/>
    <s v="NA"/>
    <n v="0"/>
    <s v="SAMBA"/>
    <x v="14"/>
    <x v="3"/>
    <s v="3/40 gurrala chintala palli gurrala chinthala palli Cuddapah CUDDAPAH ANP 516218"/>
    <s v="AURORE LIFE SCIENCES PRIVATE LIMITED AURORE LIFE SCIENCES PRIVATE LIMITED &quot;SURVEY NO- 180/2 ,180/3 , KHAZIPALLY VIL&quot; &quot;SURVEY NO- 180/2 ,180/3 , KHAZIPALLY VIL&quot; HYDERABAD TNG 502319 \"/>
    <s v="CUDDAPAH"/>
    <x v="1"/>
    <x v="48"/>
    <m/>
    <m/>
    <m/>
    <m/>
    <m/>
    <x v="1"/>
    <m/>
    <m/>
    <x v="1"/>
    <d v="2026-06-10T00:00:00"/>
    <n v="4163.12"/>
    <s v="Amazon Pay ICICI Bank Credit Card"/>
    <s v="18TH JULY"/>
    <s v="0000000017774039"/>
    <d v="2026-07-16T00:00:00"/>
  </r>
  <r>
    <s v="4315811391794015"/>
    <s v="MR Merugu Vamshikrishna"/>
    <n v="0"/>
    <x v="0"/>
    <m/>
    <m/>
    <m/>
    <s v="N"/>
    <x v="19"/>
    <s v="8886553747"/>
    <s v="X"/>
    <n v="28320.650000000023"/>
    <n v="360000"/>
    <n v="388320.65"/>
    <n v="330452.59999999998"/>
    <n v="57868.05"/>
    <n v="14129.58"/>
    <n v="55910"/>
    <n v="19140"/>
    <x v="0"/>
    <x v="0"/>
    <n v="0"/>
    <n v="19140"/>
    <x v="0"/>
    <s v="NA"/>
    <n v="0"/>
    <s v="SAMBA"/>
    <x v="14"/>
    <x v="3"/>
    <s v="&quot;103,8-3-38,,2/2/1/3/A/1, Vijaya Residency&quot; &quot;Laxmi Ganapathi Colony,&quot; Beside of Madhavi water plant Sapthagiri Colony Karimnagar KARIMNAGAR TNG 505001"/>
    <s v="BUSINESS &quot;9-5-212/1,SHIVANAGAR&quot; NEAR TELIPHONE QUATERS NEAR TELIPHONE QUATERS KARIMNAGAR TNG 505002 \"/>
    <s v="KARIMNAGAR"/>
    <x v="0"/>
    <x v="55"/>
    <m/>
    <m/>
    <m/>
    <m/>
    <m/>
    <x v="1"/>
    <m/>
    <m/>
    <x v="1"/>
    <d v="2025-04-21T00:00:00"/>
    <n v="44587.58"/>
    <s v="Amazon Pay ICICI Bank Credit Card"/>
    <s v="18TH JULY"/>
    <s v="0000000017819026"/>
    <d v="2026-07-16T00:00:00"/>
  </r>
  <r>
    <s v="4315811634642005"/>
    <s v="MR PRAVEEN GADDAM"/>
    <n v="0"/>
    <x v="0"/>
    <m/>
    <m/>
    <m/>
    <s v="N"/>
    <x v="19"/>
    <s v="9963075095"/>
    <s v="X"/>
    <n v="-3666.140000000014"/>
    <n v="152000"/>
    <n v="148333.85999999999"/>
    <n v="85136.67"/>
    <n v="63197.19"/>
    <n v="53383.8"/>
    <n v="37630"/>
    <n v="18110"/>
    <x v="0"/>
    <x v="0"/>
    <n v="0"/>
    <n v="18110"/>
    <x v="0"/>
    <s v="NA"/>
    <n v="0"/>
    <s v="SAMBA"/>
    <x v="14"/>
    <x v="3"/>
    <s v="&quot;8-7-59,Kothirampur&quot;  Kothirampur Church Back side road KARIM NAGAR TNG 505001"/>
    <s v="GENPACT INDIA PVT LTD BUILDING NO 8 RAHEJA MIND SPACE POCHARAM   Hyderabad TNG 500088 \"/>
    <s v="KARIMNAGAR"/>
    <x v="0"/>
    <x v="55"/>
    <m/>
    <m/>
    <m/>
    <m/>
    <m/>
    <x v="1"/>
    <m/>
    <m/>
    <x v="1"/>
    <d v="2025-08-23T00:00:00"/>
    <n v="3341"/>
    <s v="Amazon Pay ICICI Bank Credit Card"/>
    <s v="18TH JULY"/>
    <s v="0000000018423307"/>
    <d v="2026-07-16T00:00:00"/>
  </r>
  <r>
    <s v="4315811819549009"/>
    <s v="MR Yedire Sravan Pramod"/>
    <n v="0"/>
    <x v="0"/>
    <m/>
    <m/>
    <m/>
    <s v="N"/>
    <x v="19"/>
    <s v="9440558014"/>
    <s v="X"/>
    <n v="24104.799999999988"/>
    <n v="500000"/>
    <n v="524104.8"/>
    <n v="426117.66"/>
    <n v="97987.14"/>
    <n v="50589.25"/>
    <n v="81450"/>
    <n v="52400"/>
    <x v="0"/>
    <x v="0"/>
    <n v="0"/>
    <n v="52400"/>
    <x v="0"/>
    <s v="NA"/>
    <n v="0"/>
    <s v="SAMBA"/>
    <x v="14"/>
    <x v="3"/>
    <s v="18/100a-3 Kurnool Shroff Bazar Kurnool KURNOOL ANP 518001"/>
    <s v="TRIPURA JEWELLERS NO.3 SHARAFF BAZAR NEAR HPO NEAR HPO KURNOOL ANP 518001 \"/>
    <s v="KURNOOL"/>
    <x v="1"/>
    <x v="18"/>
    <m/>
    <m/>
    <m/>
    <m/>
    <m/>
    <x v="1"/>
    <m/>
    <m/>
    <x v="1"/>
    <d v="2024-07-16T00:00:00"/>
    <n v="10000"/>
    <s v="Amazon Pay ICICI Bank Credit Card"/>
    <s v="18TH JULY"/>
    <s v="0000000019103209"/>
    <d v="2026-07-16T00:00:00"/>
  </r>
  <r>
    <s v="4315812485001010"/>
    <s v="MR Penumallu V N"/>
    <n v="0"/>
    <x v="0"/>
    <m/>
    <m/>
    <m/>
    <s v="N"/>
    <x v="19"/>
    <s v="9885768879"/>
    <s v="X"/>
    <n v="-127319.47999999998"/>
    <n v="420000"/>
    <n v="292680.52"/>
    <n v="251891.86"/>
    <n v="40788.660000000003"/>
    <n v="31909.45"/>
    <n v="40350"/>
    <n v="18880"/>
    <x v="0"/>
    <x v="0"/>
    <n v="0"/>
    <n v="18880"/>
    <x v="0"/>
    <s v="NA"/>
    <n v="0"/>
    <s v="SAMBA"/>
    <x v="14"/>
    <x v="3"/>
    <s v="4-123 Kothapalli Mandalam Society Street East Godavari KAKINADA ANP 533447"/>
    <s v="THOMSON REUTERS INDIA PRIVATE LIMITED MADHAPUR MADHAPUR MADHAPUR HYDERABAD TNG 500082 \"/>
    <s v="KAKINADA"/>
    <x v="4"/>
    <x v="23"/>
    <m/>
    <m/>
    <m/>
    <m/>
    <m/>
    <x v="1"/>
    <m/>
    <m/>
    <x v="1"/>
    <d v="2024-11-13T00:00:00"/>
    <n v="10000"/>
    <s v="Amazon Pay ICICI Bank Credit Card"/>
    <s v="18TH JULY"/>
    <s v="0000000020964104"/>
    <d v="2026-07-16T00:00:00"/>
  </r>
  <r>
    <s v="4315812806759007"/>
    <s v="MR Maneesh C Koppula"/>
    <n v="0"/>
    <x v="0"/>
    <m/>
    <m/>
    <m/>
    <s v="N"/>
    <x v="19"/>
    <s v="8800175140"/>
    <s v="X"/>
    <n v="-317403.56"/>
    <n v="510000"/>
    <n v="192596.44"/>
    <n v="18656.509999999998"/>
    <n v="173939.93"/>
    <n v="157152.99"/>
    <n v="34720"/>
    <n v="13710"/>
    <x v="0"/>
    <x v="0"/>
    <n v="0"/>
    <n v="13710"/>
    <x v="0"/>
    <s v="NA"/>
    <n v="0"/>
    <s v="SAMBA"/>
    <x v="14"/>
    <x v="3"/>
    <s v="S O  Koppula Sangeet Kumar House Number7 -17-369/13 5 th line Mallikharjuna Peta Guntur  Guntur Andhra Pradesh 522002 VIJAYAWADA GUNTUR ANP 522002"/>
    <s v="INTERGRAPH CONSULTING PVT LTDPICOG BEGUMPET HYDERABAD HYDERABAD HYDERABAD TNG 500040 \"/>
    <s v="GUNTUR"/>
    <x v="5"/>
    <x v="43"/>
    <m/>
    <m/>
    <m/>
    <m/>
    <m/>
    <x v="1"/>
    <m/>
    <m/>
    <x v="1"/>
    <d v="2026-05-11T00:00:00"/>
    <n v="39500"/>
    <s v="Amazon Pay ICICI Bank Credit Card"/>
    <s v="18TH JULY"/>
    <s v="0000000021847846"/>
    <d v="2026-07-16T00:00:00"/>
  </r>
  <r>
    <s v="4315813109962009"/>
    <s v="MR Guguloth Rajender Naik"/>
    <n v="0"/>
    <x v="0"/>
    <m/>
    <m/>
    <m/>
    <s v="O"/>
    <x v="19"/>
    <s v="9866351508"/>
    <s v="X"/>
    <n v="-331769.92000000004"/>
    <n v="490000"/>
    <n v="158230.07999999999"/>
    <n v="10563.94"/>
    <n v="147666.14000000001"/>
    <n v="137562.29999999999"/>
    <n v="38280"/>
    <n v="18980"/>
    <x v="0"/>
    <x v="0"/>
    <n v="0"/>
    <n v="18980"/>
    <x v="0"/>
    <s v="NA"/>
    <n v="0"/>
    <s v="SAMBA"/>
    <x v="14"/>
    <x v="3"/>
    <s v="4-11/1 Gopal puram kanaka durga colony Warangal WARANGAL TNG 506015"/>
    <s v="KAKATIYA INSTITUTE OF TECHNOLOGY AND SCI DEPT. OF EEE BLOCK 3 BLOCK 3 WARANGAL TNG 506015 \"/>
    <s v="WARANGAL"/>
    <x v="0"/>
    <x v="55"/>
    <m/>
    <m/>
    <m/>
    <m/>
    <m/>
    <x v="1"/>
    <m/>
    <m/>
    <x v="1"/>
    <s v=""/>
    <n v="0"/>
    <s v="Amazon Pay ICICI Bank Credit Card"/>
    <s v="18TH JULY"/>
    <s v="0000000023011433"/>
    <d v="2026-07-16T00:00:00"/>
  </r>
  <r>
    <s v="4315813947484000"/>
    <s v="MS Kota Pragathi"/>
    <n v="0"/>
    <x v="0"/>
    <m/>
    <m/>
    <m/>
    <s v="N"/>
    <x v="19"/>
    <s v="7013294882"/>
    <s v="X"/>
    <n v="78421.760000000009"/>
    <n v="210000"/>
    <n v="288421.76000000001"/>
    <n v="38402.25"/>
    <n v="250019.51"/>
    <n v="217517.33"/>
    <n v="108840"/>
    <n v="47830"/>
    <x v="0"/>
    <x v="0"/>
    <n v="0"/>
    <n v="47830"/>
    <x v="0"/>
    <s v="NA"/>
    <n v="0"/>
    <s v="SAMBA"/>
    <x v="14"/>
    <x v="3"/>
    <s v="2.8.600 Bhavani.Nagar ..Bhavani.Nagar Hanamkonda WARANGAL TNG 506001"/>
    <s v="NEW.SCIENCE.PG.COLLEGE HUNTER.ROAD HANAMKONDA. HANAMKONDA. WARANGAL TNG 506001 \"/>
    <s v="WARANGAL"/>
    <x v="0"/>
    <x v="55"/>
    <m/>
    <m/>
    <m/>
    <m/>
    <m/>
    <x v="1"/>
    <m/>
    <m/>
    <x v="1"/>
    <d v="2024-12-28T00:00:00"/>
    <n v="18000"/>
    <s v="Amazon Pay ICICI Bank Credit Card"/>
    <s v="18TH JULY"/>
    <s v="0000000026145120"/>
    <d v="2026-07-16T00:00:00"/>
  </r>
  <r>
    <s v="4315814087864001"/>
    <s v="MR YARAMALA REDDY"/>
    <n v="0"/>
    <x v="0"/>
    <m/>
    <m/>
    <m/>
    <s v="N"/>
    <x v="19"/>
    <s v="9886096144"/>
    <s v="X"/>
    <n v="-123136.85999999999"/>
    <n v="380000"/>
    <n v="256863.14"/>
    <n v="89564.73"/>
    <n v="167298.41"/>
    <n v="149341.68"/>
    <n v="46550"/>
    <n v="19820"/>
    <x v="0"/>
    <x v="0"/>
    <n v="0"/>
    <n v="19820"/>
    <x v="0"/>
    <s v="NA"/>
    <n v="0"/>
    <s v="SAMBA"/>
    <x v="14"/>
    <x v="3"/>
    <s v="B14 SARVARAJUPETA PEDDANAPADU NR REMPOLE PRODDATUR ANP 516309"/>
    <s v="GEMINI CONSULTING AND SERVICES INDIA PRI Q CITY B BLOCK 1ST FLOOR NANAKRAMGUDA NANAKRAMGUDA HYDERABAD TNG 500032 \"/>
    <s v="PRODDATUR"/>
    <x v="1"/>
    <x v="15"/>
    <m/>
    <m/>
    <m/>
    <m/>
    <m/>
    <x v="1"/>
    <m/>
    <m/>
    <x v="1"/>
    <d v="2024-12-03T00:00:00"/>
    <n v="3112.05"/>
    <s v="Amazon Pay ICICI Bank Credit Card"/>
    <s v="18TH JULY"/>
    <s v="0000000026688815"/>
    <d v="2026-07-16T00:00:00"/>
  </r>
  <r>
    <s v="4315814169520018"/>
    <s v="MR Rangabatla Krishna Sastry"/>
    <n v="0"/>
    <x v="0"/>
    <m/>
    <m/>
    <m/>
    <s v="N"/>
    <x v="19"/>
    <s v="9441104844"/>
    <s v="X"/>
    <n v="-259102.78999999998"/>
    <n v="360000"/>
    <n v="100897.21"/>
    <n v="62084.92"/>
    <n v="38812.29"/>
    <n v="33292.69"/>
    <n v="25510"/>
    <n v="15885.85"/>
    <x v="0"/>
    <x v="0"/>
    <n v="0"/>
    <n v="15885.85"/>
    <x v="0"/>
    <s v="NA"/>
    <n v="0"/>
    <s v="SAMBA"/>
    <x v="14"/>
    <x v="3"/>
    <s v="Door.no.1.67.3 KANKIPATIVARIGRUVU SEETAMPURAM..TUNI NEAR YSR STATUE KAKINADA ANP 533401"/>
    <s v="APSACS GOVERNAMENT.HOSPITAL BESIDE.MARKETYARD. BESIDE.MARKETYARD. KAKINADA ANP 533401 \"/>
    <s v="KAKINADA"/>
    <x v="4"/>
    <x v="13"/>
    <m/>
    <m/>
    <m/>
    <m/>
    <m/>
    <x v="1"/>
    <m/>
    <m/>
    <x v="1"/>
    <d v="2026-05-13T00:00:00"/>
    <n v="57109"/>
    <s v="Amazon Pay ICICI Bank Credit Card"/>
    <s v="18TH JULY"/>
    <s v="0000000026984999"/>
    <d v="2026-07-16T00:00:00"/>
  </r>
  <r>
    <s v="4315814339546000"/>
    <s v="MR GUNDUBOGULA MADHU KUMAR"/>
    <n v="0"/>
    <x v="0"/>
    <m/>
    <m/>
    <m/>
    <s v="N"/>
    <x v="19"/>
    <s v="8297881191"/>
    <s v="X"/>
    <n v="-76741.409999999974"/>
    <n v="360000"/>
    <n v="283258.59000000003"/>
    <n v="97001.74"/>
    <n v="186256.85"/>
    <n v="153205.13"/>
    <n v="120420"/>
    <n v="65070"/>
    <x v="0"/>
    <x v="0"/>
    <n v="0"/>
    <n v="65070"/>
    <x v="0"/>
    <s v="NA"/>
    <n v="0"/>
    <s v="SAMBA"/>
    <x v="14"/>
    <x v="3"/>
    <s v="&quot;1-36,GUNDUBOGULA VARI MERAKA,NEAR,&quot; &quot;ELIMENTARY SCHOOL,ANTARVEDI,&quot; DEVASTHANAM SAKHINETIPALLI MAN . AMALAPURAM ANP 533252"/>
    <s v="PERSISTENT SYSTEMS LIMITED TOWER C MAROL CHS RD GAMDEVI MAROL ANDHERI EAST GAMDEVI MAROL ANDHERI EAST MUMBAI MAH 400059 \"/>
    <s v="AMALAPURAM"/>
    <x v="4"/>
    <x v="28"/>
    <m/>
    <m/>
    <m/>
    <m/>
    <m/>
    <x v="1"/>
    <m/>
    <m/>
    <x v="1"/>
    <d v="2026-03-02T00:00:00"/>
    <n v="59987.58"/>
    <s v="Amazon Pay ICICI Bank Credit Card"/>
    <s v="18TH JULY"/>
    <s v="0000000027562028"/>
    <d v="2026-07-16T00:00:00"/>
  </r>
  <r>
    <s v="4315814822858003"/>
    <s v="MR VADAVALLI PAVAN KUMAR"/>
    <n v="0"/>
    <x v="0"/>
    <m/>
    <m/>
    <m/>
    <s v="N"/>
    <x v="19"/>
    <s v="9642708713"/>
    <s v="X"/>
    <n v="240594.99"/>
    <n v="100000"/>
    <n v="340594.99"/>
    <n v="221812.64"/>
    <n v="118782.35"/>
    <n v="109671.99"/>
    <n v="56320"/>
    <n v="15190"/>
    <x v="0"/>
    <x v="0"/>
    <n v="0"/>
    <n v="15190"/>
    <x v="0"/>
    <s v="NA"/>
    <n v="0"/>
    <s v="SAMBA"/>
    <x v="14"/>
    <x v="3"/>
    <s v="15-108 TANUKU MANDALAM MASEED STREET  BHIMAVARAM ANP 534222"/>
    <s v="WIPRO LIMITED ALSO WIPRO TECHNOLOGIES A C8GRRP4 WIPRO SEZ ROAD HYDERBAD HYDERBAD HYDERABAD TNG 500032 \"/>
    <s v="BHIMAVARAM"/>
    <x v="4"/>
    <x v="33"/>
    <m/>
    <m/>
    <m/>
    <m/>
    <m/>
    <x v="1"/>
    <m/>
    <m/>
    <x v="1"/>
    <d v="2024-07-15T00:00:00"/>
    <n v="99579"/>
    <s v="Amazon Pay ICICI Bank Credit Card"/>
    <s v="18TH JULY"/>
    <s v="0000000029487086"/>
    <d v="2026-07-16T00:00:00"/>
  </r>
  <r>
    <s v="4315815433867002"/>
    <s v="MR THATTA SAI MADHAVA"/>
    <n v="0"/>
    <x v="0"/>
    <m/>
    <m/>
    <m/>
    <s v="N"/>
    <x v="19"/>
    <s v="8688456207"/>
    <s v="X"/>
    <n v="7186.4100000000035"/>
    <n v="100000"/>
    <n v="107186.41"/>
    <n v="92942.35"/>
    <n v="14244.06"/>
    <n v="7035.65"/>
    <n v="14244.06"/>
    <n v="7620.73"/>
    <x v="0"/>
    <x v="0"/>
    <n v="0"/>
    <n v="7620.73"/>
    <x v="0"/>
    <s v="NA"/>
    <n v="0"/>
    <s v="SAMBA"/>
    <x v="14"/>
    <x v="3"/>
    <s v="6-130 TANUKU MANDALAM   West Godavari ANP 534156"/>
    <s v="DEPARTMENT OF POSTS &quot;SHIVALAYAM STREET ,WEST GODAVARI&quot; TALLAPUDI TALLAPUDI West Godavari ANP 534341 \"/>
    <s v="WEST GODAVARI"/>
    <x v="4"/>
    <x v="33"/>
    <m/>
    <m/>
    <m/>
    <m/>
    <m/>
    <x v="1"/>
    <m/>
    <m/>
    <x v="1"/>
    <s v=""/>
    <n v="0"/>
    <s v="Amazon Pay ICICI Bank Credit Card"/>
    <s v="18TH JULY"/>
    <s v="0000000032198583"/>
    <d v="2026-07-16T00:00:00"/>
  </r>
  <r>
    <s v="4375512453818000"/>
    <s v="MR. PACHARLA DEVENDRANAIDU"/>
    <n v="0"/>
    <x v="0"/>
    <m/>
    <m/>
    <m/>
    <s v="N"/>
    <x v="19"/>
    <s v="9000833693"/>
    <s v="X"/>
    <n v="6260.2099999999919"/>
    <n v="140000"/>
    <n v="146260.21"/>
    <n v="66023.91"/>
    <n v="80236.3"/>
    <n v="72961.78"/>
    <n v="43940"/>
    <n v="21053"/>
    <x v="0"/>
    <x v="0"/>
    <n v="0"/>
    <n v="21053"/>
    <x v="0"/>
    <s v="NA"/>
    <n v="0"/>
    <s v="SAMBA"/>
    <x v="14"/>
    <x v="3"/>
    <s v="H NO 4-12-INJEDU (VIA POST) UYYALAVADA (MADAL) KURNOOL (DIST)  NANDYAL ANP 518155"/>
    <s v="UTC FIRE AND SECURITY INDIA PVT 20 10TH FLOOR BUILDING NO:12C RAHEJA MINDSPACE INORBIT MALL ROAD MADHAPUR RAHEJA MINDSPACE INORBIT MALL ROAD MADHAPUR HYDERABAD TNG 500081 \"/>
    <s v="NANDYAL"/>
    <x v="1"/>
    <x v="7"/>
    <m/>
    <m/>
    <m/>
    <m/>
    <m/>
    <x v="1"/>
    <m/>
    <m/>
    <x v="1"/>
    <d v="2025-03-15T00:00:00"/>
    <n v="8350"/>
    <s v="ICICI Bank MasterCard  Platinum chip Credit Card"/>
    <s v="18TH JULY"/>
    <s v="0000000008472554"/>
    <d v="2026-07-16T00:00:00"/>
  </r>
  <r>
    <s v="4748460775564011"/>
    <s v="MR VETTI SUBRAMANYAM TEJA"/>
    <n v="0"/>
    <x v="0"/>
    <m/>
    <m/>
    <m/>
    <s v="N"/>
    <x v="19"/>
    <s v="8297270087"/>
    <s v="X"/>
    <n v="-64088.380000000005"/>
    <n v="200000"/>
    <n v="135911.62"/>
    <n v="91562.26"/>
    <n v="44349.36"/>
    <n v="39117.33"/>
    <n v="25830"/>
    <n v="12840"/>
    <x v="0"/>
    <x v="0"/>
    <n v="0"/>
    <n v="12840"/>
    <x v="0"/>
    <s v="NA"/>
    <n v="0"/>
    <s v="SAMBA"/>
    <x v="14"/>
    <x v="3"/>
    <s v="&quot;5-7,,&quot; &quot;,Sadasiva shankarapu&quot; Nagalapuram Near water tank CHITTOOR ANP 517589"/>
    <s v="TURBOTECH ENGINEERS &quot;SUNSHINE, HUDA COLONY, CHANDA&quot; &quot;NAGAR,HYDERABED&quot; &quot;NAGAR,HYDERABED&quot; HYDERABAD TNG 500050 \"/>
    <s v="CHITTOOR"/>
    <x v="1"/>
    <x v="25"/>
    <m/>
    <m/>
    <m/>
    <m/>
    <m/>
    <x v="1"/>
    <m/>
    <m/>
    <x v="1"/>
    <d v="2026-06-25T00:00:00"/>
    <n v="13000"/>
    <s v="MakeMyTrip ICICI Bank Platinum Credit Card"/>
    <s v="18TH JULY"/>
    <s v="0000000017688498"/>
    <d v="2026-07-16T00:00:00"/>
  </r>
  <r>
    <s v="4748461284381004"/>
    <s v="MR G SREENATH"/>
    <n v="0"/>
    <x v="0"/>
    <m/>
    <m/>
    <m/>
    <s v="N"/>
    <x v="19"/>
    <s v="9014753292"/>
    <s v="X"/>
    <n v="-1811.6199999999953"/>
    <n v="80000"/>
    <n v="78188.38"/>
    <s v=""/>
    <n v="78188.38"/>
    <n v="73010.740000000005"/>
    <n v="15080"/>
    <n v="9660"/>
    <x v="0"/>
    <x v="0"/>
    <n v="0"/>
    <n v="9660"/>
    <x v="0"/>
    <s v="NA"/>
    <n v="0"/>
    <s v="SAMBA"/>
    <x v="14"/>
    <x v="3"/>
    <s v="15-1871 CHITTOOR POLICE QUARTERS CHITTOOR CHITTOOR ANP 517001"/>
    <s v="OSI SYSTEMS PRIVATE LIMITED 4TH FLOOR ORION BLOCK SOFTWARE UNITS LAYOUT MADHAPUR LAYOUT MADHAPUR HYDERABAD TNG 500081 \"/>
    <s v="CHITTOOR"/>
    <x v="1"/>
    <x v="25"/>
    <m/>
    <m/>
    <m/>
    <m/>
    <m/>
    <x v="1"/>
    <m/>
    <m/>
    <x v="1"/>
    <d v="2024-10-03T00:00:00"/>
    <n v="30000"/>
    <s v="MakeMyTrip ICICI Bank Signature Credit Card"/>
    <s v="18TH JULY"/>
    <s v="0000000023395394"/>
    <d v="2026-07-16T00:00:00"/>
  </r>
  <r>
    <s v="4748461324643009"/>
    <s v="MS GUJJALA CHANDRAKALAVATHI"/>
    <n v="0"/>
    <x v="0"/>
    <m/>
    <m/>
    <m/>
    <s v="N"/>
    <x v="19"/>
    <s v="9848474245"/>
    <s v="X"/>
    <n v="-9635.2299999999814"/>
    <n v="380000"/>
    <n v="370364.77"/>
    <n v="307480.43"/>
    <n v="62884.34"/>
    <n v="46051.39"/>
    <n v="62884.34"/>
    <n v="30038.22"/>
    <x v="0"/>
    <x v="0"/>
    <n v="0"/>
    <n v="30038.22"/>
    <x v="0"/>
    <s v="NA"/>
    <n v="0"/>
    <s v="SAMBA"/>
    <x v="14"/>
    <x v="3"/>
    <s v="7/82-0-15 BALIJAPALLI RAJAMPET GANGAMMA TEMPLE CUDDAPAH ANP 516115"/>
    <s v="EPAM SYSTEMS INDIA PVT LTD 11T FLR PLOT NO 2 PHASE 1 SURVEY NO 8341 SALARPURIA SATVVA KNOWLEDGE CITY RAIDURG SALARPURIA SATVVA KNOWLEDGE CITY RAIDURG HYDERABAD TNG 500081 \"/>
    <s v="CUDDAPAH"/>
    <x v="1"/>
    <x v="48"/>
    <m/>
    <m/>
    <m/>
    <m/>
    <m/>
    <x v="1"/>
    <m/>
    <m/>
    <x v="1"/>
    <d v="2025-05-27T00:00:00"/>
    <n v="20000"/>
    <s v="MakeMyTrip ICICI Bank Platinum Credit Card"/>
    <s v="18TH JULY"/>
    <s v="0000000024083650"/>
    <d v="2026-07-16T00:00:00"/>
  </r>
  <r>
    <s v="4748469370853000"/>
    <s v="MR DEVENDRA KAVADI"/>
    <n v="0"/>
    <x v="0"/>
    <m/>
    <m/>
    <m/>
    <s v="N"/>
    <x v="19"/>
    <s v="9182479795"/>
    <s v="Y"/>
    <n v="-116439.48999999999"/>
    <n v="370000"/>
    <n v="253560.51"/>
    <s v=""/>
    <n v="253560.51"/>
    <n v="228913.04"/>
    <n v="36440"/>
    <n v="14140"/>
    <x v="0"/>
    <x v="0"/>
    <n v="0"/>
    <n v="14140"/>
    <x v="0"/>
    <s v="NA"/>
    <n v="0"/>
    <s v="SAMBA"/>
    <x v="14"/>
    <x v="3"/>
    <s v="D NO 4/320 ACHARAMMA KOTTALA  MAIN ROAD GUNTAKAL ANP 515801"/>
    <s v="CENTRAL GOVT  OF AP SOUTH CENTRAL RAILWAY OPERATING DEPARTMENT OPERATING DEPARTMENT KURNOOL ANP 518468 \"/>
    <s v="GUNTAKAL"/>
    <x v="1"/>
    <x v="12"/>
    <m/>
    <m/>
    <m/>
    <m/>
    <m/>
    <x v="1"/>
    <m/>
    <m/>
    <x v="1"/>
    <d v="2026-05-15T00:00:00"/>
    <n v="80000"/>
    <s v="ICICI Bank HPCL Super Saver Visa Credit Card"/>
    <s v="18TH JULY"/>
    <s v="0000000024023851"/>
    <d v="2026-07-16T00:00:00"/>
  </r>
  <r>
    <s v="5241934175887007"/>
    <s v="MR KUNDOORU REDDY"/>
    <n v="0"/>
    <x v="0"/>
    <m/>
    <m/>
    <m/>
    <s v="N"/>
    <x v="19"/>
    <s v="8790000738"/>
    <s v="X"/>
    <n v="13294.890000000014"/>
    <n v="430000"/>
    <n v="443294.89"/>
    <n v="285859.24"/>
    <n v="157435.65"/>
    <n v="130117.22"/>
    <n v="84580"/>
    <n v="41540"/>
    <x v="0"/>
    <x v="0"/>
    <n v="0"/>
    <n v="41540"/>
    <x v="0"/>
    <s v="NA"/>
    <n v="0"/>
    <s v="SAMBA"/>
    <x v="14"/>
    <x v="3"/>
    <s v="&quot;1-33,ANUMULA,,ANUMULA,NEAR KV COLONY&quot; - - arumula NALGONDA TNG 508377"/>
    <s v="HOSPIRA HEALTHCARE INDIA PVT L Pfizer Heath Carr India put ltd Tease arch and development Tease arch and development CHENNAI TMN 602117 \"/>
    <s v="SURYAPET"/>
    <x v="0"/>
    <x v="55"/>
    <m/>
    <m/>
    <m/>
    <m/>
    <m/>
    <x v="1"/>
    <m/>
    <m/>
    <x v="1"/>
    <d v="2026-04-09T00:00:00"/>
    <n v="45000"/>
    <s v="ICICI Bank MasterCard Coral Credit Card"/>
    <s v="18TH JULY"/>
    <s v="0000000015536552"/>
    <d v="2026-07-16T00:00:00"/>
  </r>
  <r>
    <s v="6528682307911003"/>
    <s v="MR Gunturu Nagaraju"/>
    <n v="0"/>
    <x v="0"/>
    <m/>
    <m/>
    <m/>
    <s v="N"/>
    <x v="19"/>
    <s v="9640145262"/>
    <s v="X"/>
    <n v="6301.4600000000064"/>
    <n v="100000"/>
    <n v="106301.46"/>
    <s v=""/>
    <n v="106301.46"/>
    <n v="99923"/>
    <n v="18220"/>
    <n v="5000"/>
    <x v="0"/>
    <x v="0"/>
    <n v="0"/>
    <n v="5000"/>
    <x v="0"/>
    <s v="NA"/>
    <n v="0"/>
    <s v="SAMBA"/>
    <x v="14"/>
    <x v="3"/>
    <s v="22 25 1537 POTTISRIRAMULU NAGAR GUNTUR AMARAVATHI ROAD GUNTUR ANP 522002"/>
    <s v="MAHINDRA   MAHINDRA LIMITED 149 MANGALAGIRI MANGALAGIRI ROAD AGATHAVARAPADU MANGALAGIRI ROAD AGATHAVARAPADU GUNTUR ANP 522001 \"/>
    <s v="GUNTUR"/>
    <x v="5"/>
    <x v="43"/>
    <m/>
    <m/>
    <m/>
    <m/>
    <m/>
    <x v="1"/>
    <m/>
    <m/>
    <x v="1"/>
    <s v=""/>
    <n v="0"/>
    <s v="ICICI Bank Coral RuPay Credit Card"/>
    <s v="18TH JULY"/>
    <s v="0000000033070790"/>
    <d v="2026-07-1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5" cacheId="429"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V2:Y60" firstHeaderRow="1" firstDataRow="2" firstDataCol="1"/>
  <pivotFields count="49">
    <pivotField showAll="0"/>
    <pivotField showAll="0"/>
    <pivotField showAll="0"/>
    <pivotField showAll="0">
      <items count="19">
        <item h="1" m="1" x="9"/>
        <item x="0"/>
        <item h="1" m="1" x="15"/>
        <item h="1" m="1" x="17"/>
        <item h="1" m="1" x="16"/>
        <item h="1" m="1" x="3"/>
        <item h="1" m="1" x="14"/>
        <item h="1" m="1" x="4"/>
        <item h="1" m="1" x="11"/>
        <item h="1" m="1" x="8"/>
        <item h="1" m="1" x="13"/>
        <item h="1" x="2"/>
        <item h="1" m="1" x="10"/>
        <item h="1" m="1" x="5"/>
        <item x="1"/>
        <item h="1" m="1" x="12"/>
        <item h="1" m="1" x="7"/>
        <item h="1" m="1" x="6"/>
        <item t="default"/>
      </items>
    </pivotField>
    <pivotField showAll="0"/>
    <pivotField showAll="0"/>
    <pivotField showAll="0"/>
    <pivotField showAll="0"/>
    <pivotField showAll="0">
      <items count="29">
        <item x="0"/>
        <item x="1"/>
        <item m="1" x="22"/>
        <item m="1" x="26"/>
        <item x="2"/>
        <item m="1" x="25"/>
        <item x="3"/>
        <item x="4"/>
        <item m="1" x="23"/>
        <item x="5"/>
        <item x="6"/>
        <item x="7"/>
        <item m="1" x="24"/>
        <item x="8"/>
        <item x="9"/>
        <item x="10"/>
        <item x="11"/>
        <item x="12"/>
        <item m="1" x="27"/>
        <item x="13"/>
        <item x="14"/>
        <item x="15"/>
        <item x="16"/>
        <item x="17"/>
        <item x="18"/>
        <item x="20"/>
        <item x="21"/>
        <item x="1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items count="38">
        <item x="13"/>
        <item m="1" x="33"/>
        <item x="4"/>
        <item m="1" x="27"/>
        <item x="7"/>
        <item m="1" x="35"/>
        <item m="1" x="36"/>
        <item m="1" x="20"/>
        <item m="1" x="25"/>
        <item x="12"/>
        <item x="5"/>
        <item m="1" x="31"/>
        <item x="6"/>
        <item m="1" x="24"/>
        <item x="2"/>
        <item m="1" x="17"/>
        <item m="1" x="22"/>
        <item m="1" x="23"/>
        <item m="1" x="28"/>
        <item x="0"/>
        <item m="1" x="29"/>
        <item x="8"/>
        <item x="10"/>
        <item m="1" x="30"/>
        <item m="1" x="18"/>
        <item x="1"/>
        <item m="1" x="34"/>
        <item x="9"/>
        <item x="11"/>
        <item m="1" x="15"/>
        <item x="3"/>
        <item m="1" x="32"/>
        <item m="1" x="19"/>
        <item m="1" x="26"/>
        <item m="1" x="16"/>
        <item m="1" x="21"/>
        <item x="14"/>
        <item t="default"/>
      </items>
    </pivotField>
    <pivotField showAll="0"/>
    <pivotField showAll="0"/>
    <pivotField showAll="0"/>
    <pivotField showAll="0"/>
    <pivotField showAll="0">
      <items count="13">
        <item m="1" x="9"/>
        <item x="4"/>
        <item x="5"/>
        <item x="1"/>
        <item m="1" x="11"/>
        <item x="2"/>
        <item x="6"/>
        <item m="1" x="10"/>
        <item x="0"/>
        <item x="3"/>
        <item x="7"/>
        <item m="1" x="8"/>
        <item t="default"/>
      </items>
    </pivotField>
    <pivotField axis="axisRow" showAll="0" sortType="ascending">
      <items count="148">
        <item m="1" x="101"/>
        <item m="1" x="131"/>
        <item m="1" x="120"/>
        <item m="1" x="118"/>
        <item m="1" x="117"/>
        <item x="36"/>
        <item m="1" x="106"/>
        <item m="1" x="137"/>
        <item m="1" x="66"/>
        <item m="1" x="141"/>
        <item x="47"/>
        <item m="1" x="75"/>
        <item x="10"/>
        <item m="1" x="112"/>
        <item m="1" x="67"/>
        <item m="1" x="102"/>
        <item m="1" x="88"/>
        <item m="1" x="80"/>
        <item m="1" x="84"/>
        <item x="1"/>
        <item m="1" x="130"/>
        <item m="1" x="73"/>
        <item m="1" x="92"/>
        <item m="1" x="111"/>
        <item m="1" x="65"/>
        <item m="1" x="99"/>
        <item m="1" x="132"/>
        <item x="43"/>
        <item m="1" x="110"/>
        <item m="1" x="109"/>
        <item x="31"/>
        <item m="1" x="133"/>
        <item m="1" x="71"/>
        <item x="49"/>
        <item x="11"/>
        <item m="1" x="83"/>
        <item m="1" x="123"/>
        <item m="1" x="105"/>
        <item x="27"/>
        <item x="20"/>
        <item m="1" x="85"/>
        <item m="1" x="113"/>
        <item m="1" x="97"/>
        <item x="52"/>
        <item x="6"/>
        <item x="28"/>
        <item x="32"/>
        <item m="1" x="129"/>
        <item x="51"/>
        <item x="50"/>
        <item x="2"/>
        <item m="1" x="57"/>
        <item m="1" x="108"/>
        <item m="1" x="82"/>
        <item x="7"/>
        <item x="19"/>
        <item m="1" x="59"/>
        <item x="9"/>
        <item m="1" x="135"/>
        <item m="1" x="62"/>
        <item m="1" x="127"/>
        <item m="1" x="124"/>
        <item m="1" x="138"/>
        <item x="5"/>
        <item x="44"/>
        <item x="42"/>
        <item m="1" x="72"/>
        <item m="1" x="90"/>
        <item m="1" x="98"/>
        <item x="34"/>
        <item x="54"/>
        <item m="1" x="115"/>
        <item m="1" x="114"/>
        <item x="15"/>
        <item x="22"/>
        <item m="1" x="70"/>
        <item m="1" x="74"/>
        <item m="1" x="121"/>
        <item m="1" x="96"/>
        <item x="16"/>
        <item m="1" x="122"/>
        <item m="1" x="145"/>
        <item m="1" x="104"/>
        <item x="38"/>
        <item x="24"/>
        <item x="46"/>
        <item m="1" x="58"/>
        <item m="1" x="144"/>
        <item x="18"/>
        <item m="1" x="64"/>
        <item x="30"/>
        <item x="26"/>
        <item m="1" x="56"/>
        <item x="45"/>
        <item x="29"/>
        <item m="1" x="69"/>
        <item m="1" x="146"/>
        <item x="0"/>
        <item m="1" x="126"/>
        <item m="1" x="78"/>
        <item m="1" x="77"/>
        <item m="1" x="94"/>
        <item x="8"/>
        <item m="1" x="76"/>
        <item m="1" x="60"/>
        <item m="1" x="125"/>
        <item x="25"/>
        <item m="1" x="61"/>
        <item m="1" x="143"/>
        <item m="1" x="134"/>
        <item m="1" x="128"/>
        <item x="21"/>
        <item m="1" x="87"/>
        <item x="12"/>
        <item x="17"/>
        <item x="33"/>
        <item m="1" x="100"/>
        <item x="35"/>
        <item m="1" x="119"/>
        <item m="1" x="116"/>
        <item x="39"/>
        <item m="1" x="142"/>
        <item m="1" x="140"/>
        <item x="37"/>
        <item x="41"/>
        <item m="1" x="86"/>
        <item m="1" x="68"/>
        <item m="1" x="81"/>
        <item m="1" x="89"/>
        <item x="53"/>
        <item x="3"/>
        <item m="1" x="79"/>
        <item m="1" x="107"/>
        <item m="1" x="93"/>
        <item x="14"/>
        <item x="4"/>
        <item x="13"/>
        <item x="23"/>
        <item m="1" x="63"/>
        <item x="40"/>
        <item x="48"/>
        <item m="1" x="91"/>
        <item m="1" x="103"/>
        <item m="1" x="139"/>
        <item m="1" x="95"/>
        <item m="1" x="136"/>
        <item x="55"/>
        <item t="default"/>
      </items>
    </pivotField>
    <pivotField showAll="0"/>
    <pivotField showAll="0"/>
    <pivotField showAll="0"/>
    <pivotField showAll="0"/>
    <pivotField showAll="0"/>
    <pivotField axis="axisCol" showAll="0">
      <items count="4">
        <item x="0"/>
        <item x="1"/>
        <item m="1" x="2"/>
        <item t="default"/>
      </items>
    </pivotField>
    <pivotField showAll="0"/>
    <pivotField showAll="0"/>
    <pivotField showAll="0"/>
    <pivotField showAll="0"/>
    <pivotField showAll="0"/>
    <pivotField showAll="0"/>
    <pivotField showAll="0"/>
    <pivotField showAll="0"/>
    <pivotField numFmtId="14" showAll="0"/>
  </pivotFields>
  <rowFields count="1">
    <field x="33"/>
  </rowFields>
  <rowItems count="57">
    <i>
      <x v="5"/>
    </i>
    <i>
      <x v="10"/>
    </i>
    <i>
      <x v="12"/>
    </i>
    <i>
      <x v="19"/>
    </i>
    <i>
      <x v="27"/>
    </i>
    <i>
      <x v="30"/>
    </i>
    <i>
      <x v="33"/>
    </i>
    <i>
      <x v="34"/>
    </i>
    <i>
      <x v="38"/>
    </i>
    <i>
      <x v="39"/>
    </i>
    <i>
      <x v="43"/>
    </i>
    <i>
      <x v="44"/>
    </i>
    <i>
      <x v="45"/>
    </i>
    <i>
      <x v="46"/>
    </i>
    <i>
      <x v="48"/>
    </i>
    <i>
      <x v="49"/>
    </i>
    <i>
      <x v="50"/>
    </i>
    <i>
      <x v="54"/>
    </i>
    <i>
      <x v="55"/>
    </i>
    <i>
      <x v="57"/>
    </i>
    <i>
      <x v="63"/>
    </i>
    <i>
      <x v="64"/>
    </i>
    <i>
      <x v="65"/>
    </i>
    <i>
      <x v="69"/>
    </i>
    <i>
      <x v="70"/>
    </i>
    <i>
      <x v="73"/>
    </i>
    <i>
      <x v="74"/>
    </i>
    <i>
      <x v="79"/>
    </i>
    <i>
      <x v="83"/>
    </i>
    <i>
      <x v="84"/>
    </i>
    <i>
      <x v="85"/>
    </i>
    <i>
      <x v="88"/>
    </i>
    <i>
      <x v="90"/>
    </i>
    <i>
      <x v="91"/>
    </i>
    <i>
      <x v="93"/>
    </i>
    <i>
      <x v="94"/>
    </i>
    <i>
      <x v="97"/>
    </i>
    <i>
      <x v="102"/>
    </i>
    <i>
      <x v="106"/>
    </i>
    <i>
      <x v="111"/>
    </i>
    <i>
      <x v="113"/>
    </i>
    <i>
      <x v="114"/>
    </i>
    <i>
      <x v="115"/>
    </i>
    <i>
      <x v="117"/>
    </i>
    <i>
      <x v="120"/>
    </i>
    <i>
      <x v="123"/>
    </i>
    <i>
      <x v="124"/>
    </i>
    <i>
      <x v="129"/>
    </i>
    <i>
      <x v="130"/>
    </i>
    <i>
      <x v="134"/>
    </i>
    <i>
      <x v="135"/>
    </i>
    <i>
      <x v="136"/>
    </i>
    <i>
      <x v="137"/>
    </i>
    <i>
      <x v="139"/>
    </i>
    <i>
      <x v="140"/>
    </i>
    <i>
      <x v="146"/>
    </i>
    <i t="grand">
      <x/>
    </i>
  </rowItems>
  <colFields count="1">
    <field x="39"/>
  </colFields>
  <colItems count="3">
    <i>
      <x/>
    </i>
    <i>
      <x v="1"/>
    </i>
    <i t="grand">
      <x/>
    </i>
  </colItems>
  <dataFields count="1">
    <dataField name="COUNT." fld="13" subtotal="count" baseField="4" baseItem="0"/>
  </dataFields>
  <formats count="5">
    <format dxfId="393">
      <pivotArea type="all" dataOnly="0" outline="0" fieldPosition="0"/>
    </format>
    <format dxfId="392">
      <pivotArea type="all" dataOnly="0" outline="0" fieldPosition="0"/>
    </format>
    <format dxfId="391">
      <pivotArea dataOnly="0" labelOnly="1" fieldPosition="0">
        <references count="1">
          <reference field="33" count="0"/>
        </references>
      </pivotArea>
    </format>
    <format dxfId="390">
      <pivotArea type="all" dataOnly="0" outline="0" fieldPosition="0"/>
    </format>
    <format dxfId="389">
      <pivotArea type="all" dataOnly="0" outline="0" fieldPosition="0"/>
    </format>
  </formats>
  <conditionalFormats count="5">
    <conditionalFormat priority="1">
      <pivotAreas count="1">
        <pivotArea type="data" collapsedLevelsAreSubtotals="1" fieldPosition="0">
          <references count="3">
            <reference field="4294967294" count="1" selected="0">
              <x v="0"/>
            </reference>
            <reference field="33" count="53">
              <x v="5"/>
              <x v="10"/>
              <x v="12"/>
              <x v="19"/>
              <x v="27"/>
              <x v="30"/>
              <x v="34"/>
              <x v="38"/>
              <x v="39"/>
              <x v="44"/>
              <x v="45"/>
              <x v="46"/>
              <x v="48"/>
              <x v="49"/>
              <x v="50"/>
              <x v="54"/>
              <x v="55"/>
              <x v="57"/>
              <x v="63"/>
              <x v="64"/>
              <x v="65"/>
              <x v="69"/>
              <x v="70"/>
              <x v="73"/>
              <x v="74"/>
              <x v="79"/>
              <x v="83"/>
              <x v="84"/>
              <x v="85"/>
              <x v="88"/>
              <x v="90"/>
              <x v="91"/>
              <x v="93"/>
              <x v="94"/>
              <x v="97"/>
              <x v="102"/>
              <x v="106"/>
              <x v="111"/>
              <x v="113"/>
              <x v="114"/>
              <x v="115"/>
              <x v="117"/>
              <x v="120"/>
              <x v="123"/>
              <x v="124"/>
              <x v="129"/>
              <x v="130"/>
              <x v="134"/>
              <x v="135"/>
              <x v="136"/>
              <x v="137"/>
              <x v="139"/>
              <x v="140"/>
            </reference>
            <reference field="39" count="1" selected="0">
              <x v="1"/>
            </reference>
          </references>
        </pivotArea>
      </pivotAreas>
    </conditionalFormat>
    <conditionalFormat priority="2">
      <pivotAreas count="1">
        <pivotArea type="data" collapsedLevelsAreSubtotals="1" fieldPosition="0">
          <references count="3">
            <reference field="4294967294" count="1" selected="0">
              <x v="0"/>
            </reference>
            <reference field="33" count="26">
              <x v="30"/>
              <x v="38"/>
              <x v="39"/>
              <x v="45"/>
              <x v="46"/>
              <x v="49"/>
              <x v="55"/>
              <x v="57"/>
              <x v="64"/>
              <x v="65"/>
              <x v="73"/>
              <x v="74"/>
              <x v="83"/>
              <x v="85"/>
              <x v="91"/>
              <x v="94"/>
              <x v="102"/>
              <x v="106"/>
              <x v="111"/>
              <x v="113"/>
              <x v="120"/>
              <x v="123"/>
              <x v="136"/>
              <x v="137"/>
              <x v="139"/>
              <x v="140"/>
            </reference>
            <reference field="39" count="1" selected="0">
              <x v="1"/>
            </reference>
          </references>
        </pivotArea>
      </pivotAreas>
    </conditionalFormat>
    <conditionalFormat priority="8">
      <pivotAreas count="1">
        <pivotArea type="data" collapsedLevelsAreSubtotals="1" fieldPosition="0">
          <references count="3">
            <reference field="4294967294" count="1" selected="0">
              <x v="0"/>
            </reference>
            <reference field="33" count="42">
              <x v="5"/>
              <x v="12"/>
              <x v="19"/>
              <x v="27"/>
              <x v="30"/>
              <x v="34"/>
              <x v="38"/>
              <x v="39"/>
              <x v="45"/>
              <x v="46"/>
              <x v="50"/>
              <x v="54"/>
              <x v="55"/>
              <x v="57"/>
              <x v="63"/>
              <x v="64"/>
              <x v="65"/>
              <x v="69"/>
              <x v="73"/>
              <x v="74"/>
              <x v="79"/>
              <x v="83"/>
              <x v="84"/>
              <x v="88"/>
              <x v="90"/>
              <x v="91"/>
              <x v="93"/>
              <x v="94"/>
              <x v="97"/>
              <x v="102"/>
              <x v="106"/>
              <x v="113"/>
              <x v="114"/>
              <x v="115"/>
              <x v="117"/>
              <x v="123"/>
              <x v="124"/>
              <x v="130"/>
              <x v="134"/>
              <x v="135"/>
              <x v="137"/>
              <x v="139"/>
            </reference>
            <reference field="39" count="1" selected="0">
              <x v="1"/>
            </reference>
          </references>
        </pivotArea>
      </pivotAreas>
    </conditionalFormat>
    <conditionalFormat priority="12">
      <pivotAreas count="1">
        <pivotArea type="data" collapsedLevelsAreSubtotals="1" fieldPosition="0">
          <references count="3">
            <reference field="4294967294" count="1" selected="0">
              <x v="0"/>
            </reference>
            <reference field="33" count="46">
              <x v="5"/>
              <x v="12"/>
              <x v="19"/>
              <x v="30"/>
              <x v="34"/>
              <x v="38"/>
              <x v="39"/>
              <x v="43"/>
              <x v="44"/>
              <x v="45"/>
              <x v="46"/>
              <x v="50"/>
              <x v="51"/>
              <x v="54"/>
              <x v="55"/>
              <x v="57"/>
              <x v="63"/>
              <x v="64"/>
              <x v="65"/>
              <x v="69"/>
              <x v="73"/>
              <x v="74"/>
              <x v="79"/>
              <x v="83"/>
              <x v="84"/>
              <x v="86"/>
              <x v="88"/>
              <x v="90"/>
              <x v="91"/>
              <x v="93"/>
              <x v="94"/>
              <x v="97"/>
              <x v="102"/>
              <x v="106"/>
              <x v="111"/>
              <x v="113"/>
              <x v="114"/>
              <x v="115"/>
              <x v="117"/>
              <x v="123"/>
              <x v="124"/>
              <x v="130"/>
              <x v="134"/>
              <x v="135"/>
              <x v="136"/>
              <x v="137"/>
            </reference>
            <reference field="39" count="1" selected="0">
              <x v="1"/>
            </reference>
          </references>
        </pivotArea>
      </pivotAreas>
    </conditionalFormat>
    <conditionalFormat priority="13">
      <pivotAreas count="1">
        <pivotArea type="data" collapsedLevelsAreSubtotals="1" fieldPosition="0">
          <references count="3">
            <reference field="4294967294" count="1" selected="0">
              <x v="0"/>
            </reference>
            <reference field="33" count="33">
              <x v="12"/>
              <x v="30"/>
              <x v="34"/>
              <x v="38"/>
              <x v="39"/>
              <x v="44"/>
              <x v="45"/>
              <x v="50"/>
              <x v="54"/>
              <x v="57"/>
              <x v="63"/>
              <x v="73"/>
              <x v="74"/>
              <x v="84"/>
              <x v="88"/>
              <x v="90"/>
              <x v="91"/>
              <x v="94"/>
              <x v="97"/>
              <x v="102"/>
              <x v="104"/>
              <x v="106"/>
              <x v="107"/>
              <x v="111"/>
              <x v="113"/>
              <x v="114"/>
              <x v="117"/>
              <x v="130"/>
              <x v="134"/>
              <x v="135"/>
              <x v="136"/>
              <x v="137"/>
              <x v="146"/>
            </reference>
            <reference field="39"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2" cacheId="429"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R3:BS60" firstHeaderRow="1" firstDataRow="1" firstDataCol="1"/>
  <pivotFields count="49">
    <pivotField showAll="0"/>
    <pivotField showAll="0"/>
    <pivotField showAll="0"/>
    <pivotField showAll="0">
      <items count="19">
        <item h="1" m="1" x="9"/>
        <item x="0"/>
        <item h="1" m="1" x="15"/>
        <item h="1" m="1" x="17"/>
        <item h="1" m="1" x="16"/>
        <item h="1" m="1" x="3"/>
        <item h="1" m="1" x="14"/>
        <item h="1" m="1" x="4"/>
        <item h="1" m="1" x="11"/>
        <item h="1" m="1" x="8"/>
        <item h="1" m="1" x="13"/>
        <item h="1" x="2"/>
        <item h="1" m="1" x="10"/>
        <item h="1" m="1" x="5"/>
        <item x="1"/>
        <item h="1" m="1" x="12"/>
        <item h="1" m="1" x="7"/>
        <item h="1" m="1" x="6"/>
        <item t="default"/>
      </items>
    </pivotField>
    <pivotField showAll="0"/>
    <pivotField showAll="0"/>
    <pivotField showAll="0"/>
    <pivotField showAll="0"/>
    <pivotField showAll="0">
      <items count="29">
        <item x="0"/>
        <item x="1"/>
        <item m="1" x="22"/>
        <item m="1" x="26"/>
        <item x="2"/>
        <item m="1" x="25"/>
        <item x="3"/>
        <item x="4"/>
        <item m="1" x="23"/>
        <item x="5"/>
        <item x="6"/>
        <item x="7"/>
        <item m="1" x="24"/>
        <item x="8"/>
        <item x="9"/>
        <item x="10"/>
        <item x="11"/>
        <item x="12"/>
        <item m="1" x="27"/>
        <item x="13"/>
        <item x="14"/>
        <item x="15"/>
        <item x="16"/>
        <item x="17"/>
        <item x="18"/>
        <item x="20"/>
        <item x="21"/>
        <item x="1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29">
        <item x="0"/>
        <item x="17"/>
        <item x="18"/>
        <item x="20"/>
        <item x="22"/>
        <item x="23"/>
        <item x="25"/>
        <item x="24"/>
        <item x="27"/>
        <item x="26"/>
        <item x="4"/>
        <item x="9"/>
        <item x="2"/>
        <item x="8"/>
        <item x="10"/>
        <item x="5"/>
        <item x="3"/>
        <item x="6"/>
        <item x="7"/>
        <item x="1"/>
        <item x="11"/>
        <item x="13"/>
        <item x="12"/>
        <item x="21"/>
        <item x="15"/>
        <item x="14"/>
        <item x="16"/>
        <item x="19"/>
        <item t="default"/>
      </items>
    </pivotField>
    <pivotField showAll="0"/>
    <pivotField showAll="0"/>
    <pivotField showAll="0" defaultSubtotal="0"/>
    <pivotField showAll="0">
      <items count="38">
        <item x="13"/>
        <item m="1" x="33"/>
        <item x="4"/>
        <item m="1" x="27"/>
        <item x="7"/>
        <item m="1" x="35"/>
        <item m="1" x="36"/>
        <item m="1" x="20"/>
        <item m="1" x="25"/>
        <item x="12"/>
        <item x="5"/>
        <item m="1" x="31"/>
        <item x="6"/>
        <item m="1" x="24"/>
        <item x="2"/>
        <item m="1" x="17"/>
        <item m="1" x="22"/>
        <item m="1" x="23"/>
        <item m="1" x="28"/>
        <item x="0"/>
        <item m="1" x="29"/>
        <item x="8"/>
        <item x="10"/>
        <item m="1" x="30"/>
        <item m="1" x="18"/>
        <item x="1"/>
        <item m="1" x="34"/>
        <item x="9"/>
        <item x="11"/>
        <item m="1" x="15"/>
        <item x="3"/>
        <item m="1" x="32"/>
        <item m="1" x="19"/>
        <item m="1" x="26"/>
        <item m="1" x="16"/>
        <item m="1" x="21"/>
        <item x="14"/>
        <item t="default"/>
      </items>
    </pivotField>
    <pivotField showAll="0"/>
    <pivotField showAll="0"/>
    <pivotField showAll="0"/>
    <pivotField showAll="0"/>
    <pivotField showAll="0">
      <items count="13">
        <item m="1" x="9"/>
        <item x="4"/>
        <item x="5"/>
        <item x="1"/>
        <item m="1" x="11"/>
        <item x="2"/>
        <item x="6"/>
        <item m="1" x="10"/>
        <item x="0"/>
        <item x="3"/>
        <item x="7"/>
        <item m="1" x="8"/>
        <item t="default"/>
      </items>
    </pivotField>
    <pivotField axis="axisRow" showAll="0">
      <items count="148">
        <item m="1" x="101"/>
        <item m="1" x="131"/>
        <item m="1" x="120"/>
        <item m="1" x="118"/>
        <item m="1" x="117"/>
        <item x="36"/>
        <item m="1" x="106"/>
        <item m="1" x="137"/>
        <item m="1" x="66"/>
        <item m="1" x="141"/>
        <item m="1" x="75"/>
        <item x="10"/>
        <item m="1" x="112"/>
        <item m="1" x="67"/>
        <item m="1" x="102"/>
        <item m="1" x="88"/>
        <item m="1" x="80"/>
        <item m="1" x="84"/>
        <item x="1"/>
        <item m="1" x="130"/>
        <item m="1" x="73"/>
        <item m="1" x="92"/>
        <item m="1" x="111"/>
        <item m="1" x="65"/>
        <item m="1" x="99"/>
        <item m="1" x="132"/>
        <item x="43"/>
        <item m="1" x="110"/>
        <item m="1" x="109"/>
        <item m="1" x="133"/>
        <item m="1" x="71"/>
        <item x="49"/>
        <item x="11"/>
        <item m="1" x="83"/>
        <item m="1" x="123"/>
        <item m="1" x="105"/>
        <item x="20"/>
        <item m="1" x="85"/>
        <item m="1" x="113"/>
        <item m="1" x="97"/>
        <item x="52"/>
        <item x="6"/>
        <item x="28"/>
        <item x="32"/>
        <item m="1" x="129"/>
        <item x="51"/>
        <item x="50"/>
        <item x="2"/>
        <item m="1" x="57"/>
        <item m="1" x="108"/>
        <item m="1" x="82"/>
        <item x="7"/>
        <item x="19"/>
        <item x="9"/>
        <item m="1" x="135"/>
        <item m="1" x="62"/>
        <item m="1" x="127"/>
        <item m="1" x="124"/>
        <item m="1" x="138"/>
        <item m="1" x="90"/>
        <item m="1" x="98"/>
        <item x="34"/>
        <item m="1" x="115"/>
        <item m="1" x="114"/>
        <item x="15"/>
        <item x="22"/>
        <item m="1" x="70"/>
        <item m="1" x="74"/>
        <item m="1" x="121"/>
        <item m="1" x="96"/>
        <item m="1" x="122"/>
        <item m="1" x="145"/>
        <item m="1" x="104"/>
        <item x="38"/>
        <item x="24"/>
        <item m="1" x="58"/>
        <item m="1" x="144"/>
        <item x="18"/>
        <item m="1" x="64"/>
        <item x="30"/>
        <item x="26"/>
        <item x="45"/>
        <item x="29"/>
        <item m="1" x="69"/>
        <item m="1" x="146"/>
        <item x="0"/>
        <item m="1" x="126"/>
        <item m="1" x="78"/>
        <item m="1" x="77"/>
        <item m="1" x="94"/>
        <item x="8"/>
        <item m="1" x="76"/>
        <item m="1" x="125"/>
        <item x="25"/>
        <item m="1" x="143"/>
        <item m="1" x="134"/>
        <item m="1" x="128"/>
        <item m="1" x="87"/>
        <item x="12"/>
        <item x="17"/>
        <item x="33"/>
        <item m="1" x="100"/>
        <item x="35"/>
        <item m="1" x="119"/>
        <item m="1" x="116"/>
        <item m="1" x="142"/>
        <item m="1" x="140"/>
        <item x="37"/>
        <item x="41"/>
        <item m="1" x="86"/>
        <item m="1" x="68"/>
        <item m="1" x="81"/>
        <item m="1" x="89"/>
        <item x="53"/>
        <item x="3"/>
        <item m="1" x="79"/>
        <item m="1" x="107"/>
        <item m="1" x="93"/>
        <item x="4"/>
        <item x="13"/>
        <item x="23"/>
        <item m="1" x="63"/>
        <item x="40"/>
        <item m="1" x="91"/>
        <item m="1" x="103"/>
        <item m="1" x="139"/>
        <item m="1" x="95"/>
        <item m="1" x="136"/>
        <item x="55"/>
        <item m="1" x="72"/>
        <item x="31"/>
        <item x="5"/>
        <item x="14"/>
        <item m="1" x="59"/>
        <item m="1" x="60"/>
        <item m="1" x="61"/>
        <item x="21"/>
        <item x="27"/>
        <item x="44"/>
        <item x="16"/>
        <item x="42"/>
        <item x="47"/>
        <item x="39"/>
        <item x="46"/>
        <item m="1" x="56"/>
        <item x="48"/>
        <item x="54"/>
        <item t="default"/>
      </items>
    </pivotField>
    <pivotField showAll="0"/>
    <pivotField showAll="0"/>
    <pivotField showAll="0"/>
    <pivotField showAll="0"/>
    <pivotField showAll="0"/>
    <pivotField showAll="0"/>
    <pivotField showAll="0"/>
    <pivotField showAll="0"/>
    <pivotField showAll="0">
      <items count="133">
        <item m="1" x="94"/>
        <item m="1" x="117"/>
        <item m="1" x="43"/>
        <item x="16"/>
        <item m="1" x="84"/>
        <item m="1" x="95"/>
        <item m="1" x="119"/>
        <item m="1" x="45"/>
        <item x="17"/>
        <item m="1" x="71"/>
        <item m="1" x="103"/>
        <item m="1" x="120"/>
        <item m="1" x="46"/>
        <item x="24"/>
        <item m="1" x="75"/>
        <item m="1" x="99"/>
        <item m="1" x="122"/>
        <item m="1" x="49"/>
        <item x="20"/>
        <item m="1" x="77"/>
        <item m="1" x="124"/>
        <item m="1" x="97"/>
        <item m="1" x="123"/>
        <item m="1" x="54"/>
        <item x="21"/>
        <item m="1" x="76"/>
        <item m="1" x="100"/>
        <item m="1" x="131"/>
        <item m="1" x="48"/>
        <item x="23"/>
        <item m="1" x="78"/>
        <item m="1" x="98"/>
        <item m="1" x="125"/>
        <item m="1" x="47"/>
        <item x="22"/>
        <item m="1" x="79"/>
        <item m="1" x="101"/>
        <item m="1" x="127"/>
        <item m="1" x="52"/>
        <item x="25"/>
        <item m="1" x="80"/>
        <item m="1" x="102"/>
        <item m="1" x="126"/>
        <item m="1" x="50"/>
        <item x="26"/>
        <item m="1" x="81"/>
        <item m="1" x="129"/>
        <item m="1" x="51"/>
        <item m="1" x="82"/>
        <item m="1" x="87"/>
        <item m="1" x="29"/>
        <item x="9"/>
        <item m="1" x="57"/>
        <item m="1" x="61"/>
        <item m="1" x="128"/>
        <item m="1" x="53"/>
        <item m="1" x="83"/>
        <item m="1" x="85"/>
        <item m="1" x="130"/>
        <item m="1" x="55"/>
        <item m="1" x="60"/>
        <item m="1" x="34"/>
        <item m="1" x="56"/>
        <item m="1" x="109"/>
        <item x="7"/>
        <item m="1" x="32"/>
        <item m="1" x="64"/>
        <item m="1" x="107"/>
        <item x="8"/>
        <item m="1" x="86"/>
        <item m="1" x="65"/>
        <item m="1" x="108"/>
        <item x="2"/>
        <item m="1" x="36"/>
        <item m="1" x="105"/>
        <item x="3"/>
        <item m="1" x="28"/>
        <item m="1" x="63"/>
        <item m="1" x="106"/>
        <item x="4"/>
        <item m="1" x="27"/>
        <item m="1" x="62"/>
        <item m="1" x="104"/>
        <item x="10"/>
        <item m="1" x="30"/>
        <item m="1" x="66"/>
        <item x="5"/>
        <item m="1" x="33"/>
        <item m="1" x="88"/>
        <item m="1" x="111"/>
        <item m="1" x="31"/>
        <item x="6"/>
        <item m="1" x="58"/>
        <item m="1" x="59"/>
        <item x="0"/>
        <item m="1" x="35"/>
        <item m="1" x="110"/>
        <item m="1" x="39"/>
        <item m="1" x="89"/>
        <item m="1" x="114"/>
        <item m="1" x="38"/>
        <item x="11"/>
        <item m="1" x="74"/>
        <item m="1" x="90"/>
        <item m="1" x="112"/>
        <item m="1" x="40"/>
        <item x="12"/>
        <item m="1" x="67"/>
        <item m="1" x="113"/>
        <item m="1" x="37"/>
        <item x="19"/>
        <item m="1" x="68"/>
        <item m="1" x="92"/>
        <item m="1" x="115"/>
        <item m="1" x="42"/>
        <item x="13"/>
        <item m="1" x="69"/>
        <item m="1" x="91"/>
        <item m="1" x="116"/>
        <item x="14"/>
        <item m="1" x="70"/>
        <item m="1" x="96"/>
        <item m="1" x="121"/>
        <item m="1" x="41"/>
        <item x="15"/>
        <item m="1" x="73"/>
        <item m="1" x="93"/>
        <item m="1" x="118"/>
        <item m="1" x="44"/>
        <item x="18"/>
        <item m="1" x="72"/>
        <item x="1"/>
        <item t="default"/>
      </items>
    </pivotField>
    <pivotField showAll="0"/>
    <pivotField showAll="0"/>
    <pivotField showAll="0"/>
    <pivotField showAll="0"/>
    <pivotField showAll="0"/>
    <pivotField numFmtId="14" showAll="0"/>
  </pivotFields>
  <rowFields count="1">
    <field x="33"/>
  </rowFields>
  <rowItems count="57">
    <i>
      <x v="5"/>
    </i>
    <i>
      <x v="11"/>
    </i>
    <i>
      <x v="18"/>
    </i>
    <i>
      <x v="26"/>
    </i>
    <i>
      <x v="31"/>
    </i>
    <i>
      <x v="32"/>
    </i>
    <i>
      <x v="36"/>
    </i>
    <i>
      <x v="40"/>
    </i>
    <i>
      <x v="41"/>
    </i>
    <i>
      <x v="42"/>
    </i>
    <i>
      <x v="43"/>
    </i>
    <i>
      <x v="45"/>
    </i>
    <i>
      <x v="46"/>
    </i>
    <i>
      <x v="47"/>
    </i>
    <i>
      <x v="51"/>
    </i>
    <i>
      <x v="52"/>
    </i>
    <i>
      <x v="53"/>
    </i>
    <i>
      <x v="61"/>
    </i>
    <i>
      <x v="64"/>
    </i>
    <i>
      <x v="65"/>
    </i>
    <i>
      <x v="73"/>
    </i>
    <i>
      <x v="74"/>
    </i>
    <i>
      <x v="77"/>
    </i>
    <i>
      <x v="79"/>
    </i>
    <i>
      <x v="80"/>
    </i>
    <i>
      <x v="81"/>
    </i>
    <i>
      <x v="82"/>
    </i>
    <i>
      <x v="85"/>
    </i>
    <i>
      <x v="90"/>
    </i>
    <i>
      <x v="93"/>
    </i>
    <i>
      <x v="98"/>
    </i>
    <i>
      <x v="99"/>
    </i>
    <i>
      <x v="100"/>
    </i>
    <i>
      <x v="102"/>
    </i>
    <i>
      <x v="107"/>
    </i>
    <i>
      <x v="108"/>
    </i>
    <i>
      <x v="113"/>
    </i>
    <i>
      <x v="114"/>
    </i>
    <i>
      <x v="118"/>
    </i>
    <i>
      <x v="119"/>
    </i>
    <i>
      <x v="120"/>
    </i>
    <i>
      <x v="122"/>
    </i>
    <i>
      <x v="128"/>
    </i>
    <i>
      <x v="130"/>
    </i>
    <i>
      <x v="131"/>
    </i>
    <i>
      <x v="132"/>
    </i>
    <i>
      <x v="136"/>
    </i>
    <i>
      <x v="137"/>
    </i>
    <i>
      <x v="138"/>
    </i>
    <i>
      <x v="139"/>
    </i>
    <i>
      <x v="140"/>
    </i>
    <i>
      <x v="141"/>
    </i>
    <i>
      <x v="142"/>
    </i>
    <i>
      <x v="143"/>
    </i>
    <i>
      <x v="145"/>
    </i>
    <i>
      <x v="146"/>
    </i>
    <i t="grand">
      <x/>
    </i>
  </rowItems>
  <colItems count="1">
    <i/>
  </colItems>
  <dataFields count="1">
    <dataField name="Count of ENR" fld="13" subtotal="count" baseField="33" baseItem="41"/>
  </dataFields>
  <formats count="7">
    <format dxfId="400">
      <pivotArea type="all" dataOnly="0" outline="0" fieldPosition="0"/>
    </format>
    <format dxfId="399">
      <pivotArea type="all" dataOnly="0" outline="0" fieldPosition="0"/>
    </format>
    <format dxfId="398">
      <pivotArea type="all" dataOnly="0" outline="0" fieldPosition="0"/>
    </format>
    <format dxfId="397">
      <pivotArea type="all" dataOnly="0" outline="0" fieldPosition="0"/>
    </format>
    <format dxfId="396">
      <pivotArea dataOnly="0" labelOnly="1" fieldPosition="0">
        <references count="1">
          <reference field="33" count="0"/>
        </references>
      </pivotArea>
    </format>
    <format dxfId="395">
      <pivotArea collapsedLevelsAreSubtotals="1" fieldPosition="0">
        <references count="1">
          <reference field="33" count="1">
            <x v="13"/>
          </reference>
        </references>
      </pivotArea>
    </format>
    <format dxfId="3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AF6AD4-849B-48D8-9F4C-E63AA4800F62}" name="PivotTable4" cacheId="429"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colHeaderCaption="MIS">
  <location ref="BZ2:CE61" firstHeaderRow="1" firstDataRow="3" firstDataCol="1"/>
  <pivotFields count="49">
    <pivotField showAll="0"/>
    <pivotField showAll="0"/>
    <pivotField showAll="0"/>
    <pivotField showAll="0">
      <items count="19">
        <item h="1" m="1" x="9"/>
        <item x="0"/>
        <item h="1" m="1" x="15"/>
        <item h="1" m="1" x="17"/>
        <item h="1" m="1" x="16"/>
        <item h="1" m="1" x="3"/>
        <item h="1" m="1" x="14"/>
        <item h="1" m="1" x="4"/>
        <item h="1" m="1" x="11"/>
        <item h="1" m="1" x="8"/>
        <item h="1" m="1" x="13"/>
        <item h="1" x="2"/>
        <item h="1" m="1" x="10"/>
        <item h="1" m="1" x="5"/>
        <item x="1"/>
        <item h="1" m="1" x="12"/>
        <item h="1" m="1" x="7"/>
        <item h="1" m="1" x="6"/>
        <item t="default"/>
      </items>
    </pivotField>
    <pivotField showAll="0"/>
    <pivotField showAll="0"/>
    <pivotField showAll="0"/>
    <pivotField showAll="0"/>
    <pivotField showAll="0">
      <items count="29">
        <item x="0"/>
        <item x="1"/>
        <item m="1" x="22"/>
        <item m="1" x="26"/>
        <item x="2"/>
        <item m="1" x="25"/>
        <item x="3"/>
        <item x="4"/>
        <item m="1" x="23"/>
        <item x="5"/>
        <item x="6"/>
        <item x="7"/>
        <item m="1" x="24"/>
        <item x="8"/>
        <item x="9"/>
        <item x="10"/>
        <item x="11"/>
        <item x="12"/>
        <item m="1" x="27"/>
        <item x="13"/>
        <item x="14"/>
        <item x="15"/>
        <item x="16"/>
        <item x="17"/>
        <item x="18"/>
        <item x="20"/>
        <item x="21"/>
        <item x="19"/>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sd="0" x="1"/>
        <item x="0"/>
        <item t="default"/>
      </items>
    </pivotField>
    <pivotField showAll="0"/>
    <pivotField showAll="0"/>
    <pivotField showAll="0"/>
    <pivotField showAll="0"/>
    <pivotField showAll="0"/>
    <pivotField showAll="0"/>
    <pivotField showAll="0" defaultSubtotal="0"/>
    <pivotField showAll="0">
      <items count="38">
        <item x="13"/>
        <item m="1" x="33"/>
        <item x="4"/>
        <item m="1" x="27"/>
        <item x="7"/>
        <item m="1" x="35"/>
        <item m="1" x="36"/>
        <item m="1" x="20"/>
        <item m="1" x="25"/>
        <item x="12"/>
        <item x="5"/>
        <item m="1" x="31"/>
        <item x="6"/>
        <item m="1" x="24"/>
        <item x="2"/>
        <item m="1" x="17"/>
        <item m="1" x="22"/>
        <item m="1" x="23"/>
        <item m="1" x="28"/>
        <item x="0"/>
        <item m="1" x="29"/>
        <item x="8"/>
        <item x="10"/>
        <item m="1" x="30"/>
        <item m="1" x="18"/>
        <item x="1"/>
        <item m="1" x="34"/>
        <item x="9"/>
        <item x="11"/>
        <item m="1" x="15"/>
        <item x="3"/>
        <item m="1" x="32"/>
        <item m="1" x="19"/>
        <item m="1" x="26"/>
        <item m="1" x="16"/>
        <item m="1" x="21"/>
        <item x="14"/>
        <item t="default"/>
      </items>
    </pivotField>
    <pivotField showAll="0"/>
    <pivotField showAll="0"/>
    <pivotField showAll="0"/>
    <pivotField showAll="0"/>
    <pivotField showAll="0">
      <items count="13">
        <item m="1" x="9"/>
        <item x="4"/>
        <item x="5"/>
        <item x="1"/>
        <item m="1" x="11"/>
        <item x="2"/>
        <item x="6"/>
        <item m="1" x="10"/>
        <item x="0"/>
        <item x="3"/>
        <item x="7"/>
        <item m="1" x="8"/>
        <item t="default"/>
      </items>
    </pivotField>
    <pivotField axis="axisRow" showAll="0" sortType="ascending">
      <items count="148">
        <item m="1" x="101"/>
        <item m="1" x="131"/>
        <item m="1" x="120"/>
        <item m="1" x="118"/>
        <item m="1" x="117"/>
        <item x="36"/>
        <item m="1" x="106"/>
        <item m="1" x="137"/>
        <item m="1" x="66"/>
        <item m="1" x="141"/>
        <item x="47"/>
        <item m="1" x="75"/>
        <item x="10"/>
        <item m="1" x="112"/>
        <item m="1" x="67"/>
        <item m="1" x="102"/>
        <item m="1" x="88"/>
        <item m="1" x="80"/>
        <item m="1" x="84"/>
        <item x="1"/>
        <item m="1" x="130"/>
        <item m="1" x="73"/>
        <item m="1" x="92"/>
        <item m="1" x="111"/>
        <item m="1" x="65"/>
        <item m="1" x="99"/>
        <item m="1" x="132"/>
        <item x="43"/>
        <item m="1" x="110"/>
        <item m="1" x="109"/>
        <item x="31"/>
        <item m="1" x="133"/>
        <item m="1" x="71"/>
        <item x="49"/>
        <item x="11"/>
        <item m="1" x="83"/>
        <item m="1" x="123"/>
        <item m="1" x="105"/>
        <item x="27"/>
        <item x="20"/>
        <item m="1" x="85"/>
        <item m="1" x="113"/>
        <item m="1" x="97"/>
        <item x="52"/>
        <item x="6"/>
        <item x="28"/>
        <item x="32"/>
        <item m="1" x="129"/>
        <item x="51"/>
        <item x="50"/>
        <item x="2"/>
        <item m="1" x="57"/>
        <item m="1" x="108"/>
        <item m="1" x="82"/>
        <item x="7"/>
        <item x="19"/>
        <item m="1" x="59"/>
        <item x="9"/>
        <item m="1" x="135"/>
        <item m="1" x="62"/>
        <item m="1" x="127"/>
        <item m="1" x="124"/>
        <item m="1" x="138"/>
        <item x="5"/>
        <item x="44"/>
        <item x="42"/>
        <item m="1" x="72"/>
        <item m="1" x="90"/>
        <item m="1" x="98"/>
        <item x="34"/>
        <item x="54"/>
        <item m="1" x="115"/>
        <item m="1" x="114"/>
        <item x="15"/>
        <item x="22"/>
        <item m="1" x="70"/>
        <item m="1" x="74"/>
        <item m="1" x="121"/>
        <item m="1" x="96"/>
        <item x="16"/>
        <item m="1" x="122"/>
        <item m="1" x="145"/>
        <item m="1" x="104"/>
        <item x="38"/>
        <item x="24"/>
        <item x="46"/>
        <item m="1" x="58"/>
        <item m="1" x="144"/>
        <item x="18"/>
        <item m="1" x="64"/>
        <item x="30"/>
        <item x="26"/>
        <item m="1" x="56"/>
        <item x="45"/>
        <item x="29"/>
        <item m="1" x="69"/>
        <item m="1" x="146"/>
        <item x="0"/>
        <item m="1" x="126"/>
        <item m="1" x="78"/>
        <item m="1" x="77"/>
        <item m="1" x="94"/>
        <item x="8"/>
        <item m="1" x="76"/>
        <item m="1" x="60"/>
        <item m="1" x="125"/>
        <item x="25"/>
        <item m="1" x="61"/>
        <item m="1" x="143"/>
        <item m="1" x="134"/>
        <item m="1" x="128"/>
        <item x="21"/>
        <item m="1" x="87"/>
        <item x="12"/>
        <item x="17"/>
        <item x="33"/>
        <item m="1" x="100"/>
        <item x="35"/>
        <item m="1" x="119"/>
        <item m="1" x="116"/>
        <item x="39"/>
        <item m="1" x="142"/>
        <item m="1" x="140"/>
        <item x="37"/>
        <item x="41"/>
        <item m="1" x="86"/>
        <item m="1" x="68"/>
        <item m="1" x="81"/>
        <item m="1" x="89"/>
        <item x="53"/>
        <item x="3"/>
        <item m="1" x="79"/>
        <item m="1" x="107"/>
        <item m="1" x="93"/>
        <item x="14"/>
        <item x="4"/>
        <item x="13"/>
        <item x="23"/>
        <item m="1" x="63"/>
        <item x="40"/>
        <item x="48"/>
        <item m="1" x="91"/>
        <item m="1" x="103"/>
        <item m="1" x="139"/>
        <item m="1" x="95"/>
        <item m="1" x="136"/>
        <item x="55"/>
        <item t="default"/>
      </items>
    </pivotField>
    <pivotField showAll="0"/>
    <pivotField showAll="0"/>
    <pivotField showAll="0"/>
    <pivotField showAll="0"/>
    <pivotField showAll="0"/>
    <pivotField axis="axisCol" showAll="0">
      <items count="4">
        <item x="1"/>
        <item x="0"/>
        <item m="1" x="2"/>
        <item t="default"/>
      </items>
    </pivotField>
    <pivotField showAll="0"/>
    <pivotField showAll="0"/>
    <pivotField showAll="0"/>
    <pivotField showAll="0"/>
    <pivotField showAll="0"/>
    <pivotField showAll="0"/>
    <pivotField showAll="0"/>
    <pivotField showAll="0"/>
    <pivotField numFmtId="14" showAll="0"/>
  </pivotFields>
  <rowFields count="1">
    <field x="33"/>
  </rowFields>
  <rowItems count="57">
    <i>
      <x v="5"/>
    </i>
    <i>
      <x v="10"/>
    </i>
    <i>
      <x v="12"/>
    </i>
    <i>
      <x v="19"/>
    </i>
    <i>
      <x v="27"/>
    </i>
    <i>
      <x v="30"/>
    </i>
    <i>
      <x v="33"/>
    </i>
    <i>
      <x v="34"/>
    </i>
    <i>
      <x v="38"/>
    </i>
    <i>
      <x v="39"/>
    </i>
    <i>
      <x v="43"/>
    </i>
    <i>
      <x v="44"/>
    </i>
    <i>
      <x v="45"/>
    </i>
    <i>
      <x v="46"/>
    </i>
    <i>
      <x v="48"/>
    </i>
    <i>
      <x v="49"/>
    </i>
    <i>
      <x v="50"/>
    </i>
    <i>
      <x v="54"/>
    </i>
    <i>
      <x v="55"/>
    </i>
    <i>
      <x v="57"/>
    </i>
    <i>
      <x v="63"/>
    </i>
    <i>
      <x v="64"/>
    </i>
    <i>
      <x v="65"/>
    </i>
    <i>
      <x v="69"/>
    </i>
    <i>
      <x v="70"/>
    </i>
    <i>
      <x v="73"/>
    </i>
    <i>
      <x v="74"/>
    </i>
    <i>
      <x v="79"/>
    </i>
    <i>
      <x v="83"/>
    </i>
    <i>
      <x v="84"/>
    </i>
    <i>
      <x v="85"/>
    </i>
    <i>
      <x v="88"/>
    </i>
    <i>
      <x v="90"/>
    </i>
    <i>
      <x v="91"/>
    </i>
    <i>
      <x v="93"/>
    </i>
    <i>
      <x v="94"/>
    </i>
    <i>
      <x v="97"/>
    </i>
    <i>
      <x v="102"/>
    </i>
    <i>
      <x v="106"/>
    </i>
    <i>
      <x v="111"/>
    </i>
    <i>
      <x v="113"/>
    </i>
    <i>
      <x v="114"/>
    </i>
    <i>
      <x v="115"/>
    </i>
    <i>
      <x v="117"/>
    </i>
    <i>
      <x v="120"/>
    </i>
    <i>
      <x v="123"/>
    </i>
    <i>
      <x v="124"/>
    </i>
    <i>
      <x v="129"/>
    </i>
    <i>
      <x v="130"/>
    </i>
    <i>
      <x v="134"/>
    </i>
    <i>
      <x v="135"/>
    </i>
    <i>
      <x v="136"/>
    </i>
    <i>
      <x v="137"/>
    </i>
    <i>
      <x v="139"/>
    </i>
    <i>
      <x v="140"/>
    </i>
    <i>
      <x v="146"/>
    </i>
    <i t="grand">
      <x/>
    </i>
  </rowItems>
  <colFields count="2">
    <field x="19"/>
    <field x="39"/>
  </colFields>
  <colItems count="5">
    <i>
      <x/>
    </i>
    <i>
      <x v="1"/>
      <x/>
    </i>
    <i r="1">
      <x v="1"/>
    </i>
    <i t="default">
      <x v="1"/>
    </i>
    <i t="grand">
      <x/>
    </i>
  </colItems>
  <dataFields count="1">
    <dataField name="COUNT." fld="13" subtotal="count" baseField="4" baseItem="0"/>
  </dataFields>
  <formats count="8">
    <format dxfId="408">
      <pivotArea type="all" dataOnly="0" outline="0" fieldPosition="0"/>
    </format>
    <format dxfId="407">
      <pivotArea type="all" dataOnly="0" outline="0" fieldPosition="0"/>
    </format>
    <format dxfId="406">
      <pivotArea type="all" dataOnly="0" outline="0" fieldPosition="0"/>
    </format>
    <format dxfId="405">
      <pivotArea type="all" dataOnly="0" outline="0" fieldPosition="0"/>
    </format>
    <format dxfId="404">
      <pivotArea dataOnly="0" labelOnly="1" fieldPosition="0">
        <references count="1">
          <reference field="33" count="50">
            <x v="0"/>
            <x v="5"/>
            <x v="8"/>
            <x v="13"/>
            <x v="14"/>
            <x v="16"/>
            <x v="23"/>
            <x v="28"/>
            <x v="29"/>
            <x v="33"/>
            <x v="34"/>
            <x v="35"/>
            <x v="37"/>
            <x v="40"/>
            <x v="41"/>
            <x v="42"/>
            <x v="44"/>
            <x v="45"/>
            <x v="46"/>
            <x v="49"/>
            <x v="50"/>
            <x v="51"/>
            <x v="54"/>
            <x v="57"/>
            <x v="69"/>
            <x v="71"/>
            <x v="72"/>
            <x v="73"/>
            <x v="74"/>
            <x v="75"/>
            <x v="76"/>
            <x v="83"/>
            <x v="84"/>
            <x v="86"/>
            <x v="89"/>
            <x v="90"/>
            <x v="91"/>
            <x v="93"/>
            <x v="94"/>
            <x v="97"/>
            <x v="99"/>
            <x v="112"/>
            <x v="113"/>
            <x v="114"/>
            <x v="115"/>
            <x v="119"/>
            <x v="123"/>
            <x v="124"/>
            <x v="126"/>
            <x v="128"/>
          </reference>
        </references>
      </pivotArea>
    </format>
    <format dxfId="403">
      <pivotArea dataOnly="0" labelOnly="1" fieldPosition="0">
        <references count="1">
          <reference field="33" count="5">
            <x v="130"/>
            <x v="135"/>
            <x v="137"/>
            <x v="139"/>
            <x v="142"/>
          </reference>
        </references>
      </pivotArea>
    </format>
    <format dxfId="402">
      <pivotArea type="all" dataOnly="0" outline="0" fieldPosition="0"/>
    </format>
    <format dxfId="401">
      <pivotArea dataOnly="0" labelOnly="1" fieldPosition="0">
        <references count="1">
          <reference field="3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6" cacheId="429"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A136:F167" firstHeaderRow="1" firstDataRow="3" firstDataCol="1"/>
  <pivotFields count="49">
    <pivotField showAll="0"/>
    <pivotField showAll="0"/>
    <pivotField showAll="0"/>
    <pivotField showAll="0">
      <items count="19">
        <item h="1" m="1" x="9"/>
        <item x="0"/>
        <item h="1" m="1" x="15"/>
        <item h="1" m="1" x="17"/>
        <item h="1" m="1" x="16"/>
        <item h="1" m="1" x="3"/>
        <item h="1" m="1" x="14"/>
        <item h="1" m="1" x="4"/>
        <item h="1" m="1" x="11"/>
        <item h="1" m="1" x="8"/>
        <item h="1" m="1" x="13"/>
        <item h="1" x="2"/>
        <item h="1" m="1" x="10"/>
        <item h="1" m="1" x="5"/>
        <item x="1"/>
        <item h="1" m="1" x="12"/>
        <item h="1" m="1" x="7"/>
        <item h="1" m="1" x="6"/>
        <item t="default"/>
      </items>
    </pivotField>
    <pivotField showAll="0"/>
    <pivotField showAll="0"/>
    <pivotField showAll="0"/>
    <pivotField showAll="0"/>
    <pivotField showAll="0">
      <items count="29">
        <item x="0"/>
        <item x="1"/>
        <item m="1" x="22"/>
        <item m="1" x="26"/>
        <item x="2"/>
        <item m="1" x="25"/>
        <item x="3"/>
        <item x="4"/>
        <item m="1" x="23"/>
        <item x="5"/>
        <item x="6"/>
        <item x="7"/>
        <item m="1" x="24"/>
        <item x="8"/>
        <item x="9"/>
        <item x="10"/>
        <item x="11"/>
        <item x="12"/>
        <item m="1" x="27"/>
        <item x="13"/>
        <item x="14"/>
        <item x="15"/>
        <item x="16"/>
        <item x="17"/>
        <item x="18"/>
        <item x="20"/>
        <item x="21"/>
        <item x="19"/>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1"/>
        <item sd="0" x="0"/>
        <item t="default"/>
      </items>
    </pivotField>
    <pivotField axis="axisCol" showAll="0">
      <items count="5">
        <item x="0"/>
        <item m="1" x="3"/>
        <item x="1"/>
        <item x="2"/>
        <item t="default"/>
      </items>
    </pivotField>
    <pivotField dataField="1" showAll="0"/>
    <pivotField showAll="0"/>
    <pivotField showAll="0"/>
    <pivotField showAll="0"/>
    <pivotField showAll="0"/>
    <pivotField showAll="0" defaultSubtotal="0"/>
    <pivotField showAll="0">
      <items count="38">
        <item x="13"/>
        <item m="1" x="33"/>
        <item x="4"/>
        <item m="1" x="27"/>
        <item x="7"/>
        <item m="1" x="35"/>
        <item m="1" x="36"/>
        <item m="1" x="20"/>
        <item m="1" x="25"/>
        <item x="12"/>
        <item x="5"/>
        <item m="1" x="31"/>
        <item x="6"/>
        <item m="1" x="24"/>
        <item x="2"/>
        <item m="1" x="17"/>
        <item m="1" x="22"/>
        <item m="1" x="23"/>
        <item m="1" x="28"/>
        <item x="0"/>
        <item m="1" x="29"/>
        <item x="8"/>
        <item x="10"/>
        <item m="1" x="30"/>
        <item m="1" x="18"/>
        <item x="1"/>
        <item m="1" x="34"/>
        <item x="9"/>
        <item x="11"/>
        <item m="1" x="15"/>
        <item x="3"/>
        <item m="1" x="32"/>
        <item m="1" x="19"/>
        <item m="1" x="26"/>
        <item m="1" x="16"/>
        <item m="1" x="21"/>
        <item x="14"/>
        <item t="default"/>
      </items>
    </pivotField>
    <pivotField axis="axisRow" showAll="0">
      <items count="7">
        <item x="0"/>
        <item x="1"/>
        <item x="2"/>
        <item x="4"/>
        <item x="5"/>
        <item x="3"/>
        <item t="default"/>
      </items>
    </pivotField>
    <pivotField showAll="0"/>
    <pivotField showAll="0"/>
    <pivotField showAll="0"/>
    <pivotField showAll="0">
      <items count="13">
        <item m="1" x="9"/>
        <item x="4"/>
        <item x="5"/>
        <item x="1"/>
        <item m="1" x="11"/>
        <item x="2"/>
        <item x="6"/>
        <item m="1" x="10"/>
        <item x="0"/>
        <item x="3"/>
        <item x="7"/>
        <item m="1" x="8"/>
        <item t="default"/>
      </items>
    </pivotField>
    <pivotField showAll="0">
      <items count="148">
        <item m="1" x="101"/>
        <item m="1" x="131"/>
        <item m="1" x="120"/>
        <item m="1" x="118"/>
        <item m="1" x="117"/>
        <item x="36"/>
        <item m="1" x="106"/>
        <item m="1" x="137"/>
        <item m="1" x="66"/>
        <item m="1" x="141"/>
        <item x="47"/>
        <item m="1" x="75"/>
        <item x="10"/>
        <item m="1" x="112"/>
        <item m="1" x="67"/>
        <item m="1" x="102"/>
        <item m="1" x="88"/>
        <item m="1" x="80"/>
        <item m="1" x="84"/>
        <item x="1"/>
        <item m="1" x="130"/>
        <item m="1" x="73"/>
        <item m="1" x="92"/>
        <item m="1" x="111"/>
        <item m="1" x="65"/>
        <item m="1" x="99"/>
        <item m="1" x="132"/>
        <item x="43"/>
        <item m="1" x="110"/>
        <item m="1" x="109"/>
        <item x="31"/>
        <item m="1" x="133"/>
        <item m="1" x="71"/>
        <item x="49"/>
        <item x="11"/>
        <item m="1" x="83"/>
        <item m="1" x="123"/>
        <item m="1" x="105"/>
        <item x="27"/>
        <item x="20"/>
        <item m="1" x="85"/>
        <item m="1" x="113"/>
        <item m="1" x="97"/>
        <item x="52"/>
        <item x="6"/>
        <item x="28"/>
        <item x="32"/>
        <item m="1" x="129"/>
        <item x="51"/>
        <item x="50"/>
        <item x="2"/>
        <item m="1" x="57"/>
        <item m="1" x="108"/>
        <item m="1" x="82"/>
        <item x="7"/>
        <item x="19"/>
        <item m="1" x="59"/>
        <item x="9"/>
        <item m="1" x="135"/>
        <item m="1" x="62"/>
        <item m="1" x="127"/>
        <item m="1" x="124"/>
        <item m="1" x="138"/>
        <item x="5"/>
        <item x="44"/>
        <item x="42"/>
        <item m="1" x="72"/>
        <item m="1" x="90"/>
        <item m="1" x="98"/>
        <item x="34"/>
        <item x="54"/>
        <item m="1" x="115"/>
        <item m="1" x="114"/>
        <item x="15"/>
        <item x="22"/>
        <item m="1" x="70"/>
        <item m="1" x="74"/>
        <item m="1" x="121"/>
        <item m="1" x="96"/>
        <item x="16"/>
        <item m="1" x="122"/>
        <item m="1" x="145"/>
        <item m="1" x="104"/>
        <item x="38"/>
        <item x="24"/>
        <item x="46"/>
        <item m="1" x="58"/>
        <item m="1" x="144"/>
        <item x="18"/>
        <item m="1" x="64"/>
        <item x="30"/>
        <item x="26"/>
        <item m="1" x="56"/>
        <item x="45"/>
        <item x="29"/>
        <item m="1" x="69"/>
        <item m="1" x="146"/>
        <item x="0"/>
        <item m="1" x="126"/>
        <item m="1" x="78"/>
        <item m="1" x="77"/>
        <item m="1" x="94"/>
        <item x="8"/>
        <item m="1" x="76"/>
        <item m="1" x="60"/>
        <item m="1" x="125"/>
        <item x="25"/>
        <item m="1" x="61"/>
        <item m="1" x="143"/>
        <item m="1" x="134"/>
        <item m="1" x="128"/>
        <item x="21"/>
        <item m="1" x="87"/>
        <item x="12"/>
        <item x="17"/>
        <item x="33"/>
        <item m="1" x="100"/>
        <item x="35"/>
        <item m="1" x="119"/>
        <item m="1" x="116"/>
        <item x="39"/>
        <item m="1" x="142"/>
        <item m="1" x="140"/>
        <item x="37"/>
        <item x="41"/>
        <item m="1" x="86"/>
        <item m="1" x="68"/>
        <item m="1" x="81"/>
        <item m="1" x="89"/>
        <item x="53"/>
        <item x="3"/>
        <item m="1" x="79"/>
        <item m="1" x="107"/>
        <item m="1" x="93"/>
        <item x="14"/>
        <item x="4"/>
        <item x="13"/>
        <item x="23"/>
        <item m="1" x="63"/>
        <item x="40"/>
        <item x="48"/>
        <item m="1" x="91"/>
        <item m="1" x="103"/>
        <item m="1" x="139"/>
        <item m="1" x="95"/>
        <item m="1" x="136"/>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2">
    <field x="28"/>
    <field x="-2"/>
  </rowFields>
  <rowItems count="29">
    <i>
      <x/>
    </i>
    <i r="1">
      <x/>
    </i>
    <i r="1" i="1">
      <x v="1"/>
    </i>
    <i r="1" i="2">
      <x v="2"/>
    </i>
    <i r="1" i="3">
      <x v="3"/>
    </i>
    <i>
      <x v="1"/>
    </i>
    <i r="1">
      <x/>
    </i>
    <i r="1" i="1">
      <x v="1"/>
    </i>
    <i r="1" i="2">
      <x v="2"/>
    </i>
    <i r="1" i="3">
      <x v="3"/>
    </i>
    <i>
      <x v="2"/>
    </i>
    <i r="1">
      <x/>
    </i>
    <i r="1" i="1">
      <x v="1"/>
    </i>
    <i r="1" i="2">
      <x v="2"/>
    </i>
    <i r="1" i="3">
      <x v="3"/>
    </i>
    <i>
      <x v="4"/>
    </i>
    <i r="1">
      <x/>
    </i>
    <i r="1" i="1">
      <x v="1"/>
    </i>
    <i r="1" i="2">
      <x v="2"/>
    </i>
    <i r="1" i="3">
      <x v="3"/>
    </i>
    <i>
      <x v="5"/>
    </i>
    <i r="1">
      <x/>
    </i>
    <i r="1" i="1">
      <x v="1"/>
    </i>
    <i r="1" i="2">
      <x v="2"/>
    </i>
    <i r="1" i="3">
      <x v="3"/>
    </i>
    <i t="grand">
      <x/>
    </i>
    <i t="grand" i="1">
      <x/>
    </i>
    <i t="grand" i="2">
      <x/>
    </i>
    <i t="grand" i="3">
      <x/>
    </i>
  </rowItems>
  <colFields count="2">
    <field x="19"/>
    <field x="20"/>
  </colFields>
  <colItems count="5">
    <i>
      <x/>
      <x v="2"/>
    </i>
    <i r="1">
      <x v="3"/>
    </i>
    <i t="default">
      <x/>
    </i>
    <i>
      <x v="1"/>
    </i>
    <i t="grand">
      <x/>
    </i>
  </colItems>
  <dataFields count="4">
    <dataField name="COUNT." fld="13" subtotal="count" baseField="4" baseItem="0"/>
    <dataField name="%" fld="13" showDataAs="percentOfRow" baseField="4" baseItem="0" numFmtId="10"/>
    <dataField name="ENR." fld="13" baseField="0" baseItem="0"/>
    <dataField name="AMT." fld="21" baseField="0" baseItem="0"/>
  </dataFields>
  <formats count="7">
    <format dxfId="415">
      <pivotArea type="all" dataOnly="0" outline="0" fieldPosition="0"/>
    </format>
    <format dxfId="414">
      <pivotArea type="all" dataOnly="0" outline="0" fieldPosition="0"/>
    </format>
    <format dxfId="413">
      <pivotArea dataOnly="0" outline="0" fieldPosition="0">
        <references count="1">
          <reference field="4294967294" count="1">
            <x v="1"/>
          </reference>
        </references>
      </pivotArea>
    </format>
    <format dxfId="412">
      <pivotArea type="all" dataOnly="0" outline="0" fieldPosition="0"/>
    </format>
    <format dxfId="411">
      <pivotArea type="all" dataOnly="0" outline="0" fieldPosition="0"/>
    </format>
    <format dxfId="410">
      <pivotArea collapsedLevelsAreSubtotals="1" fieldPosition="0">
        <references count="3">
          <reference field="4294967294" count="1">
            <x v="2"/>
          </reference>
          <reference field="19" count="0" selected="0"/>
          <reference field="28" count="0" selected="0"/>
        </references>
      </pivotArea>
    </format>
    <format dxfId="409">
      <pivotArea field="28" grandCol="1" collapsedLevelsAreSubtotals="1" axis="axisRow" fieldPosition="0">
        <references count="2">
          <reference field="4294967294" count="1">
            <x v="2"/>
          </reference>
          <reference field="28" count="0" selected="0"/>
        </references>
      </pivotArea>
    </format>
  </formats>
  <conditionalFormats count="1">
    <conditionalFormat priority="57">
      <pivotAreas count="1">
        <pivotArea type="data" outline="0" collapsedLevelsAreSubtotals="1" fieldPosition="0">
          <references count="2">
            <reference field="4294967294" count="1" selected="0">
              <x v="1"/>
            </reference>
            <reference field="19" count="1" selected="0" defaultSubtotal="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3" cacheId="429"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K1:T60" firstHeaderRow="1" firstDataRow="3" firstDataCol="1"/>
  <pivotFields count="49">
    <pivotField showAll="0"/>
    <pivotField showAll="0"/>
    <pivotField showAll="0"/>
    <pivotField showAll="0">
      <items count="19">
        <item h="1" m="1" x="9"/>
        <item x="0"/>
        <item h="1" m="1" x="15"/>
        <item h="1" m="1" x="17"/>
        <item h="1" m="1" x="16"/>
        <item h="1" m="1" x="3"/>
        <item h="1" m="1" x="14"/>
        <item h="1" m="1" x="4"/>
        <item h="1" m="1" x="11"/>
        <item h="1" m="1" x="8"/>
        <item h="1" m="1" x="13"/>
        <item h="1" x="2"/>
        <item h="1" m="1" x="10"/>
        <item h="1" m="1" x="5"/>
        <item x="1"/>
        <item h="1" m="1" x="12"/>
        <item h="1" m="1" x="7"/>
        <item h="1" m="1" x="6"/>
        <item t="default"/>
      </items>
    </pivotField>
    <pivotField showAll="0"/>
    <pivotField showAll="0"/>
    <pivotField showAll="0"/>
    <pivotField showAll="0"/>
    <pivotField showAll="0">
      <items count="29">
        <item x="0"/>
        <item x="1"/>
        <item m="1" x="22"/>
        <item m="1" x="26"/>
        <item x="2"/>
        <item m="1" x="25"/>
        <item x="3"/>
        <item x="4"/>
        <item m="1" x="23"/>
        <item x="5"/>
        <item x="6"/>
        <item x="7"/>
        <item m="1" x="24"/>
        <item x="8"/>
        <item x="9"/>
        <item x="10"/>
        <item x="11"/>
        <item x="12"/>
        <item m="1" x="27"/>
        <item x="13"/>
        <item x="14"/>
        <item x="15"/>
        <item x="16"/>
        <item x="17"/>
        <item x="18"/>
        <item x="20"/>
        <item x="21"/>
        <item x="19"/>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1"/>
        <item sd="0" x="0"/>
        <item t="default"/>
      </items>
    </pivotField>
    <pivotField showAll="0"/>
    <pivotField showAll="0"/>
    <pivotField showAll="0"/>
    <pivotField showAll="0"/>
    <pivotField showAll="0"/>
    <pivotField showAll="0"/>
    <pivotField showAll="0" defaultSubtotal="0"/>
    <pivotField showAll="0">
      <items count="38">
        <item x="13"/>
        <item m="1" x="33"/>
        <item x="4"/>
        <item m="1" x="27"/>
        <item x="7"/>
        <item m="1" x="35"/>
        <item m="1" x="36"/>
        <item m="1" x="20"/>
        <item m="1" x="25"/>
        <item x="12"/>
        <item x="5"/>
        <item m="1" x="31"/>
        <item x="6"/>
        <item m="1" x="24"/>
        <item x="2"/>
        <item m="1" x="17"/>
        <item m="1" x="22"/>
        <item m="1" x="23"/>
        <item m="1" x="28"/>
        <item x="0"/>
        <item m="1" x="29"/>
        <item x="8"/>
        <item x="10"/>
        <item m="1" x="30"/>
        <item m="1" x="18"/>
        <item x="1"/>
        <item m="1" x="34"/>
        <item x="9"/>
        <item x="11"/>
        <item m="1" x="15"/>
        <item x="3"/>
        <item m="1" x="32"/>
        <item m="1" x="19"/>
        <item m="1" x="26"/>
        <item m="1" x="16"/>
        <item m="1" x="21"/>
        <item x="14"/>
        <item t="default"/>
      </items>
    </pivotField>
    <pivotField showAll="0"/>
    <pivotField showAll="0"/>
    <pivotField showAll="0"/>
    <pivotField showAll="0"/>
    <pivotField showAll="0">
      <items count="13">
        <item m="1" x="9"/>
        <item x="4"/>
        <item x="5"/>
        <item x="1"/>
        <item m="1" x="11"/>
        <item x="2"/>
        <item x="6"/>
        <item m="1" x="10"/>
        <item x="0"/>
        <item x="3"/>
        <item x="7"/>
        <item m="1" x="8"/>
        <item t="default"/>
      </items>
    </pivotField>
    <pivotField axis="axisRow" showAll="0" sortType="ascending">
      <items count="148">
        <item m="1" x="101"/>
        <item m="1" x="131"/>
        <item m="1" x="120"/>
        <item m="1" x="118"/>
        <item m="1" x="117"/>
        <item x="36"/>
        <item m="1" x="106"/>
        <item m="1" x="137"/>
        <item m="1" x="66"/>
        <item m="1" x="141"/>
        <item x="47"/>
        <item m="1" x="75"/>
        <item x="10"/>
        <item m="1" x="112"/>
        <item m="1" x="67"/>
        <item m="1" x="102"/>
        <item m="1" x="88"/>
        <item m="1" x="80"/>
        <item m="1" x="84"/>
        <item x="1"/>
        <item m="1" x="130"/>
        <item m="1" x="73"/>
        <item m="1" x="92"/>
        <item m="1" x="111"/>
        <item m="1" x="65"/>
        <item m="1" x="99"/>
        <item m="1" x="132"/>
        <item x="43"/>
        <item m="1" x="110"/>
        <item m="1" x="109"/>
        <item x="31"/>
        <item m="1" x="133"/>
        <item m="1" x="71"/>
        <item x="49"/>
        <item x="11"/>
        <item m="1" x="83"/>
        <item m="1" x="123"/>
        <item m="1" x="105"/>
        <item x="27"/>
        <item x="20"/>
        <item m="1" x="85"/>
        <item m="1" x="113"/>
        <item m="1" x="97"/>
        <item x="52"/>
        <item x="6"/>
        <item x="28"/>
        <item x="32"/>
        <item m="1" x="129"/>
        <item x="51"/>
        <item x="50"/>
        <item x="2"/>
        <item m="1" x="57"/>
        <item m="1" x="108"/>
        <item m="1" x="82"/>
        <item x="7"/>
        <item x="19"/>
        <item m="1" x="59"/>
        <item x="9"/>
        <item m="1" x="135"/>
        <item m="1" x="62"/>
        <item m="1" x="127"/>
        <item m="1" x="124"/>
        <item m="1" x="138"/>
        <item x="5"/>
        <item x="44"/>
        <item x="42"/>
        <item m="1" x="72"/>
        <item m="1" x="90"/>
        <item m="1" x="98"/>
        <item x="34"/>
        <item x="54"/>
        <item m="1" x="115"/>
        <item m="1" x="114"/>
        <item x="15"/>
        <item x="22"/>
        <item m="1" x="70"/>
        <item m="1" x="74"/>
        <item m="1" x="121"/>
        <item m="1" x="96"/>
        <item x="16"/>
        <item m="1" x="122"/>
        <item m="1" x="145"/>
        <item m="1" x="104"/>
        <item x="38"/>
        <item x="24"/>
        <item x="46"/>
        <item m="1" x="58"/>
        <item m="1" x="144"/>
        <item x="18"/>
        <item m="1" x="64"/>
        <item x="30"/>
        <item x="26"/>
        <item m="1" x="56"/>
        <item x="45"/>
        <item x="29"/>
        <item m="1" x="69"/>
        <item m="1" x="146"/>
        <item x="0"/>
        <item m="1" x="126"/>
        <item m="1" x="78"/>
        <item m="1" x="77"/>
        <item m="1" x="94"/>
        <item x="8"/>
        <item m="1" x="76"/>
        <item m="1" x="60"/>
        <item m="1" x="125"/>
        <item x="25"/>
        <item m="1" x="61"/>
        <item m="1" x="143"/>
        <item m="1" x="134"/>
        <item m="1" x="128"/>
        <item x="21"/>
        <item m="1" x="87"/>
        <item x="12"/>
        <item x="17"/>
        <item x="33"/>
        <item m="1" x="100"/>
        <item x="35"/>
        <item m="1" x="119"/>
        <item m="1" x="116"/>
        <item x="39"/>
        <item m="1" x="142"/>
        <item m="1" x="140"/>
        <item x="37"/>
        <item x="41"/>
        <item m="1" x="86"/>
        <item m="1" x="68"/>
        <item m="1" x="81"/>
        <item m="1" x="89"/>
        <item x="53"/>
        <item x="3"/>
        <item m="1" x="79"/>
        <item m="1" x="107"/>
        <item m="1" x="93"/>
        <item x="14"/>
        <item x="4"/>
        <item x="13"/>
        <item x="23"/>
        <item m="1" x="63"/>
        <item x="40"/>
        <item x="48"/>
        <item m="1" x="91"/>
        <item m="1" x="103"/>
        <item m="1" x="139"/>
        <item m="1" x="95"/>
        <item m="1" x="136"/>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33"/>
  </rowFields>
  <rowItems count="57">
    <i>
      <x v="5"/>
    </i>
    <i>
      <x v="10"/>
    </i>
    <i>
      <x v="12"/>
    </i>
    <i>
      <x v="19"/>
    </i>
    <i>
      <x v="27"/>
    </i>
    <i>
      <x v="30"/>
    </i>
    <i>
      <x v="33"/>
    </i>
    <i>
      <x v="34"/>
    </i>
    <i>
      <x v="38"/>
    </i>
    <i>
      <x v="39"/>
    </i>
    <i>
      <x v="43"/>
    </i>
    <i>
      <x v="44"/>
    </i>
    <i>
      <x v="45"/>
    </i>
    <i>
      <x v="46"/>
    </i>
    <i>
      <x v="48"/>
    </i>
    <i>
      <x v="49"/>
    </i>
    <i>
      <x v="50"/>
    </i>
    <i>
      <x v="54"/>
    </i>
    <i>
      <x v="55"/>
    </i>
    <i>
      <x v="57"/>
    </i>
    <i>
      <x v="63"/>
    </i>
    <i>
      <x v="64"/>
    </i>
    <i>
      <x v="65"/>
    </i>
    <i>
      <x v="69"/>
    </i>
    <i>
      <x v="70"/>
    </i>
    <i>
      <x v="73"/>
    </i>
    <i>
      <x v="74"/>
    </i>
    <i>
      <x v="79"/>
    </i>
    <i>
      <x v="83"/>
    </i>
    <i>
      <x v="84"/>
    </i>
    <i>
      <x v="85"/>
    </i>
    <i>
      <x v="88"/>
    </i>
    <i>
      <x v="90"/>
    </i>
    <i>
      <x v="91"/>
    </i>
    <i>
      <x v="93"/>
    </i>
    <i>
      <x v="94"/>
    </i>
    <i>
      <x v="97"/>
    </i>
    <i>
      <x v="102"/>
    </i>
    <i>
      <x v="106"/>
    </i>
    <i>
      <x v="111"/>
    </i>
    <i>
      <x v="113"/>
    </i>
    <i>
      <x v="114"/>
    </i>
    <i>
      <x v="115"/>
    </i>
    <i>
      <x v="117"/>
    </i>
    <i>
      <x v="120"/>
    </i>
    <i>
      <x v="123"/>
    </i>
    <i>
      <x v="124"/>
    </i>
    <i>
      <x v="129"/>
    </i>
    <i>
      <x v="130"/>
    </i>
    <i>
      <x v="134"/>
    </i>
    <i>
      <x v="135"/>
    </i>
    <i>
      <x v="136"/>
    </i>
    <i>
      <x v="137"/>
    </i>
    <i>
      <x v="139"/>
    </i>
    <i>
      <x v="140"/>
    </i>
    <i>
      <x v="146"/>
    </i>
    <i t="grand">
      <x/>
    </i>
  </rowItems>
  <colFields count="2">
    <field x="19"/>
    <field x="-2"/>
  </colFields>
  <colItems count="9">
    <i>
      <x/>
      <x/>
    </i>
    <i r="1" i="1">
      <x v="1"/>
    </i>
    <i r="1" i="2">
      <x v="2"/>
    </i>
    <i>
      <x v="1"/>
      <x/>
    </i>
    <i r="1" i="1">
      <x v="1"/>
    </i>
    <i r="1" i="2">
      <x v="2"/>
    </i>
    <i t="grand">
      <x/>
    </i>
    <i t="grand" i="1">
      <x/>
    </i>
    <i t="grand" i="2">
      <x/>
    </i>
  </colItems>
  <dataFields count="3">
    <dataField name="COUNT." fld="13" subtotal="count" baseField="22" baseItem="1"/>
    <dataField name="%" fld="13" showDataAs="percentOfRow" baseField="22" baseItem="1" numFmtId="10"/>
    <dataField name="ENR." fld="13" baseField="0" baseItem="0"/>
  </dataFields>
  <formats count="6">
    <format dxfId="421">
      <pivotArea type="all" dataOnly="0" outline="0" fieldPosition="0"/>
    </format>
    <format dxfId="420">
      <pivotArea type="all" dataOnly="0" outline="0" fieldPosition="0"/>
    </format>
    <format dxfId="419">
      <pivotArea outline="0" fieldPosition="0">
        <references count="1">
          <reference field="4294967294" count="1">
            <x v="1"/>
          </reference>
        </references>
      </pivotArea>
    </format>
    <format dxfId="418">
      <pivotArea dataOnly="0" labelOnly="1" fieldPosition="0">
        <references count="1">
          <reference field="33" count="0"/>
        </references>
      </pivotArea>
    </format>
    <format dxfId="417">
      <pivotArea type="all" dataOnly="0" outline="0" fieldPosition="0"/>
    </format>
    <format dxfId="416">
      <pivotArea type="all" dataOnly="0" outline="0" fieldPosition="0"/>
    </format>
  </formats>
  <conditionalFormats count="1">
    <conditionalFormat priority="59">
      <pivotAreas count="1">
        <pivotArea type="data" outline="0" collapsedLevelsAreSubtotals="1" fieldPosition="0">
          <references count="2">
            <reference field="4294967294" count="1" selected="0">
              <x v="1"/>
            </reference>
            <reference field="19"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804E74-0BEF-4698-BBFC-2787495ACFFA}" name="PivotTable10" cacheId="429"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colHeaderCaption="MIS">
  <location ref="A173:C196" firstHeaderRow="0" firstDataRow="1" firstDataCol="1"/>
  <pivotFields count="49">
    <pivotField showAll="0"/>
    <pivotField showAll="0"/>
    <pivotField showAll="0"/>
    <pivotField showAll="0">
      <items count="19">
        <item h="1" m="1" x="9"/>
        <item x="0"/>
        <item h="1" m="1" x="15"/>
        <item h="1" m="1" x="17"/>
        <item h="1" m="1" x="16"/>
        <item h="1" m="1" x="3"/>
        <item h="1" m="1" x="14"/>
        <item h="1" m="1" x="4"/>
        <item h="1" m="1" x="11"/>
        <item h="1" m="1" x="8"/>
        <item h="1" m="1" x="13"/>
        <item h="1" x="2"/>
        <item h="1" m="1" x="10"/>
        <item h="1" m="1" x="5"/>
        <item x="1"/>
        <item h="1" m="1" x="12"/>
        <item h="1" m="1" x="7"/>
        <item h="1" m="1" x="6"/>
        <item t="default"/>
      </items>
    </pivotField>
    <pivotField showAll="0"/>
    <pivotField showAll="0"/>
    <pivotField showAll="0"/>
    <pivotField showAll="0"/>
    <pivotField axis="axisRow" showAll="0">
      <items count="29">
        <item x="0"/>
        <item x="1"/>
        <item m="1" x="22"/>
        <item m="1" x="26"/>
        <item x="2"/>
        <item m="1" x="25"/>
        <item x="3"/>
        <item x="4"/>
        <item m="1" x="23"/>
        <item x="5"/>
        <item x="6"/>
        <item x="7"/>
        <item m="1" x="24"/>
        <item x="8"/>
        <item x="11"/>
        <item x="9"/>
        <item x="10"/>
        <item x="12"/>
        <item m="1" x="27"/>
        <item x="13"/>
        <item x="14"/>
        <item x="15"/>
        <item x="16"/>
        <item x="18"/>
        <item x="19"/>
        <item x="20"/>
        <item x="21"/>
        <item x="1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items count="38">
        <item x="13"/>
        <item m="1" x="33"/>
        <item x="4"/>
        <item m="1" x="27"/>
        <item x="7"/>
        <item m="1" x="35"/>
        <item m="1" x="36"/>
        <item m="1" x="20"/>
        <item m="1" x="25"/>
        <item x="12"/>
        <item x="5"/>
        <item m="1" x="31"/>
        <item x="6"/>
        <item m="1" x="24"/>
        <item x="2"/>
        <item m="1" x="17"/>
        <item m="1" x="22"/>
        <item m="1" x="23"/>
        <item m="1" x="28"/>
        <item x="0"/>
        <item m="1" x="29"/>
        <item x="8"/>
        <item x="10"/>
        <item m="1" x="30"/>
        <item m="1" x="18"/>
        <item x="1"/>
        <item m="1" x="34"/>
        <item x="9"/>
        <item x="11"/>
        <item m="1" x="15"/>
        <item x="3"/>
        <item m="1" x="32"/>
        <item m="1" x="19"/>
        <item m="1" x="26"/>
        <item m="1" x="16"/>
        <item m="1" x="21"/>
        <item x="14"/>
        <item t="default"/>
      </items>
    </pivotField>
    <pivotField showAll="0"/>
    <pivotField showAll="0"/>
    <pivotField showAll="0"/>
    <pivotField showAll="0"/>
    <pivotField showAll="0">
      <items count="13">
        <item m="1" x="9"/>
        <item x="4"/>
        <item x="5"/>
        <item x="1"/>
        <item m="1" x="11"/>
        <item x="2"/>
        <item x="6"/>
        <item m="1" x="10"/>
        <item x="0"/>
        <item x="3"/>
        <item x="7"/>
        <item m="1" x="8"/>
        <item t="default"/>
      </items>
    </pivotField>
    <pivotField showAll="0">
      <items count="148">
        <item m="1" x="101"/>
        <item m="1" x="131"/>
        <item m="1" x="120"/>
        <item m="1" x="118"/>
        <item m="1" x="117"/>
        <item x="36"/>
        <item m="1" x="106"/>
        <item m="1" x="137"/>
        <item m="1" x="66"/>
        <item m="1" x="141"/>
        <item x="47"/>
        <item m="1" x="75"/>
        <item x="10"/>
        <item m="1" x="112"/>
        <item m="1" x="67"/>
        <item m="1" x="102"/>
        <item m="1" x="88"/>
        <item m="1" x="80"/>
        <item m="1" x="84"/>
        <item x="1"/>
        <item m="1" x="130"/>
        <item m="1" x="73"/>
        <item m="1" x="92"/>
        <item m="1" x="111"/>
        <item m="1" x="65"/>
        <item m="1" x="99"/>
        <item m="1" x="132"/>
        <item x="43"/>
        <item m="1" x="110"/>
        <item m="1" x="109"/>
        <item x="31"/>
        <item m="1" x="133"/>
        <item m="1" x="71"/>
        <item x="49"/>
        <item x="11"/>
        <item m="1" x="83"/>
        <item m="1" x="123"/>
        <item m="1" x="105"/>
        <item x="27"/>
        <item x="20"/>
        <item m="1" x="85"/>
        <item m="1" x="113"/>
        <item m="1" x="97"/>
        <item x="52"/>
        <item x="6"/>
        <item x="28"/>
        <item x="32"/>
        <item m="1" x="129"/>
        <item x="51"/>
        <item x="50"/>
        <item x="2"/>
        <item m="1" x="57"/>
        <item m="1" x="108"/>
        <item m="1" x="82"/>
        <item x="7"/>
        <item x="19"/>
        <item m="1" x="59"/>
        <item x="9"/>
        <item m="1" x="135"/>
        <item m="1" x="62"/>
        <item m="1" x="127"/>
        <item m="1" x="124"/>
        <item m="1" x="138"/>
        <item x="5"/>
        <item x="44"/>
        <item x="42"/>
        <item m="1" x="72"/>
        <item m="1" x="90"/>
        <item m="1" x="98"/>
        <item x="34"/>
        <item x="54"/>
        <item m="1" x="115"/>
        <item m="1" x="114"/>
        <item x="15"/>
        <item x="22"/>
        <item m="1" x="70"/>
        <item m="1" x="74"/>
        <item m="1" x="121"/>
        <item m="1" x="96"/>
        <item x="16"/>
        <item m="1" x="122"/>
        <item m="1" x="145"/>
        <item m="1" x="104"/>
        <item x="38"/>
        <item x="24"/>
        <item x="46"/>
        <item m="1" x="58"/>
        <item m="1" x="144"/>
        <item x="18"/>
        <item m="1" x="64"/>
        <item x="30"/>
        <item x="26"/>
        <item m="1" x="56"/>
        <item x="45"/>
        <item x="29"/>
        <item m="1" x="69"/>
        <item m="1" x="146"/>
        <item x="0"/>
        <item m="1" x="126"/>
        <item m="1" x="78"/>
        <item m="1" x="77"/>
        <item m="1" x="94"/>
        <item x="8"/>
        <item m="1" x="76"/>
        <item m="1" x="60"/>
        <item m="1" x="125"/>
        <item x="25"/>
        <item m="1" x="61"/>
        <item m="1" x="143"/>
        <item m="1" x="134"/>
        <item m="1" x="128"/>
        <item x="21"/>
        <item m="1" x="87"/>
        <item x="12"/>
        <item x="17"/>
        <item x="33"/>
        <item m="1" x="100"/>
        <item x="35"/>
        <item m="1" x="119"/>
        <item m="1" x="116"/>
        <item x="39"/>
        <item m="1" x="142"/>
        <item m="1" x="140"/>
        <item x="37"/>
        <item x="41"/>
        <item m="1" x="86"/>
        <item m="1" x="68"/>
        <item m="1" x="81"/>
        <item m="1" x="89"/>
        <item x="53"/>
        <item x="3"/>
        <item m="1" x="79"/>
        <item m="1" x="107"/>
        <item m="1" x="93"/>
        <item x="14"/>
        <item x="4"/>
        <item x="13"/>
        <item x="23"/>
        <item m="1" x="63"/>
        <item x="40"/>
        <item x="48"/>
        <item m="1" x="91"/>
        <item m="1" x="103"/>
        <item m="1" x="139"/>
        <item m="1" x="95"/>
        <item m="1" x="136"/>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8"/>
  </rowFields>
  <rowItems count="23">
    <i>
      <x/>
    </i>
    <i>
      <x v="1"/>
    </i>
    <i>
      <x v="4"/>
    </i>
    <i>
      <x v="6"/>
    </i>
    <i>
      <x v="7"/>
    </i>
    <i>
      <x v="9"/>
    </i>
    <i>
      <x v="10"/>
    </i>
    <i>
      <x v="11"/>
    </i>
    <i>
      <x v="13"/>
    </i>
    <i>
      <x v="14"/>
    </i>
    <i>
      <x v="15"/>
    </i>
    <i>
      <x v="16"/>
    </i>
    <i>
      <x v="17"/>
    </i>
    <i>
      <x v="19"/>
    </i>
    <i>
      <x v="20"/>
    </i>
    <i>
      <x v="21"/>
    </i>
    <i>
      <x v="22"/>
    </i>
    <i>
      <x v="23"/>
    </i>
    <i>
      <x v="24"/>
    </i>
    <i>
      <x v="25"/>
    </i>
    <i>
      <x v="26"/>
    </i>
    <i>
      <x v="27"/>
    </i>
    <i t="grand">
      <x/>
    </i>
  </rowItems>
  <colFields count="1">
    <field x="-2"/>
  </colFields>
  <colItems count="2">
    <i>
      <x/>
    </i>
    <i i="1">
      <x v="1"/>
    </i>
  </colItems>
  <dataFields count="2">
    <dataField name="ENR." fld="13" baseField="0" baseItem="0"/>
    <dataField name="COUNT." fld="13" subtotal="count" baseField="4" baseItem="0"/>
  </dataFields>
  <formats count="6">
    <format dxfId="427">
      <pivotArea type="all" dataOnly="0" outline="0" fieldPosition="0"/>
    </format>
    <format dxfId="426">
      <pivotArea type="all" dataOnly="0" outline="0" fieldPosition="0"/>
    </format>
    <format dxfId="425">
      <pivotArea dataOnly="0" labelOnly="1" fieldPosition="0">
        <references count="1">
          <reference field="8" count="0"/>
        </references>
      </pivotArea>
    </format>
    <format dxfId="424">
      <pivotArea type="all" dataOnly="0" outline="0" fieldPosition="0"/>
    </format>
    <format dxfId="423">
      <pivotArea type="all" dataOnly="0" outline="0" fieldPosition="0"/>
    </format>
    <format dxfId="422">
      <pivotArea field="8" collapsedLevelsAreSubtotals="1" axis="axisRow" fieldPosition="0">
        <references count="2">
          <reference field="4294967294" count="1">
            <x v="0"/>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 cacheId="429"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colHeaderCaption="MIS">
  <location ref="A1:F117" firstHeaderRow="1" firstDataRow="3" firstDataCol="1"/>
  <pivotFields count="49">
    <pivotField showAll="0"/>
    <pivotField showAll="0"/>
    <pivotField showAll="0"/>
    <pivotField showAll="0">
      <items count="19">
        <item h="1" m="1" x="9"/>
        <item x="0"/>
        <item h="1" m="1" x="15"/>
        <item h="1" m="1" x="17"/>
        <item h="1" m="1" x="16"/>
        <item h="1" m="1" x="3"/>
        <item h="1" m="1" x="14"/>
        <item h="1" m="1" x="4"/>
        <item h="1" m="1" x="11"/>
        <item h="1" m="1" x="8"/>
        <item h="1" m="1" x="13"/>
        <item h="1" x="2"/>
        <item h="1" m="1" x="10"/>
        <item h="1" m="1" x="5"/>
        <item x="1"/>
        <item h="1" m="1" x="12"/>
        <item h="1" m="1" x="7"/>
        <item h="1" m="1" x="6"/>
        <item t="default"/>
      </items>
    </pivotField>
    <pivotField showAll="0"/>
    <pivotField showAll="0"/>
    <pivotField showAll="0"/>
    <pivotField showAll="0"/>
    <pivotField axis="axisRow" showAll="0">
      <items count="29">
        <item x="0"/>
        <item x="1"/>
        <item m="1" x="22"/>
        <item m="1" x="26"/>
        <item x="2"/>
        <item m="1" x="25"/>
        <item x="3"/>
        <item x="4"/>
        <item m="1" x="23"/>
        <item x="5"/>
        <item x="6"/>
        <item x="7"/>
        <item m="1" x="24"/>
        <item x="8"/>
        <item x="11"/>
        <item x="9"/>
        <item x="10"/>
        <item x="12"/>
        <item m="1" x="27"/>
        <item x="13"/>
        <item x="14"/>
        <item x="15"/>
        <item x="16"/>
        <item x="18"/>
        <item x="19"/>
        <item x="20"/>
        <item x="21"/>
        <item x="17"/>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1"/>
        <item sd="0" x="0"/>
        <item t="default"/>
      </items>
    </pivotField>
    <pivotField axis="axisCol" showAll="0">
      <items count="5">
        <item x="0"/>
        <item m="1" x="3"/>
        <item x="1"/>
        <item x="2"/>
        <item t="default"/>
      </items>
    </pivotField>
    <pivotField dataField="1" showAll="0"/>
    <pivotField showAll="0"/>
    <pivotField showAll="0"/>
    <pivotField showAll="0"/>
    <pivotField showAll="0"/>
    <pivotField showAll="0" defaultSubtotal="0"/>
    <pivotField showAll="0">
      <items count="38">
        <item x="13"/>
        <item m="1" x="33"/>
        <item x="4"/>
        <item m="1" x="27"/>
        <item x="7"/>
        <item m="1" x="35"/>
        <item m="1" x="36"/>
        <item m="1" x="20"/>
        <item m="1" x="25"/>
        <item x="12"/>
        <item x="5"/>
        <item m="1" x="31"/>
        <item x="6"/>
        <item m="1" x="24"/>
        <item x="2"/>
        <item m="1" x="17"/>
        <item m="1" x="22"/>
        <item m="1" x="23"/>
        <item m="1" x="28"/>
        <item x="0"/>
        <item m="1" x="29"/>
        <item x="8"/>
        <item x="10"/>
        <item m="1" x="30"/>
        <item m="1" x="18"/>
        <item x="1"/>
        <item m="1" x="34"/>
        <item x="9"/>
        <item x="11"/>
        <item m="1" x="15"/>
        <item x="3"/>
        <item m="1" x="32"/>
        <item m="1" x="19"/>
        <item m="1" x="26"/>
        <item m="1" x="16"/>
        <item m="1" x="21"/>
        <item x="14"/>
        <item t="default"/>
      </items>
    </pivotField>
    <pivotField showAll="0"/>
    <pivotField showAll="0"/>
    <pivotField showAll="0"/>
    <pivotField showAll="0"/>
    <pivotField showAll="0">
      <items count="13">
        <item m="1" x="9"/>
        <item x="4"/>
        <item x="5"/>
        <item x="1"/>
        <item m="1" x="11"/>
        <item x="2"/>
        <item x="6"/>
        <item m="1" x="10"/>
        <item x="0"/>
        <item x="3"/>
        <item x="7"/>
        <item m="1" x="8"/>
        <item t="default"/>
      </items>
    </pivotField>
    <pivotField showAll="0">
      <items count="148">
        <item m="1" x="101"/>
        <item m="1" x="131"/>
        <item m="1" x="120"/>
        <item m="1" x="118"/>
        <item m="1" x="117"/>
        <item x="36"/>
        <item m="1" x="106"/>
        <item m="1" x="137"/>
        <item m="1" x="66"/>
        <item m="1" x="141"/>
        <item x="47"/>
        <item m="1" x="75"/>
        <item x="10"/>
        <item m="1" x="112"/>
        <item m="1" x="67"/>
        <item m="1" x="102"/>
        <item m="1" x="88"/>
        <item m="1" x="80"/>
        <item m="1" x="84"/>
        <item x="1"/>
        <item m="1" x="130"/>
        <item m="1" x="73"/>
        <item m="1" x="92"/>
        <item m="1" x="111"/>
        <item m="1" x="65"/>
        <item m="1" x="99"/>
        <item m="1" x="132"/>
        <item x="43"/>
        <item m="1" x="110"/>
        <item m="1" x="109"/>
        <item x="31"/>
        <item m="1" x="133"/>
        <item m="1" x="71"/>
        <item x="49"/>
        <item x="11"/>
        <item m="1" x="83"/>
        <item m="1" x="123"/>
        <item m="1" x="105"/>
        <item x="27"/>
        <item x="20"/>
        <item m="1" x="85"/>
        <item m="1" x="113"/>
        <item m="1" x="97"/>
        <item x="52"/>
        <item x="6"/>
        <item x="28"/>
        <item x="32"/>
        <item m="1" x="129"/>
        <item x="51"/>
        <item x="50"/>
        <item x="2"/>
        <item m="1" x="57"/>
        <item m="1" x="108"/>
        <item m="1" x="82"/>
        <item x="7"/>
        <item x="19"/>
        <item m="1" x="59"/>
        <item x="9"/>
        <item m="1" x="135"/>
        <item m="1" x="62"/>
        <item m="1" x="127"/>
        <item m="1" x="124"/>
        <item m="1" x="138"/>
        <item x="5"/>
        <item x="44"/>
        <item x="42"/>
        <item m="1" x="72"/>
        <item m="1" x="90"/>
        <item m="1" x="98"/>
        <item x="34"/>
        <item x="54"/>
        <item m="1" x="115"/>
        <item m="1" x="114"/>
        <item x="15"/>
        <item x="22"/>
        <item m="1" x="70"/>
        <item m="1" x="74"/>
        <item m="1" x="121"/>
        <item m="1" x="96"/>
        <item x="16"/>
        <item m="1" x="122"/>
        <item m="1" x="145"/>
        <item m="1" x="104"/>
        <item x="38"/>
        <item x="24"/>
        <item x="46"/>
        <item m="1" x="58"/>
        <item m="1" x="144"/>
        <item x="18"/>
        <item m="1" x="64"/>
        <item x="30"/>
        <item x="26"/>
        <item m="1" x="56"/>
        <item x="45"/>
        <item x="29"/>
        <item m="1" x="69"/>
        <item m="1" x="146"/>
        <item x="0"/>
        <item m="1" x="126"/>
        <item m="1" x="78"/>
        <item m="1" x="77"/>
        <item m="1" x="94"/>
        <item x="8"/>
        <item m="1" x="76"/>
        <item m="1" x="60"/>
        <item m="1" x="125"/>
        <item x="25"/>
        <item m="1" x="61"/>
        <item m="1" x="143"/>
        <item m="1" x="134"/>
        <item m="1" x="128"/>
        <item x="21"/>
        <item m="1" x="87"/>
        <item x="12"/>
        <item x="17"/>
        <item x="33"/>
        <item m="1" x="100"/>
        <item x="35"/>
        <item m="1" x="119"/>
        <item m="1" x="116"/>
        <item x="39"/>
        <item m="1" x="142"/>
        <item m="1" x="140"/>
        <item x="37"/>
        <item x="41"/>
        <item m="1" x="86"/>
        <item m="1" x="68"/>
        <item m="1" x="81"/>
        <item m="1" x="89"/>
        <item x="53"/>
        <item x="3"/>
        <item m="1" x="79"/>
        <item m="1" x="107"/>
        <item m="1" x="93"/>
        <item x="14"/>
        <item x="4"/>
        <item x="13"/>
        <item x="23"/>
        <item m="1" x="63"/>
        <item x="40"/>
        <item x="48"/>
        <item m="1" x="91"/>
        <item m="1" x="103"/>
        <item m="1" x="139"/>
        <item m="1" x="95"/>
        <item m="1" x="136"/>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2">
    <field x="8"/>
    <field x="-2"/>
  </rowFields>
  <rowItems count="114">
    <i>
      <x/>
    </i>
    <i r="1">
      <x/>
    </i>
    <i r="1" i="1">
      <x v="1"/>
    </i>
    <i r="1" i="2">
      <x v="2"/>
    </i>
    <i r="1" i="3">
      <x v="3"/>
    </i>
    <i>
      <x v="1"/>
    </i>
    <i r="1">
      <x/>
    </i>
    <i r="1" i="1">
      <x v="1"/>
    </i>
    <i r="1" i="2">
      <x v="2"/>
    </i>
    <i r="1" i="3">
      <x v="3"/>
    </i>
    <i>
      <x v="4"/>
    </i>
    <i r="1">
      <x/>
    </i>
    <i r="1" i="1">
      <x v="1"/>
    </i>
    <i r="1" i="2">
      <x v="2"/>
    </i>
    <i r="1" i="3">
      <x v="3"/>
    </i>
    <i>
      <x v="6"/>
    </i>
    <i r="1">
      <x/>
    </i>
    <i r="1" i="1">
      <x v="1"/>
    </i>
    <i r="1" i="2">
      <x v="2"/>
    </i>
    <i r="1" i="3">
      <x v="3"/>
    </i>
    <i>
      <x v="7"/>
    </i>
    <i r="1">
      <x/>
    </i>
    <i r="1" i="1">
      <x v="1"/>
    </i>
    <i r="1" i="2">
      <x v="2"/>
    </i>
    <i r="1" i="3">
      <x v="3"/>
    </i>
    <i>
      <x v="9"/>
    </i>
    <i r="1">
      <x/>
    </i>
    <i r="1" i="1">
      <x v="1"/>
    </i>
    <i r="1" i="2">
      <x v="2"/>
    </i>
    <i r="1" i="3">
      <x v="3"/>
    </i>
    <i>
      <x v="10"/>
    </i>
    <i r="1">
      <x/>
    </i>
    <i r="1" i="1">
      <x v="1"/>
    </i>
    <i r="1" i="2">
      <x v="2"/>
    </i>
    <i r="1" i="3">
      <x v="3"/>
    </i>
    <i>
      <x v="11"/>
    </i>
    <i r="1">
      <x/>
    </i>
    <i r="1" i="1">
      <x v="1"/>
    </i>
    <i r="1" i="2">
      <x v="2"/>
    </i>
    <i r="1" i="3">
      <x v="3"/>
    </i>
    <i>
      <x v="13"/>
    </i>
    <i r="1">
      <x/>
    </i>
    <i r="1" i="1">
      <x v="1"/>
    </i>
    <i r="1" i="2">
      <x v="2"/>
    </i>
    <i r="1" i="3">
      <x v="3"/>
    </i>
    <i>
      <x v="14"/>
    </i>
    <i r="1">
      <x/>
    </i>
    <i r="1" i="1">
      <x v="1"/>
    </i>
    <i r="1" i="2">
      <x v="2"/>
    </i>
    <i r="1" i="3">
      <x v="3"/>
    </i>
    <i>
      <x v="15"/>
    </i>
    <i r="1">
      <x/>
    </i>
    <i r="1" i="1">
      <x v="1"/>
    </i>
    <i r="1" i="2">
      <x v="2"/>
    </i>
    <i r="1" i="3">
      <x v="3"/>
    </i>
    <i>
      <x v="16"/>
    </i>
    <i r="1">
      <x/>
    </i>
    <i r="1" i="1">
      <x v="1"/>
    </i>
    <i r="1" i="2">
      <x v="2"/>
    </i>
    <i r="1" i="3">
      <x v="3"/>
    </i>
    <i>
      <x v="17"/>
    </i>
    <i r="1">
      <x/>
    </i>
    <i r="1" i="1">
      <x v="1"/>
    </i>
    <i r="1" i="2">
      <x v="2"/>
    </i>
    <i r="1" i="3">
      <x v="3"/>
    </i>
    <i>
      <x v="19"/>
    </i>
    <i r="1">
      <x/>
    </i>
    <i r="1" i="1">
      <x v="1"/>
    </i>
    <i r="1" i="2">
      <x v="2"/>
    </i>
    <i r="1" i="3">
      <x v="3"/>
    </i>
    <i>
      <x v="20"/>
    </i>
    <i r="1">
      <x/>
    </i>
    <i r="1" i="1">
      <x v="1"/>
    </i>
    <i r="1" i="2">
      <x v="2"/>
    </i>
    <i r="1" i="3">
      <x v="3"/>
    </i>
    <i>
      <x v="21"/>
    </i>
    <i r="1">
      <x/>
    </i>
    <i r="1" i="1">
      <x v="1"/>
    </i>
    <i r="1" i="2">
      <x v="2"/>
    </i>
    <i r="1" i="3">
      <x v="3"/>
    </i>
    <i>
      <x v="22"/>
    </i>
    <i r="1">
      <x/>
    </i>
    <i r="1" i="1">
      <x v="1"/>
    </i>
    <i r="1" i="2">
      <x v="2"/>
    </i>
    <i r="1" i="3">
      <x v="3"/>
    </i>
    <i>
      <x v="23"/>
    </i>
    <i r="1">
      <x/>
    </i>
    <i r="1" i="1">
      <x v="1"/>
    </i>
    <i r="1" i="2">
      <x v="2"/>
    </i>
    <i r="1" i="3">
      <x v="3"/>
    </i>
    <i>
      <x v="24"/>
    </i>
    <i r="1">
      <x/>
    </i>
    <i r="1" i="1">
      <x v="1"/>
    </i>
    <i r="1" i="2">
      <x v="2"/>
    </i>
    <i r="1" i="3">
      <x v="3"/>
    </i>
    <i>
      <x v="25"/>
    </i>
    <i r="1">
      <x/>
    </i>
    <i r="1" i="1">
      <x v="1"/>
    </i>
    <i r="1" i="2">
      <x v="2"/>
    </i>
    <i r="1" i="3">
      <x v="3"/>
    </i>
    <i>
      <x v="26"/>
    </i>
    <i r="1">
      <x/>
    </i>
    <i r="1" i="1">
      <x v="1"/>
    </i>
    <i r="1" i="2">
      <x v="2"/>
    </i>
    <i r="1" i="3">
      <x v="3"/>
    </i>
    <i>
      <x v="27"/>
    </i>
    <i r="1">
      <x/>
    </i>
    <i r="1" i="1">
      <x v="1"/>
    </i>
    <i r="1" i="2">
      <x v="2"/>
    </i>
    <i r="1" i="3">
      <x v="3"/>
    </i>
    <i t="grand">
      <x/>
    </i>
    <i t="grand" i="1">
      <x/>
    </i>
    <i t="grand" i="2">
      <x/>
    </i>
    <i t="grand" i="3">
      <x/>
    </i>
  </rowItems>
  <colFields count="2">
    <field x="19"/>
    <field x="20"/>
  </colFields>
  <colItems count="5">
    <i>
      <x/>
      <x v="2"/>
    </i>
    <i r="1">
      <x v="3"/>
    </i>
    <i t="default">
      <x/>
    </i>
    <i>
      <x v="1"/>
    </i>
    <i t="grand">
      <x/>
    </i>
  </colItems>
  <dataFields count="4">
    <dataField name="COUNT." fld="13" subtotal="count" baseField="4" baseItem="0"/>
    <dataField name="%" fld="13" showDataAs="percentOfRow" baseField="4" baseItem="0" numFmtId="10"/>
    <dataField name="ENR." fld="13" baseField="0" baseItem="0"/>
    <dataField name="AMT." fld="21" baseField="0" baseItem="0"/>
  </dataFields>
  <formats count="10">
    <format dxfId="437">
      <pivotArea type="all" dataOnly="0" outline="0" fieldPosition="0"/>
    </format>
    <format dxfId="436">
      <pivotArea type="all" dataOnly="0" outline="0" fieldPosition="0"/>
    </format>
    <format dxfId="435">
      <pivotArea dataOnly="0" labelOnly="1" fieldPosition="0">
        <references count="1">
          <reference field="8" count="0"/>
        </references>
      </pivotArea>
    </format>
    <format dxfId="434">
      <pivotArea dataOnly="0" outline="0" fieldPosition="0">
        <references count="1">
          <reference field="4294967294" count="1">
            <x v="1"/>
          </reference>
        </references>
      </pivotArea>
    </format>
    <format dxfId="433">
      <pivotArea type="all" dataOnly="0" outline="0" fieldPosition="0"/>
    </format>
    <format dxfId="432">
      <pivotArea type="all" dataOnly="0" outline="0" fieldPosition="0"/>
    </format>
    <format dxfId="431">
      <pivotArea dataOnly="0" outline="0" fieldPosition="0">
        <references count="1">
          <reference field="4294967294" count="1">
            <x v="1"/>
          </reference>
        </references>
      </pivotArea>
    </format>
    <format dxfId="430">
      <pivotArea collapsedLevelsAreSubtotals="1" fieldPosition="0">
        <references count="3">
          <reference field="4294967294" count="1">
            <x v="2"/>
          </reference>
          <reference field="8" count="0" selected="0"/>
          <reference field="19" count="0" selected="0"/>
        </references>
      </pivotArea>
    </format>
    <format dxfId="429">
      <pivotArea field="8" grandCol="1" collapsedLevelsAreSubtotals="1" axis="axisRow" fieldPosition="0">
        <references count="2">
          <reference field="4294967294" count="1">
            <x v="2"/>
          </reference>
          <reference field="8" count="0" selected="0"/>
        </references>
      </pivotArea>
    </format>
    <format dxfId="428">
      <pivotArea collapsedLevelsAreSubtotals="1" fieldPosition="0">
        <references count="3">
          <reference field="4294967294" count="1">
            <x v="1"/>
          </reference>
          <reference field="8" count="1" selected="0">
            <x v="16"/>
          </reference>
          <reference field="19" count="1" selected="0" defaultSubtotal="1">
            <x v="0"/>
          </reference>
        </references>
      </pivotArea>
    </format>
  </formats>
  <conditionalFormats count="1">
    <conditionalFormat priority="61">
      <pivotAreas count="1">
        <pivotArea type="data" outline="0" collapsedLevelsAreSubtotals="1" fieldPosition="0">
          <references count="2">
            <reference field="4294967294" count="1" selected="0">
              <x v="1"/>
            </reference>
            <reference field="19" count="1" selected="0" defaultSubtotal="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8" cacheId="429"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D3:BI49" firstHeaderRow="1" firstDataRow="3" firstDataCol="1"/>
  <pivotFields count="49">
    <pivotField showAll="0"/>
    <pivotField showAll="0"/>
    <pivotField showAll="0"/>
    <pivotField showAll="0">
      <items count="19">
        <item h="1" m="1" x="9"/>
        <item x="0"/>
        <item h="1" m="1" x="15"/>
        <item h="1" m="1" x="17"/>
        <item h="1" m="1" x="16"/>
        <item h="1" m="1" x="3"/>
        <item h="1" m="1" x="14"/>
        <item h="1" m="1" x="4"/>
        <item h="1" m="1" x="11"/>
        <item h="1" m="1" x="8"/>
        <item h="1" m="1" x="13"/>
        <item h="1" x="2"/>
        <item h="1" m="1" x="10"/>
        <item h="1" m="1" x="5"/>
        <item x="1"/>
        <item h="1" m="1" x="12"/>
        <item h="1" m="1" x="7"/>
        <item h="1" m="1" x="6"/>
        <item t="default"/>
      </items>
    </pivotField>
    <pivotField showAll="0"/>
    <pivotField showAll="0"/>
    <pivotField showAll="0"/>
    <pivotField showAll="0"/>
    <pivotField showAll="0">
      <items count="29">
        <item x="0"/>
        <item x="1"/>
        <item m="1" x="22"/>
        <item m="1" x="26"/>
        <item x="2"/>
        <item m="1" x="25"/>
        <item x="3"/>
        <item x="4"/>
        <item m="1" x="23"/>
        <item x="5"/>
        <item x="6"/>
        <item x="7"/>
        <item m="1" x="24"/>
        <item x="8"/>
        <item x="9"/>
        <item x="10"/>
        <item x="11"/>
        <item x="12"/>
        <item m="1" x="27"/>
        <item x="13"/>
        <item x="14"/>
        <item x="15"/>
        <item x="16"/>
        <item x="17"/>
        <item x="18"/>
        <item x="20"/>
        <item x="21"/>
        <item x="19"/>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1"/>
        <item sd="0" x="0"/>
        <item t="default"/>
      </items>
    </pivotField>
    <pivotField axis="axisCol" showAll="0">
      <items count="5">
        <item x="0"/>
        <item m="1" x="3"/>
        <item x="1"/>
        <item x="2"/>
        <item t="default"/>
      </items>
    </pivotField>
    <pivotField dataField="1" showAll="0"/>
    <pivotField showAll="0"/>
    <pivotField showAll="0"/>
    <pivotField showAll="0"/>
    <pivotField showAll="0"/>
    <pivotField showAll="0" defaultSubtotal="0"/>
    <pivotField showAll="0">
      <items count="38">
        <item x="13"/>
        <item m="1" x="33"/>
        <item x="4"/>
        <item m="1" x="27"/>
        <item x="7"/>
        <item m="1" x="35"/>
        <item m="1" x="36"/>
        <item m="1" x="20"/>
        <item m="1" x="25"/>
        <item x="12"/>
        <item x="5"/>
        <item m="1" x="31"/>
        <item x="6"/>
        <item m="1" x="24"/>
        <item x="2"/>
        <item m="1" x="17"/>
        <item m="1" x="22"/>
        <item m="1" x="23"/>
        <item m="1" x="28"/>
        <item x="0"/>
        <item m="1" x="29"/>
        <item x="8"/>
        <item x="10"/>
        <item m="1" x="30"/>
        <item m="1" x="18"/>
        <item x="1"/>
        <item m="1" x="34"/>
        <item x="9"/>
        <item x="11"/>
        <item m="1" x="15"/>
        <item x="3"/>
        <item m="1" x="32"/>
        <item m="1" x="19"/>
        <item m="1" x="26"/>
        <item m="1" x="16"/>
        <item m="1" x="21"/>
        <item x="14"/>
        <item t="default"/>
      </items>
    </pivotField>
    <pivotField showAll="0"/>
    <pivotField showAll="0"/>
    <pivotField showAll="0"/>
    <pivotField showAll="0"/>
    <pivotField axis="axisRow" showAll="0">
      <items count="13">
        <item x="5"/>
        <item x="1"/>
        <item m="1" x="11"/>
        <item x="2"/>
        <item x="6"/>
        <item x="0"/>
        <item x="7"/>
        <item m="1" x="10"/>
        <item m="1" x="8"/>
        <item x="4"/>
        <item m="1" x="9"/>
        <item x="3"/>
        <item t="default"/>
      </items>
    </pivotField>
    <pivotField showAll="0">
      <items count="148">
        <item m="1" x="101"/>
        <item m="1" x="131"/>
        <item m="1" x="120"/>
        <item m="1" x="118"/>
        <item m="1" x="117"/>
        <item x="36"/>
        <item m="1" x="106"/>
        <item m="1" x="137"/>
        <item m="1" x="66"/>
        <item m="1" x="141"/>
        <item x="47"/>
        <item m="1" x="75"/>
        <item x="10"/>
        <item m="1" x="112"/>
        <item m="1" x="67"/>
        <item m="1" x="102"/>
        <item m="1" x="88"/>
        <item m="1" x="80"/>
        <item m="1" x="84"/>
        <item x="1"/>
        <item m="1" x="130"/>
        <item m="1" x="73"/>
        <item m="1" x="92"/>
        <item m="1" x="111"/>
        <item m="1" x="65"/>
        <item m="1" x="99"/>
        <item m="1" x="132"/>
        <item x="43"/>
        <item m="1" x="110"/>
        <item m="1" x="109"/>
        <item x="31"/>
        <item m="1" x="133"/>
        <item m="1" x="71"/>
        <item x="49"/>
        <item x="11"/>
        <item m="1" x="83"/>
        <item m="1" x="123"/>
        <item m="1" x="105"/>
        <item x="27"/>
        <item x="20"/>
        <item m="1" x="85"/>
        <item m="1" x="113"/>
        <item m="1" x="97"/>
        <item x="52"/>
        <item x="6"/>
        <item x="28"/>
        <item x="32"/>
        <item m="1" x="129"/>
        <item x="51"/>
        <item x="50"/>
        <item x="2"/>
        <item m="1" x="57"/>
        <item m="1" x="108"/>
        <item m="1" x="82"/>
        <item x="7"/>
        <item x="19"/>
        <item m="1" x="59"/>
        <item x="9"/>
        <item m="1" x="135"/>
        <item m="1" x="62"/>
        <item m="1" x="127"/>
        <item m="1" x="124"/>
        <item m="1" x="138"/>
        <item x="5"/>
        <item x="44"/>
        <item x="42"/>
        <item m="1" x="72"/>
        <item m="1" x="90"/>
        <item m="1" x="98"/>
        <item x="34"/>
        <item x="54"/>
        <item m="1" x="115"/>
        <item m="1" x="114"/>
        <item x="15"/>
        <item x="22"/>
        <item m="1" x="70"/>
        <item m="1" x="74"/>
        <item m="1" x="121"/>
        <item m="1" x="96"/>
        <item x="16"/>
        <item m="1" x="122"/>
        <item m="1" x="145"/>
        <item m="1" x="104"/>
        <item x="38"/>
        <item x="24"/>
        <item x="46"/>
        <item m="1" x="58"/>
        <item m="1" x="144"/>
        <item x="18"/>
        <item m="1" x="64"/>
        <item x="30"/>
        <item x="26"/>
        <item m="1" x="56"/>
        <item x="45"/>
        <item x="29"/>
        <item m="1" x="69"/>
        <item m="1" x="146"/>
        <item x="0"/>
        <item m="1" x="126"/>
        <item m="1" x="78"/>
        <item m="1" x="77"/>
        <item m="1" x="94"/>
        <item x="8"/>
        <item m="1" x="76"/>
        <item m="1" x="60"/>
        <item m="1" x="125"/>
        <item x="25"/>
        <item m="1" x="61"/>
        <item m="1" x="143"/>
        <item m="1" x="134"/>
        <item m="1" x="128"/>
        <item x="21"/>
        <item m="1" x="87"/>
        <item x="12"/>
        <item x="17"/>
        <item x="33"/>
        <item m="1" x="100"/>
        <item x="35"/>
        <item m="1" x="119"/>
        <item m="1" x="116"/>
        <item x="39"/>
        <item m="1" x="142"/>
        <item m="1" x="140"/>
        <item x="37"/>
        <item x="41"/>
        <item m="1" x="86"/>
        <item m="1" x="68"/>
        <item m="1" x="81"/>
        <item m="1" x="89"/>
        <item x="53"/>
        <item x="3"/>
        <item m="1" x="79"/>
        <item m="1" x="107"/>
        <item m="1" x="93"/>
        <item x="14"/>
        <item x="4"/>
        <item x="13"/>
        <item x="23"/>
        <item m="1" x="63"/>
        <item x="40"/>
        <item x="48"/>
        <item m="1" x="91"/>
        <item m="1" x="103"/>
        <item m="1" x="139"/>
        <item m="1" x="95"/>
        <item m="1" x="136"/>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2">
    <field x="32"/>
    <field x="-2"/>
  </rowFields>
  <rowItems count="44">
    <i>
      <x/>
    </i>
    <i r="1">
      <x/>
    </i>
    <i r="1" i="1">
      <x v="1"/>
    </i>
    <i r="1" i="2">
      <x v="2"/>
    </i>
    <i r="1" i="3">
      <x v="3"/>
    </i>
    <i>
      <x v="1"/>
    </i>
    <i r="1">
      <x/>
    </i>
    <i r="1" i="1">
      <x v="1"/>
    </i>
    <i r="1" i="2">
      <x v="2"/>
    </i>
    <i r="1" i="3">
      <x v="3"/>
    </i>
    <i>
      <x v="3"/>
    </i>
    <i r="1">
      <x/>
    </i>
    <i r="1" i="1">
      <x v="1"/>
    </i>
    <i r="1" i="2">
      <x v="2"/>
    </i>
    <i r="1" i="3">
      <x v="3"/>
    </i>
    <i>
      <x v="4"/>
    </i>
    <i r="1">
      <x/>
    </i>
    <i r="1" i="1">
      <x v="1"/>
    </i>
    <i r="1" i="2">
      <x v="2"/>
    </i>
    <i r="1" i="3">
      <x v="3"/>
    </i>
    <i>
      <x v="5"/>
    </i>
    <i r="1">
      <x/>
    </i>
    <i r="1" i="1">
      <x v="1"/>
    </i>
    <i r="1" i="2">
      <x v="2"/>
    </i>
    <i r="1" i="3">
      <x v="3"/>
    </i>
    <i>
      <x v="6"/>
    </i>
    <i r="1">
      <x/>
    </i>
    <i r="1" i="1">
      <x v="1"/>
    </i>
    <i r="1" i="2">
      <x v="2"/>
    </i>
    <i r="1" i="3">
      <x v="3"/>
    </i>
    <i>
      <x v="9"/>
    </i>
    <i r="1">
      <x/>
    </i>
    <i r="1" i="1">
      <x v="1"/>
    </i>
    <i r="1" i="2">
      <x v="2"/>
    </i>
    <i r="1" i="3">
      <x v="3"/>
    </i>
    <i>
      <x v="11"/>
    </i>
    <i r="1">
      <x/>
    </i>
    <i r="1" i="1">
      <x v="1"/>
    </i>
    <i r="1" i="2">
      <x v="2"/>
    </i>
    <i r="1" i="3">
      <x v="3"/>
    </i>
    <i t="grand">
      <x/>
    </i>
    <i t="grand" i="1">
      <x/>
    </i>
    <i t="grand" i="2">
      <x/>
    </i>
    <i t="grand" i="3">
      <x/>
    </i>
  </rowItems>
  <colFields count="2">
    <field x="19"/>
    <field x="20"/>
  </colFields>
  <colItems count="5">
    <i>
      <x/>
      <x v="2"/>
    </i>
    <i r="1">
      <x v="3"/>
    </i>
    <i t="default">
      <x/>
    </i>
    <i>
      <x v="1"/>
    </i>
    <i t="grand">
      <x/>
    </i>
  </colItems>
  <dataFields count="4">
    <dataField name="COUNT." fld="13" subtotal="count" baseField="4" baseItem="0"/>
    <dataField name="%" fld="13" showDataAs="percentOfRow" baseField="4" baseItem="0" numFmtId="10"/>
    <dataField name="ENR." fld="13" baseField="0" baseItem="0"/>
    <dataField name="AMT." fld="21" baseField="0" baseItem="0"/>
  </dataFields>
  <formats count="6">
    <format dxfId="443">
      <pivotArea type="all" dataOnly="0" outline="0" fieldPosition="0"/>
    </format>
    <format dxfId="442">
      <pivotArea type="all" dataOnly="0" outline="0" fieldPosition="0"/>
    </format>
    <format dxfId="441">
      <pivotArea dataOnly="0" outline="0" fieldPosition="0">
        <references count="1">
          <reference field="4294967294" count="1">
            <x v="1"/>
          </reference>
        </references>
      </pivotArea>
    </format>
    <format dxfId="440">
      <pivotArea dataOnly="0" labelOnly="1" fieldPosition="0">
        <references count="1">
          <reference field="32" count="0"/>
        </references>
      </pivotArea>
    </format>
    <format dxfId="439">
      <pivotArea type="all" dataOnly="0" outline="0" fieldPosition="0"/>
    </format>
    <format dxfId="438">
      <pivotArea type="all" dataOnly="0" outline="0" fieldPosition="0"/>
    </format>
  </formats>
  <conditionalFormats count="1">
    <conditionalFormat priority="55">
      <pivotAreas count="1">
        <pivotArea type="data" outline="0" collapsedLevelsAreSubtotals="1" fieldPosition="0">
          <references count="2">
            <reference field="4294967294" count="1" selected="0">
              <x v="1"/>
            </reference>
            <reference field="19" count="1" selected="0" defaultSubtotal="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9" cacheId="429"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K3:BP79" firstHeaderRow="1" firstDataRow="3" firstDataCol="1"/>
  <pivotFields count="49">
    <pivotField showAll="0"/>
    <pivotField showAll="0"/>
    <pivotField showAll="0"/>
    <pivotField showAll="0">
      <items count="19">
        <item h="1" m="1" x="9"/>
        <item x="0"/>
        <item h="1" m="1" x="15"/>
        <item h="1" m="1" x="17"/>
        <item h="1" m="1" x="16"/>
        <item h="1" m="1" x="3"/>
        <item h="1" m="1" x="14"/>
        <item h="1" m="1" x="4"/>
        <item h="1" m="1" x="11"/>
        <item h="1" m="1" x="8"/>
        <item h="1" m="1" x="13"/>
        <item h="1" x="2"/>
        <item h="1" m="1" x="10"/>
        <item h="1" m="1" x="5"/>
        <item x="1"/>
        <item h="1" m="1" x="12"/>
        <item h="1" m="1" x="7"/>
        <item h="1" m="1" x="6"/>
        <item t="default"/>
      </items>
    </pivotField>
    <pivotField showAll="0"/>
    <pivotField showAll="0"/>
    <pivotField showAll="0"/>
    <pivotField showAll="0"/>
    <pivotField showAll="0">
      <items count="29">
        <item x="0"/>
        <item x="1"/>
        <item m="1" x="22"/>
        <item m="1" x="26"/>
        <item x="2"/>
        <item m="1" x="25"/>
        <item x="3"/>
        <item x="4"/>
        <item m="1" x="23"/>
        <item x="5"/>
        <item x="6"/>
        <item x="7"/>
        <item m="1" x="24"/>
        <item x="8"/>
        <item x="9"/>
        <item x="10"/>
        <item x="11"/>
        <item x="12"/>
        <item m="1" x="27"/>
        <item x="13"/>
        <item x="14"/>
        <item x="15"/>
        <item x="16"/>
        <item x="17"/>
        <item x="18"/>
        <item x="20"/>
        <item x="21"/>
        <item x="19"/>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1"/>
        <item sd="0" x="0"/>
        <item t="default"/>
      </items>
    </pivotField>
    <pivotField axis="axisCol" showAll="0">
      <items count="5">
        <item x="0"/>
        <item m="1" x="3"/>
        <item x="1"/>
        <item x="2"/>
        <item t="default"/>
      </items>
    </pivotField>
    <pivotField dataField="1" showAll="0"/>
    <pivotField showAll="0"/>
    <pivotField showAll="0"/>
    <pivotField showAll="0"/>
    <pivotField showAll="0"/>
    <pivotField showAll="0" defaultSubtotal="0"/>
    <pivotField axis="axisRow" showAll="0">
      <items count="38">
        <item m="1" x="36"/>
        <item m="1" x="29"/>
        <item m="1" x="30"/>
        <item m="1" x="34"/>
        <item m="1" x="27"/>
        <item x="14"/>
        <item m="1" x="33"/>
        <item m="1" x="32"/>
        <item m="1" x="31"/>
        <item x="1"/>
        <item m="1" x="35"/>
        <item m="1" x="28"/>
        <item m="1" x="23"/>
        <item m="1" x="18"/>
        <item x="3"/>
        <item m="1" x="26"/>
        <item x="0"/>
        <item x="11"/>
        <item m="1" x="15"/>
        <item m="1" x="17"/>
        <item x="2"/>
        <item m="1" x="25"/>
        <item m="1" x="24"/>
        <item m="1" x="19"/>
        <item m="1" x="20"/>
        <item m="1" x="22"/>
        <item m="1" x="21"/>
        <item m="1" x="16"/>
        <item x="4"/>
        <item x="5"/>
        <item x="7"/>
        <item x="6"/>
        <item x="8"/>
        <item x="9"/>
        <item x="10"/>
        <item x="12"/>
        <item x="13"/>
        <item t="default"/>
      </items>
    </pivotField>
    <pivotField showAll="0"/>
    <pivotField showAll="0"/>
    <pivotField showAll="0"/>
    <pivotField showAll="0"/>
    <pivotField showAll="0">
      <items count="13">
        <item m="1" x="9"/>
        <item x="4"/>
        <item x="5"/>
        <item x="1"/>
        <item m="1" x="11"/>
        <item x="2"/>
        <item x="6"/>
        <item m="1" x="10"/>
        <item x="0"/>
        <item x="3"/>
        <item x="7"/>
        <item m="1" x="8"/>
        <item t="default"/>
      </items>
    </pivotField>
    <pivotField showAll="0">
      <items count="148">
        <item m="1" x="101"/>
        <item m="1" x="131"/>
        <item m="1" x="120"/>
        <item m="1" x="118"/>
        <item m="1" x="117"/>
        <item x="36"/>
        <item m="1" x="106"/>
        <item m="1" x="137"/>
        <item m="1" x="66"/>
        <item m="1" x="141"/>
        <item x="47"/>
        <item m="1" x="75"/>
        <item x="10"/>
        <item m="1" x="112"/>
        <item m="1" x="67"/>
        <item m="1" x="102"/>
        <item m="1" x="88"/>
        <item m="1" x="80"/>
        <item m="1" x="84"/>
        <item x="1"/>
        <item m="1" x="130"/>
        <item m="1" x="73"/>
        <item m="1" x="92"/>
        <item m="1" x="111"/>
        <item m="1" x="65"/>
        <item m="1" x="99"/>
        <item m="1" x="132"/>
        <item x="43"/>
        <item m="1" x="110"/>
        <item m="1" x="109"/>
        <item x="31"/>
        <item m="1" x="133"/>
        <item m="1" x="71"/>
        <item x="49"/>
        <item x="11"/>
        <item m="1" x="83"/>
        <item m="1" x="123"/>
        <item m="1" x="105"/>
        <item x="27"/>
        <item x="20"/>
        <item m="1" x="85"/>
        <item m="1" x="113"/>
        <item m="1" x="97"/>
        <item x="52"/>
        <item x="6"/>
        <item x="28"/>
        <item x="32"/>
        <item m="1" x="129"/>
        <item x="51"/>
        <item x="50"/>
        <item x="2"/>
        <item m="1" x="57"/>
        <item m="1" x="108"/>
        <item m="1" x="82"/>
        <item x="7"/>
        <item x="19"/>
        <item m="1" x="59"/>
        <item x="9"/>
        <item m="1" x="135"/>
        <item m="1" x="62"/>
        <item m="1" x="127"/>
        <item m="1" x="124"/>
        <item m="1" x="138"/>
        <item x="5"/>
        <item x="44"/>
        <item x="42"/>
        <item m="1" x="72"/>
        <item m="1" x="90"/>
        <item m="1" x="98"/>
        <item x="34"/>
        <item x="54"/>
        <item m="1" x="115"/>
        <item m="1" x="114"/>
        <item x="15"/>
        <item x="22"/>
        <item m="1" x="70"/>
        <item m="1" x="74"/>
        <item m="1" x="121"/>
        <item m="1" x="96"/>
        <item x="16"/>
        <item m="1" x="122"/>
        <item m="1" x="145"/>
        <item m="1" x="104"/>
        <item x="38"/>
        <item x="24"/>
        <item x="46"/>
        <item m="1" x="58"/>
        <item m="1" x="144"/>
        <item x="18"/>
        <item m="1" x="64"/>
        <item x="30"/>
        <item x="26"/>
        <item m="1" x="56"/>
        <item x="45"/>
        <item x="29"/>
        <item m="1" x="69"/>
        <item m="1" x="146"/>
        <item x="0"/>
        <item m="1" x="126"/>
        <item m="1" x="78"/>
        <item m="1" x="77"/>
        <item m="1" x="94"/>
        <item x="8"/>
        <item m="1" x="76"/>
        <item m="1" x="60"/>
        <item m="1" x="125"/>
        <item x="25"/>
        <item m="1" x="61"/>
        <item m="1" x="143"/>
        <item m="1" x="134"/>
        <item m="1" x="128"/>
        <item x="21"/>
        <item m="1" x="87"/>
        <item x="12"/>
        <item x="17"/>
        <item x="33"/>
        <item m="1" x="100"/>
        <item x="35"/>
        <item m="1" x="119"/>
        <item m="1" x="116"/>
        <item x="39"/>
        <item m="1" x="142"/>
        <item m="1" x="140"/>
        <item x="37"/>
        <item x="41"/>
        <item m="1" x="86"/>
        <item m="1" x="68"/>
        <item m="1" x="81"/>
        <item m="1" x="89"/>
        <item x="53"/>
        <item x="3"/>
        <item m="1" x="79"/>
        <item m="1" x="107"/>
        <item m="1" x="93"/>
        <item x="14"/>
        <item x="4"/>
        <item x="13"/>
        <item x="23"/>
        <item m="1" x="63"/>
        <item x="40"/>
        <item x="48"/>
        <item m="1" x="91"/>
        <item m="1" x="103"/>
        <item m="1" x="139"/>
        <item m="1" x="95"/>
        <item m="1" x="136"/>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2">
    <field x="27"/>
    <field x="-2"/>
  </rowFields>
  <rowItems count="74">
    <i>
      <x v="5"/>
    </i>
    <i r="1">
      <x/>
    </i>
    <i r="1" i="1">
      <x v="1"/>
    </i>
    <i r="1" i="2">
      <x v="2"/>
    </i>
    <i r="1" i="3">
      <x v="3"/>
    </i>
    <i>
      <x v="9"/>
    </i>
    <i r="1">
      <x/>
    </i>
    <i r="1" i="1">
      <x v="1"/>
    </i>
    <i r="1" i="2">
      <x v="2"/>
    </i>
    <i r="1" i="3">
      <x v="3"/>
    </i>
    <i>
      <x v="14"/>
    </i>
    <i r="1">
      <x/>
    </i>
    <i r="1" i="1">
      <x v="1"/>
    </i>
    <i r="1" i="2">
      <x v="2"/>
    </i>
    <i r="1" i="3">
      <x v="3"/>
    </i>
    <i>
      <x v="16"/>
    </i>
    <i r="1">
      <x/>
    </i>
    <i r="1" i="1">
      <x v="1"/>
    </i>
    <i r="1" i="2">
      <x v="2"/>
    </i>
    <i r="1" i="3">
      <x v="3"/>
    </i>
    <i>
      <x v="17"/>
    </i>
    <i r="1">
      <x/>
    </i>
    <i r="1" i="1">
      <x v="1"/>
    </i>
    <i r="1" i="2">
      <x v="2"/>
    </i>
    <i r="1" i="3">
      <x v="3"/>
    </i>
    <i>
      <x v="20"/>
    </i>
    <i r="1">
      <x/>
    </i>
    <i r="1" i="1">
      <x v="1"/>
    </i>
    <i r="1" i="2">
      <x v="2"/>
    </i>
    <i r="1" i="3">
      <x v="3"/>
    </i>
    <i>
      <x v="28"/>
    </i>
    <i r="1">
      <x/>
    </i>
    <i r="1" i="1">
      <x v="1"/>
    </i>
    <i r="1" i="2">
      <x v="2"/>
    </i>
    <i r="1" i="3">
      <x v="3"/>
    </i>
    <i>
      <x v="29"/>
    </i>
    <i r="1">
      <x/>
    </i>
    <i r="1" i="1">
      <x v="1"/>
    </i>
    <i r="1" i="2">
      <x v="2"/>
    </i>
    <i r="1" i="3">
      <x v="3"/>
    </i>
    <i>
      <x v="30"/>
    </i>
    <i r="1">
      <x/>
    </i>
    <i r="1" i="1">
      <x v="1"/>
    </i>
    <i r="1" i="2">
      <x v="2"/>
    </i>
    <i r="1" i="3">
      <x v="3"/>
    </i>
    <i>
      <x v="31"/>
    </i>
    <i r="1">
      <x/>
    </i>
    <i r="1" i="1">
      <x v="1"/>
    </i>
    <i r="1" i="2">
      <x v="2"/>
    </i>
    <i r="1" i="3">
      <x v="3"/>
    </i>
    <i>
      <x v="32"/>
    </i>
    <i r="1">
      <x/>
    </i>
    <i r="1" i="1">
      <x v="1"/>
    </i>
    <i r="1" i="2">
      <x v="2"/>
    </i>
    <i r="1" i="3">
      <x v="3"/>
    </i>
    <i>
      <x v="33"/>
    </i>
    <i r="1">
      <x/>
    </i>
    <i r="1" i="1">
      <x v="1"/>
    </i>
    <i r="1" i="2">
      <x v="2"/>
    </i>
    <i r="1" i="3">
      <x v="3"/>
    </i>
    <i>
      <x v="35"/>
    </i>
    <i r="1">
      <x/>
    </i>
    <i r="1" i="1">
      <x v="1"/>
    </i>
    <i r="1" i="2">
      <x v="2"/>
    </i>
    <i r="1" i="3">
      <x v="3"/>
    </i>
    <i>
      <x v="36"/>
    </i>
    <i r="1">
      <x/>
    </i>
    <i r="1" i="1">
      <x v="1"/>
    </i>
    <i r="1" i="2">
      <x v="2"/>
    </i>
    <i r="1" i="3">
      <x v="3"/>
    </i>
    <i t="grand">
      <x/>
    </i>
    <i t="grand" i="1">
      <x/>
    </i>
    <i t="grand" i="2">
      <x/>
    </i>
    <i t="grand" i="3">
      <x/>
    </i>
  </rowItems>
  <colFields count="2">
    <field x="19"/>
    <field x="20"/>
  </colFields>
  <colItems count="5">
    <i>
      <x/>
      <x v="2"/>
    </i>
    <i r="1">
      <x v="3"/>
    </i>
    <i t="default">
      <x/>
    </i>
    <i>
      <x v="1"/>
    </i>
    <i t="grand">
      <x/>
    </i>
  </colItems>
  <dataFields count="4">
    <dataField name="COUNT." fld="13" subtotal="count" baseField="4" baseItem="0"/>
    <dataField name="%" fld="13" showDataAs="percentOfRow" baseField="4" baseItem="0" numFmtId="10"/>
    <dataField name="ENR." fld="13" baseField="0" baseItem="0"/>
    <dataField name="AMT." fld="21" baseField="0" baseItem="0"/>
  </dataFields>
  <formats count="6">
    <format dxfId="449">
      <pivotArea type="all" dataOnly="0" outline="0" fieldPosition="0"/>
    </format>
    <format dxfId="448">
      <pivotArea type="all" dataOnly="0" outline="0" fieldPosition="0"/>
    </format>
    <format dxfId="447">
      <pivotArea dataOnly="0" outline="0" fieldPosition="0">
        <references count="1">
          <reference field="4294967294" count="1">
            <x v="1"/>
          </reference>
        </references>
      </pivotArea>
    </format>
    <format dxfId="446">
      <pivotArea dataOnly="0" labelOnly="1" fieldPosition="0">
        <references count="1">
          <reference field="27" count="0"/>
        </references>
      </pivotArea>
    </format>
    <format dxfId="445">
      <pivotArea type="all" dataOnly="0" outline="0" fieldPosition="0"/>
    </format>
    <format dxfId="444">
      <pivotArea type="all" dataOnly="0" outline="0" fieldPosition="0"/>
    </format>
  </formats>
  <conditionalFormats count="1">
    <conditionalFormat priority="54">
      <pivotAreas count="1">
        <pivotArea type="data" outline="0" collapsedLevelsAreSubtotals="1" fieldPosition="0">
          <references count="2">
            <reference field="4294967294" count="1" selected="0">
              <x v="1"/>
            </reference>
            <reference field="19" count="1" selected="0" defaultSubtotal="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7" cacheId="429"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AA3:AB60" firstHeaderRow="1" firstDataRow="1" firstDataCol="1"/>
  <pivotFields count="49">
    <pivotField showAll="0"/>
    <pivotField showAll="0"/>
    <pivotField showAll="0"/>
    <pivotField showAll="0">
      <items count="19">
        <item h="1" m="1" x="9"/>
        <item x="0"/>
        <item h="1" m="1" x="15"/>
        <item h="1" m="1" x="17"/>
        <item h="1" m="1" x="16"/>
        <item h="1" m="1" x="3"/>
        <item h="1" m="1" x="14"/>
        <item h="1" m="1" x="4"/>
        <item h="1" m="1" x="11"/>
        <item h="1" m="1" x="8"/>
        <item h="1" m="1" x="13"/>
        <item h="1" x="2"/>
        <item h="1" m="1" x="10"/>
        <item h="1" m="1" x="5"/>
        <item x="1"/>
        <item h="1" m="1" x="12"/>
        <item h="1" m="1" x="7"/>
        <item h="1" m="1" x="6"/>
        <item t="default"/>
      </items>
    </pivotField>
    <pivotField showAll="0"/>
    <pivotField showAll="0"/>
    <pivotField showAll="0"/>
    <pivotField showAll="0"/>
    <pivotField showAll="0">
      <items count="29">
        <item x="0"/>
        <item x="1"/>
        <item m="1" x="22"/>
        <item m="1" x="26"/>
        <item x="2"/>
        <item m="1" x="25"/>
        <item x="3"/>
        <item x="4"/>
        <item m="1" x="23"/>
        <item x="5"/>
        <item x="6"/>
        <item x="7"/>
        <item m="1" x="24"/>
        <item x="8"/>
        <item x="9"/>
        <item x="10"/>
        <item x="11"/>
        <item x="12"/>
        <item m="1" x="27"/>
        <item x="13"/>
        <item x="14"/>
        <item x="15"/>
        <item x="16"/>
        <item x="17"/>
        <item x="18"/>
        <item x="20"/>
        <item x="21"/>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items count="38">
        <item x="13"/>
        <item m="1" x="33"/>
        <item x="4"/>
        <item m="1" x="27"/>
        <item x="7"/>
        <item m="1" x="35"/>
        <item m="1" x="36"/>
        <item m="1" x="20"/>
        <item m="1" x="25"/>
        <item x="12"/>
        <item x="5"/>
        <item m="1" x="31"/>
        <item x="6"/>
        <item m="1" x="24"/>
        <item x="2"/>
        <item m="1" x="17"/>
        <item m="1" x="22"/>
        <item m="1" x="23"/>
        <item m="1" x="28"/>
        <item x="0"/>
        <item m="1" x="29"/>
        <item x="8"/>
        <item x="10"/>
        <item m="1" x="30"/>
        <item m="1" x="18"/>
        <item x="1"/>
        <item m="1" x="34"/>
        <item x="9"/>
        <item x="11"/>
        <item m="1" x="15"/>
        <item x="3"/>
        <item m="1" x="32"/>
        <item m="1" x="19"/>
        <item m="1" x="26"/>
        <item m="1" x="16"/>
        <item m="1" x="21"/>
        <item x="14"/>
        <item t="default"/>
      </items>
    </pivotField>
    <pivotField showAll="0"/>
    <pivotField showAll="0"/>
    <pivotField showAll="0"/>
    <pivotField showAll="0"/>
    <pivotField showAll="0">
      <items count="13">
        <item m="1" x="9"/>
        <item x="4"/>
        <item x="5"/>
        <item x="1"/>
        <item m="1" x="11"/>
        <item x="2"/>
        <item x="6"/>
        <item m="1" x="10"/>
        <item x="0"/>
        <item x="3"/>
        <item x="7"/>
        <item m="1" x="8"/>
        <item t="default"/>
      </items>
    </pivotField>
    <pivotField axis="axisRow" showAll="0" sortType="ascending">
      <items count="148">
        <item m="1" x="101"/>
        <item m="1" x="131"/>
        <item m="1" x="120"/>
        <item m="1" x="118"/>
        <item m="1" x="117"/>
        <item x="36"/>
        <item m="1" x="106"/>
        <item m="1" x="137"/>
        <item m="1" x="66"/>
        <item m="1" x="141"/>
        <item x="47"/>
        <item m="1" x="75"/>
        <item x="10"/>
        <item m="1" x="112"/>
        <item m="1" x="67"/>
        <item m="1" x="102"/>
        <item m="1" x="88"/>
        <item m="1" x="80"/>
        <item m="1" x="84"/>
        <item x="1"/>
        <item m="1" x="130"/>
        <item m="1" x="73"/>
        <item m="1" x="92"/>
        <item m="1" x="111"/>
        <item m="1" x="65"/>
        <item m="1" x="99"/>
        <item m="1" x="132"/>
        <item x="43"/>
        <item m="1" x="110"/>
        <item m="1" x="109"/>
        <item x="31"/>
        <item m="1" x="133"/>
        <item m="1" x="71"/>
        <item x="49"/>
        <item x="11"/>
        <item m="1" x="83"/>
        <item m="1" x="123"/>
        <item m="1" x="105"/>
        <item x="27"/>
        <item x="20"/>
        <item m="1" x="85"/>
        <item m="1" x="113"/>
        <item m="1" x="97"/>
        <item x="52"/>
        <item x="6"/>
        <item x="28"/>
        <item x="32"/>
        <item m="1" x="129"/>
        <item x="51"/>
        <item x="50"/>
        <item x="2"/>
        <item m="1" x="57"/>
        <item m="1" x="108"/>
        <item m="1" x="82"/>
        <item x="7"/>
        <item x="19"/>
        <item m="1" x="59"/>
        <item x="9"/>
        <item m="1" x="135"/>
        <item m="1" x="62"/>
        <item m="1" x="127"/>
        <item m="1" x="124"/>
        <item m="1" x="138"/>
        <item x="5"/>
        <item x="44"/>
        <item x="42"/>
        <item m="1" x="72"/>
        <item m="1" x="90"/>
        <item m="1" x="98"/>
        <item x="34"/>
        <item x="54"/>
        <item m="1" x="115"/>
        <item m="1" x="114"/>
        <item x="15"/>
        <item x="22"/>
        <item m="1" x="70"/>
        <item m="1" x="74"/>
        <item m="1" x="121"/>
        <item m="1" x="96"/>
        <item x="16"/>
        <item m="1" x="122"/>
        <item m="1" x="145"/>
        <item m="1" x="104"/>
        <item x="38"/>
        <item x="24"/>
        <item x="46"/>
        <item m="1" x="58"/>
        <item m="1" x="144"/>
        <item x="18"/>
        <item m="1" x="64"/>
        <item x="30"/>
        <item x="26"/>
        <item m="1" x="56"/>
        <item x="45"/>
        <item x="29"/>
        <item m="1" x="69"/>
        <item m="1" x="146"/>
        <item x="0"/>
        <item m="1" x="126"/>
        <item m="1" x="78"/>
        <item m="1" x="77"/>
        <item m="1" x="94"/>
        <item x="8"/>
        <item m="1" x="76"/>
        <item m="1" x="60"/>
        <item m="1" x="125"/>
        <item x="25"/>
        <item m="1" x="61"/>
        <item m="1" x="143"/>
        <item m="1" x="134"/>
        <item m="1" x="128"/>
        <item x="21"/>
        <item m="1" x="87"/>
        <item x="12"/>
        <item x="17"/>
        <item x="33"/>
        <item m="1" x="100"/>
        <item x="35"/>
        <item m="1" x="119"/>
        <item m="1" x="116"/>
        <item x="39"/>
        <item m="1" x="142"/>
        <item m="1" x="140"/>
        <item x="37"/>
        <item x="41"/>
        <item m="1" x="86"/>
        <item m="1" x="68"/>
        <item m="1" x="81"/>
        <item m="1" x="89"/>
        <item x="53"/>
        <item x="3"/>
        <item m="1" x="79"/>
        <item m="1" x="107"/>
        <item m="1" x="93"/>
        <item x="14"/>
        <item x="4"/>
        <item x="13"/>
        <item x="23"/>
        <item m="1" x="63"/>
        <item x="40"/>
        <item x="48"/>
        <item m="1" x="91"/>
        <item m="1" x="103"/>
        <item m="1" x="139"/>
        <item m="1" x="95"/>
        <item m="1" x="136"/>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33"/>
  </rowFields>
  <rowItems count="57">
    <i>
      <x v="5"/>
    </i>
    <i>
      <x v="10"/>
    </i>
    <i>
      <x v="12"/>
    </i>
    <i>
      <x v="19"/>
    </i>
    <i>
      <x v="27"/>
    </i>
    <i>
      <x v="30"/>
    </i>
    <i>
      <x v="33"/>
    </i>
    <i>
      <x v="34"/>
    </i>
    <i>
      <x v="38"/>
    </i>
    <i>
      <x v="39"/>
    </i>
    <i>
      <x v="43"/>
    </i>
    <i>
      <x v="44"/>
    </i>
    <i>
      <x v="45"/>
    </i>
    <i>
      <x v="46"/>
    </i>
    <i>
      <x v="48"/>
    </i>
    <i>
      <x v="49"/>
    </i>
    <i>
      <x v="50"/>
    </i>
    <i>
      <x v="54"/>
    </i>
    <i>
      <x v="55"/>
    </i>
    <i>
      <x v="57"/>
    </i>
    <i>
      <x v="63"/>
    </i>
    <i>
      <x v="64"/>
    </i>
    <i>
      <x v="65"/>
    </i>
    <i>
      <x v="69"/>
    </i>
    <i>
      <x v="70"/>
    </i>
    <i>
      <x v="73"/>
    </i>
    <i>
      <x v="74"/>
    </i>
    <i>
      <x v="79"/>
    </i>
    <i>
      <x v="83"/>
    </i>
    <i>
      <x v="84"/>
    </i>
    <i>
      <x v="85"/>
    </i>
    <i>
      <x v="88"/>
    </i>
    <i>
      <x v="90"/>
    </i>
    <i>
      <x v="91"/>
    </i>
    <i>
      <x v="93"/>
    </i>
    <i>
      <x v="94"/>
    </i>
    <i>
      <x v="97"/>
    </i>
    <i>
      <x v="102"/>
    </i>
    <i>
      <x v="106"/>
    </i>
    <i>
      <x v="111"/>
    </i>
    <i>
      <x v="113"/>
    </i>
    <i>
      <x v="114"/>
    </i>
    <i>
      <x v="115"/>
    </i>
    <i>
      <x v="117"/>
    </i>
    <i>
      <x v="120"/>
    </i>
    <i>
      <x v="123"/>
    </i>
    <i>
      <x v="124"/>
    </i>
    <i>
      <x v="129"/>
    </i>
    <i>
      <x v="130"/>
    </i>
    <i>
      <x v="134"/>
    </i>
    <i>
      <x v="135"/>
    </i>
    <i>
      <x v="136"/>
    </i>
    <i>
      <x v="137"/>
    </i>
    <i>
      <x v="139"/>
    </i>
    <i>
      <x v="140"/>
    </i>
    <i>
      <x v="146"/>
    </i>
    <i t="grand">
      <x/>
    </i>
  </rowItems>
  <colItems count="1">
    <i/>
  </colItems>
  <dataFields count="1">
    <dataField name="Sum of AMOUNT" fld="21" baseField="0" baseItem="0"/>
  </dataFields>
  <formats count="5">
    <format dxfId="454">
      <pivotArea type="all" dataOnly="0" outline="0" fieldPosition="0"/>
    </format>
    <format dxfId="453">
      <pivotArea type="all" dataOnly="0" outline="0" fieldPosition="0"/>
    </format>
    <format dxfId="452">
      <pivotArea dataOnly="0" labelOnly="1" fieldPosition="0">
        <references count="1">
          <reference field="33" count="0"/>
        </references>
      </pivotArea>
    </format>
    <format dxfId="451">
      <pivotArea type="all" dataOnly="0" outline="0" fieldPosition="0"/>
    </format>
    <format dxfId="45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YC" xr10:uid="{00000000-0013-0000-FFFF-FFFF01000000}" sourceName="CYC">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4"/>
    <pivotTable tabId="4" name="PivotTable10"/>
  </pivotTables>
  <data>
    <tabular pivotCacheId="1">
      <items count="28">
        <i x="0" s="1"/>
        <i x="1" s="1"/>
        <i x="2" s="1"/>
        <i x="3" s="1"/>
        <i x="4" s="1"/>
        <i x="5" s="1"/>
        <i x="6" s="1"/>
        <i x="7" s="1"/>
        <i x="8" s="1"/>
        <i x="9" s="1"/>
        <i x="10" s="1"/>
        <i x="11" s="1"/>
        <i x="12" s="1"/>
        <i x="13" s="1"/>
        <i x="14" s="1"/>
        <i x="15" s="1"/>
        <i x="16" s="1"/>
        <i x="17" s="1"/>
        <i x="18" s="1"/>
        <i x="20" s="1"/>
        <i x="21" s="1"/>
        <i x="19" s="1"/>
        <i x="22" s="1" nd="1"/>
        <i x="26" s="1" nd="1"/>
        <i x="25" s="1" nd="1"/>
        <i x="23" s="1" nd="1"/>
        <i x="24" s="1" nd="1"/>
        <i x="2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PR" xr10:uid="{00000000-0013-0000-FFFF-FFFF02000000}" sourceName="FPR">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4"/>
    <pivotTable tabId="4" name="PivotTable10"/>
  </pivotTables>
  <data>
    <tabular pivotCacheId="1">
      <items count="18">
        <i x="0" s="1"/>
        <i x="2"/>
        <i x="1" s="1"/>
        <i x="9" nd="1"/>
        <i x="15" nd="1"/>
        <i x="17" nd="1"/>
        <i x="16" nd="1"/>
        <i x="3" nd="1"/>
        <i x="14" nd="1"/>
        <i x="4" nd="1"/>
        <i x="11" nd="1"/>
        <i x="8" nd="1"/>
        <i x="13" nd="1"/>
        <i x="10" nd="1"/>
        <i x="5" nd="1"/>
        <i x="12" nd="1"/>
        <i x="7" nd="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ER" xr10:uid="{00000000-0013-0000-FFFF-FFFF03000000}" sourceName="CALLER">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4"/>
    <pivotTable tabId="4" name="PivotTable10"/>
  </pivotTables>
  <data>
    <tabular pivotCacheId="1">
      <items count="37">
        <i x="13" s="1"/>
        <i x="4" s="1"/>
        <i x="7" s="1"/>
        <i x="12" s="1"/>
        <i x="5" s="1"/>
        <i x="6" s="1"/>
        <i x="2" s="1"/>
        <i x="0" s="1"/>
        <i x="8" s="1"/>
        <i x="1" s="1"/>
        <i x="9" s="1"/>
        <i x="11" s="1"/>
        <i x="3" s="1"/>
        <i x="14" s="1"/>
        <i x="33" s="1" nd="1"/>
        <i x="27" s="1" nd="1"/>
        <i x="35" s="1" nd="1"/>
        <i x="36" s="1" nd="1"/>
        <i x="20" s="1" nd="1"/>
        <i x="25" s="1" nd="1"/>
        <i x="31" s="1" nd="1"/>
        <i x="24" s="1" nd="1"/>
        <i x="17" s="1" nd="1"/>
        <i x="22" s="1" nd="1"/>
        <i x="23" s="1" nd="1"/>
        <i x="28" s="1" nd="1"/>
        <i x="29" s="1" nd="1"/>
        <i x="10" s="1" nd="1"/>
        <i x="30" s="1" nd="1"/>
        <i x="18" s="1" nd="1"/>
        <i x="34" s="1" nd="1"/>
        <i x="15" s="1" nd="1"/>
        <i x="32" s="1" nd="1"/>
        <i x="19" s="1" nd="1"/>
        <i x="26" s="1" nd="1"/>
        <i x="16" s="1" nd="1"/>
        <i x="2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00000000-0013-0000-FFFF-FFFF04000000}" sourceName="AREA">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4"/>
    <pivotTable tabId="4" name="PivotTable10"/>
  </pivotTables>
  <data>
    <tabular pivotCacheId="1">
      <items count="12">
        <i x="4" s="1"/>
        <i x="5" s="1"/>
        <i x="1" s="1"/>
        <i x="2" s="1"/>
        <i x="6" s="1"/>
        <i x="0" s="1"/>
        <i x="3" s="1"/>
        <i x="7" s="1"/>
        <i x="9" s="1" nd="1"/>
        <i x="11" s="1" nd="1"/>
        <i x="10" s="1" nd="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S_NAME" xr10:uid="{00000000-0013-0000-FFFF-FFFF05000000}" sourceName="FOS NAME">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4"/>
    <pivotTable tabId="4" name="PivotTable10"/>
  </pivotTables>
  <data>
    <tabular pivotCacheId="1">
      <items count="147">
        <i x="36" s="1"/>
        <i x="47" s="1"/>
        <i x="10" s="1"/>
        <i x="1" s="1"/>
        <i x="43" s="1"/>
        <i x="31" s="1"/>
        <i x="49" s="1"/>
        <i x="11" s="1"/>
        <i x="27" s="1"/>
        <i x="20" s="1"/>
        <i x="52" s="1"/>
        <i x="6" s="1"/>
        <i x="28" s="1"/>
        <i x="32" s="1"/>
        <i x="51" s="1"/>
        <i x="50" s="1"/>
        <i x="2" s="1"/>
        <i x="7" s="1"/>
        <i x="19" s="1"/>
        <i x="9" s="1"/>
        <i x="5" s="1"/>
        <i x="44" s="1"/>
        <i x="42" s="1"/>
        <i x="34" s="1"/>
        <i x="54" s="1"/>
        <i x="15" s="1"/>
        <i x="22" s="1"/>
        <i x="16" s="1"/>
        <i x="38" s="1"/>
        <i x="24" s="1"/>
        <i x="46" s="1"/>
        <i x="18" s="1"/>
        <i x="30" s="1"/>
        <i x="26" s="1"/>
        <i x="45" s="1"/>
        <i x="29" s="1"/>
        <i x="0" s="1"/>
        <i x="8" s="1"/>
        <i x="25" s="1"/>
        <i x="21" s="1"/>
        <i x="12" s="1"/>
        <i x="17" s="1"/>
        <i x="33" s="1"/>
        <i x="35" s="1"/>
        <i x="39" s="1"/>
        <i x="37" s="1"/>
        <i x="41" s="1"/>
        <i x="53" s="1"/>
        <i x="3" s="1"/>
        <i x="14" s="1"/>
        <i x="4" s="1"/>
        <i x="13" s="1"/>
        <i x="23" s="1"/>
        <i x="40" s="1"/>
        <i x="48" s="1"/>
        <i x="55" s="1"/>
        <i x="101" s="1" nd="1"/>
        <i x="131" s="1" nd="1"/>
        <i x="120" s="1" nd="1"/>
        <i x="118" s="1" nd="1"/>
        <i x="117" s="1" nd="1"/>
        <i x="106" s="1" nd="1"/>
        <i x="137" s="1" nd="1"/>
        <i x="66" s="1" nd="1"/>
        <i x="141" s="1" nd="1"/>
        <i x="75" s="1" nd="1"/>
        <i x="112" s="1" nd="1"/>
        <i x="67" s="1" nd="1"/>
        <i x="102" s="1" nd="1"/>
        <i x="88" s="1" nd="1"/>
        <i x="80" s="1" nd="1"/>
        <i x="84" s="1" nd="1"/>
        <i x="130" s="1" nd="1"/>
        <i x="73" s="1" nd="1"/>
        <i x="92" s="1" nd="1"/>
        <i x="111" s="1" nd="1"/>
        <i x="65" s="1" nd="1"/>
        <i x="99" s="1" nd="1"/>
        <i x="132" s="1" nd="1"/>
        <i x="110" s="1" nd="1"/>
        <i x="109" s="1" nd="1"/>
        <i x="133" s="1" nd="1"/>
        <i x="71" s="1" nd="1"/>
        <i x="83" s="1" nd="1"/>
        <i x="123" s="1" nd="1"/>
        <i x="105" s="1" nd="1"/>
        <i x="85" s="1" nd="1"/>
        <i x="113" s="1" nd="1"/>
        <i x="97" s="1" nd="1"/>
        <i x="129" s="1" nd="1"/>
        <i x="57" s="1" nd="1"/>
        <i x="108" s="1" nd="1"/>
        <i x="82" s="1" nd="1"/>
        <i x="59" s="1" nd="1"/>
        <i x="135" s="1" nd="1"/>
        <i x="62" s="1" nd="1"/>
        <i x="127" s="1" nd="1"/>
        <i x="124" s="1" nd="1"/>
        <i x="138" s="1" nd="1"/>
        <i x="72" s="1" nd="1"/>
        <i x="90" s="1" nd="1"/>
        <i x="98" s="1" nd="1"/>
        <i x="115" s="1" nd="1"/>
        <i x="114" s="1" nd="1"/>
        <i x="70" s="1" nd="1"/>
        <i x="74" s="1" nd="1"/>
        <i x="121" s="1" nd="1"/>
        <i x="96" s="1" nd="1"/>
        <i x="122" s="1" nd="1"/>
        <i x="145" s="1" nd="1"/>
        <i x="104" s="1" nd="1"/>
        <i x="58" s="1" nd="1"/>
        <i x="144" s="1" nd="1"/>
        <i x="64" s="1" nd="1"/>
        <i x="56" s="1" nd="1"/>
        <i x="69" s="1" nd="1"/>
        <i x="146" s="1" nd="1"/>
        <i x="126" s="1" nd="1"/>
        <i x="78" s="1" nd="1"/>
        <i x="77" s="1" nd="1"/>
        <i x="94" s="1" nd="1"/>
        <i x="76" s="1" nd="1"/>
        <i x="60" s="1" nd="1"/>
        <i x="125" s="1" nd="1"/>
        <i x="61" s="1" nd="1"/>
        <i x="143" s="1" nd="1"/>
        <i x="134" s="1" nd="1"/>
        <i x="128" s="1" nd="1"/>
        <i x="87" s="1" nd="1"/>
        <i x="100" s="1" nd="1"/>
        <i x="119" s="1" nd="1"/>
        <i x="116" s="1" nd="1"/>
        <i x="142" s="1" nd="1"/>
        <i x="140" s="1" nd="1"/>
        <i x="86" s="1" nd="1"/>
        <i x="68" s="1" nd="1"/>
        <i x="81" s="1" nd="1"/>
        <i x="89" s="1" nd="1"/>
        <i x="79" s="1" nd="1"/>
        <i x="107" s="1" nd="1"/>
        <i x="93" s="1" nd="1"/>
        <i x="63" s="1" nd="1"/>
        <i x="91" s="1" nd="1"/>
        <i x="103" s="1" nd="1"/>
        <i x="139" s="1" nd="1"/>
        <i x="95" s="1" nd="1"/>
        <i x="13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3149471-6FB6-48F2-810D-D14D29E19635}" sourceName="DATE">
  <pivotTables>
    <pivotTable tabId="4" name="PivotTable2"/>
  </pivotTables>
  <data>
    <tabular pivotCacheId="1">
      <items count="28">
        <i x="0" s="1"/>
        <i x="17" s="1"/>
        <i x="18" s="1"/>
        <i x="20" s="1"/>
        <i x="22" s="1"/>
        <i x="23" s="1"/>
        <i x="25" s="1"/>
        <i x="24" s="1"/>
        <i x="27" s="1"/>
        <i x="26" s="1"/>
        <i x="4" s="1"/>
        <i x="2" s="1"/>
        <i x="8" s="1"/>
        <i x="10" s="1"/>
        <i x="5" s="1"/>
        <i x="3" s="1"/>
        <i x="6" s="1"/>
        <i x="7" s="1"/>
        <i x="1" s="1"/>
        <i x="11" s="1"/>
        <i x="13" s="1"/>
        <i x="12" s="1"/>
        <i x="21" s="1"/>
        <i x="15" s="1"/>
        <i x="14" s="1"/>
        <i x="16" s="1"/>
        <i x="19" s="1"/>
        <i x="9"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_DATE" xr10:uid="{9B0342AD-1C7C-4F2B-9341-4D75DC6FC892}" sourceName="V DATE">
  <pivotTables>
    <pivotTable tabId="4" name="PivotTable2"/>
  </pivotTables>
  <data>
    <tabular pivotCacheId="1">
      <items count="132">
        <i x="16" s="1"/>
        <i x="17" s="1"/>
        <i x="24" s="1"/>
        <i x="20" s="1"/>
        <i x="21" s="1"/>
        <i x="23" s="1"/>
        <i x="22" s="1"/>
        <i x="25" s="1"/>
        <i x="26" s="1"/>
        <i x="9" s="1"/>
        <i x="7" s="1"/>
        <i x="8" s="1"/>
        <i x="2" s="1"/>
        <i x="3" s="1"/>
        <i x="4" s="1"/>
        <i x="10" s="1"/>
        <i x="5" s="1"/>
        <i x="6" s="1"/>
        <i x="0" s="1"/>
        <i x="11" s="1"/>
        <i x="12" s="1"/>
        <i x="19" s="1"/>
        <i x="13" s="1"/>
        <i x="14" s="1"/>
        <i x="15" s="1"/>
        <i x="18" s="1"/>
        <i x="1" s="1"/>
        <i x="94" s="1" nd="1"/>
        <i x="117" s="1" nd="1"/>
        <i x="43" s="1" nd="1"/>
        <i x="84" s="1" nd="1"/>
        <i x="95" s="1" nd="1"/>
        <i x="119" s="1" nd="1"/>
        <i x="45" s="1" nd="1"/>
        <i x="71" s="1" nd="1"/>
        <i x="103" s="1" nd="1"/>
        <i x="120" s="1" nd="1"/>
        <i x="46" s="1" nd="1"/>
        <i x="75" s="1" nd="1"/>
        <i x="99" s="1" nd="1"/>
        <i x="122" s="1" nd="1"/>
        <i x="49" s="1" nd="1"/>
        <i x="77" s="1" nd="1"/>
        <i x="124" s="1" nd="1"/>
        <i x="97" s="1" nd="1"/>
        <i x="123" s="1" nd="1"/>
        <i x="54" s="1" nd="1"/>
        <i x="76" s="1" nd="1"/>
        <i x="100" s="1" nd="1"/>
        <i x="131" s="1" nd="1"/>
        <i x="48" s="1" nd="1"/>
        <i x="78" s="1" nd="1"/>
        <i x="98" s="1" nd="1"/>
        <i x="125" s="1" nd="1"/>
        <i x="47" s="1" nd="1"/>
        <i x="79" s="1" nd="1"/>
        <i x="101" s="1" nd="1"/>
        <i x="127" s="1" nd="1"/>
        <i x="52" s="1" nd="1"/>
        <i x="80" s="1" nd="1"/>
        <i x="102" s="1" nd="1"/>
        <i x="126" s="1" nd="1"/>
        <i x="50" s="1" nd="1"/>
        <i x="81" s="1" nd="1"/>
        <i x="129" s="1" nd="1"/>
        <i x="51" s="1" nd="1"/>
        <i x="82" s="1" nd="1"/>
        <i x="87" s="1" nd="1"/>
        <i x="29" s="1" nd="1"/>
        <i x="57" s="1" nd="1"/>
        <i x="61" s="1" nd="1"/>
        <i x="128" s="1" nd="1"/>
        <i x="53" s="1" nd="1"/>
        <i x="83" s="1" nd="1"/>
        <i x="85" s="1" nd="1"/>
        <i x="130" s="1" nd="1"/>
        <i x="55" s="1" nd="1"/>
        <i x="60" s="1" nd="1"/>
        <i x="34" s="1" nd="1"/>
        <i x="56" s="1" nd="1"/>
        <i x="109" s="1" nd="1"/>
        <i x="32" s="1" nd="1"/>
        <i x="64" s="1" nd="1"/>
        <i x="107" s="1" nd="1"/>
        <i x="86" s="1" nd="1"/>
        <i x="65" s="1" nd="1"/>
        <i x="108" s="1" nd="1"/>
        <i x="36" s="1" nd="1"/>
        <i x="105" s="1" nd="1"/>
        <i x="28" s="1" nd="1"/>
        <i x="63" s="1" nd="1"/>
        <i x="106" s="1" nd="1"/>
        <i x="27" s="1" nd="1"/>
        <i x="62" s="1" nd="1"/>
        <i x="104" s="1" nd="1"/>
        <i x="30" s="1" nd="1"/>
        <i x="66" s="1" nd="1"/>
        <i x="33" s="1" nd="1"/>
        <i x="88" s="1" nd="1"/>
        <i x="111" s="1" nd="1"/>
        <i x="31" s="1" nd="1"/>
        <i x="58" s="1" nd="1"/>
        <i x="59" s="1" nd="1"/>
        <i x="35" s="1" nd="1"/>
        <i x="110" s="1" nd="1"/>
        <i x="39" s="1" nd="1"/>
        <i x="89" s="1" nd="1"/>
        <i x="114" s="1" nd="1"/>
        <i x="38" s="1" nd="1"/>
        <i x="74" s="1" nd="1"/>
        <i x="90" s="1" nd="1"/>
        <i x="112" s="1" nd="1"/>
        <i x="40" s="1" nd="1"/>
        <i x="67" s="1" nd="1"/>
        <i x="113" s="1" nd="1"/>
        <i x="37" s="1" nd="1"/>
        <i x="68" s="1" nd="1"/>
        <i x="92" s="1" nd="1"/>
        <i x="115" s="1" nd="1"/>
        <i x="42" s="1" nd="1"/>
        <i x="69" s="1" nd="1"/>
        <i x="91" s="1" nd="1"/>
        <i x="116" s="1" nd="1"/>
        <i x="70" s="1" nd="1"/>
        <i x="96" s="1" nd="1"/>
        <i x="121" s="1" nd="1"/>
        <i x="41" s="1" nd="1"/>
        <i x="73" s="1" nd="1"/>
        <i x="93" s="1" nd="1"/>
        <i x="118" s="1" nd="1"/>
        <i x="44" s="1" nd="1"/>
        <i x="7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YC" xr10:uid="{00000000-0014-0000-FFFF-FFFF01000000}" cache="Slicer_CYC" caption="CYC" startItem="8" rowHeight="241300"/>
  <slicer name="FPR" xr10:uid="{00000000-0014-0000-FFFF-FFFF02000000}" cache="Slicer_FPR" caption="FPR" rowHeight="241300"/>
  <slicer name="CALLER" xr10:uid="{00000000-0014-0000-FFFF-FFFF03000000}" cache="Slicer_CALLER" caption="CALLER" rowHeight="241300"/>
  <slicer name="AREA" xr10:uid="{00000000-0014-0000-FFFF-FFFF04000000}" cache="Slicer_AREA" caption="AREA" rowHeight="241300"/>
  <slicer name="FOS NAME" xr10:uid="{00000000-0014-0000-FFFF-FFFF05000000}" cache="Slicer_FOS_NAME" caption="FOS NAME" startItem="20" rowHeight="241300"/>
  <slicer name="DATE" xr10:uid="{BDAC31F8-FC58-4E59-97C2-049BB545330A}" cache="Slicer_DATE" caption="DATE" rowHeight="241300"/>
  <slicer name="V DATE" xr10:uid="{4CA0A15F-E626-471A-89D2-38D77E77EF64}" cache="Slicer_V_DATE" caption="V DATE" startItem="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W994" totalsRowShown="0" headerRowDxfId="388" dataDxfId="386" headerRowBorderDxfId="387" tableBorderDxfId="385" totalsRowBorderDxfId="384">
  <sortState xmlns:xlrd2="http://schemas.microsoft.com/office/spreadsheetml/2017/richdata2" ref="A2:AW745">
    <sortCondition ref="I1:I745"/>
  </sortState>
  <tableColumns count="49">
    <tableColumn id="1" xr3:uid="{00000000-0010-0000-0000-000001000000}" name="ACC.NO" dataDxfId="383"/>
    <tableColumn id="2" xr3:uid="{00000000-0010-0000-0000-000002000000}" name="NAMES" dataDxfId="382"/>
    <tableColumn id="53" xr3:uid="{0D63AA17-45EA-43E8-8FFB-E1A26F402CD5}" name="RTP" dataDxfId="381">
      <calculatedColumnFormula>VLOOKUP(Table1[[#This Row],[ACC.NO]],[1]Sheet1!$A$2:$D$719,1,0)</calculatedColumnFormula>
    </tableColumn>
    <tableColumn id="3" xr3:uid="{00000000-0010-0000-0000-000003000000}" name="FPR" dataDxfId="380"/>
    <tableColumn id="47" xr3:uid="{76D06194-ACF1-48F1-9E34-EA429C0ADBC4}" name="RE" dataDxfId="379"/>
    <tableColumn id="48" xr3:uid="{0D030064-9373-406A-9555-19A413FBB5FB}" name="CC" dataDxfId="378"/>
    <tableColumn id="46" xr3:uid="{BE95AD22-C529-4E67-9FD8-0AA9BB85BA45}" name="Column1" dataDxfId="377"/>
    <tableColumn id="4" xr3:uid="{00000000-0010-0000-0000-000004000000}" name="O/N" dataDxfId="376">
      <calculatedColumnFormula>VLOOKUP(Table1[[#This Row],[ACC.NO]],[2]!Table1[ACC.NO],1,0)</calculatedColumnFormula>
    </tableColumn>
    <tableColumn id="5" xr3:uid="{00000000-0010-0000-0000-000005000000}" name="CYC" dataDxfId="375"/>
    <tableColumn id="6" xr3:uid="{00000000-0010-0000-0000-000006000000}" name="MOBILE" dataDxfId="374"/>
    <tableColumn id="7" xr3:uid="{00000000-0010-0000-0000-000007000000}" name="BLOCK" dataDxfId="373"/>
    <tableColumn id="8" xr3:uid="{00000000-0010-0000-0000-000008000000}" name="EXCESS LIMIT" dataDxfId="372">
      <calculatedColumnFormula>Table1[[#This Row],[ENR]]-Table1[[#This Row],[CREDIT]]</calculatedColumnFormula>
    </tableColumn>
    <tableColumn id="9" xr3:uid="{00000000-0010-0000-0000-000009000000}" name="CREDIT" dataDxfId="371"/>
    <tableColumn id="10" xr3:uid="{00000000-0010-0000-0000-00000A000000}" name="ENR" dataDxfId="370"/>
    <tableColumn id="11" xr3:uid="{00000000-0010-0000-0000-00000B000000}" name="EMI 0/S" dataDxfId="369"/>
    <tableColumn id="12" xr3:uid="{00000000-0010-0000-0000-00000C000000}" name="CURR_BAL" dataDxfId="368"/>
    <tableColumn id="13" xr3:uid="{00000000-0010-0000-0000-00000D000000}" name="PRI" dataDxfId="367"/>
    <tableColumn id="14" xr3:uid="{00000000-0010-0000-0000-00000E000000}" name="NORM" dataDxfId="366"/>
    <tableColumn id="15" xr3:uid="{00000000-0010-0000-0000-00000F000000}" name="STAB" dataDxfId="365"/>
    <tableColumn id="16" xr3:uid="{00000000-0010-0000-0000-000010000000}" name="PAID/UNPAID" dataDxfId="364"/>
    <tableColumn id="17" xr3:uid="{00000000-0010-0000-0000-000011000000}" name="STATUS" dataDxfId="363"/>
    <tableColumn id="18" xr3:uid="{00000000-0010-0000-0000-000012000000}" name="AMOUNT" dataDxfId="362"/>
    <tableColumn id="19" xr3:uid="{00000000-0010-0000-0000-000013000000}" name="PENDING" dataDxfId="361">
      <calculatedColumnFormula>Table1[[#This Row],[STAB]]-Table1[[#This Row],[AMOUNT]]</calculatedColumnFormula>
    </tableColumn>
    <tableColumn id="20" xr3:uid="{00000000-0010-0000-0000-000014000000}" name="DATE" dataDxfId="360"/>
    <tableColumn id="21" xr3:uid="{00000000-0010-0000-0000-000015000000}" name="DONE BY" dataDxfId="359"/>
    <tableColumn id="22" xr3:uid="{00000000-0010-0000-0000-000016000000}" name="MODE" dataDxfId="358"/>
    <tableColumn id="44" xr3:uid="{00000000-0010-0000-0000-00002C000000}" name="TEAM" dataDxfId="357"/>
    <tableColumn id="23" xr3:uid="{00000000-0010-0000-0000-000017000000}" name="CALLER" dataDxfId="356"/>
    <tableColumn id="24" xr3:uid="{00000000-0010-0000-0000-000018000000}" name="CAT ALLO" dataDxfId="355"/>
    <tableColumn id="25" xr3:uid="{00000000-0010-0000-0000-000019000000}" name="ADD 1" dataDxfId="354"/>
    <tableColumn id="26" xr3:uid="{00000000-0010-0000-0000-00001A000000}" name="ADD 2" dataDxfId="353"/>
    <tableColumn id="27" xr3:uid="{00000000-0010-0000-0000-00001B000000}" name="LOCATION" dataDxfId="352"/>
    <tableColumn id="28" xr3:uid="{00000000-0010-0000-0000-00001C000000}" name="AREA" dataDxfId="351"/>
    <tableColumn id="29" xr3:uid="{00000000-0010-0000-0000-00001D000000}" name="FOS NAME" dataDxfId="350"/>
    <tableColumn id="30" xr3:uid="{00000000-0010-0000-0000-00001E000000}" name="MARC" dataDxfId="349"/>
    <tableColumn id="31" xr3:uid="{00000000-0010-0000-0000-00001F000000}" name="MARC ID" dataDxfId="348"/>
    <tableColumn id="32" xr3:uid="{00000000-0010-0000-0000-000020000000}" name="MARC PW" dataDxfId="347"/>
    <tableColumn id="33" xr3:uid="{00000000-0010-0000-0000-000021000000}" name="TC DISPO" dataDxfId="346"/>
    <tableColumn id="34" xr3:uid="{00000000-0010-0000-0000-000022000000}" name="TC REMARK" dataDxfId="345"/>
    <tableColumn id="35" xr3:uid="{00000000-0010-0000-0000-000023000000}" name="VISITS" dataDxfId="344"/>
    <tableColumn id="36" xr3:uid="{00000000-0010-0000-0000-000024000000}" name="FOS DISPO" dataDxfId="343"/>
    <tableColumn id="37" xr3:uid="{00000000-0010-0000-0000-000025000000}" name="REMARKS" dataDxfId="342"/>
    <tableColumn id="38" xr3:uid="{00000000-0010-0000-0000-000026000000}" name="V DATE" dataDxfId="341"/>
    <tableColumn id="39" xr3:uid="{00000000-0010-0000-0000-000027000000}" name="LAST PAYMENT DATE" dataDxfId="340"/>
    <tableColumn id="40" xr3:uid="{00000000-0010-0000-0000-000028000000}" name="LAST PAYMENT AMOUNT" dataDxfId="339"/>
    <tableColumn id="41" xr3:uid="{00000000-0010-0000-0000-000029000000}" name="CARD TYPE" dataDxfId="338"/>
    <tableColumn id="42" xr3:uid="{00000000-0010-0000-0000-00002A000000}" name="ALLOC DATE" dataDxfId="337"/>
    <tableColumn id="45" xr3:uid="{3EF23123-CAA5-4682-B202-DD1E11C6EE55}" name="UCIC CODE" dataDxfId="336"/>
    <tableColumn id="43" xr3:uid="{00000000-0010-0000-0000-00002B000000}" name="DueDate" dataDxfId="335"/>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neocaps.icici.bank.in/collection-webapp/app/dashboard?_cid=sNM58PjebqouBUk&amp;_hkstd=43497a6dac8b6480da1e3d108d6a46e3d8f639b54e85a38d76075db8994197d9a35e50139f8c8563e72b1a4765a0b186MTc4Mjk5MTE1ODY3Nw==&amp;SECURE_REDIRECT_HKSTD=redire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T284"/>
  <sheetViews>
    <sheetView tabSelected="1" zoomScale="90" zoomScaleNormal="90" workbookViewId="0">
      <selection activeCell="D9" sqref="D9"/>
    </sheetView>
  </sheetViews>
  <sheetFormatPr defaultRowHeight="15" x14ac:dyDescent="0.25"/>
  <cols>
    <col min="1" max="1" width="15.85546875" style="12" bestFit="1" customWidth="1"/>
    <col min="2" max="2" width="13.28515625" style="12" bestFit="1" customWidth="1"/>
    <col min="3" max="3" width="8" style="12" bestFit="1" customWidth="1"/>
    <col min="4" max="7" width="13.28515625" style="12" bestFit="1" customWidth="1"/>
    <col min="8" max="8" width="12.85546875" style="12" bestFit="1" customWidth="1"/>
    <col min="9" max="9" width="13.28515625" style="12" bestFit="1" customWidth="1"/>
    <col min="10" max="10" width="13.7109375" style="12" customWidth="1"/>
    <col min="11" max="11" width="36.140625" style="12" bestFit="1" customWidth="1"/>
    <col min="12" max="12" width="9.28515625" style="12" bestFit="1" customWidth="1"/>
    <col min="13" max="13" width="8.5703125" style="12" bestFit="1" customWidth="1"/>
    <col min="14" max="14" width="13.28515625" style="12" bestFit="1" customWidth="1"/>
    <col min="15" max="15" width="8.140625" style="12" bestFit="1" customWidth="1"/>
    <col min="16" max="16" width="8.5703125" style="12" bestFit="1" customWidth="1"/>
    <col min="17" max="17" width="13.28515625" style="12" bestFit="1" customWidth="1"/>
    <col min="18" max="18" width="12.85546875" style="12" bestFit="1" customWidth="1"/>
    <col min="19" max="19" width="8.5703125" style="12" bestFit="1" customWidth="1"/>
    <col min="20" max="20" width="13.28515625" style="12" bestFit="1" customWidth="1"/>
    <col min="21" max="21" width="10" style="12" bestFit="1" customWidth="1"/>
    <col min="22" max="22" width="36.140625" style="12" bestFit="1" customWidth="1"/>
    <col min="23" max="23" width="9.28515625" style="12" bestFit="1" customWidth="1"/>
    <col min="24" max="24" width="12" style="12" bestFit="1" customWidth="1"/>
    <col min="25" max="26" width="11.28515625" style="12" bestFit="1" customWidth="1"/>
    <col min="27" max="27" width="36.140625" style="12" bestFit="1" customWidth="1"/>
    <col min="28" max="28" width="16.140625" style="12" customWidth="1"/>
    <col min="29" max="29" width="6.42578125" style="12" customWidth="1"/>
    <col min="30" max="30" width="6" style="12" customWidth="1"/>
    <col min="31" max="31" width="36.140625" style="12" bestFit="1" customWidth="1"/>
    <col min="32" max="32" width="7.42578125" style="12" bestFit="1" customWidth="1"/>
    <col min="33" max="33" width="8.140625" style="12" bestFit="1" customWidth="1"/>
    <col min="34" max="34" width="5.28515625" style="12" bestFit="1" customWidth="1"/>
    <col min="35" max="35" width="13.28515625" style="12" bestFit="1" customWidth="1"/>
    <col min="36" max="36" width="9.85546875" style="12" bestFit="1" customWidth="1"/>
    <col min="37" max="37" width="13.28515625" style="12" bestFit="1" customWidth="1"/>
    <col min="38" max="38" width="11.85546875" style="12" bestFit="1" customWidth="1"/>
    <col min="39" max="39" width="14" style="12" bestFit="1" customWidth="1"/>
    <col min="40" max="40" width="14.28515625" style="12" bestFit="1" customWidth="1"/>
    <col min="41" max="41" width="11.140625" style="12" bestFit="1" customWidth="1"/>
    <col min="42" max="43" width="5.7109375" style="12" customWidth="1"/>
    <col min="44" max="44" width="36.140625" style="12" bestFit="1" customWidth="1"/>
    <col min="45" max="45" width="7.42578125" style="12" bestFit="1" customWidth="1"/>
    <col min="46" max="46" width="8.140625" style="12" bestFit="1" customWidth="1"/>
    <col min="47" max="47" width="5.28515625" style="12" bestFit="1" customWidth="1"/>
    <col min="48" max="48" width="11.140625" style="12" bestFit="1" customWidth="1"/>
    <col min="49" max="49" width="9.85546875" style="28" bestFit="1" customWidth="1"/>
    <col min="50" max="50" width="13.28515625" style="12" bestFit="1" customWidth="1"/>
    <col min="51" max="51" width="11.85546875" style="22" bestFit="1" customWidth="1"/>
    <col min="52" max="52" width="14" style="12" bestFit="1" customWidth="1"/>
    <col min="53" max="53" width="14.28515625" style="12" bestFit="1" customWidth="1"/>
    <col min="54" max="54" width="11.140625" style="12" bestFit="1" customWidth="1"/>
    <col min="55" max="55" width="9.140625" style="12"/>
    <col min="56" max="56" width="15.85546875" style="12" bestFit="1" customWidth="1"/>
    <col min="57" max="62" width="13.28515625" style="12" bestFit="1" customWidth="1"/>
    <col min="63" max="63" width="15.85546875" style="12" bestFit="1" customWidth="1"/>
    <col min="64" max="69" width="13.28515625" style="12" bestFit="1" customWidth="1"/>
    <col min="70" max="70" width="36.140625" style="12" bestFit="1" customWidth="1"/>
    <col min="71" max="71" width="12.5703125" style="12" bestFit="1" customWidth="1"/>
    <col min="72" max="72" width="12.140625" style="12" bestFit="1" customWidth="1"/>
    <col min="73" max="74" width="11.140625" style="12" bestFit="1" customWidth="1"/>
    <col min="75" max="75" width="10" style="12" bestFit="1" customWidth="1"/>
    <col min="76" max="77" width="11.140625" style="12" bestFit="1" customWidth="1"/>
    <col min="78" max="78" width="36.140625" style="12" bestFit="1" customWidth="1"/>
    <col min="79" max="79" width="9.28515625" style="12" bestFit="1" customWidth="1"/>
    <col min="80" max="80" width="12" style="12" bestFit="1" customWidth="1"/>
    <col min="81" max="81" width="7.7109375" style="12" bestFit="1" customWidth="1"/>
    <col min="82" max="82" width="13.140625" style="12" bestFit="1" customWidth="1"/>
    <col min="83" max="84" width="11.28515625" style="12" bestFit="1" customWidth="1"/>
    <col min="85" max="85" width="12.85546875" style="12" bestFit="1" customWidth="1"/>
    <col min="86" max="87" width="13.28515625" style="12" bestFit="1" customWidth="1"/>
    <col min="88" max="88" width="8.5703125" style="12" bestFit="1" customWidth="1"/>
    <col min="89" max="90" width="13.28515625" style="12" bestFit="1" customWidth="1"/>
    <col min="91" max="91" width="12.5703125" style="12" bestFit="1" customWidth="1"/>
    <col min="92" max="92" width="12.140625" style="12" bestFit="1" customWidth="1"/>
    <col min="93" max="93" width="12.5703125" style="12" bestFit="1" customWidth="1"/>
    <col min="94" max="94" width="12.140625" style="12" bestFit="1" customWidth="1"/>
    <col min="95" max="95" width="12.5703125" style="12" bestFit="1" customWidth="1"/>
    <col min="96" max="96" width="12.140625" style="12" bestFit="1" customWidth="1"/>
    <col min="97" max="97" width="17.7109375" style="12" bestFit="1" customWidth="1"/>
    <col min="98" max="98" width="16.140625" style="12" bestFit="1" customWidth="1"/>
    <col min="99" max="16384" width="9.140625" style="12"/>
  </cols>
  <sheetData>
    <row r="1" spans="1:98" x14ac:dyDescent="0.25">
      <c r="B1" s="13" t="s">
        <v>63</v>
      </c>
      <c r="G1"/>
      <c r="L1" s="13" t="s">
        <v>63</v>
      </c>
      <c r="BR1"/>
      <c r="BS1"/>
    </row>
    <row r="2" spans="1:98" x14ac:dyDescent="0.25">
      <c r="B2" s="12" t="s">
        <v>57</v>
      </c>
      <c r="D2" s="12" t="s">
        <v>389</v>
      </c>
      <c r="E2" s="12" t="s">
        <v>44</v>
      </c>
      <c r="F2" s="12" t="s">
        <v>50</v>
      </c>
      <c r="G2"/>
      <c r="L2" s="12" t="s">
        <v>57</v>
      </c>
      <c r="O2" s="12" t="s">
        <v>44</v>
      </c>
      <c r="R2" s="12" t="s">
        <v>65</v>
      </c>
      <c r="S2" s="12" t="s">
        <v>62</v>
      </c>
      <c r="T2" s="12" t="s">
        <v>67</v>
      </c>
      <c r="V2" s="13" t="s">
        <v>64</v>
      </c>
      <c r="W2" s="13" t="s">
        <v>63</v>
      </c>
      <c r="Z2"/>
      <c r="BZ2" s="31" t="s">
        <v>64</v>
      </c>
      <c r="CA2" s="31" t="s">
        <v>63</v>
      </c>
      <c r="CB2" s="21"/>
      <c r="CC2" s="21"/>
      <c r="CD2" s="21"/>
      <c r="CE2" s="21"/>
      <c r="CF2"/>
      <c r="CG2"/>
      <c r="CH2"/>
      <c r="CI2"/>
      <c r="CJ2"/>
      <c r="CK2"/>
      <c r="CL2"/>
    </row>
    <row r="3" spans="1:98" x14ac:dyDescent="0.25">
      <c r="A3" s="13" t="s">
        <v>49</v>
      </c>
      <c r="B3" s="12" t="s">
        <v>13</v>
      </c>
      <c r="C3" s="12" t="s">
        <v>14</v>
      </c>
      <c r="G3"/>
      <c r="K3" s="13" t="s">
        <v>49</v>
      </c>
      <c r="L3" s="12" t="s">
        <v>64</v>
      </c>
      <c r="M3" s="12" t="s">
        <v>61</v>
      </c>
      <c r="N3" s="12" t="s">
        <v>66</v>
      </c>
      <c r="O3" s="12" t="s">
        <v>64</v>
      </c>
      <c r="P3" s="12" t="s">
        <v>61</v>
      </c>
      <c r="Q3" s="12" t="s">
        <v>66</v>
      </c>
      <c r="V3" s="13" t="s">
        <v>49</v>
      </c>
      <c r="W3" s="12" t="s">
        <v>390</v>
      </c>
      <c r="X3" s="12" t="s">
        <v>46</v>
      </c>
      <c r="Y3" s="12" t="s">
        <v>50</v>
      </c>
      <c r="Z3"/>
      <c r="AA3" s="13" t="s">
        <v>49</v>
      </c>
      <c r="AB3" s="12" t="s">
        <v>51</v>
      </c>
      <c r="AE3" s="18" t="s">
        <v>70</v>
      </c>
      <c r="AF3" s="18" t="s">
        <v>71</v>
      </c>
      <c r="AG3" s="18" t="s">
        <v>44</v>
      </c>
      <c r="AH3" s="18" t="s">
        <v>57</v>
      </c>
      <c r="AI3" s="18" t="s">
        <v>9</v>
      </c>
      <c r="AJ3" s="18" t="s">
        <v>72</v>
      </c>
      <c r="AK3" s="18" t="s">
        <v>73</v>
      </c>
      <c r="AL3" s="19" t="s">
        <v>74</v>
      </c>
      <c r="AM3" s="18" t="s">
        <v>75</v>
      </c>
      <c r="AN3" s="18" t="s">
        <v>76</v>
      </c>
      <c r="AO3" s="18" t="s">
        <v>77</v>
      </c>
      <c r="AR3" s="18" t="s">
        <v>70</v>
      </c>
      <c r="AS3" s="18" t="s">
        <v>71</v>
      </c>
      <c r="AT3" s="18" t="s">
        <v>44</v>
      </c>
      <c r="AU3" s="18" t="s">
        <v>57</v>
      </c>
      <c r="AV3" s="18" t="s">
        <v>9</v>
      </c>
      <c r="AW3" s="29" t="s">
        <v>72</v>
      </c>
      <c r="AX3" s="18" t="s">
        <v>73</v>
      </c>
      <c r="AY3" s="23" t="s">
        <v>74</v>
      </c>
      <c r="AZ3" s="18" t="s">
        <v>75</v>
      </c>
      <c r="BA3" s="18" t="s">
        <v>76</v>
      </c>
      <c r="BB3" s="18" t="s">
        <v>77</v>
      </c>
      <c r="BE3" s="13" t="s">
        <v>63</v>
      </c>
      <c r="BJ3"/>
      <c r="BL3" s="13" t="s">
        <v>63</v>
      </c>
      <c r="BQ3"/>
      <c r="BR3" s="13" t="s">
        <v>49</v>
      </c>
      <c r="BS3" s="12" t="s">
        <v>6398</v>
      </c>
      <c r="BT3"/>
      <c r="BU3"/>
      <c r="BV3"/>
      <c r="BW3"/>
      <c r="BX3"/>
      <c r="BY3"/>
      <c r="BZ3" s="21"/>
      <c r="CA3" s="21" t="s">
        <v>57</v>
      </c>
      <c r="CB3" s="21" t="s">
        <v>44</v>
      </c>
      <c r="CC3" s="21"/>
      <c r="CD3" s="21" t="s">
        <v>88</v>
      </c>
      <c r="CE3" s="21" t="s">
        <v>50</v>
      </c>
      <c r="CF3"/>
      <c r="CG3"/>
      <c r="CH3"/>
      <c r="CI3"/>
      <c r="CJ3"/>
      <c r="CK3"/>
      <c r="CL3"/>
      <c r="CM3"/>
      <c r="CN3"/>
      <c r="CO3"/>
      <c r="CP3"/>
      <c r="CQ3"/>
      <c r="CR3"/>
      <c r="CS3"/>
      <c r="CT3"/>
    </row>
    <row r="4" spans="1:98" x14ac:dyDescent="0.25">
      <c r="A4" s="15">
        <v>1</v>
      </c>
      <c r="B4" s="61"/>
      <c r="C4" s="61"/>
      <c r="D4" s="61"/>
      <c r="E4" s="61"/>
      <c r="F4" s="61"/>
      <c r="G4"/>
      <c r="K4" s="15" t="s">
        <v>1366</v>
      </c>
      <c r="L4" s="61">
        <v>1</v>
      </c>
      <c r="M4" s="14">
        <v>0.66661738995847308</v>
      </c>
      <c r="N4" s="61">
        <v>104616.86</v>
      </c>
      <c r="O4" s="61">
        <v>1</v>
      </c>
      <c r="P4" s="14">
        <v>0.33338261004152686</v>
      </c>
      <c r="Q4" s="61">
        <v>52320.03</v>
      </c>
      <c r="R4" s="61">
        <v>2</v>
      </c>
      <c r="S4" s="14">
        <v>1</v>
      </c>
      <c r="T4" s="61">
        <v>156936.89000000001</v>
      </c>
      <c r="V4" s="15" t="s">
        <v>1366</v>
      </c>
      <c r="W4" s="61">
        <v>1</v>
      </c>
      <c r="X4" s="61">
        <v>1</v>
      </c>
      <c r="Y4" s="61">
        <v>2</v>
      </c>
      <c r="Z4"/>
      <c r="AA4" s="15" t="s">
        <v>1366</v>
      </c>
      <c r="AB4" s="61">
        <v>28413.3</v>
      </c>
      <c r="AE4" s="12" t="str">
        <f t="shared" ref="AE4:AE45" si="0">K4</f>
        <v>AJEES/OOGOLE , 7093700713</v>
      </c>
      <c r="AF4" s="12">
        <f t="shared" ref="AF4:AF45" si="1">R4</f>
        <v>2</v>
      </c>
      <c r="AG4" s="12">
        <f t="shared" ref="AG4:AG45" si="2">O4</f>
        <v>1</v>
      </c>
      <c r="AH4" s="12">
        <f t="shared" ref="AH4:AH45" si="3">L4</f>
        <v>1</v>
      </c>
      <c r="AI4" s="12">
        <f t="shared" ref="AI4:AI45" si="4">T4</f>
        <v>156936.89000000001</v>
      </c>
      <c r="AJ4" s="20">
        <v>0.75</v>
      </c>
      <c r="AK4" s="12">
        <f>AI4*AJ4</f>
        <v>117702.66750000001</v>
      </c>
      <c r="AL4" s="14">
        <f t="shared" ref="AL4:AL45" si="5">M4</f>
        <v>0.66661738995847308</v>
      </c>
      <c r="AM4" s="12">
        <f t="shared" ref="AM4:AM45" si="6">N4</f>
        <v>104616.86</v>
      </c>
      <c r="AN4" s="12">
        <f t="shared" ref="AN4:AN45" si="7">X4</f>
        <v>1</v>
      </c>
      <c r="AO4" s="12">
        <f t="shared" ref="AO4:AO45" si="8">AB4</f>
        <v>28413.3</v>
      </c>
      <c r="AR4" s="21" t="s">
        <v>115</v>
      </c>
      <c r="AS4" s="21">
        <v>1</v>
      </c>
      <c r="AT4" s="21">
        <v>0</v>
      </c>
      <c r="AU4" s="21">
        <v>1</v>
      </c>
      <c r="AV4" s="21">
        <v>158801.10999999999</v>
      </c>
      <c r="AW4" s="30">
        <v>0.75</v>
      </c>
      <c r="AX4" s="21">
        <v>119100.83249999999</v>
      </c>
      <c r="AY4" s="24">
        <v>1</v>
      </c>
      <c r="AZ4" s="21">
        <v>158801.10999999999</v>
      </c>
      <c r="BA4" s="21">
        <v>0</v>
      </c>
      <c r="BB4" s="21">
        <v>33920</v>
      </c>
      <c r="BE4" s="12" t="s">
        <v>57</v>
      </c>
      <c r="BG4" s="12" t="s">
        <v>389</v>
      </c>
      <c r="BH4" s="12" t="s">
        <v>44</v>
      </c>
      <c r="BI4" s="12" t="s">
        <v>50</v>
      </c>
      <c r="BJ4"/>
      <c r="BL4" s="12" t="s">
        <v>57</v>
      </c>
      <c r="BN4" s="12" t="s">
        <v>389</v>
      </c>
      <c r="BO4" s="12" t="s">
        <v>44</v>
      </c>
      <c r="BP4" s="12" t="s">
        <v>50</v>
      </c>
      <c r="BQ4"/>
      <c r="BR4" s="15" t="s">
        <v>1366</v>
      </c>
      <c r="BS4" s="61">
        <v>2</v>
      </c>
      <c r="BT4"/>
      <c r="BU4"/>
      <c r="BV4"/>
      <c r="BW4"/>
      <c r="BX4"/>
      <c r="BY4"/>
      <c r="BZ4" s="31" t="s">
        <v>49</v>
      </c>
      <c r="CA4" s="21"/>
      <c r="CB4" s="21" t="s">
        <v>46</v>
      </c>
      <c r="CC4" s="21" t="s">
        <v>390</v>
      </c>
      <c r="CD4" s="21"/>
      <c r="CE4" s="21"/>
      <c r="CF4"/>
      <c r="CG4"/>
      <c r="CH4"/>
      <c r="CI4"/>
      <c r="CJ4"/>
      <c r="CK4"/>
      <c r="CL4"/>
      <c r="CM4"/>
      <c r="CN4"/>
      <c r="CO4"/>
      <c r="CP4"/>
      <c r="CQ4"/>
      <c r="CR4"/>
      <c r="CS4"/>
      <c r="CT4"/>
    </row>
    <row r="5" spans="1:98" x14ac:dyDescent="0.25">
      <c r="A5" s="12" t="s">
        <v>64</v>
      </c>
      <c r="B5" s="61">
        <v>3</v>
      </c>
      <c r="C5" s="61">
        <v>1</v>
      </c>
      <c r="D5" s="61">
        <v>4</v>
      </c>
      <c r="E5" s="61">
        <v>2</v>
      </c>
      <c r="F5" s="61">
        <v>6</v>
      </c>
      <c r="G5"/>
      <c r="K5" s="15" t="s">
        <v>2955</v>
      </c>
      <c r="L5" s="61"/>
      <c r="M5" s="14">
        <v>0</v>
      </c>
      <c r="N5" s="61"/>
      <c r="O5" s="61">
        <v>2</v>
      </c>
      <c r="P5" s="14">
        <v>1</v>
      </c>
      <c r="Q5" s="61">
        <v>289191.84999999998</v>
      </c>
      <c r="R5" s="61">
        <v>2</v>
      </c>
      <c r="S5" s="14">
        <v>1</v>
      </c>
      <c r="T5" s="61">
        <v>289191.84999999998</v>
      </c>
      <c r="V5" s="15" t="s">
        <v>2955</v>
      </c>
      <c r="W5" s="61"/>
      <c r="X5" s="61">
        <v>2</v>
      </c>
      <c r="Y5" s="61">
        <v>2</v>
      </c>
      <c r="Z5"/>
      <c r="AA5" s="15" t="s">
        <v>2955</v>
      </c>
      <c r="AB5" s="61">
        <v>0</v>
      </c>
      <c r="AE5" s="12" t="str">
        <f t="shared" si="0"/>
        <v>ANNAVARAM</v>
      </c>
      <c r="AF5" s="12">
        <f t="shared" si="1"/>
        <v>2</v>
      </c>
      <c r="AG5" s="12">
        <f t="shared" si="2"/>
        <v>2</v>
      </c>
      <c r="AH5" s="12">
        <f t="shared" si="3"/>
        <v>0</v>
      </c>
      <c r="AI5" s="12">
        <f t="shared" si="4"/>
        <v>289191.84999999998</v>
      </c>
      <c r="AJ5" s="20">
        <v>0.75</v>
      </c>
      <c r="AK5" s="12">
        <f t="shared" ref="AK5:AK45" si="9">AI5*AJ5</f>
        <v>216893.88749999998</v>
      </c>
      <c r="AL5" s="14">
        <f t="shared" si="5"/>
        <v>0</v>
      </c>
      <c r="AM5" s="12">
        <f t="shared" si="6"/>
        <v>0</v>
      </c>
      <c r="AN5" s="12">
        <f t="shared" si="7"/>
        <v>2</v>
      </c>
      <c r="AO5" s="12">
        <f t="shared" si="8"/>
        <v>0</v>
      </c>
      <c r="AR5" s="21" t="s">
        <v>1361</v>
      </c>
      <c r="AS5" s="21">
        <v>1</v>
      </c>
      <c r="AT5" s="21">
        <v>0</v>
      </c>
      <c r="AU5" s="21">
        <v>1</v>
      </c>
      <c r="AV5" s="21">
        <v>510418.38</v>
      </c>
      <c r="AW5" s="30">
        <v>0.75</v>
      </c>
      <c r="AX5" s="21">
        <v>382813.78500000003</v>
      </c>
      <c r="AY5" s="24">
        <v>1</v>
      </c>
      <c r="AZ5" s="21">
        <v>510418.38</v>
      </c>
      <c r="BA5" s="21">
        <v>0</v>
      </c>
      <c r="BB5" s="21">
        <v>50000</v>
      </c>
      <c r="BD5" s="13" t="s">
        <v>49</v>
      </c>
      <c r="BE5" s="12" t="s">
        <v>13</v>
      </c>
      <c r="BF5" s="12" t="s">
        <v>14</v>
      </c>
      <c r="BJ5"/>
      <c r="BK5" s="13" t="s">
        <v>49</v>
      </c>
      <c r="BL5" s="12" t="s">
        <v>13</v>
      </c>
      <c r="BM5" s="12" t="s">
        <v>14</v>
      </c>
      <c r="BQ5"/>
      <c r="BR5" s="15" t="s">
        <v>115</v>
      </c>
      <c r="BS5" s="61">
        <v>7</v>
      </c>
      <c r="BT5"/>
      <c r="BU5"/>
      <c r="BV5"/>
      <c r="BW5"/>
      <c r="BX5"/>
      <c r="BY5"/>
      <c r="BZ5" s="32" t="s">
        <v>1366</v>
      </c>
      <c r="CA5" s="62">
        <v>1</v>
      </c>
      <c r="CB5" s="62">
        <v>1</v>
      </c>
      <c r="CC5" s="62"/>
      <c r="CD5" s="62">
        <v>1</v>
      </c>
      <c r="CE5" s="62">
        <v>2</v>
      </c>
      <c r="CF5"/>
      <c r="CG5"/>
      <c r="CH5"/>
      <c r="CI5"/>
      <c r="CJ5"/>
      <c r="CK5"/>
      <c r="CL5"/>
      <c r="CM5"/>
      <c r="CN5"/>
      <c r="CO5"/>
      <c r="CP5"/>
      <c r="CQ5"/>
      <c r="CR5"/>
      <c r="CS5"/>
      <c r="CT5"/>
    </row>
    <row r="6" spans="1:98" x14ac:dyDescent="0.25">
      <c r="A6" s="33" t="s">
        <v>61</v>
      </c>
      <c r="B6" s="34">
        <v>0.4420832108623341</v>
      </c>
      <c r="C6" s="34">
        <v>0.11326319553589646</v>
      </c>
      <c r="D6" s="34">
        <v>0.55534640639823063</v>
      </c>
      <c r="E6" s="34">
        <v>0.44465359360176943</v>
      </c>
      <c r="F6" s="34">
        <v>1</v>
      </c>
      <c r="G6"/>
      <c r="K6" s="15" t="s">
        <v>115</v>
      </c>
      <c r="L6" s="61">
        <v>3</v>
      </c>
      <c r="M6" s="14">
        <v>0.37343892669832918</v>
      </c>
      <c r="N6" s="61">
        <v>554624.65999999992</v>
      </c>
      <c r="O6" s="61">
        <v>4</v>
      </c>
      <c r="P6" s="14">
        <v>0.62656107330167077</v>
      </c>
      <c r="Q6" s="61">
        <v>930557.04</v>
      </c>
      <c r="R6" s="61">
        <v>7</v>
      </c>
      <c r="S6" s="14">
        <v>1</v>
      </c>
      <c r="T6" s="61">
        <v>1485181.7</v>
      </c>
      <c r="V6" s="15" t="s">
        <v>115</v>
      </c>
      <c r="W6" s="61">
        <v>6</v>
      </c>
      <c r="X6" s="61">
        <v>1</v>
      </c>
      <c r="Y6" s="61">
        <v>7</v>
      </c>
      <c r="Z6"/>
      <c r="AA6" s="15" t="s">
        <v>115</v>
      </c>
      <c r="AB6" s="61">
        <v>85920</v>
      </c>
      <c r="AE6" s="12" t="str">
        <f t="shared" si="0"/>
        <v>ARAVIND/GTR , 9154094854</v>
      </c>
      <c r="AF6" s="12">
        <f t="shared" si="1"/>
        <v>7</v>
      </c>
      <c r="AG6" s="12">
        <f t="shared" si="2"/>
        <v>4</v>
      </c>
      <c r="AH6" s="12">
        <f t="shared" si="3"/>
        <v>3</v>
      </c>
      <c r="AI6" s="12">
        <f t="shared" si="4"/>
        <v>1485181.7</v>
      </c>
      <c r="AJ6" s="20">
        <v>0.75</v>
      </c>
      <c r="AK6" s="12">
        <f t="shared" si="9"/>
        <v>1113886.2749999999</v>
      </c>
      <c r="AL6" s="14">
        <f t="shared" si="5"/>
        <v>0.37343892669832918</v>
      </c>
      <c r="AM6" s="12">
        <f t="shared" si="6"/>
        <v>554624.65999999992</v>
      </c>
      <c r="AN6" s="12">
        <f t="shared" si="7"/>
        <v>1</v>
      </c>
      <c r="AO6" s="12">
        <f t="shared" si="8"/>
        <v>85920</v>
      </c>
      <c r="AR6" s="21" t="s">
        <v>356</v>
      </c>
      <c r="AS6" s="21">
        <v>1</v>
      </c>
      <c r="AT6" s="21">
        <v>0</v>
      </c>
      <c r="AU6" s="21">
        <v>1</v>
      </c>
      <c r="AV6" s="21">
        <v>180576.18</v>
      </c>
      <c r="AW6" s="30">
        <v>0.75</v>
      </c>
      <c r="AX6" s="21">
        <v>135432.13500000001</v>
      </c>
      <c r="AY6" s="24">
        <v>1</v>
      </c>
      <c r="AZ6" s="21">
        <v>180576.18</v>
      </c>
      <c r="BA6" s="21">
        <v>0</v>
      </c>
      <c r="BB6" s="21">
        <v>24240</v>
      </c>
      <c r="BD6" s="15" t="s">
        <v>80</v>
      </c>
      <c r="BE6" s="61"/>
      <c r="BF6" s="61"/>
      <c r="BG6" s="61"/>
      <c r="BH6" s="61"/>
      <c r="BI6" s="61"/>
      <c r="BJ6"/>
      <c r="BK6" s="15" t="s">
        <v>117</v>
      </c>
      <c r="BL6" s="61"/>
      <c r="BM6" s="61"/>
      <c r="BN6" s="61"/>
      <c r="BO6" s="61"/>
      <c r="BP6" s="61"/>
      <c r="BQ6"/>
      <c r="BR6" s="15" t="s">
        <v>384</v>
      </c>
      <c r="BS6" s="61">
        <v>2</v>
      </c>
      <c r="BT6"/>
      <c r="BU6"/>
      <c r="BV6"/>
      <c r="BW6"/>
      <c r="BX6"/>
      <c r="BY6"/>
      <c r="BZ6" s="32" t="s">
        <v>2955</v>
      </c>
      <c r="CA6" s="62"/>
      <c r="CB6" s="62">
        <v>2</v>
      </c>
      <c r="CC6" s="62"/>
      <c r="CD6" s="62">
        <v>2</v>
      </c>
      <c r="CE6" s="62">
        <v>2</v>
      </c>
      <c r="CF6"/>
      <c r="CG6"/>
      <c r="CH6"/>
      <c r="CI6"/>
      <c r="CJ6"/>
      <c r="CK6"/>
      <c r="CL6"/>
      <c r="CM6"/>
      <c r="CN6"/>
      <c r="CO6"/>
      <c r="CP6"/>
      <c r="CQ6"/>
      <c r="CR6"/>
      <c r="CS6"/>
      <c r="CT6"/>
    </row>
    <row r="7" spans="1:98" x14ac:dyDescent="0.25">
      <c r="A7" s="12" t="s">
        <v>66</v>
      </c>
      <c r="B7" s="61">
        <v>991448.43</v>
      </c>
      <c r="C7" s="61">
        <v>254012.4</v>
      </c>
      <c r="D7" s="37">
        <v>1245460.83</v>
      </c>
      <c r="E7" s="37">
        <v>997212.96</v>
      </c>
      <c r="F7" s="37">
        <v>2242673.79</v>
      </c>
      <c r="G7"/>
      <c r="K7" s="15" t="s">
        <v>384</v>
      </c>
      <c r="L7" s="61">
        <v>2</v>
      </c>
      <c r="M7" s="14">
        <v>1</v>
      </c>
      <c r="N7" s="61">
        <v>886214.32000000007</v>
      </c>
      <c r="O7" s="61"/>
      <c r="P7" s="14">
        <v>0</v>
      </c>
      <c r="Q7" s="61"/>
      <c r="R7" s="61">
        <v>2</v>
      </c>
      <c r="S7" s="14">
        <v>1</v>
      </c>
      <c r="T7" s="61">
        <v>886214.32000000007</v>
      </c>
      <c r="V7" s="15" t="s">
        <v>384</v>
      </c>
      <c r="W7" s="61">
        <v>2</v>
      </c>
      <c r="X7" s="61"/>
      <c r="Y7" s="61">
        <v>2</v>
      </c>
      <c r="Z7"/>
      <c r="AA7" s="15" t="s">
        <v>384</v>
      </c>
      <c r="AB7" s="61">
        <v>886214.31</v>
      </c>
      <c r="AE7" s="12" t="str">
        <f t="shared" si="0"/>
        <v>DPR</v>
      </c>
      <c r="AF7" s="12">
        <f t="shared" si="1"/>
        <v>2</v>
      </c>
      <c r="AG7" s="12">
        <f t="shared" si="2"/>
        <v>0</v>
      </c>
      <c r="AH7" s="12">
        <f t="shared" si="3"/>
        <v>2</v>
      </c>
      <c r="AI7" s="12">
        <f t="shared" si="4"/>
        <v>886214.32000000007</v>
      </c>
      <c r="AJ7" s="20">
        <v>0.75</v>
      </c>
      <c r="AK7" s="12">
        <f t="shared" si="9"/>
        <v>664660.74</v>
      </c>
      <c r="AL7" s="14">
        <f t="shared" si="5"/>
        <v>1</v>
      </c>
      <c r="AM7" s="12">
        <f t="shared" si="6"/>
        <v>886214.32000000007</v>
      </c>
      <c r="AN7" s="12">
        <f t="shared" si="7"/>
        <v>0</v>
      </c>
      <c r="AO7" s="12">
        <f t="shared" si="8"/>
        <v>886214.31</v>
      </c>
      <c r="AR7" s="21" t="s">
        <v>354</v>
      </c>
      <c r="AS7" s="21">
        <v>4</v>
      </c>
      <c r="AT7" s="21">
        <v>1</v>
      </c>
      <c r="AU7" s="21">
        <v>3</v>
      </c>
      <c r="AV7" s="21">
        <v>602870.25</v>
      </c>
      <c r="AW7" s="30">
        <v>0.75</v>
      </c>
      <c r="AX7" s="21">
        <v>452152.6875</v>
      </c>
      <c r="AY7" s="24">
        <v>0.82965832200212231</v>
      </c>
      <c r="AZ7" s="21">
        <v>500176.32</v>
      </c>
      <c r="BA7" s="21">
        <v>1</v>
      </c>
      <c r="BB7" s="21">
        <v>373268.41000000003</v>
      </c>
      <c r="BD7" s="12" t="s">
        <v>64</v>
      </c>
      <c r="BE7" s="61">
        <v>23</v>
      </c>
      <c r="BF7" s="61">
        <v>15</v>
      </c>
      <c r="BG7" s="61">
        <v>38</v>
      </c>
      <c r="BH7" s="61">
        <v>33</v>
      </c>
      <c r="BI7" s="61">
        <v>71</v>
      </c>
      <c r="BJ7"/>
      <c r="BK7" s="12" t="s">
        <v>64</v>
      </c>
      <c r="BL7" s="61"/>
      <c r="BM7" s="61"/>
      <c r="BN7" s="61"/>
      <c r="BO7" s="61">
        <v>40</v>
      </c>
      <c r="BP7" s="61">
        <v>40</v>
      </c>
      <c r="BQ7"/>
      <c r="BR7" s="15" t="s">
        <v>1999</v>
      </c>
      <c r="BS7" s="61">
        <v>17</v>
      </c>
      <c r="BT7"/>
      <c r="BU7"/>
      <c r="BV7"/>
      <c r="BW7"/>
      <c r="BX7"/>
      <c r="BY7"/>
      <c r="BZ7" s="32" t="s">
        <v>115</v>
      </c>
      <c r="CA7" s="62">
        <v>3</v>
      </c>
      <c r="CB7" s="62">
        <v>1</v>
      </c>
      <c r="CC7" s="62">
        <v>3</v>
      </c>
      <c r="CD7" s="62">
        <v>4</v>
      </c>
      <c r="CE7" s="62">
        <v>7</v>
      </c>
      <c r="CF7"/>
      <c r="CG7"/>
      <c r="CH7"/>
      <c r="CI7"/>
      <c r="CJ7"/>
      <c r="CK7"/>
      <c r="CL7"/>
      <c r="CM7"/>
      <c r="CN7"/>
      <c r="CO7"/>
      <c r="CP7"/>
      <c r="CQ7"/>
      <c r="CR7"/>
      <c r="CS7"/>
      <c r="CT7"/>
    </row>
    <row r="8" spans="1:98" x14ac:dyDescent="0.25">
      <c r="A8" s="12" t="s">
        <v>68</v>
      </c>
      <c r="B8" s="61">
        <v>981459.41</v>
      </c>
      <c r="C8" s="61">
        <v>15000</v>
      </c>
      <c r="D8" s="61">
        <v>996459.41</v>
      </c>
      <c r="E8" s="61">
        <v>0</v>
      </c>
      <c r="F8" s="61">
        <v>996459.41</v>
      </c>
      <c r="G8"/>
      <c r="K8" s="15" t="s">
        <v>1999</v>
      </c>
      <c r="L8" s="61">
        <v>12</v>
      </c>
      <c r="M8" s="14">
        <v>0.70888788162450755</v>
      </c>
      <c r="N8" s="61">
        <v>2686858.04</v>
      </c>
      <c r="O8" s="61">
        <v>5</v>
      </c>
      <c r="P8" s="14">
        <v>0.29111211837549245</v>
      </c>
      <c r="Q8" s="61">
        <v>1103385.96</v>
      </c>
      <c r="R8" s="61">
        <v>17</v>
      </c>
      <c r="S8" s="14">
        <v>1</v>
      </c>
      <c r="T8" s="61">
        <v>3790244</v>
      </c>
      <c r="V8" s="15" t="s">
        <v>1999</v>
      </c>
      <c r="W8" s="61">
        <v>13</v>
      </c>
      <c r="X8" s="61">
        <v>4</v>
      </c>
      <c r="Y8" s="61">
        <v>17</v>
      </c>
      <c r="Z8"/>
      <c r="AA8" s="15" t="s">
        <v>1999</v>
      </c>
      <c r="AB8" s="61">
        <v>999780.84</v>
      </c>
      <c r="AE8" s="12" t="str">
        <f t="shared" si="0"/>
        <v>GANESH/GTR , 7013441521</v>
      </c>
      <c r="AF8" s="12">
        <f t="shared" si="1"/>
        <v>17</v>
      </c>
      <c r="AG8" s="12">
        <f t="shared" si="2"/>
        <v>5</v>
      </c>
      <c r="AH8" s="12">
        <f t="shared" si="3"/>
        <v>12</v>
      </c>
      <c r="AI8" s="12">
        <f t="shared" si="4"/>
        <v>3790244</v>
      </c>
      <c r="AJ8" s="20">
        <v>0.75</v>
      </c>
      <c r="AK8" s="12">
        <f t="shared" si="9"/>
        <v>2842683</v>
      </c>
      <c r="AL8" s="14">
        <f t="shared" si="5"/>
        <v>0.70888788162450755</v>
      </c>
      <c r="AM8" s="12">
        <f t="shared" si="6"/>
        <v>2686858.04</v>
      </c>
      <c r="AN8" s="12">
        <f t="shared" si="7"/>
        <v>4</v>
      </c>
      <c r="AO8" s="12">
        <f t="shared" si="8"/>
        <v>999780.84</v>
      </c>
      <c r="AR8" s="21" t="s">
        <v>723</v>
      </c>
      <c r="AS8" s="21">
        <v>7</v>
      </c>
      <c r="AT8" s="21">
        <v>3</v>
      </c>
      <c r="AU8" s="21">
        <v>4</v>
      </c>
      <c r="AV8" s="21">
        <v>895540.98</v>
      </c>
      <c r="AW8" s="30">
        <v>0.75</v>
      </c>
      <c r="AX8" s="21">
        <v>671655.73499999999</v>
      </c>
      <c r="AY8" s="24">
        <v>0.75645478557553003</v>
      </c>
      <c r="AZ8" s="21">
        <v>677436.26</v>
      </c>
      <c r="BA8" s="21">
        <v>3</v>
      </c>
      <c r="BB8" s="21">
        <v>78170</v>
      </c>
      <c r="BD8" s="16" t="s">
        <v>61</v>
      </c>
      <c r="BE8" s="17">
        <v>0.32840070092673934</v>
      </c>
      <c r="BF8" s="17">
        <v>0.19741805623591546</v>
      </c>
      <c r="BG8" s="17">
        <v>0.52581875716265492</v>
      </c>
      <c r="BH8" s="17">
        <v>0.4741812428373452</v>
      </c>
      <c r="BI8" s="17">
        <v>1</v>
      </c>
      <c r="BJ8"/>
      <c r="BK8" s="16" t="s">
        <v>61</v>
      </c>
      <c r="BL8" s="17">
        <v>0</v>
      </c>
      <c r="BM8" s="17">
        <v>0</v>
      </c>
      <c r="BN8" s="17">
        <v>0</v>
      </c>
      <c r="BO8" s="17">
        <v>1</v>
      </c>
      <c r="BP8" s="17">
        <v>1</v>
      </c>
      <c r="BQ8"/>
      <c r="BR8" s="15" t="s">
        <v>6359</v>
      </c>
      <c r="BS8" s="61">
        <v>2</v>
      </c>
      <c r="BT8"/>
      <c r="BU8"/>
      <c r="BV8"/>
      <c r="BW8"/>
      <c r="BX8"/>
      <c r="BY8"/>
      <c r="BZ8" s="32" t="s">
        <v>384</v>
      </c>
      <c r="CA8" s="62">
        <v>2</v>
      </c>
      <c r="CB8" s="62"/>
      <c r="CC8" s="62"/>
      <c r="CD8" s="62"/>
      <c r="CE8" s="62">
        <v>2</v>
      </c>
      <c r="CF8"/>
      <c r="CG8"/>
      <c r="CH8"/>
      <c r="CI8"/>
      <c r="CJ8"/>
      <c r="CK8"/>
      <c r="CL8"/>
      <c r="CM8"/>
      <c r="CN8"/>
      <c r="CO8"/>
      <c r="CP8"/>
      <c r="CQ8"/>
      <c r="CR8"/>
      <c r="CS8"/>
      <c r="CT8"/>
    </row>
    <row r="9" spans="1:98" x14ac:dyDescent="0.25">
      <c r="A9" s="15">
        <v>2</v>
      </c>
      <c r="B9" s="61"/>
      <c r="C9" s="61"/>
      <c r="D9" s="61"/>
      <c r="E9" s="61"/>
      <c r="F9" s="61"/>
      <c r="G9"/>
      <c r="K9" s="15" t="s">
        <v>525</v>
      </c>
      <c r="L9" s="61">
        <v>3</v>
      </c>
      <c r="M9" s="14">
        <v>0.9124009780344603</v>
      </c>
      <c r="N9" s="61">
        <v>1278950.7899999998</v>
      </c>
      <c r="O9" s="61">
        <v>1</v>
      </c>
      <c r="P9" s="14">
        <v>8.7599021965539717E-2</v>
      </c>
      <c r="Q9" s="61">
        <v>122791.23</v>
      </c>
      <c r="R9" s="61">
        <v>4</v>
      </c>
      <c r="S9" s="14">
        <v>1</v>
      </c>
      <c r="T9" s="61">
        <v>1401742.0199999998</v>
      </c>
      <c r="V9" s="15" t="s">
        <v>525</v>
      </c>
      <c r="W9" s="61">
        <v>3</v>
      </c>
      <c r="X9" s="61">
        <v>1</v>
      </c>
      <c r="Y9" s="61">
        <v>4</v>
      </c>
      <c r="Z9"/>
      <c r="AA9" s="15" t="s">
        <v>525</v>
      </c>
      <c r="AB9" s="61">
        <v>625145.32000000007</v>
      </c>
      <c r="AE9" s="12" t="str">
        <f t="shared" si="0"/>
        <v>HARSHA/NANDIGAMA , 8639040413</v>
      </c>
      <c r="AF9" s="12">
        <f t="shared" si="1"/>
        <v>4</v>
      </c>
      <c r="AG9" s="12">
        <f t="shared" si="2"/>
        <v>1</v>
      </c>
      <c r="AH9" s="12">
        <f t="shared" si="3"/>
        <v>3</v>
      </c>
      <c r="AI9" s="12">
        <f t="shared" si="4"/>
        <v>1401742.0199999998</v>
      </c>
      <c r="AJ9" s="20">
        <v>0.75</v>
      </c>
      <c r="AK9" s="12">
        <f t="shared" si="9"/>
        <v>1051306.5149999999</v>
      </c>
      <c r="AL9" s="14">
        <f t="shared" si="5"/>
        <v>0.9124009780344603</v>
      </c>
      <c r="AM9" s="12">
        <f t="shared" si="6"/>
        <v>1278950.7899999998</v>
      </c>
      <c r="AN9" s="12">
        <f t="shared" si="7"/>
        <v>1</v>
      </c>
      <c r="AO9" s="12">
        <f t="shared" si="8"/>
        <v>625145.32000000007</v>
      </c>
      <c r="AR9" s="21" t="s">
        <v>58</v>
      </c>
      <c r="AS9" s="21">
        <v>2</v>
      </c>
      <c r="AT9" s="21">
        <v>1</v>
      </c>
      <c r="AU9" s="21">
        <v>1</v>
      </c>
      <c r="AV9" s="21">
        <v>324808.68</v>
      </c>
      <c r="AW9" s="30">
        <v>0.75</v>
      </c>
      <c r="AX9" s="21">
        <v>243606.51</v>
      </c>
      <c r="AY9" s="24">
        <v>0.75388524099786991</v>
      </c>
      <c r="AZ9" s="21">
        <v>244868.47</v>
      </c>
      <c r="BA9" s="21">
        <v>0</v>
      </c>
      <c r="BB9" s="21">
        <v>29220</v>
      </c>
      <c r="BD9" s="12" t="s">
        <v>66</v>
      </c>
      <c r="BE9" s="61">
        <v>5050438.62</v>
      </c>
      <c r="BF9" s="61">
        <v>3036070.79</v>
      </c>
      <c r="BG9" s="61">
        <v>8086509.410000002</v>
      </c>
      <c r="BH9" s="61">
        <v>7292381.6999999993</v>
      </c>
      <c r="BI9" s="61">
        <v>15378891.109999999</v>
      </c>
      <c r="BJ9"/>
      <c r="BK9" s="12" t="s">
        <v>66</v>
      </c>
      <c r="BL9" s="61"/>
      <c r="BM9" s="61"/>
      <c r="BN9" s="61"/>
      <c r="BO9" s="61">
        <v>7675651.6500000013</v>
      </c>
      <c r="BP9" s="61">
        <v>7675651.6500000013</v>
      </c>
      <c r="BQ9"/>
      <c r="BR9" s="15" t="s">
        <v>87</v>
      </c>
      <c r="BS9" s="61">
        <v>24</v>
      </c>
      <c r="BT9"/>
      <c r="BU9"/>
      <c r="BV9"/>
      <c r="BW9"/>
      <c r="BX9"/>
      <c r="BY9"/>
      <c r="BZ9" s="32" t="s">
        <v>1999</v>
      </c>
      <c r="CA9" s="62">
        <v>12</v>
      </c>
      <c r="CB9" s="62">
        <v>4</v>
      </c>
      <c r="CC9" s="62">
        <v>1</v>
      </c>
      <c r="CD9" s="62">
        <v>5</v>
      </c>
      <c r="CE9" s="62">
        <v>17</v>
      </c>
      <c r="CF9"/>
      <c r="CG9"/>
      <c r="CH9"/>
      <c r="CI9"/>
      <c r="CJ9"/>
      <c r="CK9"/>
      <c r="CL9"/>
      <c r="CM9"/>
      <c r="CN9"/>
      <c r="CO9"/>
      <c r="CP9"/>
      <c r="CQ9"/>
      <c r="CR9"/>
      <c r="CS9"/>
      <c r="CT9"/>
    </row>
    <row r="10" spans="1:98" x14ac:dyDescent="0.25">
      <c r="A10" s="12" t="s">
        <v>64</v>
      </c>
      <c r="B10" s="61">
        <v>18</v>
      </c>
      <c r="C10" s="61">
        <v>15</v>
      </c>
      <c r="D10" s="61">
        <v>33</v>
      </c>
      <c r="E10" s="61">
        <v>26</v>
      </c>
      <c r="F10" s="61">
        <v>59</v>
      </c>
      <c r="G10"/>
      <c r="K10" s="15" t="s">
        <v>6359</v>
      </c>
      <c r="L10" s="61"/>
      <c r="M10" s="14">
        <v>0</v>
      </c>
      <c r="N10" s="61"/>
      <c r="O10" s="61">
        <v>2</v>
      </c>
      <c r="P10" s="14">
        <v>1</v>
      </c>
      <c r="Q10" s="61">
        <v>422724.15</v>
      </c>
      <c r="R10" s="61">
        <v>2</v>
      </c>
      <c r="S10" s="14">
        <v>1</v>
      </c>
      <c r="T10" s="61">
        <v>422724.15</v>
      </c>
      <c r="V10" s="15" t="s">
        <v>6359</v>
      </c>
      <c r="W10" s="61"/>
      <c r="X10" s="61">
        <v>2</v>
      </c>
      <c r="Y10" s="61">
        <v>2</v>
      </c>
      <c r="Z10"/>
      <c r="AA10" s="15" t="s">
        <v>6359</v>
      </c>
      <c r="AB10" s="61">
        <v>945</v>
      </c>
      <c r="AE10" s="12" t="str">
        <f t="shared" si="0"/>
        <v>IMAM/GTR , 6302979798</v>
      </c>
      <c r="AF10" s="12">
        <f t="shared" si="1"/>
        <v>2</v>
      </c>
      <c r="AG10" s="12">
        <f t="shared" si="2"/>
        <v>2</v>
      </c>
      <c r="AH10" s="12">
        <f t="shared" si="3"/>
        <v>0</v>
      </c>
      <c r="AI10" s="12">
        <f t="shared" si="4"/>
        <v>422724.15</v>
      </c>
      <c r="AJ10" s="20">
        <v>0.75</v>
      </c>
      <c r="AK10" s="12">
        <f t="shared" si="9"/>
        <v>317043.11250000005</v>
      </c>
      <c r="AL10" s="14">
        <f t="shared" si="5"/>
        <v>0</v>
      </c>
      <c r="AM10" s="12">
        <f t="shared" si="6"/>
        <v>0</v>
      </c>
      <c r="AN10" s="12">
        <f t="shared" si="7"/>
        <v>2</v>
      </c>
      <c r="AO10" s="12">
        <f t="shared" si="8"/>
        <v>945</v>
      </c>
      <c r="AR10" s="21" t="s">
        <v>94</v>
      </c>
      <c r="AS10" s="21">
        <v>5</v>
      </c>
      <c r="AT10" s="21">
        <v>1</v>
      </c>
      <c r="AU10" s="21">
        <v>4</v>
      </c>
      <c r="AV10" s="21">
        <v>829144.42999999993</v>
      </c>
      <c r="AW10" s="30">
        <v>0.75</v>
      </c>
      <c r="AX10" s="21">
        <v>621858.32250000001</v>
      </c>
      <c r="AY10" s="24">
        <v>0.72586311651397095</v>
      </c>
      <c r="AZ10" s="21">
        <v>601845.36</v>
      </c>
      <c r="BA10" s="21">
        <v>0</v>
      </c>
      <c r="BB10" s="21">
        <v>59980</v>
      </c>
      <c r="BD10" s="12" t="s">
        <v>68</v>
      </c>
      <c r="BE10" s="61">
        <v>2232546.79</v>
      </c>
      <c r="BF10" s="61">
        <v>265228</v>
      </c>
      <c r="BG10" s="61">
        <v>2497774.79</v>
      </c>
      <c r="BH10" s="61">
        <v>30945</v>
      </c>
      <c r="BI10" s="61">
        <v>2528719.79</v>
      </c>
      <c r="BJ10"/>
      <c r="BK10" s="12" t="s">
        <v>68</v>
      </c>
      <c r="BL10" s="61"/>
      <c r="BM10" s="61"/>
      <c r="BN10" s="61"/>
      <c r="BO10" s="61">
        <v>0</v>
      </c>
      <c r="BP10" s="61">
        <v>0</v>
      </c>
      <c r="BQ10"/>
      <c r="BR10" s="15" t="s">
        <v>357</v>
      </c>
      <c r="BS10" s="61">
        <v>33</v>
      </c>
      <c r="BT10"/>
      <c r="BU10"/>
      <c r="BV10"/>
      <c r="BW10"/>
      <c r="BX10"/>
      <c r="BY10"/>
      <c r="BZ10" s="32" t="s">
        <v>525</v>
      </c>
      <c r="CA10" s="62">
        <v>3</v>
      </c>
      <c r="CB10" s="62">
        <v>1</v>
      </c>
      <c r="CC10" s="62"/>
      <c r="CD10" s="62">
        <v>1</v>
      </c>
      <c r="CE10" s="62">
        <v>4</v>
      </c>
      <c r="CF10"/>
      <c r="CG10"/>
      <c r="CH10"/>
      <c r="CI10"/>
      <c r="CJ10"/>
      <c r="CK10"/>
      <c r="CL10"/>
      <c r="CM10"/>
      <c r="CN10"/>
      <c r="CO10"/>
      <c r="CP10"/>
      <c r="CQ10"/>
      <c r="CR10"/>
      <c r="CS10"/>
      <c r="CT10"/>
    </row>
    <row r="11" spans="1:98" x14ac:dyDescent="0.25">
      <c r="A11" s="33" t="s">
        <v>61</v>
      </c>
      <c r="B11" s="34">
        <v>0.29888074182395286</v>
      </c>
      <c r="C11" s="34">
        <v>0.22277217725252313</v>
      </c>
      <c r="D11" s="34">
        <v>0.52165291907647593</v>
      </c>
      <c r="E11" s="34">
        <v>0.4783470809235244</v>
      </c>
      <c r="F11" s="34">
        <v>1</v>
      </c>
      <c r="G11"/>
      <c r="K11" s="15" t="s">
        <v>87</v>
      </c>
      <c r="L11" s="61">
        <v>11</v>
      </c>
      <c r="M11" s="14">
        <v>0.47011617100972047</v>
      </c>
      <c r="N11" s="61">
        <v>2511002.31</v>
      </c>
      <c r="O11" s="61">
        <v>13</v>
      </c>
      <c r="P11" s="14">
        <v>0.52988382899027953</v>
      </c>
      <c r="Q11" s="61">
        <v>2830235.5899999994</v>
      </c>
      <c r="R11" s="61">
        <v>24</v>
      </c>
      <c r="S11" s="14">
        <v>1</v>
      </c>
      <c r="T11" s="61">
        <v>5341237.8999999994</v>
      </c>
      <c r="V11" s="15" t="s">
        <v>87</v>
      </c>
      <c r="W11" s="61">
        <v>22</v>
      </c>
      <c r="X11" s="61">
        <v>2</v>
      </c>
      <c r="Y11" s="61">
        <v>24</v>
      </c>
      <c r="Z11"/>
      <c r="AA11" s="15" t="s">
        <v>87</v>
      </c>
      <c r="AB11" s="61">
        <v>775698.45</v>
      </c>
      <c r="AE11" s="12" t="str">
        <f t="shared" si="0"/>
        <v>INAMUL/GTR , 8367073588</v>
      </c>
      <c r="AF11" s="12">
        <f t="shared" si="1"/>
        <v>24</v>
      </c>
      <c r="AG11" s="12">
        <f t="shared" si="2"/>
        <v>13</v>
      </c>
      <c r="AH11" s="12">
        <f t="shared" si="3"/>
        <v>11</v>
      </c>
      <c r="AI11" s="12">
        <f t="shared" si="4"/>
        <v>5341237.8999999994</v>
      </c>
      <c r="AJ11" s="20">
        <v>0.75</v>
      </c>
      <c r="AK11" s="12">
        <f t="shared" si="9"/>
        <v>4005928.4249999998</v>
      </c>
      <c r="AL11" s="14">
        <f t="shared" si="5"/>
        <v>0.47011617100972047</v>
      </c>
      <c r="AM11" s="12">
        <f t="shared" si="6"/>
        <v>2511002.31</v>
      </c>
      <c r="AN11" s="12">
        <f t="shared" si="7"/>
        <v>2</v>
      </c>
      <c r="AO11" s="12">
        <f t="shared" si="8"/>
        <v>775698.45</v>
      </c>
      <c r="AR11" s="21" t="s">
        <v>523</v>
      </c>
      <c r="AS11" s="21">
        <v>2</v>
      </c>
      <c r="AT11" s="21">
        <v>1</v>
      </c>
      <c r="AU11" s="21">
        <v>1</v>
      </c>
      <c r="AV11" s="21">
        <v>542343.67000000004</v>
      </c>
      <c r="AW11" s="30">
        <v>0.75</v>
      </c>
      <c r="AX11" s="21">
        <v>406757.75250000006</v>
      </c>
      <c r="AY11" s="24">
        <v>0.69979739968201338</v>
      </c>
      <c r="AZ11" s="21">
        <v>379530.69</v>
      </c>
      <c r="BA11" s="21">
        <v>0</v>
      </c>
      <c r="BB11" s="21">
        <v>60528</v>
      </c>
      <c r="BD11" s="15" t="s">
        <v>53</v>
      </c>
      <c r="BE11" s="61"/>
      <c r="BF11" s="61"/>
      <c r="BG11" s="61"/>
      <c r="BH11" s="61"/>
      <c r="BI11" s="61"/>
      <c r="BJ11"/>
      <c r="BK11" s="15" t="s">
        <v>162</v>
      </c>
      <c r="BL11" s="61"/>
      <c r="BM11" s="61"/>
      <c r="BN11" s="61"/>
      <c r="BO11" s="61"/>
      <c r="BP11" s="61"/>
      <c r="BQ11"/>
      <c r="BR11" s="15" t="s">
        <v>1407</v>
      </c>
      <c r="BS11" s="61">
        <v>3</v>
      </c>
      <c r="BT11"/>
      <c r="BU11"/>
      <c r="BV11"/>
      <c r="BW11"/>
      <c r="BX11"/>
      <c r="BY11"/>
      <c r="BZ11" s="32" t="s">
        <v>6359</v>
      </c>
      <c r="CA11" s="62"/>
      <c r="CB11" s="62">
        <v>2</v>
      </c>
      <c r="CC11" s="62"/>
      <c r="CD11" s="62">
        <v>2</v>
      </c>
      <c r="CE11" s="62">
        <v>2</v>
      </c>
      <c r="CF11"/>
      <c r="CG11"/>
      <c r="CH11"/>
      <c r="CI11"/>
      <c r="CJ11"/>
      <c r="CK11"/>
      <c r="CL11"/>
      <c r="CM11"/>
      <c r="CN11"/>
      <c r="CO11"/>
      <c r="CP11"/>
      <c r="CQ11"/>
      <c r="CR11"/>
      <c r="CS11"/>
      <c r="CT11"/>
    </row>
    <row r="12" spans="1:98" x14ac:dyDescent="0.25">
      <c r="A12" s="12" t="s">
        <v>66</v>
      </c>
      <c r="B12" s="61">
        <v>2907410.24</v>
      </c>
      <c r="C12" s="61">
        <v>2167052.0000000005</v>
      </c>
      <c r="D12" s="37">
        <v>5074462.24</v>
      </c>
      <c r="E12" s="37">
        <v>4653197.7700000014</v>
      </c>
      <c r="F12" s="37">
        <v>9727660.0099999979</v>
      </c>
      <c r="G12"/>
      <c r="K12" s="15" t="s">
        <v>724</v>
      </c>
      <c r="L12" s="61">
        <v>9</v>
      </c>
      <c r="M12" s="14">
        <v>0.58893120950433986</v>
      </c>
      <c r="N12" s="61">
        <v>1547463.5199999998</v>
      </c>
      <c r="O12" s="61">
        <v>10</v>
      </c>
      <c r="P12" s="14">
        <v>0.41106879049565997</v>
      </c>
      <c r="Q12" s="61">
        <v>1080115.8899999999</v>
      </c>
      <c r="R12" s="61">
        <v>19</v>
      </c>
      <c r="S12" s="14">
        <v>1</v>
      </c>
      <c r="T12" s="61">
        <v>2627579.41</v>
      </c>
      <c r="V12" s="15" t="s">
        <v>724</v>
      </c>
      <c r="W12" s="61">
        <v>17</v>
      </c>
      <c r="X12" s="61">
        <v>2</v>
      </c>
      <c r="Y12" s="61">
        <v>19</v>
      </c>
      <c r="Z12"/>
      <c r="AA12" s="15" t="s">
        <v>724</v>
      </c>
      <c r="AB12" s="61">
        <v>397829.55</v>
      </c>
      <c r="AE12" s="12" t="str">
        <f t="shared" si="0"/>
        <v>KARTHIK/BADRACHALAM , 8688997363</v>
      </c>
      <c r="AF12" s="12">
        <f t="shared" si="1"/>
        <v>19</v>
      </c>
      <c r="AG12" s="12">
        <f t="shared" si="2"/>
        <v>10</v>
      </c>
      <c r="AH12" s="12">
        <f t="shared" si="3"/>
        <v>9</v>
      </c>
      <c r="AI12" s="12">
        <f t="shared" si="4"/>
        <v>2627579.41</v>
      </c>
      <c r="AJ12" s="20">
        <v>0.75</v>
      </c>
      <c r="AK12" s="12">
        <f t="shared" si="9"/>
        <v>1970684.5575000001</v>
      </c>
      <c r="AL12" s="14">
        <f t="shared" si="5"/>
        <v>0.58893120950433986</v>
      </c>
      <c r="AM12" s="12">
        <f t="shared" si="6"/>
        <v>1547463.5199999998</v>
      </c>
      <c r="AN12" s="12">
        <f t="shared" si="7"/>
        <v>2</v>
      </c>
      <c r="AO12" s="12">
        <f t="shared" si="8"/>
        <v>397829.55</v>
      </c>
      <c r="AR12" s="21" t="s">
        <v>724</v>
      </c>
      <c r="AS12" s="21">
        <v>2</v>
      </c>
      <c r="AT12" s="21">
        <v>1</v>
      </c>
      <c r="AU12" s="21">
        <v>1</v>
      </c>
      <c r="AV12" s="21">
        <v>197584.52000000002</v>
      </c>
      <c r="AW12" s="30">
        <v>0.75</v>
      </c>
      <c r="AX12" s="21">
        <v>148188.39000000001</v>
      </c>
      <c r="AY12" s="24">
        <v>0.69169755808805267</v>
      </c>
      <c r="AZ12" s="21">
        <v>136668.73000000001</v>
      </c>
      <c r="BA12" s="21">
        <v>1</v>
      </c>
      <c r="BB12" s="21">
        <v>22050</v>
      </c>
      <c r="BD12" s="12" t="s">
        <v>64</v>
      </c>
      <c r="BE12" s="61">
        <v>57</v>
      </c>
      <c r="BF12" s="61">
        <v>43</v>
      </c>
      <c r="BG12" s="61">
        <v>100</v>
      </c>
      <c r="BH12" s="61">
        <v>114</v>
      </c>
      <c r="BI12" s="61">
        <v>214</v>
      </c>
      <c r="BJ12"/>
      <c r="BK12" s="12" t="s">
        <v>64</v>
      </c>
      <c r="BL12" s="61">
        <v>3</v>
      </c>
      <c r="BM12" s="61"/>
      <c r="BN12" s="61">
        <v>3</v>
      </c>
      <c r="BO12" s="61"/>
      <c r="BP12" s="61">
        <v>3</v>
      </c>
      <c r="BQ12"/>
      <c r="BR12" s="15" t="s">
        <v>355</v>
      </c>
      <c r="BS12" s="61">
        <v>15</v>
      </c>
      <c r="BT12"/>
      <c r="BU12"/>
      <c r="BV12"/>
      <c r="BW12"/>
      <c r="BX12"/>
      <c r="BY12"/>
      <c r="BZ12" s="32" t="s">
        <v>87</v>
      </c>
      <c r="CA12" s="62">
        <v>11</v>
      </c>
      <c r="CB12" s="62">
        <v>2</v>
      </c>
      <c r="CC12" s="62">
        <v>11</v>
      </c>
      <c r="CD12" s="62">
        <v>13</v>
      </c>
      <c r="CE12" s="62">
        <v>24</v>
      </c>
      <c r="CF12"/>
      <c r="CG12"/>
      <c r="CH12"/>
      <c r="CI12"/>
      <c r="CJ12"/>
      <c r="CK12"/>
      <c r="CL12"/>
      <c r="CM12"/>
      <c r="CN12"/>
      <c r="CO12"/>
      <c r="CP12"/>
      <c r="CQ12"/>
      <c r="CR12"/>
      <c r="CS12"/>
      <c r="CT12"/>
    </row>
    <row r="13" spans="1:98" x14ac:dyDescent="0.25">
      <c r="A13" s="12" t="s">
        <v>68</v>
      </c>
      <c r="B13" s="61">
        <v>1988460.29</v>
      </c>
      <c r="C13" s="61">
        <v>256589.1</v>
      </c>
      <c r="D13" s="61">
        <v>2245049.39</v>
      </c>
      <c r="E13" s="61">
        <v>0</v>
      </c>
      <c r="F13" s="61">
        <v>2245049.39</v>
      </c>
      <c r="G13"/>
      <c r="K13" s="15" t="s">
        <v>357</v>
      </c>
      <c r="L13" s="61">
        <v>13</v>
      </c>
      <c r="M13" s="14">
        <v>0.34289828195680044</v>
      </c>
      <c r="N13" s="61">
        <v>2051023.8399999999</v>
      </c>
      <c r="O13" s="61">
        <v>20</v>
      </c>
      <c r="P13" s="14">
        <v>0.65710171804319939</v>
      </c>
      <c r="Q13" s="61">
        <v>3930411.3199999994</v>
      </c>
      <c r="R13" s="61">
        <v>33</v>
      </c>
      <c r="S13" s="14">
        <v>1</v>
      </c>
      <c r="T13" s="61">
        <v>5981435.1600000001</v>
      </c>
      <c r="V13" s="15" t="s">
        <v>357</v>
      </c>
      <c r="W13" s="61">
        <v>28</v>
      </c>
      <c r="X13" s="61">
        <v>5</v>
      </c>
      <c r="Y13" s="61">
        <v>33</v>
      </c>
      <c r="Z13"/>
      <c r="AA13" s="15" t="s">
        <v>357</v>
      </c>
      <c r="AB13" s="61">
        <v>639093.18999999994</v>
      </c>
      <c r="AE13" s="12" t="str">
        <f t="shared" si="0"/>
        <v>KARUNAKAR/WARANGAL , 9989734512</v>
      </c>
      <c r="AF13" s="12">
        <f t="shared" si="1"/>
        <v>33</v>
      </c>
      <c r="AG13" s="12">
        <f t="shared" si="2"/>
        <v>20</v>
      </c>
      <c r="AH13" s="12">
        <f t="shared" si="3"/>
        <v>13</v>
      </c>
      <c r="AI13" s="12">
        <f t="shared" si="4"/>
        <v>5981435.1600000001</v>
      </c>
      <c r="AJ13" s="20">
        <v>0.75</v>
      </c>
      <c r="AK13" s="12">
        <f t="shared" si="9"/>
        <v>4486076.37</v>
      </c>
      <c r="AL13" s="14">
        <f t="shared" si="5"/>
        <v>0.34289828195680044</v>
      </c>
      <c r="AM13" s="12">
        <f t="shared" si="6"/>
        <v>2051023.8399999999</v>
      </c>
      <c r="AN13" s="12">
        <f t="shared" si="7"/>
        <v>5</v>
      </c>
      <c r="AO13" s="12">
        <f t="shared" si="8"/>
        <v>639093.18999999994</v>
      </c>
      <c r="AR13" s="21" t="s">
        <v>353</v>
      </c>
      <c r="AS13" s="21">
        <v>2</v>
      </c>
      <c r="AT13" s="21">
        <v>1</v>
      </c>
      <c r="AU13" s="21">
        <v>1</v>
      </c>
      <c r="AV13" s="21">
        <v>164214.99</v>
      </c>
      <c r="AW13" s="30">
        <v>0.75</v>
      </c>
      <c r="AX13" s="21">
        <v>123161.24249999999</v>
      </c>
      <c r="AY13" s="24">
        <v>0.65601861316071086</v>
      </c>
      <c r="AZ13" s="21">
        <v>107728.09</v>
      </c>
      <c r="BA13" s="21">
        <v>1</v>
      </c>
      <c r="BB13" s="21">
        <v>11000</v>
      </c>
      <c r="BD13" s="16" t="s">
        <v>61</v>
      </c>
      <c r="BE13" s="17">
        <v>0.32569335538176675</v>
      </c>
      <c r="BF13" s="17">
        <v>0.17425346976857561</v>
      </c>
      <c r="BG13" s="17">
        <v>0.49994682515034256</v>
      </c>
      <c r="BH13" s="17">
        <v>0.5000531748496575</v>
      </c>
      <c r="BI13" s="17">
        <v>1</v>
      </c>
      <c r="BJ13"/>
      <c r="BK13" s="16" t="s">
        <v>61</v>
      </c>
      <c r="BL13" s="17">
        <v>1</v>
      </c>
      <c r="BM13" s="17">
        <v>0</v>
      </c>
      <c r="BN13" s="17">
        <v>1</v>
      </c>
      <c r="BO13" s="17">
        <v>0</v>
      </c>
      <c r="BP13" s="17">
        <v>1</v>
      </c>
      <c r="BQ13"/>
      <c r="BR13" s="15" t="s">
        <v>56</v>
      </c>
      <c r="BS13" s="61">
        <v>25</v>
      </c>
      <c r="BT13"/>
      <c r="BU13"/>
      <c r="BV13"/>
      <c r="BW13"/>
      <c r="BX13"/>
      <c r="BY13"/>
      <c r="BZ13" s="32" t="s">
        <v>724</v>
      </c>
      <c r="CA13" s="62">
        <v>9</v>
      </c>
      <c r="CB13" s="62">
        <v>2</v>
      </c>
      <c r="CC13" s="62">
        <v>8</v>
      </c>
      <c r="CD13" s="62">
        <v>10</v>
      </c>
      <c r="CE13" s="62">
        <v>19</v>
      </c>
      <c r="CF13"/>
      <c r="CG13"/>
      <c r="CH13"/>
      <c r="CI13"/>
      <c r="CJ13"/>
      <c r="CK13"/>
      <c r="CL13"/>
      <c r="CM13"/>
      <c r="CN13"/>
      <c r="CO13"/>
      <c r="CP13"/>
      <c r="CQ13"/>
      <c r="CR13"/>
      <c r="CS13"/>
      <c r="CT13"/>
    </row>
    <row r="14" spans="1:98" x14ac:dyDescent="0.25">
      <c r="A14" s="15">
        <v>5</v>
      </c>
      <c r="B14" s="61"/>
      <c r="C14" s="61"/>
      <c r="D14" s="61"/>
      <c r="E14" s="61"/>
      <c r="F14" s="61"/>
      <c r="G14"/>
      <c r="K14" s="15" t="s">
        <v>1407</v>
      </c>
      <c r="L14" s="61"/>
      <c r="M14" s="14">
        <v>0</v>
      </c>
      <c r="N14" s="61"/>
      <c r="O14" s="61">
        <v>3</v>
      </c>
      <c r="P14" s="14">
        <v>1</v>
      </c>
      <c r="Q14" s="61">
        <v>886560.46</v>
      </c>
      <c r="R14" s="61">
        <v>3</v>
      </c>
      <c r="S14" s="14">
        <v>1</v>
      </c>
      <c r="T14" s="61">
        <v>886560.46</v>
      </c>
      <c r="V14" s="15" t="s">
        <v>1407</v>
      </c>
      <c r="W14" s="61">
        <v>1</v>
      </c>
      <c r="X14" s="61">
        <v>2</v>
      </c>
      <c r="Y14" s="61">
        <v>3</v>
      </c>
      <c r="Z14"/>
      <c r="AA14" s="15" t="s">
        <v>1407</v>
      </c>
      <c r="AB14" s="61">
        <v>30000</v>
      </c>
      <c r="AE14" s="12" t="str">
        <f t="shared" si="0"/>
        <v>KISHORE/GTR , 8688104987</v>
      </c>
      <c r="AF14" s="12">
        <f t="shared" si="1"/>
        <v>3</v>
      </c>
      <c r="AG14" s="12">
        <f t="shared" si="2"/>
        <v>3</v>
      </c>
      <c r="AH14" s="12">
        <f t="shared" si="3"/>
        <v>0</v>
      </c>
      <c r="AI14" s="12">
        <f t="shared" si="4"/>
        <v>886560.46</v>
      </c>
      <c r="AJ14" s="20">
        <v>0.75</v>
      </c>
      <c r="AK14" s="12">
        <f t="shared" si="9"/>
        <v>664920.34499999997</v>
      </c>
      <c r="AL14" s="14">
        <f t="shared" si="5"/>
        <v>0</v>
      </c>
      <c r="AM14" s="12">
        <f t="shared" si="6"/>
        <v>0</v>
      </c>
      <c r="AN14" s="12">
        <f t="shared" si="7"/>
        <v>2</v>
      </c>
      <c r="AO14" s="12">
        <f t="shared" si="8"/>
        <v>30000</v>
      </c>
      <c r="AR14" s="21" t="s">
        <v>358</v>
      </c>
      <c r="AS14" s="21">
        <v>3</v>
      </c>
      <c r="AT14" s="21">
        <v>1</v>
      </c>
      <c r="AU14" s="21">
        <v>2</v>
      </c>
      <c r="AV14" s="21">
        <v>826556.78</v>
      </c>
      <c r="AW14" s="30">
        <v>0.75</v>
      </c>
      <c r="AX14" s="21">
        <v>619917.58499999996</v>
      </c>
      <c r="AY14" s="24">
        <v>0.65503243467436079</v>
      </c>
      <c r="AZ14" s="21">
        <v>541421.5</v>
      </c>
      <c r="BA14" s="21">
        <v>1</v>
      </c>
      <c r="BB14" s="21">
        <v>38500</v>
      </c>
      <c r="BD14" s="12" t="s">
        <v>66</v>
      </c>
      <c r="BE14" s="61">
        <v>12584600.210000001</v>
      </c>
      <c r="BF14" s="61">
        <v>6733051.8599999994</v>
      </c>
      <c r="BG14" s="61">
        <v>19317652.070000008</v>
      </c>
      <c r="BH14" s="61">
        <v>19321761.359999996</v>
      </c>
      <c r="BI14" s="61">
        <v>38639413.43</v>
      </c>
      <c r="BJ14"/>
      <c r="BK14" s="12" t="s">
        <v>66</v>
      </c>
      <c r="BL14" s="61">
        <v>995621.38000000012</v>
      </c>
      <c r="BM14" s="61"/>
      <c r="BN14" s="61">
        <v>995621.38000000012</v>
      </c>
      <c r="BO14" s="61"/>
      <c r="BP14" s="61">
        <v>995621.38000000012</v>
      </c>
      <c r="BQ14"/>
      <c r="BR14" s="15" t="s">
        <v>1956</v>
      </c>
      <c r="BS14" s="61">
        <v>23</v>
      </c>
      <c r="BT14"/>
      <c r="BU14"/>
      <c r="BV14"/>
      <c r="BW14"/>
      <c r="BX14"/>
      <c r="BY14"/>
      <c r="BZ14" s="32" t="s">
        <v>357</v>
      </c>
      <c r="CA14" s="62">
        <v>13</v>
      </c>
      <c r="CB14" s="62">
        <v>5</v>
      </c>
      <c r="CC14" s="62">
        <v>15</v>
      </c>
      <c r="CD14" s="62">
        <v>20</v>
      </c>
      <c r="CE14" s="62">
        <v>33</v>
      </c>
      <c r="CF14"/>
      <c r="CG14"/>
      <c r="CH14"/>
      <c r="CI14"/>
      <c r="CJ14"/>
      <c r="CK14"/>
      <c r="CL14"/>
      <c r="CM14"/>
      <c r="CN14"/>
      <c r="CO14"/>
      <c r="CP14"/>
      <c r="CQ14"/>
      <c r="CR14"/>
      <c r="CS14"/>
      <c r="CT14"/>
    </row>
    <row r="15" spans="1:98" x14ac:dyDescent="0.25">
      <c r="A15" s="12" t="s">
        <v>64</v>
      </c>
      <c r="B15" s="61">
        <v>16</v>
      </c>
      <c r="C15" s="61">
        <v>8</v>
      </c>
      <c r="D15" s="61">
        <v>24</v>
      </c>
      <c r="E15" s="61">
        <v>12</v>
      </c>
      <c r="F15" s="61">
        <v>36</v>
      </c>
      <c r="G15"/>
      <c r="K15" s="15" t="s">
        <v>355</v>
      </c>
      <c r="L15" s="61">
        <v>7</v>
      </c>
      <c r="M15" s="14">
        <v>0.26821615424016387</v>
      </c>
      <c r="N15" s="61">
        <v>722002.47999999986</v>
      </c>
      <c r="O15" s="61">
        <v>8</v>
      </c>
      <c r="P15" s="14">
        <v>0.73178384575983613</v>
      </c>
      <c r="Q15" s="61">
        <v>1969865.5099999998</v>
      </c>
      <c r="R15" s="61">
        <v>15</v>
      </c>
      <c r="S15" s="14">
        <v>1</v>
      </c>
      <c r="T15" s="61">
        <v>2691867.9899999998</v>
      </c>
      <c r="V15" s="15" t="s">
        <v>355</v>
      </c>
      <c r="W15" s="61">
        <v>13</v>
      </c>
      <c r="X15" s="61">
        <v>2</v>
      </c>
      <c r="Y15" s="61">
        <v>15</v>
      </c>
      <c r="Z15"/>
      <c r="AA15" s="15" t="s">
        <v>355</v>
      </c>
      <c r="AB15" s="61">
        <v>223165.62</v>
      </c>
      <c r="AE15" s="12" t="str">
        <f t="shared" si="0"/>
        <v>KOTI/MACHILIPATNAM , 8247838027</v>
      </c>
      <c r="AF15" s="12">
        <f t="shared" si="1"/>
        <v>15</v>
      </c>
      <c r="AG15" s="12">
        <f t="shared" si="2"/>
        <v>8</v>
      </c>
      <c r="AH15" s="12">
        <f t="shared" si="3"/>
        <v>7</v>
      </c>
      <c r="AI15" s="12">
        <f t="shared" si="4"/>
        <v>2691867.9899999998</v>
      </c>
      <c r="AJ15" s="20">
        <v>0.75</v>
      </c>
      <c r="AK15" s="12">
        <f t="shared" si="9"/>
        <v>2018900.9924999997</v>
      </c>
      <c r="AL15" s="14">
        <f t="shared" si="5"/>
        <v>0.26821615424016387</v>
      </c>
      <c r="AM15" s="12">
        <f t="shared" si="6"/>
        <v>722002.47999999986</v>
      </c>
      <c r="AN15" s="12">
        <f t="shared" si="7"/>
        <v>2</v>
      </c>
      <c r="AO15" s="12">
        <f t="shared" si="8"/>
        <v>223165.62</v>
      </c>
      <c r="AR15" s="21" t="s">
        <v>83</v>
      </c>
      <c r="AS15" s="21">
        <v>5</v>
      </c>
      <c r="AT15" s="21">
        <v>2</v>
      </c>
      <c r="AU15" s="21">
        <v>3</v>
      </c>
      <c r="AV15" s="21">
        <v>1097649.78</v>
      </c>
      <c r="AW15" s="30">
        <v>0.75</v>
      </c>
      <c r="AX15" s="21">
        <v>823237.33499999996</v>
      </c>
      <c r="AY15" s="24">
        <v>0.64618644573499573</v>
      </c>
      <c r="AZ15" s="21">
        <v>709286.41</v>
      </c>
      <c r="BA15" s="21">
        <v>1</v>
      </c>
      <c r="BB15" s="21">
        <v>53680</v>
      </c>
      <c r="BD15" s="12" t="s">
        <v>68</v>
      </c>
      <c r="BE15" s="61">
        <v>6307300.9500000002</v>
      </c>
      <c r="BF15" s="61">
        <v>620359.59</v>
      </c>
      <c r="BG15" s="61">
        <v>6927660.54</v>
      </c>
      <c r="BH15" s="61">
        <v>15879</v>
      </c>
      <c r="BI15" s="61">
        <v>6943539.54</v>
      </c>
      <c r="BJ15"/>
      <c r="BK15" s="12" t="s">
        <v>68</v>
      </c>
      <c r="BL15" s="61">
        <v>995621.37000000011</v>
      </c>
      <c r="BM15" s="61"/>
      <c r="BN15" s="61">
        <v>995621.37000000011</v>
      </c>
      <c r="BO15" s="61"/>
      <c r="BP15" s="61">
        <v>995621.37000000011</v>
      </c>
      <c r="BQ15"/>
      <c r="BR15" s="15" t="s">
        <v>4271</v>
      </c>
      <c r="BS15" s="61">
        <v>1</v>
      </c>
      <c r="BT15"/>
      <c r="BU15"/>
      <c r="BV15"/>
      <c r="BW15"/>
      <c r="BX15"/>
      <c r="BY15"/>
      <c r="BZ15" s="32" t="s">
        <v>1407</v>
      </c>
      <c r="CA15" s="62"/>
      <c r="CB15" s="62">
        <v>2</v>
      </c>
      <c r="CC15" s="62">
        <v>1</v>
      </c>
      <c r="CD15" s="62">
        <v>3</v>
      </c>
      <c r="CE15" s="62">
        <v>3</v>
      </c>
      <c r="CF15"/>
      <c r="CG15"/>
      <c r="CH15"/>
      <c r="CI15"/>
      <c r="CJ15"/>
      <c r="CK15"/>
      <c r="CL15"/>
      <c r="CM15"/>
      <c r="CN15"/>
      <c r="CO15"/>
      <c r="CP15"/>
      <c r="CQ15"/>
      <c r="CR15"/>
      <c r="CS15"/>
      <c r="CT15"/>
    </row>
    <row r="16" spans="1:98" x14ac:dyDescent="0.25">
      <c r="A16" s="33" t="s">
        <v>61</v>
      </c>
      <c r="B16" s="34">
        <v>0.47964492180637336</v>
      </c>
      <c r="C16" s="34">
        <v>0.12995841800052169</v>
      </c>
      <c r="D16" s="34">
        <v>0.60960333980689507</v>
      </c>
      <c r="E16" s="34">
        <v>0.39039666019310482</v>
      </c>
      <c r="F16" s="34">
        <v>1</v>
      </c>
      <c r="G16"/>
      <c r="K16" s="15" t="s">
        <v>56</v>
      </c>
      <c r="L16" s="61">
        <v>12</v>
      </c>
      <c r="M16" s="14">
        <v>0.47408742105027285</v>
      </c>
      <c r="N16" s="61">
        <v>2555476.6399999997</v>
      </c>
      <c r="O16" s="61">
        <v>13</v>
      </c>
      <c r="P16" s="14">
        <v>0.52591257894972732</v>
      </c>
      <c r="Q16" s="61">
        <v>2834830.1399999997</v>
      </c>
      <c r="R16" s="61">
        <v>25</v>
      </c>
      <c r="S16" s="14">
        <v>1</v>
      </c>
      <c r="T16" s="61">
        <v>5390306.7799999984</v>
      </c>
      <c r="V16" s="15" t="s">
        <v>56</v>
      </c>
      <c r="W16" s="61">
        <v>18</v>
      </c>
      <c r="X16" s="61">
        <v>7</v>
      </c>
      <c r="Y16" s="61">
        <v>25</v>
      </c>
      <c r="Z16"/>
      <c r="AA16" s="15" t="s">
        <v>56</v>
      </c>
      <c r="AB16" s="61">
        <v>491847.19</v>
      </c>
      <c r="AE16" s="12" t="str">
        <f t="shared" si="0"/>
        <v>KRISHNA/EAST , 8985743534</v>
      </c>
      <c r="AF16" s="12">
        <f t="shared" si="1"/>
        <v>25</v>
      </c>
      <c r="AG16" s="12">
        <f t="shared" si="2"/>
        <v>13</v>
      </c>
      <c r="AH16" s="12">
        <f t="shared" si="3"/>
        <v>12</v>
      </c>
      <c r="AI16" s="12">
        <f t="shared" si="4"/>
        <v>5390306.7799999984</v>
      </c>
      <c r="AJ16" s="20">
        <v>0.75</v>
      </c>
      <c r="AK16" s="12">
        <f t="shared" si="9"/>
        <v>4042730.084999999</v>
      </c>
      <c r="AL16" s="14">
        <f t="shared" si="5"/>
        <v>0.47408742105027285</v>
      </c>
      <c r="AM16" s="12">
        <f t="shared" si="6"/>
        <v>2555476.6399999997</v>
      </c>
      <c r="AN16" s="12">
        <f t="shared" si="7"/>
        <v>7</v>
      </c>
      <c r="AO16" s="12">
        <f t="shared" si="8"/>
        <v>491847.19</v>
      </c>
      <c r="AR16" s="21" t="s">
        <v>1956</v>
      </c>
      <c r="AS16" s="21">
        <v>2</v>
      </c>
      <c r="AT16" s="21">
        <v>1</v>
      </c>
      <c r="AU16" s="21">
        <v>1</v>
      </c>
      <c r="AV16" s="21">
        <v>400055.28</v>
      </c>
      <c r="AW16" s="30">
        <v>0.75</v>
      </c>
      <c r="AX16" s="21">
        <v>300041.46000000002</v>
      </c>
      <c r="AY16" s="24">
        <v>0.61438231736374027</v>
      </c>
      <c r="AZ16" s="21">
        <v>245786.89</v>
      </c>
      <c r="BA16" s="21">
        <v>1</v>
      </c>
      <c r="BB16" s="21">
        <v>62000</v>
      </c>
      <c r="BD16" s="15" t="s">
        <v>148</v>
      </c>
      <c r="BE16" s="61"/>
      <c r="BF16" s="61"/>
      <c r="BG16" s="61"/>
      <c r="BH16" s="61"/>
      <c r="BI16" s="61"/>
      <c r="BJ16"/>
      <c r="BK16" s="15" t="s">
        <v>733</v>
      </c>
      <c r="BL16" s="61"/>
      <c r="BM16" s="61"/>
      <c r="BN16" s="61"/>
      <c r="BO16" s="61"/>
      <c r="BP16" s="61"/>
      <c r="BQ16"/>
      <c r="BR16" s="15" t="s">
        <v>3588</v>
      </c>
      <c r="BS16" s="61">
        <v>5</v>
      </c>
      <c r="BT16"/>
      <c r="BU16"/>
      <c r="BV16"/>
      <c r="BW16"/>
      <c r="BX16"/>
      <c r="BY16"/>
      <c r="BZ16" s="32" t="s">
        <v>355</v>
      </c>
      <c r="CA16" s="62">
        <v>7</v>
      </c>
      <c r="CB16" s="62">
        <v>2</v>
      </c>
      <c r="CC16" s="62">
        <v>6</v>
      </c>
      <c r="CD16" s="62">
        <v>8</v>
      </c>
      <c r="CE16" s="62">
        <v>15</v>
      </c>
      <c r="CF16"/>
      <c r="CG16"/>
      <c r="CH16"/>
      <c r="CI16"/>
      <c r="CJ16"/>
      <c r="CK16"/>
      <c r="CL16"/>
      <c r="CM16"/>
      <c r="CN16"/>
      <c r="CO16"/>
      <c r="CP16"/>
      <c r="CQ16"/>
      <c r="CR16"/>
      <c r="CS16"/>
      <c r="CT16"/>
    </row>
    <row r="17" spans="1:98" x14ac:dyDescent="0.25">
      <c r="A17" s="12" t="s">
        <v>66</v>
      </c>
      <c r="B17" s="61">
        <v>3548382.77</v>
      </c>
      <c r="C17" s="61">
        <v>961424.15</v>
      </c>
      <c r="D17" s="37">
        <v>4509806.92</v>
      </c>
      <c r="E17" s="37">
        <v>2888129.7799999993</v>
      </c>
      <c r="F17" s="37">
        <v>7397936.7000000002</v>
      </c>
      <c r="G17"/>
      <c r="K17" s="15" t="s">
        <v>1956</v>
      </c>
      <c r="L17" s="61">
        <v>11</v>
      </c>
      <c r="M17" s="14">
        <v>0.39988583409817097</v>
      </c>
      <c r="N17" s="61">
        <v>1765326.23</v>
      </c>
      <c r="O17" s="61">
        <v>12</v>
      </c>
      <c r="P17" s="14">
        <v>0.6001141659018292</v>
      </c>
      <c r="Q17" s="61">
        <v>2649249.33</v>
      </c>
      <c r="R17" s="61">
        <v>23</v>
      </c>
      <c r="S17" s="14">
        <v>1</v>
      </c>
      <c r="T17" s="61">
        <v>4414575.5599999996</v>
      </c>
      <c r="V17" s="15" t="s">
        <v>1956</v>
      </c>
      <c r="W17" s="61">
        <v>16</v>
      </c>
      <c r="X17" s="61">
        <v>7</v>
      </c>
      <c r="Y17" s="61">
        <v>23</v>
      </c>
      <c r="Z17"/>
      <c r="AA17" s="15" t="s">
        <v>1956</v>
      </c>
      <c r="AB17" s="61">
        <v>505568.18</v>
      </c>
      <c r="AE17" s="12" t="str">
        <f t="shared" si="0"/>
        <v>KUMAR/ELLURU , 8639680560</v>
      </c>
      <c r="AF17" s="12">
        <f t="shared" si="1"/>
        <v>23</v>
      </c>
      <c r="AG17" s="12">
        <f t="shared" si="2"/>
        <v>12</v>
      </c>
      <c r="AH17" s="12">
        <f t="shared" si="3"/>
        <v>11</v>
      </c>
      <c r="AI17" s="12">
        <f t="shared" si="4"/>
        <v>4414575.5599999996</v>
      </c>
      <c r="AJ17" s="20">
        <v>0.75</v>
      </c>
      <c r="AK17" s="12">
        <f t="shared" si="9"/>
        <v>3310931.67</v>
      </c>
      <c r="AL17" s="14">
        <f t="shared" si="5"/>
        <v>0.39988583409817097</v>
      </c>
      <c r="AM17" s="12">
        <f t="shared" si="6"/>
        <v>1765326.23</v>
      </c>
      <c r="AN17" s="12">
        <f t="shared" si="7"/>
        <v>7</v>
      </c>
      <c r="AO17" s="12">
        <f t="shared" si="8"/>
        <v>505568.18</v>
      </c>
      <c r="AR17" s="21" t="s">
        <v>87</v>
      </c>
      <c r="AS17" s="21">
        <v>3</v>
      </c>
      <c r="AT17" s="21">
        <v>2</v>
      </c>
      <c r="AU17" s="21">
        <v>1</v>
      </c>
      <c r="AV17" s="21">
        <v>1070082.3</v>
      </c>
      <c r="AW17" s="30">
        <v>0.75</v>
      </c>
      <c r="AX17" s="21">
        <v>802561.72500000009</v>
      </c>
      <c r="AY17" s="24">
        <v>0.46470112625916715</v>
      </c>
      <c r="AZ17" s="21">
        <v>497268.45</v>
      </c>
      <c r="BA17" s="21">
        <v>0</v>
      </c>
      <c r="BB17" s="21">
        <v>497268.45</v>
      </c>
      <c r="BD17" s="12" t="s">
        <v>64</v>
      </c>
      <c r="BE17" s="61">
        <v>2</v>
      </c>
      <c r="BF17" s="61"/>
      <c r="BG17" s="61">
        <v>2</v>
      </c>
      <c r="BH17" s="61">
        <v>6</v>
      </c>
      <c r="BI17" s="61">
        <v>8</v>
      </c>
      <c r="BJ17"/>
      <c r="BK17" s="12" t="s">
        <v>64</v>
      </c>
      <c r="BL17" s="61">
        <v>18</v>
      </c>
      <c r="BM17" s="61">
        <v>14</v>
      </c>
      <c r="BN17" s="61">
        <v>32</v>
      </c>
      <c r="BO17" s="61">
        <v>61</v>
      </c>
      <c r="BP17" s="61">
        <v>93</v>
      </c>
      <c r="BQ17"/>
      <c r="BR17" s="15" t="s">
        <v>58</v>
      </c>
      <c r="BS17" s="61">
        <v>38</v>
      </c>
      <c r="BT17"/>
      <c r="BU17"/>
      <c r="BV17"/>
      <c r="BW17"/>
      <c r="BX17"/>
      <c r="BY17"/>
      <c r="BZ17" s="32" t="s">
        <v>56</v>
      </c>
      <c r="CA17" s="62">
        <v>12</v>
      </c>
      <c r="CB17" s="62">
        <v>7</v>
      </c>
      <c r="CC17" s="62">
        <v>6</v>
      </c>
      <c r="CD17" s="62">
        <v>13</v>
      </c>
      <c r="CE17" s="62">
        <v>25</v>
      </c>
      <c r="CF17"/>
      <c r="CG17"/>
      <c r="CH17"/>
      <c r="CI17"/>
      <c r="CJ17"/>
      <c r="CK17"/>
      <c r="CL17"/>
      <c r="CM17"/>
      <c r="CN17"/>
      <c r="CO17"/>
      <c r="CP17"/>
      <c r="CQ17"/>
      <c r="CR17"/>
      <c r="CS17"/>
      <c r="CT17"/>
    </row>
    <row r="18" spans="1:98" x14ac:dyDescent="0.25">
      <c r="A18" s="12" t="s">
        <v>68</v>
      </c>
      <c r="B18" s="61">
        <v>2490916.14</v>
      </c>
      <c r="C18" s="61">
        <v>87250</v>
      </c>
      <c r="D18" s="61">
        <v>2578166.14</v>
      </c>
      <c r="E18" s="61">
        <v>0</v>
      </c>
      <c r="F18" s="61">
        <v>2578166.14</v>
      </c>
      <c r="G18"/>
      <c r="K18" s="15" t="s">
        <v>4271</v>
      </c>
      <c r="L18" s="61">
        <v>1</v>
      </c>
      <c r="M18" s="14">
        <v>1</v>
      </c>
      <c r="N18" s="61">
        <v>113414.51</v>
      </c>
      <c r="O18" s="61"/>
      <c r="P18" s="14">
        <v>0</v>
      </c>
      <c r="Q18" s="61"/>
      <c r="R18" s="61">
        <v>1</v>
      </c>
      <c r="S18" s="14">
        <v>1</v>
      </c>
      <c r="T18" s="61">
        <v>113414.51</v>
      </c>
      <c r="V18" s="15" t="s">
        <v>4271</v>
      </c>
      <c r="W18" s="61"/>
      <c r="X18" s="61">
        <v>1</v>
      </c>
      <c r="Y18" s="61">
        <v>1</v>
      </c>
      <c r="Z18"/>
      <c r="AA18" s="15" t="s">
        <v>4271</v>
      </c>
      <c r="AB18" s="61">
        <v>20290</v>
      </c>
      <c r="AE18" s="12" t="str">
        <f t="shared" si="0"/>
        <v>LAXMAN/SKLM , 9966690320</v>
      </c>
      <c r="AF18" s="12">
        <f t="shared" si="1"/>
        <v>1</v>
      </c>
      <c r="AG18" s="12">
        <f t="shared" si="2"/>
        <v>0</v>
      </c>
      <c r="AH18" s="12">
        <f t="shared" si="3"/>
        <v>1</v>
      </c>
      <c r="AI18" s="12">
        <f t="shared" si="4"/>
        <v>113414.51</v>
      </c>
      <c r="AJ18" s="20">
        <v>0.75</v>
      </c>
      <c r="AK18" s="12">
        <f t="shared" si="9"/>
        <v>85060.882499999992</v>
      </c>
      <c r="AL18" s="14">
        <f t="shared" si="5"/>
        <v>1</v>
      </c>
      <c r="AM18" s="12">
        <f t="shared" si="6"/>
        <v>113414.51</v>
      </c>
      <c r="AN18" s="12">
        <f t="shared" si="7"/>
        <v>1</v>
      </c>
      <c r="AO18" s="12">
        <f t="shared" si="8"/>
        <v>20290</v>
      </c>
      <c r="AR18" s="21" t="s">
        <v>4528</v>
      </c>
      <c r="AS18" s="21">
        <v>3</v>
      </c>
      <c r="AT18" s="21">
        <v>2</v>
      </c>
      <c r="AU18" s="21">
        <v>1</v>
      </c>
      <c r="AV18" s="21">
        <v>506493.35</v>
      </c>
      <c r="AW18" s="30">
        <v>0.75</v>
      </c>
      <c r="AX18" s="21">
        <v>379870.01249999995</v>
      </c>
      <c r="AY18" s="24">
        <v>0.41362189651650905</v>
      </c>
      <c r="AZ18" s="21">
        <v>209496.74</v>
      </c>
      <c r="BA18" s="21">
        <v>2</v>
      </c>
      <c r="BB18" s="21">
        <v>18000</v>
      </c>
      <c r="BD18" s="16" t="s">
        <v>61</v>
      </c>
      <c r="BE18" s="17">
        <v>0.39528856567378234</v>
      </c>
      <c r="BF18" s="17">
        <v>0</v>
      </c>
      <c r="BG18" s="17">
        <v>0.39528856567378234</v>
      </c>
      <c r="BH18" s="17">
        <v>0.60471143432621755</v>
      </c>
      <c r="BI18" s="17">
        <v>1</v>
      </c>
      <c r="BJ18"/>
      <c r="BK18" s="16" t="s">
        <v>61</v>
      </c>
      <c r="BL18" s="17">
        <v>0.16447643577663032</v>
      </c>
      <c r="BM18" s="17">
        <v>0.13215894058778371</v>
      </c>
      <c r="BN18" s="17">
        <v>0.29663537636441406</v>
      </c>
      <c r="BO18" s="17">
        <v>0.70336462363558594</v>
      </c>
      <c r="BP18" s="17">
        <v>1</v>
      </c>
      <c r="BQ18"/>
      <c r="BR18" s="15" t="s">
        <v>92</v>
      </c>
      <c r="BS18" s="61">
        <v>20</v>
      </c>
      <c r="BT18"/>
      <c r="BU18"/>
      <c r="BV18"/>
      <c r="BW18"/>
      <c r="BX18"/>
      <c r="BY18"/>
      <c r="BZ18" s="32" t="s">
        <v>1956</v>
      </c>
      <c r="CA18" s="62">
        <v>11</v>
      </c>
      <c r="CB18" s="62">
        <v>7</v>
      </c>
      <c r="CC18" s="62">
        <v>5</v>
      </c>
      <c r="CD18" s="62">
        <v>12</v>
      </c>
      <c r="CE18" s="62">
        <v>23</v>
      </c>
      <c r="CF18"/>
      <c r="CG18"/>
      <c r="CH18"/>
      <c r="CI18"/>
      <c r="CJ18"/>
      <c r="CK18"/>
      <c r="CL18"/>
      <c r="CM18"/>
      <c r="CN18"/>
      <c r="CO18"/>
      <c r="CP18"/>
      <c r="CQ18"/>
      <c r="CR18"/>
      <c r="CS18"/>
      <c r="CT18"/>
    </row>
    <row r="19" spans="1:98" x14ac:dyDescent="0.25">
      <c r="A19" s="15">
        <v>7</v>
      </c>
      <c r="B19" s="61"/>
      <c r="C19" s="61"/>
      <c r="D19" s="61"/>
      <c r="E19" s="61"/>
      <c r="F19" s="61"/>
      <c r="G19"/>
      <c r="K19" s="15" t="s">
        <v>3588</v>
      </c>
      <c r="L19" s="61">
        <v>1</v>
      </c>
      <c r="M19" s="14">
        <v>0.10104115528959472</v>
      </c>
      <c r="N19" s="61">
        <v>77418.880000000005</v>
      </c>
      <c r="O19" s="61">
        <v>4</v>
      </c>
      <c r="P19" s="14">
        <v>0.89895884471040532</v>
      </c>
      <c r="Q19" s="61">
        <v>688792.47</v>
      </c>
      <c r="R19" s="61">
        <v>5</v>
      </c>
      <c r="S19" s="14">
        <v>1</v>
      </c>
      <c r="T19" s="61">
        <v>766211.35</v>
      </c>
      <c r="V19" s="15" t="s">
        <v>3588</v>
      </c>
      <c r="W19" s="61">
        <v>1</v>
      </c>
      <c r="X19" s="61">
        <v>4</v>
      </c>
      <c r="Y19" s="61">
        <v>5</v>
      </c>
      <c r="Z19"/>
      <c r="AA19" s="15" t="s">
        <v>3588</v>
      </c>
      <c r="AB19" s="61">
        <v>7500</v>
      </c>
      <c r="AE19" s="12" t="str">
        <f t="shared" si="0"/>
        <v>LEELAPRASAD/RJY , 6281320071</v>
      </c>
      <c r="AF19" s="12">
        <f t="shared" si="1"/>
        <v>5</v>
      </c>
      <c r="AG19" s="12">
        <f t="shared" si="2"/>
        <v>4</v>
      </c>
      <c r="AH19" s="12">
        <f t="shared" si="3"/>
        <v>1</v>
      </c>
      <c r="AI19" s="12">
        <f t="shared" si="4"/>
        <v>766211.35</v>
      </c>
      <c r="AJ19" s="20">
        <v>0.75</v>
      </c>
      <c r="AK19" s="12">
        <f t="shared" si="9"/>
        <v>574658.51249999995</v>
      </c>
      <c r="AL19" s="14">
        <f t="shared" si="5"/>
        <v>0.10104115528959472</v>
      </c>
      <c r="AM19" s="12">
        <f t="shared" si="6"/>
        <v>77418.880000000005</v>
      </c>
      <c r="AN19" s="12">
        <f t="shared" si="7"/>
        <v>4</v>
      </c>
      <c r="AO19" s="12">
        <f t="shared" si="8"/>
        <v>7500</v>
      </c>
      <c r="AR19" s="21" t="s">
        <v>722</v>
      </c>
      <c r="AS19" s="21">
        <v>4</v>
      </c>
      <c r="AT19" s="21">
        <v>2</v>
      </c>
      <c r="AU19" s="21">
        <v>2</v>
      </c>
      <c r="AV19" s="21">
        <v>690481.2</v>
      </c>
      <c r="AW19" s="30">
        <v>0.75</v>
      </c>
      <c r="AX19" s="21">
        <v>517860.89999999997</v>
      </c>
      <c r="AY19" s="24">
        <v>0.41361990739212023</v>
      </c>
      <c r="AZ19" s="21">
        <v>285596.77</v>
      </c>
      <c r="BA19" s="21">
        <v>1</v>
      </c>
      <c r="BB19" s="21">
        <v>51692.119999999995</v>
      </c>
      <c r="BD19" s="12" t="s">
        <v>66</v>
      </c>
      <c r="BE19" s="61">
        <v>549618.92999999993</v>
      </c>
      <c r="BF19" s="61"/>
      <c r="BG19" s="61">
        <v>549618.92999999993</v>
      </c>
      <c r="BH19" s="61">
        <v>840805.63</v>
      </c>
      <c r="BI19" s="61">
        <v>1390424.56</v>
      </c>
      <c r="BJ19"/>
      <c r="BK19" s="12" t="s">
        <v>66</v>
      </c>
      <c r="BL19" s="61">
        <v>3483850.07</v>
      </c>
      <c r="BM19" s="61">
        <v>2799318.53</v>
      </c>
      <c r="BN19" s="61">
        <v>6283168.5999999996</v>
      </c>
      <c r="BO19" s="61">
        <v>14898285.470000001</v>
      </c>
      <c r="BP19" s="61">
        <v>21181454.07</v>
      </c>
      <c r="BQ19"/>
      <c r="BR19" s="15" t="s">
        <v>1398</v>
      </c>
      <c r="BS19" s="61">
        <v>50</v>
      </c>
      <c r="BT19"/>
      <c r="BU19"/>
      <c r="BV19"/>
      <c r="BW19"/>
      <c r="BX19"/>
      <c r="BY19"/>
      <c r="BZ19" s="32" t="s">
        <v>4271</v>
      </c>
      <c r="CA19" s="62">
        <v>1</v>
      </c>
      <c r="CB19" s="62"/>
      <c r="CC19" s="62"/>
      <c r="CD19" s="62"/>
      <c r="CE19" s="62">
        <v>1</v>
      </c>
      <c r="CF19"/>
      <c r="CG19"/>
      <c r="CH19"/>
      <c r="CI19"/>
      <c r="CJ19"/>
      <c r="CK19"/>
      <c r="CL19"/>
      <c r="CM19"/>
      <c r="CN19"/>
      <c r="CO19"/>
      <c r="CP19"/>
      <c r="CQ19"/>
      <c r="CR19"/>
      <c r="CS19"/>
      <c r="CT19"/>
    </row>
    <row r="20" spans="1:98" x14ac:dyDescent="0.25">
      <c r="A20" s="12" t="s">
        <v>64</v>
      </c>
      <c r="B20" s="61">
        <v>1</v>
      </c>
      <c r="C20" s="61"/>
      <c r="D20" s="61">
        <v>1</v>
      </c>
      <c r="E20" s="61"/>
      <c r="F20" s="61">
        <v>1</v>
      </c>
      <c r="G20"/>
      <c r="K20" s="15" t="s">
        <v>58</v>
      </c>
      <c r="L20" s="61">
        <v>19</v>
      </c>
      <c r="M20" s="14">
        <v>0.4231971642893208</v>
      </c>
      <c r="N20" s="61">
        <v>2599712.9099999992</v>
      </c>
      <c r="O20" s="61">
        <v>19</v>
      </c>
      <c r="P20" s="14">
        <v>0.57680283571067914</v>
      </c>
      <c r="Q20" s="61">
        <v>3543317.17</v>
      </c>
      <c r="R20" s="61">
        <v>38</v>
      </c>
      <c r="S20" s="14">
        <v>1</v>
      </c>
      <c r="T20" s="61">
        <v>6143030.0799999991</v>
      </c>
      <c r="V20" s="15" t="s">
        <v>58</v>
      </c>
      <c r="W20" s="61">
        <v>34</v>
      </c>
      <c r="X20" s="61">
        <v>4</v>
      </c>
      <c r="Y20" s="61">
        <v>38</v>
      </c>
      <c r="Z20"/>
      <c r="AA20" s="15" t="s">
        <v>58</v>
      </c>
      <c r="AB20" s="61">
        <v>729908.03999999992</v>
      </c>
      <c r="AE20" s="12" t="str">
        <f t="shared" si="0"/>
        <v>LIKITH/KHAMMAM , 7981063429</v>
      </c>
      <c r="AF20" s="12">
        <f t="shared" si="1"/>
        <v>38</v>
      </c>
      <c r="AG20" s="12">
        <f t="shared" si="2"/>
        <v>19</v>
      </c>
      <c r="AH20" s="12">
        <f t="shared" si="3"/>
        <v>19</v>
      </c>
      <c r="AI20" s="12">
        <f t="shared" si="4"/>
        <v>6143030.0799999991</v>
      </c>
      <c r="AJ20" s="20">
        <v>0.75</v>
      </c>
      <c r="AK20" s="12">
        <f t="shared" si="9"/>
        <v>4607272.5599999996</v>
      </c>
      <c r="AL20" s="14">
        <f t="shared" si="5"/>
        <v>0.4231971642893208</v>
      </c>
      <c r="AM20" s="12">
        <f t="shared" si="6"/>
        <v>2599712.9099999992</v>
      </c>
      <c r="AN20" s="12">
        <f t="shared" si="7"/>
        <v>4</v>
      </c>
      <c r="AO20" s="12">
        <f t="shared" si="8"/>
        <v>729908.03999999992</v>
      </c>
      <c r="AR20" s="21" t="s">
        <v>89</v>
      </c>
      <c r="AS20" s="21">
        <v>6</v>
      </c>
      <c r="AT20" s="21">
        <v>4</v>
      </c>
      <c r="AU20" s="21">
        <v>2</v>
      </c>
      <c r="AV20" s="21">
        <v>886958.6399999999</v>
      </c>
      <c r="AW20" s="30">
        <v>0.75</v>
      </c>
      <c r="AX20" s="21">
        <v>665218.98</v>
      </c>
      <c r="AY20" s="24">
        <v>0.39896725060370353</v>
      </c>
      <c r="AZ20" s="21">
        <v>353867.45</v>
      </c>
      <c r="BA20" s="21">
        <v>1</v>
      </c>
      <c r="BB20" s="21">
        <v>28100</v>
      </c>
      <c r="BD20" s="12" t="s">
        <v>68</v>
      </c>
      <c r="BE20" s="61">
        <v>507524</v>
      </c>
      <c r="BF20" s="61"/>
      <c r="BG20" s="61">
        <v>507524</v>
      </c>
      <c r="BH20" s="61">
        <v>0</v>
      </c>
      <c r="BI20" s="61">
        <v>507524</v>
      </c>
      <c r="BJ20"/>
      <c r="BK20" s="12" t="s">
        <v>68</v>
      </c>
      <c r="BL20" s="61">
        <v>1604985.23</v>
      </c>
      <c r="BM20" s="61">
        <v>224124</v>
      </c>
      <c r="BN20" s="61">
        <v>1829109.23</v>
      </c>
      <c r="BO20" s="61">
        <v>23330</v>
      </c>
      <c r="BP20" s="61">
        <v>1852439.23</v>
      </c>
      <c r="BQ20"/>
      <c r="BR20" s="15" t="s">
        <v>93</v>
      </c>
      <c r="BS20" s="61">
        <v>30</v>
      </c>
      <c r="BT20"/>
      <c r="BU20"/>
      <c r="BV20"/>
      <c r="BW20"/>
      <c r="BX20"/>
      <c r="BY20"/>
      <c r="BZ20" s="32" t="s">
        <v>3588</v>
      </c>
      <c r="CA20" s="62">
        <v>1</v>
      </c>
      <c r="CB20" s="62">
        <v>4</v>
      </c>
      <c r="CC20" s="62"/>
      <c r="CD20" s="62">
        <v>4</v>
      </c>
      <c r="CE20" s="62">
        <v>5</v>
      </c>
      <c r="CF20"/>
      <c r="CG20"/>
      <c r="CH20"/>
      <c r="CI20"/>
      <c r="CJ20"/>
      <c r="CK20"/>
      <c r="CL20"/>
      <c r="CM20"/>
      <c r="CN20"/>
      <c r="CO20"/>
      <c r="CP20"/>
      <c r="CQ20"/>
      <c r="CR20"/>
      <c r="CS20"/>
      <c r="CT20"/>
    </row>
    <row r="21" spans="1:98" x14ac:dyDescent="0.25">
      <c r="A21" s="33" t="s">
        <v>61</v>
      </c>
      <c r="B21" s="34">
        <v>1</v>
      </c>
      <c r="C21" s="34">
        <v>0</v>
      </c>
      <c r="D21" s="34">
        <v>1</v>
      </c>
      <c r="E21" s="34">
        <v>0</v>
      </c>
      <c r="F21" s="34">
        <v>1</v>
      </c>
      <c r="G21"/>
      <c r="K21" s="15" t="s">
        <v>92</v>
      </c>
      <c r="L21" s="61">
        <v>9</v>
      </c>
      <c r="M21" s="14">
        <v>0.58305047138948207</v>
      </c>
      <c r="N21" s="61">
        <v>3004541.33</v>
      </c>
      <c r="O21" s="61">
        <v>11</v>
      </c>
      <c r="P21" s="14">
        <v>0.41694952861051787</v>
      </c>
      <c r="Q21" s="61">
        <v>2148599.7399999998</v>
      </c>
      <c r="R21" s="61">
        <v>20</v>
      </c>
      <c r="S21" s="14">
        <v>1</v>
      </c>
      <c r="T21" s="61">
        <v>5153141.07</v>
      </c>
      <c r="V21" s="15" t="s">
        <v>92</v>
      </c>
      <c r="W21" s="61">
        <v>18</v>
      </c>
      <c r="X21" s="61">
        <v>2</v>
      </c>
      <c r="Y21" s="61">
        <v>20</v>
      </c>
      <c r="Z21"/>
      <c r="AA21" s="15" t="s">
        <v>92</v>
      </c>
      <c r="AB21" s="61">
        <v>1586019.04</v>
      </c>
      <c r="AE21" s="12" t="str">
        <f t="shared" si="0"/>
        <v>MADHU/NANDYAL , 9550812050</v>
      </c>
      <c r="AF21" s="12">
        <f t="shared" si="1"/>
        <v>20</v>
      </c>
      <c r="AG21" s="12">
        <f t="shared" si="2"/>
        <v>11</v>
      </c>
      <c r="AH21" s="12">
        <f t="shared" si="3"/>
        <v>9</v>
      </c>
      <c r="AI21" s="12">
        <f t="shared" si="4"/>
        <v>5153141.07</v>
      </c>
      <c r="AJ21" s="20">
        <v>0.75</v>
      </c>
      <c r="AK21" s="12">
        <f t="shared" si="9"/>
        <v>3864855.8025000002</v>
      </c>
      <c r="AL21" s="14">
        <f t="shared" si="5"/>
        <v>0.58305047138948207</v>
      </c>
      <c r="AM21" s="12">
        <f t="shared" si="6"/>
        <v>3004541.33</v>
      </c>
      <c r="AN21" s="12">
        <f t="shared" si="7"/>
        <v>2</v>
      </c>
      <c r="AO21" s="12">
        <f t="shared" si="8"/>
        <v>1586019.04</v>
      </c>
      <c r="AR21" s="21" t="s">
        <v>55</v>
      </c>
      <c r="AS21" s="21">
        <v>8</v>
      </c>
      <c r="AT21" s="21">
        <v>6</v>
      </c>
      <c r="AU21" s="21">
        <v>2</v>
      </c>
      <c r="AV21" s="21">
        <v>856677.60000000009</v>
      </c>
      <c r="AW21" s="30">
        <v>0.75</v>
      </c>
      <c r="AX21" s="21">
        <v>642508.20000000007</v>
      </c>
      <c r="AY21" s="24">
        <v>0.36567716956764129</v>
      </c>
      <c r="AZ21" s="21">
        <v>313267.44</v>
      </c>
      <c r="BA21" s="21">
        <v>4</v>
      </c>
      <c r="BB21" s="21">
        <v>58390</v>
      </c>
      <c r="BD21" s="15" t="s">
        <v>1362</v>
      </c>
      <c r="BE21" s="61"/>
      <c r="BF21" s="61"/>
      <c r="BG21" s="61"/>
      <c r="BH21" s="61"/>
      <c r="BI21" s="61"/>
      <c r="BJ21"/>
      <c r="BK21" s="15" t="s">
        <v>735</v>
      </c>
      <c r="BL21" s="61"/>
      <c r="BM21" s="61"/>
      <c r="BN21" s="61"/>
      <c r="BO21" s="61"/>
      <c r="BP21" s="61"/>
      <c r="BQ21"/>
      <c r="BR21" s="15" t="s">
        <v>1399</v>
      </c>
      <c r="BS21" s="61">
        <v>1</v>
      </c>
      <c r="BT21"/>
      <c r="BU21"/>
      <c r="BV21"/>
      <c r="BW21"/>
      <c r="BX21"/>
      <c r="BY21"/>
      <c r="BZ21" s="32" t="s">
        <v>58</v>
      </c>
      <c r="CA21" s="62">
        <v>19</v>
      </c>
      <c r="CB21" s="62">
        <v>4</v>
      </c>
      <c r="CC21" s="62">
        <v>15</v>
      </c>
      <c r="CD21" s="62">
        <v>19</v>
      </c>
      <c r="CE21" s="62">
        <v>38</v>
      </c>
      <c r="CF21"/>
      <c r="CG21"/>
      <c r="CH21"/>
      <c r="CI21"/>
      <c r="CJ21"/>
      <c r="CK21"/>
      <c r="CL21"/>
      <c r="CM21"/>
      <c r="CN21"/>
      <c r="CO21"/>
      <c r="CP21"/>
      <c r="CQ21"/>
      <c r="CR21"/>
      <c r="CS21"/>
      <c r="CT21"/>
    </row>
    <row r="22" spans="1:98" x14ac:dyDescent="0.25">
      <c r="A22" s="12" t="s">
        <v>66</v>
      </c>
      <c r="B22" s="61">
        <v>104616.86</v>
      </c>
      <c r="C22" s="61"/>
      <c r="D22" s="37">
        <v>104616.86</v>
      </c>
      <c r="E22" s="37"/>
      <c r="F22" s="37">
        <v>104616.86</v>
      </c>
      <c r="G22"/>
      <c r="K22" s="15" t="s">
        <v>1398</v>
      </c>
      <c r="L22" s="61">
        <v>26</v>
      </c>
      <c r="M22" s="14">
        <v>0.47322731785111283</v>
      </c>
      <c r="N22" s="61">
        <v>4642418.55</v>
      </c>
      <c r="O22" s="61">
        <v>24</v>
      </c>
      <c r="P22" s="14">
        <v>0.52677268214888739</v>
      </c>
      <c r="Q22" s="61">
        <v>5167705.2</v>
      </c>
      <c r="R22" s="61">
        <v>50</v>
      </c>
      <c r="S22" s="14">
        <v>1</v>
      </c>
      <c r="T22" s="61">
        <v>9810123.7499999981</v>
      </c>
      <c r="V22" s="15" t="s">
        <v>1398</v>
      </c>
      <c r="W22" s="61">
        <v>26</v>
      </c>
      <c r="X22" s="61">
        <v>24</v>
      </c>
      <c r="Y22" s="61">
        <v>50</v>
      </c>
      <c r="Z22"/>
      <c r="AA22" s="15" t="s">
        <v>1398</v>
      </c>
      <c r="AB22" s="61">
        <v>1482364.87</v>
      </c>
      <c r="AE22" s="12" t="str">
        <f t="shared" si="0"/>
        <v>MADHUSUDHAN/TS , 8367481163</v>
      </c>
      <c r="AF22" s="12">
        <f t="shared" si="1"/>
        <v>50</v>
      </c>
      <c r="AG22" s="12">
        <f t="shared" si="2"/>
        <v>24</v>
      </c>
      <c r="AH22" s="12">
        <f t="shared" si="3"/>
        <v>26</v>
      </c>
      <c r="AI22" s="12">
        <f t="shared" si="4"/>
        <v>9810123.7499999981</v>
      </c>
      <c r="AJ22" s="20">
        <v>0.75</v>
      </c>
      <c r="AK22" s="12">
        <f t="shared" si="9"/>
        <v>7357592.8124999981</v>
      </c>
      <c r="AL22" s="14">
        <f t="shared" si="5"/>
        <v>0.47322731785111283</v>
      </c>
      <c r="AM22" s="12">
        <f t="shared" si="6"/>
        <v>4642418.55</v>
      </c>
      <c r="AN22" s="12">
        <f t="shared" si="7"/>
        <v>24</v>
      </c>
      <c r="AO22" s="12">
        <f t="shared" si="8"/>
        <v>1482364.87</v>
      </c>
      <c r="AR22" s="21" t="s">
        <v>357</v>
      </c>
      <c r="AS22" s="21">
        <v>9</v>
      </c>
      <c r="AT22" s="21">
        <v>6</v>
      </c>
      <c r="AU22" s="21">
        <v>3</v>
      </c>
      <c r="AV22" s="21">
        <v>2710670.08</v>
      </c>
      <c r="AW22" s="30">
        <v>0.75</v>
      </c>
      <c r="AX22" s="21">
        <v>2033002.56</v>
      </c>
      <c r="AY22" s="24">
        <v>0.30599435398645047</v>
      </c>
      <c r="AZ22" s="21">
        <v>829449.74</v>
      </c>
      <c r="BA22" s="21">
        <v>1</v>
      </c>
      <c r="BB22" s="21">
        <v>184520</v>
      </c>
      <c r="BD22" s="12" t="s">
        <v>64</v>
      </c>
      <c r="BE22" s="61">
        <v>3</v>
      </c>
      <c r="BF22" s="61"/>
      <c r="BG22" s="61">
        <v>3</v>
      </c>
      <c r="BH22" s="61">
        <v>1</v>
      </c>
      <c r="BI22" s="61">
        <v>4</v>
      </c>
      <c r="BJ22"/>
      <c r="BK22" s="12" t="s">
        <v>64</v>
      </c>
      <c r="BL22" s="61">
        <v>35</v>
      </c>
      <c r="BM22" s="61">
        <v>17</v>
      </c>
      <c r="BN22" s="61">
        <v>52</v>
      </c>
      <c r="BO22" s="61">
        <v>32</v>
      </c>
      <c r="BP22" s="61">
        <v>84</v>
      </c>
      <c r="BQ22"/>
      <c r="BR22" s="15" t="s">
        <v>83</v>
      </c>
      <c r="BS22" s="61">
        <v>28</v>
      </c>
      <c r="BT22"/>
      <c r="BU22"/>
      <c r="BV22"/>
      <c r="BW22"/>
      <c r="BX22"/>
      <c r="BY22"/>
      <c r="BZ22" s="32" t="s">
        <v>92</v>
      </c>
      <c r="CA22" s="62">
        <v>9</v>
      </c>
      <c r="CB22" s="62">
        <v>2</v>
      </c>
      <c r="CC22" s="62">
        <v>9</v>
      </c>
      <c r="CD22" s="62">
        <v>11</v>
      </c>
      <c r="CE22" s="62">
        <v>20</v>
      </c>
      <c r="CF22"/>
      <c r="CG22"/>
      <c r="CH22"/>
      <c r="CI22"/>
      <c r="CJ22"/>
      <c r="CK22"/>
      <c r="CL22"/>
      <c r="CM22"/>
      <c r="CN22"/>
      <c r="CO22"/>
      <c r="CP22"/>
      <c r="CQ22"/>
      <c r="CR22"/>
      <c r="CS22"/>
      <c r="CT22"/>
    </row>
    <row r="23" spans="1:98" x14ac:dyDescent="0.25">
      <c r="A23" s="12" t="s">
        <v>68</v>
      </c>
      <c r="B23" s="61">
        <v>28413.3</v>
      </c>
      <c r="C23" s="61"/>
      <c r="D23" s="61">
        <v>28413.3</v>
      </c>
      <c r="E23" s="61"/>
      <c r="F23" s="61">
        <v>28413.3</v>
      </c>
      <c r="G23"/>
      <c r="K23" s="15" t="s">
        <v>93</v>
      </c>
      <c r="L23" s="61">
        <v>18</v>
      </c>
      <c r="M23" s="14">
        <v>0.47742275826597985</v>
      </c>
      <c r="N23" s="61">
        <v>2742579.3499999996</v>
      </c>
      <c r="O23" s="61">
        <v>12</v>
      </c>
      <c r="P23" s="14">
        <v>0.52257724173402009</v>
      </c>
      <c r="Q23" s="61">
        <v>3001971.58</v>
      </c>
      <c r="R23" s="61">
        <v>30</v>
      </c>
      <c r="S23" s="14">
        <v>1</v>
      </c>
      <c r="T23" s="61">
        <v>5744550.9299999997</v>
      </c>
      <c r="V23" s="15" t="s">
        <v>93</v>
      </c>
      <c r="W23" s="61">
        <v>27</v>
      </c>
      <c r="X23" s="61">
        <v>3</v>
      </c>
      <c r="Y23" s="61">
        <v>30</v>
      </c>
      <c r="Z23"/>
      <c r="AA23" s="15" t="s">
        <v>93</v>
      </c>
      <c r="AB23" s="61">
        <v>830691.27999999991</v>
      </c>
      <c r="AE23" s="12" t="str">
        <f t="shared" si="0"/>
        <v>MAHESH/NIZAMABAD , 9177861515</v>
      </c>
      <c r="AF23" s="12">
        <f t="shared" si="1"/>
        <v>30</v>
      </c>
      <c r="AG23" s="12">
        <f t="shared" si="2"/>
        <v>12</v>
      </c>
      <c r="AH23" s="12">
        <f t="shared" si="3"/>
        <v>18</v>
      </c>
      <c r="AI23" s="12">
        <f t="shared" si="4"/>
        <v>5744550.9299999997</v>
      </c>
      <c r="AJ23" s="20">
        <v>0.75</v>
      </c>
      <c r="AK23" s="12">
        <f t="shared" si="9"/>
        <v>4308413.1974999998</v>
      </c>
      <c r="AL23" s="14">
        <f t="shared" si="5"/>
        <v>0.47742275826597985</v>
      </c>
      <c r="AM23" s="12">
        <f t="shared" si="6"/>
        <v>2742579.3499999996</v>
      </c>
      <c r="AN23" s="12">
        <f t="shared" si="7"/>
        <v>3</v>
      </c>
      <c r="AO23" s="12">
        <f t="shared" si="8"/>
        <v>830691.27999999991</v>
      </c>
      <c r="AR23" s="21" t="s">
        <v>93</v>
      </c>
      <c r="AS23" s="21">
        <v>4</v>
      </c>
      <c r="AT23" s="21">
        <v>3</v>
      </c>
      <c r="AU23" s="21">
        <v>1</v>
      </c>
      <c r="AV23" s="21">
        <v>536821.77</v>
      </c>
      <c r="AW23" s="30">
        <v>0.75</v>
      </c>
      <c r="AX23" s="21">
        <v>402616.32750000001</v>
      </c>
      <c r="AY23" s="24">
        <v>0.26407349314466139</v>
      </c>
      <c r="AZ23" s="21">
        <v>141760.4</v>
      </c>
      <c r="BA23" s="21">
        <v>2</v>
      </c>
      <c r="BB23" s="21">
        <v>53200</v>
      </c>
      <c r="BD23" s="16" t="s">
        <v>61</v>
      </c>
      <c r="BE23" s="17">
        <v>0.88054210564145063</v>
      </c>
      <c r="BF23" s="17">
        <v>0</v>
      </c>
      <c r="BG23" s="17">
        <v>0.88054210564145063</v>
      </c>
      <c r="BH23" s="17">
        <v>0.11945789435854938</v>
      </c>
      <c r="BI23" s="17">
        <v>1</v>
      </c>
      <c r="BJ23"/>
      <c r="BK23" s="16" t="s">
        <v>61</v>
      </c>
      <c r="BL23" s="17">
        <v>0.36184119745345922</v>
      </c>
      <c r="BM23" s="17">
        <v>0.17720402238940566</v>
      </c>
      <c r="BN23" s="17">
        <v>0.5390452198428648</v>
      </c>
      <c r="BO23" s="17">
        <v>0.46095478015713498</v>
      </c>
      <c r="BP23" s="17">
        <v>1</v>
      </c>
      <c r="BQ23"/>
      <c r="BR23" s="15" t="s">
        <v>358</v>
      </c>
      <c r="BS23" s="61">
        <v>25</v>
      </c>
      <c r="BT23"/>
      <c r="BU23"/>
      <c r="BV23"/>
      <c r="BW23"/>
      <c r="BX23"/>
      <c r="BY23"/>
      <c r="BZ23" s="32" t="s">
        <v>1398</v>
      </c>
      <c r="CA23" s="62">
        <v>26</v>
      </c>
      <c r="CB23" s="62">
        <v>22</v>
      </c>
      <c r="CC23" s="62">
        <v>2</v>
      </c>
      <c r="CD23" s="62">
        <v>24</v>
      </c>
      <c r="CE23" s="62">
        <v>50</v>
      </c>
      <c r="CF23"/>
      <c r="CG23"/>
      <c r="CH23"/>
      <c r="CI23"/>
      <c r="CJ23"/>
      <c r="CK23"/>
      <c r="CL23"/>
      <c r="CM23"/>
      <c r="CN23"/>
      <c r="CO23"/>
      <c r="CP23"/>
      <c r="CQ23"/>
      <c r="CR23"/>
      <c r="CS23"/>
      <c r="CT23"/>
    </row>
    <row r="24" spans="1:98" x14ac:dyDescent="0.25">
      <c r="A24" s="15">
        <v>8</v>
      </c>
      <c r="B24" s="61"/>
      <c r="C24" s="61"/>
      <c r="D24" s="61"/>
      <c r="E24" s="61"/>
      <c r="F24" s="61"/>
      <c r="G24"/>
      <c r="K24" s="15" t="s">
        <v>352</v>
      </c>
      <c r="L24" s="61">
        <v>6</v>
      </c>
      <c r="M24" s="14">
        <v>0.52862322893324054</v>
      </c>
      <c r="N24" s="61">
        <v>693058.7</v>
      </c>
      <c r="O24" s="61">
        <v>3</v>
      </c>
      <c r="P24" s="14">
        <v>0.47137677106675935</v>
      </c>
      <c r="Q24" s="61">
        <v>618004.94999999995</v>
      </c>
      <c r="R24" s="61">
        <v>9</v>
      </c>
      <c r="S24" s="14">
        <v>1</v>
      </c>
      <c r="T24" s="61">
        <v>1311063.6500000001</v>
      </c>
      <c r="V24" s="15" t="s">
        <v>352</v>
      </c>
      <c r="W24" s="61">
        <v>8</v>
      </c>
      <c r="X24" s="61">
        <v>1</v>
      </c>
      <c r="Y24" s="61">
        <v>9</v>
      </c>
      <c r="Z24"/>
      <c r="AA24" s="15" t="s">
        <v>352</v>
      </c>
      <c r="AB24" s="61">
        <v>188594.97</v>
      </c>
      <c r="AE24" s="12" t="str">
        <f t="shared" si="0"/>
        <v>MANI/VJW , 7780356256</v>
      </c>
      <c r="AF24" s="12">
        <f t="shared" si="1"/>
        <v>9</v>
      </c>
      <c r="AG24" s="12">
        <f t="shared" si="2"/>
        <v>3</v>
      </c>
      <c r="AH24" s="12">
        <f t="shared" si="3"/>
        <v>6</v>
      </c>
      <c r="AI24" s="12">
        <f t="shared" si="4"/>
        <v>1311063.6500000001</v>
      </c>
      <c r="AJ24" s="20">
        <v>0.75</v>
      </c>
      <c r="AK24" s="12">
        <f t="shared" si="9"/>
        <v>983297.73750000005</v>
      </c>
      <c r="AL24" s="14">
        <f t="shared" si="5"/>
        <v>0.52862322893324054</v>
      </c>
      <c r="AM24" s="12">
        <f t="shared" si="6"/>
        <v>693058.7</v>
      </c>
      <c r="AN24" s="12">
        <f t="shared" si="7"/>
        <v>1</v>
      </c>
      <c r="AO24" s="12">
        <f t="shared" si="8"/>
        <v>188594.97</v>
      </c>
      <c r="AR24" s="21" t="s">
        <v>90</v>
      </c>
      <c r="AS24" s="21">
        <v>4</v>
      </c>
      <c r="AT24" s="21">
        <v>3</v>
      </c>
      <c r="AU24" s="21">
        <v>1</v>
      </c>
      <c r="AV24" s="21">
        <v>919415.81</v>
      </c>
      <c r="AW24" s="30">
        <v>0.75</v>
      </c>
      <c r="AX24" s="21">
        <v>689561.85750000004</v>
      </c>
      <c r="AY24" s="24">
        <v>0.25467234460542937</v>
      </c>
      <c r="AZ24" s="21">
        <v>234149.78</v>
      </c>
      <c r="BA24" s="21">
        <v>0</v>
      </c>
      <c r="BB24" s="21">
        <v>22274</v>
      </c>
      <c r="BD24" s="12" t="s">
        <v>66</v>
      </c>
      <c r="BE24" s="61">
        <v>385658.81</v>
      </c>
      <c r="BF24" s="61"/>
      <c r="BG24" s="61">
        <v>385658.81</v>
      </c>
      <c r="BH24" s="61">
        <v>52320.03</v>
      </c>
      <c r="BI24" s="61">
        <v>437978.83999999997</v>
      </c>
      <c r="BJ24"/>
      <c r="BK24" s="12" t="s">
        <v>66</v>
      </c>
      <c r="BL24" s="61">
        <v>7590172.7300000004</v>
      </c>
      <c r="BM24" s="61">
        <v>3717125.49</v>
      </c>
      <c r="BN24" s="61">
        <v>11307298.220000001</v>
      </c>
      <c r="BO24" s="61">
        <v>9669231.7700000014</v>
      </c>
      <c r="BP24" s="61">
        <v>20976529.990000006</v>
      </c>
      <c r="BQ24"/>
      <c r="BR24" s="15" t="s">
        <v>59</v>
      </c>
      <c r="BS24" s="61">
        <v>8</v>
      </c>
      <c r="BT24"/>
      <c r="BU24"/>
      <c r="BV24"/>
      <c r="BW24"/>
      <c r="BX24"/>
      <c r="BY24"/>
      <c r="BZ24" s="32" t="s">
        <v>93</v>
      </c>
      <c r="CA24" s="62">
        <v>18</v>
      </c>
      <c r="CB24" s="62">
        <v>3</v>
      </c>
      <c r="CC24" s="62">
        <v>9</v>
      </c>
      <c r="CD24" s="62">
        <v>12</v>
      </c>
      <c r="CE24" s="62">
        <v>30</v>
      </c>
      <c r="CF24"/>
      <c r="CG24"/>
      <c r="CH24"/>
      <c r="CI24"/>
      <c r="CJ24"/>
      <c r="CK24"/>
      <c r="CL24"/>
      <c r="CM24"/>
      <c r="CN24"/>
      <c r="CO24"/>
      <c r="CP24"/>
      <c r="CQ24"/>
      <c r="CR24"/>
      <c r="CS24"/>
      <c r="CT24"/>
    </row>
    <row r="25" spans="1:98" x14ac:dyDescent="0.25">
      <c r="A25" s="12" t="s">
        <v>64</v>
      </c>
      <c r="B25" s="61">
        <v>7</v>
      </c>
      <c r="C25" s="61">
        <v>6</v>
      </c>
      <c r="D25" s="61">
        <v>13</v>
      </c>
      <c r="E25" s="61">
        <v>14</v>
      </c>
      <c r="F25" s="61">
        <v>27</v>
      </c>
      <c r="G25"/>
      <c r="K25" s="15" t="s">
        <v>280</v>
      </c>
      <c r="L25" s="61">
        <v>2</v>
      </c>
      <c r="M25" s="14">
        <v>0.10232988960413154</v>
      </c>
      <c r="N25" s="61">
        <v>231539.68</v>
      </c>
      <c r="O25" s="61">
        <v>8</v>
      </c>
      <c r="P25" s="14">
        <v>0.89767011039586864</v>
      </c>
      <c r="Q25" s="61">
        <v>2031139.2000000002</v>
      </c>
      <c r="R25" s="61">
        <v>10</v>
      </c>
      <c r="S25" s="14">
        <v>1</v>
      </c>
      <c r="T25" s="61">
        <v>2262678.88</v>
      </c>
      <c r="V25" s="15" t="s">
        <v>280</v>
      </c>
      <c r="W25" s="61">
        <v>3</v>
      </c>
      <c r="X25" s="61">
        <v>7</v>
      </c>
      <c r="Y25" s="61">
        <v>10</v>
      </c>
      <c r="Z25"/>
      <c r="AA25" s="15" t="s">
        <v>280</v>
      </c>
      <c r="AB25" s="61">
        <v>63459.19</v>
      </c>
      <c r="AE25" s="12" t="str">
        <f t="shared" si="0"/>
        <v>MEDAK</v>
      </c>
      <c r="AF25" s="12">
        <f t="shared" si="1"/>
        <v>10</v>
      </c>
      <c r="AG25" s="12">
        <f t="shared" si="2"/>
        <v>8</v>
      </c>
      <c r="AH25" s="12">
        <f t="shared" si="3"/>
        <v>2</v>
      </c>
      <c r="AI25" s="12">
        <f t="shared" si="4"/>
        <v>2262678.88</v>
      </c>
      <c r="AJ25" s="20">
        <v>0.75</v>
      </c>
      <c r="AK25" s="12">
        <f t="shared" si="9"/>
        <v>1697009.16</v>
      </c>
      <c r="AL25" s="14">
        <f t="shared" si="5"/>
        <v>0.10232988960413154</v>
      </c>
      <c r="AM25" s="12">
        <f t="shared" si="6"/>
        <v>231539.68</v>
      </c>
      <c r="AN25" s="12">
        <f t="shared" si="7"/>
        <v>7</v>
      </c>
      <c r="AO25" s="12">
        <f t="shared" si="8"/>
        <v>63459.19</v>
      </c>
      <c r="AR25" s="21" t="s">
        <v>355</v>
      </c>
      <c r="AS25" s="21">
        <v>3</v>
      </c>
      <c r="AT25" s="21">
        <v>2</v>
      </c>
      <c r="AU25" s="21">
        <v>1</v>
      </c>
      <c r="AV25" s="21">
        <v>456041.20999999996</v>
      </c>
      <c r="AW25" s="30">
        <v>0.75</v>
      </c>
      <c r="AX25" s="21">
        <v>342030.90749999997</v>
      </c>
      <c r="AY25" s="24">
        <v>0.2365734447551352</v>
      </c>
      <c r="AZ25" s="21">
        <v>107887.24</v>
      </c>
      <c r="BA25" s="21">
        <v>0</v>
      </c>
      <c r="BB25" s="21">
        <v>100000</v>
      </c>
      <c r="BD25" s="12" t="s">
        <v>68</v>
      </c>
      <c r="BE25" s="61">
        <v>73043.3</v>
      </c>
      <c r="BF25" s="61"/>
      <c r="BG25" s="61">
        <v>73043.3</v>
      </c>
      <c r="BH25" s="61">
        <v>0</v>
      </c>
      <c r="BI25" s="61">
        <v>73043.3</v>
      </c>
      <c r="BJ25"/>
      <c r="BK25" s="12" t="s">
        <v>68</v>
      </c>
      <c r="BL25" s="61">
        <v>2280457.36</v>
      </c>
      <c r="BM25" s="61">
        <v>239494.49</v>
      </c>
      <c r="BN25" s="61">
        <v>2519951.85</v>
      </c>
      <c r="BO25" s="61">
        <v>0</v>
      </c>
      <c r="BP25" s="61">
        <v>2519951.85</v>
      </c>
      <c r="BQ25"/>
      <c r="BR25" s="15" t="s">
        <v>98</v>
      </c>
      <c r="BS25" s="61">
        <v>20</v>
      </c>
      <c r="BT25"/>
      <c r="BU25"/>
      <c r="BV25"/>
      <c r="BW25"/>
      <c r="BX25"/>
      <c r="BY25"/>
      <c r="BZ25" s="32" t="s">
        <v>352</v>
      </c>
      <c r="CA25" s="62">
        <v>6</v>
      </c>
      <c r="CB25" s="62">
        <v>1</v>
      </c>
      <c r="CC25" s="62">
        <v>2</v>
      </c>
      <c r="CD25" s="62">
        <v>3</v>
      </c>
      <c r="CE25" s="62">
        <v>9</v>
      </c>
      <c r="CF25"/>
      <c r="CG25"/>
      <c r="CH25"/>
      <c r="CI25"/>
      <c r="CJ25"/>
      <c r="CK25"/>
      <c r="CL25"/>
      <c r="CM25"/>
      <c r="CN25"/>
      <c r="CO25"/>
      <c r="CP25"/>
      <c r="CQ25"/>
      <c r="CR25"/>
      <c r="CS25"/>
      <c r="CT25"/>
    </row>
    <row r="26" spans="1:98" x14ac:dyDescent="0.25">
      <c r="A26" s="33" t="s">
        <v>61</v>
      </c>
      <c r="B26" s="34">
        <v>0.129416941871694</v>
      </c>
      <c r="C26" s="34">
        <v>0.21477714651495589</v>
      </c>
      <c r="D26" s="34">
        <v>0.34419408838664989</v>
      </c>
      <c r="E26" s="34">
        <v>0.65580591161335</v>
      </c>
      <c r="F26" s="34">
        <v>1</v>
      </c>
      <c r="G26"/>
      <c r="K26" s="15" t="s">
        <v>1364</v>
      </c>
      <c r="L26" s="61">
        <v>3</v>
      </c>
      <c r="M26" s="14">
        <v>0.4389002326659866</v>
      </c>
      <c r="N26" s="61">
        <v>357864.44999999995</v>
      </c>
      <c r="O26" s="61">
        <v>6</v>
      </c>
      <c r="P26" s="14">
        <v>0.56109976733401346</v>
      </c>
      <c r="Q26" s="61">
        <v>457501.83</v>
      </c>
      <c r="R26" s="61">
        <v>9</v>
      </c>
      <c r="S26" s="14">
        <v>1</v>
      </c>
      <c r="T26" s="61">
        <v>815366.27999999991</v>
      </c>
      <c r="V26" s="15" t="s">
        <v>1364</v>
      </c>
      <c r="W26" s="61">
        <v>4</v>
      </c>
      <c r="X26" s="61">
        <v>5</v>
      </c>
      <c r="Y26" s="61">
        <v>9</v>
      </c>
      <c r="Z26"/>
      <c r="AA26" s="15" t="s">
        <v>1364</v>
      </c>
      <c r="AB26" s="61">
        <v>207332.47</v>
      </c>
      <c r="AE26" s="12" t="str">
        <f t="shared" si="0"/>
        <v>MUJEEB/CHITTOOR , 6281127494</v>
      </c>
      <c r="AF26" s="12">
        <f t="shared" si="1"/>
        <v>9</v>
      </c>
      <c r="AG26" s="12">
        <f t="shared" si="2"/>
        <v>6</v>
      </c>
      <c r="AH26" s="12">
        <f t="shared" si="3"/>
        <v>3</v>
      </c>
      <c r="AI26" s="12">
        <f t="shared" si="4"/>
        <v>815366.27999999991</v>
      </c>
      <c r="AJ26" s="20">
        <v>0.75</v>
      </c>
      <c r="AK26" s="12">
        <f t="shared" si="9"/>
        <v>611524.71</v>
      </c>
      <c r="AL26" s="14">
        <f t="shared" si="5"/>
        <v>0.4389002326659866</v>
      </c>
      <c r="AM26" s="12">
        <f t="shared" si="6"/>
        <v>357864.44999999995</v>
      </c>
      <c r="AN26" s="12">
        <f t="shared" si="7"/>
        <v>5</v>
      </c>
      <c r="AO26" s="12">
        <f t="shared" si="8"/>
        <v>207332.47</v>
      </c>
      <c r="AR26" s="12" t="s">
        <v>99</v>
      </c>
      <c r="AS26" s="12">
        <v>3</v>
      </c>
      <c r="AT26" s="12">
        <v>2</v>
      </c>
      <c r="AU26" s="12">
        <v>1</v>
      </c>
      <c r="AV26" s="12">
        <v>388773.88</v>
      </c>
      <c r="AW26" s="59">
        <v>0.75</v>
      </c>
      <c r="AX26" s="12">
        <v>291580.41000000003</v>
      </c>
      <c r="AY26" s="60">
        <v>0.22380001454830248</v>
      </c>
      <c r="AZ26" s="12">
        <v>87007.6</v>
      </c>
      <c r="BA26" s="12">
        <v>2</v>
      </c>
      <c r="BB26" s="12">
        <v>21940</v>
      </c>
      <c r="BD26" s="15" t="s">
        <v>54</v>
      </c>
      <c r="BE26" s="61"/>
      <c r="BF26" s="61"/>
      <c r="BG26" s="61"/>
      <c r="BH26" s="61"/>
      <c r="BI26" s="61"/>
      <c r="BJ26"/>
      <c r="BK26" s="15" t="s">
        <v>736</v>
      </c>
      <c r="BL26" s="61"/>
      <c r="BM26" s="61"/>
      <c r="BN26" s="61"/>
      <c r="BO26" s="61"/>
      <c r="BP26" s="61"/>
      <c r="BQ26"/>
      <c r="BR26" s="15" t="s">
        <v>90</v>
      </c>
      <c r="BS26" s="61">
        <v>26</v>
      </c>
      <c r="BT26"/>
      <c r="BU26"/>
      <c r="BV26"/>
      <c r="BW26"/>
      <c r="BX26"/>
      <c r="BY26"/>
      <c r="BZ26" s="32" t="s">
        <v>280</v>
      </c>
      <c r="CA26" s="62">
        <v>2</v>
      </c>
      <c r="CB26" s="62">
        <v>7</v>
      </c>
      <c r="CC26" s="62">
        <v>1</v>
      </c>
      <c r="CD26" s="62">
        <v>8</v>
      </c>
      <c r="CE26" s="62">
        <v>10</v>
      </c>
      <c r="CF26"/>
      <c r="CG26"/>
      <c r="CH26"/>
      <c r="CI26"/>
      <c r="CJ26"/>
      <c r="CK26"/>
      <c r="CL26"/>
      <c r="CM26"/>
      <c r="CN26"/>
      <c r="CO26"/>
      <c r="CP26"/>
      <c r="CQ26"/>
      <c r="CR26"/>
      <c r="CS26"/>
      <c r="CT26"/>
    </row>
    <row r="27" spans="1:98" x14ac:dyDescent="0.25">
      <c r="A27" s="12" t="s">
        <v>66</v>
      </c>
      <c r="B27" s="61">
        <v>563317.47</v>
      </c>
      <c r="C27" s="61">
        <v>934867.69999999984</v>
      </c>
      <c r="D27" s="37">
        <v>1498185.17</v>
      </c>
      <c r="E27" s="37">
        <v>2854548.4199999995</v>
      </c>
      <c r="F27" s="37">
        <v>4352733.59</v>
      </c>
      <c r="G27"/>
      <c r="K27" s="15" t="s">
        <v>1399</v>
      </c>
      <c r="L27" s="61">
        <v>1</v>
      </c>
      <c r="M27" s="14">
        <v>1</v>
      </c>
      <c r="N27" s="61">
        <v>110406.32</v>
      </c>
      <c r="O27" s="61"/>
      <c r="P27" s="14">
        <v>0</v>
      </c>
      <c r="Q27" s="61"/>
      <c r="R27" s="61">
        <v>1</v>
      </c>
      <c r="S27" s="14">
        <v>1</v>
      </c>
      <c r="T27" s="61">
        <v>110406.32</v>
      </c>
      <c r="V27" s="15" t="s">
        <v>1399</v>
      </c>
      <c r="W27" s="61">
        <v>1</v>
      </c>
      <c r="X27" s="61"/>
      <c r="Y27" s="61">
        <v>1</v>
      </c>
      <c r="Z27"/>
      <c r="AA27" s="15" t="s">
        <v>1399</v>
      </c>
      <c r="AB27" s="61">
        <v>26000</v>
      </c>
      <c r="AE27" s="12" t="str">
        <f t="shared" si="0"/>
        <v>NAGARAJU/TS , 6281603130</v>
      </c>
      <c r="AF27" s="12">
        <f t="shared" si="1"/>
        <v>1</v>
      </c>
      <c r="AG27" s="12">
        <f t="shared" si="2"/>
        <v>0</v>
      </c>
      <c r="AH27" s="12">
        <f t="shared" si="3"/>
        <v>1</v>
      </c>
      <c r="AI27" s="12">
        <f t="shared" si="4"/>
        <v>110406.32</v>
      </c>
      <c r="AJ27" s="20">
        <v>0.75</v>
      </c>
      <c r="AK27" s="12">
        <f t="shared" si="9"/>
        <v>82804.740000000005</v>
      </c>
      <c r="AL27" s="14">
        <f t="shared" si="5"/>
        <v>1</v>
      </c>
      <c r="AM27" s="12">
        <f t="shared" si="6"/>
        <v>110406.32</v>
      </c>
      <c r="AN27" s="12">
        <f t="shared" si="7"/>
        <v>0</v>
      </c>
      <c r="AO27" s="12">
        <f t="shared" si="8"/>
        <v>26000</v>
      </c>
      <c r="AR27" s="21" t="s">
        <v>98</v>
      </c>
      <c r="AS27" s="21">
        <v>3</v>
      </c>
      <c r="AT27" s="21">
        <v>2</v>
      </c>
      <c r="AU27" s="21">
        <v>1</v>
      </c>
      <c r="AV27" s="21">
        <v>684174.92999999993</v>
      </c>
      <c r="AW27" s="30">
        <v>0.75</v>
      </c>
      <c r="AX27" s="21">
        <v>513131.19749999995</v>
      </c>
      <c r="AY27" s="24">
        <v>0.12021555656825954</v>
      </c>
      <c r="AZ27" s="21">
        <v>82248.47</v>
      </c>
      <c r="BA27" s="21">
        <v>0</v>
      </c>
      <c r="BB27" s="21">
        <v>10000</v>
      </c>
      <c r="BD27" s="12" t="s">
        <v>64</v>
      </c>
      <c r="BE27" s="61">
        <v>121</v>
      </c>
      <c r="BF27" s="61">
        <v>85</v>
      </c>
      <c r="BG27" s="61">
        <v>206</v>
      </c>
      <c r="BH27" s="61">
        <v>243</v>
      </c>
      <c r="BI27" s="61">
        <v>449</v>
      </c>
      <c r="BJ27"/>
      <c r="BK27" s="12" t="s">
        <v>64</v>
      </c>
      <c r="BL27" s="61">
        <v>23</v>
      </c>
      <c r="BM27" s="61">
        <v>15</v>
      </c>
      <c r="BN27" s="61">
        <v>38</v>
      </c>
      <c r="BO27" s="61">
        <v>49</v>
      </c>
      <c r="BP27" s="61">
        <v>87</v>
      </c>
      <c r="BQ27"/>
      <c r="BR27" s="15" t="s">
        <v>523</v>
      </c>
      <c r="BS27" s="61">
        <v>16</v>
      </c>
      <c r="BT27"/>
      <c r="BU27"/>
      <c r="BV27"/>
      <c r="BW27"/>
      <c r="BX27"/>
      <c r="BY27"/>
      <c r="BZ27" s="32" t="s">
        <v>1364</v>
      </c>
      <c r="CA27" s="62">
        <v>3</v>
      </c>
      <c r="CB27" s="62">
        <v>5</v>
      </c>
      <c r="CC27" s="62">
        <v>1</v>
      </c>
      <c r="CD27" s="62">
        <v>6</v>
      </c>
      <c r="CE27" s="62">
        <v>9</v>
      </c>
      <c r="CF27"/>
      <c r="CG27"/>
      <c r="CH27"/>
      <c r="CI27"/>
      <c r="CJ27"/>
      <c r="CK27"/>
      <c r="CL27"/>
      <c r="CM27"/>
      <c r="CN27"/>
      <c r="CO27"/>
      <c r="CP27"/>
      <c r="CQ27"/>
      <c r="CR27"/>
      <c r="CS27"/>
      <c r="CT27"/>
    </row>
    <row r="28" spans="1:98" x14ac:dyDescent="0.25">
      <c r="A28" s="12" t="s">
        <v>68</v>
      </c>
      <c r="B28" s="61">
        <v>209351.22</v>
      </c>
      <c r="C28" s="61">
        <v>85099.819999999992</v>
      </c>
      <c r="D28" s="61">
        <v>294451.03999999998</v>
      </c>
      <c r="E28" s="61">
        <v>0</v>
      </c>
      <c r="F28" s="61">
        <v>294451.03999999998</v>
      </c>
      <c r="G28"/>
      <c r="K28" s="15" t="s">
        <v>278</v>
      </c>
      <c r="L28" s="61">
        <v>1</v>
      </c>
      <c r="M28" s="14">
        <v>1</v>
      </c>
      <c r="N28" s="61">
        <v>473472.55</v>
      </c>
      <c r="O28" s="61"/>
      <c r="P28" s="14">
        <v>0</v>
      </c>
      <c r="Q28" s="61"/>
      <c r="R28" s="61">
        <v>1</v>
      </c>
      <c r="S28" s="14">
        <v>1</v>
      </c>
      <c r="T28" s="61">
        <v>473472.55</v>
      </c>
      <c r="V28" s="15" t="s">
        <v>278</v>
      </c>
      <c r="W28" s="61"/>
      <c r="X28" s="61">
        <v>1</v>
      </c>
      <c r="Y28" s="61">
        <v>1</v>
      </c>
      <c r="Z28"/>
      <c r="AA28" s="15" t="s">
        <v>278</v>
      </c>
      <c r="AB28" s="61">
        <v>24880</v>
      </c>
      <c r="AE28" s="12" t="str">
        <f t="shared" si="0"/>
        <v>NALGONDA</v>
      </c>
      <c r="AF28" s="12">
        <f t="shared" si="1"/>
        <v>1</v>
      </c>
      <c r="AG28" s="12">
        <f t="shared" si="2"/>
        <v>0</v>
      </c>
      <c r="AH28" s="12">
        <f t="shared" si="3"/>
        <v>1</v>
      </c>
      <c r="AI28" s="12">
        <f t="shared" si="4"/>
        <v>473472.55</v>
      </c>
      <c r="AJ28" s="20">
        <v>0.75</v>
      </c>
      <c r="AK28" s="12">
        <f t="shared" si="9"/>
        <v>355104.41249999998</v>
      </c>
      <c r="AL28" s="14">
        <f t="shared" si="5"/>
        <v>1</v>
      </c>
      <c r="AM28" s="12">
        <f t="shared" si="6"/>
        <v>473472.55</v>
      </c>
      <c r="AN28" s="12">
        <f t="shared" si="7"/>
        <v>1</v>
      </c>
      <c r="AO28" s="12">
        <f t="shared" si="8"/>
        <v>24880</v>
      </c>
      <c r="AR28" s="21" t="s">
        <v>5582</v>
      </c>
      <c r="AS28" s="21">
        <v>8</v>
      </c>
      <c r="AT28" s="21">
        <v>8</v>
      </c>
      <c r="AU28" s="21">
        <v>0</v>
      </c>
      <c r="AV28" s="21">
        <v>1333937.93</v>
      </c>
      <c r="AW28" s="30">
        <v>0.75</v>
      </c>
      <c r="AX28" s="21">
        <v>1000453.4475</v>
      </c>
      <c r="AY28" s="24">
        <v>0</v>
      </c>
      <c r="AZ28" s="21">
        <v>0</v>
      </c>
      <c r="BA28" s="21">
        <v>8</v>
      </c>
      <c r="BB28" s="21">
        <v>0</v>
      </c>
      <c r="BD28" s="16" t="s">
        <v>61</v>
      </c>
      <c r="BE28" s="17">
        <v>0.27229564197235051</v>
      </c>
      <c r="BF28" s="17">
        <v>0.16675957255303145</v>
      </c>
      <c r="BG28" s="17">
        <v>0.43905521452538182</v>
      </c>
      <c r="BH28" s="17">
        <v>0.56094478547461779</v>
      </c>
      <c r="BI28" s="17">
        <v>1</v>
      </c>
      <c r="BJ28"/>
      <c r="BK28" s="16" t="s">
        <v>61</v>
      </c>
      <c r="BL28" s="17">
        <v>0.33234742285563046</v>
      </c>
      <c r="BM28" s="17">
        <v>0.18904703212983093</v>
      </c>
      <c r="BN28" s="17">
        <v>0.52139445498546144</v>
      </c>
      <c r="BO28" s="17">
        <v>0.47860554501453861</v>
      </c>
      <c r="BP28" s="17">
        <v>1</v>
      </c>
      <c r="BQ28"/>
      <c r="BR28" s="15" t="s">
        <v>722</v>
      </c>
      <c r="BS28" s="61">
        <v>31</v>
      </c>
      <c r="BT28"/>
      <c r="BU28"/>
      <c r="BV28"/>
      <c r="BW28"/>
      <c r="BX28"/>
      <c r="BY28"/>
      <c r="BZ28" s="32" t="s">
        <v>1399</v>
      </c>
      <c r="CA28" s="62">
        <v>1</v>
      </c>
      <c r="CB28" s="62"/>
      <c r="CC28" s="62"/>
      <c r="CD28" s="62"/>
      <c r="CE28" s="62">
        <v>1</v>
      </c>
      <c r="CF28"/>
      <c r="CG28"/>
      <c r="CH28"/>
      <c r="CI28"/>
      <c r="CJ28"/>
      <c r="CK28"/>
      <c r="CL28"/>
      <c r="CM28"/>
      <c r="CN28"/>
      <c r="CO28"/>
      <c r="CP28"/>
      <c r="CQ28"/>
      <c r="CR28"/>
      <c r="CS28"/>
      <c r="CT28"/>
    </row>
    <row r="29" spans="1:98" x14ac:dyDescent="0.25">
      <c r="A29" s="15">
        <v>10</v>
      </c>
      <c r="B29" s="61"/>
      <c r="C29" s="61"/>
      <c r="D29" s="61"/>
      <c r="E29" s="61"/>
      <c r="F29" s="61"/>
      <c r="G29"/>
      <c r="K29" s="15" t="s">
        <v>83</v>
      </c>
      <c r="L29" s="61">
        <v>14</v>
      </c>
      <c r="M29" s="14">
        <v>0.45729604525841222</v>
      </c>
      <c r="N29" s="61">
        <v>2194040.7299999995</v>
      </c>
      <c r="O29" s="61">
        <v>14</v>
      </c>
      <c r="P29" s="14">
        <v>0.54270395474158784</v>
      </c>
      <c r="Q29" s="61">
        <v>2603815.61</v>
      </c>
      <c r="R29" s="61">
        <v>28</v>
      </c>
      <c r="S29" s="14">
        <v>1</v>
      </c>
      <c r="T29" s="61">
        <v>4797856.3399999989</v>
      </c>
      <c r="V29" s="15" t="s">
        <v>83</v>
      </c>
      <c r="W29" s="61">
        <v>16</v>
      </c>
      <c r="X29" s="61">
        <v>12</v>
      </c>
      <c r="Y29" s="61">
        <v>28</v>
      </c>
      <c r="Z29"/>
      <c r="AA29" s="15" t="s">
        <v>83</v>
      </c>
      <c r="AB29" s="61">
        <v>588559.67999999993</v>
      </c>
      <c r="AE29" s="12" t="str">
        <f t="shared" si="0"/>
        <v>NAYAB/PRODDATUR , 6305351203</v>
      </c>
      <c r="AF29" s="12">
        <f t="shared" si="1"/>
        <v>28</v>
      </c>
      <c r="AG29" s="12">
        <f t="shared" si="2"/>
        <v>14</v>
      </c>
      <c r="AH29" s="12">
        <f t="shared" si="3"/>
        <v>14</v>
      </c>
      <c r="AI29" s="12">
        <f t="shared" si="4"/>
        <v>4797856.3399999989</v>
      </c>
      <c r="AJ29" s="20">
        <v>0.75</v>
      </c>
      <c r="AK29" s="12">
        <f t="shared" si="9"/>
        <v>3598392.254999999</v>
      </c>
      <c r="AL29" s="14">
        <f t="shared" si="5"/>
        <v>0.45729604525841222</v>
      </c>
      <c r="AM29" s="12">
        <f t="shared" si="6"/>
        <v>2194040.7299999995</v>
      </c>
      <c r="AN29" s="12">
        <f t="shared" si="7"/>
        <v>12</v>
      </c>
      <c r="AO29" s="12">
        <f t="shared" si="8"/>
        <v>588559.67999999993</v>
      </c>
      <c r="AR29" s="21" t="s">
        <v>56</v>
      </c>
      <c r="AS29" s="21">
        <v>5</v>
      </c>
      <c r="AT29" s="21">
        <v>5</v>
      </c>
      <c r="AU29" s="21">
        <v>0</v>
      </c>
      <c r="AV29" s="21">
        <v>1347028.3399999999</v>
      </c>
      <c r="AW29" s="30">
        <v>0.75</v>
      </c>
      <c r="AX29" s="21">
        <v>1010271.2549999999</v>
      </c>
      <c r="AY29" s="24">
        <v>0</v>
      </c>
      <c r="AZ29" s="21">
        <v>0</v>
      </c>
      <c r="BA29" s="21">
        <v>5</v>
      </c>
      <c r="BB29" s="21">
        <v>0</v>
      </c>
      <c r="BD29" s="12" t="s">
        <v>66</v>
      </c>
      <c r="BE29" s="61">
        <v>23573129.289999995</v>
      </c>
      <c r="BF29" s="61">
        <v>14436679.690000003</v>
      </c>
      <c r="BG29" s="61">
        <v>38009808.979999989</v>
      </c>
      <c r="BH29" s="61">
        <v>48562010.969999999</v>
      </c>
      <c r="BI29" s="61">
        <v>86571819.950000018</v>
      </c>
      <c r="BJ29"/>
      <c r="BK29" s="12" t="s">
        <v>66</v>
      </c>
      <c r="BL29" s="61">
        <v>6376096.8199999984</v>
      </c>
      <c r="BM29" s="61">
        <v>3626873.8599999994</v>
      </c>
      <c r="BN29" s="61">
        <v>10002970.68</v>
      </c>
      <c r="BO29" s="61">
        <v>9182063.9600000028</v>
      </c>
      <c r="BP29" s="61">
        <v>19185034.640000001</v>
      </c>
      <c r="BQ29"/>
      <c r="BR29" s="15" t="s">
        <v>1367</v>
      </c>
      <c r="BS29" s="61">
        <v>1</v>
      </c>
      <c r="BT29"/>
      <c r="BU29"/>
      <c r="BV29"/>
      <c r="BW29"/>
      <c r="BX29"/>
      <c r="BY29"/>
      <c r="BZ29" s="32" t="s">
        <v>278</v>
      </c>
      <c r="CA29" s="62">
        <v>1</v>
      </c>
      <c r="CB29" s="62"/>
      <c r="CC29" s="62"/>
      <c r="CD29" s="62"/>
      <c r="CE29" s="62">
        <v>1</v>
      </c>
      <c r="CF29"/>
      <c r="CG29"/>
      <c r="CH29"/>
      <c r="CI29"/>
      <c r="CJ29"/>
      <c r="CK29"/>
      <c r="CL29"/>
      <c r="CM29"/>
      <c r="CN29"/>
      <c r="CO29"/>
      <c r="CP29"/>
      <c r="CQ29"/>
      <c r="CR29"/>
      <c r="CS29"/>
      <c r="CT29"/>
    </row>
    <row r="30" spans="1:98" x14ac:dyDescent="0.25">
      <c r="A30" s="12" t="s">
        <v>64</v>
      </c>
      <c r="B30" s="61"/>
      <c r="C30" s="61"/>
      <c r="D30" s="61"/>
      <c r="E30" s="61">
        <v>2</v>
      </c>
      <c r="F30" s="61">
        <v>2</v>
      </c>
      <c r="G30"/>
      <c r="K30" s="15" t="s">
        <v>358</v>
      </c>
      <c r="L30" s="61">
        <v>15</v>
      </c>
      <c r="M30" s="14">
        <v>0.57422797814292725</v>
      </c>
      <c r="N30" s="61">
        <v>2612715.21</v>
      </c>
      <c r="O30" s="61">
        <v>10</v>
      </c>
      <c r="P30" s="14">
        <v>0.42577202185707269</v>
      </c>
      <c r="Q30" s="61">
        <v>1937246.32</v>
      </c>
      <c r="R30" s="61">
        <v>25</v>
      </c>
      <c r="S30" s="14">
        <v>1</v>
      </c>
      <c r="T30" s="61">
        <v>4549961.53</v>
      </c>
      <c r="V30" s="15" t="s">
        <v>358</v>
      </c>
      <c r="W30" s="61">
        <v>15</v>
      </c>
      <c r="X30" s="61">
        <v>10</v>
      </c>
      <c r="Y30" s="61">
        <v>25</v>
      </c>
      <c r="Z30"/>
      <c r="AA30" s="15" t="s">
        <v>358</v>
      </c>
      <c r="AB30" s="61">
        <v>443286.1</v>
      </c>
      <c r="AE30" s="12" t="str">
        <f t="shared" si="0"/>
        <v>NO FOS</v>
      </c>
      <c r="AF30" s="12">
        <f t="shared" si="1"/>
        <v>25</v>
      </c>
      <c r="AG30" s="12">
        <f t="shared" si="2"/>
        <v>10</v>
      </c>
      <c r="AH30" s="12">
        <f t="shared" si="3"/>
        <v>15</v>
      </c>
      <c r="AI30" s="12">
        <f t="shared" si="4"/>
        <v>4549961.53</v>
      </c>
      <c r="AJ30" s="20">
        <v>0.75</v>
      </c>
      <c r="AK30" s="12">
        <f t="shared" si="9"/>
        <v>3412471.1475</v>
      </c>
      <c r="AL30" s="14">
        <f t="shared" si="5"/>
        <v>0.57422797814292725</v>
      </c>
      <c r="AM30" s="12">
        <f t="shared" si="6"/>
        <v>2612715.21</v>
      </c>
      <c r="AN30" s="12">
        <f t="shared" si="7"/>
        <v>10</v>
      </c>
      <c r="AO30" s="12">
        <f t="shared" si="8"/>
        <v>443286.1</v>
      </c>
      <c r="AR30" s="21" t="s">
        <v>1398</v>
      </c>
      <c r="AS30" s="21">
        <v>3</v>
      </c>
      <c r="AT30" s="21">
        <v>3</v>
      </c>
      <c r="AU30" s="21">
        <v>0</v>
      </c>
      <c r="AV30" s="21">
        <v>365614.05000000005</v>
      </c>
      <c r="AW30" s="30">
        <v>0.75</v>
      </c>
      <c r="AX30" s="21">
        <v>274210.53750000003</v>
      </c>
      <c r="AY30" s="24">
        <v>0</v>
      </c>
      <c r="AZ30" s="21">
        <v>0</v>
      </c>
      <c r="BA30" s="21">
        <v>3</v>
      </c>
      <c r="BB30" s="21">
        <v>0</v>
      </c>
      <c r="BD30" s="12" t="s">
        <v>68</v>
      </c>
      <c r="BE30" s="61">
        <v>10233489.949999999</v>
      </c>
      <c r="BF30" s="61">
        <v>1293288.3499999999</v>
      </c>
      <c r="BG30" s="61">
        <v>11526778.299999997</v>
      </c>
      <c r="BH30" s="61">
        <v>81106</v>
      </c>
      <c r="BI30" s="61">
        <v>11607884.299999997</v>
      </c>
      <c r="BJ30"/>
      <c r="BK30" s="12" t="s">
        <v>68</v>
      </c>
      <c r="BL30" s="61">
        <v>3114025.48</v>
      </c>
      <c r="BM30" s="61">
        <v>199300</v>
      </c>
      <c r="BN30" s="61">
        <v>3313325.48</v>
      </c>
      <c r="BO30" s="61">
        <v>36321</v>
      </c>
      <c r="BP30" s="61">
        <v>3349646.48</v>
      </c>
      <c r="BQ30"/>
      <c r="BR30" s="15" t="s">
        <v>99</v>
      </c>
      <c r="BS30" s="61">
        <v>20</v>
      </c>
      <c r="BT30"/>
      <c r="BU30"/>
      <c r="BV30"/>
      <c r="BW30"/>
      <c r="BX30"/>
      <c r="BY30"/>
      <c r="BZ30" s="32" t="s">
        <v>83</v>
      </c>
      <c r="CA30" s="62">
        <v>14</v>
      </c>
      <c r="CB30" s="62">
        <v>11</v>
      </c>
      <c r="CC30" s="62">
        <v>3</v>
      </c>
      <c r="CD30" s="62">
        <v>14</v>
      </c>
      <c r="CE30" s="62">
        <v>28</v>
      </c>
      <c r="CF30"/>
      <c r="CG30"/>
      <c r="CH30"/>
      <c r="CI30"/>
      <c r="CJ30"/>
      <c r="CK30"/>
      <c r="CL30"/>
      <c r="CM30"/>
      <c r="CN30"/>
      <c r="CO30"/>
      <c r="CP30"/>
      <c r="CQ30"/>
      <c r="CR30"/>
      <c r="CS30"/>
      <c r="CT30"/>
    </row>
    <row r="31" spans="1:98" x14ac:dyDescent="0.25">
      <c r="A31" s="33" t="s">
        <v>61</v>
      </c>
      <c r="B31" s="34">
        <v>0</v>
      </c>
      <c r="C31" s="34">
        <v>0</v>
      </c>
      <c r="D31" s="34">
        <v>0</v>
      </c>
      <c r="E31" s="34">
        <v>1</v>
      </c>
      <c r="F31" s="34">
        <v>1</v>
      </c>
      <c r="G31"/>
      <c r="K31" s="15" t="s">
        <v>146</v>
      </c>
      <c r="L31" s="61"/>
      <c r="M31" s="14">
        <v>0</v>
      </c>
      <c r="N31" s="61"/>
      <c r="O31" s="61">
        <v>4</v>
      </c>
      <c r="P31" s="14">
        <v>1</v>
      </c>
      <c r="Q31" s="61">
        <v>1104791.78</v>
      </c>
      <c r="R31" s="61">
        <v>4</v>
      </c>
      <c r="S31" s="14">
        <v>1</v>
      </c>
      <c r="T31" s="61">
        <v>1104791.78</v>
      </c>
      <c r="V31" s="15" t="s">
        <v>146</v>
      </c>
      <c r="W31" s="61"/>
      <c r="X31" s="61">
        <v>4</v>
      </c>
      <c r="Y31" s="61">
        <v>4</v>
      </c>
      <c r="Z31"/>
      <c r="AA31" s="15" t="s">
        <v>146</v>
      </c>
      <c r="AB31" s="61">
        <v>0</v>
      </c>
      <c r="AE31" s="12" t="str">
        <f t="shared" si="0"/>
        <v>PEDDAPALLI</v>
      </c>
      <c r="AF31" s="12">
        <f t="shared" si="1"/>
        <v>4</v>
      </c>
      <c r="AG31" s="12">
        <f t="shared" si="2"/>
        <v>4</v>
      </c>
      <c r="AH31" s="12">
        <f t="shared" si="3"/>
        <v>0</v>
      </c>
      <c r="AI31" s="12">
        <f t="shared" si="4"/>
        <v>1104791.78</v>
      </c>
      <c r="AJ31" s="20">
        <v>0.75</v>
      </c>
      <c r="AK31" s="12">
        <f t="shared" si="9"/>
        <v>828593.83499999996</v>
      </c>
      <c r="AL31" s="14">
        <f t="shared" si="5"/>
        <v>0</v>
      </c>
      <c r="AM31" s="12">
        <f t="shared" si="6"/>
        <v>0</v>
      </c>
      <c r="AN31" s="12">
        <f t="shared" si="7"/>
        <v>4</v>
      </c>
      <c r="AO31" s="12">
        <f t="shared" si="8"/>
        <v>0</v>
      </c>
      <c r="AR31" s="21" t="s">
        <v>1364</v>
      </c>
      <c r="AS31" s="21">
        <v>3</v>
      </c>
      <c r="AT31" s="21">
        <v>3</v>
      </c>
      <c r="AU31" s="21">
        <v>0</v>
      </c>
      <c r="AV31" s="21">
        <v>258277.31</v>
      </c>
      <c r="AW31" s="30">
        <v>0.75</v>
      </c>
      <c r="AX31" s="21">
        <v>193707.98249999998</v>
      </c>
      <c r="AY31" s="24">
        <v>0</v>
      </c>
      <c r="AZ31" s="21">
        <v>0</v>
      </c>
      <c r="BA31" s="21">
        <v>3</v>
      </c>
      <c r="BB31" s="21">
        <v>2000</v>
      </c>
      <c r="BD31" s="15" t="s">
        <v>1363</v>
      </c>
      <c r="BE31" s="61"/>
      <c r="BF31" s="61"/>
      <c r="BG31" s="61"/>
      <c r="BH31" s="61"/>
      <c r="BI31" s="61"/>
      <c r="BJ31"/>
      <c r="BK31" s="15" t="s">
        <v>734</v>
      </c>
      <c r="BL31" s="61"/>
      <c r="BM31" s="61"/>
      <c r="BN31" s="61"/>
      <c r="BO31" s="61"/>
      <c r="BP31" s="61"/>
      <c r="BQ31"/>
      <c r="BR31" s="15" t="s">
        <v>114</v>
      </c>
      <c r="BS31" s="61">
        <v>51</v>
      </c>
      <c r="BT31"/>
      <c r="BU31"/>
      <c r="BV31"/>
      <c r="BW31"/>
      <c r="BX31"/>
      <c r="BY31"/>
      <c r="BZ31" s="32" t="s">
        <v>358</v>
      </c>
      <c r="CA31" s="62">
        <v>15</v>
      </c>
      <c r="CB31" s="62">
        <v>9</v>
      </c>
      <c r="CC31" s="62">
        <v>1</v>
      </c>
      <c r="CD31" s="62">
        <v>10</v>
      </c>
      <c r="CE31" s="62">
        <v>25</v>
      </c>
      <c r="CF31"/>
      <c r="CG31"/>
      <c r="CH31"/>
      <c r="CI31"/>
      <c r="CJ31"/>
      <c r="CK31"/>
      <c r="CL31"/>
      <c r="CM31"/>
      <c r="CN31"/>
      <c r="CO31"/>
      <c r="CP31"/>
      <c r="CQ31"/>
      <c r="CR31"/>
      <c r="CS31"/>
      <c r="CT31"/>
    </row>
    <row r="32" spans="1:98" x14ac:dyDescent="0.25">
      <c r="A32" s="12" t="s">
        <v>66</v>
      </c>
      <c r="B32" s="61"/>
      <c r="C32" s="61"/>
      <c r="D32" s="37"/>
      <c r="E32" s="37">
        <v>353033.31</v>
      </c>
      <c r="F32" s="37">
        <v>353033.31</v>
      </c>
      <c r="G32"/>
      <c r="K32" s="15" t="s">
        <v>59</v>
      </c>
      <c r="L32" s="61">
        <v>2</v>
      </c>
      <c r="M32" s="14">
        <v>0.15348896058365366</v>
      </c>
      <c r="N32" s="61">
        <v>226608.4</v>
      </c>
      <c r="O32" s="61">
        <v>6</v>
      </c>
      <c r="P32" s="14">
        <v>0.8465110394163462</v>
      </c>
      <c r="Q32" s="61">
        <v>1249774</v>
      </c>
      <c r="R32" s="61">
        <v>8</v>
      </c>
      <c r="S32" s="14">
        <v>1</v>
      </c>
      <c r="T32" s="61">
        <v>1476382.4000000001</v>
      </c>
      <c r="V32" s="15" t="s">
        <v>59</v>
      </c>
      <c r="W32" s="61">
        <v>6</v>
      </c>
      <c r="X32" s="61">
        <v>2</v>
      </c>
      <c r="Y32" s="61">
        <v>8</v>
      </c>
      <c r="Z32"/>
      <c r="AA32" s="15" t="s">
        <v>59</v>
      </c>
      <c r="AB32" s="61">
        <v>61988</v>
      </c>
      <c r="AE32" s="12" t="str">
        <f t="shared" si="0"/>
        <v>PRASHANTH/TS , 9652386391</v>
      </c>
      <c r="AF32" s="12">
        <f t="shared" si="1"/>
        <v>8</v>
      </c>
      <c r="AG32" s="12">
        <f t="shared" si="2"/>
        <v>6</v>
      </c>
      <c r="AH32" s="12">
        <f t="shared" si="3"/>
        <v>2</v>
      </c>
      <c r="AI32" s="12">
        <f t="shared" si="4"/>
        <v>1476382.4000000001</v>
      </c>
      <c r="AJ32" s="20">
        <v>0.75</v>
      </c>
      <c r="AK32" s="12">
        <f t="shared" si="9"/>
        <v>1107286.8</v>
      </c>
      <c r="AL32" s="14">
        <f t="shared" si="5"/>
        <v>0.15348896058365366</v>
      </c>
      <c r="AM32" s="12">
        <f t="shared" si="6"/>
        <v>226608.4</v>
      </c>
      <c r="AN32" s="12">
        <f t="shared" si="7"/>
        <v>2</v>
      </c>
      <c r="AO32" s="12">
        <f t="shared" si="8"/>
        <v>61988</v>
      </c>
      <c r="AR32" s="21" t="s">
        <v>1957</v>
      </c>
      <c r="AS32" s="21">
        <v>2</v>
      </c>
      <c r="AT32" s="21">
        <v>2</v>
      </c>
      <c r="AU32" s="21">
        <v>0</v>
      </c>
      <c r="AV32" s="21">
        <v>542312.81000000006</v>
      </c>
      <c r="AW32" s="30">
        <v>0.75</v>
      </c>
      <c r="AX32" s="21">
        <v>406734.60750000004</v>
      </c>
      <c r="AY32" s="24">
        <v>0</v>
      </c>
      <c r="AZ32" s="21">
        <v>0</v>
      </c>
      <c r="BA32" s="21">
        <v>2</v>
      </c>
      <c r="BB32" s="21">
        <v>14493</v>
      </c>
      <c r="BD32" s="12" t="s">
        <v>64</v>
      </c>
      <c r="BE32" s="61">
        <v>2</v>
      </c>
      <c r="BF32" s="61"/>
      <c r="BG32" s="61">
        <v>2</v>
      </c>
      <c r="BH32" s="61"/>
      <c r="BI32" s="61">
        <v>2</v>
      </c>
      <c r="BJ32"/>
      <c r="BK32" s="12" t="s">
        <v>64</v>
      </c>
      <c r="BL32" s="61">
        <v>29</v>
      </c>
      <c r="BM32" s="61">
        <v>9</v>
      </c>
      <c r="BN32" s="61">
        <v>38</v>
      </c>
      <c r="BO32" s="61">
        <v>48</v>
      </c>
      <c r="BP32" s="61">
        <v>86</v>
      </c>
      <c r="BQ32"/>
      <c r="BR32" s="15" t="s">
        <v>89</v>
      </c>
      <c r="BS32" s="61">
        <v>41</v>
      </c>
      <c r="BT32"/>
      <c r="BU32"/>
      <c r="BV32"/>
      <c r="BW32"/>
      <c r="BX32"/>
      <c r="BY32"/>
      <c r="BZ32" s="32" t="s">
        <v>146</v>
      </c>
      <c r="CA32" s="62"/>
      <c r="CB32" s="62">
        <v>4</v>
      </c>
      <c r="CC32" s="62"/>
      <c r="CD32" s="62">
        <v>4</v>
      </c>
      <c r="CE32" s="62">
        <v>4</v>
      </c>
      <c r="CF32"/>
      <c r="CG32"/>
      <c r="CH32"/>
      <c r="CI32"/>
      <c r="CJ32"/>
      <c r="CK32"/>
      <c r="CL32"/>
      <c r="CM32"/>
      <c r="CN32"/>
      <c r="CO32"/>
      <c r="CP32"/>
      <c r="CQ32"/>
      <c r="CR32"/>
      <c r="CS32"/>
      <c r="CT32"/>
    </row>
    <row r="33" spans="1:98" x14ac:dyDescent="0.25">
      <c r="A33" s="12" t="s">
        <v>68</v>
      </c>
      <c r="B33" s="61"/>
      <c r="C33" s="61"/>
      <c r="D33" s="61"/>
      <c r="E33" s="61">
        <v>0</v>
      </c>
      <c r="F33" s="61">
        <v>0</v>
      </c>
      <c r="G33"/>
      <c r="K33" s="15" t="s">
        <v>98</v>
      </c>
      <c r="L33" s="61">
        <v>12</v>
      </c>
      <c r="M33" s="14">
        <v>0.62648382831845351</v>
      </c>
      <c r="N33" s="61">
        <v>2206369.6100000003</v>
      </c>
      <c r="O33" s="61">
        <v>8</v>
      </c>
      <c r="P33" s="14">
        <v>0.37351617168154644</v>
      </c>
      <c r="Q33" s="61">
        <v>1315460.4999999998</v>
      </c>
      <c r="R33" s="61">
        <v>20</v>
      </c>
      <c r="S33" s="14">
        <v>1</v>
      </c>
      <c r="T33" s="61">
        <v>3521830.1100000003</v>
      </c>
      <c r="V33" s="15" t="s">
        <v>98</v>
      </c>
      <c r="W33" s="61">
        <v>16</v>
      </c>
      <c r="X33" s="61">
        <v>4</v>
      </c>
      <c r="Y33" s="61">
        <v>20</v>
      </c>
      <c r="Z33"/>
      <c r="AA33" s="15" t="s">
        <v>98</v>
      </c>
      <c r="AB33" s="61">
        <v>1191374.1299999999</v>
      </c>
      <c r="AE33" s="12" t="str">
        <f t="shared" si="0"/>
        <v>PRAVEEN/ADILABAD , 8639562425</v>
      </c>
      <c r="AF33" s="12">
        <f t="shared" si="1"/>
        <v>20</v>
      </c>
      <c r="AG33" s="12">
        <f t="shared" si="2"/>
        <v>8</v>
      </c>
      <c r="AH33" s="12">
        <f t="shared" si="3"/>
        <v>12</v>
      </c>
      <c r="AI33" s="12">
        <f t="shared" si="4"/>
        <v>3521830.1100000003</v>
      </c>
      <c r="AJ33" s="20">
        <v>0.75</v>
      </c>
      <c r="AK33" s="12">
        <f t="shared" si="9"/>
        <v>2641372.5825000005</v>
      </c>
      <c r="AL33" s="14">
        <f t="shared" si="5"/>
        <v>0.62648382831845351</v>
      </c>
      <c r="AM33" s="12">
        <f t="shared" si="6"/>
        <v>2206369.6100000003</v>
      </c>
      <c r="AN33" s="12">
        <f t="shared" si="7"/>
        <v>4</v>
      </c>
      <c r="AO33" s="12">
        <f t="shared" si="8"/>
        <v>1191374.1299999999</v>
      </c>
      <c r="AR33" s="21" t="s">
        <v>2000</v>
      </c>
      <c r="AS33" s="21">
        <v>2</v>
      </c>
      <c r="AT33" s="21">
        <v>2</v>
      </c>
      <c r="AU33" s="21">
        <v>0</v>
      </c>
      <c r="AV33" s="21">
        <v>570995.22</v>
      </c>
      <c r="AW33" s="30">
        <v>0.75</v>
      </c>
      <c r="AX33" s="21">
        <v>428246.41499999998</v>
      </c>
      <c r="AY33" s="24">
        <v>0</v>
      </c>
      <c r="AZ33" s="21">
        <v>0</v>
      </c>
      <c r="BA33" s="21">
        <v>2</v>
      </c>
      <c r="BB33" s="21">
        <v>945</v>
      </c>
      <c r="BD33" s="16" t="s">
        <v>61</v>
      </c>
      <c r="BE33" s="17">
        <v>1</v>
      </c>
      <c r="BF33" s="17">
        <v>0</v>
      </c>
      <c r="BG33" s="17">
        <v>1</v>
      </c>
      <c r="BH33" s="17">
        <v>0</v>
      </c>
      <c r="BI33" s="17">
        <v>1</v>
      </c>
      <c r="BJ33"/>
      <c r="BK33" s="16" t="s">
        <v>61</v>
      </c>
      <c r="BL33" s="17">
        <v>0.38909047717762263</v>
      </c>
      <c r="BM33" s="17">
        <v>9.8458650455076013E-2</v>
      </c>
      <c r="BN33" s="17">
        <v>0.48754912763269859</v>
      </c>
      <c r="BO33" s="17">
        <v>0.51245087236730158</v>
      </c>
      <c r="BP33" s="17">
        <v>1</v>
      </c>
      <c r="BQ33"/>
      <c r="BR33" s="15" t="s">
        <v>116</v>
      </c>
      <c r="BS33" s="61">
        <v>21</v>
      </c>
      <c r="BT33"/>
      <c r="BU33"/>
      <c r="BV33"/>
      <c r="BW33"/>
      <c r="BX33"/>
      <c r="BY33"/>
      <c r="BZ33" s="32" t="s">
        <v>59</v>
      </c>
      <c r="CA33" s="62">
        <v>2</v>
      </c>
      <c r="CB33" s="62">
        <v>2</v>
      </c>
      <c r="CC33" s="62">
        <v>4</v>
      </c>
      <c r="CD33" s="62">
        <v>6</v>
      </c>
      <c r="CE33" s="62">
        <v>8</v>
      </c>
      <c r="CF33"/>
      <c r="CG33"/>
      <c r="CH33"/>
      <c r="CI33"/>
      <c r="CJ33"/>
      <c r="CK33"/>
      <c r="CL33"/>
      <c r="CM33"/>
      <c r="CN33"/>
      <c r="CO33"/>
      <c r="CP33"/>
      <c r="CQ33"/>
      <c r="CR33"/>
      <c r="CS33"/>
      <c r="CT33"/>
    </row>
    <row r="34" spans="1:98" x14ac:dyDescent="0.25">
      <c r="A34" s="15">
        <v>11</v>
      </c>
      <c r="B34" s="61"/>
      <c r="C34" s="61"/>
      <c r="D34" s="61"/>
      <c r="E34" s="61"/>
      <c r="F34" s="61"/>
      <c r="G34"/>
      <c r="K34" s="15" t="s">
        <v>4528</v>
      </c>
      <c r="L34" s="61">
        <v>4</v>
      </c>
      <c r="M34" s="14">
        <v>0.29843412235474048</v>
      </c>
      <c r="N34" s="61">
        <v>675688.97</v>
      </c>
      <c r="O34" s="61">
        <v>13</v>
      </c>
      <c r="P34" s="14">
        <v>0.70156587764525957</v>
      </c>
      <c r="Q34" s="61">
        <v>1588425.3499999999</v>
      </c>
      <c r="R34" s="61">
        <v>17</v>
      </c>
      <c r="S34" s="14">
        <v>1</v>
      </c>
      <c r="T34" s="61">
        <v>2264114.3199999998</v>
      </c>
      <c r="V34" s="15" t="s">
        <v>4528</v>
      </c>
      <c r="W34" s="61">
        <v>8</v>
      </c>
      <c r="X34" s="61">
        <v>9</v>
      </c>
      <c r="Y34" s="61">
        <v>17</v>
      </c>
      <c r="Z34"/>
      <c r="AA34" s="15" t="s">
        <v>4528</v>
      </c>
      <c r="AB34" s="61">
        <v>98020</v>
      </c>
      <c r="AE34" s="12" t="str">
        <f t="shared" si="0"/>
        <v>PRAVEEN/VJW , 8897201397</v>
      </c>
      <c r="AF34" s="12">
        <f t="shared" si="1"/>
        <v>17</v>
      </c>
      <c r="AG34" s="12">
        <f t="shared" si="2"/>
        <v>13</v>
      </c>
      <c r="AH34" s="12">
        <f t="shared" si="3"/>
        <v>4</v>
      </c>
      <c r="AI34" s="12">
        <f t="shared" si="4"/>
        <v>2264114.3199999998</v>
      </c>
      <c r="AJ34" s="20">
        <v>0.75</v>
      </c>
      <c r="AK34" s="12">
        <f t="shared" si="9"/>
        <v>1698085.7399999998</v>
      </c>
      <c r="AL34" s="14">
        <f t="shared" si="5"/>
        <v>0.29843412235474048</v>
      </c>
      <c r="AM34" s="12">
        <f t="shared" si="6"/>
        <v>675688.97</v>
      </c>
      <c r="AN34" s="12">
        <f t="shared" si="7"/>
        <v>9</v>
      </c>
      <c r="AO34" s="12">
        <f t="shared" si="8"/>
        <v>98020</v>
      </c>
      <c r="AR34" s="21" t="s">
        <v>525</v>
      </c>
      <c r="AS34" s="21">
        <v>1</v>
      </c>
      <c r="AT34" s="21">
        <v>1</v>
      </c>
      <c r="AU34" s="21">
        <v>0</v>
      </c>
      <c r="AV34" s="21">
        <v>87966.45</v>
      </c>
      <c r="AW34" s="30">
        <v>0.75</v>
      </c>
      <c r="AX34" s="21">
        <v>65974.837499999994</v>
      </c>
      <c r="AY34" s="24">
        <v>0</v>
      </c>
      <c r="AZ34" s="21">
        <v>0</v>
      </c>
      <c r="BA34" s="21">
        <v>1</v>
      </c>
      <c r="BB34" s="21">
        <v>8006</v>
      </c>
      <c r="BD34" s="12" t="s">
        <v>66</v>
      </c>
      <c r="BE34" s="61">
        <v>164744.07999999999</v>
      </c>
      <c r="BF34" s="61"/>
      <c r="BG34" s="61">
        <v>164744.07999999999</v>
      </c>
      <c r="BH34" s="61"/>
      <c r="BI34" s="61">
        <v>164744.07999999999</v>
      </c>
      <c r="BJ34"/>
      <c r="BK34" s="12" t="s">
        <v>66</v>
      </c>
      <c r="BL34" s="61">
        <v>6786798.8900000015</v>
      </c>
      <c r="BM34" s="61">
        <v>1717387.34</v>
      </c>
      <c r="BN34" s="61">
        <v>8504186.2300000004</v>
      </c>
      <c r="BO34" s="61">
        <v>8938540.5600000024</v>
      </c>
      <c r="BP34" s="61">
        <v>17442726.789999999</v>
      </c>
      <c r="BQ34"/>
      <c r="BR34" s="15" t="s">
        <v>55</v>
      </c>
      <c r="BS34" s="61">
        <v>63</v>
      </c>
      <c r="BT34"/>
      <c r="BU34"/>
      <c r="BV34"/>
      <c r="BW34"/>
      <c r="BX34"/>
      <c r="BY34"/>
      <c r="BZ34" s="32" t="s">
        <v>98</v>
      </c>
      <c r="CA34" s="62">
        <v>12</v>
      </c>
      <c r="CB34" s="62">
        <v>4</v>
      </c>
      <c r="CC34" s="62">
        <v>4</v>
      </c>
      <c r="CD34" s="62">
        <v>8</v>
      </c>
      <c r="CE34" s="62">
        <v>20</v>
      </c>
      <c r="CF34"/>
      <c r="CG34"/>
      <c r="CH34"/>
      <c r="CI34"/>
      <c r="CJ34"/>
      <c r="CK34"/>
      <c r="CL34"/>
      <c r="CM34"/>
      <c r="CN34"/>
      <c r="CO34"/>
      <c r="CP34"/>
      <c r="CQ34"/>
      <c r="CR34"/>
      <c r="CS34"/>
      <c r="CT34"/>
    </row>
    <row r="35" spans="1:98" x14ac:dyDescent="0.25">
      <c r="A35" s="12" t="s">
        <v>64</v>
      </c>
      <c r="B35" s="61">
        <v>28</v>
      </c>
      <c r="C35" s="61">
        <v>21</v>
      </c>
      <c r="D35" s="61">
        <v>49</v>
      </c>
      <c r="E35" s="61">
        <v>19</v>
      </c>
      <c r="F35" s="61">
        <v>68</v>
      </c>
      <c r="G35"/>
      <c r="K35" s="15" t="s">
        <v>90</v>
      </c>
      <c r="L35" s="61">
        <v>10</v>
      </c>
      <c r="M35" s="14">
        <v>0.36108923656689002</v>
      </c>
      <c r="N35" s="61">
        <v>1777751.57</v>
      </c>
      <c r="O35" s="61">
        <v>16</v>
      </c>
      <c r="P35" s="14">
        <v>0.63891076343310993</v>
      </c>
      <c r="Q35" s="61">
        <v>3145551.01</v>
      </c>
      <c r="R35" s="61">
        <v>26</v>
      </c>
      <c r="S35" s="14">
        <v>1</v>
      </c>
      <c r="T35" s="61">
        <v>4923302.58</v>
      </c>
      <c r="V35" s="15" t="s">
        <v>90</v>
      </c>
      <c r="W35" s="61">
        <v>23</v>
      </c>
      <c r="X35" s="61">
        <v>3</v>
      </c>
      <c r="Y35" s="61">
        <v>26</v>
      </c>
      <c r="Z35"/>
      <c r="AA35" s="15" t="s">
        <v>90</v>
      </c>
      <c r="AB35" s="61">
        <v>468462.08000000002</v>
      </c>
      <c r="AE35" s="12" t="str">
        <f t="shared" si="0"/>
        <v>RABBANI/KURNOOL , 9052323785</v>
      </c>
      <c r="AF35" s="12">
        <f t="shared" si="1"/>
        <v>26</v>
      </c>
      <c r="AG35" s="12">
        <f t="shared" si="2"/>
        <v>16</v>
      </c>
      <c r="AH35" s="12">
        <f t="shared" si="3"/>
        <v>10</v>
      </c>
      <c r="AI35" s="12">
        <f t="shared" si="4"/>
        <v>4923302.58</v>
      </c>
      <c r="AJ35" s="20">
        <v>0.75</v>
      </c>
      <c r="AK35" s="12">
        <f t="shared" si="9"/>
        <v>3692476.9350000001</v>
      </c>
      <c r="AL35" s="14">
        <f t="shared" si="5"/>
        <v>0.36108923656689002</v>
      </c>
      <c r="AM35" s="12">
        <f t="shared" si="6"/>
        <v>1777751.57</v>
      </c>
      <c r="AN35" s="12">
        <f t="shared" si="7"/>
        <v>3</v>
      </c>
      <c r="AO35" s="12">
        <f t="shared" si="8"/>
        <v>468462.08000000002</v>
      </c>
      <c r="AR35" s="21" t="s">
        <v>3588</v>
      </c>
      <c r="AS35" s="21">
        <v>1</v>
      </c>
      <c r="AT35" s="21">
        <v>1</v>
      </c>
      <c r="AU35" s="21">
        <v>0</v>
      </c>
      <c r="AV35" s="21">
        <v>77418.880000000005</v>
      </c>
      <c r="AW35" s="30">
        <v>0.75</v>
      </c>
      <c r="AX35" s="21">
        <v>58064.160000000003</v>
      </c>
      <c r="AY35" s="24">
        <v>0</v>
      </c>
      <c r="AZ35" s="21">
        <v>0</v>
      </c>
      <c r="BA35" s="21">
        <v>1</v>
      </c>
      <c r="BB35" s="21">
        <v>0</v>
      </c>
      <c r="BD35" s="12" t="s">
        <v>68</v>
      </c>
      <c r="BE35" s="61">
        <v>38980</v>
      </c>
      <c r="BF35" s="61"/>
      <c r="BG35" s="61">
        <v>38980</v>
      </c>
      <c r="BH35" s="61"/>
      <c r="BI35" s="61">
        <v>38980</v>
      </c>
      <c r="BJ35"/>
      <c r="BK35" s="12" t="s">
        <v>68</v>
      </c>
      <c r="BL35" s="61">
        <v>2838289.65</v>
      </c>
      <c r="BM35" s="61">
        <v>146305.79999999999</v>
      </c>
      <c r="BN35" s="61">
        <v>2984595.4499999997</v>
      </c>
      <c r="BO35" s="61">
        <v>0</v>
      </c>
      <c r="BP35" s="61">
        <v>2984595.4499999997</v>
      </c>
      <c r="BQ35"/>
      <c r="BR35" s="15" t="s">
        <v>86</v>
      </c>
      <c r="BS35" s="61">
        <v>22</v>
      </c>
      <c r="BT35"/>
      <c r="BU35"/>
      <c r="BV35"/>
      <c r="BW35"/>
      <c r="BX35"/>
      <c r="BY35"/>
      <c r="BZ35" s="32" t="s">
        <v>4528</v>
      </c>
      <c r="CA35" s="62">
        <v>4</v>
      </c>
      <c r="CB35" s="62">
        <v>9</v>
      </c>
      <c r="CC35" s="62">
        <v>4</v>
      </c>
      <c r="CD35" s="62">
        <v>13</v>
      </c>
      <c r="CE35" s="62">
        <v>17</v>
      </c>
      <c r="CF35"/>
      <c r="CG35"/>
      <c r="CH35"/>
      <c r="CI35"/>
      <c r="CJ35"/>
      <c r="CK35"/>
      <c r="CL35"/>
      <c r="CM35"/>
      <c r="CN35"/>
      <c r="CO35"/>
      <c r="CP35"/>
      <c r="CQ35"/>
      <c r="CR35"/>
      <c r="CS35"/>
      <c r="CT35"/>
    </row>
    <row r="36" spans="1:98" x14ac:dyDescent="0.25">
      <c r="A36" s="33" t="s">
        <v>61</v>
      </c>
      <c r="B36" s="34">
        <v>0.38532660773196187</v>
      </c>
      <c r="C36" s="34">
        <v>0.30967898878273215</v>
      </c>
      <c r="D36" s="34">
        <v>0.69500559651469396</v>
      </c>
      <c r="E36" s="34">
        <v>0.30499440348530626</v>
      </c>
      <c r="F36" s="34">
        <v>1</v>
      </c>
      <c r="G36"/>
      <c r="K36" s="15" t="s">
        <v>523</v>
      </c>
      <c r="L36" s="61">
        <v>8</v>
      </c>
      <c r="M36" s="14">
        <v>0.42242553978315694</v>
      </c>
      <c r="N36" s="61">
        <v>1730146.3800000001</v>
      </c>
      <c r="O36" s="61">
        <v>8</v>
      </c>
      <c r="P36" s="14">
        <v>0.57757446021684311</v>
      </c>
      <c r="Q36" s="61">
        <v>2365596.46</v>
      </c>
      <c r="R36" s="61">
        <v>16</v>
      </c>
      <c r="S36" s="14">
        <v>1</v>
      </c>
      <c r="T36" s="61">
        <v>4095742.84</v>
      </c>
      <c r="V36" s="15" t="s">
        <v>523</v>
      </c>
      <c r="W36" s="61">
        <v>14</v>
      </c>
      <c r="X36" s="61">
        <v>2</v>
      </c>
      <c r="Y36" s="61">
        <v>16</v>
      </c>
      <c r="Z36"/>
      <c r="AA36" s="15" t="s">
        <v>523</v>
      </c>
      <c r="AB36" s="61">
        <v>289908</v>
      </c>
      <c r="AE36" s="12" t="str">
        <f t="shared" si="0"/>
        <v>RAJKUMAR/MEDAK , 7670935091</v>
      </c>
      <c r="AF36" s="12">
        <f t="shared" si="1"/>
        <v>16</v>
      </c>
      <c r="AG36" s="12">
        <f t="shared" si="2"/>
        <v>8</v>
      </c>
      <c r="AH36" s="12">
        <f t="shared" si="3"/>
        <v>8</v>
      </c>
      <c r="AI36" s="12">
        <f t="shared" si="4"/>
        <v>4095742.84</v>
      </c>
      <c r="AJ36" s="20">
        <v>0.75</v>
      </c>
      <c r="AK36" s="12">
        <f t="shared" si="9"/>
        <v>3071807.13</v>
      </c>
      <c r="AL36" s="14">
        <f t="shared" si="5"/>
        <v>0.42242553978315694</v>
      </c>
      <c r="AM36" s="12">
        <f t="shared" si="6"/>
        <v>1730146.3800000001</v>
      </c>
      <c r="AN36" s="12">
        <f t="shared" si="7"/>
        <v>2</v>
      </c>
      <c r="AO36" s="12">
        <f t="shared" si="8"/>
        <v>289908</v>
      </c>
      <c r="AR36" s="21" t="s">
        <v>280</v>
      </c>
      <c r="AS36" s="21">
        <v>1</v>
      </c>
      <c r="AT36" s="21">
        <v>1</v>
      </c>
      <c r="AU36" s="21">
        <v>0</v>
      </c>
      <c r="AV36" s="21">
        <v>87075.93</v>
      </c>
      <c r="AW36" s="30">
        <v>0.75</v>
      </c>
      <c r="AX36" s="21">
        <v>65306.947499999995</v>
      </c>
      <c r="AY36" s="24">
        <v>0</v>
      </c>
      <c r="AZ36" s="21">
        <v>0</v>
      </c>
      <c r="BA36" s="21">
        <v>1</v>
      </c>
      <c r="BB36" s="21">
        <v>100</v>
      </c>
      <c r="BD36" s="15" t="s">
        <v>324</v>
      </c>
      <c r="BE36" s="61"/>
      <c r="BF36" s="61"/>
      <c r="BG36" s="61"/>
      <c r="BH36" s="61"/>
      <c r="BI36" s="61"/>
      <c r="BJ36"/>
      <c r="BK36" s="15" t="s">
        <v>131</v>
      </c>
      <c r="BL36" s="61"/>
      <c r="BM36" s="61"/>
      <c r="BN36" s="61"/>
      <c r="BO36" s="61"/>
      <c r="BP36" s="61"/>
      <c r="BQ36"/>
      <c r="BR36" s="15" t="s">
        <v>1361</v>
      </c>
      <c r="BS36" s="61">
        <v>21</v>
      </c>
      <c r="BT36"/>
      <c r="BU36"/>
      <c r="BV36"/>
      <c r="BW36"/>
      <c r="BX36"/>
      <c r="BY36"/>
      <c r="BZ36" s="32" t="s">
        <v>90</v>
      </c>
      <c r="CA36" s="62">
        <v>10</v>
      </c>
      <c r="CB36" s="62">
        <v>3</v>
      </c>
      <c r="CC36" s="62">
        <v>13</v>
      </c>
      <c r="CD36" s="62">
        <v>16</v>
      </c>
      <c r="CE36" s="62">
        <v>26</v>
      </c>
      <c r="CF36"/>
      <c r="CG36"/>
      <c r="CH36"/>
      <c r="CI36"/>
      <c r="CJ36"/>
      <c r="CK36"/>
      <c r="CL36"/>
      <c r="CM36"/>
      <c r="CN36"/>
      <c r="CO36"/>
      <c r="CP36"/>
      <c r="CQ36"/>
      <c r="CR36"/>
      <c r="CS36"/>
      <c r="CT36"/>
    </row>
    <row r="37" spans="1:98" x14ac:dyDescent="0.25">
      <c r="A37" s="12" t="s">
        <v>66</v>
      </c>
      <c r="B37" s="61">
        <v>4746606.830000001</v>
      </c>
      <c r="C37" s="61">
        <v>3814749.2900000005</v>
      </c>
      <c r="D37" s="37">
        <v>8561356.120000001</v>
      </c>
      <c r="E37" s="37">
        <v>3757042.7</v>
      </c>
      <c r="F37" s="37">
        <v>12318398.819999998</v>
      </c>
      <c r="G37"/>
      <c r="K37" s="15" t="s">
        <v>722</v>
      </c>
      <c r="L37" s="61">
        <v>15</v>
      </c>
      <c r="M37" s="14">
        <v>0.42492068503298519</v>
      </c>
      <c r="N37" s="61">
        <v>2694525.43</v>
      </c>
      <c r="O37" s="61">
        <v>16</v>
      </c>
      <c r="P37" s="14">
        <v>0.57507931496701492</v>
      </c>
      <c r="Q37" s="61">
        <v>3646717.83</v>
      </c>
      <c r="R37" s="61">
        <v>31</v>
      </c>
      <c r="S37" s="14">
        <v>1</v>
      </c>
      <c r="T37" s="61">
        <v>6341243.2599999998</v>
      </c>
      <c r="V37" s="15" t="s">
        <v>722</v>
      </c>
      <c r="W37" s="61">
        <v>27</v>
      </c>
      <c r="X37" s="61">
        <v>4</v>
      </c>
      <c r="Y37" s="61">
        <v>31</v>
      </c>
      <c r="Z37"/>
      <c r="AA37" s="15" t="s">
        <v>722</v>
      </c>
      <c r="AB37" s="61">
        <v>746313.65</v>
      </c>
      <c r="AE37" s="12" t="str">
        <f t="shared" si="0"/>
        <v>RAKESH/WEST , 9121493562</v>
      </c>
      <c r="AF37" s="12">
        <f t="shared" si="1"/>
        <v>31</v>
      </c>
      <c r="AG37" s="12">
        <f t="shared" si="2"/>
        <v>16</v>
      </c>
      <c r="AH37" s="12">
        <f t="shared" si="3"/>
        <v>15</v>
      </c>
      <c r="AI37" s="12">
        <f t="shared" si="4"/>
        <v>6341243.2599999998</v>
      </c>
      <c r="AJ37" s="20">
        <v>0.75</v>
      </c>
      <c r="AK37" s="12">
        <f t="shared" si="9"/>
        <v>4755932.4450000003</v>
      </c>
      <c r="AL37" s="14">
        <f t="shared" si="5"/>
        <v>0.42492068503298519</v>
      </c>
      <c r="AM37" s="12">
        <f t="shared" si="6"/>
        <v>2694525.43</v>
      </c>
      <c r="AN37" s="12">
        <f t="shared" si="7"/>
        <v>4</v>
      </c>
      <c r="AO37" s="12">
        <f t="shared" si="8"/>
        <v>746313.65</v>
      </c>
      <c r="AR37" s="21" t="s">
        <v>59</v>
      </c>
      <c r="AS37" s="21">
        <v>1</v>
      </c>
      <c r="AT37" s="21">
        <v>1</v>
      </c>
      <c r="AU37" s="21">
        <v>0</v>
      </c>
      <c r="AV37" s="21">
        <v>109229.57</v>
      </c>
      <c r="AW37" s="30">
        <v>0.75</v>
      </c>
      <c r="AX37" s="21">
        <v>81922.177500000005</v>
      </c>
      <c r="AY37" s="24">
        <v>0</v>
      </c>
      <c r="AZ37" s="21">
        <v>0</v>
      </c>
      <c r="BA37" s="21">
        <v>1</v>
      </c>
      <c r="BB37" s="21">
        <v>0</v>
      </c>
      <c r="BD37" s="12" t="s">
        <v>64</v>
      </c>
      <c r="BE37" s="61">
        <v>48</v>
      </c>
      <c r="BF37" s="61">
        <v>34</v>
      </c>
      <c r="BG37" s="61">
        <v>82</v>
      </c>
      <c r="BH37" s="61">
        <v>89</v>
      </c>
      <c r="BI37" s="61">
        <v>171</v>
      </c>
      <c r="BJ37"/>
      <c r="BK37" s="12" t="s">
        <v>64</v>
      </c>
      <c r="BL37" s="61">
        <v>29</v>
      </c>
      <c r="BM37" s="61">
        <v>18</v>
      </c>
      <c r="BN37" s="61">
        <v>47</v>
      </c>
      <c r="BO37" s="61">
        <v>40</v>
      </c>
      <c r="BP37" s="61">
        <v>87</v>
      </c>
      <c r="BQ37"/>
      <c r="BR37" s="15" t="s">
        <v>524</v>
      </c>
      <c r="BS37" s="61">
        <v>5</v>
      </c>
      <c r="BT37"/>
      <c r="BU37"/>
      <c r="BV37"/>
      <c r="BW37"/>
      <c r="BX37"/>
      <c r="BY37"/>
      <c r="BZ37" s="32" t="s">
        <v>523</v>
      </c>
      <c r="CA37" s="62">
        <v>8</v>
      </c>
      <c r="CB37" s="62">
        <v>2</v>
      </c>
      <c r="CC37" s="62">
        <v>6</v>
      </c>
      <c r="CD37" s="62">
        <v>8</v>
      </c>
      <c r="CE37" s="62">
        <v>16</v>
      </c>
      <c r="CF37"/>
      <c r="CG37"/>
      <c r="CH37"/>
      <c r="CI37"/>
      <c r="CJ37"/>
      <c r="CK37"/>
      <c r="CL37"/>
      <c r="CM37"/>
      <c r="CN37"/>
      <c r="CO37"/>
      <c r="CP37"/>
      <c r="CQ37"/>
      <c r="CR37"/>
      <c r="CS37"/>
      <c r="CT37"/>
    </row>
    <row r="38" spans="1:98" x14ac:dyDescent="0.25">
      <c r="A38" s="12" t="s">
        <v>68</v>
      </c>
      <c r="B38" s="61">
        <v>1997207.1500000004</v>
      </c>
      <c r="C38" s="61">
        <v>267275.84999999998</v>
      </c>
      <c r="D38" s="61">
        <v>2264483.0000000005</v>
      </c>
      <c r="E38" s="61">
        <v>0</v>
      </c>
      <c r="F38" s="61">
        <v>2264483.0000000005</v>
      </c>
      <c r="G38"/>
      <c r="K38" s="15" t="s">
        <v>1367</v>
      </c>
      <c r="L38" s="61">
        <v>1</v>
      </c>
      <c r="M38" s="14">
        <v>1</v>
      </c>
      <c r="N38" s="61">
        <v>51329.57</v>
      </c>
      <c r="O38" s="61"/>
      <c r="P38" s="14">
        <v>0</v>
      </c>
      <c r="Q38" s="61"/>
      <c r="R38" s="61">
        <v>1</v>
      </c>
      <c r="S38" s="14">
        <v>1</v>
      </c>
      <c r="T38" s="61">
        <v>51329.57</v>
      </c>
      <c r="V38" s="15" t="s">
        <v>1367</v>
      </c>
      <c r="W38" s="61">
        <v>1</v>
      </c>
      <c r="X38" s="61"/>
      <c r="Y38" s="61">
        <v>1</v>
      </c>
      <c r="Z38"/>
      <c r="AA38" s="15" t="s">
        <v>1367</v>
      </c>
      <c r="AB38" s="61">
        <v>18690</v>
      </c>
      <c r="AE38" s="12" t="str">
        <f t="shared" si="0"/>
        <v>RAMU/VSP , 9703803858</v>
      </c>
      <c r="AF38" s="12">
        <f t="shared" si="1"/>
        <v>1</v>
      </c>
      <c r="AG38" s="12">
        <f t="shared" si="2"/>
        <v>0</v>
      </c>
      <c r="AH38" s="12">
        <f t="shared" si="3"/>
        <v>1</v>
      </c>
      <c r="AI38" s="12">
        <f t="shared" si="4"/>
        <v>51329.57</v>
      </c>
      <c r="AJ38" s="20">
        <v>0.75</v>
      </c>
      <c r="AK38" s="12">
        <f t="shared" si="9"/>
        <v>38497.177499999998</v>
      </c>
      <c r="AL38" s="14">
        <f t="shared" si="5"/>
        <v>1</v>
      </c>
      <c r="AM38" s="12">
        <f t="shared" si="6"/>
        <v>51329.57</v>
      </c>
      <c r="AN38" s="12">
        <f t="shared" si="7"/>
        <v>0</v>
      </c>
      <c r="AO38" s="12">
        <f t="shared" si="8"/>
        <v>18690</v>
      </c>
      <c r="AR38" s="21" t="s">
        <v>116</v>
      </c>
      <c r="AS38" s="21">
        <v>1</v>
      </c>
      <c r="AT38" s="21">
        <v>1</v>
      </c>
      <c r="AU38" s="21">
        <v>0</v>
      </c>
      <c r="AV38" s="21">
        <v>75130.929999999993</v>
      </c>
      <c r="AW38" s="30">
        <v>0.75</v>
      </c>
      <c r="AX38" s="21">
        <v>56348.197499999995</v>
      </c>
      <c r="AY38" s="24">
        <v>0</v>
      </c>
      <c r="AZ38" s="21">
        <v>0</v>
      </c>
      <c r="BA38" s="21">
        <v>1</v>
      </c>
      <c r="BB38" s="21">
        <v>0</v>
      </c>
      <c r="BD38" s="16" t="s">
        <v>61</v>
      </c>
      <c r="BE38" s="17">
        <v>0.25701144249259494</v>
      </c>
      <c r="BF38" s="17">
        <v>0.17994579164373614</v>
      </c>
      <c r="BG38" s="17">
        <v>0.43695723413633114</v>
      </c>
      <c r="BH38" s="17">
        <v>0.56304276586366864</v>
      </c>
      <c r="BI38" s="17">
        <v>1</v>
      </c>
      <c r="BJ38"/>
      <c r="BK38" s="16" t="s">
        <v>61</v>
      </c>
      <c r="BL38" s="17">
        <v>0.30308950400529999</v>
      </c>
      <c r="BM38" s="17">
        <v>0.16079174544470692</v>
      </c>
      <c r="BN38" s="17">
        <v>0.46388124945000697</v>
      </c>
      <c r="BO38" s="17">
        <v>0.53611875054999336</v>
      </c>
      <c r="BP38" s="17">
        <v>1</v>
      </c>
      <c r="BQ38"/>
      <c r="BR38" s="15" t="s">
        <v>1957</v>
      </c>
      <c r="BS38" s="61">
        <v>10</v>
      </c>
      <c r="BT38"/>
      <c r="BU38"/>
      <c r="BV38"/>
      <c r="BW38"/>
      <c r="BX38"/>
      <c r="BY38"/>
      <c r="BZ38" s="32" t="s">
        <v>722</v>
      </c>
      <c r="CA38" s="62">
        <v>15</v>
      </c>
      <c r="CB38" s="62">
        <v>4</v>
      </c>
      <c r="CC38" s="62">
        <v>12</v>
      </c>
      <c r="CD38" s="62">
        <v>16</v>
      </c>
      <c r="CE38" s="62">
        <v>31</v>
      </c>
      <c r="CF38"/>
      <c r="CG38"/>
      <c r="CH38"/>
      <c r="CI38"/>
      <c r="CJ38"/>
      <c r="CK38"/>
      <c r="CL38"/>
      <c r="CM38"/>
      <c r="CN38"/>
      <c r="CO38"/>
      <c r="CP38"/>
      <c r="CQ38"/>
      <c r="CR38"/>
      <c r="CS38"/>
      <c r="CT38"/>
    </row>
    <row r="39" spans="1:98" x14ac:dyDescent="0.25">
      <c r="A39" s="15">
        <v>12</v>
      </c>
      <c r="B39" s="61"/>
      <c r="C39" s="61"/>
      <c r="D39" s="61"/>
      <c r="E39" s="61"/>
      <c r="F39" s="61"/>
      <c r="G39"/>
      <c r="K39" s="15" t="s">
        <v>99</v>
      </c>
      <c r="L39" s="61">
        <v>13</v>
      </c>
      <c r="M39" s="14">
        <v>0.848415415206627</v>
      </c>
      <c r="N39" s="61">
        <v>3680877.2500000005</v>
      </c>
      <c r="O39" s="61">
        <v>7</v>
      </c>
      <c r="P39" s="14">
        <v>0.15158458479337317</v>
      </c>
      <c r="Q39" s="61">
        <v>657654.54</v>
      </c>
      <c r="R39" s="61">
        <v>20</v>
      </c>
      <c r="S39" s="14">
        <v>1</v>
      </c>
      <c r="T39" s="61">
        <v>4338531.79</v>
      </c>
      <c r="V39" s="15" t="s">
        <v>99</v>
      </c>
      <c r="W39" s="61">
        <v>15</v>
      </c>
      <c r="X39" s="61">
        <v>5</v>
      </c>
      <c r="Y39" s="61">
        <v>20</v>
      </c>
      <c r="Z39"/>
      <c r="AA39" s="15" t="s">
        <v>99</v>
      </c>
      <c r="AB39" s="61">
        <v>1833356.83</v>
      </c>
      <c r="AE39" s="12" t="str">
        <f t="shared" si="0"/>
        <v>RANJITH/TS , 7794980652</v>
      </c>
      <c r="AF39" s="12">
        <f t="shared" si="1"/>
        <v>20</v>
      </c>
      <c r="AG39" s="12">
        <f t="shared" si="2"/>
        <v>7</v>
      </c>
      <c r="AH39" s="12">
        <f t="shared" si="3"/>
        <v>13</v>
      </c>
      <c r="AI39" s="12">
        <f t="shared" si="4"/>
        <v>4338531.79</v>
      </c>
      <c r="AJ39" s="20">
        <v>0.75</v>
      </c>
      <c r="AK39" s="12">
        <f t="shared" si="9"/>
        <v>3253898.8425000003</v>
      </c>
      <c r="AL39" s="14">
        <f t="shared" si="5"/>
        <v>0.848415415206627</v>
      </c>
      <c r="AM39" s="12">
        <f t="shared" si="6"/>
        <v>3680877.2500000005</v>
      </c>
      <c r="AN39" s="12">
        <f t="shared" si="7"/>
        <v>5</v>
      </c>
      <c r="AO39" s="12">
        <f t="shared" si="8"/>
        <v>1833356.83</v>
      </c>
      <c r="AR39" s="21" t="s">
        <v>4529</v>
      </c>
      <c r="AS39" s="21">
        <v>1</v>
      </c>
      <c r="AT39" s="21">
        <v>1</v>
      </c>
      <c r="AU39" s="21">
        <v>0</v>
      </c>
      <c r="AV39" s="21">
        <v>158894.04999999999</v>
      </c>
      <c r="AW39" s="30">
        <v>0.75</v>
      </c>
      <c r="AX39" s="21">
        <v>119170.53749999999</v>
      </c>
      <c r="AY39" s="24">
        <v>0</v>
      </c>
      <c r="AZ39" s="21">
        <v>0</v>
      </c>
      <c r="BA39" s="21">
        <v>1</v>
      </c>
      <c r="BB39" s="21">
        <v>0</v>
      </c>
      <c r="BD39" s="12" t="s">
        <v>66</v>
      </c>
      <c r="BE39" s="61">
        <v>8453904.5799999982</v>
      </c>
      <c r="BF39" s="61">
        <v>5918975.9699999997</v>
      </c>
      <c r="BG39" s="61">
        <v>14372880.549999999</v>
      </c>
      <c r="BH39" s="61">
        <v>18520225.289999988</v>
      </c>
      <c r="BI39" s="61">
        <v>32893105.839999996</v>
      </c>
      <c r="BJ39"/>
      <c r="BK39" s="12" t="s">
        <v>66</v>
      </c>
      <c r="BL39" s="61">
        <v>4862683.5100000007</v>
      </c>
      <c r="BM39" s="61">
        <v>2579697.94</v>
      </c>
      <c r="BN39" s="61">
        <v>7442381.4500000011</v>
      </c>
      <c r="BO39" s="61">
        <v>8601339.7800000012</v>
      </c>
      <c r="BP39" s="61">
        <v>16043721.229999997</v>
      </c>
      <c r="BQ39"/>
      <c r="BR39" s="15" t="s">
        <v>1400</v>
      </c>
      <c r="BS39" s="61">
        <v>4</v>
      </c>
      <c r="BT39"/>
      <c r="BU39"/>
      <c r="BV39"/>
      <c r="BW39"/>
      <c r="BX39"/>
      <c r="BY39"/>
      <c r="BZ39" s="32" t="s">
        <v>1367</v>
      </c>
      <c r="CA39" s="62">
        <v>1</v>
      </c>
      <c r="CB39" s="62"/>
      <c r="CC39" s="62"/>
      <c r="CD39" s="62"/>
      <c r="CE39" s="62">
        <v>1</v>
      </c>
      <c r="CF39"/>
      <c r="CG39"/>
      <c r="CH39"/>
      <c r="CI39"/>
      <c r="CJ39"/>
      <c r="CK39"/>
      <c r="CL39"/>
      <c r="CM39"/>
      <c r="CN39"/>
      <c r="CO39"/>
      <c r="CP39"/>
      <c r="CQ39"/>
      <c r="CR39"/>
      <c r="CS39"/>
      <c r="CT39"/>
    </row>
    <row r="40" spans="1:98" x14ac:dyDescent="0.25">
      <c r="A40" s="12" t="s">
        <v>64</v>
      </c>
      <c r="B40" s="61">
        <v>64</v>
      </c>
      <c r="C40" s="61">
        <v>48</v>
      </c>
      <c r="D40" s="61">
        <v>112</v>
      </c>
      <c r="E40" s="61">
        <v>63</v>
      </c>
      <c r="F40" s="61">
        <v>175</v>
      </c>
      <c r="G40"/>
      <c r="K40" s="15" t="s">
        <v>114</v>
      </c>
      <c r="L40" s="61">
        <v>15</v>
      </c>
      <c r="M40" s="14">
        <v>0.33760293657496543</v>
      </c>
      <c r="N40" s="61">
        <v>3642081.32</v>
      </c>
      <c r="O40" s="61">
        <v>36</v>
      </c>
      <c r="P40" s="14">
        <v>0.66239706342503513</v>
      </c>
      <c r="Q40" s="61">
        <v>7145980.4100000011</v>
      </c>
      <c r="R40" s="61">
        <v>51</v>
      </c>
      <c r="S40" s="14">
        <v>1</v>
      </c>
      <c r="T40" s="61">
        <v>10788061.729999995</v>
      </c>
      <c r="V40" s="15" t="s">
        <v>114</v>
      </c>
      <c r="W40" s="61">
        <v>32</v>
      </c>
      <c r="X40" s="61">
        <v>19</v>
      </c>
      <c r="Y40" s="61">
        <v>51</v>
      </c>
      <c r="Z40"/>
      <c r="AA40" s="15" t="s">
        <v>114</v>
      </c>
      <c r="AB40" s="61">
        <v>776525.51</v>
      </c>
      <c r="AE40" s="12" t="str">
        <f t="shared" si="0"/>
        <v>SAGAR/WARANGAL , 7396297747</v>
      </c>
      <c r="AF40" s="12">
        <f t="shared" si="1"/>
        <v>51</v>
      </c>
      <c r="AG40" s="12">
        <f t="shared" si="2"/>
        <v>36</v>
      </c>
      <c r="AH40" s="12">
        <f t="shared" si="3"/>
        <v>15</v>
      </c>
      <c r="AI40" s="12">
        <f t="shared" si="4"/>
        <v>10788061.729999995</v>
      </c>
      <c r="AJ40" s="20">
        <v>0.75</v>
      </c>
      <c r="AK40" s="12">
        <f t="shared" si="9"/>
        <v>8091046.2974999957</v>
      </c>
      <c r="AL40" s="14">
        <f t="shared" si="5"/>
        <v>0.33760293657496543</v>
      </c>
      <c r="AM40" s="12">
        <f t="shared" si="6"/>
        <v>3642081.32</v>
      </c>
      <c r="AN40" s="12">
        <f t="shared" si="7"/>
        <v>19</v>
      </c>
      <c r="AO40" s="12">
        <f t="shared" si="8"/>
        <v>776525.51</v>
      </c>
      <c r="AR40" s="21" t="s">
        <v>92</v>
      </c>
      <c r="AS40" s="21">
        <v>1</v>
      </c>
      <c r="AT40" s="21">
        <v>1</v>
      </c>
      <c r="AU40" s="21">
        <v>0</v>
      </c>
      <c r="AV40" s="21">
        <v>136777.96</v>
      </c>
      <c r="AW40" s="30">
        <v>0.75</v>
      </c>
      <c r="AX40" s="21">
        <v>102583.47</v>
      </c>
      <c r="AY40" s="24">
        <v>0</v>
      </c>
      <c r="AZ40" s="21">
        <v>0</v>
      </c>
      <c r="BA40" s="21">
        <v>0</v>
      </c>
      <c r="BB40" s="21">
        <v>0</v>
      </c>
      <c r="BD40" s="12" t="s">
        <v>68</v>
      </c>
      <c r="BE40" s="61">
        <v>3343911.37</v>
      </c>
      <c r="BF40" s="61">
        <v>547626</v>
      </c>
      <c r="BG40" s="61">
        <v>3891537.37</v>
      </c>
      <c r="BH40" s="61">
        <v>13117</v>
      </c>
      <c r="BI40" s="61">
        <v>3904654.37</v>
      </c>
      <c r="BJ40"/>
      <c r="BK40" s="12" t="s">
        <v>68</v>
      </c>
      <c r="BL40" s="61">
        <v>1589907.96</v>
      </c>
      <c r="BM40" s="61">
        <v>197417.62</v>
      </c>
      <c r="BN40" s="61">
        <v>1787325.58</v>
      </c>
      <c r="BO40" s="61">
        <v>30259</v>
      </c>
      <c r="BP40" s="61">
        <v>1817584.58</v>
      </c>
      <c r="BQ40"/>
      <c r="BR40" s="15" t="s">
        <v>286</v>
      </c>
      <c r="BS40" s="61">
        <v>4</v>
      </c>
      <c r="BT40"/>
      <c r="BU40"/>
      <c r="BV40"/>
      <c r="BW40"/>
      <c r="BX40"/>
      <c r="BY40"/>
      <c r="BZ40" s="32" t="s">
        <v>99</v>
      </c>
      <c r="CA40" s="62">
        <v>13</v>
      </c>
      <c r="CB40" s="62">
        <v>5</v>
      </c>
      <c r="CC40" s="62">
        <v>2</v>
      </c>
      <c r="CD40" s="62">
        <v>7</v>
      </c>
      <c r="CE40" s="62">
        <v>20</v>
      </c>
      <c r="CF40"/>
      <c r="CG40"/>
      <c r="CH40"/>
      <c r="CI40"/>
      <c r="CJ40"/>
      <c r="CK40"/>
      <c r="CL40"/>
      <c r="CM40"/>
      <c r="CN40"/>
      <c r="CO40"/>
      <c r="CP40"/>
      <c r="CQ40"/>
      <c r="CR40"/>
      <c r="CS40"/>
      <c r="CT40"/>
    </row>
    <row r="41" spans="1:98" x14ac:dyDescent="0.25">
      <c r="A41" s="33" t="s">
        <v>61</v>
      </c>
      <c r="B41" s="34">
        <v>0.37570056743804559</v>
      </c>
      <c r="C41" s="34">
        <v>0.2462284129798149</v>
      </c>
      <c r="D41" s="34">
        <v>0.62192898041786038</v>
      </c>
      <c r="E41" s="34">
        <v>0.37807101958213973</v>
      </c>
      <c r="F41" s="34">
        <v>1</v>
      </c>
      <c r="G41"/>
      <c r="K41" s="15" t="s">
        <v>89</v>
      </c>
      <c r="L41" s="61">
        <v>17</v>
      </c>
      <c r="M41" s="14">
        <v>0.43320018041368424</v>
      </c>
      <c r="N41" s="61">
        <v>3691421.19</v>
      </c>
      <c r="O41" s="61">
        <v>24</v>
      </c>
      <c r="P41" s="14">
        <v>0.56679981958631609</v>
      </c>
      <c r="Q41" s="61">
        <v>4829861.4800000004</v>
      </c>
      <c r="R41" s="61">
        <v>41</v>
      </c>
      <c r="S41" s="14">
        <v>1</v>
      </c>
      <c r="T41" s="61">
        <v>8521282.6699999981</v>
      </c>
      <c r="V41" s="15" t="s">
        <v>89</v>
      </c>
      <c r="W41" s="61">
        <v>33</v>
      </c>
      <c r="X41" s="61">
        <v>8</v>
      </c>
      <c r="Y41" s="61">
        <v>41</v>
      </c>
      <c r="Z41"/>
      <c r="AA41" s="15" t="s">
        <v>89</v>
      </c>
      <c r="AB41" s="61">
        <v>1574289.77</v>
      </c>
      <c r="AE41" s="12" t="str">
        <f t="shared" si="0"/>
        <v>SANTHOSH/KARIMNAGAR , 9963176593</v>
      </c>
      <c r="AF41" s="12">
        <f t="shared" si="1"/>
        <v>41</v>
      </c>
      <c r="AG41" s="12">
        <f t="shared" si="2"/>
        <v>24</v>
      </c>
      <c r="AH41" s="12">
        <f t="shared" si="3"/>
        <v>17</v>
      </c>
      <c r="AI41" s="12">
        <f t="shared" si="4"/>
        <v>8521282.6699999981</v>
      </c>
      <c r="AJ41" s="20">
        <v>0.75</v>
      </c>
      <c r="AK41" s="12">
        <f t="shared" si="9"/>
        <v>6390962.0024999985</v>
      </c>
      <c r="AL41" s="14">
        <f t="shared" si="5"/>
        <v>0.43320018041368424</v>
      </c>
      <c r="AM41" s="12">
        <f t="shared" si="6"/>
        <v>3691421.19</v>
      </c>
      <c r="AN41" s="12">
        <f t="shared" si="7"/>
        <v>8</v>
      </c>
      <c r="AO41" s="12">
        <f t="shared" si="8"/>
        <v>1574289.77</v>
      </c>
      <c r="AR41" s="21" t="s">
        <v>86</v>
      </c>
      <c r="AS41" s="21">
        <v>1</v>
      </c>
      <c r="AT41" s="21">
        <v>1</v>
      </c>
      <c r="AU41" s="21">
        <v>0</v>
      </c>
      <c r="AV41" s="21">
        <v>75581.87</v>
      </c>
      <c r="AW41" s="30">
        <v>0.75</v>
      </c>
      <c r="AX41" s="21">
        <v>56686.402499999997</v>
      </c>
      <c r="AY41" s="24">
        <v>0</v>
      </c>
      <c r="AZ41" s="21">
        <v>0</v>
      </c>
      <c r="BA41" s="21">
        <v>0</v>
      </c>
      <c r="BB41" s="21">
        <v>0</v>
      </c>
      <c r="BD41" s="15" t="s">
        <v>323</v>
      </c>
      <c r="BE41" s="61"/>
      <c r="BF41" s="61"/>
      <c r="BG41" s="61"/>
      <c r="BH41" s="61"/>
      <c r="BI41" s="61"/>
      <c r="BJ41"/>
      <c r="BK41" s="15" t="s">
        <v>132</v>
      </c>
      <c r="BL41" s="61"/>
      <c r="BM41" s="61"/>
      <c r="BN41" s="61"/>
      <c r="BO41" s="61"/>
      <c r="BP41" s="61"/>
      <c r="BQ41"/>
      <c r="BR41" s="15" t="s">
        <v>94</v>
      </c>
      <c r="BS41" s="61">
        <v>20</v>
      </c>
      <c r="BT41"/>
      <c r="BU41"/>
      <c r="BV41"/>
      <c r="BW41"/>
      <c r="BX41"/>
      <c r="BY41"/>
      <c r="BZ41" s="32" t="s">
        <v>114</v>
      </c>
      <c r="CA41" s="62">
        <v>15</v>
      </c>
      <c r="CB41" s="62">
        <v>19</v>
      </c>
      <c r="CC41" s="62">
        <v>17</v>
      </c>
      <c r="CD41" s="62">
        <v>36</v>
      </c>
      <c r="CE41" s="62">
        <v>51</v>
      </c>
      <c r="CF41"/>
      <c r="CG41"/>
      <c r="CH41"/>
      <c r="CI41"/>
      <c r="CJ41"/>
      <c r="CK41"/>
      <c r="CL41"/>
      <c r="CM41"/>
      <c r="CN41"/>
      <c r="CO41"/>
      <c r="CP41"/>
      <c r="CQ41"/>
      <c r="CR41"/>
      <c r="CS41"/>
      <c r="CT41"/>
    </row>
    <row r="42" spans="1:98" x14ac:dyDescent="0.25">
      <c r="A42" s="12" t="s">
        <v>66</v>
      </c>
      <c r="B42" s="61">
        <v>11960176.51</v>
      </c>
      <c r="C42" s="61">
        <v>7838516.9900000012</v>
      </c>
      <c r="D42" s="37">
        <v>19798693.499999996</v>
      </c>
      <c r="E42" s="37">
        <v>12035638.270000001</v>
      </c>
      <c r="F42" s="37">
        <v>31834331.769999996</v>
      </c>
      <c r="G42"/>
      <c r="K42" s="15" t="s">
        <v>116</v>
      </c>
      <c r="L42" s="61">
        <v>5</v>
      </c>
      <c r="M42" s="14">
        <v>0.24900800603091477</v>
      </c>
      <c r="N42" s="61">
        <v>709404.15</v>
      </c>
      <c r="O42" s="61">
        <v>16</v>
      </c>
      <c r="P42" s="14">
        <v>0.75099199396908523</v>
      </c>
      <c r="Q42" s="61">
        <v>2139516.9</v>
      </c>
      <c r="R42" s="61">
        <v>21</v>
      </c>
      <c r="S42" s="14">
        <v>1</v>
      </c>
      <c r="T42" s="61">
        <v>2848921.05</v>
      </c>
      <c r="V42" s="15" t="s">
        <v>116</v>
      </c>
      <c r="W42" s="61">
        <v>6</v>
      </c>
      <c r="X42" s="61">
        <v>15</v>
      </c>
      <c r="Y42" s="61">
        <v>21</v>
      </c>
      <c r="Z42"/>
      <c r="AA42" s="15" t="s">
        <v>116</v>
      </c>
      <c r="AB42" s="61">
        <v>410588.86</v>
      </c>
      <c r="AE42" s="12" t="str">
        <f t="shared" si="0"/>
        <v>SEKAR/TIRUPATI , 8500444601</v>
      </c>
      <c r="AF42" s="12">
        <f t="shared" si="1"/>
        <v>21</v>
      </c>
      <c r="AG42" s="12">
        <f t="shared" si="2"/>
        <v>16</v>
      </c>
      <c r="AH42" s="12">
        <f t="shared" si="3"/>
        <v>5</v>
      </c>
      <c r="AI42" s="12">
        <f t="shared" si="4"/>
        <v>2848921.05</v>
      </c>
      <c r="AJ42" s="20">
        <v>0.75</v>
      </c>
      <c r="AK42" s="12">
        <f t="shared" si="9"/>
        <v>2136690.7874999996</v>
      </c>
      <c r="AL42" s="14">
        <f t="shared" si="5"/>
        <v>0.24900800603091477</v>
      </c>
      <c r="AM42" s="12">
        <f t="shared" si="6"/>
        <v>709404.15</v>
      </c>
      <c r="AN42" s="12">
        <f t="shared" si="7"/>
        <v>15</v>
      </c>
      <c r="AO42" s="12">
        <f t="shared" si="8"/>
        <v>410588.86</v>
      </c>
      <c r="AR42" s="21" t="s">
        <v>524</v>
      </c>
      <c r="AS42" s="21">
        <v>1</v>
      </c>
      <c r="AT42" s="21">
        <v>1</v>
      </c>
      <c r="AU42" s="21">
        <v>0</v>
      </c>
      <c r="AV42" s="21">
        <v>63704.27</v>
      </c>
      <c r="AW42" s="30">
        <v>0.75</v>
      </c>
      <c r="AX42" s="21">
        <v>47778.202499999999</v>
      </c>
      <c r="AY42" s="24">
        <v>0</v>
      </c>
      <c r="AZ42" s="21">
        <v>0</v>
      </c>
      <c r="BA42" s="21">
        <v>0</v>
      </c>
      <c r="BB42" s="21">
        <v>0</v>
      </c>
      <c r="BD42" s="12" t="s">
        <v>64</v>
      </c>
      <c r="BE42" s="61">
        <v>8</v>
      </c>
      <c r="BF42" s="61">
        <v>5</v>
      </c>
      <c r="BG42" s="61">
        <v>13</v>
      </c>
      <c r="BH42" s="61">
        <v>17</v>
      </c>
      <c r="BI42" s="61">
        <v>30</v>
      </c>
      <c r="BJ42"/>
      <c r="BK42" s="12" t="s">
        <v>64</v>
      </c>
      <c r="BL42" s="61">
        <v>25</v>
      </c>
      <c r="BM42" s="61">
        <v>20</v>
      </c>
      <c r="BN42" s="61">
        <v>45</v>
      </c>
      <c r="BO42" s="61">
        <v>39</v>
      </c>
      <c r="BP42" s="61">
        <v>84</v>
      </c>
      <c r="BQ42"/>
      <c r="BR42" s="15" t="s">
        <v>60</v>
      </c>
      <c r="BS42" s="61">
        <v>7</v>
      </c>
      <c r="BT42"/>
      <c r="BU42"/>
      <c r="BV42"/>
      <c r="BW42"/>
      <c r="BX42"/>
      <c r="BY42"/>
      <c r="BZ42" s="32" t="s">
        <v>89</v>
      </c>
      <c r="CA42" s="62">
        <v>17</v>
      </c>
      <c r="CB42" s="62">
        <v>8</v>
      </c>
      <c r="CC42" s="62">
        <v>16</v>
      </c>
      <c r="CD42" s="62">
        <v>24</v>
      </c>
      <c r="CE42" s="62">
        <v>41</v>
      </c>
      <c r="CF42"/>
      <c r="CG42"/>
      <c r="CH42"/>
      <c r="CI42"/>
      <c r="CJ42"/>
      <c r="CK42"/>
      <c r="CL42"/>
      <c r="CM42"/>
      <c r="CN42"/>
      <c r="CO42"/>
      <c r="CP42"/>
      <c r="CQ42"/>
      <c r="CR42"/>
      <c r="CS42"/>
      <c r="CT42"/>
    </row>
    <row r="43" spans="1:98" x14ac:dyDescent="0.25">
      <c r="A43" s="12" t="s">
        <v>68</v>
      </c>
      <c r="B43" s="61">
        <v>7257043.7599999979</v>
      </c>
      <c r="C43" s="61">
        <v>872354.32</v>
      </c>
      <c r="D43" s="61">
        <v>8129398.0799999973</v>
      </c>
      <c r="E43" s="61">
        <v>0</v>
      </c>
      <c r="F43" s="61">
        <v>8129398.0799999973</v>
      </c>
      <c r="G43"/>
      <c r="K43" s="15" t="s">
        <v>723</v>
      </c>
      <c r="L43" s="61">
        <v>9</v>
      </c>
      <c r="M43" s="14">
        <v>0.34633673907042567</v>
      </c>
      <c r="N43" s="61">
        <v>1352403.6099999999</v>
      </c>
      <c r="O43" s="61">
        <v>8</v>
      </c>
      <c r="P43" s="14">
        <v>0.65366326092957416</v>
      </c>
      <c r="Q43" s="61">
        <v>2552476.9799999995</v>
      </c>
      <c r="R43" s="61">
        <v>17</v>
      </c>
      <c r="S43" s="14">
        <v>1</v>
      </c>
      <c r="T43" s="61">
        <v>3904880.59</v>
      </c>
      <c r="V43" s="15" t="s">
        <v>723</v>
      </c>
      <c r="W43" s="61">
        <v>10</v>
      </c>
      <c r="X43" s="61">
        <v>7</v>
      </c>
      <c r="Y43" s="61">
        <v>17</v>
      </c>
      <c r="Z43"/>
      <c r="AA43" s="15" t="s">
        <v>723</v>
      </c>
      <c r="AB43" s="61">
        <v>400424.69</v>
      </c>
      <c r="AE43" s="12" t="str">
        <f t="shared" si="0"/>
        <v>SIVAKUMAR/NALGONDA , 9100418645</v>
      </c>
      <c r="AF43" s="12">
        <f t="shared" si="1"/>
        <v>17</v>
      </c>
      <c r="AG43" s="12">
        <f t="shared" si="2"/>
        <v>8</v>
      </c>
      <c r="AH43" s="12">
        <f t="shared" si="3"/>
        <v>9</v>
      </c>
      <c r="AI43" s="12">
        <f t="shared" si="4"/>
        <v>3904880.59</v>
      </c>
      <c r="AJ43" s="20">
        <v>0.75</v>
      </c>
      <c r="AK43" s="12">
        <f t="shared" si="9"/>
        <v>2928660.4424999999</v>
      </c>
      <c r="AL43" s="14">
        <f t="shared" si="5"/>
        <v>0.34633673907042567</v>
      </c>
      <c r="AM43" s="12">
        <f t="shared" si="6"/>
        <v>1352403.6099999999</v>
      </c>
      <c r="AN43" s="12">
        <f t="shared" si="7"/>
        <v>7</v>
      </c>
      <c r="AO43" s="12">
        <f t="shared" si="8"/>
        <v>400424.69</v>
      </c>
      <c r="AR43" s="21" t="s">
        <v>50</v>
      </c>
      <c r="AS43" s="21">
        <v>119</v>
      </c>
      <c r="AT43" s="21">
        <v>79</v>
      </c>
      <c r="AU43" s="21">
        <v>40</v>
      </c>
      <c r="AV43" s="21">
        <v>21727101.369999994</v>
      </c>
      <c r="AW43" s="30">
        <v>0.75</v>
      </c>
      <c r="AX43" s="21">
        <v>16295326.027499996</v>
      </c>
      <c r="AY43" s="24">
        <v>0.37448826382495037</v>
      </c>
      <c r="AZ43" s="21">
        <v>8136544.4699999988</v>
      </c>
      <c r="BA43" s="21">
        <v>51</v>
      </c>
      <c r="BB43" s="21">
        <v>1967484.98</v>
      </c>
      <c r="BD43" s="16" t="s">
        <v>61</v>
      </c>
      <c r="BE43" s="17">
        <v>0.3146276373731311</v>
      </c>
      <c r="BF43" s="17">
        <v>0.21112545713516753</v>
      </c>
      <c r="BG43" s="17">
        <v>0.52575309450829866</v>
      </c>
      <c r="BH43" s="17">
        <v>0.47424690549170118</v>
      </c>
      <c r="BI43" s="17">
        <v>1</v>
      </c>
      <c r="BJ43"/>
      <c r="BK43" s="16" t="s">
        <v>61</v>
      </c>
      <c r="BL43" s="17">
        <v>0.32693435893434741</v>
      </c>
      <c r="BM43" s="17">
        <v>0.19445755225168618</v>
      </c>
      <c r="BN43" s="17">
        <v>0.52139191118603356</v>
      </c>
      <c r="BO43" s="17">
        <v>0.47860808881396644</v>
      </c>
      <c r="BP43" s="17">
        <v>1</v>
      </c>
      <c r="BQ43"/>
      <c r="BR43" s="15" t="s">
        <v>353</v>
      </c>
      <c r="BS43" s="61">
        <v>4</v>
      </c>
      <c r="BT43"/>
      <c r="BU43"/>
      <c r="BV43"/>
      <c r="BW43"/>
      <c r="BX43"/>
      <c r="BY43"/>
      <c r="BZ43" s="32" t="s">
        <v>116</v>
      </c>
      <c r="CA43" s="62">
        <v>5</v>
      </c>
      <c r="CB43" s="62">
        <v>14</v>
      </c>
      <c r="CC43" s="62">
        <v>2</v>
      </c>
      <c r="CD43" s="62">
        <v>16</v>
      </c>
      <c r="CE43" s="62">
        <v>21</v>
      </c>
      <c r="CF43"/>
      <c r="CG43"/>
      <c r="CH43"/>
      <c r="CI43"/>
      <c r="CJ43"/>
      <c r="CK43"/>
      <c r="CL43"/>
      <c r="CM43"/>
      <c r="CN43"/>
      <c r="CO43"/>
      <c r="CP43"/>
      <c r="CQ43"/>
      <c r="CR43"/>
      <c r="CS43"/>
      <c r="CT43"/>
    </row>
    <row r="44" spans="1:98" x14ac:dyDescent="0.25">
      <c r="A44" s="15">
        <v>14</v>
      </c>
      <c r="B44" s="61"/>
      <c r="C44" s="61"/>
      <c r="D44" s="61"/>
      <c r="E44" s="61"/>
      <c r="F44" s="61"/>
      <c r="G44"/>
      <c r="K44" s="15" t="s">
        <v>55</v>
      </c>
      <c r="L44" s="61">
        <v>39</v>
      </c>
      <c r="M44" s="14">
        <v>0.59510601094686688</v>
      </c>
      <c r="N44" s="61">
        <v>7262676.8699999992</v>
      </c>
      <c r="O44" s="61">
        <v>24</v>
      </c>
      <c r="P44" s="14">
        <v>0.40489398905313329</v>
      </c>
      <c r="Q44" s="61">
        <v>4941328.3600000003</v>
      </c>
      <c r="R44" s="61">
        <v>63</v>
      </c>
      <c r="S44" s="14">
        <v>1</v>
      </c>
      <c r="T44" s="61">
        <v>12204005.229999997</v>
      </c>
      <c r="V44" s="15" t="s">
        <v>55</v>
      </c>
      <c r="W44" s="61">
        <v>44</v>
      </c>
      <c r="X44" s="61">
        <v>19</v>
      </c>
      <c r="Y44" s="61">
        <v>63</v>
      </c>
      <c r="Z44"/>
      <c r="AA44" s="15" t="s">
        <v>55</v>
      </c>
      <c r="AB44" s="61">
        <v>2343054.33</v>
      </c>
      <c r="AE44" s="12" t="str">
        <f t="shared" si="0"/>
        <v>SRIKANTH/ANANTHAPUR , 9182336153</v>
      </c>
      <c r="AF44" s="12">
        <f t="shared" si="1"/>
        <v>63</v>
      </c>
      <c r="AG44" s="12">
        <f t="shared" si="2"/>
        <v>24</v>
      </c>
      <c r="AH44" s="12">
        <f t="shared" si="3"/>
        <v>39</v>
      </c>
      <c r="AI44" s="12">
        <f t="shared" si="4"/>
        <v>12204005.229999997</v>
      </c>
      <c r="AJ44" s="20">
        <v>0.75</v>
      </c>
      <c r="AK44" s="12">
        <f t="shared" si="9"/>
        <v>9153003.9224999975</v>
      </c>
      <c r="AL44" s="14">
        <f t="shared" si="5"/>
        <v>0.59510601094686688</v>
      </c>
      <c r="AM44" s="12">
        <f t="shared" si="6"/>
        <v>7262676.8699999992</v>
      </c>
      <c r="AN44" s="12">
        <f t="shared" si="7"/>
        <v>19</v>
      </c>
      <c r="AO44" s="12">
        <f t="shared" si="8"/>
        <v>2343054.33</v>
      </c>
      <c r="AR44" s="21"/>
      <c r="AS44" s="21"/>
      <c r="AT44" s="21"/>
      <c r="AU44" s="21"/>
      <c r="AV44" s="21"/>
      <c r="AW44" s="30"/>
      <c r="AX44" s="21"/>
      <c r="AY44" s="24"/>
      <c r="AZ44" s="21"/>
      <c r="BA44" s="21"/>
      <c r="BB44" s="21"/>
      <c r="BD44" s="12" t="s">
        <v>66</v>
      </c>
      <c r="BE44" s="61">
        <v>1545265.6800000002</v>
      </c>
      <c r="BF44" s="61">
        <v>1036923.9199999999</v>
      </c>
      <c r="BG44" s="61">
        <v>2582189.6000000006</v>
      </c>
      <c r="BH44" s="61">
        <v>2329221.5299999998</v>
      </c>
      <c r="BI44" s="61">
        <v>4911411.1300000008</v>
      </c>
      <c r="BJ44"/>
      <c r="BK44" s="12" t="s">
        <v>66</v>
      </c>
      <c r="BL44" s="61">
        <v>5100623.1900000004</v>
      </c>
      <c r="BM44" s="61">
        <v>3033803.8000000007</v>
      </c>
      <c r="BN44" s="61">
        <v>8134426.9900000012</v>
      </c>
      <c r="BO44" s="61">
        <v>7466940.8399999989</v>
      </c>
      <c r="BP44" s="61">
        <v>15601367.83</v>
      </c>
      <c r="BQ44"/>
      <c r="BR44" s="15" t="s">
        <v>354</v>
      </c>
      <c r="BS44" s="61">
        <v>42</v>
      </c>
      <c r="BT44"/>
      <c r="BU44"/>
      <c r="BV44"/>
      <c r="BW44"/>
      <c r="BX44"/>
      <c r="BY44"/>
      <c r="BZ44" s="32" t="s">
        <v>723</v>
      </c>
      <c r="CA44" s="62">
        <v>9</v>
      </c>
      <c r="CB44" s="62">
        <v>7</v>
      </c>
      <c r="CC44" s="62">
        <v>1</v>
      </c>
      <c r="CD44" s="62">
        <v>8</v>
      </c>
      <c r="CE44" s="62">
        <v>17</v>
      </c>
      <c r="CF44"/>
      <c r="CG44"/>
      <c r="CH44"/>
      <c r="CI44"/>
      <c r="CJ44"/>
      <c r="CK44"/>
      <c r="CL44"/>
      <c r="CM44"/>
      <c r="CN44"/>
      <c r="CO44"/>
      <c r="CP44"/>
      <c r="CQ44"/>
      <c r="CR44"/>
      <c r="CS44"/>
      <c r="CT44"/>
    </row>
    <row r="45" spans="1:98" x14ac:dyDescent="0.25">
      <c r="A45" s="12" t="s">
        <v>64</v>
      </c>
      <c r="B45" s="61">
        <v>3</v>
      </c>
      <c r="C45" s="61">
        <v>1</v>
      </c>
      <c r="D45" s="61">
        <v>4</v>
      </c>
      <c r="E45" s="61">
        <v>7</v>
      </c>
      <c r="F45" s="61">
        <v>11</v>
      </c>
      <c r="G45"/>
      <c r="K45" s="15" t="s">
        <v>86</v>
      </c>
      <c r="L45" s="61">
        <v>12</v>
      </c>
      <c r="M45" s="14">
        <v>0.6115642869919139</v>
      </c>
      <c r="N45" s="61">
        <v>2140687.89</v>
      </c>
      <c r="O45" s="61">
        <v>10</v>
      </c>
      <c r="P45" s="14">
        <v>0.38843571300808638</v>
      </c>
      <c r="Q45" s="61">
        <v>1359660.2100000002</v>
      </c>
      <c r="R45" s="61">
        <v>22</v>
      </c>
      <c r="S45" s="14">
        <v>1</v>
      </c>
      <c r="T45" s="61">
        <v>3500348.0999999992</v>
      </c>
      <c r="V45" s="15" t="s">
        <v>86</v>
      </c>
      <c r="W45" s="61">
        <v>20</v>
      </c>
      <c r="X45" s="61">
        <v>2</v>
      </c>
      <c r="Y45" s="61">
        <v>22</v>
      </c>
      <c r="Z45"/>
      <c r="AA45" s="15" t="s">
        <v>86</v>
      </c>
      <c r="AB45" s="61">
        <v>512341.20999999996</v>
      </c>
      <c r="AE45" s="12" t="str">
        <f t="shared" si="0"/>
        <v>SRIKANTH/NALGONDA , 9603185469</v>
      </c>
      <c r="AF45" s="12">
        <f t="shared" si="1"/>
        <v>22</v>
      </c>
      <c r="AG45" s="12">
        <f t="shared" si="2"/>
        <v>10</v>
      </c>
      <c r="AH45" s="12">
        <f t="shared" si="3"/>
        <v>12</v>
      </c>
      <c r="AI45" s="12">
        <f t="shared" si="4"/>
        <v>3500348.0999999992</v>
      </c>
      <c r="AJ45" s="20">
        <v>0.75</v>
      </c>
      <c r="AK45" s="12">
        <f t="shared" si="9"/>
        <v>2625261.0749999993</v>
      </c>
      <c r="AL45" s="14">
        <f t="shared" si="5"/>
        <v>0.6115642869919139</v>
      </c>
      <c r="AM45" s="12">
        <f t="shared" si="6"/>
        <v>2140687.89</v>
      </c>
      <c r="AN45" s="12">
        <f t="shared" si="7"/>
        <v>2</v>
      </c>
      <c r="AO45" s="12">
        <f t="shared" si="8"/>
        <v>512341.20999999996</v>
      </c>
      <c r="BD45" s="12" t="s">
        <v>68</v>
      </c>
      <c r="BE45" s="61">
        <v>856707.10000000009</v>
      </c>
      <c r="BF45" s="61">
        <v>163501.38</v>
      </c>
      <c r="BG45" s="61">
        <v>1020208.48</v>
      </c>
      <c r="BH45" s="61">
        <v>0</v>
      </c>
      <c r="BI45" s="61">
        <v>1020208.48</v>
      </c>
      <c r="BK45" s="12" t="s">
        <v>68</v>
      </c>
      <c r="BL45" s="61">
        <v>2204868.84</v>
      </c>
      <c r="BM45" s="61">
        <v>290535.09999999998</v>
      </c>
      <c r="BN45" s="61">
        <v>2495403.94</v>
      </c>
      <c r="BO45" s="61">
        <v>2922</v>
      </c>
      <c r="BP45" s="61">
        <v>2498325.94</v>
      </c>
      <c r="BQ45"/>
      <c r="BR45" s="15" t="s">
        <v>2000</v>
      </c>
      <c r="BS45" s="61">
        <v>5</v>
      </c>
      <c r="BT45"/>
      <c r="BU45"/>
      <c r="BV45"/>
      <c r="BW45"/>
      <c r="BX45"/>
      <c r="BY45"/>
      <c r="BZ45" s="32" t="s">
        <v>55</v>
      </c>
      <c r="CA45" s="62">
        <v>39</v>
      </c>
      <c r="CB45" s="62">
        <v>18</v>
      </c>
      <c r="CC45" s="62">
        <v>6</v>
      </c>
      <c r="CD45" s="62">
        <v>24</v>
      </c>
      <c r="CE45" s="62">
        <v>63</v>
      </c>
      <c r="CF45"/>
      <c r="CG45"/>
      <c r="CH45"/>
      <c r="CI45"/>
      <c r="CJ45"/>
      <c r="CK45"/>
      <c r="CL45"/>
      <c r="CM45"/>
      <c r="CN45"/>
      <c r="CO45"/>
      <c r="CP45"/>
      <c r="CQ45"/>
      <c r="CR45"/>
      <c r="CS45"/>
      <c r="CT45"/>
    </row>
    <row r="46" spans="1:98" x14ac:dyDescent="0.25">
      <c r="A46" s="33" t="s">
        <v>61</v>
      </c>
      <c r="B46" s="34">
        <v>0.23916718320782276</v>
      </c>
      <c r="C46" s="34">
        <v>7.3625710223817198E-2</v>
      </c>
      <c r="D46" s="34">
        <v>0.31279289343163996</v>
      </c>
      <c r="E46" s="34">
        <v>0.68720710656836015</v>
      </c>
      <c r="F46" s="34">
        <v>1</v>
      </c>
      <c r="G46"/>
      <c r="K46" s="15" t="s">
        <v>1361</v>
      </c>
      <c r="L46" s="61">
        <v>13</v>
      </c>
      <c r="M46" s="14">
        <v>0.59114898928969961</v>
      </c>
      <c r="N46" s="61">
        <v>2950981.0599999996</v>
      </c>
      <c r="O46" s="61">
        <v>8</v>
      </c>
      <c r="P46" s="14">
        <v>0.40885101071030017</v>
      </c>
      <c r="Q46" s="61">
        <v>2040960.25</v>
      </c>
      <c r="R46" s="61">
        <v>21</v>
      </c>
      <c r="S46" s="14">
        <v>1</v>
      </c>
      <c r="T46" s="61">
        <v>4991941.3100000005</v>
      </c>
      <c r="V46" s="15" t="s">
        <v>1361</v>
      </c>
      <c r="W46" s="61">
        <v>19</v>
      </c>
      <c r="X46" s="61">
        <v>2</v>
      </c>
      <c r="Y46" s="61">
        <v>21</v>
      </c>
      <c r="Z46"/>
      <c r="AA46" s="15" t="s">
        <v>1361</v>
      </c>
      <c r="AB46" s="61">
        <v>724807.12</v>
      </c>
      <c r="AE46" s="12" t="str">
        <f t="shared" ref="AE46:AE49" si="10">K46</f>
        <v>SRINIU/WEST , 9154934446</v>
      </c>
      <c r="AF46" s="12">
        <f t="shared" ref="AF46:AF49" si="11">R46</f>
        <v>21</v>
      </c>
      <c r="AG46" s="12">
        <f t="shared" ref="AG46:AG49" si="12">O46</f>
        <v>8</v>
      </c>
      <c r="AH46" s="12">
        <f t="shared" ref="AH46:AH49" si="13">L46</f>
        <v>13</v>
      </c>
      <c r="AI46" s="12">
        <f t="shared" ref="AI46:AI49" si="14">T46</f>
        <v>4991941.3100000005</v>
      </c>
      <c r="AJ46" s="20">
        <v>0.75</v>
      </c>
      <c r="AK46" s="12">
        <f t="shared" ref="AK46:AK49" si="15">AI46*AJ46</f>
        <v>3743955.9825000004</v>
      </c>
      <c r="AL46" s="14">
        <f t="shared" ref="AL46:AL49" si="16">M46</f>
        <v>0.59114898928969961</v>
      </c>
      <c r="AM46" s="12">
        <f t="shared" ref="AM46:AM49" si="17">N46</f>
        <v>2950981.0599999996</v>
      </c>
      <c r="AN46" s="12">
        <f t="shared" ref="AN46:AN49" si="18">X46</f>
        <v>2</v>
      </c>
      <c r="AO46" s="12">
        <f t="shared" ref="AO46:AO49" si="19">AB46</f>
        <v>724807.12</v>
      </c>
      <c r="AR46" s="21"/>
      <c r="AS46" s="21"/>
      <c r="AT46" s="21"/>
      <c r="AU46" s="21"/>
      <c r="AV46" s="21"/>
      <c r="AW46" s="30"/>
      <c r="AX46" s="21"/>
      <c r="AY46" s="24"/>
      <c r="AZ46" s="21"/>
      <c r="BA46" s="21"/>
      <c r="BB46" s="21"/>
      <c r="BD46" s="12" t="s">
        <v>65</v>
      </c>
      <c r="BE46" s="61">
        <v>264</v>
      </c>
      <c r="BF46" s="61">
        <v>182</v>
      </c>
      <c r="BG46" s="61">
        <v>446</v>
      </c>
      <c r="BH46" s="61">
        <v>503</v>
      </c>
      <c r="BI46" s="61">
        <v>949</v>
      </c>
      <c r="BK46" s="15" t="s">
        <v>133</v>
      </c>
      <c r="BL46" s="61"/>
      <c r="BM46" s="61"/>
      <c r="BN46" s="61"/>
      <c r="BO46" s="61"/>
      <c r="BP46" s="61"/>
      <c r="BQ46"/>
      <c r="BR46" s="15" t="s">
        <v>117</v>
      </c>
      <c r="BS46" s="61">
        <v>12</v>
      </c>
      <c r="BT46"/>
      <c r="BU46"/>
      <c r="BV46"/>
      <c r="BW46"/>
      <c r="BX46"/>
      <c r="BY46"/>
      <c r="BZ46" s="32" t="s">
        <v>86</v>
      </c>
      <c r="CA46" s="62">
        <v>12</v>
      </c>
      <c r="CB46" s="62">
        <v>2</v>
      </c>
      <c r="CC46" s="62">
        <v>8</v>
      </c>
      <c r="CD46" s="62">
        <v>10</v>
      </c>
      <c r="CE46" s="62">
        <v>22</v>
      </c>
      <c r="CF46"/>
      <c r="CG46"/>
      <c r="CH46"/>
      <c r="CI46"/>
      <c r="CJ46"/>
      <c r="CK46"/>
      <c r="CL46"/>
      <c r="CM46"/>
      <c r="CN46"/>
      <c r="CO46"/>
      <c r="CP46"/>
      <c r="CQ46"/>
      <c r="CR46"/>
      <c r="CS46"/>
      <c r="CT46"/>
    </row>
    <row r="47" spans="1:98" x14ac:dyDescent="0.25">
      <c r="A47" s="12" t="s">
        <v>66</v>
      </c>
      <c r="B47" s="61">
        <v>245784.7</v>
      </c>
      <c r="C47" s="61">
        <v>75662.86</v>
      </c>
      <c r="D47" s="37">
        <v>321447.56</v>
      </c>
      <c r="E47" s="37">
        <v>706221.44000000006</v>
      </c>
      <c r="F47" s="37">
        <v>1027669</v>
      </c>
      <c r="G47"/>
      <c r="K47" s="15" t="s">
        <v>524</v>
      </c>
      <c r="L47" s="61">
        <v>4</v>
      </c>
      <c r="M47" s="14">
        <v>0.80721669991064626</v>
      </c>
      <c r="N47" s="61">
        <v>451589.02</v>
      </c>
      <c r="O47" s="61">
        <v>1</v>
      </c>
      <c r="P47" s="14">
        <v>0.19278330008935368</v>
      </c>
      <c r="Q47" s="61">
        <v>107850.62</v>
      </c>
      <c r="R47" s="61">
        <v>5</v>
      </c>
      <c r="S47" s="14">
        <v>1</v>
      </c>
      <c r="T47" s="61">
        <v>559439.64</v>
      </c>
      <c r="V47" s="15" t="s">
        <v>524</v>
      </c>
      <c r="W47" s="61">
        <v>4</v>
      </c>
      <c r="X47" s="61">
        <v>1</v>
      </c>
      <c r="Y47" s="61">
        <v>5</v>
      </c>
      <c r="Z47"/>
      <c r="AA47" s="15" t="s">
        <v>524</v>
      </c>
      <c r="AB47" s="61">
        <v>116208.98999999999</v>
      </c>
      <c r="AE47" s="12" t="str">
        <f t="shared" si="10"/>
        <v>SRINIVAS/GTR , 9966922101</v>
      </c>
      <c r="AF47" s="12">
        <f t="shared" si="11"/>
        <v>5</v>
      </c>
      <c r="AG47" s="12">
        <f t="shared" si="12"/>
        <v>1</v>
      </c>
      <c r="AH47" s="12">
        <f t="shared" si="13"/>
        <v>4</v>
      </c>
      <c r="AI47" s="12">
        <f t="shared" si="14"/>
        <v>559439.64</v>
      </c>
      <c r="AJ47" s="20">
        <v>0.75</v>
      </c>
      <c r="AK47" s="12">
        <f t="shared" si="15"/>
        <v>419579.73</v>
      </c>
      <c r="AL47" s="14">
        <f t="shared" si="16"/>
        <v>0.80721669991064626</v>
      </c>
      <c r="AM47" s="12">
        <f t="shared" si="17"/>
        <v>451589.02</v>
      </c>
      <c r="AN47" s="12">
        <f t="shared" si="18"/>
        <v>1</v>
      </c>
      <c r="AO47" s="12">
        <f t="shared" si="19"/>
        <v>116208.98999999999</v>
      </c>
      <c r="AR47" s="21"/>
      <c r="AS47" s="21"/>
      <c r="AT47" s="21"/>
      <c r="AU47" s="21"/>
      <c r="AV47" s="21"/>
      <c r="AW47" s="30"/>
      <c r="AX47" s="21"/>
      <c r="AY47" s="24"/>
      <c r="AZ47" s="21"/>
      <c r="BA47" s="21"/>
      <c r="BB47" s="21"/>
      <c r="BD47" s="12" t="s">
        <v>62</v>
      </c>
      <c r="BE47" s="17">
        <v>0.28997173537837584</v>
      </c>
      <c r="BF47" s="17">
        <v>0.17274840172449205</v>
      </c>
      <c r="BG47" s="17">
        <v>0.4627201371028678</v>
      </c>
      <c r="BH47" s="17">
        <v>0.53727986289713192</v>
      </c>
      <c r="BI47" s="17">
        <v>1</v>
      </c>
      <c r="BK47" s="12" t="s">
        <v>64</v>
      </c>
      <c r="BL47" s="61">
        <v>27</v>
      </c>
      <c r="BM47" s="61">
        <v>32</v>
      </c>
      <c r="BN47" s="61">
        <v>59</v>
      </c>
      <c r="BO47" s="61">
        <v>32</v>
      </c>
      <c r="BP47" s="61">
        <v>91</v>
      </c>
      <c r="BQ47"/>
      <c r="BR47" s="15" t="s">
        <v>525</v>
      </c>
      <c r="BS47" s="61">
        <v>4</v>
      </c>
      <c r="BT47"/>
      <c r="BU47"/>
      <c r="BV47"/>
      <c r="BW47"/>
      <c r="BX47"/>
      <c r="BY47"/>
      <c r="BZ47" s="32" t="s">
        <v>1361</v>
      </c>
      <c r="CA47" s="62">
        <v>13</v>
      </c>
      <c r="CB47" s="62">
        <v>2</v>
      </c>
      <c r="CC47" s="62">
        <v>6</v>
      </c>
      <c r="CD47" s="62">
        <v>8</v>
      </c>
      <c r="CE47" s="62">
        <v>21</v>
      </c>
      <c r="CF47"/>
      <c r="CG47"/>
      <c r="CH47"/>
      <c r="CI47"/>
      <c r="CJ47"/>
      <c r="CK47"/>
      <c r="CL47"/>
    </row>
    <row r="48" spans="1:98" x14ac:dyDescent="0.25">
      <c r="A48" s="12" t="s">
        <v>68</v>
      </c>
      <c r="B48" s="61">
        <v>142614.34</v>
      </c>
      <c r="C48" s="61">
        <v>5500</v>
      </c>
      <c r="D48" s="61">
        <v>148114.34</v>
      </c>
      <c r="E48" s="61">
        <v>0</v>
      </c>
      <c r="F48" s="61">
        <v>148114.34</v>
      </c>
      <c r="G48"/>
      <c r="K48" s="15" t="s">
        <v>4529</v>
      </c>
      <c r="L48" s="61">
        <v>3</v>
      </c>
      <c r="M48" s="14">
        <v>0.52921400564694532</v>
      </c>
      <c r="N48" s="61">
        <v>727793.93</v>
      </c>
      <c r="O48" s="61">
        <v>6</v>
      </c>
      <c r="P48" s="14">
        <v>0.47078599435305485</v>
      </c>
      <c r="Q48" s="61">
        <v>647441.65</v>
      </c>
      <c r="R48" s="61">
        <v>9</v>
      </c>
      <c r="S48" s="14">
        <v>1</v>
      </c>
      <c r="T48" s="61">
        <v>1375235.5799999998</v>
      </c>
      <c r="V48" s="15" t="s">
        <v>4529</v>
      </c>
      <c r="W48" s="61">
        <v>4</v>
      </c>
      <c r="X48" s="61">
        <v>5</v>
      </c>
      <c r="Y48" s="61">
        <v>9</v>
      </c>
      <c r="Z48"/>
      <c r="AA48" s="15" t="s">
        <v>4529</v>
      </c>
      <c r="AB48" s="61">
        <v>74415</v>
      </c>
      <c r="AE48" s="12" t="str">
        <f t="shared" si="10"/>
        <v>SRINIVAS/PEDDAPALLI , 9908649882</v>
      </c>
      <c r="AF48" s="12">
        <f t="shared" si="11"/>
        <v>9</v>
      </c>
      <c r="AG48" s="12">
        <f t="shared" si="12"/>
        <v>6</v>
      </c>
      <c r="AH48" s="12">
        <f t="shared" si="13"/>
        <v>3</v>
      </c>
      <c r="AI48" s="12">
        <f t="shared" si="14"/>
        <v>1375235.5799999998</v>
      </c>
      <c r="AJ48" s="20">
        <v>0.75</v>
      </c>
      <c r="AK48" s="12">
        <f t="shared" si="15"/>
        <v>1031426.6849999998</v>
      </c>
      <c r="AL48" s="14">
        <f t="shared" si="16"/>
        <v>0.52921400564694532</v>
      </c>
      <c r="AM48" s="12">
        <f t="shared" si="17"/>
        <v>727793.93</v>
      </c>
      <c r="AN48" s="12">
        <f t="shared" si="18"/>
        <v>5</v>
      </c>
      <c r="AO48" s="12">
        <f t="shared" si="19"/>
        <v>74415</v>
      </c>
      <c r="AR48" s="21"/>
      <c r="AS48" s="21"/>
      <c r="AT48" s="21"/>
      <c r="AU48" s="21"/>
      <c r="AV48" s="21"/>
      <c r="AW48" s="30"/>
      <c r="AX48" s="21"/>
      <c r="AY48" s="24"/>
      <c r="AZ48" s="21"/>
      <c r="BA48" s="21"/>
      <c r="BB48" s="21"/>
      <c r="BD48" s="12" t="s">
        <v>67</v>
      </c>
      <c r="BE48" s="61">
        <v>52307360.199999996</v>
      </c>
      <c r="BF48" s="61">
        <v>31161702.230000008</v>
      </c>
      <c r="BG48" s="61">
        <v>83469062.429999992</v>
      </c>
      <c r="BH48" s="61">
        <v>96918726.50999999</v>
      </c>
      <c r="BI48" s="61">
        <v>180387788.94000003</v>
      </c>
      <c r="BK48" s="16" t="s">
        <v>61</v>
      </c>
      <c r="BL48" s="17">
        <v>0.26177783536847921</v>
      </c>
      <c r="BM48" s="17">
        <v>0.37789768510388916</v>
      </c>
      <c r="BN48" s="17">
        <v>0.63967552047236842</v>
      </c>
      <c r="BO48" s="17">
        <v>0.36032447952763169</v>
      </c>
      <c r="BP48" s="17">
        <v>1</v>
      </c>
      <c r="BQ48"/>
      <c r="BR48" s="15" t="s">
        <v>352</v>
      </c>
      <c r="BS48" s="61">
        <v>9</v>
      </c>
      <c r="BT48"/>
      <c r="BU48"/>
      <c r="BV48"/>
      <c r="BW48"/>
      <c r="BX48"/>
      <c r="BY48"/>
      <c r="BZ48" s="32" t="s">
        <v>524</v>
      </c>
      <c r="CA48" s="62">
        <v>4</v>
      </c>
      <c r="CB48" s="62">
        <v>1</v>
      </c>
      <c r="CC48" s="62"/>
      <c r="CD48" s="62">
        <v>1</v>
      </c>
      <c r="CE48" s="62">
        <v>5</v>
      </c>
      <c r="CF48"/>
      <c r="CG48"/>
      <c r="CH48"/>
      <c r="CI48"/>
      <c r="CJ48"/>
      <c r="CK48"/>
      <c r="CL48"/>
    </row>
    <row r="49" spans="1:90" x14ac:dyDescent="0.25">
      <c r="A49" s="15">
        <v>17</v>
      </c>
      <c r="B49" s="61"/>
      <c r="C49" s="61"/>
      <c r="D49" s="61"/>
      <c r="E49" s="61"/>
      <c r="F49" s="61"/>
      <c r="G49"/>
      <c r="K49" s="15" t="s">
        <v>1957</v>
      </c>
      <c r="L49" s="61">
        <v>6</v>
      </c>
      <c r="M49" s="14">
        <v>0.60218010881660744</v>
      </c>
      <c r="N49" s="61">
        <v>1320225.5899999999</v>
      </c>
      <c r="O49" s="61">
        <v>4</v>
      </c>
      <c r="P49" s="14">
        <v>0.39781989118339245</v>
      </c>
      <c r="Q49" s="61">
        <v>872184.24</v>
      </c>
      <c r="R49" s="61">
        <v>10</v>
      </c>
      <c r="S49" s="14">
        <v>1</v>
      </c>
      <c r="T49" s="61">
        <v>2192409.83</v>
      </c>
      <c r="V49" s="15" t="s">
        <v>1957</v>
      </c>
      <c r="W49" s="61">
        <v>7</v>
      </c>
      <c r="X49" s="61">
        <v>3</v>
      </c>
      <c r="Y49" s="61">
        <v>10</v>
      </c>
      <c r="Z49"/>
      <c r="AA49" s="15" t="s">
        <v>1957</v>
      </c>
      <c r="AB49" s="61">
        <v>178645.09000000003</v>
      </c>
      <c r="AE49" s="12" t="str">
        <f t="shared" si="10"/>
        <v>SRINU/GTR , 9704963641</v>
      </c>
      <c r="AF49" s="12">
        <f t="shared" si="11"/>
        <v>10</v>
      </c>
      <c r="AG49" s="12">
        <f t="shared" si="12"/>
        <v>4</v>
      </c>
      <c r="AH49" s="12">
        <f t="shared" si="13"/>
        <v>6</v>
      </c>
      <c r="AI49" s="12">
        <f t="shared" si="14"/>
        <v>2192409.83</v>
      </c>
      <c r="AJ49" s="20">
        <v>0.75</v>
      </c>
      <c r="AK49" s="12">
        <f t="shared" si="15"/>
        <v>1644307.3725000001</v>
      </c>
      <c r="AL49" s="14">
        <f t="shared" si="16"/>
        <v>0.60218010881660744</v>
      </c>
      <c r="AM49" s="12">
        <f t="shared" si="17"/>
        <v>1320225.5899999999</v>
      </c>
      <c r="AN49" s="12">
        <f t="shared" si="18"/>
        <v>3</v>
      </c>
      <c r="AO49" s="12">
        <f t="shared" si="19"/>
        <v>178645.09000000003</v>
      </c>
      <c r="AR49" s="21"/>
      <c r="AS49" s="21"/>
      <c r="AT49" s="21"/>
      <c r="AU49" s="21"/>
      <c r="AV49" s="21"/>
      <c r="AW49" s="30"/>
      <c r="AX49" s="21"/>
      <c r="AY49" s="24"/>
      <c r="AZ49" s="21"/>
      <c r="BA49" s="21"/>
      <c r="BB49" s="21"/>
      <c r="BD49" s="12" t="s">
        <v>69</v>
      </c>
      <c r="BE49" s="61">
        <v>23593503.460000012</v>
      </c>
      <c r="BF49" s="61">
        <v>2890003.3200000003</v>
      </c>
      <c r="BG49" s="61">
        <v>26483506.780000001</v>
      </c>
      <c r="BH49" s="61">
        <v>141047</v>
      </c>
      <c r="BI49" s="61">
        <v>26624553.780000001</v>
      </c>
      <c r="BK49" s="12" t="s">
        <v>66</v>
      </c>
      <c r="BL49" s="61">
        <v>3980473.6400000006</v>
      </c>
      <c r="BM49" s="61">
        <v>5746138.7899999982</v>
      </c>
      <c r="BN49" s="61">
        <v>9726612.4299999997</v>
      </c>
      <c r="BO49" s="61">
        <v>5478928.6900000013</v>
      </c>
      <c r="BP49" s="61">
        <v>15205541.119999999</v>
      </c>
      <c r="BQ49"/>
      <c r="BR49" s="15" t="s">
        <v>356</v>
      </c>
      <c r="BS49" s="61">
        <v>16</v>
      </c>
      <c r="BT49"/>
      <c r="BU49"/>
      <c r="BV49"/>
      <c r="BW49"/>
      <c r="BX49"/>
      <c r="BY49"/>
      <c r="BZ49" s="32" t="s">
        <v>4529</v>
      </c>
      <c r="CA49" s="62">
        <v>3</v>
      </c>
      <c r="CB49" s="62">
        <v>5</v>
      </c>
      <c r="CC49" s="62">
        <v>1</v>
      </c>
      <c r="CD49" s="62">
        <v>6</v>
      </c>
      <c r="CE49" s="62">
        <v>9</v>
      </c>
      <c r="CF49"/>
      <c r="CG49"/>
      <c r="CH49"/>
      <c r="CI49"/>
      <c r="CJ49"/>
      <c r="CK49"/>
      <c r="CL49"/>
    </row>
    <row r="50" spans="1:90" x14ac:dyDescent="0.25">
      <c r="A50" s="12" t="s">
        <v>64</v>
      </c>
      <c r="B50" s="61">
        <v>1</v>
      </c>
      <c r="C50" s="61"/>
      <c r="D50" s="61">
        <v>1</v>
      </c>
      <c r="E50" s="61">
        <v>1</v>
      </c>
      <c r="F50" s="61">
        <v>2</v>
      </c>
      <c r="G50"/>
      <c r="K50" s="15" t="s">
        <v>1400</v>
      </c>
      <c r="L50" s="61">
        <v>3</v>
      </c>
      <c r="M50" s="14">
        <v>0.81633863670019025</v>
      </c>
      <c r="N50" s="61">
        <v>510529.62</v>
      </c>
      <c r="O50" s="61">
        <v>1</v>
      </c>
      <c r="P50" s="14">
        <v>0.18366136329980975</v>
      </c>
      <c r="Q50" s="61">
        <v>114859.89</v>
      </c>
      <c r="R50" s="61">
        <v>4</v>
      </c>
      <c r="S50" s="14">
        <v>1</v>
      </c>
      <c r="T50" s="61">
        <v>625389.51</v>
      </c>
      <c r="V50" s="15" t="s">
        <v>1400</v>
      </c>
      <c r="W50" s="61">
        <v>4</v>
      </c>
      <c r="X50" s="61"/>
      <c r="Y50" s="61">
        <v>4</v>
      </c>
      <c r="Z50"/>
      <c r="AA50" s="15" t="s">
        <v>1400</v>
      </c>
      <c r="AB50" s="61">
        <v>242263.47</v>
      </c>
      <c r="BD50"/>
      <c r="BE50"/>
      <c r="BF50"/>
      <c r="BG50"/>
      <c r="BH50"/>
      <c r="BI50"/>
      <c r="BK50" s="12" t="s">
        <v>68</v>
      </c>
      <c r="BL50" s="61">
        <v>1368461.67</v>
      </c>
      <c r="BM50" s="61">
        <v>729819.97</v>
      </c>
      <c r="BN50" s="61">
        <v>2098281.6399999997</v>
      </c>
      <c r="BO50" s="61">
        <v>4500</v>
      </c>
      <c r="BP50" s="61">
        <v>2102781.6399999997</v>
      </c>
      <c r="BQ50"/>
      <c r="BR50" s="15" t="s">
        <v>723</v>
      </c>
      <c r="BS50" s="61">
        <v>17</v>
      </c>
      <c r="BT50"/>
      <c r="BU50"/>
      <c r="BV50"/>
      <c r="BW50"/>
      <c r="BX50"/>
      <c r="BZ50" s="32" t="s">
        <v>1957</v>
      </c>
      <c r="CA50" s="62">
        <v>6</v>
      </c>
      <c r="CB50" s="62">
        <v>3</v>
      </c>
      <c r="CC50" s="62">
        <v>1</v>
      </c>
      <c r="CD50" s="62">
        <v>4</v>
      </c>
      <c r="CE50" s="62">
        <v>10</v>
      </c>
      <c r="CF50"/>
      <c r="CG50"/>
      <c r="CH50"/>
      <c r="CI50"/>
      <c r="CJ50"/>
      <c r="CK50"/>
      <c r="CL50"/>
    </row>
    <row r="51" spans="1:90" x14ac:dyDescent="0.25">
      <c r="A51" s="33" t="s">
        <v>61</v>
      </c>
      <c r="B51" s="34">
        <v>0.1845351803673386</v>
      </c>
      <c r="C51" s="34">
        <v>0</v>
      </c>
      <c r="D51" s="34">
        <v>0.1845351803673386</v>
      </c>
      <c r="E51" s="34">
        <v>0.81546481963266138</v>
      </c>
      <c r="F51" s="34">
        <v>1</v>
      </c>
      <c r="G51"/>
      <c r="K51" s="15" t="s">
        <v>286</v>
      </c>
      <c r="L51" s="61"/>
      <c r="M51" s="14">
        <v>0</v>
      </c>
      <c r="N51" s="61"/>
      <c r="O51" s="61">
        <v>4</v>
      </c>
      <c r="P51" s="14">
        <v>1</v>
      </c>
      <c r="Q51" s="61">
        <v>445250.75</v>
      </c>
      <c r="R51" s="61">
        <v>4</v>
      </c>
      <c r="S51" s="14">
        <v>1</v>
      </c>
      <c r="T51" s="61">
        <v>445250.75</v>
      </c>
      <c r="V51" s="15" t="s">
        <v>286</v>
      </c>
      <c r="W51" s="61"/>
      <c r="X51" s="61">
        <v>4</v>
      </c>
      <c r="Y51" s="61">
        <v>4</v>
      </c>
      <c r="Z51"/>
      <c r="AA51" s="15" t="s">
        <v>286</v>
      </c>
      <c r="AB51" s="61">
        <v>0</v>
      </c>
      <c r="BD51"/>
      <c r="BE51"/>
      <c r="BF51"/>
      <c r="BG51"/>
      <c r="BH51"/>
      <c r="BI51"/>
      <c r="BK51" s="15" t="s">
        <v>374</v>
      </c>
      <c r="BL51" s="61"/>
      <c r="BM51" s="61"/>
      <c r="BN51" s="61"/>
      <c r="BO51" s="61"/>
      <c r="BP51" s="61"/>
      <c r="BQ51"/>
      <c r="BR51" s="15" t="s">
        <v>724</v>
      </c>
      <c r="BS51" s="61">
        <v>19</v>
      </c>
      <c r="BT51"/>
      <c r="BU51"/>
      <c r="BV51"/>
      <c r="BW51"/>
      <c r="BX51"/>
      <c r="BZ51" s="32" t="s">
        <v>1400</v>
      </c>
      <c r="CA51" s="62">
        <v>3</v>
      </c>
      <c r="CB51" s="62"/>
      <c r="CC51" s="62">
        <v>1</v>
      </c>
      <c r="CD51" s="62">
        <v>1</v>
      </c>
      <c r="CE51" s="62">
        <v>4</v>
      </c>
      <c r="CF51"/>
      <c r="CG51"/>
      <c r="CH51"/>
      <c r="CI51"/>
      <c r="CJ51"/>
      <c r="CK51"/>
      <c r="CL51"/>
    </row>
    <row r="52" spans="1:90" x14ac:dyDescent="0.25">
      <c r="A52" s="12" t="s">
        <v>66</v>
      </c>
      <c r="B52" s="61">
        <v>169188.17</v>
      </c>
      <c r="C52" s="61"/>
      <c r="D52" s="37">
        <v>169188.17</v>
      </c>
      <c r="E52" s="37">
        <v>747646.06</v>
      </c>
      <c r="F52" s="37">
        <v>916834.2300000001</v>
      </c>
      <c r="G52"/>
      <c r="K52" s="15" t="s">
        <v>94</v>
      </c>
      <c r="L52" s="61">
        <v>12</v>
      </c>
      <c r="M52" s="14">
        <v>0.50208379249836521</v>
      </c>
      <c r="N52" s="61">
        <v>1651847.89</v>
      </c>
      <c r="O52" s="61">
        <v>8</v>
      </c>
      <c r="P52" s="14">
        <v>0.49791620750163484</v>
      </c>
      <c r="Q52" s="61">
        <v>1638136.6</v>
      </c>
      <c r="R52" s="61">
        <v>20</v>
      </c>
      <c r="S52" s="14">
        <v>1</v>
      </c>
      <c r="T52" s="61">
        <v>3289984.4899999998</v>
      </c>
      <c r="V52" s="15" t="s">
        <v>94</v>
      </c>
      <c r="W52" s="61">
        <v>20</v>
      </c>
      <c r="X52" s="61"/>
      <c r="Y52" s="61">
        <v>20</v>
      </c>
      <c r="Z52"/>
      <c r="AA52" s="15" t="s">
        <v>94</v>
      </c>
      <c r="AB52" s="61">
        <v>215864.82</v>
      </c>
      <c r="BD52"/>
      <c r="BE52"/>
      <c r="BF52"/>
      <c r="BG52"/>
      <c r="BH52"/>
      <c r="BI52"/>
      <c r="BK52" s="12" t="s">
        <v>64</v>
      </c>
      <c r="BL52" s="61">
        <v>24</v>
      </c>
      <c r="BM52" s="61">
        <v>22</v>
      </c>
      <c r="BN52" s="61">
        <v>46</v>
      </c>
      <c r="BO52" s="61">
        <v>41</v>
      </c>
      <c r="BP52" s="61">
        <v>87</v>
      </c>
      <c r="BQ52"/>
      <c r="BR52" s="15" t="s">
        <v>280</v>
      </c>
      <c r="BS52" s="61">
        <v>10</v>
      </c>
      <c r="BT52"/>
      <c r="BU52"/>
      <c r="BV52"/>
      <c r="BW52"/>
      <c r="BX52"/>
      <c r="BZ52" s="32" t="s">
        <v>286</v>
      </c>
      <c r="CA52" s="62"/>
      <c r="CB52" s="62">
        <v>4</v>
      </c>
      <c r="CC52" s="62"/>
      <c r="CD52" s="62">
        <v>4</v>
      </c>
      <c r="CE52" s="62">
        <v>4</v>
      </c>
      <c r="CF52"/>
      <c r="CG52"/>
      <c r="CH52"/>
      <c r="CI52"/>
      <c r="CJ52"/>
      <c r="CK52"/>
      <c r="CL52"/>
    </row>
    <row r="53" spans="1:90" x14ac:dyDescent="0.25">
      <c r="A53" s="12" t="s">
        <v>68</v>
      </c>
      <c r="B53" s="61">
        <v>27200</v>
      </c>
      <c r="C53" s="61"/>
      <c r="D53" s="61">
        <v>27200</v>
      </c>
      <c r="E53" s="61">
        <v>1560</v>
      </c>
      <c r="F53" s="61">
        <v>28760</v>
      </c>
      <c r="G53"/>
      <c r="K53" s="15" t="s">
        <v>356</v>
      </c>
      <c r="L53" s="61">
        <v>12</v>
      </c>
      <c r="M53" s="14">
        <v>0.802214694309071</v>
      </c>
      <c r="N53" s="61">
        <v>2249170.6300000004</v>
      </c>
      <c r="O53" s="61">
        <v>4</v>
      </c>
      <c r="P53" s="14">
        <v>0.19778530569092903</v>
      </c>
      <c r="Q53" s="61">
        <v>554530.98</v>
      </c>
      <c r="R53" s="61">
        <v>16</v>
      </c>
      <c r="S53" s="14">
        <v>1</v>
      </c>
      <c r="T53" s="61">
        <v>2803701.6100000003</v>
      </c>
      <c r="V53" s="15" t="s">
        <v>356</v>
      </c>
      <c r="W53" s="61">
        <v>13</v>
      </c>
      <c r="X53" s="61">
        <v>3</v>
      </c>
      <c r="Y53" s="61">
        <v>16</v>
      </c>
      <c r="Z53"/>
      <c r="AA53" s="15" t="s">
        <v>356</v>
      </c>
      <c r="AB53" s="61">
        <v>608954.28</v>
      </c>
      <c r="BD53"/>
      <c r="BE53"/>
      <c r="BF53"/>
      <c r="BG53"/>
      <c r="BH53"/>
      <c r="BI53"/>
      <c r="BK53" s="16" t="s">
        <v>61</v>
      </c>
      <c r="BL53" s="17">
        <v>0.29566757735076371</v>
      </c>
      <c r="BM53" s="17">
        <v>0.25471872497652187</v>
      </c>
      <c r="BN53" s="17">
        <v>0.55038630232728547</v>
      </c>
      <c r="BO53" s="17">
        <v>0.44961369767271531</v>
      </c>
      <c r="BP53" s="17">
        <v>1</v>
      </c>
      <c r="BQ53"/>
      <c r="BR53" s="15" t="s">
        <v>146</v>
      </c>
      <c r="BS53" s="61">
        <v>4</v>
      </c>
      <c r="BT53"/>
      <c r="BU53"/>
      <c r="BV53"/>
      <c r="BW53"/>
      <c r="BX53"/>
      <c r="BZ53" s="32" t="s">
        <v>94</v>
      </c>
      <c r="CA53" s="62">
        <v>12</v>
      </c>
      <c r="CB53" s="62"/>
      <c r="CC53" s="62">
        <v>8</v>
      </c>
      <c r="CD53" s="62">
        <v>8</v>
      </c>
      <c r="CE53" s="62">
        <v>20</v>
      </c>
      <c r="CF53"/>
      <c r="CG53"/>
      <c r="CH53"/>
      <c r="CI53"/>
      <c r="CJ53"/>
      <c r="CK53"/>
      <c r="CL53"/>
    </row>
    <row r="54" spans="1:90" x14ac:dyDescent="0.25">
      <c r="A54" s="15">
        <v>15</v>
      </c>
      <c r="B54" s="61"/>
      <c r="C54" s="61"/>
      <c r="D54" s="61"/>
      <c r="E54" s="61"/>
      <c r="F54" s="61"/>
      <c r="G54"/>
      <c r="K54" s="15" t="s">
        <v>60</v>
      </c>
      <c r="L54" s="61">
        <v>2</v>
      </c>
      <c r="M54" s="14">
        <v>0.42576070130597671</v>
      </c>
      <c r="N54" s="61">
        <v>549618.92999999993</v>
      </c>
      <c r="O54" s="61">
        <v>5</v>
      </c>
      <c r="P54" s="14">
        <v>0.57423929869402324</v>
      </c>
      <c r="Q54" s="61">
        <v>741291.5</v>
      </c>
      <c r="R54" s="61">
        <v>7</v>
      </c>
      <c r="S54" s="14">
        <v>1</v>
      </c>
      <c r="T54" s="61">
        <v>1290910.43</v>
      </c>
      <c r="V54" s="15" t="s">
        <v>60</v>
      </c>
      <c r="W54" s="61">
        <v>4</v>
      </c>
      <c r="X54" s="61">
        <v>3</v>
      </c>
      <c r="Y54" s="61">
        <v>7</v>
      </c>
      <c r="Z54"/>
      <c r="AA54" s="15" t="s">
        <v>60</v>
      </c>
      <c r="AB54" s="61">
        <v>507524</v>
      </c>
      <c r="BD54"/>
      <c r="BE54"/>
      <c r="BF54"/>
      <c r="BG54"/>
      <c r="BH54"/>
      <c r="BI54"/>
      <c r="BK54" s="12" t="s">
        <v>66</v>
      </c>
      <c r="BL54" s="61">
        <v>4235293.13</v>
      </c>
      <c r="BM54" s="61">
        <v>3648720.8900000006</v>
      </c>
      <c r="BN54" s="61">
        <v>7884014.0199999996</v>
      </c>
      <c r="BO54" s="61">
        <v>6440495.8500000015</v>
      </c>
      <c r="BP54" s="61">
        <v>14324509.86999999</v>
      </c>
      <c r="BQ54"/>
      <c r="BR54" s="15" t="s">
        <v>1364</v>
      </c>
      <c r="BS54" s="61">
        <v>9</v>
      </c>
      <c r="BZ54" s="32" t="s">
        <v>356</v>
      </c>
      <c r="CA54" s="62">
        <v>12</v>
      </c>
      <c r="CB54" s="62">
        <v>3</v>
      </c>
      <c r="CC54" s="62">
        <v>1</v>
      </c>
      <c r="CD54" s="62">
        <v>4</v>
      </c>
      <c r="CE54" s="62">
        <v>16</v>
      </c>
      <c r="CF54"/>
      <c r="CG54"/>
      <c r="CH54"/>
      <c r="CI54"/>
      <c r="CJ54"/>
      <c r="CK54"/>
      <c r="CL54"/>
    </row>
    <row r="55" spans="1:90" x14ac:dyDescent="0.25">
      <c r="A55" s="12" t="s">
        <v>64</v>
      </c>
      <c r="B55" s="61">
        <v>3</v>
      </c>
      <c r="C55" s="61"/>
      <c r="D55" s="61">
        <v>3</v>
      </c>
      <c r="E55" s="61">
        <v>2</v>
      </c>
      <c r="F55" s="61">
        <v>5</v>
      </c>
      <c r="G55"/>
      <c r="K55" s="15" t="s">
        <v>353</v>
      </c>
      <c r="L55" s="61">
        <v>2</v>
      </c>
      <c r="M55" s="14">
        <v>0.69633062244711796</v>
      </c>
      <c r="N55" s="61">
        <v>360890.44</v>
      </c>
      <c r="O55" s="61">
        <v>2</v>
      </c>
      <c r="P55" s="14">
        <v>0.30366937755288198</v>
      </c>
      <c r="Q55" s="61">
        <v>157384.11000000002</v>
      </c>
      <c r="R55" s="61">
        <v>4</v>
      </c>
      <c r="S55" s="14">
        <v>1</v>
      </c>
      <c r="T55" s="61">
        <v>518274.55000000005</v>
      </c>
      <c r="V55" s="15" t="s">
        <v>353</v>
      </c>
      <c r="W55" s="61">
        <v>2</v>
      </c>
      <c r="X55" s="61">
        <v>2</v>
      </c>
      <c r="Y55" s="61">
        <v>4</v>
      </c>
      <c r="AA55" s="15" t="s">
        <v>353</v>
      </c>
      <c r="AB55" s="61">
        <v>46801</v>
      </c>
      <c r="BK55" s="12" t="s">
        <v>68</v>
      </c>
      <c r="BL55" s="61">
        <v>2449579.0900000003</v>
      </c>
      <c r="BM55" s="61">
        <v>367003</v>
      </c>
      <c r="BN55" s="61">
        <v>2816582.0900000003</v>
      </c>
      <c r="BO55" s="61">
        <v>8968</v>
      </c>
      <c r="BP55" s="61">
        <v>2825550.0900000003</v>
      </c>
      <c r="BR55" s="15" t="s">
        <v>2955</v>
      </c>
      <c r="BS55" s="61">
        <v>2</v>
      </c>
      <c r="BZ55" s="32" t="s">
        <v>60</v>
      </c>
      <c r="CA55" s="62">
        <v>2</v>
      </c>
      <c r="CB55" s="62">
        <v>3</v>
      </c>
      <c r="CC55" s="62">
        <v>2</v>
      </c>
      <c r="CD55" s="62">
        <v>5</v>
      </c>
      <c r="CE55" s="62">
        <v>7</v>
      </c>
      <c r="CF55"/>
      <c r="CG55"/>
      <c r="CH55"/>
      <c r="CI55"/>
      <c r="CJ55"/>
      <c r="CK55"/>
      <c r="CL55"/>
    </row>
    <row r="56" spans="1:90" x14ac:dyDescent="0.25">
      <c r="A56" s="33" t="s">
        <v>61</v>
      </c>
      <c r="B56" s="34">
        <v>0.54148518509869414</v>
      </c>
      <c r="C56" s="34">
        <v>0</v>
      </c>
      <c r="D56" s="34">
        <v>0.54148518509869414</v>
      </c>
      <c r="E56" s="34">
        <v>0.45851481490130591</v>
      </c>
      <c r="F56" s="34">
        <v>1</v>
      </c>
      <c r="G56"/>
      <c r="K56" s="15" t="s">
        <v>354</v>
      </c>
      <c r="L56" s="61">
        <v>19</v>
      </c>
      <c r="M56" s="14">
        <v>0.40359543961023087</v>
      </c>
      <c r="N56" s="61">
        <v>2837422.4899999998</v>
      </c>
      <c r="O56" s="61">
        <v>23</v>
      </c>
      <c r="P56" s="14">
        <v>0.59640456038976919</v>
      </c>
      <c r="Q56" s="61">
        <v>4192940.62</v>
      </c>
      <c r="R56" s="61">
        <v>42</v>
      </c>
      <c r="S56" s="14">
        <v>1</v>
      </c>
      <c r="T56" s="61">
        <v>7030363.1099999994</v>
      </c>
      <c r="V56" s="15" t="s">
        <v>354</v>
      </c>
      <c r="W56" s="61">
        <v>33</v>
      </c>
      <c r="X56" s="61">
        <v>9</v>
      </c>
      <c r="Y56" s="61">
        <v>42</v>
      </c>
      <c r="AA56" s="15" t="s">
        <v>354</v>
      </c>
      <c r="AB56" s="61">
        <v>1094919.3599999999</v>
      </c>
      <c r="BK56" s="15" t="s">
        <v>375</v>
      </c>
      <c r="BL56" s="61"/>
      <c r="BM56" s="61"/>
      <c r="BN56" s="61"/>
      <c r="BO56" s="61"/>
      <c r="BP56" s="61"/>
      <c r="BR56" s="15" t="s">
        <v>4529</v>
      </c>
      <c r="BS56" s="61">
        <v>9</v>
      </c>
      <c r="BZ56" s="32" t="s">
        <v>353</v>
      </c>
      <c r="CA56" s="62">
        <v>2</v>
      </c>
      <c r="CB56" s="62">
        <v>2</v>
      </c>
      <c r="CC56" s="62"/>
      <c r="CD56" s="62">
        <v>2</v>
      </c>
      <c r="CE56" s="62">
        <v>4</v>
      </c>
      <c r="CF56"/>
      <c r="CG56"/>
      <c r="CH56"/>
      <c r="CI56"/>
      <c r="CJ56"/>
      <c r="CK56"/>
      <c r="CL56"/>
    </row>
    <row r="57" spans="1:90" x14ac:dyDescent="0.25">
      <c r="A57" s="12" t="s">
        <v>66</v>
      </c>
      <c r="B57" s="61">
        <v>1515526.8</v>
      </c>
      <c r="C57" s="61"/>
      <c r="D57" s="37">
        <v>1515526.8</v>
      </c>
      <c r="E57" s="37">
        <v>1283306.56</v>
      </c>
      <c r="F57" s="37">
        <v>2798833.36</v>
      </c>
      <c r="G57"/>
      <c r="K57" s="15" t="s">
        <v>2000</v>
      </c>
      <c r="L57" s="61">
        <v>4</v>
      </c>
      <c r="M57" s="14">
        <v>0.83993387303140277</v>
      </c>
      <c r="N57" s="61">
        <v>728780.51</v>
      </c>
      <c r="O57" s="61">
        <v>1</v>
      </c>
      <c r="P57" s="14">
        <v>0.16006612696859726</v>
      </c>
      <c r="Q57" s="61">
        <v>138883.64000000001</v>
      </c>
      <c r="R57" s="61">
        <v>5</v>
      </c>
      <c r="S57" s="14">
        <v>1</v>
      </c>
      <c r="T57" s="61">
        <v>867664.15</v>
      </c>
      <c r="V57" s="15" t="s">
        <v>2000</v>
      </c>
      <c r="W57" s="61">
        <v>5</v>
      </c>
      <c r="X57" s="61"/>
      <c r="Y57" s="61">
        <v>5</v>
      </c>
      <c r="AA57" s="15" t="s">
        <v>2000</v>
      </c>
      <c r="AB57" s="61">
        <v>79665</v>
      </c>
      <c r="BK57" s="12" t="s">
        <v>64</v>
      </c>
      <c r="BL57" s="61">
        <v>28</v>
      </c>
      <c r="BM57" s="61">
        <v>14</v>
      </c>
      <c r="BN57" s="61">
        <v>42</v>
      </c>
      <c r="BO57" s="61">
        <v>46</v>
      </c>
      <c r="BP57" s="61">
        <v>88</v>
      </c>
      <c r="BR57" s="15" t="s">
        <v>4528</v>
      </c>
      <c r="BS57" s="61">
        <v>17</v>
      </c>
      <c r="BZ57" s="32" t="s">
        <v>354</v>
      </c>
      <c r="CA57" s="62">
        <v>19</v>
      </c>
      <c r="CB57" s="62">
        <v>9</v>
      </c>
      <c r="CC57" s="62">
        <v>14</v>
      </c>
      <c r="CD57" s="62">
        <v>23</v>
      </c>
      <c r="CE57" s="62">
        <v>42</v>
      </c>
      <c r="CF57"/>
      <c r="CG57"/>
      <c r="CH57"/>
      <c r="CI57"/>
      <c r="CJ57"/>
      <c r="CK57"/>
      <c r="CL57"/>
    </row>
    <row r="58" spans="1:90" x14ac:dyDescent="0.25">
      <c r="A58" s="12" t="s">
        <v>68</v>
      </c>
      <c r="B58" s="61">
        <v>496340</v>
      </c>
      <c r="C58" s="61"/>
      <c r="D58" s="61">
        <v>496340</v>
      </c>
      <c r="E58" s="61">
        <v>0</v>
      </c>
      <c r="F58" s="61">
        <v>496340</v>
      </c>
      <c r="G58"/>
      <c r="K58" s="15" t="s">
        <v>5582</v>
      </c>
      <c r="L58" s="61">
        <v>4</v>
      </c>
      <c r="M58" s="14">
        <v>0.18590951015717755</v>
      </c>
      <c r="N58" s="61">
        <v>771497.24999999988</v>
      </c>
      <c r="O58" s="61">
        <v>23</v>
      </c>
      <c r="P58" s="14">
        <v>0.8140904898428224</v>
      </c>
      <c r="Q58" s="61">
        <v>3378356.35</v>
      </c>
      <c r="R58" s="61">
        <v>27</v>
      </c>
      <c r="S58" s="14">
        <v>1</v>
      </c>
      <c r="T58" s="61">
        <v>4149853.6</v>
      </c>
      <c r="V58" s="15" t="s">
        <v>5582</v>
      </c>
      <c r="W58" s="61">
        <v>11</v>
      </c>
      <c r="X58" s="61">
        <v>16</v>
      </c>
      <c r="Y58" s="61">
        <v>27</v>
      </c>
      <c r="AA58" s="15" t="s">
        <v>5582</v>
      </c>
      <c r="AB58" s="61">
        <v>120642</v>
      </c>
      <c r="BK58" s="16" t="s">
        <v>61</v>
      </c>
      <c r="BL58" s="17">
        <v>0.34242004725711772</v>
      </c>
      <c r="BM58" s="17">
        <v>0.1313553283681351</v>
      </c>
      <c r="BN58" s="17">
        <v>0.47377537562525279</v>
      </c>
      <c r="BO58" s="17">
        <v>0.52622462437474704</v>
      </c>
      <c r="BP58" s="17">
        <v>1</v>
      </c>
      <c r="BR58" s="15" t="s">
        <v>5582</v>
      </c>
      <c r="BS58" s="61">
        <v>27</v>
      </c>
      <c r="BZ58" s="32" t="s">
        <v>2000</v>
      </c>
      <c r="CA58" s="62">
        <v>4</v>
      </c>
      <c r="CB58" s="62"/>
      <c r="CC58" s="62">
        <v>1</v>
      </c>
      <c r="CD58" s="62">
        <v>1</v>
      </c>
      <c r="CE58" s="62">
        <v>5</v>
      </c>
      <c r="CF58"/>
      <c r="CG58"/>
      <c r="CH58"/>
      <c r="CI58"/>
      <c r="CJ58"/>
      <c r="CK58"/>
      <c r="CL58"/>
    </row>
    <row r="59" spans="1:90" x14ac:dyDescent="0.25">
      <c r="A59" s="15">
        <v>16</v>
      </c>
      <c r="B59" s="61"/>
      <c r="C59" s="61"/>
      <c r="D59" s="61"/>
      <c r="E59" s="61"/>
      <c r="F59" s="61"/>
      <c r="G59"/>
      <c r="K59" s="15" t="s">
        <v>117</v>
      </c>
      <c r="L59" s="61"/>
      <c r="M59" s="14">
        <v>0</v>
      </c>
      <c r="N59" s="61"/>
      <c r="O59" s="61">
        <v>12</v>
      </c>
      <c r="P59" s="14">
        <v>1</v>
      </c>
      <c r="Q59" s="61">
        <v>2545526.9299999997</v>
      </c>
      <c r="R59" s="61">
        <v>12</v>
      </c>
      <c r="S59" s="14">
        <v>1</v>
      </c>
      <c r="T59" s="61">
        <v>2545526.9299999997</v>
      </c>
      <c r="V59" s="15" t="s">
        <v>117</v>
      </c>
      <c r="W59" s="61"/>
      <c r="X59" s="61">
        <v>12</v>
      </c>
      <c r="Y59" s="61">
        <v>12</v>
      </c>
      <c r="AA59" s="15" t="s">
        <v>117</v>
      </c>
      <c r="AB59" s="61">
        <v>0</v>
      </c>
      <c r="BK59" s="12" t="s">
        <v>66</v>
      </c>
      <c r="BL59" s="61">
        <v>4891817.2499999991</v>
      </c>
      <c r="BM59" s="61">
        <v>1876543.9300000002</v>
      </c>
      <c r="BN59" s="61">
        <v>6768361.1799999988</v>
      </c>
      <c r="BO59" s="61">
        <v>7517651.8300000001</v>
      </c>
      <c r="BP59" s="61">
        <v>14286013.010000002</v>
      </c>
      <c r="BR59" s="15" t="s">
        <v>278</v>
      </c>
      <c r="BS59" s="61">
        <v>1</v>
      </c>
      <c r="BZ59" s="32" t="s">
        <v>5582</v>
      </c>
      <c r="CA59" s="62">
        <v>4</v>
      </c>
      <c r="CB59" s="62">
        <v>16</v>
      </c>
      <c r="CC59" s="62">
        <v>7</v>
      </c>
      <c r="CD59" s="62">
        <v>23</v>
      </c>
      <c r="CE59" s="62">
        <v>27</v>
      </c>
      <c r="CF59"/>
      <c r="CG59"/>
      <c r="CH59"/>
      <c r="CI59"/>
      <c r="CJ59"/>
      <c r="CK59"/>
      <c r="CL59"/>
    </row>
    <row r="60" spans="1:90" x14ac:dyDescent="0.25">
      <c r="A60" s="12" t="s">
        <v>64</v>
      </c>
      <c r="B60" s="61">
        <v>39</v>
      </c>
      <c r="C60" s="61">
        <v>34</v>
      </c>
      <c r="D60" s="61">
        <v>73</v>
      </c>
      <c r="E60" s="61">
        <v>46</v>
      </c>
      <c r="F60" s="61">
        <v>119</v>
      </c>
      <c r="G60"/>
      <c r="K60" s="12" t="s">
        <v>50</v>
      </c>
      <c r="L60" s="61">
        <v>446</v>
      </c>
      <c r="M60" s="14">
        <v>0.46272013710286747</v>
      </c>
      <c r="N60" s="61">
        <v>83469062.429999948</v>
      </c>
      <c r="O60" s="61">
        <v>503</v>
      </c>
      <c r="P60" s="14">
        <v>0.53727986289713214</v>
      </c>
      <c r="Q60" s="61">
        <v>96918726.51000005</v>
      </c>
      <c r="R60" s="61">
        <v>949</v>
      </c>
      <c r="S60" s="14">
        <v>1</v>
      </c>
      <c r="T60" s="61">
        <v>180387788.94000006</v>
      </c>
      <c r="V60" s="12" t="s">
        <v>50</v>
      </c>
      <c r="W60" s="61">
        <v>674</v>
      </c>
      <c r="X60" s="61">
        <v>275</v>
      </c>
      <c r="Y60" s="61">
        <v>949</v>
      </c>
      <c r="AA60" s="12" t="s">
        <v>50</v>
      </c>
      <c r="AB60" s="61">
        <v>26624553.780000005</v>
      </c>
      <c r="BK60" s="12" t="s">
        <v>68</v>
      </c>
      <c r="BL60" s="61">
        <v>2663865.46</v>
      </c>
      <c r="BM60" s="61">
        <v>203130.2</v>
      </c>
      <c r="BN60" s="61">
        <v>2866995.66</v>
      </c>
      <c r="BO60" s="61">
        <v>9533</v>
      </c>
      <c r="BP60" s="61">
        <v>2876528.66</v>
      </c>
      <c r="BR60" s="12" t="s">
        <v>50</v>
      </c>
      <c r="BS60" s="61">
        <v>949</v>
      </c>
      <c r="BZ60" s="32" t="s">
        <v>117</v>
      </c>
      <c r="CA60" s="62"/>
      <c r="CB60" s="62">
        <v>12</v>
      </c>
      <c r="CC60" s="62"/>
      <c r="CD60" s="62">
        <v>12</v>
      </c>
      <c r="CE60" s="62">
        <v>12</v>
      </c>
      <c r="CF60"/>
      <c r="CG60"/>
      <c r="CH60"/>
      <c r="CI60"/>
      <c r="CJ60"/>
      <c r="CK60"/>
      <c r="CL60"/>
    </row>
    <row r="61" spans="1:90" x14ac:dyDescent="0.25">
      <c r="A61" s="33" t="s">
        <v>61</v>
      </c>
      <c r="B61" s="34">
        <v>0.38843356443547539</v>
      </c>
      <c r="C61" s="34">
        <v>0.25158994690141678</v>
      </c>
      <c r="D61" s="34">
        <v>0.64002351133689206</v>
      </c>
      <c r="E61" s="34">
        <v>0.35997648866310777</v>
      </c>
      <c r="F61" s="34">
        <v>1</v>
      </c>
      <c r="G61"/>
      <c r="BK61" s="15" t="s">
        <v>376</v>
      </c>
      <c r="BL61" s="61"/>
      <c r="BM61" s="61"/>
      <c r="BN61" s="61"/>
      <c r="BO61" s="61"/>
      <c r="BP61" s="61"/>
      <c r="BR61"/>
      <c r="BS61"/>
      <c r="BZ61" s="21" t="s">
        <v>50</v>
      </c>
      <c r="CA61" s="62">
        <v>446</v>
      </c>
      <c r="CB61" s="62">
        <v>267</v>
      </c>
      <c r="CC61" s="62">
        <v>236</v>
      </c>
      <c r="CD61" s="62">
        <v>503</v>
      </c>
      <c r="CE61" s="62">
        <v>949</v>
      </c>
    </row>
    <row r="62" spans="1:90" x14ac:dyDescent="0.25">
      <c r="A62" s="12" t="s">
        <v>66</v>
      </c>
      <c r="B62" s="61">
        <v>8439535.4299999997</v>
      </c>
      <c r="C62" s="61">
        <v>5466320.2799999993</v>
      </c>
      <c r="D62" s="37">
        <v>13905855.709999997</v>
      </c>
      <c r="E62" s="37">
        <v>7821245.6599999974</v>
      </c>
      <c r="F62" s="37">
        <v>21727101.369999997</v>
      </c>
      <c r="G62"/>
      <c r="BK62" s="12" t="s">
        <v>64</v>
      </c>
      <c r="BL62" s="61">
        <v>18</v>
      </c>
      <c r="BM62" s="61">
        <v>18</v>
      </c>
      <c r="BN62" s="61">
        <v>36</v>
      </c>
      <c r="BO62" s="61">
        <v>50</v>
      </c>
      <c r="BP62" s="61">
        <v>86</v>
      </c>
      <c r="BR62"/>
      <c r="BS62"/>
      <c r="BZ62"/>
      <c r="CA62"/>
      <c r="CB62"/>
      <c r="CC62"/>
      <c r="CD62"/>
      <c r="CE62"/>
    </row>
    <row r="63" spans="1:90" x14ac:dyDescent="0.25">
      <c r="A63" s="12" t="s">
        <v>68</v>
      </c>
      <c r="B63" s="61">
        <v>2045450.98</v>
      </c>
      <c r="C63" s="61">
        <v>535005.79</v>
      </c>
      <c r="D63" s="61">
        <v>2580456.77</v>
      </c>
      <c r="E63" s="61">
        <v>6956</v>
      </c>
      <c r="F63" s="61">
        <v>2587412.77</v>
      </c>
      <c r="G63"/>
      <c r="BK63" s="16" t="s">
        <v>61</v>
      </c>
      <c r="BL63" s="17">
        <v>0.22491977805189056</v>
      </c>
      <c r="BM63" s="17">
        <v>0.15560536051899002</v>
      </c>
      <c r="BN63" s="17">
        <v>0.38052513857088072</v>
      </c>
      <c r="BO63" s="17">
        <v>0.61947486142911889</v>
      </c>
      <c r="BP63" s="17">
        <v>1</v>
      </c>
      <c r="BR63"/>
      <c r="BS63"/>
      <c r="BZ63"/>
      <c r="CA63"/>
      <c r="CB63"/>
      <c r="CC63"/>
      <c r="CD63"/>
      <c r="CE63"/>
    </row>
    <row r="64" spans="1:90" x14ac:dyDescent="0.25">
      <c r="A64" s="15">
        <v>18</v>
      </c>
      <c r="B64" s="61"/>
      <c r="C64" s="61"/>
      <c r="D64" s="61"/>
      <c r="E64" s="61"/>
      <c r="F64" s="61"/>
      <c r="G64"/>
      <c r="BK64" s="12" t="s">
        <v>66</v>
      </c>
      <c r="BL64" s="61">
        <v>3183183.8299999991</v>
      </c>
      <c r="BM64" s="61">
        <v>2202209.48</v>
      </c>
      <c r="BN64" s="61">
        <v>5385393.3100000005</v>
      </c>
      <c r="BO64" s="61">
        <v>8767136.3499999978</v>
      </c>
      <c r="BP64" s="61">
        <v>14152529.660000004</v>
      </c>
      <c r="BR64"/>
      <c r="BS64"/>
      <c r="BZ64"/>
      <c r="CA64"/>
      <c r="CB64"/>
      <c r="CC64"/>
      <c r="CD64"/>
      <c r="CE64"/>
    </row>
    <row r="65" spans="1:83" x14ac:dyDescent="0.25">
      <c r="A65" s="12" t="s">
        <v>64</v>
      </c>
      <c r="B65" s="61">
        <v>24</v>
      </c>
      <c r="C65" s="61">
        <v>11</v>
      </c>
      <c r="D65" s="61">
        <v>35</v>
      </c>
      <c r="E65" s="61">
        <v>32</v>
      </c>
      <c r="F65" s="61">
        <v>67</v>
      </c>
      <c r="G65"/>
      <c r="BK65" s="12" t="s">
        <v>68</v>
      </c>
      <c r="BL65" s="61">
        <v>1531808.92</v>
      </c>
      <c r="BM65" s="61">
        <v>270323.14</v>
      </c>
      <c r="BN65" s="61">
        <v>1802132.0599999998</v>
      </c>
      <c r="BO65" s="61">
        <v>24942</v>
      </c>
      <c r="BP65" s="61">
        <v>1827074.0599999998</v>
      </c>
      <c r="BR65"/>
      <c r="BS65"/>
      <c r="BZ65"/>
      <c r="CA65"/>
      <c r="CB65"/>
      <c r="CC65"/>
      <c r="CD65"/>
      <c r="CE65"/>
    </row>
    <row r="66" spans="1:83" x14ac:dyDescent="0.25">
      <c r="A66" s="33" t="s">
        <v>61</v>
      </c>
      <c r="B66" s="34">
        <v>0.36974152969229984</v>
      </c>
      <c r="C66" s="34">
        <v>0.1643137838564214</v>
      </c>
      <c r="D66" s="34">
        <v>0.53405531354872127</v>
      </c>
      <c r="E66" s="34">
        <v>0.46594468645127829</v>
      </c>
      <c r="F66" s="34">
        <v>1</v>
      </c>
      <c r="G66"/>
      <c r="BK66" s="15" t="s">
        <v>113</v>
      </c>
      <c r="BL66" s="61"/>
      <c r="BM66" s="61"/>
      <c r="BN66" s="61"/>
      <c r="BO66" s="61"/>
      <c r="BP66" s="61"/>
      <c r="BR66"/>
      <c r="BS66"/>
      <c r="BZ66"/>
      <c r="CA66"/>
      <c r="CB66"/>
      <c r="CC66"/>
      <c r="CD66"/>
      <c r="CE66"/>
    </row>
    <row r="67" spans="1:83" x14ac:dyDescent="0.25">
      <c r="A67" s="12" t="s">
        <v>66</v>
      </c>
      <c r="B67" s="61">
        <v>6487313.0500000017</v>
      </c>
      <c r="C67" s="61">
        <v>2882973.2899999996</v>
      </c>
      <c r="D67" s="37">
        <v>9370286.3400000017</v>
      </c>
      <c r="E67" s="37">
        <v>8175248.9299999978</v>
      </c>
      <c r="F67" s="37">
        <v>17545535.270000007</v>
      </c>
      <c r="G67"/>
      <c r="BK67" s="12" t="s">
        <v>64</v>
      </c>
      <c r="BL67" s="61">
        <v>3</v>
      </c>
      <c r="BM67" s="61"/>
      <c r="BN67" s="61">
        <v>3</v>
      </c>
      <c r="BO67" s="61">
        <v>1</v>
      </c>
      <c r="BP67" s="61">
        <v>4</v>
      </c>
      <c r="BR67"/>
      <c r="BS67"/>
      <c r="BZ67"/>
      <c r="CA67"/>
      <c r="CB67"/>
      <c r="CC67"/>
      <c r="CD67"/>
      <c r="CE67"/>
    </row>
    <row r="68" spans="1:83" x14ac:dyDescent="0.25">
      <c r="A68" s="12" t="s">
        <v>68</v>
      </c>
      <c r="B68" s="61">
        <v>2229898.4</v>
      </c>
      <c r="C68" s="61">
        <v>139018.44</v>
      </c>
      <c r="D68" s="61">
        <v>2368916.84</v>
      </c>
      <c r="E68" s="61">
        <v>2712</v>
      </c>
      <c r="F68" s="61">
        <v>2371628.84</v>
      </c>
      <c r="G68"/>
      <c r="BK68" s="16" t="s">
        <v>61</v>
      </c>
      <c r="BL68" s="17">
        <v>0.62056042620296226</v>
      </c>
      <c r="BM68" s="17">
        <v>0</v>
      </c>
      <c r="BN68" s="17">
        <v>0.62056042620296226</v>
      </c>
      <c r="BO68" s="17">
        <v>0.3794395737970378</v>
      </c>
      <c r="BP68" s="17">
        <v>1</v>
      </c>
      <c r="BR68"/>
      <c r="BS68"/>
      <c r="BZ68"/>
      <c r="CA68"/>
      <c r="CB68"/>
      <c r="CC68"/>
      <c r="CD68"/>
      <c r="CE68"/>
    </row>
    <row r="69" spans="1:83" x14ac:dyDescent="0.25">
      <c r="A69" s="15">
        <v>20</v>
      </c>
      <c r="B69" s="61"/>
      <c r="C69" s="61"/>
      <c r="D69" s="61"/>
      <c r="E69" s="61"/>
      <c r="F69" s="61"/>
      <c r="G69"/>
      <c r="BK69" s="12" t="s">
        <v>66</v>
      </c>
      <c r="BL69" s="61">
        <v>678540.69</v>
      </c>
      <c r="BM69" s="61"/>
      <c r="BN69" s="61">
        <v>678540.69</v>
      </c>
      <c r="BO69" s="61">
        <v>414891.41</v>
      </c>
      <c r="BP69" s="61">
        <v>1093432.0999999999</v>
      </c>
      <c r="BR69"/>
      <c r="BS69"/>
      <c r="BZ69"/>
      <c r="CA69"/>
      <c r="CB69"/>
      <c r="CC69"/>
      <c r="CD69"/>
      <c r="CE69"/>
    </row>
    <row r="70" spans="1:83" x14ac:dyDescent="0.25">
      <c r="A70" s="12" t="s">
        <v>64</v>
      </c>
      <c r="B70" s="61">
        <v>26</v>
      </c>
      <c r="C70" s="61">
        <v>21</v>
      </c>
      <c r="D70" s="61">
        <v>47</v>
      </c>
      <c r="E70" s="61">
        <v>100</v>
      </c>
      <c r="F70" s="61">
        <v>147</v>
      </c>
      <c r="G70"/>
      <c r="BK70" s="12" t="s">
        <v>68</v>
      </c>
      <c r="BL70" s="61">
        <v>937462.43</v>
      </c>
      <c r="BM70" s="61"/>
      <c r="BN70" s="61">
        <v>937462.43</v>
      </c>
      <c r="BO70" s="61">
        <v>272</v>
      </c>
      <c r="BP70" s="61">
        <v>937734.43</v>
      </c>
      <c r="BR70"/>
      <c r="BS70"/>
      <c r="BZ70"/>
      <c r="CA70"/>
      <c r="CB70"/>
      <c r="CC70"/>
      <c r="CD70"/>
      <c r="CE70"/>
    </row>
    <row r="71" spans="1:83" x14ac:dyDescent="0.25">
      <c r="A71" s="33" t="s">
        <v>61</v>
      </c>
      <c r="B71" s="34">
        <v>0.13276121153913636</v>
      </c>
      <c r="C71" s="34">
        <v>0.11620743043414006</v>
      </c>
      <c r="D71" s="34">
        <v>0.24896864197327651</v>
      </c>
      <c r="E71" s="34">
        <v>0.75103135802672305</v>
      </c>
      <c r="F71" s="34">
        <v>1</v>
      </c>
      <c r="G71"/>
      <c r="BK71" s="15" t="s">
        <v>6383</v>
      </c>
      <c r="BL71" s="61"/>
      <c r="BM71" s="61"/>
      <c r="BN71" s="61"/>
      <c r="BO71" s="61"/>
      <c r="BP71" s="61"/>
      <c r="BR71"/>
      <c r="BS71"/>
      <c r="BZ71"/>
      <c r="CA71"/>
      <c r="CB71"/>
      <c r="CC71"/>
      <c r="CD71"/>
      <c r="CE71"/>
    </row>
    <row r="72" spans="1:83" x14ac:dyDescent="0.25">
      <c r="A72" s="12" t="s">
        <v>66</v>
      </c>
      <c r="B72" s="61">
        <v>3062175.59</v>
      </c>
      <c r="C72" s="61">
        <v>2680357.8599999994</v>
      </c>
      <c r="D72" s="37">
        <v>5742533.4500000011</v>
      </c>
      <c r="E72" s="37">
        <v>17322754.629999984</v>
      </c>
      <c r="F72" s="37">
        <v>23065288.079999994</v>
      </c>
      <c r="G72"/>
      <c r="BK72" s="12" t="s">
        <v>64</v>
      </c>
      <c r="BL72" s="61">
        <v>2</v>
      </c>
      <c r="BM72" s="61">
        <v>3</v>
      </c>
      <c r="BN72" s="61">
        <v>5</v>
      </c>
      <c r="BO72" s="61">
        <v>24</v>
      </c>
      <c r="BP72" s="61">
        <v>29</v>
      </c>
      <c r="BR72"/>
      <c r="BS72"/>
      <c r="BZ72"/>
      <c r="CA72"/>
      <c r="CB72"/>
      <c r="CC72"/>
      <c r="CD72"/>
      <c r="CE72"/>
    </row>
    <row r="73" spans="1:83" x14ac:dyDescent="0.25">
      <c r="A73" s="12" t="s">
        <v>68</v>
      </c>
      <c r="B73" s="61">
        <v>1245648.1200000001</v>
      </c>
      <c r="C73" s="61">
        <v>309180</v>
      </c>
      <c r="D73" s="61">
        <v>1554828.12</v>
      </c>
      <c r="E73" s="61">
        <v>74440</v>
      </c>
      <c r="F73" s="61">
        <v>1629268.12</v>
      </c>
      <c r="G73"/>
      <c r="BK73" s="16" t="s">
        <v>61</v>
      </c>
      <c r="BL73" s="17">
        <v>6.3951031805464825E-2</v>
      </c>
      <c r="BM73" s="17">
        <v>9.6184939790136537E-2</v>
      </c>
      <c r="BN73" s="17">
        <v>0.16013597159560136</v>
      </c>
      <c r="BO73" s="17">
        <v>0.83986402840439855</v>
      </c>
      <c r="BP73" s="17">
        <v>1</v>
      </c>
      <c r="BR73"/>
      <c r="BS73"/>
      <c r="BZ73"/>
      <c r="CA73"/>
      <c r="CB73"/>
      <c r="CC73"/>
      <c r="CD73"/>
      <c r="CE73"/>
    </row>
    <row r="74" spans="1:83" x14ac:dyDescent="0.25">
      <c r="A74" s="15">
        <v>21</v>
      </c>
      <c r="B74" s="61"/>
      <c r="C74" s="61"/>
      <c r="D74" s="61"/>
      <c r="E74" s="61"/>
      <c r="F74" s="61"/>
      <c r="G74"/>
      <c r="BK74" s="12" t="s">
        <v>66</v>
      </c>
      <c r="BL74" s="61">
        <v>142205.07</v>
      </c>
      <c r="BM74" s="61">
        <v>213882.18</v>
      </c>
      <c r="BN74" s="61">
        <v>356087.25</v>
      </c>
      <c r="BO74" s="61">
        <v>1867568.3500000003</v>
      </c>
      <c r="BP74" s="61">
        <v>2223655.6000000006</v>
      </c>
      <c r="BR74"/>
      <c r="BS74"/>
      <c r="BZ74"/>
      <c r="CA74"/>
      <c r="CB74"/>
      <c r="CC74"/>
      <c r="CD74"/>
      <c r="CE74"/>
    </row>
    <row r="75" spans="1:83" x14ac:dyDescent="0.25">
      <c r="A75" s="12" t="s">
        <v>64</v>
      </c>
      <c r="B75" s="61">
        <v>24</v>
      </c>
      <c r="C75" s="61">
        <v>15</v>
      </c>
      <c r="D75" s="61">
        <v>39</v>
      </c>
      <c r="E75" s="61">
        <v>95</v>
      </c>
      <c r="F75" s="61">
        <v>134</v>
      </c>
      <c r="G75"/>
      <c r="BK75" s="12" t="s">
        <v>68</v>
      </c>
      <c r="BL75" s="61">
        <v>14170</v>
      </c>
      <c r="BM75" s="61">
        <v>22550</v>
      </c>
      <c r="BN75" s="61">
        <v>36720</v>
      </c>
      <c r="BO75" s="61">
        <v>0</v>
      </c>
      <c r="BP75" s="61">
        <v>36720</v>
      </c>
      <c r="BR75"/>
      <c r="BS75"/>
      <c r="BZ75"/>
      <c r="CA75"/>
      <c r="CB75"/>
      <c r="CC75"/>
      <c r="CD75"/>
      <c r="CE75"/>
    </row>
    <row r="76" spans="1:83" x14ac:dyDescent="0.25">
      <c r="A76" s="33" t="s">
        <v>61</v>
      </c>
      <c r="B76" s="34">
        <v>0.20925919154475692</v>
      </c>
      <c r="C76" s="34">
        <v>0.14570500046556417</v>
      </c>
      <c r="D76" s="34">
        <v>0.35496419201032103</v>
      </c>
      <c r="E76" s="34">
        <v>0.64503580798967886</v>
      </c>
      <c r="F76" s="34">
        <v>1</v>
      </c>
      <c r="G76"/>
      <c r="BK76" s="12" t="s">
        <v>65</v>
      </c>
      <c r="BL76" s="61">
        <v>264</v>
      </c>
      <c r="BM76" s="61">
        <v>182</v>
      </c>
      <c r="BN76" s="61">
        <v>446</v>
      </c>
      <c r="BO76" s="61">
        <v>503</v>
      </c>
      <c r="BP76" s="61">
        <v>949</v>
      </c>
      <c r="BR76"/>
      <c r="BS76"/>
      <c r="BZ76"/>
      <c r="CA76"/>
      <c r="CB76"/>
      <c r="CC76"/>
      <c r="CD76"/>
      <c r="CE76"/>
    </row>
    <row r="77" spans="1:83" x14ac:dyDescent="0.25">
      <c r="A77" s="12" t="s">
        <v>66</v>
      </c>
      <c r="B77" s="61">
        <v>5574471.7499999991</v>
      </c>
      <c r="C77" s="61">
        <v>3881446.75</v>
      </c>
      <c r="D77" s="37">
        <v>9455918.4999999981</v>
      </c>
      <c r="E77" s="37">
        <v>17183158.66</v>
      </c>
      <c r="F77" s="37">
        <v>26639077.16</v>
      </c>
      <c r="G77"/>
      <c r="BK77" s="12" t="s">
        <v>62</v>
      </c>
      <c r="BL77" s="17">
        <v>0.28997173537837578</v>
      </c>
      <c r="BM77" s="17">
        <v>0.17274840172449216</v>
      </c>
      <c r="BN77" s="17">
        <v>0.46272013710286797</v>
      </c>
      <c r="BO77" s="17">
        <v>0.53727986289713192</v>
      </c>
      <c r="BP77" s="17">
        <v>1</v>
      </c>
      <c r="BR77"/>
      <c r="BS77"/>
      <c r="BZ77"/>
      <c r="CA77"/>
      <c r="CB77"/>
      <c r="CC77"/>
      <c r="CD77"/>
      <c r="CE77"/>
    </row>
    <row r="78" spans="1:83" x14ac:dyDescent="0.25">
      <c r="A78" s="12" t="s">
        <v>68</v>
      </c>
      <c r="B78" s="61">
        <v>1503308.58</v>
      </c>
      <c r="C78" s="61">
        <v>311670</v>
      </c>
      <c r="D78" s="61">
        <v>1814978.58</v>
      </c>
      <c r="E78" s="61">
        <v>55360</v>
      </c>
      <c r="F78" s="61">
        <v>1870338.58</v>
      </c>
      <c r="G78"/>
      <c r="BK78" s="12" t="s">
        <v>67</v>
      </c>
      <c r="BL78" s="61">
        <v>52307360.199999973</v>
      </c>
      <c r="BM78" s="61">
        <v>31161702.230000019</v>
      </c>
      <c r="BN78" s="61">
        <v>83469062.429999992</v>
      </c>
      <c r="BO78" s="61">
        <v>96918726.509999961</v>
      </c>
      <c r="BP78" s="61">
        <v>180387788.93999997</v>
      </c>
      <c r="BR78"/>
      <c r="BS78"/>
      <c r="BZ78"/>
      <c r="CA78"/>
      <c r="CB78"/>
      <c r="CC78"/>
      <c r="CD78"/>
      <c r="CE78"/>
    </row>
    <row r="79" spans="1:83" x14ac:dyDescent="0.25">
      <c r="A79" s="15">
        <v>22</v>
      </c>
      <c r="B79" s="61"/>
      <c r="C79" s="61"/>
      <c r="D79" s="61"/>
      <c r="E79" s="61"/>
      <c r="F79" s="61"/>
      <c r="G79"/>
      <c r="BK79" s="12" t="s">
        <v>69</v>
      </c>
      <c r="BL79" s="61">
        <v>23593503.460000012</v>
      </c>
      <c r="BM79" s="61">
        <v>2890003.32</v>
      </c>
      <c r="BN79" s="61">
        <v>26483506.779999997</v>
      </c>
      <c r="BO79" s="61">
        <v>141047</v>
      </c>
      <c r="BP79" s="61">
        <v>26624553.779999997</v>
      </c>
      <c r="BR79"/>
      <c r="BS79"/>
      <c r="BZ79"/>
      <c r="CA79"/>
      <c r="CB79"/>
      <c r="CC79"/>
      <c r="CD79"/>
      <c r="CE79"/>
    </row>
    <row r="80" spans="1:83" x14ac:dyDescent="0.25">
      <c r="A80" s="12" t="s">
        <v>64</v>
      </c>
      <c r="B80" s="61">
        <v>1</v>
      </c>
      <c r="C80" s="61"/>
      <c r="D80" s="61">
        <v>1</v>
      </c>
      <c r="E80" s="61">
        <v>1</v>
      </c>
      <c r="F80" s="61">
        <v>2</v>
      </c>
      <c r="G80"/>
      <c r="BR80"/>
      <c r="BS80"/>
      <c r="BZ80"/>
      <c r="CA80"/>
      <c r="CB80"/>
      <c r="CC80"/>
      <c r="CD80"/>
      <c r="CE80"/>
    </row>
    <row r="81" spans="1:83" x14ac:dyDescent="0.25">
      <c r="A81" s="33" t="s">
        <v>61</v>
      </c>
      <c r="B81" s="34">
        <v>0.90029608465931188</v>
      </c>
      <c r="C81" s="34">
        <v>0</v>
      </c>
      <c r="D81" s="34">
        <v>0.90029608465931188</v>
      </c>
      <c r="E81" s="34">
        <v>9.9703915340688135E-2</v>
      </c>
      <c r="F81" s="34">
        <v>1</v>
      </c>
      <c r="G81"/>
      <c r="BR81"/>
      <c r="BS81"/>
      <c r="BZ81"/>
      <c r="CA81"/>
      <c r="CB81"/>
      <c r="CC81"/>
      <c r="CD81"/>
      <c r="CE81"/>
    </row>
    <row r="82" spans="1:83" x14ac:dyDescent="0.25">
      <c r="A82" s="12" t="s">
        <v>66</v>
      </c>
      <c r="B82" s="61">
        <v>571518.47</v>
      </c>
      <c r="C82" s="61"/>
      <c r="D82" s="37">
        <v>571518.47</v>
      </c>
      <c r="E82" s="37">
        <v>63293.21</v>
      </c>
      <c r="F82" s="37">
        <v>634811.67999999993</v>
      </c>
      <c r="G82"/>
      <c r="BR82"/>
      <c r="BS82"/>
      <c r="BZ82"/>
      <c r="CA82"/>
      <c r="CB82"/>
      <c r="CC82"/>
      <c r="CD82"/>
      <c r="CE82"/>
    </row>
    <row r="83" spans="1:83" x14ac:dyDescent="0.25">
      <c r="A83" s="12" t="s">
        <v>68</v>
      </c>
      <c r="B83" s="61">
        <v>571518.47</v>
      </c>
      <c r="C83" s="61"/>
      <c r="D83" s="61">
        <v>571518.47</v>
      </c>
      <c r="E83" s="61">
        <v>0</v>
      </c>
      <c r="F83" s="61">
        <v>571518.47</v>
      </c>
      <c r="G83"/>
      <c r="BR83"/>
      <c r="BS83"/>
      <c r="BZ83"/>
      <c r="CA83"/>
      <c r="CB83"/>
      <c r="CC83"/>
      <c r="CD83"/>
      <c r="CE83"/>
    </row>
    <row r="84" spans="1:83" x14ac:dyDescent="0.25">
      <c r="A84" s="15">
        <v>23</v>
      </c>
      <c r="B84" s="61"/>
      <c r="C84" s="61"/>
      <c r="D84" s="61"/>
      <c r="E84" s="61"/>
      <c r="F84" s="61"/>
      <c r="G84"/>
      <c r="BR84"/>
      <c r="BS84"/>
      <c r="BZ84"/>
      <c r="CA84"/>
      <c r="CB84"/>
      <c r="CC84"/>
      <c r="CD84"/>
      <c r="CE84"/>
    </row>
    <row r="85" spans="1:83" x14ac:dyDescent="0.25">
      <c r="A85" s="12" t="s">
        <v>64</v>
      </c>
      <c r="B85" s="61">
        <v>1</v>
      </c>
      <c r="C85" s="61"/>
      <c r="D85" s="61">
        <v>1</v>
      </c>
      <c r="E85" s="61">
        <v>9</v>
      </c>
      <c r="F85" s="61">
        <v>10</v>
      </c>
      <c r="G85"/>
      <c r="BR85"/>
      <c r="BS85"/>
      <c r="BZ85"/>
      <c r="CA85"/>
      <c r="CB85"/>
      <c r="CC85"/>
      <c r="CD85"/>
      <c r="CE85"/>
    </row>
    <row r="86" spans="1:83" x14ac:dyDescent="0.25">
      <c r="A86" s="33" t="s">
        <v>61</v>
      </c>
      <c r="B86" s="34">
        <v>4.5699819696851648E-2</v>
      </c>
      <c r="C86" s="34">
        <v>0</v>
      </c>
      <c r="D86" s="34">
        <v>4.5699819696851648E-2</v>
      </c>
      <c r="E86" s="34">
        <v>0.95430018030314845</v>
      </c>
      <c r="F86" s="34">
        <v>1</v>
      </c>
      <c r="G86"/>
      <c r="BR86"/>
      <c r="BS86"/>
      <c r="BZ86"/>
      <c r="CA86"/>
      <c r="CB86"/>
      <c r="CC86"/>
      <c r="CD86"/>
      <c r="CE86"/>
    </row>
    <row r="87" spans="1:83" x14ac:dyDescent="0.25">
      <c r="A87" s="12" t="s">
        <v>66</v>
      </c>
      <c r="B87" s="61">
        <v>114834.57</v>
      </c>
      <c r="C87" s="61"/>
      <c r="D87" s="37">
        <v>114834.57</v>
      </c>
      <c r="E87" s="37">
        <v>2397966.81</v>
      </c>
      <c r="F87" s="37">
        <v>2512801.38</v>
      </c>
      <c r="G87"/>
      <c r="BR87"/>
      <c r="BS87"/>
      <c r="BZ87"/>
      <c r="CA87"/>
      <c r="CB87"/>
      <c r="CC87"/>
      <c r="CD87"/>
      <c r="CE87"/>
    </row>
    <row r="88" spans="1:83" x14ac:dyDescent="0.25">
      <c r="A88" s="12" t="s">
        <v>68</v>
      </c>
      <c r="B88" s="61">
        <v>0</v>
      </c>
      <c r="C88" s="61"/>
      <c r="D88" s="61">
        <v>0</v>
      </c>
      <c r="E88" s="61">
        <v>0</v>
      </c>
      <c r="F88" s="61">
        <v>0</v>
      </c>
      <c r="G88"/>
      <c r="BR88"/>
      <c r="BS88"/>
      <c r="BZ88"/>
      <c r="CA88"/>
      <c r="CB88"/>
      <c r="CC88"/>
      <c r="CD88"/>
      <c r="CE88"/>
    </row>
    <row r="89" spans="1:83" x14ac:dyDescent="0.25">
      <c r="A89" s="15">
        <v>25</v>
      </c>
      <c r="B89" s="61"/>
      <c r="C89" s="61"/>
      <c r="D89" s="61"/>
      <c r="E89" s="61"/>
      <c r="F89" s="61"/>
      <c r="G89"/>
      <c r="BR89"/>
      <c r="BS89"/>
      <c r="BZ89"/>
      <c r="CA89"/>
      <c r="CB89"/>
      <c r="CC89"/>
      <c r="CD89"/>
      <c r="CE89"/>
    </row>
    <row r="90" spans="1:83" x14ac:dyDescent="0.25">
      <c r="A90" s="12" t="s">
        <v>64</v>
      </c>
      <c r="B90" s="61">
        <v>3</v>
      </c>
      <c r="C90" s="61"/>
      <c r="D90" s="61">
        <v>3</v>
      </c>
      <c r="E90" s="61">
        <v>26</v>
      </c>
      <c r="F90" s="61">
        <v>29</v>
      </c>
      <c r="G90"/>
      <c r="BR90"/>
      <c r="BS90"/>
      <c r="BZ90"/>
      <c r="CA90"/>
      <c r="CB90"/>
      <c r="CC90"/>
      <c r="CD90"/>
      <c r="CE90"/>
    </row>
    <row r="91" spans="1:83" x14ac:dyDescent="0.25">
      <c r="A91" s="33" t="s">
        <v>61</v>
      </c>
      <c r="B91" s="34">
        <v>0.10078721111927397</v>
      </c>
      <c r="C91" s="34">
        <v>0</v>
      </c>
      <c r="D91" s="34">
        <v>0.10078721111927397</v>
      </c>
      <c r="E91" s="34">
        <v>0.89921278888072576</v>
      </c>
      <c r="F91" s="34">
        <v>1</v>
      </c>
      <c r="G91"/>
      <c r="BR91"/>
      <c r="BS91"/>
      <c r="BZ91"/>
      <c r="CA91"/>
      <c r="CB91"/>
      <c r="CC91"/>
      <c r="CD91"/>
      <c r="CE91"/>
    </row>
    <row r="92" spans="1:83" x14ac:dyDescent="0.25">
      <c r="A92" s="12" t="s">
        <v>66</v>
      </c>
      <c r="B92" s="61">
        <v>488205.1</v>
      </c>
      <c r="C92" s="61"/>
      <c r="D92" s="37">
        <v>488205.1</v>
      </c>
      <c r="E92" s="37">
        <v>4355714.0299999993</v>
      </c>
      <c r="F92" s="37">
        <v>4843919.1300000008</v>
      </c>
      <c r="G92"/>
      <c r="BR92"/>
      <c r="BS92"/>
      <c r="BZ92"/>
      <c r="CA92"/>
      <c r="CB92"/>
      <c r="CC92"/>
      <c r="CD92"/>
      <c r="CE92"/>
    </row>
    <row r="93" spans="1:83" x14ac:dyDescent="0.25">
      <c r="A93" s="12" t="s">
        <v>68</v>
      </c>
      <c r="B93" s="61">
        <v>146924.62</v>
      </c>
      <c r="C93" s="61"/>
      <c r="D93" s="61">
        <v>146924.62</v>
      </c>
      <c r="E93" s="61">
        <v>0</v>
      </c>
      <c r="F93" s="61">
        <v>146924.62</v>
      </c>
      <c r="G93"/>
      <c r="BR93"/>
      <c r="BS93"/>
      <c r="BZ93"/>
      <c r="CA93"/>
      <c r="CB93"/>
      <c r="CC93"/>
      <c r="CD93"/>
      <c r="CE93"/>
    </row>
    <row r="94" spans="1:83" x14ac:dyDescent="0.25">
      <c r="A94" s="15">
        <v>28</v>
      </c>
      <c r="B94" s="61"/>
      <c r="C94" s="61"/>
      <c r="D94" s="61"/>
      <c r="E94" s="61"/>
      <c r="F94" s="61"/>
      <c r="G94"/>
      <c r="BR94"/>
      <c r="BS94"/>
      <c r="BZ94"/>
      <c r="CA94"/>
      <c r="CB94"/>
      <c r="CC94"/>
      <c r="CD94"/>
      <c r="CE94"/>
    </row>
    <row r="95" spans="1:83" x14ac:dyDescent="0.25">
      <c r="A95" s="12" t="s">
        <v>64</v>
      </c>
      <c r="B95" s="61">
        <v>1</v>
      </c>
      <c r="C95" s="61">
        <v>1</v>
      </c>
      <c r="D95" s="61">
        <v>2</v>
      </c>
      <c r="E95" s="61">
        <v>41</v>
      </c>
      <c r="F95" s="61">
        <v>43</v>
      </c>
      <c r="G95"/>
      <c r="BR95"/>
      <c r="BS95"/>
      <c r="BZ95"/>
      <c r="CA95"/>
      <c r="CB95"/>
      <c r="CC95"/>
      <c r="CD95"/>
      <c r="CE95"/>
    </row>
    <row r="96" spans="1:83" x14ac:dyDescent="0.25">
      <c r="A96" s="33" t="s">
        <v>61</v>
      </c>
      <c r="B96" s="34">
        <v>6.7133507619059729E-2</v>
      </c>
      <c r="C96" s="34">
        <v>2.3443269387480304E-2</v>
      </c>
      <c r="D96" s="34">
        <v>9.0576777006540043E-2</v>
      </c>
      <c r="E96" s="34">
        <v>0.9094232229934599</v>
      </c>
      <c r="F96" s="34">
        <v>1</v>
      </c>
      <c r="G96"/>
      <c r="BR96"/>
      <c r="BS96"/>
      <c r="BZ96"/>
      <c r="CA96"/>
      <c r="CB96"/>
      <c r="CC96"/>
      <c r="CD96"/>
      <c r="CE96"/>
    </row>
    <row r="97" spans="1:83" x14ac:dyDescent="0.25">
      <c r="A97" s="12" t="s">
        <v>66</v>
      </c>
      <c r="B97" s="61">
        <v>585098.78</v>
      </c>
      <c r="C97" s="61">
        <v>204318.66</v>
      </c>
      <c r="D97" s="37">
        <v>789417.44000000006</v>
      </c>
      <c r="E97" s="37">
        <v>7926033.3200000012</v>
      </c>
      <c r="F97" s="37">
        <v>8715450.7600000016</v>
      </c>
      <c r="G97"/>
      <c r="BR97"/>
      <c r="BS97"/>
      <c r="BZ97"/>
      <c r="CA97"/>
      <c r="CB97"/>
      <c r="CC97"/>
      <c r="CD97"/>
      <c r="CE97"/>
    </row>
    <row r="98" spans="1:83" x14ac:dyDescent="0.25">
      <c r="A98" s="12" t="s">
        <v>68</v>
      </c>
      <c r="B98" s="61">
        <v>0</v>
      </c>
      <c r="C98" s="61">
        <v>6060</v>
      </c>
      <c r="D98" s="61">
        <v>6060</v>
      </c>
      <c r="E98" s="61">
        <v>0</v>
      </c>
      <c r="F98" s="61">
        <v>6060</v>
      </c>
      <c r="G98"/>
      <c r="BR98"/>
      <c r="BS98"/>
      <c r="BZ98"/>
      <c r="CA98"/>
      <c r="CB98"/>
      <c r="CC98"/>
      <c r="CD98"/>
      <c r="CE98"/>
    </row>
    <row r="99" spans="1:83" x14ac:dyDescent="0.25">
      <c r="A99" s="15">
        <v>26</v>
      </c>
      <c r="B99" s="61"/>
      <c r="C99" s="61"/>
      <c r="D99" s="61"/>
      <c r="E99" s="61"/>
      <c r="F99" s="61"/>
      <c r="G99"/>
      <c r="BR99"/>
      <c r="BS99"/>
      <c r="BZ99"/>
      <c r="CA99"/>
      <c r="CB99"/>
      <c r="CC99"/>
      <c r="CD99"/>
      <c r="CE99"/>
    </row>
    <row r="100" spans="1:83" x14ac:dyDescent="0.25">
      <c r="A100" s="12" t="s">
        <v>64</v>
      </c>
      <c r="B100" s="61"/>
      <c r="C100" s="61"/>
      <c r="D100" s="61"/>
      <c r="E100" s="61">
        <v>3</v>
      </c>
      <c r="F100" s="61">
        <v>3</v>
      </c>
      <c r="G100"/>
      <c r="BR100"/>
      <c r="BS100"/>
      <c r="BZ100"/>
      <c r="CA100"/>
      <c r="CB100"/>
      <c r="CC100"/>
      <c r="CD100"/>
      <c r="CE100"/>
    </row>
    <row r="101" spans="1:83" x14ac:dyDescent="0.25">
      <c r="A101" s="33" t="s">
        <v>61</v>
      </c>
      <c r="B101" s="34">
        <v>0</v>
      </c>
      <c r="C101" s="34">
        <v>0</v>
      </c>
      <c r="D101" s="34">
        <v>0</v>
      </c>
      <c r="E101" s="34">
        <v>1</v>
      </c>
      <c r="F101" s="34">
        <v>1</v>
      </c>
      <c r="G101"/>
      <c r="BR101"/>
      <c r="BS101"/>
      <c r="BZ101"/>
      <c r="CA101"/>
      <c r="CB101"/>
      <c r="CC101"/>
      <c r="CD101"/>
      <c r="CE101"/>
    </row>
    <row r="102" spans="1:83" x14ac:dyDescent="0.25">
      <c r="A102" s="12" t="s">
        <v>66</v>
      </c>
      <c r="B102" s="61"/>
      <c r="C102" s="61"/>
      <c r="D102" s="37"/>
      <c r="E102" s="37">
        <v>262209.69</v>
      </c>
      <c r="F102" s="37">
        <v>262209.69</v>
      </c>
      <c r="G102"/>
      <c r="BR102"/>
      <c r="BS102"/>
      <c r="BZ102"/>
      <c r="CA102"/>
      <c r="CB102"/>
      <c r="CC102"/>
      <c r="CD102"/>
      <c r="CE102"/>
    </row>
    <row r="103" spans="1:83" x14ac:dyDescent="0.25">
      <c r="A103" s="12" t="s">
        <v>68</v>
      </c>
      <c r="B103" s="61"/>
      <c r="C103" s="61"/>
      <c r="D103" s="61"/>
      <c r="E103" s="61">
        <v>19</v>
      </c>
      <c r="F103" s="61">
        <v>19</v>
      </c>
      <c r="G103"/>
      <c r="BR103"/>
      <c r="BS103"/>
      <c r="BZ103"/>
      <c r="CA103"/>
      <c r="CB103"/>
      <c r="CC103"/>
      <c r="CD103"/>
      <c r="CE103"/>
    </row>
    <row r="104" spans="1:83" x14ac:dyDescent="0.25">
      <c r="A104" s="15">
        <v>27</v>
      </c>
      <c r="B104" s="61"/>
      <c r="C104" s="61"/>
      <c r="D104" s="61"/>
      <c r="E104" s="61"/>
      <c r="F104" s="61"/>
      <c r="G104"/>
      <c r="BR104"/>
      <c r="BS104"/>
      <c r="BZ104"/>
      <c r="CA104"/>
      <c r="CB104"/>
      <c r="CC104"/>
      <c r="CD104"/>
      <c r="CE104"/>
    </row>
    <row r="105" spans="1:83" x14ac:dyDescent="0.25">
      <c r="A105" s="12" t="s">
        <v>64</v>
      </c>
      <c r="B105" s="61"/>
      <c r="C105" s="61"/>
      <c r="D105" s="61"/>
      <c r="E105" s="61">
        <v>1</v>
      </c>
      <c r="F105" s="61">
        <v>1</v>
      </c>
      <c r="G105"/>
      <c r="BR105"/>
      <c r="BS105"/>
      <c r="BZ105"/>
      <c r="CA105"/>
      <c r="CB105"/>
      <c r="CC105"/>
      <c r="CD105"/>
      <c r="CE105"/>
    </row>
    <row r="106" spans="1:83" x14ac:dyDescent="0.25">
      <c r="A106" s="33" t="s">
        <v>61</v>
      </c>
      <c r="B106" s="34">
        <v>0</v>
      </c>
      <c r="C106" s="34">
        <v>0</v>
      </c>
      <c r="D106" s="34">
        <v>0</v>
      </c>
      <c r="E106" s="34">
        <v>1</v>
      </c>
      <c r="F106" s="34">
        <v>1</v>
      </c>
      <c r="G106"/>
      <c r="BR106"/>
      <c r="BS106"/>
      <c r="BZ106"/>
      <c r="CA106"/>
      <c r="CB106"/>
      <c r="CC106"/>
      <c r="CD106"/>
      <c r="CE106"/>
    </row>
    <row r="107" spans="1:83" x14ac:dyDescent="0.25">
      <c r="A107" s="12" t="s">
        <v>66</v>
      </c>
      <c r="B107" s="61"/>
      <c r="C107" s="61"/>
      <c r="D107" s="37"/>
      <c r="E107" s="37">
        <v>1079892.04</v>
      </c>
      <c r="F107" s="37">
        <v>1079892.04</v>
      </c>
      <c r="G107"/>
      <c r="BR107"/>
      <c r="BS107"/>
      <c r="BZ107"/>
      <c r="CA107"/>
      <c r="CB107"/>
      <c r="CC107"/>
      <c r="CD107"/>
      <c r="CE107"/>
    </row>
    <row r="108" spans="1:83" x14ac:dyDescent="0.25">
      <c r="A108" s="12" t="s">
        <v>68</v>
      </c>
      <c r="B108" s="61"/>
      <c r="C108" s="61"/>
      <c r="D108" s="61"/>
      <c r="E108" s="61">
        <v>0</v>
      </c>
      <c r="F108" s="61">
        <v>0</v>
      </c>
      <c r="G108"/>
      <c r="BR108"/>
      <c r="BS108"/>
      <c r="BZ108"/>
      <c r="CA108"/>
      <c r="CB108"/>
      <c r="CC108"/>
      <c r="CD108"/>
      <c r="CE108"/>
    </row>
    <row r="109" spans="1:83" x14ac:dyDescent="0.25">
      <c r="A109" s="15">
        <v>24</v>
      </c>
      <c r="B109" s="61"/>
      <c r="C109" s="61"/>
      <c r="D109" s="61"/>
      <c r="E109" s="61"/>
      <c r="F109" s="61"/>
      <c r="G109"/>
      <c r="BR109"/>
      <c r="BS109"/>
      <c r="BZ109"/>
      <c r="CA109"/>
      <c r="CB109"/>
      <c r="CC109"/>
      <c r="CD109"/>
      <c r="CE109"/>
    </row>
    <row r="110" spans="1:83" x14ac:dyDescent="0.25">
      <c r="A110" s="12" t="s">
        <v>64</v>
      </c>
      <c r="B110" s="61">
        <v>1</v>
      </c>
      <c r="C110" s="61"/>
      <c r="D110" s="61">
        <v>1</v>
      </c>
      <c r="E110" s="61">
        <v>1</v>
      </c>
      <c r="F110" s="61">
        <v>2</v>
      </c>
      <c r="G110"/>
      <c r="BR110"/>
      <c r="BS110"/>
      <c r="BZ110"/>
      <c r="CA110"/>
      <c r="CB110"/>
      <c r="CC110"/>
      <c r="CD110"/>
      <c r="CE110"/>
    </row>
    <row r="111" spans="1:83" x14ac:dyDescent="0.25">
      <c r="A111" s="33" t="s">
        <v>61</v>
      </c>
      <c r="B111" s="34">
        <v>0.80754031957662409</v>
      </c>
      <c r="C111" s="34">
        <v>0</v>
      </c>
      <c r="D111" s="34">
        <v>0.80754031957662409</v>
      </c>
      <c r="E111" s="34">
        <v>0.19245968042337586</v>
      </c>
      <c r="F111" s="34">
        <v>1</v>
      </c>
      <c r="G111"/>
      <c r="BR111"/>
      <c r="BS111"/>
      <c r="BZ111"/>
      <c r="CA111"/>
      <c r="CB111"/>
      <c r="CC111"/>
      <c r="CD111"/>
      <c r="CE111"/>
    </row>
    <row r="112" spans="1:83" x14ac:dyDescent="0.25">
      <c r="A112" s="12" t="s">
        <v>66</v>
      </c>
      <c r="B112" s="61">
        <v>231748.68</v>
      </c>
      <c r="C112" s="61"/>
      <c r="D112" s="37">
        <v>231748.68</v>
      </c>
      <c r="E112" s="37">
        <v>55232.26</v>
      </c>
      <c r="F112" s="37">
        <v>286980.94</v>
      </c>
      <c r="G112"/>
      <c r="BR112"/>
      <c r="BS112"/>
      <c r="BZ112"/>
      <c r="CA112"/>
      <c r="CB112"/>
      <c r="CC112"/>
      <c r="CD112"/>
      <c r="CE112"/>
    </row>
    <row r="113" spans="1:83" x14ac:dyDescent="0.25">
      <c r="A113" s="12" t="s">
        <v>68</v>
      </c>
      <c r="B113" s="61">
        <v>231748.68</v>
      </c>
      <c r="C113" s="61"/>
      <c r="D113" s="61">
        <v>231748.68</v>
      </c>
      <c r="E113" s="61">
        <v>0</v>
      </c>
      <c r="F113" s="61">
        <v>231748.68</v>
      </c>
      <c r="BR113"/>
      <c r="BS113"/>
      <c r="BZ113"/>
      <c r="CA113"/>
      <c r="CB113"/>
      <c r="CC113"/>
      <c r="CD113"/>
      <c r="CE113"/>
    </row>
    <row r="114" spans="1:83" x14ac:dyDescent="0.25">
      <c r="A114" s="12" t="s">
        <v>65</v>
      </c>
      <c r="B114" s="61">
        <v>264</v>
      </c>
      <c r="C114" s="61">
        <v>182</v>
      </c>
      <c r="D114" s="61">
        <v>446</v>
      </c>
      <c r="E114" s="61">
        <v>503</v>
      </c>
      <c r="F114" s="61">
        <v>949</v>
      </c>
      <c r="BR114"/>
      <c r="BS114"/>
      <c r="BZ114"/>
      <c r="CA114"/>
      <c r="CB114"/>
      <c r="CC114"/>
      <c r="CD114"/>
      <c r="CE114"/>
    </row>
    <row r="115" spans="1:83" x14ac:dyDescent="0.25">
      <c r="A115" s="12" t="s">
        <v>62</v>
      </c>
      <c r="B115" s="34">
        <v>0.28997173537837578</v>
      </c>
      <c r="C115" s="34">
        <v>0.17274840172449207</v>
      </c>
      <c r="D115" s="34">
        <v>0.46272013710286797</v>
      </c>
      <c r="E115" s="34">
        <v>0.53727986289713225</v>
      </c>
      <c r="F115" s="34">
        <v>1</v>
      </c>
      <c r="BR115"/>
      <c r="BS115"/>
      <c r="BZ115"/>
      <c r="CA115"/>
      <c r="CB115"/>
      <c r="CC115"/>
      <c r="CD115"/>
      <c r="CE115"/>
    </row>
    <row r="116" spans="1:83" x14ac:dyDescent="0.25">
      <c r="A116" s="12" t="s">
        <v>67</v>
      </c>
      <c r="B116" s="61">
        <v>52307360.199999973</v>
      </c>
      <c r="C116" s="61">
        <v>31161702.230000004</v>
      </c>
      <c r="D116" s="61">
        <v>83469062.429999992</v>
      </c>
      <c r="E116" s="61">
        <v>96918726.51000002</v>
      </c>
      <c r="F116" s="61">
        <v>180387788.93999997</v>
      </c>
      <c r="BR116"/>
      <c r="BS116"/>
      <c r="BZ116"/>
      <c r="CA116"/>
      <c r="CB116"/>
      <c r="CC116"/>
      <c r="CD116"/>
      <c r="CE116"/>
    </row>
    <row r="117" spans="1:83" x14ac:dyDescent="0.25">
      <c r="A117" s="12" t="s">
        <v>69</v>
      </c>
      <c r="B117" s="61">
        <v>23593503.460000001</v>
      </c>
      <c r="C117" s="61">
        <v>2890003.32</v>
      </c>
      <c r="D117" s="61">
        <v>26483506.779999997</v>
      </c>
      <c r="E117" s="61">
        <v>141047</v>
      </c>
      <c r="F117" s="61">
        <v>26624553.779999997</v>
      </c>
      <c r="BR117"/>
      <c r="BS117"/>
      <c r="BZ117"/>
      <c r="CA117"/>
      <c r="CB117"/>
      <c r="CC117"/>
      <c r="CD117"/>
      <c r="CE117"/>
    </row>
    <row r="118" spans="1:83" x14ac:dyDescent="0.25">
      <c r="BR118"/>
      <c r="BS118"/>
      <c r="BZ118"/>
      <c r="CA118"/>
      <c r="CB118"/>
      <c r="CC118"/>
      <c r="CD118"/>
      <c r="CE118"/>
    </row>
    <row r="119" spans="1:83" x14ac:dyDescent="0.25">
      <c r="BR119"/>
      <c r="BS119"/>
      <c r="BZ119"/>
      <c r="CA119"/>
      <c r="CB119"/>
      <c r="CC119"/>
      <c r="CD119"/>
      <c r="CE119"/>
    </row>
    <row r="120" spans="1:83" x14ac:dyDescent="0.25">
      <c r="BR120"/>
      <c r="BS120"/>
      <c r="BZ120"/>
      <c r="CA120"/>
      <c r="CB120"/>
      <c r="CC120"/>
      <c r="CD120"/>
      <c r="CE120"/>
    </row>
    <row r="121" spans="1:83" x14ac:dyDescent="0.25">
      <c r="BR121"/>
      <c r="BS121"/>
      <c r="BZ121"/>
      <c r="CA121"/>
      <c r="CB121"/>
      <c r="CC121"/>
      <c r="CD121"/>
      <c r="CE121"/>
    </row>
    <row r="122" spans="1:83" x14ac:dyDescent="0.25">
      <c r="BR122"/>
      <c r="BS122"/>
      <c r="BZ122"/>
      <c r="CA122"/>
      <c r="CB122"/>
      <c r="CC122"/>
      <c r="CD122"/>
      <c r="CE122"/>
    </row>
    <row r="123" spans="1:83" x14ac:dyDescent="0.25">
      <c r="BR123"/>
      <c r="BS123"/>
      <c r="BZ123"/>
      <c r="CA123"/>
      <c r="CB123"/>
      <c r="CC123"/>
      <c r="CD123"/>
      <c r="CE123"/>
    </row>
    <row r="124" spans="1:83" x14ac:dyDescent="0.25">
      <c r="BR124"/>
      <c r="BS124"/>
      <c r="BZ124"/>
      <c r="CA124"/>
      <c r="CB124"/>
      <c r="CC124"/>
      <c r="CD124"/>
      <c r="CE124"/>
    </row>
    <row r="125" spans="1:83" x14ac:dyDescent="0.25">
      <c r="BR125"/>
      <c r="BS125"/>
      <c r="BZ125"/>
      <c r="CA125"/>
      <c r="CB125"/>
      <c r="CC125"/>
      <c r="CD125"/>
      <c r="CE125"/>
    </row>
    <row r="126" spans="1:83" x14ac:dyDescent="0.25">
      <c r="BR126"/>
      <c r="BS126"/>
      <c r="BZ126"/>
      <c r="CA126"/>
      <c r="CB126"/>
      <c r="CC126"/>
      <c r="CD126"/>
      <c r="CE126"/>
    </row>
    <row r="127" spans="1:83" x14ac:dyDescent="0.25">
      <c r="BR127"/>
      <c r="BS127"/>
      <c r="BZ127"/>
      <c r="CA127"/>
      <c r="CB127"/>
      <c r="CC127"/>
      <c r="CD127"/>
      <c r="CE127"/>
    </row>
    <row r="128" spans="1:83" x14ac:dyDescent="0.25">
      <c r="BR128"/>
      <c r="BS128"/>
      <c r="BZ128"/>
      <c r="CA128"/>
      <c r="CB128"/>
      <c r="CC128"/>
      <c r="CD128"/>
      <c r="CE128"/>
    </row>
    <row r="129" spans="1:83" x14ac:dyDescent="0.25">
      <c r="BR129"/>
      <c r="BS129"/>
      <c r="BZ129"/>
      <c r="CA129"/>
      <c r="CB129"/>
      <c r="CC129"/>
      <c r="CD129"/>
      <c r="CE129"/>
    </row>
    <row r="130" spans="1:83" x14ac:dyDescent="0.25">
      <c r="BR130"/>
      <c r="BS130"/>
      <c r="BZ130"/>
      <c r="CA130"/>
      <c r="CB130"/>
      <c r="CC130"/>
      <c r="CD130"/>
      <c r="CE130"/>
    </row>
    <row r="131" spans="1:83" x14ac:dyDescent="0.25">
      <c r="BR131"/>
      <c r="BS131"/>
      <c r="BZ131"/>
      <c r="CA131"/>
      <c r="CB131"/>
      <c r="CC131"/>
      <c r="CD131"/>
      <c r="CE131"/>
    </row>
    <row r="132" spans="1:83" x14ac:dyDescent="0.25">
      <c r="BR132"/>
      <c r="BS132"/>
      <c r="BZ132"/>
      <c r="CA132"/>
      <c r="CB132"/>
      <c r="CC132"/>
      <c r="CD132"/>
      <c r="CE132"/>
    </row>
    <row r="133" spans="1:83" x14ac:dyDescent="0.25">
      <c r="BR133"/>
      <c r="BS133"/>
      <c r="BZ133"/>
      <c r="CA133"/>
      <c r="CB133"/>
      <c r="CC133"/>
      <c r="CD133"/>
      <c r="CE133"/>
    </row>
    <row r="134" spans="1:83" x14ac:dyDescent="0.25">
      <c r="BR134"/>
      <c r="BS134"/>
      <c r="BZ134"/>
      <c r="CA134"/>
      <c r="CB134"/>
      <c r="CC134"/>
      <c r="CD134"/>
      <c r="CE134"/>
    </row>
    <row r="135" spans="1:83" x14ac:dyDescent="0.25">
      <c r="BR135"/>
      <c r="BS135"/>
      <c r="BZ135"/>
      <c r="CA135"/>
      <c r="CB135"/>
      <c r="CC135"/>
      <c r="CD135"/>
      <c r="CE135"/>
    </row>
    <row r="136" spans="1:83" x14ac:dyDescent="0.25">
      <c r="B136" s="13" t="s">
        <v>63</v>
      </c>
      <c r="G136"/>
      <c r="BR136"/>
      <c r="BS136"/>
      <c r="BZ136"/>
      <c r="CA136"/>
      <c r="CB136"/>
      <c r="CC136"/>
      <c r="CD136"/>
      <c r="CE136"/>
    </row>
    <row r="137" spans="1:83" x14ac:dyDescent="0.25">
      <c r="B137" s="12" t="s">
        <v>57</v>
      </c>
      <c r="D137" s="12" t="s">
        <v>389</v>
      </c>
      <c r="E137" s="12" t="s">
        <v>44</v>
      </c>
      <c r="F137" s="12" t="s">
        <v>50</v>
      </c>
      <c r="G137"/>
      <c r="BR137"/>
      <c r="BS137"/>
      <c r="BZ137"/>
      <c r="CA137"/>
      <c r="CB137"/>
      <c r="CC137"/>
      <c r="CD137"/>
      <c r="CE137"/>
    </row>
    <row r="138" spans="1:83" x14ac:dyDescent="0.25">
      <c r="A138" s="13" t="s">
        <v>49</v>
      </c>
      <c r="B138" s="12" t="s">
        <v>13</v>
      </c>
      <c r="C138" s="12" t="s">
        <v>14</v>
      </c>
      <c r="G138"/>
      <c r="BR138"/>
      <c r="BS138"/>
      <c r="BZ138"/>
      <c r="CA138"/>
      <c r="CB138"/>
      <c r="CC138"/>
      <c r="CD138"/>
      <c r="CE138"/>
    </row>
    <row r="139" spans="1:83" x14ac:dyDescent="0.25">
      <c r="A139" s="12">
        <v>0</v>
      </c>
      <c r="B139" s="61"/>
      <c r="C139" s="61"/>
      <c r="D139" s="61"/>
      <c r="E139" s="61"/>
      <c r="F139" s="61"/>
      <c r="G139"/>
      <c r="BR139"/>
      <c r="BS139"/>
      <c r="BZ139"/>
      <c r="CA139"/>
      <c r="CB139"/>
      <c r="CC139"/>
      <c r="CD139"/>
      <c r="CE139"/>
    </row>
    <row r="140" spans="1:83" x14ac:dyDescent="0.25">
      <c r="A140" s="12" t="s">
        <v>64</v>
      </c>
      <c r="B140" s="61">
        <v>8</v>
      </c>
      <c r="C140" s="61">
        <v>2</v>
      </c>
      <c r="D140" s="61">
        <v>10</v>
      </c>
      <c r="E140" s="61">
        <v>5</v>
      </c>
      <c r="F140" s="61">
        <v>15</v>
      </c>
      <c r="G140"/>
      <c r="BR140"/>
      <c r="BS140"/>
      <c r="BZ140"/>
      <c r="CA140"/>
      <c r="CB140"/>
      <c r="CC140"/>
      <c r="CD140"/>
      <c r="CE140"/>
    </row>
    <row r="141" spans="1:83" x14ac:dyDescent="0.25">
      <c r="A141" s="16" t="s">
        <v>61</v>
      </c>
      <c r="B141" s="17">
        <v>0.50354486944151544</v>
      </c>
      <c r="C141" s="17">
        <v>6.8068241491367643E-2</v>
      </c>
      <c r="D141" s="17">
        <v>0.57161311093288314</v>
      </c>
      <c r="E141" s="17">
        <v>0.42838688906711697</v>
      </c>
      <c r="F141" s="17">
        <v>1</v>
      </c>
      <c r="G141"/>
      <c r="BR141"/>
      <c r="BS141"/>
      <c r="BZ141"/>
      <c r="CA141"/>
      <c r="CB141"/>
      <c r="CC141"/>
      <c r="CD141"/>
      <c r="CE141"/>
    </row>
    <row r="142" spans="1:83" x14ac:dyDescent="0.25">
      <c r="A142" s="12" t="s">
        <v>66</v>
      </c>
      <c r="B142" s="61">
        <v>2408849.9300000002</v>
      </c>
      <c r="C142" s="61">
        <v>325623.77</v>
      </c>
      <c r="D142" s="37">
        <v>2734473.7</v>
      </c>
      <c r="E142" s="37">
        <v>2049310.3800000001</v>
      </c>
      <c r="F142" s="37">
        <v>4783784.08</v>
      </c>
      <c r="G142"/>
      <c r="BR142"/>
      <c r="BS142"/>
      <c r="BZ142"/>
      <c r="CA142"/>
      <c r="CB142"/>
      <c r="CC142"/>
      <c r="CD142"/>
      <c r="CE142"/>
    </row>
    <row r="143" spans="1:83" x14ac:dyDescent="0.25">
      <c r="A143" s="12" t="s">
        <v>68</v>
      </c>
      <c r="B143" s="61">
        <v>1959857.1199999999</v>
      </c>
      <c r="C143" s="61">
        <v>22200</v>
      </c>
      <c r="D143" s="61">
        <v>1982057.1199999999</v>
      </c>
      <c r="E143" s="61">
        <v>0</v>
      </c>
      <c r="F143" s="61">
        <v>1982057.1199999999</v>
      </c>
      <c r="G143"/>
      <c r="BR143"/>
      <c r="BS143"/>
      <c r="BZ143"/>
      <c r="CA143"/>
      <c r="CB143"/>
      <c r="CC143"/>
      <c r="CD143"/>
      <c r="CE143"/>
    </row>
    <row r="144" spans="1:83" x14ac:dyDescent="0.25">
      <c r="A144" s="12" t="s">
        <v>527</v>
      </c>
      <c r="B144" s="61"/>
      <c r="C144" s="61"/>
      <c r="D144" s="61"/>
      <c r="E144" s="61"/>
      <c r="F144" s="61"/>
      <c r="G144"/>
      <c r="BR144"/>
      <c r="BS144"/>
      <c r="BZ144"/>
      <c r="CA144"/>
      <c r="CB144"/>
      <c r="CC144"/>
      <c r="CD144"/>
      <c r="CE144"/>
    </row>
    <row r="145" spans="1:83" x14ac:dyDescent="0.25">
      <c r="A145" s="12" t="s">
        <v>64</v>
      </c>
      <c r="B145" s="61">
        <v>8</v>
      </c>
      <c r="C145" s="61">
        <v>7</v>
      </c>
      <c r="D145" s="61">
        <v>15</v>
      </c>
      <c r="E145" s="61">
        <v>17</v>
      </c>
      <c r="F145" s="61">
        <v>32</v>
      </c>
      <c r="G145"/>
      <c r="BR145"/>
      <c r="BS145"/>
      <c r="BZ145"/>
      <c r="CA145"/>
      <c r="CB145"/>
      <c r="CC145"/>
      <c r="CD145"/>
      <c r="CE145"/>
    </row>
    <row r="146" spans="1:83" x14ac:dyDescent="0.25">
      <c r="A146" s="16" t="s">
        <v>61</v>
      </c>
      <c r="B146" s="17">
        <v>0.28146211158523732</v>
      </c>
      <c r="C146" s="17">
        <v>0.14951478222503339</v>
      </c>
      <c r="D146" s="17">
        <v>0.43097689381027077</v>
      </c>
      <c r="E146" s="17">
        <v>0.56902310618972907</v>
      </c>
      <c r="F146" s="17">
        <v>1</v>
      </c>
      <c r="G146"/>
      <c r="BR146"/>
      <c r="BS146"/>
      <c r="BZ146"/>
      <c r="CA146"/>
      <c r="CB146"/>
      <c r="CC146"/>
      <c r="CD146"/>
      <c r="CE146"/>
    </row>
    <row r="147" spans="1:83" x14ac:dyDescent="0.25">
      <c r="A147" s="12" t="s">
        <v>66</v>
      </c>
      <c r="B147" s="61">
        <v>1942446.1000000003</v>
      </c>
      <c r="C147" s="61">
        <v>1031841.9199999999</v>
      </c>
      <c r="D147" s="37">
        <v>2974288.0200000005</v>
      </c>
      <c r="E147" s="37">
        <v>3926982.24</v>
      </c>
      <c r="F147" s="37">
        <v>6901270.2600000016</v>
      </c>
      <c r="G147"/>
      <c r="BR147"/>
      <c r="BS147"/>
      <c r="BZ147"/>
      <c r="CA147"/>
      <c r="CB147"/>
      <c r="CC147"/>
      <c r="CD147"/>
      <c r="CE147"/>
    </row>
    <row r="148" spans="1:83" x14ac:dyDescent="0.25">
      <c r="A148" s="12" t="s">
        <v>68</v>
      </c>
      <c r="B148" s="61">
        <v>1529454.1000000003</v>
      </c>
      <c r="C148" s="61">
        <v>96929.1</v>
      </c>
      <c r="D148" s="61">
        <v>1626383.2000000004</v>
      </c>
      <c r="E148" s="61">
        <v>0</v>
      </c>
      <c r="F148" s="61">
        <v>1626383.2000000004</v>
      </c>
      <c r="G148"/>
      <c r="BR148"/>
      <c r="BS148"/>
      <c r="BZ148"/>
      <c r="CA148"/>
      <c r="CB148"/>
      <c r="CC148"/>
      <c r="CD148"/>
      <c r="CE148"/>
    </row>
    <row r="149" spans="1:83" x14ac:dyDescent="0.25">
      <c r="A149" s="12" t="s">
        <v>528</v>
      </c>
      <c r="B149" s="61"/>
      <c r="C149" s="61"/>
      <c r="D149" s="61"/>
      <c r="E149" s="61"/>
      <c r="F149" s="61"/>
      <c r="G149"/>
      <c r="BR149"/>
      <c r="BS149"/>
      <c r="BZ149"/>
      <c r="CA149"/>
      <c r="CB149"/>
      <c r="CC149"/>
      <c r="CD149"/>
      <c r="CE149"/>
    </row>
    <row r="150" spans="1:83" x14ac:dyDescent="0.25">
      <c r="A150" s="12" t="s">
        <v>64</v>
      </c>
      <c r="B150" s="61"/>
      <c r="C150" s="61"/>
      <c r="D150" s="61"/>
      <c r="E150" s="61">
        <v>1</v>
      </c>
      <c r="F150" s="61">
        <v>1</v>
      </c>
      <c r="G150"/>
      <c r="BR150"/>
      <c r="BS150"/>
      <c r="BZ150"/>
      <c r="CA150"/>
      <c r="CB150"/>
      <c r="CC150"/>
      <c r="CD150"/>
      <c r="CE150"/>
    </row>
    <row r="151" spans="1:83" x14ac:dyDescent="0.25">
      <c r="A151" s="16" t="s">
        <v>61</v>
      </c>
      <c r="B151" s="17">
        <v>0</v>
      </c>
      <c r="C151" s="17">
        <v>0</v>
      </c>
      <c r="D151" s="17">
        <v>0</v>
      </c>
      <c r="E151" s="17">
        <v>1</v>
      </c>
      <c r="F151" s="17">
        <v>1</v>
      </c>
      <c r="G151"/>
      <c r="BR151"/>
      <c r="BS151"/>
      <c r="BZ151"/>
      <c r="CA151"/>
      <c r="CB151"/>
      <c r="CC151"/>
      <c r="CD151"/>
      <c r="CE151"/>
    </row>
    <row r="152" spans="1:83" x14ac:dyDescent="0.25">
      <c r="A152" s="12" t="s">
        <v>66</v>
      </c>
      <c r="B152" s="61"/>
      <c r="C152" s="61"/>
      <c r="D152" s="37"/>
      <c r="E152" s="37">
        <v>473687.82</v>
      </c>
      <c r="F152" s="37">
        <v>473687.82</v>
      </c>
      <c r="G152"/>
      <c r="BR152"/>
      <c r="BS152"/>
      <c r="BZ152"/>
      <c r="CA152"/>
      <c r="CB152"/>
      <c r="CC152"/>
      <c r="CD152"/>
      <c r="CE152"/>
    </row>
    <row r="153" spans="1:83" x14ac:dyDescent="0.25">
      <c r="A153" s="12" t="s">
        <v>68</v>
      </c>
      <c r="B153" s="61"/>
      <c r="C153" s="61"/>
      <c r="D153" s="61"/>
      <c r="E153" s="61">
        <v>0</v>
      </c>
      <c r="F153" s="61">
        <v>0</v>
      </c>
      <c r="G153"/>
      <c r="BR153"/>
      <c r="BS153"/>
      <c r="BZ153"/>
      <c r="CA153"/>
      <c r="CB153"/>
      <c r="CC153"/>
      <c r="CD153"/>
      <c r="CE153"/>
    </row>
    <row r="154" spans="1:83" x14ac:dyDescent="0.25">
      <c r="A154" s="12" t="s">
        <v>529</v>
      </c>
      <c r="B154" s="61"/>
      <c r="C154" s="61"/>
      <c r="D154" s="61"/>
      <c r="E154" s="61"/>
      <c r="F154" s="61"/>
      <c r="G154"/>
      <c r="BR154"/>
      <c r="BS154"/>
      <c r="BZ154"/>
      <c r="CA154"/>
      <c r="CB154"/>
      <c r="CC154"/>
      <c r="CD154"/>
      <c r="CE154"/>
    </row>
    <row r="155" spans="1:83" x14ac:dyDescent="0.25">
      <c r="A155" s="12" t="s">
        <v>64</v>
      </c>
      <c r="B155" s="61"/>
      <c r="C155" s="61">
        <v>1</v>
      </c>
      <c r="D155" s="61">
        <v>1</v>
      </c>
      <c r="E155" s="61"/>
      <c r="F155" s="61">
        <v>1</v>
      </c>
      <c r="G155"/>
      <c r="BR155"/>
      <c r="BS155"/>
      <c r="BZ155"/>
      <c r="CA155"/>
      <c r="CB155"/>
      <c r="CC155"/>
      <c r="CD155"/>
      <c r="CE155"/>
    </row>
    <row r="156" spans="1:83" x14ac:dyDescent="0.25">
      <c r="A156" s="16" t="s">
        <v>61</v>
      </c>
      <c r="B156" s="17">
        <v>0</v>
      </c>
      <c r="C156" s="17">
        <v>1</v>
      </c>
      <c r="D156" s="17">
        <v>1</v>
      </c>
      <c r="E156" s="17">
        <v>0</v>
      </c>
      <c r="F156" s="17">
        <v>1</v>
      </c>
      <c r="G156"/>
      <c r="BR156"/>
      <c r="BS156"/>
      <c r="BZ156"/>
      <c r="CA156"/>
      <c r="CB156"/>
      <c r="CC156"/>
      <c r="CD156"/>
      <c r="CE156"/>
    </row>
    <row r="157" spans="1:83" x14ac:dyDescent="0.25">
      <c r="A157" s="12" t="s">
        <v>66</v>
      </c>
      <c r="B157" s="61"/>
      <c r="C157" s="61">
        <v>62865.23</v>
      </c>
      <c r="D157" s="37">
        <v>62865.23</v>
      </c>
      <c r="E157" s="37"/>
      <c r="F157" s="37">
        <v>62865.23</v>
      </c>
      <c r="G157"/>
      <c r="BR157"/>
      <c r="BS157"/>
      <c r="BZ157"/>
      <c r="CA157"/>
      <c r="CB157"/>
      <c r="CC157"/>
      <c r="CD157"/>
      <c r="CE157"/>
    </row>
    <row r="158" spans="1:83" x14ac:dyDescent="0.25">
      <c r="A158" s="12" t="s">
        <v>68</v>
      </c>
      <c r="B158" s="61"/>
      <c r="C158" s="61">
        <v>5500</v>
      </c>
      <c r="D158" s="61">
        <v>5500</v>
      </c>
      <c r="E158" s="61"/>
      <c r="F158" s="61">
        <v>5500</v>
      </c>
      <c r="G158"/>
      <c r="BR158"/>
      <c r="BS158"/>
      <c r="BZ158"/>
      <c r="CA158"/>
      <c r="CB158"/>
      <c r="CC158"/>
      <c r="CD158"/>
      <c r="CE158"/>
    </row>
    <row r="159" spans="1:83" x14ac:dyDescent="0.25">
      <c r="A159" s="12" t="s">
        <v>117</v>
      </c>
      <c r="B159" s="61"/>
      <c r="C159" s="61"/>
      <c r="D159" s="61"/>
      <c r="E159" s="61"/>
      <c r="F159" s="61"/>
      <c r="G159"/>
      <c r="BR159"/>
      <c r="BS159"/>
      <c r="BZ159"/>
      <c r="CA159"/>
      <c r="CB159"/>
      <c r="CC159"/>
      <c r="CD159"/>
      <c r="CE159"/>
    </row>
    <row r="160" spans="1:83" x14ac:dyDescent="0.25">
      <c r="A160" s="12" t="s">
        <v>64</v>
      </c>
      <c r="B160" s="61">
        <v>248</v>
      </c>
      <c r="C160" s="61">
        <v>172</v>
      </c>
      <c r="D160" s="61">
        <v>420</v>
      </c>
      <c r="E160" s="61">
        <v>480</v>
      </c>
      <c r="F160" s="61">
        <v>900</v>
      </c>
      <c r="G160"/>
      <c r="BR160"/>
      <c r="BS160"/>
      <c r="BZ160"/>
      <c r="CA160"/>
      <c r="CB160"/>
      <c r="CC160"/>
      <c r="CD160"/>
      <c r="CE160"/>
    </row>
    <row r="161" spans="1:83" x14ac:dyDescent="0.25">
      <c r="A161" s="16" t="s">
        <v>61</v>
      </c>
      <c r="B161" s="17">
        <v>0.28517067895569348</v>
      </c>
      <c r="C161" s="17">
        <v>0.1768570293733947</v>
      </c>
      <c r="D161" s="17">
        <v>0.46202770832908824</v>
      </c>
      <c r="E161" s="17">
        <v>0.53797229167091076</v>
      </c>
      <c r="F161" s="17">
        <v>1</v>
      </c>
      <c r="G161"/>
      <c r="BR161"/>
      <c r="BS161"/>
      <c r="BZ161"/>
      <c r="CA161"/>
      <c r="CB161"/>
      <c r="CC161"/>
      <c r="CD161"/>
      <c r="CE161"/>
    </row>
    <row r="162" spans="1:83" x14ac:dyDescent="0.25">
      <c r="A162" s="12" t="s">
        <v>66</v>
      </c>
      <c r="B162" s="61">
        <v>47956064.169999972</v>
      </c>
      <c r="C162" s="61">
        <v>29741371.31000001</v>
      </c>
      <c r="D162" s="37">
        <v>77697435.479999989</v>
      </c>
      <c r="E162" s="37">
        <v>90468746.070000038</v>
      </c>
      <c r="F162" s="37">
        <v>168166181.55000019</v>
      </c>
      <c r="G162"/>
      <c r="BR162"/>
      <c r="BS162"/>
      <c r="BZ162"/>
      <c r="CA162"/>
      <c r="CB162"/>
      <c r="CC162"/>
      <c r="CD162"/>
      <c r="CE162"/>
    </row>
    <row r="163" spans="1:83" x14ac:dyDescent="0.25">
      <c r="A163" s="12" t="s">
        <v>68</v>
      </c>
      <c r="B163" s="61">
        <v>20104192.239999998</v>
      </c>
      <c r="C163" s="61">
        <v>2765374.2199999997</v>
      </c>
      <c r="D163" s="61">
        <v>22869566.460000001</v>
      </c>
      <c r="E163" s="61">
        <v>141047</v>
      </c>
      <c r="F163" s="61">
        <v>23010613.460000001</v>
      </c>
      <c r="G163"/>
      <c r="BR163"/>
      <c r="BS163"/>
      <c r="BZ163"/>
      <c r="CA163"/>
      <c r="CB163"/>
      <c r="CC163"/>
      <c r="CD163"/>
      <c r="CE163"/>
    </row>
    <row r="164" spans="1:83" x14ac:dyDescent="0.25">
      <c r="A164" s="12" t="s">
        <v>65</v>
      </c>
      <c r="B164" s="61">
        <v>264</v>
      </c>
      <c r="C164" s="61">
        <v>182</v>
      </c>
      <c r="D164" s="61">
        <v>446</v>
      </c>
      <c r="E164" s="61">
        <v>503</v>
      </c>
      <c r="F164" s="61">
        <v>949</v>
      </c>
      <c r="G164"/>
      <c r="BR164"/>
      <c r="BS164"/>
      <c r="BZ164"/>
      <c r="CA164"/>
      <c r="CB164"/>
      <c r="CC164"/>
      <c r="CD164"/>
      <c r="CE164"/>
    </row>
    <row r="165" spans="1:83" x14ac:dyDescent="0.25">
      <c r="A165" s="12" t="s">
        <v>62</v>
      </c>
      <c r="B165" s="17">
        <v>0.28997173537837534</v>
      </c>
      <c r="C165" s="17">
        <v>0.17274840172449185</v>
      </c>
      <c r="D165" s="17">
        <v>0.46272013710286736</v>
      </c>
      <c r="E165" s="17">
        <v>0.53727986289713181</v>
      </c>
      <c r="F165" s="17">
        <v>1</v>
      </c>
      <c r="G165"/>
      <c r="BR165"/>
      <c r="BS165"/>
      <c r="BZ165"/>
      <c r="CA165"/>
      <c r="CB165"/>
      <c r="CC165"/>
      <c r="CD165"/>
      <c r="CE165"/>
    </row>
    <row r="166" spans="1:83" x14ac:dyDescent="0.25">
      <c r="A166" s="12" t="s">
        <v>67</v>
      </c>
      <c r="B166" s="61">
        <v>52307360.199999966</v>
      </c>
      <c r="C166" s="61">
        <v>31161702.230000004</v>
      </c>
      <c r="D166" s="61">
        <v>83469062.429999992</v>
      </c>
      <c r="E166" s="61">
        <v>96918726.510000065</v>
      </c>
      <c r="F166" s="61">
        <v>180387788.94000021</v>
      </c>
      <c r="G166"/>
      <c r="BR166"/>
      <c r="BS166"/>
      <c r="BZ166"/>
      <c r="CA166"/>
      <c r="CB166"/>
      <c r="CC166"/>
      <c r="CD166"/>
      <c r="CE166"/>
    </row>
    <row r="167" spans="1:83" x14ac:dyDescent="0.25">
      <c r="A167" s="12" t="s">
        <v>69</v>
      </c>
      <c r="B167" s="61">
        <v>23593503.459999997</v>
      </c>
      <c r="C167" s="61">
        <v>2890003.32</v>
      </c>
      <c r="D167" s="61">
        <v>26483506.780000001</v>
      </c>
      <c r="E167" s="61">
        <v>141047</v>
      </c>
      <c r="F167" s="61">
        <v>26624553.780000001</v>
      </c>
      <c r="G167"/>
      <c r="BR167"/>
      <c r="BS167"/>
      <c r="BZ167"/>
      <c r="CA167"/>
      <c r="CB167"/>
      <c r="CC167"/>
      <c r="CD167"/>
      <c r="CE167"/>
    </row>
    <row r="168" spans="1:83" x14ac:dyDescent="0.25">
      <c r="A168"/>
      <c r="B168"/>
      <c r="C168"/>
      <c r="D168"/>
      <c r="E168"/>
      <c r="F168"/>
      <c r="G168"/>
      <c r="BR168"/>
      <c r="BS168"/>
      <c r="BZ168"/>
      <c r="CA168"/>
      <c r="CB168"/>
      <c r="CC168"/>
      <c r="CD168"/>
      <c r="CE168"/>
    </row>
    <row r="169" spans="1:83" x14ac:dyDescent="0.25">
      <c r="A169"/>
      <c r="B169"/>
      <c r="C169"/>
      <c r="D169"/>
      <c r="E169"/>
      <c r="F169"/>
      <c r="G169"/>
      <c r="BR169"/>
      <c r="BS169"/>
      <c r="BZ169"/>
      <c r="CA169"/>
      <c r="CB169"/>
      <c r="CC169"/>
      <c r="CD169"/>
      <c r="CE169"/>
    </row>
    <row r="170" spans="1:83" x14ac:dyDescent="0.25">
      <c r="A170"/>
      <c r="B170"/>
      <c r="C170"/>
      <c r="D170"/>
      <c r="E170"/>
      <c r="F170"/>
      <c r="G170"/>
      <c r="BR170"/>
      <c r="BS170"/>
      <c r="BZ170"/>
      <c r="CA170"/>
      <c r="CB170"/>
      <c r="CC170"/>
      <c r="CD170"/>
      <c r="CE170"/>
    </row>
    <row r="171" spans="1:83" x14ac:dyDescent="0.25">
      <c r="A171"/>
      <c r="B171"/>
      <c r="C171"/>
      <c r="D171"/>
      <c r="E171"/>
      <c r="F171"/>
      <c r="G171"/>
      <c r="BR171"/>
      <c r="BS171"/>
      <c r="BZ171"/>
      <c r="CA171"/>
      <c r="CB171"/>
      <c r="CC171"/>
      <c r="CD171"/>
      <c r="CE171"/>
    </row>
    <row r="172" spans="1:83" x14ac:dyDescent="0.25">
      <c r="A172"/>
      <c r="B172"/>
      <c r="C172"/>
      <c r="D172"/>
      <c r="E172"/>
      <c r="F172"/>
      <c r="G172"/>
      <c r="BR172"/>
      <c r="BS172"/>
      <c r="BZ172"/>
      <c r="CA172"/>
      <c r="CB172"/>
      <c r="CC172"/>
      <c r="CD172"/>
      <c r="CE172"/>
    </row>
    <row r="173" spans="1:83" x14ac:dyDescent="0.25">
      <c r="A173" s="13" t="s">
        <v>49</v>
      </c>
      <c r="B173" s="12" t="s">
        <v>66</v>
      </c>
      <c r="C173" s="12" t="s">
        <v>64</v>
      </c>
      <c r="D173"/>
      <c r="E173"/>
      <c r="F173"/>
      <c r="G173"/>
      <c r="H173"/>
      <c r="I173"/>
      <c r="BR173"/>
      <c r="BS173"/>
      <c r="BZ173"/>
      <c r="CA173"/>
      <c r="CB173"/>
      <c r="CC173"/>
      <c r="CD173"/>
      <c r="CE173"/>
    </row>
    <row r="174" spans="1:83" x14ac:dyDescent="0.25">
      <c r="A174" s="15">
        <v>1</v>
      </c>
      <c r="B174" s="37">
        <v>2242673.7899999996</v>
      </c>
      <c r="C174" s="61">
        <v>6</v>
      </c>
      <c r="D174"/>
      <c r="E174"/>
      <c r="F174"/>
      <c r="G174"/>
      <c r="H174"/>
      <c r="I174"/>
      <c r="BR174"/>
      <c r="BS174"/>
      <c r="BZ174"/>
      <c r="CA174"/>
      <c r="CB174"/>
      <c r="CC174"/>
      <c r="CD174"/>
      <c r="CE174"/>
    </row>
    <row r="175" spans="1:83" x14ac:dyDescent="0.25">
      <c r="A175" s="15">
        <v>2</v>
      </c>
      <c r="B175" s="37">
        <v>9727660.0099999979</v>
      </c>
      <c r="C175" s="61">
        <v>59</v>
      </c>
      <c r="D175"/>
      <c r="E175"/>
      <c r="F175"/>
      <c r="G175"/>
      <c r="H175"/>
      <c r="I175"/>
      <c r="BR175"/>
      <c r="BS175"/>
      <c r="BZ175"/>
      <c r="CA175"/>
      <c r="CB175"/>
      <c r="CC175"/>
      <c r="CD175"/>
      <c r="CE175"/>
    </row>
    <row r="176" spans="1:83" x14ac:dyDescent="0.25">
      <c r="A176" s="15">
        <v>5</v>
      </c>
      <c r="B176" s="37">
        <v>7397936.6999999993</v>
      </c>
      <c r="C176" s="61">
        <v>36</v>
      </c>
      <c r="D176"/>
      <c r="E176"/>
      <c r="F176"/>
      <c r="G176"/>
      <c r="H176"/>
      <c r="I176"/>
      <c r="BR176"/>
      <c r="BS176"/>
      <c r="BZ176"/>
      <c r="CA176"/>
      <c r="CB176"/>
      <c r="CC176"/>
      <c r="CD176"/>
      <c r="CE176"/>
    </row>
    <row r="177" spans="1:83" x14ac:dyDescent="0.25">
      <c r="A177" s="15">
        <v>7</v>
      </c>
      <c r="B177" s="37">
        <v>104616.86</v>
      </c>
      <c r="C177" s="61">
        <v>1</v>
      </c>
      <c r="D177"/>
      <c r="E177"/>
      <c r="F177"/>
      <c r="G177"/>
      <c r="H177"/>
      <c r="I177"/>
      <c r="BR177"/>
      <c r="BS177"/>
      <c r="BZ177"/>
      <c r="CA177"/>
      <c r="CB177"/>
      <c r="CC177"/>
      <c r="CD177"/>
      <c r="CE177"/>
    </row>
    <row r="178" spans="1:83" x14ac:dyDescent="0.25">
      <c r="A178" s="15">
        <v>8</v>
      </c>
      <c r="B178" s="37">
        <v>4352733.5900000008</v>
      </c>
      <c r="C178" s="61">
        <v>27</v>
      </c>
      <c r="D178"/>
      <c r="E178"/>
      <c r="F178"/>
      <c r="G178"/>
      <c r="H178"/>
      <c r="I178"/>
      <c r="BR178"/>
      <c r="BS178"/>
      <c r="BZ178"/>
      <c r="CA178"/>
      <c r="CB178"/>
      <c r="CC178"/>
      <c r="CD178"/>
      <c r="CE178"/>
    </row>
    <row r="179" spans="1:83" x14ac:dyDescent="0.25">
      <c r="A179" s="15">
        <v>10</v>
      </c>
      <c r="B179" s="37">
        <v>353033.31</v>
      </c>
      <c r="C179" s="61">
        <v>2</v>
      </c>
      <c r="D179"/>
      <c r="E179"/>
      <c r="F179"/>
      <c r="G179"/>
      <c r="H179"/>
      <c r="I179"/>
      <c r="BR179"/>
      <c r="BS179"/>
      <c r="BZ179"/>
      <c r="CA179"/>
      <c r="CB179"/>
      <c r="CC179"/>
      <c r="CD179"/>
      <c r="CE179"/>
    </row>
    <row r="180" spans="1:83" x14ac:dyDescent="0.25">
      <c r="A180" s="15">
        <v>11</v>
      </c>
      <c r="B180" s="37">
        <v>12318398.820000002</v>
      </c>
      <c r="C180" s="61">
        <v>68</v>
      </c>
      <c r="D180"/>
      <c r="E180"/>
      <c r="F180"/>
      <c r="G180"/>
      <c r="H180"/>
      <c r="I180"/>
      <c r="BR180"/>
      <c r="BS180"/>
      <c r="BZ180"/>
      <c r="CA180"/>
      <c r="CB180"/>
      <c r="CC180"/>
      <c r="CD180"/>
      <c r="CE180"/>
    </row>
    <row r="181" spans="1:83" x14ac:dyDescent="0.25">
      <c r="A181" s="15">
        <v>12</v>
      </c>
      <c r="B181" s="37">
        <v>31834331.769999996</v>
      </c>
      <c r="C181" s="61">
        <v>175</v>
      </c>
      <c r="D181"/>
      <c r="E181"/>
      <c r="F181"/>
      <c r="G181"/>
      <c r="H181"/>
      <c r="I181"/>
      <c r="BR181"/>
      <c r="BS181"/>
      <c r="BZ181"/>
      <c r="CA181"/>
      <c r="CB181"/>
      <c r="CC181"/>
      <c r="CD181"/>
      <c r="CE181"/>
    </row>
    <row r="182" spans="1:83" x14ac:dyDescent="0.25">
      <c r="A182" s="15">
        <v>14</v>
      </c>
      <c r="B182" s="37">
        <v>1027669</v>
      </c>
      <c r="C182" s="61">
        <v>11</v>
      </c>
      <c r="D182"/>
      <c r="E182"/>
      <c r="F182"/>
      <c r="G182"/>
      <c r="H182"/>
      <c r="I182"/>
      <c r="BR182"/>
      <c r="BS182"/>
      <c r="BZ182"/>
      <c r="CA182"/>
      <c r="CB182"/>
      <c r="CC182"/>
      <c r="CD182"/>
      <c r="CE182"/>
    </row>
    <row r="183" spans="1:83" x14ac:dyDescent="0.25">
      <c r="A183" s="15">
        <v>17</v>
      </c>
      <c r="B183" s="37">
        <v>916834.2300000001</v>
      </c>
      <c r="C183" s="61">
        <v>2</v>
      </c>
      <c r="D183"/>
      <c r="E183"/>
      <c r="F183"/>
      <c r="G183"/>
      <c r="H183"/>
      <c r="I183"/>
      <c r="BR183"/>
      <c r="BS183"/>
      <c r="BZ183"/>
      <c r="CA183"/>
      <c r="CB183"/>
      <c r="CC183"/>
      <c r="CD183"/>
      <c r="CE183"/>
    </row>
    <row r="184" spans="1:83" x14ac:dyDescent="0.25">
      <c r="A184" s="15">
        <v>15</v>
      </c>
      <c r="B184" s="37">
        <v>2798833.36</v>
      </c>
      <c r="C184" s="61">
        <v>5</v>
      </c>
      <c r="D184"/>
      <c r="E184"/>
      <c r="F184"/>
      <c r="G184"/>
      <c r="H184"/>
      <c r="I184"/>
      <c r="BR184"/>
      <c r="BS184"/>
      <c r="BZ184"/>
      <c r="CA184"/>
      <c r="CB184"/>
      <c r="CC184"/>
      <c r="CD184"/>
      <c r="CE184"/>
    </row>
    <row r="185" spans="1:83" x14ac:dyDescent="0.25">
      <c r="A185" s="15">
        <v>16</v>
      </c>
      <c r="B185" s="37">
        <v>21727101.370000008</v>
      </c>
      <c r="C185" s="61">
        <v>119</v>
      </c>
      <c r="D185"/>
      <c r="E185"/>
      <c r="F185"/>
      <c r="G185"/>
      <c r="H185"/>
      <c r="I185"/>
      <c r="BR185"/>
      <c r="BS185"/>
      <c r="BZ185"/>
      <c r="CA185"/>
      <c r="CB185"/>
      <c r="CC185"/>
      <c r="CD185"/>
      <c r="CE185"/>
    </row>
    <row r="186" spans="1:83" x14ac:dyDescent="0.25">
      <c r="A186" s="15">
        <v>18</v>
      </c>
      <c r="B186" s="37">
        <v>17545535.27</v>
      </c>
      <c r="C186" s="61">
        <v>67</v>
      </c>
      <c r="D186"/>
      <c r="E186"/>
      <c r="F186"/>
      <c r="G186"/>
      <c r="H186"/>
      <c r="I186"/>
      <c r="BR186"/>
      <c r="BS186"/>
      <c r="BZ186"/>
      <c r="CA186"/>
      <c r="CB186"/>
      <c r="CC186"/>
      <c r="CD186"/>
      <c r="CE186"/>
    </row>
    <row r="187" spans="1:83" x14ac:dyDescent="0.25">
      <c r="A187" s="15">
        <v>20</v>
      </c>
      <c r="B187" s="37">
        <v>23065288.080000009</v>
      </c>
      <c r="C187" s="61">
        <v>147</v>
      </c>
      <c r="D187"/>
      <c r="E187"/>
      <c r="F187"/>
      <c r="G187"/>
      <c r="H187"/>
      <c r="I187"/>
      <c r="BR187"/>
      <c r="BS187"/>
      <c r="BZ187"/>
      <c r="CA187"/>
      <c r="CB187"/>
      <c r="CC187"/>
      <c r="CD187"/>
      <c r="CE187"/>
    </row>
    <row r="188" spans="1:83" x14ac:dyDescent="0.25">
      <c r="A188" s="15">
        <v>21</v>
      </c>
      <c r="B188" s="37">
        <v>26639077.160000015</v>
      </c>
      <c r="C188" s="61">
        <v>134</v>
      </c>
      <c r="D188"/>
      <c r="E188"/>
      <c r="F188"/>
      <c r="G188"/>
      <c r="H188"/>
      <c r="I188"/>
      <c r="BR188"/>
      <c r="BS188"/>
      <c r="BZ188"/>
      <c r="CA188"/>
      <c r="CB188"/>
      <c r="CC188"/>
      <c r="CD188"/>
      <c r="CE188"/>
    </row>
    <row r="189" spans="1:83" x14ac:dyDescent="0.25">
      <c r="A189" s="15">
        <v>22</v>
      </c>
      <c r="B189" s="37">
        <v>634811.67999999993</v>
      </c>
      <c r="C189" s="61">
        <v>2</v>
      </c>
      <c r="D189"/>
      <c r="E189"/>
      <c r="F189"/>
      <c r="G189"/>
      <c r="H189"/>
      <c r="I189"/>
      <c r="BR189"/>
      <c r="BS189"/>
      <c r="BZ189"/>
      <c r="CA189"/>
      <c r="CB189"/>
      <c r="CC189"/>
      <c r="CD189"/>
      <c r="CE189"/>
    </row>
    <row r="190" spans="1:83" x14ac:dyDescent="0.25">
      <c r="A190" s="15">
        <v>23</v>
      </c>
      <c r="B190" s="37">
        <v>2512801.38</v>
      </c>
      <c r="C190" s="61">
        <v>10</v>
      </c>
      <c r="D190"/>
      <c r="E190"/>
      <c r="F190"/>
      <c r="G190"/>
      <c r="H190"/>
      <c r="I190"/>
      <c r="BR190"/>
      <c r="BS190"/>
      <c r="BZ190"/>
      <c r="CA190"/>
      <c r="CB190"/>
      <c r="CC190"/>
      <c r="CD190"/>
      <c r="CE190"/>
    </row>
    <row r="191" spans="1:83" x14ac:dyDescent="0.25">
      <c r="A191" s="15">
        <v>25</v>
      </c>
      <c r="B191" s="37">
        <v>4843919.1300000008</v>
      </c>
      <c r="C191" s="61">
        <v>29</v>
      </c>
      <c r="D191"/>
      <c r="E191"/>
      <c r="F191"/>
      <c r="G191"/>
      <c r="H191"/>
      <c r="I191"/>
      <c r="BR191"/>
      <c r="BS191"/>
      <c r="BZ191"/>
      <c r="CA191"/>
      <c r="CB191"/>
      <c r="CC191"/>
      <c r="CD191"/>
      <c r="CE191"/>
    </row>
    <row r="192" spans="1:83" x14ac:dyDescent="0.25">
      <c r="A192" s="15">
        <v>28</v>
      </c>
      <c r="B192" s="37">
        <v>8715450.7600000016</v>
      </c>
      <c r="C192" s="61">
        <v>43</v>
      </c>
      <c r="D192"/>
      <c r="E192"/>
      <c r="F192"/>
      <c r="G192"/>
      <c r="H192"/>
      <c r="I192"/>
      <c r="BR192"/>
      <c r="BS192"/>
      <c r="BZ192"/>
      <c r="CA192"/>
      <c r="CB192"/>
      <c r="CC192"/>
      <c r="CD192"/>
      <c r="CE192"/>
    </row>
    <row r="193" spans="1:83" x14ac:dyDescent="0.25">
      <c r="A193" s="15">
        <v>26</v>
      </c>
      <c r="B193" s="37">
        <v>262209.69</v>
      </c>
      <c r="C193" s="61">
        <v>3</v>
      </c>
      <c r="D193"/>
      <c r="E193"/>
      <c r="F193"/>
      <c r="G193"/>
      <c r="H193"/>
      <c r="I193"/>
      <c r="BR193"/>
      <c r="BS193"/>
      <c r="BZ193"/>
      <c r="CA193"/>
      <c r="CB193"/>
      <c r="CC193"/>
      <c r="CD193"/>
      <c r="CE193"/>
    </row>
    <row r="194" spans="1:83" x14ac:dyDescent="0.25">
      <c r="A194" s="15">
        <v>27</v>
      </c>
      <c r="B194" s="37">
        <v>1079892.04</v>
      </c>
      <c r="C194" s="61">
        <v>1</v>
      </c>
      <c r="D194"/>
      <c r="E194"/>
      <c r="F194"/>
      <c r="G194"/>
      <c r="H194"/>
      <c r="I194"/>
      <c r="BR194"/>
      <c r="BS194"/>
      <c r="BZ194"/>
      <c r="CA194"/>
      <c r="CB194"/>
      <c r="CC194"/>
      <c r="CD194"/>
      <c r="CE194"/>
    </row>
    <row r="195" spans="1:83" x14ac:dyDescent="0.25">
      <c r="A195" s="15">
        <v>24</v>
      </c>
      <c r="B195" s="37">
        <v>286980.94</v>
      </c>
      <c r="C195" s="61">
        <v>2</v>
      </c>
      <c r="D195"/>
      <c r="E195"/>
      <c r="F195"/>
      <c r="BR195"/>
      <c r="BS195"/>
      <c r="BZ195"/>
      <c r="CA195"/>
      <c r="CB195"/>
      <c r="CC195"/>
      <c r="CD195"/>
      <c r="CE195"/>
    </row>
    <row r="196" spans="1:83" x14ac:dyDescent="0.25">
      <c r="A196" s="12" t="s">
        <v>50</v>
      </c>
      <c r="B196" s="61">
        <v>180387788.94000018</v>
      </c>
      <c r="C196" s="61">
        <v>949</v>
      </c>
      <c r="D196"/>
      <c r="E196"/>
      <c r="F196"/>
      <c r="BR196"/>
      <c r="BS196"/>
      <c r="BZ196"/>
      <c r="CA196"/>
      <c r="CB196"/>
      <c r="CC196"/>
      <c r="CD196"/>
      <c r="CE196"/>
    </row>
    <row r="197" spans="1:83" x14ac:dyDescent="0.25">
      <c r="A197"/>
      <c r="B197"/>
      <c r="C197"/>
      <c r="D197"/>
      <c r="E197"/>
      <c r="F197"/>
      <c r="BR197"/>
      <c r="BS197"/>
      <c r="BZ197"/>
      <c r="CA197"/>
      <c r="CB197"/>
      <c r="CC197"/>
      <c r="CD197"/>
      <c r="CE197"/>
    </row>
    <row r="198" spans="1:83" x14ac:dyDescent="0.25">
      <c r="A198"/>
      <c r="B198"/>
      <c r="C198"/>
      <c r="D198"/>
      <c r="E198"/>
      <c r="F198"/>
      <c r="BR198"/>
      <c r="BS198"/>
      <c r="BZ198"/>
      <c r="CA198"/>
      <c r="CB198"/>
      <c r="CC198"/>
      <c r="CD198"/>
      <c r="CE198"/>
    </row>
    <row r="199" spans="1:83" x14ac:dyDescent="0.25">
      <c r="A199"/>
      <c r="B199"/>
      <c r="C199"/>
      <c r="D199"/>
      <c r="E199"/>
      <c r="F199"/>
      <c r="BR199"/>
      <c r="BS199"/>
      <c r="BZ199"/>
      <c r="CA199"/>
      <c r="CB199"/>
      <c r="CC199"/>
      <c r="CD199"/>
      <c r="CE199"/>
    </row>
    <row r="200" spans="1:83" x14ac:dyDescent="0.25">
      <c r="A200"/>
      <c r="B200"/>
      <c r="C200"/>
      <c r="D200"/>
      <c r="E200"/>
      <c r="F200"/>
      <c r="BR200"/>
      <c r="BS200"/>
      <c r="BZ200"/>
      <c r="CA200"/>
      <c r="CB200"/>
      <c r="CC200"/>
      <c r="CD200"/>
      <c r="CE200"/>
    </row>
    <row r="201" spans="1:83" x14ac:dyDescent="0.25">
      <c r="A201"/>
      <c r="B201"/>
      <c r="C201"/>
      <c r="D201"/>
      <c r="E201"/>
      <c r="F201"/>
      <c r="BR201"/>
      <c r="BS201"/>
      <c r="BZ201"/>
      <c r="CA201"/>
      <c r="CB201"/>
      <c r="CC201"/>
      <c r="CD201"/>
      <c r="CE201"/>
    </row>
    <row r="202" spans="1:83" x14ac:dyDescent="0.25">
      <c r="A202"/>
      <c r="B202"/>
      <c r="C202"/>
      <c r="D202"/>
      <c r="E202"/>
      <c r="F202"/>
      <c r="BR202"/>
      <c r="BS202"/>
      <c r="BZ202"/>
      <c r="CA202"/>
      <c r="CB202"/>
      <c r="CC202"/>
      <c r="CD202"/>
      <c r="CE202"/>
    </row>
    <row r="203" spans="1:83" x14ac:dyDescent="0.25">
      <c r="A203"/>
      <c r="B203"/>
      <c r="C203"/>
      <c r="D203"/>
      <c r="E203"/>
      <c r="F203"/>
      <c r="BR203"/>
      <c r="BS203"/>
      <c r="BZ203"/>
      <c r="CA203"/>
      <c r="CB203"/>
      <c r="CC203"/>
      <c r="CD203"/>
      <c r="CE203"/>
    </row>
    <row r="204" spans="1:83" x14ac:dyDescent="0.25">
      <c r="A204"/>
      <c r="B204"/>
      <c r="C204"/>
      <c r="D204"/>
      <c r="E204"/>
      <c r="F204"/>
      <c r="BR204"/>
      <c r="BS204"/>
      <c r="BZ204"/>
      <c r="CA204"/>
      <c r="CB204"/>
      <c r="CC204"/>
      <c r="CD204"/>
      <c r="CE204"/>
    </row>
    <row r="205" spans="1:83" x14ac:dyDescent="0.25">
      <c r="A205"/>
      <c r="B205"/>
      <c r="C205"/>
      <c r="D205"/>
      <c r="E205"/>
      <c r="F205"/>
      <c r="BR205"/>
      <c r="BS205"/>
      <c r="BZ205"/>
      <c r="CA205"/>
      <c r="CB205"/>
      <c r="CC205"/>
      <c r="CD205"/>
      <c r="CE205"/>
    </row>
    <row r="206" spans="1:83" x14ac:dyDescent="0.25">
      <c r="A206"/>
      <c r="B206"/>
      <c r="C206"/>
      <c r="D206"/>
      <c r="E206"/>
      <c r="F206"/>
      <c r="BR206"/>
      <c r="BS206"/>
      <c r="BZ206"/>
      <c r="CA206"/>
      <c r="CB206"/>
      <c r="CC206"/>
      <c r="CD206"/>
      <c r="CE206"/>
    </row>
    <row r="207" spans="1:83" x14ac:dyDescent="0.25">
      <c r="A207"/>
      <c r="B207"/>
      <c r="C207"/>
      <c r="D207"/>
      <c r="E207"/>
      <c r="F207"/>
      <c r="BR207"/>
      <c r="BS207"/>
      <c r="BZ207"/>
      <c r="CA207"/>
      <c r="CB207"/>
      <c r="CC207"/>
      <c r="CD207"/>
      <c r="CE207"/>
    </row>
    <row r="208" spans="1:83" x14ac:dyDescent="0.25">
      <c r="A208"/>
      <c r="B208"/>
      <c r="C208"/>
      <c r="D208"/>
      <c r="E208"/>
      <c r="F208"/>
      <c r="BR208"/>
      <c r="BS208"/>
      <c r="BZ208"/>
      <c r="CA208"/>
      <c r="CB208"/>
      <c r="CC208"/>
      <c r="CD208"/>
      <c r="CE208"/>
    </row>
    <row r="209" spans="1:83" x14ac:dyDescent="0.25">
      <c r="A209"/>
      <c r="B209"/>
      <c r="C209"/>
      <c r="D209"/>
      <c r="E209"/>
      <c r="F209"/>
      <c r="BR209"/>
      <c r="BS209"/>
      <c r="BZ209"/>
      <c r="CA209"/>
      <c r="CB209"/>
      <c r="CC209"/>
      <c r="CD209"/>
      <c r="CE209"/>
    </row>
    <row r="210" spans="1:83" x14ac:dyDescent="0.25">
      <c r="A210"/>
      <c r="B210"/>
      <c r="C210"/>
      <c r="D210"/>
      <c r="E210"/>
      <c r="F210"/>
      <c r="BR210"/>
      <c r="BS210"/>
      <c r="BZ210"/>
      <c r="CA210"/>
      <c r="CB210"/>
      <c r="CC210"/>
      <c r="CD210"/>
      <c r="CE210"/>
    </row>
    <row r="211" spans="1:83" x14ac:dyDescent="0.25">
      <c r="A211"/>
      <c r="B211"/>
      <c r="C211"/>
      <c r="D211"/>
      <c r="E211"/>
      <c r="F211"/>
      <c r="BR211"/>
      <c r="BS211"/>
      <c r="BZ211"/>
      <c r="CA211"/>
      <c r="CB211"/>
      <c r="CC211"/>
      <c r="CD211"/>
      <c r="CE211"/>
    </row>
    <row r="212" spans="1:83" x14ac:dyDescent="0.25">
      <c r="A212"/>
      <c r="B212"/>
      <c r="C212"/>
      <c r="D212"/>
      <c r="E212"/>
      <c r="F212"/>
      <c r="BR212"/>
      <c r="BS212"/>
      <c r="BZ212"/>
      <c r="CA212"/>
      <c r="CB212"/>
      <c r="CC212"/>
      <c r="CD212"/>
      <c r="CE212"/>
    </row>
    <row r="213" spans="1:83" x14ac:dyDescent="0.25">
      <c r="A213"/>
      <c r="B213"/>
      <c r="C213"/>
      <c r="D213"/>
      <c r="E213"/>
      <c r="F213"/>
      <c r="BR213"/>
      <c r="BS213"/>
      <c r="BZ213"/>
      <c r="CA213"/>
      <c r="CB213"/>
      <c r="CC213"/>
      <c r="CD213"/>
      <c r="CE213"/>
    </row>
    <row r="214" spans="1:83" x14ac:dyDescent="0.25">
      <c r="A214"/>
      <c r="B214"/>
      <c r="C214"/>
      <c r="D214"/>
      <c r="E214"/>
      <c r="F214"/>
      <c r="BR214"/>
      <c r="BS214"/>
      <c r="BZ214"/>
      <c r="CA214"/>
      <c r="CB214"/>
      <c r="CC214"/>
      <c r="CD214"/>
      <c r="CE214"/>
    </row>
    <row r="215" spans="1:83" x14ac:dyDescent="0.25">
      <c r="A215"/>
      <c r="B215"/>
      <c r="C215"/>
      <c r="D215"/>
      <c r="E215"/>
      <c r="F215"/>
      <c r="BR215"/>
      <c r="BS215"/>
      <c r="BZ215"/>
      <c r="CA215"/>
      <c r="CB215"/>
      <c r="CC215"/>
      <c r="CD215"/>
      <c r="CE215"/>
    </row>
    <row r="216" spans="1:83" x14ac:dyDescent="0.25">
      <c r="A216"/>
      <c r="B216"/>
      <c r="C216"/>
      <c r="D216"/>
      <c r="E216"/>
      <c r="F216"/>
      <c r="BR216"/>
      <c r="BS216"/>
      <c r="BZ216"/>
      <c r="CA216"/>
      <c r="CB216"/>
      <c r="CC216"/>
      <c r="CD216"/>
      <c r="CE216"/>
    </row>
    <row r="217" spans="1:83" x14ac:dyDescent="0.25">
      <c r="A217"/>
      <c r="B217"/>
      <c r="C217"/>
      <c r="D217"/>
      <c r="E217"/>
      <c r="F217"/>
      <c r="BR217"/>
      <c r="BS217"/>
      <c r="BZ217"/>
      <c r="CA217"/>
      <c r="CB217"/>
      <c r="CC217"/>
      <c r="CD217"/>
      <c r="CE217"/>
    </row>
    <row r="218" spans="1:83" x14ac:dyDescent="0.25">
      <c r="A218"/>
      <c r="B218"/>
      <c r="C218"/>
      <c r="D218"/>
      <c r="E218"/>
      <c r="F218"/>
      <c r="BR218"/>
      <c r="BS218"/>
      <c r="BZ218"/>
      <c r="CA218"/>
      <c r="CB218"/>
      <c r="CC218"/>
      <c r="CD218"/>
      <c r="CE218"/>
    </row>
    <row r="219" spans="1:83" x14ac:dyDescent="0.25">
      <c r="A219"/>
      <c r="B219"/>
      <c r="C219"/>
      <c r="D219"/>
      <c r="E219"/>
      <c r="F219"/>
      <c r="BR219"/>
      <c r="BS219"/>
      <c r="BZ219"/>
      <c r="CA219"/>
      <c r="CB219"/>
      <c r="CC219"/>
      <c r="CD219"/>
      <c r="CE219"/>
    </row>
    <row r="220" spans="1:83" x14ac:dyDescent="0.25">
      <c r="A220"/>
      <c r="B220"/>
      <c r="C220"/>
      <c r="D220"/>
      <c r="E220"/>
      <c r="F220"/>
      <c r="BR220"/>
      <c r="BS220"/>
      <c r="BZ220"/>
      <c r="CA220"/>
      <c r="CB220"/>
      <c r="CC220"/>
      <c r="CD220"/>
      <c r="CE220"/>
    </row>
    <row r="221" spans="1:83" x14ac:dyDescent="0.25">
      <c r="A221"/>
      <c r="B221"/>
      <c r="C221"/>
      <c r="D221"/>
      <c r="E221"/>
      <c r="F221"/>
      <c r="BR221"/>
      <c r="BS221"/>
      <c r="BZ221"/>
      <c r="CA221"/>
      <c r="CB221"/>
      <c r="CC221"/>
      <c r="CD221"/>
      <c r="CE221"/>
    </row>
    <row r="222" spans="1:83" x14ac:dyDescent="0.25">
      <c r="A222"/>
      <c r="B222"/>
      <c r="C222"/>
      <c r="D222"/>
      <c r="E222"/>
      <c r="F222"/>
      <c r="BR222"/>
      <c r="BS222"/>
      <c r="BZ222"/>
      <c r="CA222"/>
      <c r="CB222"/>
      <c r="CC222"/>
      <c r="CD222"/>
      <c r="CE222"/>
    </row>
    <row r="223" spans="1:83" x14ac:dyDescent="0.25">
      <c r="A223"/>
      <c r="B223"/>
      <c r="C223"/>
      <c r="D223"/>
      <c r="E223"/>
      <c r="F223"/>
      <c r="BZ223"/>
      <c r="CA223"/>
      <c r="CB223"/>
      <c r="CC223"/>
      <c r="CD223"/>
      <c r="CE223"/>
    </row>
    <row r="224" spans="1:83" x14ac:dyDescent="0.25">
      <c r="A224"/>
      <c r="B224"/>
      <c r="C224"/>
      <c r="D224"/>
      <c r="E224"/>
      <c r="F224"/>
      <c r="BZ224"/>
      <c r="CA224"/>
      <c r="CB224"/>
      <c r="CC224"/>
      <c r="CD224"/>
      <c r="CE224"/>
    </row>
    <row r="225" spans="1:83" x14ac:dyDescent="0.25">
      <c r="A225"/>
      <c r="B225"/>
      <c r="C225"/>
      <c r="D225"/>
      <c r="E225"/>
      <c r="F225"/>
      <c r="BZ225"/>
      <c r="CA225"/>
      <c r="CB225"/>
      <c r="CC225"/>
      <c r="CD225"/>
      <c r="CE225"/>
    </row>
    <row r="226" spans="1:83" x14ac:dyDescent="0.25">
      <c r="A226"/>
      <c r="B226"/>
      <c r="C226"/>
      <c r="D226"/>
      <c r="E226"/>
      <c r="F226"/>
      <c r="BZ226"/>
      <c r="CA226"/>
      <c r="CB226"/>
      <c r="CC226"/>
      <c r="CD226"/>
      <c r="CE226"/>
    </row>
    <row r="227" spans="1:83" x14ac:dyDescent="0.25">
      <c r="A227"/>
      <c r="B227"/>
      <c r="C227"/>
      <c r="D227"/>
      <c r="E227"/>
      <c r="F227"/>
      <c r="BZ227"/>
      <c r="CA227"/>
      <c r="CB227"/>
      <c r="CC227"/>
      <c r="CD227"/>
      <c r="CE227"/>
    </row>
    <row r="228" spans="1:83" x14ac:dyDescent="0.25">
      <c r="A228"/>
      <c r="B228"/>
      <c r="C228"/>
      <c r="D228"/>
      <c r="E228"/>
      <c r="F228"/>
      <c r="BZ228"/>
      <c r="CA228"/>
      <c r="CB228"/>
      <c r="CC228"/>
      <c r="CD228"/>
      <c r="CE228"/>
    </row>
    <row r="229" spans="1:83" x14ac:dyDescent="0.25">
      <c r="A229"/>
      <c r="B229"/>
      <c r="C229"/>
      <c r="D229"/>
      <c r="E229"/>
      <c r="F229"/>
      <c r="BZ229"/>
      <c r="CA229"/>
      <c r="CB229"/>
      <c r="CC229"/>
      <c r="CD229"/>
      <c r="CE229"/>
    </row>
    <row r="230" spans="1:83" x14ac:dyDescent="0.25">
      <c r="A230"/>
      <c r="B230"/>
      <c r="C230"/>
      <c r="D230"/>
      <c r="E230"/>
      <c r="F230"/>
      <c r="BZ230"/>
      <c r="CA230"/>
      <c r="CB230"/>
      <c r="CC230"/>
      <c r="CD230"/>
      <c r="CE230"/>
    </row>
    <row r="231" spans="1:83" x14ac:dyDescent="0.25">
      <c r="A231"/>
      <c r="B231"/>
      <c r="C231"/>
      <c r="D231"/>
      <c r="E231"/>
      <c r="F231"/>
      <c r="BZ231"/>
      <c r="CA231"/>
      <c r="CB231"/>
      <c r="CC231"/>
      <c r="CD231"/>
      <c r="CE231"/>
    </row>
    <row r="232" spans="1:83" x14ac:dyDescent="0.25">
      <c r="A232"/>
      <c r="B232"/>
      <c r="C232"/>
      <c r="D232"/>
      <c r="E232"/>
      <c r="F232"/>
      <c r="BZ232"/>
      <c r="CA232"/>
      <c r="CB232"/>
      <c r="CC232"/>
      <c r="CD232"/>
      <c r="CE232"/>
    </row>
    <row r="233" spans="1:83" x14ac:dyDescent="0.25">
      <c r="A233"/>
      <c r="B233"/>
      <c r="C233"/>
      <c r="D233"/>
      <c r="E233"/>
      <c r="F233"/>
      <c r="BZ233"/>
      <c r="CA233"/>
      <c r="CB233"/>
      <c r="CC233"/>
      <c r="CD233"/>
      <c r="CE233"/>
    </row>
    <row r="234" spans="1:83" x14ac:dyDescent="0.25">
      <c r="A234"/>
      <c r="B234"/>
      <c r="C234"/>
      <c r="D234"/>
      <c r="E234"/>
      <c r="F234"/>
      <c r="BZ234"/>
      <c r="CA234"/>
      <c r="CB234"/>
      <c r="CC234"/>
      <c r="CD234"/>
      <c r="CE234"/>
    </row>
    <row r="235" spans="1:83" x14ac:dyDescent="0.25">
      <c r="A235"/>
      <c r="B235"/>
      <c r="C235"/>
      <c r="D235"/>
      <c r="E235"/>
      <c r="F235"/>
      <c r="BZ235"/>
      <c r="CA235"/>
      <c r="CB235"/>
      <c r="CC235"/>
      <c r="CD235"/>
      <c r="CE235"/>
    </row>
    <row r="236" spans="1:83" x14ac:dyDescent="0.25">
      <c r="A236"/>
      <c r="B236"/>
      <c r="C236"/>
      <c r="D236"/>
      <c r="E236"/>
      <c r="F236"/>
      <c r="BZ236"/>
      <c r="CA236"/>
      <c r="CB236"/>
      <c r="CC236"/>
      <c r="CD236"/>
      <c r="CE236"/>
    </row>
    <row r="237" spans="1:83" x14ac:dyDescent="0.25">
      <c r="A237"/>
      <c r="B237"/>
      <c r="C237"/>
      <c r="D237"/>
      <c r="E237"/>
      <c r="F237"/>
      <c r="BZ237"/>
      <c r="CA237"/>
      <c r="CB237"/>
      <c r="CC237"/>
      <c r="CD237"/>
      <c r="CE237"/>
    </row>
    <row r="238" spans="1:83" x14ac:dyDescent="0.25">
      <c r="A238"/>
      <c r="B238"/>
      <c r="C238"/>
      <c r="D238"/>
      <c r="E238"/>
      <c r="F238"/>
      <c r="BZ238"/>
      <c r="CA238"/>
      <c r="CB238"/>
      <c r="CC238"/>
      <c r="CD238"/>
      <c r="CE238"/>
    </row>
    <row r="239" spans="1:83" x14ac:dyDescent="0.25">
      <c r="A239"/>
      <c r="B239"/>
      <c r="C239"/>
      <c r="D239"/>
      <c r="E239"/>
      <c r="F239"/>
      <c r="BZ239"/>
      <c r="CA239"/>
      <c r="CB239"/>
      <c r="CC239"/>
      <c r="CD239"/>
      <c r="CE239"/>
    </row>
    <row r="240" spans="1:83" x14ac:dyDescent="0.25">
      <c r="A240"/>
      <c r="B240"/>
      <c r="C240"/>
      <c r="D240"/>
      <c r="E240"/>
      <c r="F240"/>
      <c r="BZ240"/>
      <c r="CA240"/>
      <c r="CB240"/>
      <c r="CC240"/>
      <c r="CD240"/>
      <c r="CE240"/>
    </row>
    <row r="241" spans="1:83" x14ac:dyDescent="0.25">
      <c r="A241"/>
      <c r="B241"/>
      <c r="C241"/>
      <c r="D241"/>
      <c r="E241"/>
      <c r="F241"/>
      <c r="BZ241"/>
      <c r="CA241"/>
      <c r="CB241"/>
      <c r="CC241"/>
      <c r="CD241"/>
      <c r="CE241"/>
    </row>
    <row r="242" spans="1:83" x14ac:dyDescent="0.25">
      <c r="A242"/>
      <c r="B242"/>
      <c r="C242"/>
      <c r="D242"/>
      <c r="E242"/>
      <c r="F242"/>
      <c r="BZ242"/>
      <c r="CA242"/>
      <c r="CB242"/>
      <c r="CC242"/>
      <c r="CD242"/>
      <c r="CE242"/>
    </row>
    <row r="243" spans="1:83" x14ac:dyDescent="0.25">
      <c r="A243"/>
      <c r="B243"/>
      <c r="C243"/>
      <c r="D243"/>
      <c r="E243"/>
      <c r="F243"/>
      <c r="BZ243"/>
      <c r="CA243"/>
      <c r="CB243"/>
      <c r="CC243"/>
      <c r="CD243"/>
      <c r="CE243"/>
    </row>
    <row r="244" spans="1:83" x14ac:dyDescent="0.25">
      <c r="A244"/>
      <c r="B244"/>
      <c r="C244"/>
      <c r="D244"/>
      <c r="E244"/>
      <c r="F244"/>
      <c r="BZ244"/>
      <c r="CA244"/>
      <c r="CB244"/>
      <c r="CC244"/>
      <c r="CD244"/>
      <c r="CE244"/>
    </row>
    <row r="245" spans="1:83" x14ac:dyDescent="0.25">
      <c r="A245"/>
      <c r="B245"/>
      <c r="C245"/>
      <c r="D245"/>
      <c r="E245"/>
      <c r="F245"/>
      <c r="BZ245"/>
      <c r="CA245"/>
      <c r="CB245"/>
      <c r="CC245"/>
      <c r="CD245"/>
      <c r="CE245"/>
    </row>
    <row r="246" spans="1:83" x14ac:dyDescent="0.25">
      <c r="A246"/>
      <c r="B246"/>
      <c r="C246"/>
      <c r="D246"/>
      <c r="E246"/>
      <c r="F246"/>
      <c r="BZ246"/>
      <c r="CA246"/>
      <c r="CB246"/>
      <c r="CC246"/>
      <c r="CD246"/>
      <c r="CE246"/>
    </row>
    <row r="247" spans="1:83" x14ac:dyDescent="0.25">
      <c r="A247"/>
      <c r="B247"/>
      <c r="C247"/>
      <c r="D247"/>
      <c r="E247"/>
      <c r="F247"/>
      <c r="BZ247"/>
      <c r="CA247"/>
      <c r="CB247"/>
      <c r="CC247"/>
      <c r="CD247"/>
      <c r="CE247"/>
    </row>
    <row r="248" spans="1:83" x14ac:dyDescent="0.25">
      <c r="A248"/>
      <c r="B248"/>
      <c r="C248"/>
      <c r="D248"/>
      <c r="E248"/>
      <c r="F248"/>
      <c r="BZ248"/>
      <c r="CA248"/>
      <c r="CB248"/>
      <c r="CC248"/>
      <c r="CD248"/>
      <c r="CE248"/>
    </row>
    <row r="249" spans="1:83" x14ac:dyDescent="0.25">
      <c r="A249"/>
      <c r="B249"/>
      <c r="C249"/>
      <c r="D249"/>
      <c r="E249"/>
      <c r="F249"/>
      <c r="BZ249"/>
      <c r="CA249"/>
      <c r="CB249"/>
      <c r="CC249"/>
      <c r="CD249"/>
      <c r="CE249"/>
    </row>
    <row r="250" spans="1:83" x14ac:dyDescent="0.25">
      <c r="A250"/>
      <c r="B250"/>
      <c r="C250"/>
      <c r="D250"/>
      <c r="E250"/>
      <c r="F250"/>
      <c r="BZ250"/>
      <c r="CA250"/>
      <c r="CB250"/>
      <c r="CC250"/>
      <c r="CD250"/>
      <c r="CE250"/>
    </row>
    <row r="251" spans="1:83" x14ac:dyDescent="0.25">
      <c r="A251"/>
      <c r="B251"/>
      <c r="C251"/>
      <c r="D251"/>
      <c r="E251"/>
      <c r="F251"/>
      <c r="BZ251"/>
      <c r="CA251"/>
      <c r="CB251"/>
      <c r="CC251"/>
      <c r="CD251"/>
      <c r="CE251"/>
    </row>
    <row r="252" spans="1:83" x14ac:dyDescent="0.25">
      <c r="A252"/>
      <c r="B252"/>
      <c r="C252"/>
      <c r="D252"/>
      <c r="E252"/>
      <c r="F252"/>
      <c r="BZ252"/>
      <c r="CA252"/>
      <c r="CB252"/>
      <c r="CC252"/>
      <c r="CD252"/>
      <c r="CE252"/>
    </row>
    <row r="253" spans="1:83" x14ac:dyDescent="0.25">
      <c r="A253"/>
      <c r="B253"/>
      <c r="C253"/>
      <c r="D253"/>
      <c r="E253"/>
      <c r="F253"/>
      <c r="BZ253"/>
      <c r="CA253"/>
      <c r="CB253"/>
      <c r="CC253"/>
      <c r="CD253"/>
      <c r="CE253"/>
    </row>
    <row r="254" spans="1:83" x14ac:dyDescent="0.25">
      <c r="A254"/>
      <c r="B254"/>
      <c r="C254"/>
      <c r="D254"/>
      <c r="E254"/>
      <c r="F254"/>
      <c r="BZ254"/>
      <c r="CA254"/>
      <c r="CB254"/>
      <c r="CC254"/>
      <c r="CD254"/>
      <c r="CE254"/>
    </row>
    <row r="255" spans="1:83" x14ac:dyDescent="0.25">
      <c r="A255"/>
      <c r="B255"/>
      <c r="C255"/>
      <c r="D255"/>
      <c r="E255"/>
      <c r="F255"/>
      <c r="BZ255"/>
      <c r="CA255"/>
      <c r="CB255"/>
      <c r="CC255"/>
      <c r="CD255"/>
      <c r="CE255"/>
    </row>
    <row r="256" spans="1:83" x14ac:dyDescent="0.25">
      <c r="A256"/>
      <c r="B256"/>
      <c r="C256"/>
      <c r="D256"/>
      <c r="E256"/>
      <c r="F256"/>
      <c r="BZ256"/>
      <c r="CA256"/>
      <c r="CB256"/>
      <c r="CC256"/>
      <c r="CD256"/>
      <c r="CE256"/>
    </row>
    <row r="257" spans="1:83" x14ac:dyDescent="0.25">
      <c r="A257"/>
      <c r="B257"/>
      <c r="C257"/>
      <c r="D257"/>
      <c r="E257"/>
      <c r="F257"/>
      <c r="BZ257"/>
      <c r="CA257"/>
      <c r="CB257"/>
      <c r="CC257"/>
      <c r="CD257"/>
      <c r="CE257"/>
    </row>
    <row r="258" spans="1:83" x14ac:dyDescent="0.25">
      <c r="A258"/>
      <c r="B258"/>
      <c r="C258"/>
      <c r="D258"/>
      <c r="E258"/>
      <c r="F258"/>
      <c r="BZ258"/>
      <c r="CA258"/>
      <c r="CB258"/>
      <c r="CC258"/>
      <c r="CD258"/>
      <c r="CE258"/>
    </row>
    <row r="259" spans="1:83" x14ac:dyDescent="0.25">
      <c r="A259"/>
      <c r="B259"/>
      <c r="C259"/>
      <c r="D259"/>
      <c r="E259"/>
      <c r="F259"/>
      <c r="BZ259"/>
      <c r="CA259"/>
      <c r="CB259"/>
      <c r="CC259"/>
      <c r="CD259"/>
      <c r="CE259"/>
    </row>
    <row r="260" spans="1:83" x14ac:dyDescent="0.25">
      <c r="A260"/>
      <c r="B260"/>
      <c r="C260"/>
      <c r="D260"/>
      <c r="E260"/>
      <c r="F260"/>
      <c r="BZ260"/>
      <c r="CA260"/>
      <c r="CB260"/>
      <c r="CC260"/>
      <c r="CD260"/>
      <c r="CE260"/>
    </row>
    <row r="261" spans="1:83" x14ac:dyDescent="0.25">
      <c r="A261"/>
      <c r="B261"/>
      <c r="C261"/>
      <c r="D261"/>
      <c r="E261"/>
      <c r="F261"/>
      <c r="BZ261"/>
      <c r="CA261"/>
      <c r="CB261"/>
      <c r="CC261"/>
      <c r="CD261"/>
      <c r="CE261"/>
    </row>
    <row r="262" spans="1:83" x14ac:dyDescent="0.25">
      <c r="A262"/>
      <c r="B262"/>
      <c r="C262"/>
      <c r="D262"/>
      <c r="E262"/>
      <c r="F262"/>
      <c r="BZ262"/>
      <c r="CA262"/>
      <c r="CB262"/>
      <c r="CC262"/>
      <c r="CD262"/>
      <c r="CE262"/>
    </row>
    <row r="263" spans="1:83" x14ac:dyDescent="0.25">
      <c r="A263"/>
      <c r="B263"/>
      <c r="C263"/>
      <c r="D263"/>
      <c r="E263"/>
      <c r="F263"/>
      <c r="BZ263"/>
      <c r="CA263"/>
      <c r="CB263"/>
      <c r="CC263"/>
      <c r="CD263"/>
      <c r="CE263"/>
    </row>
    <row r="264" spans="1:83" x14ac:dyDescent="0.25">
      <c r="A264"/>
      <c r="B264"/>
      <c r="C264"/>
      <c r="D264"/>
      <c r="E264"/>
      <c r="F264"/>
      <c r="BZ264"/>
      <c r="CA264"/>
      <c r="CB264"/>
      <c r="CC264"/>
      <c r="CD264"/>
      <c r="CE264"/>
    </row>
    <row r="265" spans="1:83" x14ac:dyDescent="0.25">
      <c r="A265"/>
      <c r="B265"/>
      <c r="C265"/>
      <c r="D265"/>
      <c r="E265"/>
      <c r="F265"/>
      <c r="BZ265"/>
      <c r="CA265"/>
      <c r="CB265"/>
      <c r="CC265"/>
      <c r="CD265"/>
      <c r="CE265"/>
    </row>
    <row r="266" spans="1:83" x14ac:dyDescent="0.25">
      <c r="A266"/>
      <c r="B266"/>
      <c r="C266"/>
      <c r="D266"/>
      <c r="E266"/>
      <c r="F266"/>
      <c r="BZ266"/>
      <c r="CA266"/>
      <c r="CB266"/>
      <c r="CC266"/>
      <c r="CD266"/>
      <c r="CE266"/>
    </row>
    <row r="267" spans="1:83" x14ac:dyDescent="0.25">
      <c r="A267"/>
      <c r="B267"/>
      <c r="C267"/>
      <c r="D267"/>
      <c r="E267"/>
      <c r="F267"/>
      <c r="BZ267"/>
      <c r="CA267"/>
      <c r="CB267"/>
      <c r="CC267"/>
      <c r="CD267"/>
      <c r="CE267"/>
    </row>
    <row r="268" spans="1:83" x14ac:dyDescent="0.25">
      <c r="A268"/>
      <c r="B268"/>
      <c r="C268"/>
      <c r="D268"/>
      <c r="E268"/>
      <c r="F268"/>
      <c r="BZ268"/>
      <c r="CA268"/>
      <c r="CB268"/>
      <c r="CC268"/>
      <c r="CD268"/>
      <c r="CE268"/>
    </row>
    <row r="269" spans="1:83" x14ac:dyDescent="0.25">
      <c r="A269"/>
      <c r="B269"/>
      <c r="C269"/>
      <c r="D269"/>
      <c r="E269"/>
      <c r="F269"/>
      <c r="BZ269"/>
      <c r="CA269"/>
      <c r="CB269"/>
      <c r="CC269"/>
      <c r="CD269"/>
      <c r="CE269"/>
    </row>
    <row r="270" spans="1:83" x14ac:dyDescent="0.25">
      <c r="A270"/>
      <c r="B270"/>
      <c r="C270"/>
      <c r="D270"/>
      <c r="E270"/>
      <c r="F270"/>
      <c r="BZ270"/>
      <c r="CA270"/>
      <c r="CB270"/>
      <c r="CC270"/>
      <c r="CD270"/>
      <c r="CE270"/>
    </row>
    <row r="271" spans="1:83" x14ac:dyDescent="0.25">
      <c r="A271"/>
      <c r="B271"/>
      <c r="C271"/>
      <c r="D271"/>
      <c r="E271"/>
      <c r="F271"/>
      <c r="BZ271"/>
      <c r="CA271"/>
      <c r="CB271"/>
      <c r="CC271"/>
      <c r="CD271"/>
      <c r="CE271"/>
    </row>
    <row r="272" spans="1:83" x14ac:dyDescent="0.25">
      <c r="A272"/>
      <c r="B272"/>
      <c r="C272"/>
      <c r="D272"/>
      <c r="E272"/>
      <c r="F272"/>
      <c r="BZ272"/>
      <c r="CA272"/>
      <c r="CB272"/>
      <c r="CC272"/>
      <c r="CD272"/>
      <c r="CE272"/>
    </row>
    <row r="273" spans="1:83" x14ac:dyDescent="0.25">
      <c r="A273"/>
      <c r="B273"/>
      <c r="C273"/>
      <c r="D273"/>
      <c r="E273"/>
      <c r="F273"/>
      <c r="BZ273"/>
      <c r="CA273"/>
      <c r="CB273"/>
      <c r="CC273"/>
      <c r="CD273"/>
      <c r="CE273"/>
    </row>
    <row r="274" spans="1:83" x14ac:dyDescent="0.25">
      <c r="A274"/>
      <c r="B274"/>
      <c r="C274"/>
      <c r="D274"/>
      <c r="E274"/>
      <c r="F274"/>
      <c r="BZ274"/>
      <c r="CA274"/>
      <c r="CB274"/>
      <c r="CC274"/>
      <c r="CD274"/>
      <c r="CE274"/>
    </row>
    <row r="275" spans="1:83" x14ac:dyDescent="0.25">
      <c r="A275"/>
      <c r="B275"/>
      <c r="C275"/>
      <c r="D275"/>
      <c r="E275"/>
      <c r="F275"/>
      <c r="BZ275"/>
      <c r="CA275"/>
      <c r="CB275"/>
      <c r="CC275"/>
      <c r="CD275"/>
      <c r="CE275"/>
    </row>
    <row r="276" spans="1:83" x14ac:dyDescent="0.25">
      <c r="A276"/>
      <c r="B276"/>
      <c r="C276"/>
      <c r="D276"/>
      <c r="E276"/>
      <c r="F276"/>
      <c r="BZ276"/>
      <c r="CA276"/>
      <c r="CB276"/>
      <c r="CC276"/>
      <c r="CD276"/>
      <c r="CE276"/>
    </row>
    <row r="277" spans="1:83" x14ac:dyDescent="0.25">
      <c r="A277"/>
      <c r="B277"/>
      <c r="C277"/>
      <c r="D277"/>
      <c r="E277"/>
      <c r="F277"/>
      <c r="BZ277"/>
      <c r="CA277"/>
      <c r="CB277"/>
      <c r="CC277"/>
      <c r="CD277"/>
      <c r="CE277"/>
    </row>
    <row r="278" spans="1:83" x14ac:dyDescent="0.25">
      <c r="A278"/>
      <c r="B278"/>
      <c r="C278"/>
      <c r="D278"/>
      <c r="E278"/>
      <c r="F278"/>
      <c r="BZ278"/>
      <c r="CA278"/>
      <c r="CB278"/>
      <c r="CC278"/>
      <c r="CD278"/>
      <c r="CE278"/>
    </row>
    <row r="279" spans="1:83" x14ac:dyDescent="0.25">
      <c r="A279"/>
      <c r="B279"/>
      <c r="C279"/>
      <c r="D279"/>
      <c r="E279"/>
      <c r="F279"/>
      <c r="BZ279"/>
      <c r="CA279"/>
      <c r="CB279"/>
      <c r="CC279"/>
      <c r="CD279"/>
      <c r="CE279"/>
    </row>
    <row r="280" spans="1:83" x14ac:dyDescent="0.25">
      <c r="A280"/>
      <c r="B280"/>
      <c r="C280"/>
      <c r="D280"/>
      <c r="E280"/>
      <c r="F280"/>
      <c r="BZ280"/>
      <c r="CA280"/>
      <c r="CB280"/>
      <c r="CC280"/>
      <c r="CD280"/>
      <c r="CE280"/>
    </row>
    <row r="281" spans="1:83" x14ac:dyDescent="0.25">
      <c r="A281"/>
      <c r="B281"/>
      <c r="C281"/>
      <c r="D281"/>
      <c r="E281"/>
      <c r="F281"/>
      <c r="BZ281"/>
      <c r="CA281"/>
      <c r="CB281"/>
      <c r="CC281"/>
      <c r="CD281"/>
      <c r="CE281"/>
    </row>
    <row r="282" spans="1:83" x14ac:dyDescent="0.25">
      <c r="A282"/>
      <c r="B282"/>
      <c r="C282"/>
      <c r="D282"/>
      <c r="E282"/>
      <c r="F282"/>
      <c r="BZ282"/>
      <c r="CA282"/>
      <c r="CB282"/>
      <c r="CC282"/>
      <c r="CD282"/>
      <c r="CE282"/>
    </row>
    <row r="283" spans="1:83" x14ac:dyDescent="0.25">
      <c r="A283"/>
      <c r="B283"/>
      <c r="C283"/>
      <c r="D283"/>
      <c r="E283"/>
      <c r="F283"/>
      <c r="BZ283"/>
      <c r="CA283"/>
      <c r="CB283"/>
      <c r="CC283"/>
      <c r="CD283"/>
      <c r="CE283"/>
    </row>
    <row r="284" spans="1:83" x14ac:dyDescent="0.25">
      <c r="A284"/>
      <c r="B284"/>
      <c r="C284"/>
      <c r="D284"/>
      <c r="E284"/>
      <c r="F284"/>
    </row>
  </sheetData>
  <conditionalFormatting pivot="1" sqref="D11 D6 D16 D21 D26 D31 D36 D41 D46 D51 D56 D61 D66 D71 D76 D81 D86 D91 D96 D101 D106 D111 D115">
    <cfRule type="colorScale" priority="61">
      <colorScale>
        <cfvo type="min"/>
        <cfvo type="percentile" val="50"/>
        <cfvo type="max"/>
        <color rgb="FFF8696B"/>
        <color rgb="FFFFEB84"/>
        <color rgb="FF63BE7B"/>
      </colorScale>
    </cfRule>
  </conditionalFormatting>
  <conditionalFormatting pivot="1" sqref="M4:M60">
    <cfRule type="colorScale" priority="59">
      <colorScale>
        <cfvo type="min"/>
        <cfvo type="percentile" val="50"/>
        <cfvo type="max"/>
        <color rgb="FFF8696B"/>
        <color rgb="FFFFEB84"/>
        <color rgb="FF63BE7B"/>
      </colorScale>
    </cfRule>
  </conditionalFormatting>
  <conditionalFormatting pivot="1" sqref="D146 D141 D151 D156 D161 D165">
    <cfRule type="colorScale" priority="57">
      <colorScale>
        <cfvo type="min"/>
        <cfvo type="percentile" val="50"/>
        <cfvo type="max"/>
        <color rgb="FFF8696B"/>
        <color rgb="FFFFEB84"/>
        <color rgb="FF63BE7B"/>
      </colorScale>
    </cfRule>
  </conditionalFormatting>
  <conditionalFormatting pivot="1" sqref="BG13 BG8 BG18 BG23 BG28 BG33 BG38 BG43 BG47">
    <cfRule type="colorScale" priority="55">
      <colorScale>
        <cfvo type="min"/>
        <cfvo type="percentile" val="50"/>
        <cfvo type="max"/>
        <color rgb="FFF8696B"/>
        <color rgb="FFFFEB84"/>
        <color rgb="FF63BE7B"/>
      </colorScale>
    </cfRule>
  </conditionalFormatting>
  <conditionalFormatting pivot="1" sqref="BN13 BN8 BN18 BN23 BN28 BN33 BN38 BN43 BN48 BN53 BN58 BN63 BN68 BN73 BN77">
    <cfRule type="colorScale" priority="54">
      <colorScale>
        <cfvo type="min"/>
        <cfvo type="percentile" val="50"/>
        <cfvo type="max"/>
        <color rgb="FFF8696B"/>
        <color rgb="FFFFEB84"/>
        <color rgb="FF63BE7B"/>
      </colorScale>
    </cfRule>
  </conditionalFormatting>
  <conditionalFormatting pivot="1" sqref="X9 X6 X11:X13 X15:X16 X20:X21 X23:X24 X29:X30 X33 X35:X37 X39:X45 X47 X52:X56 X59">
    <cfRule type="colorScale" priority="13">
      <colorScale>
        <cfvo type="min"/>
        <cfvo type="percentile" val="50"/>
        <cfvo type="max"/>
        <color rgb="FF63BE7B"/>
        <color rgb="FFFFEB84"/>
        <color rgb="FFF8696B"/>
      </colorScale>
    </cfRule>
  </conditionalFormatting>
  <conditionalFormatting pivot="1" sqref="X6:X7 X4 X9 X11:X17 X20:X27 X29:X33 X35:X47 X49:X50 X52:X56">
    <cfRule type="colorScale" priority="12">
      <colorScale>
        <cfvo type="min"/>
        <cfvo type="percentile" val="50"/>
        <cfvo type="max"/>
        <color rgb="FF63BE7B"/>
        <color rgb="FFFFEB84"/>
        <color rgb="FFF8696B"/>
      </colorScale>
    </cfRule>
  </conditionalFormatting>
  <conditionalFormatting sqref="AY51:AY1048576 AY46:AY49 AY42:AY44 AY38:AY40 AY19:AY20 AY1:AY17">
    <cfRule type="colorScale" priority="4662">
      <colorScale>
        <cfvo type="min"/>
        <cfvo type="percentile" val="50"/>
        <cfvo type="max"/>
        <color rgb="FFF8696B"/>
        <color rgb="FFFFEB84"/>
        <color rgb="FF63BE7B"/>
      </colorScale>
    </cfRule>
  </conditionalFormatting>
  <conditionalFormatting sqref="AY51:AY1048576 AY46:AY49 AY42:AY44 AY38:AY40 AY19:AY21 AY1:AY17">
    <cfRule type="colorScale" priority="4668">
      <colorScale>
        <cfvo type="min"/>
        <cfvo type="percentile" val="50"/>
        <cfvo type="max"/>
        <color rgb="FFF8696B"/>
        <color rgb="FFFFEB84"/>
        <color rgb="FF63BE7B"/>
      </colorScale>
    </cfRule>
  </conditionalFormatting>
  <conditionalFormatting sqref="AY51:AY1048576 AY46:AY49 AY42:AY44 AY23 AY36:AY40 AY19:AY21 AY1:AY17">
    <cfRule type="colorScale" priority="4674">
      <colorScale>
        <cfvo type="min"/>
        <cfvo type="percentile" val="50"/>
        <cfvo type="max"/>
        <color rgb="FFF8696B"/>
        <color rgb="FFFFEB84"/>
        <color rgb="FF63BE7B"/>
      </colorScale>
    </cfRule>
  </conditionalFormatting>
  <conditionalFormatting sqref="AY51:AY1048576 AY46:AY49 AY42:AY44 AY36:AY40 AY19:AY21 AY1:AY17">
    <cfRule type="colorScale" priority="4681">
      <colorScale>
        <cfvo type="min"/>
        <cfvo type="percentile" val="50"/>
        <cfvo type="max"/>
        <color rgb="FFF8696B"/>
        <color rgb="FFFFEB84"/>
        <color rgb="FF63BE7B"/>
      </colorScale>
    </cfRule>
  </conditionalFormatting>
  <conditionalFormatting sqref="AY51:AY1048576 AY46:AY49 AY28:AY44 AY1:AY25">
    <cfRule type="colorScale" priority="4747">
      <colorScale>
        <cfvo type="min"/>
        <cfvo type="percentile" val="50"/>
        <cfvo type="max"/>
        <color rgb="FFF8696B"/>
        <color rgb="FFFFEB84"/>
        <color rgb="FF63BE7B"/>
      </colorScale>
    </cfRule>
  </conditionalFormatting>
  <conditionalFormatting sqref="AY19:AY21 AY25 AY1:AY17 AY51:AY1048576 AY46:AY49 AY42:AY44 AY36:AY40 AY30 AY23">
    <cfRule type="colorScale" priority="4787">
      <colorScale>
        <cfvo type="min"/>
        <cfvo type="percentile" val="50"/>
        <cfvo type="max"/>
        <color rgb="FFF8696B"/>
        <color rgb="FFFFEB84"/>
        <color rgb="FF63BE7B"/>
      </colorScale>
    </cfRule>
  </conditionalFormatting>
  <conditionalFormatting sqref="AY51:AY1048576 AY25 AY46:AY49 AY42:AY44 AY36:AY40 AY30 AY23 AY19:AY21 AY1:AY17">
    <cfRule type="colorScale" priority="4795">
      <colorScale>
        <cfvo type="min"/>
        <cfvo type="percentile" val="50"/>
        <cfvo type="max"/>
        <color rgb="FFF8696B"/>
        <color rgb="FFFFEB84"/>
        <color rgb="FF63BE7B"/>
      </colorScale>
    </cfRule>
  </conditionalFormatting>
  <conditionalFormatting sqref="AY30:AY31 AY25 AY19:AY23 AY1:AY17 AY51:AY1048576 AY46:AY49 AY42:AY44 AY36:AY40">
    <cfRule type="colorScale" priority="4803">
      <colorScale>
        <cfvo type="min"/>
        <cfvo type="percentile" val="50"/>
        <cfvo type="max"/>
        <color rgb="FFF8696B"/>
        <color rgb="FFFFEB84"/>
        <color rgb="FF63BE7B"/>
      </colorScale>
    </cfRule>
  </conditionalFormatting>
  <conditionalFormatting sqref="AY51:AY1048576 AY25 AY46:AY49 AY42:AY44 AY35:AY40 AY28:AY33 AY1:AY23">
    <cfRule type="colorScale" priority="4810">
      <colorScale>
        <cfvo type="min"/>
        <cfvo type="percentile" val="50"/>
        <cfvo type="max"/>
        <color rgb="FFF8696B"/>
        <color rgb="FFFFEB84"/>
        <color rgb="FF63BE7B"/>
      </colorScale>
    </cfRule>
  </conditionalFormatting>
  <conditionalFormatting sqref="AY51:AY1048576 AY25 AY46:AY49 AY42:AY44 AY36:AY40 AY29:AY32 AY19:AY23 AY1:AY17">
    <cfRule type="colorScale" priority="4816">
      <colorScale>
        <cfvo type="min"/>
        <cfvo type="percentile" val="50"/>
        <cfvo type="max"/>
        <color rgb="FFF8696B"/>
        <color rgb="FFFFEB84"/>
        <color rgb="FF63BE7B"/>
      </colorScale>
    </cfRule>
  </conditionalFormatting>
  <conditionalFormatting sqref="AY51:AY1048576 AY25 AY46:AY49 AY42:AY44 AY35:AY40 AY28:AY32 AY1:AY23">
    <cfRule type="colorScale" priority="4823">
      <colorScale>
        <cfvo type="min"/>
        <cfvo type="percentile" val="50"/>
        <cfvo type="max"/>
        <color rgb="FFF8696B"/>
        <color rgb="FFFFEB84"/>
        <color rgb="FF63BE7B"/>
      </colorScale>
    </cfRule>
  </conditionalFormatting>
  <conditionalFormatting sqref="AY51:AY1048576 AY25 AY46:AY49 AY42:AY44 AY28:AY40 AY1:AY23">
    <cfRule type="colorScale" priority="4829">
      <colorScale>
        <cfvo type="min"/>
        <cfvo type="percentile" val="50"/>
        <cfvo type="max"/>
        <color rgb="FFF8696B"/>
        <color rgb="FFFFEB84"/>
        <color rgb="FF63BE7B"/>
      </colorScale>
    </cfRule>
  </conditionalFormatting>
  <conditionalFormatting sqref="AY46:AY1048576 AY27:AY44 AY1:AY25">
    <cfRule type="colorScale" priority="9">
      <colorScale>
        <cfvo type="min"/>
        <cfvo type="percentile" val="50"/>
        <cfvo type="max"/>
        <color rgb="FFF8696B"/>
        <color rgb="FFFFEB84"/>
        <color rgb="FF63BE7B"/>
      </colorScale>
    </cfRule>
  </conditionalFormatting>
  <conditionalFormatting sqref="AY51:AY1048576 AY46:AY49 AY27:AY44 AY1:AY25">
    <cfRule type="colorScale" priority="4830">
      <colorScale>
        <cfvo type="min"/>
        <cfvo type="percentile" val="50"/>
        <cfvo type="max"/>
        <color rgb="FFF8696B"/>
        <color rgb="FFFFEB84"/>
        <color rgb="FF63BE7B"/>
      </colorScale>
    </cfRule>
  </conditionalFormatting>
  <conditionalFormatting pivot="1" sqref="X6:X9 X4 X11:X13 X16:X17 X20:X27 X29:X33 X35:X42 X44:X47 X49:X50 X52:X54 X56:X57">
    <cfRule type="colorScale" priority="8">
      <colorScale>
        <cfvo type="min"/>
        <cfvo type="percentile" val="50"/>
        <cfvo type="max"/>
        <color rgb="FF63BE7B"/>
        <color rgb="FFFFEB84"/>
        <color rgb="FFF8696B"/>
      </colorScale>
    </cfRule>
  </conditionalFormatting>
  <conditionalFormatting sqref="AY51:AY1048576 AY46:AY49 AY43:AY44 AY19:AY20 AY1:AY17 AY38">
    <cfRule type="colorScale" priority="4831">
      <colorScale>
        <cfvo type="min"/>
        <cfvo type="percentile" val="50"/>
        <cfvo type="max"/>
        <color rgb="FFF8696B"/>
        <color rgb="FFFFEB84"/>
        <color rgb="FF63BE7B"/>
      </colorScale>
    </cfRule>
  </conditionalFormatting>
  <conditionalFormatting sqref="AY51:AY1048576 AY46:AY49 AY43:AY44 AY38 AY19:AY20 AY1:AY17">
    <cfRule type="colorScale" priority="4837">
      <colorScale>
        <cfvo type="min"/>
        <cfvo type="percentile" val="50"/>
        <cfvo type="max"/>
        <color rgb="FFF8696B"/>
        <color rgb="FFFFEB84"/>
        <color rgb="FF63BE7B"/>
      </colorScale>
    </cfRule>
  </conditionalFormatting>
  <conditionalFormatting sqref="AY51:AY1048576 AY46:AY49 AY43:AY44 AY38:AY39 AY19:AY20 AY1:AY17">
    <cfRule type="colorScale" priority="4868">
      <colorScale>
        <cfvo type="min"/>
        <cfvo type="percentile" val="50"/>
        <cfvo type="max"/>
        <color rgb="FFF8696B"/>
        <color rgb="FFFFEB84"/>
        <color rgb="FF63BE7B"/>
      </colorScale>
    </cfRule>
  </conditionalFormatting>
  <conditionalFormatting sqref="BA4:BA42">
    <cfRule type="colorScale" priority="6">
      <colorScale>
        <cfvo type="min"/>
        <cfvo type="percentile" val="50"/>
        <cfvo type="max"/>
        <color rgb="FF63BE7B"/>
        <color rgb="FFFFEB84"/>
        <color rgb="FFF8696B"/>
      </colorScale>
    </cfRule>
  </conditionalFormatting>
  <conditionalFormatting sqref="AY46:AY1048576 AY1:AY44">
    <cfRule type="colorScale" priority="5">
      <colorScale>
        <cfvo type="min"/>
        <cfvo type="percentile" val="50"/>
        <cfvo type="max"/>
        <color rgb="FFF8696B"/>
        <color rgb="FFFFEB84"/>
        <color rgb="FF63BE7B"/>
      </colorScale>
    </cfRule>
  </conditionalFormatting>
  <conditionalFormatting pivot="1" sqref="X12:X13 X9 X16:X17 X19 X22:X23 X25:X26 X29:X30 X32 X34 X37 X39 X41:X44 X48:X49 X55:X58">
    <cfRule type="colorScale" priority="2">
      <colorScale>
        <cfvo type="min"/>
        <cfvo type="percentile" val="50"/>
        <cfvo type="max"/>
        <color rgb="FF63BE7B"/>
        <color rgb="FFFFEB84"/>
        <color rgb="FFF8696B"/>
      </colorScale>
    </cfRule>
  </conditionalFormatting>
  <conditionalFormatting sqref="V15">
    <cfRule type="colorScale" priority="3">
      <colorScale>
        <cfvo type="min"/>
        <cfvo type="percentile" val="50"/>
        <cfvo type="max"/>
        <color rgb="FF63BE7B"/>
        <color rgb="FFFFEB84"/>
        <color rgb="FFF8696B"/>
      </colorScale>
    </cfRule>
  </conditionalFormatting>
  <conditionalFormatting pivot="1" sqref="X4:X9 X11:X13 X15:X58">
    <cfRule type="colorScale" priority="1">
      <colorScale>
        <cfvo type="min"/>
        <cfvo type="percentile" val="50"/>
        <cfvo type="max"/>
        <color rgb="FF63BE7B"/>
        <color rgb="FFFFEB84"/>
        <color rgb="FFF8696B"/>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W994"/>
  <sheetViews>
    <sheetView topLeftCell="AD805" zoomScaleNormal="100" workbookViewId="0">
      <selection activeCell="AQ815" sqref="AQ815"/>
    </sheetView>
  </sheetViews>
  <sheetFormatPr defaultRowHeight="15" x14ac:dyDescent="0.25"/>
  <cols>
    <col min="1" max="1" width="18.140625" style="35" bestFit="1" customWidth="1"/>
    <col min="2" max="2" width="37.140625" style="35" customWidth="1"/>
    <col min="3" max="3" width="4.28515625" style="35" bestFit="1" customWidth="1"/>
    <col min="4" max="4" width="4.28515625" style="35" customWidth="1"/>
    <col min="5" max="5" width="3.28515625" style="35" customWidth="1"/>
    <col min="6" max="6" width="3.42578125" style="35" customWidth="1"/>
    <col min="7" max="7" width="4.5703125" style="35" customWidth="1"/>
    <col min="8" max="8" width="4.7109375" style="35" bestFit="1" customWidth="1"/>
    <col min="9" max="9" width="4.28515625" style="35" customWidth="1"/>
    <col min="10" max="10" width="11" style="35" bestFit="1" customWidth="1"/>
    <col min="11" max="11" width="6.7109375" style="35" customWidth="1"/>
    <col min="12" max="12" width="12.42578125" style="35" customWidth="1"/>
    <col min="13" max="13" width="9.7109375" style="35" customWidth="1"/>
    <col min="14" max="14" width="8.42578125" style="35" bestFit="1" customWidth="1"/>
    <col min="15" max="15" width="7.7109375" style="35" customWidth="1"/>
    <col min="16" max="16" width="10.28515625" style="35" customWidth="1"/>
    <col min="17" max="17" width="7.42578125" style="35" bestFit="1" customWidth="1"/>
    <col min="18" max="18" width="10" style="35" bestFit="1" customWidth="1"/>
    <col min="19" max="19" width="7.42578125" style="35" bestFit="1" customWidth="1"/>
    <col min="20" max="21" width="7.42578125" style="35" customWidth="1"/>
    <col min="22" max="22" width="11.85546875" style="35" bestFit="1" customWidth="1"/>
    <col min="23" max="23" width="7.5703125" style="35" bestFit="1" customWidth="1"/>
    <col min="24" max="25" width="9.140625" style="35" bestFit="1" customWidth="1"/>
    <col min="26" max="26" width="5.7109375" style="35" bestFit="1" customWidth="1"/>
    <col min="27" max="27" width="6.140625" style="35" bestFit="1" customWidth="1"/>
    <col min="28" max="28" width="5.5703125" style="35" bestFit="1" customWidth="1"/>
    <col min="29" max="29" width="7.42578125" style="35" bestFit="1" customWidth="1"/>
    <col min="30" max="31" width="9.28515625" style="35" bestFit="1" customWidth="1"/>
    <col min="32" max="32" width="22.28515625" style="35" bestFit="1" customWidth="1"/>
    <col min="33" max="33" width="8.140625" style="35" bestFit="1" customWidth="1"/>
    <col min="34" max="34" width="36.42578125" style="35" bestFit="1" customWidth="1"/>
    <col min="35" max="35" width="20.140625" style="35" bestFit="1" customWidth="1"/>
    <col min="36" max="36" width="10.5703125" style="35" bestFit="1" customWidth="1"/>
    <col min="37" max="37" width="10" style="35" bestFit="1" customWidth="1"/>
    <col min="38" max="38" width="10.5703125" style="35" bestFit="1" customWidth="1"/>
    <col min="39" max="39" width="9.85546875" style="35" bestFit="1" customWidth="1"/>
    <col min="40" max="40" width="9" style="35" bestFit="1" customWidth="1"/>
    <col min="41" max="41" width="8.5703125" style="35" bestFit="1" customWidth="1"/>
    <col min="42" max="42" width="12" style="35" bestFit="1" customWidth="1"/>
    <col min="43" max="43" width="9.85546875" style="35" bestFit="1" customWidth="1"/>
    <col min="44" max="44" width="9.42578125" style="35" bestFit="1" customWidth="1"/>
    <col min="45" max="45" width="7.42578125" style="35" bestFit="1" customWidth="1"/>
    <col min="46" max="46" width="10.7109375" style="35" bestFit="1" customWidth="1"/>
    <col min="47" max="47" width="9.5703125" style="35" bestFit="1" customWidth="1"/>
    <col min="48" max="48" width="10" style="35" bestFit="1" customWidth="1"/>
    <col min="49" max="49" width="6.5703125" style="35" bestFit="1" customWidth="1"/>
    <col min="50" max="50" width="10" style="35" customWidth="1"/>
    <col min="51" max="53" width="10.7109375" style="35" bestFit="1" customWidth="1"/>
    <col min="54" max="54" width="10.5703125" style="35" bestFit="1" customWidth="1"/>
    <col min="55" max="55" width="11.5703125" style="35" bestFit="1" customWidth="1"/>
    <col min="56" max="56" width="8.7109375" style="35" bestFit="1" customWidth="1"/>
    <col min="57" max="16384" width="9.140625" style="35"/>
  </cols>
  <sheetData>
    <row r="1" spans="1:49" x14ac:dyDescent="0.25">
      <c r="A1" s="3" t="s">
        <v>0</v>
      </c>
      <c r="B1" s="4" t="s">
        <v>1</v>
      </c>
      <c r="C1" s="4" t="s">
        <v>97</v>
      </c>
      <c r="D1" s="4" t="s">
        <v>2</v>
      </c>
      <c r="E1" s="4" t="s">
        <v>95</v>
      </c>
      <c r="F1" s="4" t="s">
        <v>112</v>
      </c>
      <c r="G1" s="4" t="s">
        <v>4943</v>
      </c>
      <c r="H1" s="4" t="s">
        <v>3</v>
      </c>
      <c r="I1" s="4" t="s">
        <v>4</v>
      </c>
      <c r="J1" s="4" t="s">
        <v>5</v>
      </c>
      <c r="K1" s="4" t="s">
        <v>6</v>
      </c>
      <c r="L1" s="4" t="s">
        <v>7</v>
      </c>
      <c r="M1" s="4" t="s">
        <v>8</v>
      </c>
      <c r="N1" s="5" t="s">
        <v>9</v>
      </c>
      <c r="O1" s="4" t="s">
        <v>10</v>
      </c>
      <c r="P1" s="4" t="s">
        <v>11</v>
      </c>
      <c r="Q1" s="4" t="s">
        <v>12</v>
      </c>
      <c r="R1" s="4" t="s">
        <v>13</v>
      </c>
      <c r="S1" s="4" t="s">
        <v>14</v>
      </c>
      <c r="T1" s="4" t="s">
        <v>15</v>
      </c>
      <c r="U1" s="4" t="s">
        <v>16</v>
      </c>
      <c r="V1" s="4" t="s">
        <v>17</v>
      </c>
      <c r="W1" s="6" t="s">
        <v>18</v>
      </c>
      <c r="X1" s="4" t="s">
        <v>19</v>
      </c>
      <c r="Y1" s="4" t="s">
        <v>20</v>
      </c>
      <c r="Z1" s="4" t="s">
        <v>21</v>
      </c>
      <c r="AA1" s="4" t="s">
        <v>81</v>
      </c>
      <c r="AB1" s="4" t="s">
        <v>22</v>
      </c>
      <c r="AC1" s="6" t="s">
        <v>23</v>
      </c>
      <c r="AD1" s="4" t="s">
        <v>24</v>
      </c>
      <c r="AE1" s="4" t="s">
        <v>25</v>
      </c>
      <c r="AF1" s="4" t="s">
        <v>26</v>
      </c>
      <c r="AG1" s="4" t="s">
        <v>27</v>
      </c>
      <c r="AH1" s="5" t="s">
        <v>28</v>
      </c>
      <c r="AI1" s="4" t="s">
        <v>29</v>
      </c>
      <c r="AJ1" s="4" t="s">
        <v>30</v>
      </c>
      <c r="AK1" s="4" t="s">
        <v>31</v>
      </c>
      <c r="AL1" s="4" t="s">
        <v>32</v>
      </c>
      <c r="AM1" s="4" t="s">
        <v>33</v>
      </c>
      <c r="AN1" s="4" t="s">
        <v>34</v>
      </c>
      <c r="AO1" s="7" t="s">
        <v>35</v>
      </c>
      <c r="AP1" s="7" t="s">
        <v>36</v>
      </c>
      <c r="AQ1" s="7" t="s">
        <v>37</v>
      </c>
      <c r="AR1" s="4" t="s">
        <v>38</v>
      </c>
      <c r="AS1" s="4" t="s">
        <v>39</v>
      </c>
      <c r="AT1" s="4" t="s">
        <v>40</v>
      </c>
      <c r="AU1" s="4" t="s">
        <v>41</v>
      </c>
      <c r="AV1" s="8" t="s">
        <v>127</v>
      </c>
      <c r="AW1" s="8" t="s">
        <v>78</v>
      </c>
    </row>
    <row r="2" spans="1:49" x14ac:dyDescent="0.25">
      <c r="A2" s="9" t="s">
        <v>421</v>
      </c>
      <c r="B2" s="10" t="s">
        <v>439</v>
      </c>
      <c r="C2" s="10">
        <v>0</v>
      </c>
      <c r="D2" s="10" t="s">
        <v>91</v>
      </c>
      <c r="E2" s="10"/>
      <c r="F2" s="10"/>
      <c r="G2" s="10"/>
      <c r="H2" s="10" t="s">
        <v>52</v>
      </c>
      <c r="I2" s="10">
        <v>1</v>
      </c>
      <c r="J2" s="10" t="s">
        <v>457</v>
      </c>
      <c r="K2" s="10" t="s">
        <v>42</v>
      </c>
      <c r="L2" s="10">
        <f>Table1[[#This Row],[ENR]]-Table1[[#This Row],[CREDIT]]</f>
        <v>70895.949999999953</v>
      </c>
      <c r="M2" s="10">
        <v>840000</v>
      </c>
      <c r="N2" s="26">
        <v>910895.95</v>
      </c>
      <c r="O2" s="25">
        <v>67122.89</v>
      </c>
      <c r="P2" s="25">
        <v>843773.06</v>
      </c>
      <c r="Q2" s="25">
        <v>771437.05</v>
      </c>
      <c r="R2" s="10">
        <v>180320</v>
      </c>
      <c r="S2" s="25">
        <v>54428</v>
      </c>
      <c r="T2" s="10" t="s">
        <v>44</v>
      </c>
      <c r="U2" s="10" t="s">
        <v>45</v>
      </c>
      <c r="V2" s="10">
        <v>0</v>
      </c>
      <c r="W2" s="25">
        <f>Table1[[#This Row],[STAB]]-Table1[[#This Row],[AMOUNT]]</f>
        <v>54428</v>
      </c>
      <c r="X2" s="10">
        <v>0</v>
      </c>
      <c r="Y2" s="10" t="s">
        <v>79</v>
      </c>
      <c r="Z2" s="10">
        <v>0</v>
      </c>
      <c r="AA2" s="10" t="s">
        <v>162</v>
      </c>
      <c r="AB2" s="10" t="s">
        <v>735</v>
      </c>
      <c r="AC2" s="10">
        <v>0</v>
      </c>
      <c r="AD2" s="10" t="s">
        <v>476</v>
      </c>
      <c r="AE2" s="10" t="s">
        <v>494</v>
      </c>
      <c r="AF2" s="10" t="s">
        <v>272</v>
      </c>
      <c r="AG2" s="10" t="s">
        <v>54</v>
      </c>
      <c r="AH2" s="10" t="s">
        <v>114</v>
      </c>
      <c r="AI2" s="10" t="s">
        <v>726</v>
      </c>
      <c r="AJ2" s="10">
        <v>801772792</v>
      </c>
      <c r="AK2" s="10" t="s">
        <v>105</v>
      </c>
      <c r="AL2" s="10"/>
      <c r="AM2" s="10"/>
      <c r="AN2" s="11" t="s">
        <v>390</v>
      </c>
      <c r="AO2" s="10" t="s">
        <v>398</v>
      </c>
      <c r="AP2" s="10" t="s">
        <v>966</v>
      </c>
      <c r="AQ2" s="10" t="s">
        <v>959</v>
      </c>
      <c r="AR2" s="2">
        <v>46161</v>
      </c>
      <c r="AS2" s="10">
        <v>2</v>
      </c>
      <c r="AT2" s="10" t="s">
        <v>291</v>
      </c>
      <c r="AU2" s="10" t="s">
        <v>504</v>
      </c>
      <c r="AV2" s="36" t="s">
        <v>520</v>
      </c>
      <c r="AW2" s="1">
        <v>46192</v>
      </c>
    </row>
    <row r="3" spans="1:49" x14ac:dyDescent="0.25">
      <c r="A3" s="9" t="s">
        <v>377</v>
      </c>
      <c r="B3" s="10" t="s">
        <v>378</v>
      </c>
      <c r="C3" s="10">
        <v>0</v>
      </c>
      <c r="D3" s="10" t="s">
        <v>1993</v>
      </c>
      <c r="E3" s="10"/>
      <c r="F3" s="10"/>
      <c r="G3" s="10"/>
      <c r="H3" s="10" t="s">
        <v>52</v>
      </c>
      <c r="I3" s="10">
        <v>1</v>
      </c>
      <c r="J3" s="10" t="s">
        <v>379</v>
      </c>
      <c r="K3" s="10" t="s">
        <v>42</v>
      </c>
      <c r="L3" s="10">
        <v>70895.949999999953</v>
      </c>
      <c r="M3" s="10">
        <v>500000</v>
      </c>
      <c r="N3" s="26">
        <v>536072.31000000006</v>
      </c>
      <c r="O3" s="25" t="s">
        <v>43</v>
      </c>
      <c r="P3" s="25">
        <v>536072.31000000006</v>
      </c>
      <c r="Q3" s="25">
        <v>499255.75</v>
      </c>
      <c r="R3" s="10">
        <v>536072.31000000006</v>
      </c>
      <c r="S3" s="25">
        <v>74046.09</v>
      </c>
      <c r="T3" s="10" t="s">
        <v>57</v>
      </c>
      <c r="U3" s="10" t="s">
        <v>13</v>
      </c>
      <c r="V3" s="10">
        <v>536072.31000000006</v>
      </c>
      <c r="W3" s="25">
        <v>54428</v>
      </c>
      <c r="X3" s="10">
        <v>0</v>
      </c>
      <c r="Y3" s="10" t="s">
        <v>388</v>
      </c>
      <c r="Z3" s="10">
        <v>0</v>
      </c>
      <c r="AA3" s="10" t="s">
        <v>162</v>
      </c>
      <c r="AB3" s="10" t="s">
        <v>162</v>
      </c>
      <c r="AC3" s="10" t="s">
        <v>527</v>
      </c>
      <c r="AD3" s="10" t="s">
        <v>381</v>
      </c>
      <c r="AE3" s="10" t="s">
        <v>382</v>
      </c>
      <c r="AF3" s="10" t="s">
        <v>383</v>
      </c>
      <c r="AG3" s="10" t="s">
        <v>53</v>
      </c>
      <c r="AH3" s="10" t="s">
        <v>384</v>
      </c>
      <c r="AI3" s="10" t="s">
        <v>365</v>
      </c>
      <c r="AJ3" s="10">
        <v>802824019</v>
      </c>
      <c r="AK3" s="10" t="s">
        <v>360</v>
      </c>
      <c r="AL3" s="10"/>
      <c r="AM3" s="10"/>
      <c r="AN3" s="11" t="s">
        <v>390</v>
      </c>
      <c r="AO3" s="10"/>
      <c r="AP3" s="10"/>
      <c r="AQ3" s="10"/>
      <c r="AR3" s="2">
        <v>46131</v>
      </c>
      <c r="AS3" s="10">
        <v>5799.48</v>
      </c>
      <c r="AT3" s="10" t="s">
        <v>385</v>
      </c>
      <c r="AU3" s="10" t="s">
        <v>386</v>
      </c>
      <c r="AV3" s="36" t="s">
        <v>387</v>
      </c>
      <c r="AW3" s="1">
        <v>46192</v>
      </c>
    </row>
    <row r="4" spans="1:49" x14ac:dyDescent="0.25">
      <c r="A4" s="9" t="s">
        <v>416</v>
      </c>
      <c r="B4" s="10" t="s">
        <v>434</v>
      </c>
      <c r="C4" s="10">
        <v>0</v>
      </c>
      <c r="D4" s="10" t="s">
        <v>91</v>
      </c>
      <c r="E4" s="10"/>
      <c r="F4" s="10"/>
      <c r="G4" s="10"/>
      <c r="H4" s="10" t="s">
        <v>52</v>
      </c>
      <c r="I4" s="10">
        <v>1</v>
      </c>
      <c r="J4" s="10" t="s">
        <v>452</v>
      </c>
      <c r="K4" s="10" t="s">
        <v>42</v>
      </c>
      <c r="L4" s="10">
        <f>Table1[[#This Row],[ENR]]-Table1[[#This Row],[CREDIT]]</f>
        <v>13531.369999999995</v>
      </c>
      <c r="M4" s="36">
        <v>270000</v>
      </c>
      <c r="N4" s="26">
        <v>283531.37</v>
      </c>
      <c r="O4" s="38">
        <v>9989.02</v>
      </c>
      <c r="P4" s="25">
        <v>273542.34999999998</v>
      </c>
      <c r="Q4" s="25">
        <v>256364.08</v>
      </c>
      <c r="R4" s="10">
        <v>66760</v>
      </c>
      <c r="S4" s="39">
        <v>33290</v>
      </c>
      <c r="T4" s="10" t="s">
        <v>57</v>
      </c>
      <c r="U4" s="10" t="s">
        <v>13</v>
      </c>
      <c r="V4" s="10">
        <v>273542.34999999998</v>
      </c>
      <c r="W4" s="25">
        <f>Table1[[#This Row],[STAB]]-Table1[[#This Row],[AMOUNT]]</f>
        <v>-240252.34999999998</v>
      </c>
      <c r="X4" s="10" t="s">
        <v>959</v>
      </c>
      <c r="Y4" s="10" t="s">
        <v>396</v>
      </c>
      <c r="Z4" s="10" t="s">
        <v>403</v>
      </c>
      <c r="AA4" s="10" t="s">
        <v>162</v>
      </c>
      <c r="AB4" s="36" t="s">
        <v>734</v>
      </c>
      <c r="AC4" s="10">
        <v>0</v>
      </c>
      <c r="AD4" s="9" t="s">
        <v>471</v>
      </c>
      <c r="AE4" s="10" t="s">
        <v>489</v>
      </c>
      <c r="AF4" s="10" t="s">
        <v>281</v>
      </c>
      <c r="AG4" s="10" t="s">
        <v>54</v>
      </c>
      <c r="AH4" s="10" t="s">
        <v>58</v>
      </c>
      <c r="AI4" s="10" t="s">
        <v>133</v>
      </c>
      <c r="AJ4" s="10">
        <v>802555024</v>
      </c>
      <c r="AK4" s="10" t="s">
        <v>362</v>
      </c>
      <c r="AL4" s="10"/>
      <c r="AM4" s="10"/>
      <c r="AN4" s="11" t="s">
        <v>390</v>
      </c>
      <c r="AO4" s="10" t="s">
        <v>392</v>
      </c>
      <c r="AP4" s="10" t="s">
        <v>532</v>
      </c>
      <c r="AQ4" s="10" t="s">
        <v>526</v>
      </c>
      <c r="AR4" s="2">
        <v>45490</v>
      </c>
      <c r="AS4" s="10">
        <v>4975.45</v>
      </c>
      <c r="AT4" s="10" t="s">
        <v>503</v>
      </c>
      <c r="AU4" s="10" t="s">
        <v>504</v>
      </c>
      <c r="AV4" s="36" t="s">
        <v>515</v>
      </c>
      <c r="AW4" s="1">
        <v>46192</v>
      </c>
    </row>
    <row r="5" spans="1:49" x14ac:dyDescent="0.25">
      <c r="A5" s="9" t="s">
        <v>406</v>
      </c>
      <c r="B5" s="10" t="s">
        <v>424</v>
      </c>
      <c r="C5" s="10">
        <v>0</v>
      </c>
      <c r="D5" s="10" t="s">
        <v>91</v>
      </c>
      <c r="E5" s="10"/>
      <c r="F5" s="10"/>
      <c r="G5" s="10"/>
      <c r="H5" s="10" t="s">
        <v>52</v>
      </c>
      <c r="I5" s="10">
        <v>1</v>
      </c>
      <c r="J5" s="10" t="s">
        <v>442</v>
      </c>
      <c r="K5" s="10" t="s">
        <v>42</v>
      </c>
      <c r="L5" s="10">
        <f>Table1[[#This Row],[ENR]]-Table1[[#This Row],[CREDIT]]</f>
        <v>14012.399999999994</v>
      </c>
      <c r="M5" s="36">
        <v>240000</v>
      </c>
      <c r="N5" s="26">
        <v>254012.4</v>
      </c>
      <c r="O5" s="38">
        <v>226451.82</v>
      </c>
      <c r="P5" s="25">
        <v>27560.58</v>
      </c>
      <c r="Q5" s="25">
        <v>15440.85</v>
      </c>
      <c r="R5" s="10">
        <v>27560.58</v>
      </c>
      <c r="S5" s="39">
        <v>13081.61</v>
      </c>
      <c r="T5" s="10" t="s">
        <v>57</v>
      </c>
      <c r="U5" s="10" t="s">
        <v>14</v>
      </c>
      <c r="V5" s="25">
        <v>15000</v>
      </c>
      <c r="W5" s="25">
        <f>Table1[[#This Row],[STAB]]-Table1[[#This Row],[AMOUNT]]</f>
        <v>-1918.3899999999994</v>
      </c>
      <c r="X5" s="10">
        <v>0</v>
      </c>
      <c r="Y5" s="10" t="s">
        <v>388</v>
      </c>
      <c r="Z5" s="10" t="s">
        <v>1967</v>
      </c>
      <c r="AA5" s="10" t="s">
        <v>162</v>
      </c>
      <c r="AB5" s="10" t="s">
        <v>735</v>
      </c>
      <c r="AC5" s="10">
        <v>0</v>
      </c>
      <c r="AD5" s="9" t="s">
        <v>461</v>
      </c>
      <c r="AE5" s="10" t="s">
        <v>479</v>
      </c>
      <c r="AF5" s="10" t="s">
        <v>285</v>
      </c>
      <c r="AG5" s="10" t="s">
        <v>54</v>
      </c>
      <c r="AH5" s="10" t="s">
        <v>94</v>
      </c>
      <c r="AI5" s="10" t="s">
        <v>725</v>
      </c>
      <c r="AJ5" s="10">
        <v>802794852</v>
      </c>
      <c r="AK5" s="10" t="s">
        <v>104</v>
      </c>
      <c r="AL5" s="10"/>
      <c r="AM5" s="10"/>
      <c r="AN5" s="11" t="s">
        <v>390</v>
      </c>
      <c r="AO5" s="10" t="s">
        <v>392</v>
      </c>
      <c r="AP5" s="10" t="s">
        <v>729</v>
      </c>
      <c r="AQ5" s="10" t="s">
        <v>730</v>
      </c>
      <c r="AR5" s="2" t="s">
        <v>43</v>
      </c>
      <c r="AS5" s="10">
        <v>0</v>
      </c>
      <c r="AT5" s="10" t="s">
        <v>292</v>
      </c>
      <c r="AU5" s="10" t="s">
        <v>504</v>
      </c>
      <c r="AV5" s="36" t="s">
        <v>505</v>
      </c>
      <c r="AW5" s="1">
        <v>46192</v>
      </c>
    </row>
    <row r="6" spans="1:49" x14ac:dyDescent="0.25">
      <c r="A6" s="9" t="s">
        <v>413</v>
      </c>
      <c r="B6" s="10" t="s">
        <v>431</v>
      </c>
      <c r="C6" s="10">
        <v>0</v>
      </c>
      <c r="D6" s="10" t="s">
        <v>91</v>
      </c>
      <c r="E6" s="10"/>
      <c r="F6" s="10"/>
      <c r="G6" s="10"/>
      <c r="H6" s="10" t="s">
        <v>52</v>
      </c>
      <c r="I6" s="10">
        <v>1</v>
      </c>
      <c r="J6" s="10" t="s">
        <v>449</v>
      </c>
      <c r="K6" s="10" t="s">
        <v>42</v>
      </c>
      <c r="L6" s="10">
        <f>Table1[[#This Row],[ENR]]-Table1[[#This Row],[CREDIT]]</f>
        <v>11844.75</v>
      </c>
      <c r="M6" s="36">
        <v>160000</v>
      </c>
      <c r="N6" s="26">
        <v>171844.75</v>
      </c>
      <c r="O6" s="38" t="s">
        <v>43</v>
      </c>
      <c r="P6" s="25">
        <v>171844.75</v>
      </c>
      <c r="Q6" s="25">
        <v>153750</v>
      </c>
      <c r="R6" s="10">
        <v>37040</v>
      </c>
      <c r="S6" s="39">
        <v>7983.46</v>
      </c>
      <c r="T6" s="10" t="s">
        <v>57</v>
      </c>
      <c r="U6" s="10" t="s">
        <v>13</v>
      </c>
      <c r="V6" s="10">
        <v>171844.75</v>
      </c>
      <c r="W6" s="25">
        <f>Table1[[#This Row],[STAB]]-Table1[[#This Row],[AMOUNT]]</f>
        <v>-163861.29</v>
      </c>
      <c r="X6" s="10" t="s">
        <v>959</v>
      </c>
      <c r="Y6" s="10" t="s">
        <v>396</v>
      </c>
      <c r="Z6" s="10" t="s">
        <v>403</v>
      </c>
      <c r="AA6" s="10" t="s">
        <v>162</v>
      </c>
      <c r="AB6" s="36" t="s">
        <v>733</v>
      </c>
      <c r="AC6" s="10">
        <v>0</v>
      </c>
      <c r="AD6" s="10" t="s">
        <v>468</v>
      </c>
      <c r="AE6" s="10" t="s">
        <v>486</v>
      </c>
      <c r="AF6" s="10" t="s">
        <v>272</v>
      </c>
      <c r="AG6" s="10" t="s">
        <v>54</v>
      </c>
      <c r="AH6" s="10" t="s">
        <v>114</v>
      </c>
      <c r="AI6" s="10" t="s">
        <v>726</v>
      </c>
      <c r="AJ6" s="10">
        <v>801772792</v>
      </c>
      <c r="AK6" s="10" t="s">
        <v>105</v>
      </c>
      <c r="AL6" s="10"/>
      <c r="AM6" s="10"/>
      <c r="AN6" s="11" t="s">
        <v>390</v>
      </c>
      <c r="AO6" s="10" t="s">
        <v>394</v>
      </c>
      <c r="AP6" s="10" t="s">
        <v>743</v>
      </c>
      <c r="AQ6" s="10" t="s">
        <v>739</v>
      </c>
      <c r="AR6" s="2" t="s">
        <v>43</v>
      </c>
      <c r="AS6" s="10">
        <v>0</v>
      </c>
      <c r="AT6" s="10" t="s">
        <v>47</v>
      </c>
      <c r="AU6" s="10" t="s">
        <v>504</v>
      </c>
      <c r="AV6" s="36" t="s">
        <v>512</v>
      </c>
      <c r="AW6" s="1">
        <v>46192</v>
      </c>
    </row>
    <row r="7" spans="1:49" x14ac:dyDescent="0.25">
      <c r="A7" s="40" t="s">
        <v>407</v>
      </c>
      <c r="B7" s="11" t="s">
        <v>425</v>
      </c>
      <c r="C7" s="10">
        <v>0</v>
      </c>
      <c r="D7" s="10" t="s">
        <v>91</v>
      </c>
      <c r="E7" s="11"/>
      <c r="F7" s="11"/>
      <c r="G7" s="11"/>
      <c r="H7" s="10" t="s">
        <v>52</v>
      </c>
      <c r="I7" s="11">
        <v>1</v>
      </c>
      <c r="J7" s="11" t="s">
        <v>443</v>
      </c>
      <c r="K7" s="11" t="s">
        <v>42</v>
      </c>
      <c r="L7" s="11">
        <f>Table1[[#This Row],[ENR]]-Table1[[#This Row],[CREDIT]]</f>
        <v>6317.0099999999948</v>
      </c>
      <c r="M7" s="41">
        <v>80000</v>
      </c>
      <c r="N7" s="42">
        <v>86317.01</v>
      </c>
      <c r="O7" s="43" t="s">
        <v>43</v>
      </c>
      <c r="P7" s="44">
        <v>86317.01</v>
      </c>
      <c r="Q7" s="44">
        <v>79954.2</v>
      </c>
      <c r="R7" s="11">
        <v>15920</v>
      </c>
      <c r="S7" s="45">
        <v>3620</v>
      </c>
      <c r="T7" s="10" t="s">
        <v>44</v>
      </c>
      <c r="U7" s="10" t="s">
        <v>45</v>
      </c>
      <c r="V7" s="10">
        <v>0</v>
      </c>
      <c r="W7" s="44">
        <f>Table1[[#This Row],[STAB]]-Table1[[#This Row],[AMOUNT]]</f>
        <v>3620</v>
      </c>
      <c r="X7" s="10">
        <v>0</v>
      </c>
      <c r="Y7" s="10" t="s">
        <v>79</v>
      </c>
      <c r="Z7" s="10">
        <v>0</v>
      </c>
      <c r="AA7" s="10" t="s">
        <v>162</v>
      </c>
      <c r="AB7" s="36" t="s">
        <v>734</v>
      </c>
      <c r="AC7" s="11">
        <v>0</v>
      </c>
      <c r="AD7" s="10" t="s">
        <v>462</v>
      </c>
      <c r="AE7" s="11" t="s">
        <v>480</v>
      </c>
      <c r="AF7" s="11" t="s">
        <v>497</v>
      </c>
      <c r="AG7" s="11" t="s">
        <v>148</v>
      </c>
      <c r="AH7" s="11" t="s">
        <v>60</v>
      </c>
      <c r="AI7" s="11" t="s">
        <v>366</v>
      </c>
      <c r="AJ7" s="11">
        <v>802789320</v>
      </c>
      <c r="AK7" s="11" t="s">
        <v>104</v>
      </c>
      <c r="AL7" s="11"/>
      <c r="AM7" s="11"/>
      <c r="AN7" s="11" t="s">
        <v>390</v>
      </c>
      <c r="AO7" s="11" t="s">
        <v>398</v>
      </c>
      <c r="AP7" s="11" t="s">
        <v>745</v>
      </c>
      <c r="AQ7" s="11" t="s">
        <v>739</v>
      </c>
      <c r="AR7" s="46" t="s">
        <v>43</v>
      </c>
      <c r="AS7" s="11">
        <v>0</v>
      </c>
      <c r="AT7" s="11" t="s">
        <v>292</v>
      </c>
      <c r="AU7" s="10" t="s">
        <v>504</v>
      </c>
      <c r="AV7" s="41" t="s">
        <v>506</v>
      </c>
      <c r="AW7" s="47">
        <v>46192</v>
      </c>
    </row>
    <row r="8" spans="1:49" x14ac:dyDescent="0.25">
      <c r="A8" s="9" t="s">
        <v>164</v>
      </c>
      <c r="B8" s="10" t="s">
        <v>191</v>
      </c>
      <c r="C8" s="10">
        <v>0</v>
      </c>
      <c r="D8" s="10" t="s">
        <v>91</v>
      </c>
      <c r="E8" s="10"/>
      <c r="F8" s="10"/>
      <c r="G8" s="10"/>
      <c r="H8" s="10" t="s">
        <v>52</v>
      </c>
      <c r="I8" s="10">
        <v>2</v>
      </c>
      <c r="J8" s="10" t="s">
        <v>218</v>
      </c>
      <c r="K8" s="10" t="s">
        <v>42</v>
      </c>
      <c r="L8" s="10">
        <f>Table1[[#This Row],[ENR]]-Table1[[#This Row],[CREDIT]]</f>
        <v>-136312.18</v>
      </c>
      <c r="M8" s="36">
        <v>610000</v>
      </c>
      <c r="N8" s="26">
        <v>473687.82</v>
      </c>
      <c r="O8" s="38">
        <v>400599.86</v>
      </c>
      <c r="P8" s="25">
        <v>73087.960000000006</v>
      </c>
      <c r="Q8" s="25">
        <v>60877.8</v>
      </c>
      <c r="R8" s="10">
        <v>59460</v>
      </c>
      <c r="S8" s="39">
        <v>25024</v>
      </c>
      <c r="T8" s="10" t="s">
        <v>44</v>
      </c>
      <c r="U8" s="10" t="s">
        <v>45</v>
      </c>
      <c r="V8" s="10">
        <v>0</v>
      </c>
      <c r="W8" s="25">
        <f>Table1[[#This Row],[STAB]]-Table1[[#This Row],[AMOUNT]]</f>
        <v>25024</v>
      </c>
      <c r="X8" s="10">
        <v>0</v>
      </c>
      <c r="Y8" s="10" t="s">
        <v>79</v>
      </c>
      <c r="Z8" s="10">
        <v>0</v>
      </c>
      <c r="AA8" s="10" t="s">
        <v>113</v>
      </c>
      <c r="AB8" s="36" t="s">
        <v>131</v>
      </c>
      <c r="AC8" s="10" t="s">
        <v>528</v>
      </c>
      <c r="AD8" s="10" t="s">
        <v>325</v>
      </c>
      <c r="AE8" s="10" t="s">
        <v>246</v>
      </c>
      <c r="AF8" s="10" t="s">
        <v>273</v>
      </c>
      <c r="AG8" s="10" t="s">
        <v>323</v>
      </c>
      <c r="AH8" s="10" t="s">
        <v>352</v>
      </c>
      <c r="AI8" s="10" t="s">
        <v>363</v>
      </c>
      <c r="AJ8" s="10">
        <v>802913252</v>
      </c>
      <c r="AK8" s="10" t="s">
        <v>104</v>
      </c>
      <c r="AL8" s="10"/>
      <c r="AM8" s="10"/>
      <c r="AN8" s="11" t="s">
        <v>390</v>
      </c>
      <c r="AO8" s="10" t="s">
        <v>394</v>
      </c>
      <c r="AP8" s="10" t="s">
        <v>971</v>
      </c>
      <c r="AQ8" s="10" t="s">
        <v>959</v>
      </c>
      <c r="AR8" s="2">
        <v>46141</v>
      </c>
      <c r="AS8" s="10">
        <v>888</v>
      </c>
      <c r="AT8" s="10" t="s">
        <v>48</v>
      </c>
      <c r="AU8" s="10" t="s">
        <v>295</v>
      </c>
      <c r="AV8" s="36" t="s">
        <v>297</v>
      </c>
      <c r="AW8" s="1">
        <v>46193</v>
      </c>
    </row>
    <row r="9" spans="1:49" x14ac:dyDescent="0.25">
      <c r="A9" s="9" t="s">
        <v>561</v>
      </c>
      <c r="B9" s="10" t="s">
        <v>591</v>
      </c>
      <c r="C9" s="10">
        <v>0</v>
      </c>
      <c r="D9" s="10" t="s">
        <v>91</v>
      </c>
      <c r="E9" s="10">
        <v>1</v>
      </c>
      <c r="F9" s="10"/>
      <c r="G9" s="10"/>
      <c r="H9" s="10" t="s">
        <v>52</v>
      </c>
      <c r="I9" s="10">
        <v>2</v>
      </c>
      <c r="J9" s="10" t="s">
        <v>621</v>
      </c>
      <c r="K9" s="10" t="s">
        <v>42</v>
      </c>
      <c r="L9" s="10">
        <f>Table1[[#This Row],[ENR]]-Table1[[#This Row],[CREDIT]]</f>
        <v>-28668.479999999981</v>
      </c>
      <c r="M9" s="36">
        <v>500000</v>
      </c>
      <c r="N9" s="26">
        <v>471331.52</v>
      </c>
      <c r="O9" s="38">
        <v>218789.65</v>
      </c>
      <c r="P9" s="25">
        <v>252541.87</v>
      </c>
      <c r="Q9" s="25">
        <v>228722.18</v>
      </c>
      <c r="R9" s="10">
        <v>63080</v>
      </c>
      <c r="S9" s="39">
        <v>20350</v>
      </c>
      <c r="T9" s="10" t="s">
        <v>44</v>
      </c>
      <c r="U9" s="10" t="s">
        <v>45</v>
      </c>
      <c r="V9" s="10">
        <v>0</v>
      </c>
      <c r="W9" s="25">
        <f>Table1[[#This Row],[STAB]]-Table1[[#This Row],[AMOUNT]]</f>
        <v>20350</v>
      </c>
      <c r="X9" s="10">
        <v>0</v>
      </c>
      <c r="Y9" s="10" t="s">
        <v>79</v>
      </c>
      <c r="Z9" s="10">
        <v>0</v>
      </c>
      <c r="AA9" s="10" t="s">
        <v>113</v>
      </c>
      <c r="AB9" s="36" t="s">
        <v>131</v>
      </c>
      <c r="AC9" s="10"/>
      <c r="AD9" s="10" t="s">
        <v>652</v>
      </c>
      <c r="AE9" s="10" t="s">
        <v>682</v>
      </c>
      <c r="AF9" s="10" t="s">
        <v>284</v>
      </c>
      <c r="AG9" s="10" t="s">
        <v>324</v>
      </c>
      <c r="AH9" s="10" t="s">
        <v>355</v>
      </c>
      <c r="AI9" s="10" t="s">
        <v>372</v>
      </c>
      <c r="AJ9" s="10">
        <v>801597759</v>
      </c>
      <c r="AK9" s="10" t="s">
        <v>362</v>
      </c>
      <c r="AL9" s="10"/>
      <c r="AM9" s="10"/>
      <c r="AN9" s="11" t="s">
        <v>390</v>
      </c>
      <c r="AO9" s="10" t="s">
        <v>394</v>
      </c>
      <c r="AP9" s="10" t="s">
        <v>857</v>
      </c>
      <c r="AQ9" s="10" t="s">
        <v>855</v>
      </c>
      <c r="AR9" s="2">
        <v>45950</v>
      </c>
      <c r="AS9" s="10">
        <v>7890.91</v>
      </c>
      <c r="AT9" s="10" t="s">
        <v>293</v>
      </c>
      <c r="AU9" s="10" t="s">
        <v>691</v>
      </c>
      <c r="AV9" s="36" t="s">
        <v>719</v>
      </c>
      <c r="AW9" s="1">
        <v>46193</v>
      </c>
    </row>
    <row r="10" spans="1:49" x14ac:dyDescent="0.25">
      <c r="A10" s="9" t="s">
        <v>118</v>
      </c>
      <c r="B10" s="10" t="s">
        <v>119</v>
      </c>
      <c r="C10" s="10">
        <v>0</v>
      </c>
      <c r="D10" s="10" t="s">
        <v>91</v>
      </c>
      <c r="E10" s="10"/>
      <c r="F10" s="10"/>
      <c r="G10" s="10"/>
      <c r="H10" s="10" t="s">
        <v>52</v>
      </c>
      <c r="I10" s="10">
        <v>2</v>
      </c>
      <c r="J10" s="10" t="s">
        <v>120</v>
      </c>
      <c r="K10" s="10" t="s">
        <v>42</v>
      </c>
      <c r="L10" s="10">
        <f>Table1[[#This Row],[ENR]]-Table1[[#This Row],[CREDIT]]</f>
        <v>191648.14</v>
      </c>
      <c r="M10" s="36">
        <v>244000</v>
      </c>
      <c r="N10" s="26">
        <v>435648.14</v>
      </c>
      <c r="O10" s="38" t="s">
        <v>43</v>
      </c>
      <c r="P10" s="25">
        <v>435648.14</v>
      </c>
      <c r="Q10" s="25">
        <v>400000</v>
      </c>
      <c r="R10" s="25">
        <v>249280</v>
      </c>
      <c r="S10" s="39">
        <v>168204</v>
      </c>
      <c r="T10" s="10" t="s">
        <v>57</v>
      </c>
      <c r="U10" s="10" t="s">
        <v>13</v>
      </c>
      <c r="V10" s="10">
        <v>435648.14</v>
      </c>
      <c r="W10" s="25">
        <f>Table1[[#This Row],[STAB]]-Table1[[#This Row],[AMOUNT]]</f>
        <v>-267444.14</v>
      </c>
      <c r="X10" s="10" t="s">
        <v>393</v>
      </c>
      <c r="Y10" s="10" t="s">
        <v>402</v>
      </c>
      <c r="Z10" s="10" t="s">
        <v>403</v>
      </c>
      <c r="AA10" s="10" t="s">
        <v>113</v>
      </c>
      <c r="AB10" s="36" t="s">
        <v>131</v>
      </c>
      <c r="AC10" s="10" t="s">
        <v>527</v>
      </c>
      <c r="AD10" s="10" t="s">
        <v>122</v>
      </c>
      <c r="AE10" s="10" t="s">
        <v>125</v>
      </c>
      <c r="AF10" s="10" t="s">
        <v>111</v>
      </c>
      <c r="AG10" s="10" t="s">
        <v>53</v>
      </c>
      <c r="AH10" s="10" t="s">
        <v>92</v>
      </c>
      <c r="AI10" s="10" t="s">
        <v>113</v>
      </c>
      <c r="AJ10" s="10">
        <v>802388289</v>
      </c>
      <c r="AK10" s="10" t="s">
        <v>104</v>
      </c>
      <c r="AL10" s="10"/>
      <c r="AM10" s="10"/>
      <c r="AN10" s="11" t="s">
        <v>390</v>
      </c>
      <c r="AO10" s="10"/>
      <c r="AP10" s="10"/>
      <c r="AQ10" s="10"/>
      <c r="AR10" s="2">
        <v>46152</v>
      </c>
      <c r="AS10" s="10">
        <v>36</v>
      </c>
      <c r="AT10" s="10" t="s">
        <v>47</v>
      </c>
      <c r="AU10" s="10" t="s">
        <v>126</v>
      </c>
      <c r="AV10" s="36" t="s">
        <v>130</v>
      </c>
      <c r="AW10" s="1">
        <v>46193</v>
      </c>
    </row>
    <row r="11" spans="1:49" x14ac:dyDescent="0.25">
      <c r="A11" s="9" t="s">
        <v>541</v>
      </c>
      <c r="B11" s="10" t="s">
        <v>571</v>
      </c>
      <c r="C11" s="10">
        <v>0</v>
      </c>
      <c r="D11" s="10" t="s">
        <v>91</v>
      </c>
      <c r="E11" s="10"/>
      <c r="F11" s="10"/>
      <c r="G11" s="10"/>
      <c r="H11" s="10" t="s">
        <v>52</v>
      </c>
      <c r="I11" s="10">
        <v>2</v>
      </c>
      <c r="J11" s="10" t="s">
        <v>601</v>
      </c>
      <c r="K11" s="10" t="s">
        <v>42</v>
      </c>
      <c r="L11" s="10">
        <f>Table1[[#This Row],[ENR]]-Table1[[#This Row],[CREDIT]]</f>
        <v>12484.150000000023</v>
      </c>
      <c r="M11" s="36">
        <v>383000</v>
      </c>
      <c r="N11" s="26">
        <v>395484.15</v>
      </c>
      <c r="O11" s="38">
        <v>75986.86</v>
      </c>
      <c r="P11" s="25">
        <v>319497.28999999998</v>
      </c>
      <c r="Q11" s="25">
        <v>301387.11</v>
      </c>
      <c r="R11" s="10">
        <v>83390</v>
      </c>
      <c r="S11" s="39">
        <v>46939</v>
      </c>
      <c r="T11" s="10" t="s">
        <v>57</v>
      </c>
      <c r="U11" s="10" t="s">
        <v>13</v>
      </c>
      <c r="V11" s="10">
        <v>319497.28999999998</v>
      </c>
      <c r="W11" s="25">
        <f>Table1[[#This Row],[STAB]]-Table1[[#This Row],[AMOUNT]]</f>
        <v>-272558.28999999998</v>
      </c>
      <c r="X11" s="10" t="s">
        <v>739</v>
      </c>
      <c r="Y11" s="10" t="s">
        <v>402</v>
      </c>
      <c r="Z11" s="10" t="s">
        <v>403</v>
      </c>
      <c r="AA11" s="10" t="s">
        <v>113</v>
      </c>
      <c r="AB11" s="36" t="s">
        <v>132</v>
      </c>
      <c r="AC11" s="10"/>
      <c r="AD11" s="10" t="s">
        <v>632</v>
      </c>
      <c r="AE11" s="10" t="s">
        <v>662</v>
      </c>
      <c r="AF11" s="10" t="s">
        <v>280</v>
      </c>
      <c r="AG11" s="10" t="s">
        <v>54</v>
      </c>
      <c r="AH11" s="10" t="s">
        <v>89</v>
      </c>
      <c r="AI11" s="10" t="s">
        <v>106</v>
      </c>
      <c r="AJ11" s="10">
        <v>802370852</v>
      </c>
      <c r="AK11" s="10" t="s">
        <v>105</v>
      </c>
      <c r="AL11" s="10"/>
      <c r="AM11" s="10"/>
      <c r="AN11" s="11" t="s">
        <v>390</v>
      </c>
      <c r="AO11" s="10"/>
      <c r="AP11" s="10"/>
      <c r="AQ11" s="10"/>
      <c r="AR11" s="2">
        <v>45463</v>
      </c>
      <c r="AS11" s="10">
        <v>39000</v>
      </c>
      <c r="AT11" s="10" t="s">
        <v>689</v>
      </c>
      <c r="AU11" s="10" t="s">
        <v>691</v>
      </c>
      <c r="AV11" s="36" t="s">
        <v>699</v>
      </c>
      <c r="AW11" s="1">
        <v>46193</v>
      </c>
    </row>
    <row r="12" spans="1:49" x14ac:dyDescent="0.25">
      <c r="A12" s="9" t="s">
        <v>171</v>
      </c>
      <c r="B12" s="10" t="s">
        <v>198</v>
      </c>
      <c r="C12" s="10">
        <v>0</v>
      </c>
      <c r="D12" s="10" t="s">
        <v>91</v>
      </c>
      <c r="E12" s="10"/>
      <c r="F12" s="10"/>
      <c r="G12" s="10"/>
      <c r="H12" s="10" t="s">
        <v>52</v>
      </c>
      <c r="I12" s="10">
        <v>2</v>
      </c>
      <c r="J12" s="10" t="s">
        <v>225</v>
      </c>
      <c r="K12" s="10" t="s">
        <v>42</v>
      </c>
      <c r="L12" s="10">
        <f>Table1[[#This Row],[ENR]]-Table1[[#This Row],[CREDIT]]</f>
        <v>-110181.32</v>
      </c>
      <c r="M12" s="36">
        <v>500000</v>
      </c>
      <c r="N12" s="26">
        <v>389818.68</v>
      </c>
      <c r="O12" s="38">
        <v>227684.03</v>
      </c>
      <c r="P12" s="25">
        <v>162134.65</v>
      </c>
      <c r="Q12" s="25">
        <v>142393.76</v>
      </c>
      <c r="R12" s="10">
        <v>71720</v>
      </c>
      <c r="S12" s="39">
        <v>31560</v>
      </c>
      <c r="T12" s="10" t="s">
        <v>44</v>
      </c>
      <c r="U12" s="10" t="s">
        <v>45</v>
      </c>
      <c r="V12" s="10">
        <v>0</v>
      </c>
      <c r="W12" s="25">
        <f>Table1[[#This Row],[STAB]]-Table1[[#This Row],[AMOUNT]]</f>
        <v>31560</v>
      </c>
      <c r="X12" s="10">
        <v>0</v>
      </c>
      <c r="Y12" s="10" t="s">
        <v>79</v>
      </c>
      <c r="Z12" s="10">
        <v>0</v>
      </c>
      <c r="AA12" s="10" t="s">
        <v>113</v>
      </c>
      <c r="AB12" s="36" t="s">
        <v>374</v>
      </c>
      <c r="AC12" s="10" t="s">
        <v>527</v>
      </c>
      <c r="AD12" s="10" t="s">
        <v>326</v>
      </c>
      <c r="AE12" s="10" t="s">
        <v>253</v>
      </c>
      <c r="AF12" s="10" t="s">
        <v>85</v>
      </c>
      <c r="AG12" s="10" t="s">
        <v>54</v>
      </c>
      <c r="AH12" s="10" t="s">
        <v>93</v>
      </c>
      <c r="AI12" s="10" t="s">
        <v>364</v>
      </c>
      <c r="AJ12" s="10">
        <v>802663344</v>
      </c>
      <c r="AK12" s="10" t="s">
        <v>105</v>
      </c>
      <c r="AL12" s="10"/>
      <c r="AM12" s="10"/>
      <c r="AN12" s="11" t="s">
        <v>390</v>
      </c>
      <c r="AO12" s="10" t="s">
        <v>392</v>
      </c>
      <c r="AP12" s="10" t="s">
        <v>1964</v>
      </c>
      <c r="AQ12" s="10" t="s">
        <v>1961</v>
      </c>
      <c r="AR12" s="2">
        <v>46073</v>
      </c>
      <c r="AS12" s="10">
        <v>25690</v>
      </c>
      <c r="AT12" s="10" t="s">
        <v>48</v>
      </c>
      <c r="AU12" s="10" t="s">
        <v>295</v>
      </c>
      <c r="AV12" s="36" t="s">
        <v>304</v>
      </c>
      <c r="AW12" s="1">
        <v>46193</v>
      </c>
    </row>
    <row r="13" spans="1:49" x14ac:dyDescent="0.25">
      <c r="A13" s="9" t="s">
        <v>107</v>
      </c>
      <c r="B13" s="10" t="s">
        <v>108</v>
      </c>
      <c r="C13" s="10">
        <v>0</v>
      </c>
      <c r="D13" s="10" t="s">
        <v>91</v>
      </c>
      <c r="E13" s="10"/>
      <c r="F13" s="10"/>
      <c r="G13" s="10"/>
      <c r="H13" s="10" t="s">
        <v>84</v>
      </c>
      <c r="I13" s="10">
        <v>2</v>
      </c>
      <c r="J13" s="10" t="s">
        <v>109</v>
      </c>
      <c r="K13" s="10" t="s">
        <v>42</v>
      </c>
      <c r="L13" s="10">
        <f>Table1[[#This Row],[ENR]]-Table1[[#This Row],[CREDIT]]</f>
        <v>-102340.89000000001</v>
      </c>
      <c r="M13" s="36">
        <v>450000</v>
      </c>
      <c r="N13" s="26">
        <v>347659.11</v>
      </c>
      <c r="O13" s="38">
        <v>61523.54</v>
      </c>
      <c r="P13" s="25">
        <v>286135.57</v>
      </c>
      <c r="Q13" s="25">
        <v>269932.78999999998</v>
      </c>
      <c r="R13" s="25">
        <v>60590</v>
      </c>
      <c r="S13" s="39">
        <v>37700</v>
      </c>
      <c r="T13" s="10" t="s">
        <v>44</v>
      </c>
      <c r="U13" s="10" t="s">
        <v>45</v>
      </c>
      <c r="V13" s="10">
        <v>0</v>
      </c>
      <c r="W13" s="25">
        <f>Table1[[#This Row],[STAB]]-Table1[[#This Row],[AMOUNT]]</f>
        <v>37700</v>
      </c>
      <c r="X13" s="10">
        <v>0</v>
      </c>
      <c r="Y13" s="10" t="s">
        <v>79</v>
      </c>
      <c r="Z13" s="10">
        <v>0</v>
      </c>
      <c r="AA13" s="10" t="s">
        <v>113</v>
      </c>
      <c r="AB13" s="36" t="s">
        <v>132</v>
      </c>
      <c r="AC13" s="10" t="s">
        <v>527</v>
      </c>
      <c r="AD13" s="10" t="s">
        <v>110</v>
      </c>
      <c r="AE13" s="10" t="s">
        <v>124</v>
      </c>
      <c r="AF13" s="10" t="s">
        <v>85</v>
      </c>
      <c r="AG13" s="10" t="s">
        <v>54</v>
      </c>
      <c r="AH13" s="10" t="s">
        <v>89</v>
      </c>
      <c r="AI13" s="10" t="s">
        <v>106</v>
      </c>
      <c r="AJ13" s="10">
        <v>802370852</v>
      </c>
      <c r="AK13" s="10" t="s">
        <v>105</v>
      </c>
      <c r="AL13" s="10"/>
      <c r="AM13" s="10"/>
      <c r="AN13" s="11" t="s">
        <v>390</v>
      </c>
      <c r="AO13" s="10" t="s">
        <v>392</v>
      </c>
      <c r="AP13" s="10" t="s">
        <v>391</v>
      </c>
      <c r="AQ13" s="10" t="s">
        <v>393</v>
      </c>
      <c r="AR13" s="2" t="s">
        <v>43</v>
      </c>
      <c r="AS13" s="10">
        <v>0</v>
      </c>
      <c r="AT13" s="10" t="s">
        <v>48</v>
      </c>
      <c r="AU13" s="10" t="s">
        <v>126</v>
      </c>
      <c r="AV13" s="36" t="s">
        <v>129</v>
      </c>
      <c r="AW13" s="1">
        <v>46193</v>
      </c>
    </row>
    <row r="14" spans="1:49" x14ac:dyDescent="0.25">
      <c r="A14" s="9" t="s">
        <v>101</v>
      </c>
      <c r="B14" s="10" t="s">
        <v>102</v>
      </c>
      <c r="C14" s="10">
        <v>0</v>
      </c>
      <c r="D14" s="10" t="s">
        <v>91</v>
      </c>
      <c r="E14" s="10"/>
      <c r="F14" s="10"/>
      <c r="G14" s="10"/>
      <c r="H14" s="10" t="s">
        <v>84</v>
      </c>
      <c r="I14" s="10">
        <v>2</v>
      </c>
      <c r="J14" s="10" t="s">
        <v>103</v>
      </c>
      <c r="K14" s="10" t="s">
        <v>42</v>
      </c>
      <c r="L14" s="10">
        <f>Table1[[#This Row],[ENR]]-Table1[[#This Row],[CREDIT]]</f>
        <v>-126859.65000000002</v>
      </c>
      <c r="M14" s="36">
        <v>460000</v>
      </c>
      <c r="N14" s="26">
        <v>333140.34999999998</v>
      </c>
      <c r="O14" s="38">
        <v>233172.83</v>
      </c>
      <c r="P14" s="25">
        <v>99967.52</v>
      </c>
      <c r="Q14" s="25">
        <v>89605.71</v>
      </c>
      <c r="R14" s="25">
        <v>56710</v>
      </c>
      <c r="S14" s="39">
        <v>28290</v>
      </c>
      <c r="T14" s="10" t="s">
        <v>57</v>
      </c>
      <c r="U14" s="10" t="s">
        <v>14</v>
      </c>
      <c r="V14" s="25">
        <v>29000</v>
      </c>
      <c r="W14" s="25">
        <f>Table1[[#This Row],[STAB]]-Table1[[#This Row],[AMOUNT]]</f>
        <v>-710</v>
      </c>
      <c r="X14" s="10" t="s">
        <v>1401</v>
      </c>
      <c r="Y14" s="10" t="s">
        <v>402</v>
      </c>
      <c r="Z14" s="10" t="s">
        <v>403</v>
      </c>
      <c r="AA14" s="10" t="s">
        <v>113</v>
      </c>
      <c r="AB14" s="10" t="s">
        <v>133</v>
      </c>
      <c r="AC14" s="10" t="s">
        <v>527</v>
      </c>
      <c r="AD14" s="10" t="s">
        <v>121</v>
      </c>
      <c r="AE14" s="10" t="s">
        <v>123</v>
      </c>
      <c r="AF14" s="10" t="s">
        <v>100</v>
      </c>
      <c r="AG14" s="10" t="s">
        <v>80</v>
      </c>
      <c r="AH14" s="10" t="s">
        <v>115</v>
      </c>
      <c r="AI14" s="10" t="s">
        <v>368</v>
      </c>
      <c r="AJ14" s="10">
        <v>802823175</v>
      </c>
      <c r="AK14" s="10" t="s">
        <v>105</v>
      </c>
      <c r="AL14" s="10"/>
      <c r="AM14" s="10"/>
      <c r="AN14" s="11" t="s">
        <v>390</v>
      </c>
      <c r="AO14" s="10" t="s">
        <v>392</v>
      </c>
      <c r="AP14" s="10" t="s">
        <v>863</v>
      </c>
      <c r="AQ14" s="10" t="s">
        <v>855</v>
      </c>
      <c r="AR14" s="2" t="s">
        <v>43</v>
      </c>
      <c r="AS14" s="10">
        <v>0</v>
      </c>
      <c r="AT14" s="10" t="s">
        <v>96</v>
      </c>
      <c r="AU14" s="10" t="s">
        <v>126</v>
      </c>
      <c r="AV14" s="36" t="s">
        <v>128</v>
      </c>
      <c r="AW14" s="1">
        <v>46193</v>
      </c>
    </row>
    <row r="15" spans="1:49" x14ac:dyDescent="0.25">
      <c r="A15" s="9" t="s">
        <v>534</v>
      </c>
      <c r="B15" s="10" t="s">
        <v>564</v>
      </c>
      <c r="C15" s="10">
        <v>0</v>
      </c>
      <c r="D15" s="10" t="s">
        <v>91</v>
      </c>
      <c r="E15" s="10"/>
      <c r="F15" s="10"/>
      <c r="G15" s="10"/>
      <c r="H15" s="10" t="s">
        <v>52</v>
      </c>
      <c r="I15" s="10">
        <v>2</v>
      </c>
      <c r="J15" s="10" t="s">
        <v>594</v>
      </c>
      <c r="K15" s="10" t="s">
        <v>42</v>
      </c>
      <c r="L15" s="10">
        <f>Table1[[#This Row],[ENR]]-Table1[[#This Row],[CREDIT]]</f>
        <v>11916.020000000019</v>
      </c>
      <c r="M15" s="36">
        <v>290000</v>
      </c>
      <c r="N15" s="26">
        <v>301916.02</v>
      </c>
      <c r="O15" s="38">
        <v>1857.1</v>
      </c>
      <c r="P15" s="25">
        <v>300058.92</v>
      </c>
      <c r="Q15" s="25">
        <v>284892.34000000003</v>
      </c>
      <c r="R15" s="10">
        <v>70580</v>
      </c>
      <c r="S15" s="39">
        <v>42940</v>
      </c>
      <c r="T15" s="10" t="s">
        <v>57</v>
      </c>
      <c r="U15" s="10" t="s">
        <v>14</v>
      </c>
      <c r="V15" s="25">
        <v>43000</v>
      </c>
      <c r="W15" s="25">
        <f>Table1[[#This Row],[STAB]]-Table1[[#This Row],[AMOUNT]]</f>
        <v>-60</v>
      </c>
      <c r="X15" s="10" t="s">
        <v>1401</v>
      </c>
      <c r="Y15" s="10" t="s">
        <v>402</v>
      </c>
      <c r="Z15" s="10" t="s">
        <v>403</v>
      </c>
      <c r="AA15" s="10" t="s">
        <v>113</v>
      </c>
      <c r="AB15" s="10" t="s">
        <v>133</v>
      </c>
      <c r="AC15" s="10"/>
      <c r="AD15" s="10" t="s">
        <v>625</v>
      </c>
      <c r="AE15" s="10" t="s">
        <v>655</v>
      </c>
      <c r="AF15" s="10" t="s">
        <v>275</v>
      </c>
      <c r="AG15" s="10" t="s">
        <v>80</v>
      </c>
      <c r="AH15" s="10" t="s">
        <v>87</v>
      </c>
      <c r="AI15" s="10" t="s">
        <v>368</v>
      </c>
      <c r="AJ15" s="10">
        <v>802823175</v>
      </c>
      <c r="AK15" s="10" t="s">
        <v>105</v>
      </c>
      <c r="AL15" s="10"/>
      <c r="AM15" s="10"/>
      <c r="AN15" s="11" t="s">
        <v>390</v>
      </c>
      <c r="AO15" s="10" t="s">
        <v>398</v>
      </c>
      <c r="AP15" s="10" t="s">
        <v>960</v>
      </c>
      <c r="AQ15" s="10" t="s">
        <v>959</v>
      </c>
      <c r="AR15" s="2">
        <v>45864</v>
      </c>
      <c r="AS15" s="10">
        <v>62490</v>
      </c>
      <c r="AT15" s="10" t="s">
        <v>688</v>
      </c>
      <c r="AU15" s="10" t="s">
        <v>691</v>
      </c>
      <c r="AV15" s="36" t="s">
        <v>692</v>
      </c>
      <c r="AW15" s="1">
        <v>46193</v>
      </c>
    </row>
    <row r="16" spans="1:49" x14ac:dyDescent="0.25">
      <c r="A16" s="9" t="s">
        <v>165</v>
      </c>
      <c r="B16" s="10" t="s">
        <v>192</v>
      </c>
      <c r="C16" s="10">
        <v>0</v>
      </c>
      <c r="D16" s="10" t="s">
        <v>91</v>
      </c>
      <c r="E16" s="10"/>
      <c r="F16" s="10"/>
      <c r="G16" s="10"/>
      <c r="H16" s="10" t="s">
        <v>52</v>
      </c>
      <c r="I16" s="10">
        <v>2</v>
      </c>
      <c r="J16" s="10" t="s">
        <v>219</v>
      </c>
      <c r="K16" s="10" t="s">
        <v>42</v>
      </c>
      <c r="L16" s="10">
        <f>Table1[[#This Row],[ENR]]-Table1[[#This Row],[CREDIT]]</f>
        <v>-8731.25</v>
      </c>
      <c r="M16" s="36">
        <v>300000</v>
      </c>
      <c r="N16" s="26">
        <v>291268.75</v>
      </c>
      <c r="O16" s="38" t="s">
        <v>43</v>
      </c>
      <c r="P16" s="25">
        <v>291268.75</v>
      </c>
      <c r="Q16" s="25">
        <v>265787.75</v>
      </c>
      <c r="R16" s="10">
        <v>42530</v>
      </c>
      <c r="S16" s="39">
        <v>15470</v>
      </c>
      <c r="T16" s="10" t="s">
        <v>57</v>
      </c>
      <c r="U16" s="10" t="s">
        <v>13</v>
      </c>
      <c r="V16" s="10">
        <v>291268.75</v>
      </c>
      <c r="W16" s="25">
        <f>Table1[[#This Row],[STAB]]-Table1[[#This Row],[AMOUNT]]</f>
        <v>-275798.75</v>
      </c>
      <c r="X16" s="10" t="s">
        <v>959</v>
      </c>
      <c r="Y16" s="10" t="s">
        <v>402</v>
      </c>
      <c r="Z16" s="10" t="s">
        <v>403</v>
      </c>
      <c r="AA16" s="10" t="s">
        <v>113</v>
      </c>
      <c r="AB16" s="36" t="s">
        <v>375</v>
      </c>
      <c r="AC16" s="10" t="s">
        <v>527</v>
      </c>
      <c r="AD16" s="10" t="s">
        <v>327</v>
      </c>
      <c r="AE16" s="10" t="s">
        <v>247</v>
      </c>
      <c r="AF16" s="10" t="s">
        <v>274</v>
      </c>
      <c r="AG16" s="10" t="s">
        <v>53</v>
      </c>
      <c r="AH16" s="10" t="s">
        <v>55</v>
      </c>
      <c r="AI16" s="10" t="s">
        <v>365</v>
      </c>
      <c r="AJ16" s="10">
        <v>802824019</v>
      </c>
      <c r="AK16" s="10" t="s">
        <v>360</v>
      </c>
      <c r="AL16" s="10"/>
      <c r="AM16" s="10"/>
      <c r="AN16" s="11" t="s">
        <v>390</v>
      </c>
      <c r="AO16" s="10" t="s">
        <v>392</v>
      </c>
      <c r="AP16" s="10" t="s">
        <v>958</v>
      </c>
      <c r="AQ16" s="10" t="s">
        <v>959</v>
      </c>
      <c r="AR16" s="2" t="s">
        <v>43</v>
      </c>
      <c r="AS16" s="10">
        <v>0</v>
      </c>
      <c r="AT16" s="10" t="s">
        <v>96</v>
      </c>
      <c r="AU16" s="10" t="s">
        <v>295</v>
      </c>
      <c r="AV16" s="36" t="s">
        <v>298</v>
      </c>
      <c r="AW16" s="1">
        <v>46193</v>
      </c>
    </row>
    <row r="17" spans="1:49" x14ac:dyDescent="0.25">
      <c r="A17" s="9" t="s">
        <v>167</v>
      </c>
      <c r="B17" s="10" t="s">
        <v>194</v>
      </c>
      <c r="C17" s="10">
        <v>0</v>
      </c>
      <c r="D17" s="10" t="s">
        <v>91</v>
      </c>
      <c r="E17" s="10"/>
      <c r="F17" s="10"/>
      <c r="G17" s="10"/>
      <c r="H17" s="10" t="s">
        <v>52</v>
      </c>
      <c r="I17" s="10">
        <v>2</v>
      </c>
      <c r="J17" s="10" t="s">
        <v>221</v>
      </c>
      <c r="K17" s="10" t="s">
        <v>42</v>
      </c>
      <c r="L17" s="10">
        <f>Table1[[#This Row],[ENR]]-Table1[[#This Row],[CREDIT]]</f>
        <v>-106837.65</v>
      </c>
      <c r="M17" s="36">
        <v>360000</v>
      </c>
      <c r="N17" s="26">
        <v>253162.35</v>
      </c>
      <c r="O17" s="38">
        <v>93928.77</v>
      </c>
      <c r="P17" s="25">
        <v>159233.57999999999</v>
      </c>
      <c r="Q17" s="25">
        <v>142952.07</v>
      </c>
      <c r="R17" s="10">
        <v>35800</v>
      </c>
      <c r="S17" s="39">
        <v>14230</v>
      </c>
      <c r="T17" s="10" t="s">
        <v>57</v>
      </c>
      <c r="U17" s="10" t="s">
        <v>13</v>
      </c>
      <c r="V17" s="10">
        <v>35801</v>
      </c>
      <c r="W17" s="25">
        <f>Table1[[#This Row],[STAB]]-Table1[[#This Row],[AMOUNT]]</f>
        <v>-21571</v>
      </c>
      <c r="X17" s="10" t="s">
        <v>730</v>
      </c>
      <c r="Y17" s="10" t="s">
        <v>402</v>
      </c>
      <c r="Z17" s="10" t="s">
        <v>403</v>
      </c>
      <c r="AA17" s="10" t="s">
        <v>113</v>
      </c>
      <c r="AB17" s="10" t="s">
        <v>133</v>
      </c>
      <c r="AC17" s="10" t="s">
        <v>527</v>
      </c>
      <c r="AD17" s="10" t="s">
        <v>328</v>
      </c>
      <c r="AE17" s="10" t="s">
        <v>249</v>
      </c>
      <c r="AF17" s="10" t="s">
        <v>276</v>
      </c>
      <c r="AG17" s="10" t="s">
        <v>324</v>
      </c>
      <c r="AH17" s="10" t="s">
        <v>353</v>
      </c>
      <c r="AI17" s="10" t="s">
        <v>365</v>
      </c>
      <c r="AJ17" s="10">
        <v>802824019</v>
      </c>
      <c r="AK17" s="10" t="s">
        <v>360</v>
      </c>
      <c r="AL17" s="10"/>
      <c r="AM17" s="10"/>
      <c r="AN17" s="11" t="s">
        <v>390</v>
      </c>
      <c r="AO17" s="10"/>
      <c r="AP17" s="10"/>
      <c r="AQ17" s="10"/>
      <c r="AR17" s="2">
        <v>46106</v>
      </c>
      <c r="AS17" s="10">
        <v>15000</v>
      </c>
      <c r="AT17" s="10" t="s">
        <v>48</v>
      </c>
      <c r="AU17" s="10" t="s">
        <v>295</v>
      </c>
      <c r="AV17" s="36" t="s">
        <v>300</v>
      </c>
      <c r="AW17" s="1">
        <v>46193</v>
      </c>
    </row>
    <row r="18" spans="1:49" x14ac:dyDescent="0.25">
      <c r="A18" s="9" t="s">
        <v>563</v>
      </c>
      <c r="B18" s="10" t="s">
        <v>593</v>
      </c>
      <c r="C18" s="10">
        <v>0</v>
      </c>
      <c r="D18" s="10" t="s">
        <v>91</v>
      </c>
      <c r="E18" s="10"/>
      <c r="F18" s="10"/>
      <c r="G18" s="10"/>
      <c r="H18" s="10" t="s">
        <v>52</v>
      </c>
      <c r="I18" s="10">
        <v>2</v>
      </c>
      <c r="J18" s="10" t="s">
        <v>623</v>
      </c>
      <c r="K18" s="10" t="s">
        <v>42</v>
      </c>
      <c r="L18" s="10">
        <f>Table1[[#This Row],[ENR]]-Table1[[#This Row],[CREDIT]]</f>
        <v>5984.2799999999988</v>
      </c>
      <c r="M18" s="36">
        <v>240000</v>
      </c>
      <c r="N18" s="26">
        <v>245984.28</v>
      </c>
      <c r="O18" s="38" t="s">
        <v>43</v>
      </c>
      <c r="P18" s="25">
        <v>245984.28</v>
      </c>
      <c r="Q18" s="25">
        <v>221848.63</v>
      </c>
      <c r="R18" s="10">
        <v>42010</v>
      </c>
      <c r="S18" s="39">
        <v>13320</v>
      </c>
      <c r="T18" s="10" t="s">
        <v>57</v>
      </c>
      <c r="U18" s="10" t="s">
        <v>13</v>
      </c>
      <c r="V18" s="10">
        <v>245984.28</v>
      </c>
      <c r="W18" s="25">
        <f>Table1[[#This Row],[STAB]]-Table1[[#This Row],[AMOUNT]]</f>
        <v>-232664.28</v>
      </c>
      <c r="X18" s="10" t="s">
        <v>855</v>
      </c>
      <c r="Y18" s="10" t="s">
        <v>402</v>
      </c>
      <c r="Z18" s="10" t="s">
        <v>403</v>
      </c>
      <c r="AA18" s="10" t="s">
        <v>113</v>
      </c>
      <c r="AB18" s="36" t="s">
        <v>374</v>
      </c>
      <c r="AC18" s="10"/>
      <c r="AD18" s="10" t="s">
        <v>654</v>
      </c>
      <c r="AE18" s="10" t="s">
        <v>684</v>
      </c>
      <c r="AF18" s="10" t="s">
        <v>283</v>
      </c>
      <c r="AG18" s="10" t="s">
        <v>53</v>
      </c>
      <c r="AH18" s="10" t="s">
        <v>356</v>
      </c>
      <c r="AI18" s="10" t="s">
        <v>369</v>
      </c>
      <c r="AJ18" s="10">
        <v>802823180</v>
      </c>
      <c r="AK18" s="10" t="s">
        <v>105</v>
      </c>
      <c r="AL18" s="10"/>
      <c r="AM18" s="10"/>
      <c r="AN18" s="11" t="s">
        <v>390</v>
      </c>
      <c r="AO18" s="10"/>
      <c r="AP18" s="10"/>
      <c r="AQ18" s="10"/>
      <c r="AR18" s="2" t="s">
        <v>43</v>
      </c>
      <c r="AS18" s="10">
        <v>0</v>
      </c>
      <c r="AT18" s="10" t="s">
        <v>48</v>
      </c>
      <c r="AU18" s="10" t="s">
        <v>691</v>
      </c>
      <c r="AV18" s="36" t="s">
        <v>721</v>
      </c>
      <c r="AW18" s="1">
        <v>46193</v>
      </c>
    </row>
    <row r="19" spans="1:49" x14ac:dyDescent="0.25">
      <c r="A19" s="9" t="s">
        <v>174</v>
      </c>
      <c r="B19" s="10" t="s">
        <v>201</v>
      </c>
      <c r="C19" s="10">
        <v>0</v>
      </c>
      <c r="D19" s="10" t="s">
        <v>91</v>
      </c>
      <c r="E19" s="10"/>
      <c r="F19" s="10"/>
      <c r="G19" s="10"/>
      <c r="H19" s="10" t="s">
        <v>52</v>
      </c>
      <c r="I19" s="10">
        <v>2</v>
      </c>
      <c r="J19" s="10" t="s">
        <v>228</v>
      </c>
      <c r="K19" s="10" t="s">
        <v>42</v>
      </c>
      <c r="L19" s="10">
        <f>Table1[[#This Row],[ENR]]-Table1[[#This Row],[CREDIT]]</f>
        <v>17738</v>
      </c>
      <c r="M19" s="36">
        <v>220000</v>
      </c>
      <c r="N19" s="26">
        <v>237738</v>
      </c>
      <c r="O19" s="38" t="s">
        <v>43</v>
      </c>
      <c r="P19" s="25">
        <v>237738</v>
      </c>
      <c r="Q19" s="25">
        <v>214795</v>
      </c>
      <c r="R19" s="10">
        <v>53670</v>
      </c>
      <c r="S19" s="39">
        <v>20830</v>
      </c>
      <c r="T19" s="10" t="s">
        <v>44</v>
      </c>
      <c r="U19" s="10" t="s">
        <v>45</v>
      </c>
      <c r="V19" s="10">
        <v>0</v>
      </c>
      <c r="W19" s="25">
        <f>Table1[[#This Row],[STAB]]-Table1[[#This Row],[AMOUNT]]</f>
        <v>20830</v>
      </c>
      <c r="X19" s="10">
        <v>0</v>
      </c>
      <c r="Y19" s="10" t="s">
        <v>79</v>
      </c>
      <c r="Z19" s="10" t="s">
        <v>403</v>
      </c>
      <c r="AA19" s="10" t="s">
        <v>113</v>
      </c>
      <c r="AB19" s="41" t="s">
        <v>376</v>
      </c>
      <c r="AC19" s="10" t="s">
        <v>527</v>
      </c>
      <c r="AD19" s="10" t="s">
        <v>329</v>
      </c>
      <c r="AE19" s="10" t="s">
        <v>256</v>
      </c>
      <c r="AF19" s="10" t="s">
        <v>281</v>
      </c>
      <c r="AG19" s="10" t="s">
        <v>54</v>
      </c>
      <c r="AH19" s="10" t="s">
        <v>58</v>
      </c>
      <c r="AI19" s="10" t="s">
        <v>133</v>
      </c>
      <c r="AJ19" s="10">
        <v>802555024</v>
      </c>
      <c r="AK19" s="10" t="s">
        <v>362</v>
      </c>
      <c r="AL19" s="10"/>
      <c r="AM19" s="10"/>
      <c r="AN19" s="11" t="s">
        <v>390</v>
      </c>
      <c r="AO19" s="10" t="s">
        <v>392</v>
      </c>
      <c r="AP19" s="10" t="s">
        <v>405</v>
      </c>
      <c r="AQ19" s="10" t="s">
        <v>400</v>
      </c>
      <c r="AR19" s="2">
        <v>46055</v>
      </c>
      <c r="AS19" s="10">
        <v>41467</v>
      </c>
      <c r="AT19" s="10" t="s">
        <v>289</v>
      </c>
      <c r="AU19" s="10" t="s">
        <v>295</v>
      </c>
      <c r="AV19" s="36" t="s">
        <v>307</v>
      </c>
      <c r="AW19" s="1">
        <v>46193</v>
      </c>
    </row>
    <row r="20" spans="1:49" x14ac:dyDescent="0.25">
      <c r="A20" s="9" t="s">
        <v>562</v>
      </c>
      <c r="B20" s="10" t="s">
        <v>592</v>
      </c>
      <c r="C20" s="10" t="s">
        <v>97</v>
      </c>
      <c r="D20" s="10" t="s">
        <v>91</v>
      </c>
      <c r="E20" s="10"/>
      <c r="F20" s="10"/>
      <c r="G20" s="10"/>
      <c r="H20" s="10" t="s">
        <v>52</v>
      </c>
      <c r="I20" s="10">
        <v>2</v>
      </c>
      <c r="J20" s="10" t="s">
        <v>622</v>
      </c>
      <c r="K20" s="10" t="s">
        <v>42</v>
      </c>
      <c r="L20" s="10">
        <f>Table1[[#This Row],[ENR]]-Table1[[#This Row],[CREDIT]]</f>
        <v>-2417.179999999993</v>
      </c>
      <c r="M20" s="36">
        <v>240000</v>
      </c>
      <c r="N20" s="26">
        <v>237582.82</v>
      </c>
      <c r="O20" s="38" t="s">
        <v>43</v>
      </c>
      <c r="P20" s="25">
        <v>237582.82</v>
      </c>
      <c r="Q20" s="25">
        <v>214883.09</v>
      </c>
      <c r="R20" s="10">
        <v>36350</v>
      </c>
      <c r="S20" s="39">
        <v>14150</v>
      </c>
      <c r="T20" s="10" t="s">
        <v>57</v>
      </c>
      <c r="U20" s="10" t="s">
        <v>13</v>
      </c>
      <c r="V20" s="10">
        <v>138350</v>
      </c>
      <c r="W20" s="25">
        <f>Table1[[#This Row],[STAB]]-Table1[[#This Row],[AMOUNT]]</f>
        <v>-124200</v>
      </c>
      <c r="X20" s="10" t="s">
        <v>959</v>
      </c>
      <c r="Y20" s="10" t="s">
        <v>402</v>
      </c>
      <c r="Z20" s="10" t="s">
        <v>962</v>
      </c>
      <c r="AA20" s="10" t="s">
        <v>113</v>
      </c>
      <c r="AB20" s="41" t="s">
        <v>376</v>
      </c>
      <c r="AC20" s="10"/>
      <c r="AD20" s="10" t="s">
        <v>653</v>
      </c>
      <c r="AE20" s="10" t="s">
        <v>683</v>
      </c>
      <c r="AF20" s="10" t="s">
        <v>687</v>
      </c>
      <c r="AG20" s="10" t="s">
        <v>53</v>
      </c>
      <c r="AH20" s="10" t="s">
        <v>83</v>
      </c>
      <c r="AI20" s="10" t="s">
        <v>728</v>
      </c>
      <c r="AJ20" s="10">
        <v>802349062</v>
      </c>
      <c r="AK20" s="10" t="s">
        <v>104</v>
      </c>
      <c r="AL20" s="10"/>
      <c r="AM20" s="10"/>
      <c r="AN20" s="11" t="s">
        <v>390</v>
      </c>
      <c r="AO20" s="10"/>
      <c r="AP20" s="10"/>
      <c r="AQ20" s="10"/>
      <c r="AR20" s="2">
        <v>46083</v>
      </c>
      <c r="AS20" s="10">
        <v>12000</v>
      </c>
      <c r="AT20" s="10" t="s">
        <v>48</v>
      </c>
      <c r="AU20" s="10" t="s">
        <v>691</v>
      </c>
      <c r="AV20" s="36" t="s">
        <v>720</v>
      </c>
      <c r="AW20" s="1">
        <v>46193</v>
      </c>
    </row>
    <row r="21" spans="1:49" x14ac:dyDescent="0.25">
      <c r="A21" s="9" t="s">
        <v>560</v>
      </c>
      <c r="B21" s="10" t="s">
        <v>590</v>
      </c>
      <c r="C21" s="10">
        <v>0</v>
      </c>
      <c r="D21" s="10" t="s">
        <v>91</v>
      </c>
      <c r="E21" s="10"/>
      <c r="F21" s="10"/>
      <c r="G21" s="10"/>
      <c r="H21" s="10" t="s">
        <v>52</v>
      </c>
      <c r="I21" s="10">
        <v>2</v>
      </c>
      <c r="J21" s="10" t="s">
        <v>620</v>
      </c>
      <c r="K21" s="10" t="s">
        <v>42</v>
      </c>
      <c r="L21" s="10">
        <f>Table1[[#This Row],[ENR]]-Table1[[#This Row],[CREDIT]]</f>
        <v>-198252.76</v>
      </c>
      <c r="M21" s="36">
        <v>430000</v>
      </c>
      <c r="N21" s="26">
        <v>231747.24</v>
      </c>
      <c r="O21" s="38" t="s">
        <v>43</v>
      </c>
      <c r="P21" s="25">
        <v>231747.24</v>
      </c>
      <c r="Q21" s="25">
        <v>215380</v>
      </c>
      <c r="R21" s="10">
        <v>37370</v>
      </c>
      <c r="S21" s="39">
        <v>10770</v>
      </c>
      <c r="T21" s="10" t="s">
        <v>44</v>
      </c>
      <c r="U21" s="10" t="s">
        <v>45</v>
      </c>
      <c r="V21" s="10">
        <v>0</v>
      </c>
      <c r="W21" s="25">
        <f>Table1[[#This Row],[STAB]]-Table1[[#This Row],[AMOUNT]]</f>
        <v>10770</v>
      </c>
      <c r="X21" s="10">
        <v>0</v>
      </c>
      <c r="Y21" s="10" t="s">
        <v>79</v>
      </c>
      <c r="Z21" s="10">
        <v>0</v>
      </c>
      <c r="AA21" s="10" t="s">
        <v>113</v>
      </c>
      <c r="AB21" s="36" t="s">
        <v>375</v>
      </c>
      <c r="AC21" s="10"/>
      <c r="AD21" s="10" t="s">
        <v>651</v>
      </c>
      <c r="AE21" s="10" t="s">
        <v>681</v>
      </c>
      <c r="AF21" s="10" t="s">
        <v>146</v>
      </c>
      <c r="AG21" s="10" t="s">
        <v>54</v>
      </c>
      <c r="AH21" s="10" t="s">
        <v>146</v>
      </c>
      <c r="AI21" s="10" t="s">
        <v>365</v>
      </c>
      <c r="AJ21" s="10">
        <v>802824019</v>
      </c>
      <c r="AK21" s="10" t="s">
        <v>360</v>
      </c>
      <c r="AL21" s="10"/>
      <c r="AM21" s="10"/>
      <c r="AN21" s="11" t="s">
        <v>46</v>
      </c>
      <c r="AO21" s="10"/>
      <c r="AP21" s="10"/>
      <c r="AQ21" s="10"/>
      <c r="AR21" s="2">
        <v>45397</v>
      </c>
      <c r="AS21" s="10">
        <v>1025</v>
      </c>
      <c r="AT21" s="10" t="s">
        <v>48</v>
      </c>
      <c r="AU21" s="10" t="s">
        <v>691</v>
      </c>
      <c r="AV21" s="36" t="s">
        <v>718</v>
      </c>
      <c r="AW21" s="1">
        <v>46193</v>
      </c>
    </row>
    <row r="22" spans="1:49" x14ac:dyDescent="0.25">
      <c r="A22" s="9" t="s">
        <v>559</v>
      </c>
      <c r="B22" s="10" t="s">
        <v>589</v>
      </c>
      <c r="C22" s="10">
        <v>0</v>
      </c>
      <c r="D22" s="10" t="s">
        <v>91</v>
      </c>
      <c r="E22" s="10">
        <v>1</v>
      </c>
      <c r="F22" s="10"/>
      <c r="G22" s="10"/>
      <c r="H22" s="10" t="s">
        <v>52</v>
      </c>
      <c r="I22" s="10">
        <v>2</v>
      </c>
      <c r="J22" s="10" t="s">
        <v>619</v>
      </c>
      <c r="K22" s="10" t="s">
        <v>42</v>
      </c>
      <c r="L22" s="10">
        <f>Table1[[#This Row],[ENR]]-Table1[[#This Row],[CREDIT]]</f>
        <v>-4859.0100000000093</v>
      </c>
      <c r="M22" s="36">
        <v>230000</v>
      </c>
      <c r="N22" s="26">
        <v>225140.99</v>
      </c>
      <c r="O22" s="38" t="s">
        <v>43</v>
      </c>
      <c r="P22" s="25">
        <v>225140.99</v>
      </c>
      <c r="Q22" s="25">
        <v>208994</v>
      </c>
      <c r="R22" s="10">
        <v>36530</v>
      </c>
      <c r="S22" s="39">
        <v>10450</v>
      </c>
      <c r="T22" s="10" t="s">
        <v>44</v>
      </c>
      <c r="U22" s="10" t="s">
        <v>45</v>
      </c>
      <c r="V22" s="10">
        <v>0</v>
      </c>
      <c r="W22" s="25">
        <f>Table1[[#This Row],[STAB]]-Table1[[#This Row],[AMOUNT]]</f>
        <v>10450</v>
      </c>
      <c r="X22" s="10">
        <v>0</v>
      </c>
      <c r="Y22" s="10" t="s">
        <v>79</v>
      </c>
      <c r="Z22" s="10">
        <v>0</v>
      </c>
      <c r="AA22" s="10" t="s">
        <v>113</v>
      </c>
      <c r="AB22" s="41" t="s">
        <v>376</v>
      </c>
      <c r="AC22" s="10"/>
      <c r="AD22" s="10" t="s">
        <v>650</v>
      </c>
      <c r="AE22" s="10" t="s">
        <v>680</v>
      </c>
      <c r="AF22" s="10" t="s">
        <v>278</v>
      </c>
      <c r="AG22" s="10" t="s">
        <v>54</v>
      </c>
      <c r="AH22" s="10" t="s">
        <v>86</v>
      </c>
      <c r="AI22" s="10" t="s">
        <v>368</v>
      </c>
      <c r="AJ22" s="10">
        <v>802823175</v>
      </c>
      <c r="AK22" s="10" t="s">
        <v>105</v>
      </c>
      <c r="AL22" s="10"/>
      <c r="AM22" s="10"/>
      <c r="AN22" s="11" t="s">
        <v>390</v>
      </c>
      <c r="AO22" s="10" t="s">
        <v>398</v>
      </c>
      <c r="AP22" s="10" t="s">
        <v>965</v>
      </c>
      <c r="AQ22" s="10" t="s">
        <v>959</v>
      </c>
      <c r="AR22" s="2" t="s">
        <v>43</v>
      </c>
      <c r="AS22" s="10">
        <v>0</v>
      </c>
      <c r="AT22" s="10" t="s">
        <v>48</v>
      </c>
      <c r="AU22" s="10" t="s">
        <v>691</v>
      </c>
      <c r="AV22" s="36" t="s">
        <v>717</v>
      </c>
      <c r="AW22" s="1">
        <v>46193</v>
      </c>
    </row>
    <row r="23" spans="1:49" x14ac:dyDescent="0.25">
      <c r="A23" s="9" t="s">
        <v>558</v>
      </c>
      <c r="B23" s="10" t="s">
        <v>588</v>
      </c>
      <c r="C23" s="10">
        <v>0</v>
      </c>
      <c r="D23" s="10" t="s">
        <v>91</v>
      </c>
      <c r="E23" s="10">
        <v>1</v>
      </c>
      <c r="F23" s="10"/>
      <c r="G23" s="10"/>
      <c r="H23" s="10" t="s">
        <v>52</v>
      </c>
      <c r="I23" s="10">
        <v>2</v>
      </c>
      <c r="J23" s="10" t="s">
        <v>618</v>
      </c>
      <c r="K23" s="10" t="s">
        <v>42</v>
      </c>
      <c r="L23" s="10">
        <f>Table1[[#This Row],[ENR]]-Table1[[#This Row],[CREDIT]]</f>
        <v>-132847.57</v>
      </c>
      <c r="M23" s="36">
        <v>330000</v>
      </c>
      <c r="N23" s="26">
        <v>197152.43</v>
      </c>
      <c r="O23" s="38" t="s">
        <v>43</v>
      </c>
      <c r="P23" s="25">
        <v>197152.43</v>
      </c>
      <c r="Q23" s="25">
        <v>181494.61</v>
      </c>
      <c r="R23" s="10">
        <v>33360</v>
      </c>
      <c r="S23" s="39">
        <v>9080</v>
      </c>
      <c r="T23" s="10" t="s">
        <v>44</v>
      </c>
      <c r="U23" s="10" t="s">
        <v>45</v>
      </c>
      <c r="V23" s="10">
        <v>0</v>
      </c>
      <c r="W23" s="25">
        <f>Table1[[#This Row],[STAB]]-Table1[[#This Row],[AMOUNT]]</f>
        <v>9080</v>
      </c>
      <c r="X23" s="10">
        <v>0</v>
      </c>
      <c r="Y23" s="10" t="s">
        <v>79</v>
      </c>
      <c r="Z23" s="10">
        <v>0</v>
      </c>
      <c r="AA23" s="10" t="s">
        <v>113</v>
      </c>
      <c r="AB23" s="36" t="s">
        <v>374</v>
      </c>
      <c r="AC23" s="10"/>
      <c r="AD23" s="10" t="s">
        <v>649</v>
      </c>
      <c r="AE23" s="10" t="s">
        <v>679</v>
      </c>
      <c r="AF23" s="10" t="s">
        <v>498</v>
      </c>
      <c r="AG23" s="10" t="s">
        <v>53</v>
      </c>
      <c r="AH23" s="10" t="s">
        <v>90</v>
      </c>
      <c r="AI23" s="10" t="s">
        <v>162</v>
      </c>
      <c r="AJ23" s="10">
        <v>801772794</v>
      </c>
      <c r="AK23" s="10" t="s">
        <v>361</v>
      </c>
      <c r="AL23" s="10"/>
      <c r="AM23" s="10"/>
      <c r="AN23" s="11" t="s">
        <v>390</v>
      </c>
      <c r="AO23" s="10" t="s">
        <v>398</v>
      </c>
      <c r="AP23" s="10" t="s">
        <v>858</v>
      </c>
      <c r="AQ23" s="10" t="s">
        <v>855</v>
      </c>
      <c r="AR23" s="2">
        <v>45525</v>
      </c>
      <c r="AS23" s="10">
        <v>6370</v>
      </c>
      <c r="AT23" s="10" t="s">
        <v>48</v>
      </c>
      <c r="AU23" s="10" t="s">
        <v>691</v>
      </c>
      <c r="AV23" s="36" t="s">
        <v>716</v>
      </c>
      <c r="AW23" s="1">
        <v>46193</v>
      </c>
    </row>
    <row r="24" spans="1:49" x14ac:dyDescent="0.25">
      <c r="A24" s="9" t="s">
        <v>175</v>
      </c>
      <c r="B24" s="10" t="s">
        <v>202</v>
      </c>
      <c r="C24" s="10">
        <v>0</v>
      </c>
      <c r="D24" s="10" t="s">
        <v>91</v>
      </c>
      <c r="E24" s="10"/>
      <c r="F24" s="10"/>
      <c r="G24" s="10"/>
      <c r="H24" s="10" t="s">
        <v>84</v>
      </c>
      <c r="I24" s="10">
        <v>2</v>
      </c>
      <c r="J24" s="10" t="s">
        <v>229</v>
      </c>
      <c r="K24" s="10" t="s">
        <v>42</v>
      </c>
      <c r="L24" s="10">
        <f>Table1[[#This Row],[ENR]]-Table1[[#This Row],[CREDIT]]</f>
        <v>-193750.54</v>
      </c>
      <c r="M24" s="36">
        <v>390000</v>
      </c>
      <c r="N24" s="26">
        <v>196249.46</v>
      </c>
      <c r="O24" s="38" t="s">
        <v>43</v>
      </c>
      <c r="P24" s="25">
        <v>196249.46</v>
      </c>
      <c r="Q24" s="25">
        <v>179979.83</v>
      </c>
      <c r="R24" s="10">
        <v>36860</v>
      </c>
      <c r="S24" s="39">
        <v>18270</v>
      </c>
      <c r="T24" s="10" t="s">
        <v>44</v>
      </c>
      <c r="U24" s="10" t="s">
        <v>45</v>
      </c>
      <c r="V24" s="10">
        <v>0</v>
      </c>
      <c r="W24" s="25">
        <f>Table1[[#This Row],[STAB]]-Table1[[#This Row],[AMOUNT]]</f>
        <v>18270</v>
      </c>
      <c r="X24" s="10">
        <v>0</v>
      </c>
      <c r="Y24" s="10" t="s">
        <v>79</v>
      </c>
      <c r="Z24" s="10">
        <v>0</v>
      </c>
      <c r="AA24" s="10" t="s">
        <v>113</v>
      </c>
      <c r="AB24" s="41" t="s">
        <v>376</v>
      </c>
      <c r="AC24" s="10" t="s">
        <v>527</v>
      </c>
      <c r="AD24" s="10" t="s">
        <v>330</v>
      </c>
      <c r="AE24" s="10" t="s">
        <v>257</v>
      </c>
      <c r="AF24" s="10" t="s">
        <v>282</v>
      </c>
      <c r="AG24" s="10" t="s">
        <v>54</v>
      </c>
      <c r="AH24" s="10" t="s">
        <v>1398</v>
      </c>
      <c r="AI24" s="10" t="s">
        <v>162</v>
      </c>
      <c r="AJ24" s="10">
        <v>801772794</v>
      </c>
      <c r="AK24" s="10" t="s">
        <v>361</v>
      </c>
      <c r="AL24" s="10"/>
      <c r="AM24" s="10"/>
      <c r="AN24" s="11" t="s">
        <v>46</v>
      </c>
      <c r="AO24" s="10"/>
      <c r="AP24" s="10"/>
      <c r="AQ24" s="10"/>
      <c r="AR24" s="2">
        <v>45484</v>
      </c>
      <c r="AS24" s="10">
        <v>10000</v>
      </c>
      <c r="AT24" s="10" t="s">
        <v>48</v>
      </c>
      <c r="AU24" s="10" t="s">
        <v>295</v>
      </c>
      <c r="AV24" s="36" t="s">
        <v>308</v>
      </c>
      <c r="AW24" s="1">
        <v>46193</v>
      </c>
    </row>
    <row r="25" spans="1:49" x14ac:dyDescent="0.25">
      <c r="A25" s="9" t="s">
        <v>163</v>
      </c>
      <c r="B25" s="10" t="s">
        <v>190</v>
      </c>
      <c r="C25" s="10">
        <v>0</v>
      </c>
      <c r="D25" s="10" t="s">
        <v>91</v>
      </c>
      <c r="E25" s="10"/>
      <c r="F25" s="10"/>
      <c r="G25" s="10"/>
      <c r="H25" s="10" t="s">
        <v>52</v>
      </c>
      <c r="I25" s="10">
        <v>2</v>
      </c>
      <c r="J25" s="10" t="s">
        <v>217</v>
      </c>
      <c r="K25" s="10" t="s">
        <v>42</v>
      </c>
      <c r="L25" s="10">
        <f>Table1[[#This Row],[ENR]]-Table1[[#This Row],[CREDIT]]</f>
        <v>13180</v>
      </c>
      <c r="M25" s="36">
        <v>180000</v>
      </c>
      <c r="N25" s="26">
        <v>193180</v>
      </c>
      <c r="O25" s="38" t="s">
        <v>43</v>
      </c>
      <c r="P25" s="25">
        <v>193180</v>
      </c>
      <c r="Q25" s="25">
        <v>179894.31</v>
      </c>
      <c r="R25" s="10">
        <v>42690</v>
      </c>
      <c r="S25" s="39">
        <v>8300</v>
      </c>
      <c r="T25" s="10" t="s">
        <v>44</v>
      </c>
      <c r="U25" s="10" t="s">
        <v>45</v>
      </c>
      <c r="V25" s="10">
        <v>0</v>
      </c>
      <c r="W25" s="25">
        <f>Table1[[#This Row],[STAB]]-Table1[[#This Row],[AMOUNT]]</f>
        <v>8300</v>
      </c>
      <c r="X25" s="10">
        <v>0</v>
      </c>
      <c r="Y25" s="10" t="s">
        <v>79</v>
      </c>
      <c r="Z25" s="10">
        <v>0</v>
      </c>
      <c r="AA25" s="10" t="s">
        <v>113</v>
      </c>
      <c r="AB25" s="36" t="s">
        <v>132</v>
      </c>
      <c r="AC25" s="10" t="s">
        <v>527</v>
      </c>
      <c r="AD25" s="10" t="s">
        <v>331</v>
      </c>
      <c r="AE25" s="10" t="s">
        <v>245</v>
      </c>
      <c r="AF25" s="10" t="s">
        <v>272</v>
      </c>
      <c r="AG25" s="10" t="s">
        <v>54</v>
      </c>
      <c r="AH25" s="10" t="s">
        <v>357</v>
      </c>
      <c r="AI25" s="10" t="s">
        <v>1960</v>
      </c>
      <c r="AJ25" s="10">
        <v>801264672</v>
      </c>
      <c r="AK25" s="10" t="s">
        <v>1959</v>
      </c>
      <c r="AL25" s="10"/>
      <c r="AM25" s="10"/>
      <c r="AN25" s="11" t="s">
        <v>390</v>
      </c>
      <c r="AO25" s="10" t="s">
        <v>392</v>
      </c>
      <c r="AP25" s="10" t="s">
        <v>399</v>
      </c>
      <c r="AQ25" s="10" t="s">
        <v>400</v>
      </c>
      <c r="AR25" s="2" t="s">
        <v>43</v>
      </c>
      <c r="AS25" s="10">
        <v>0</v>
      </c>
      <c r="AT25" s="10" t="s">
        <v>48</v>
      </c>
      <c r="AU25" s="10" t="s">
        <v>295</v>
      </c>
      <c r="AV25" s="36" t="s">
        <v>296</v>
      </c>
      <c r="AW25" s="1">
        <v>46193</v>
      </c>
    </row>
    <row r="26" spans="1:49" x14ac:dyDescent="0.25">
      <c r="A26" s="9" t="s">
        <v>557</v>
      </c>
      <c r="B26" s="10" t="s">
        <v>587</v>
      </c>
      <c r="C26" s="10">
        <v>0</v>
      </c>
      <c r="D26" s="10" t="s">
        <v>91</v>
      </c>
      <c r="E26" s="10">
        <v>1</v>
      </c>
      <c r="F26" s="10"/>
      <c r="G26" s="10"/>
      <c r="H26" s="10" t="s">
        <v>52</v>
      </c>
      <c r="I26" s="10">
        <v>2</v>
      </c>
      <c r="J26" s="10" t="s">
        <v>617</v>
      </c>
      <c r="K26" s="10" t="s">
        <v>42</v>
      </c>
      <c r="L26" s="10">
        <f>Table1[[#This Row],[ENR]]-Table1[[#This Row],[CREDIT]]</f>
        <v>-606.54999999998836</v>
      </c>
      <c r="M26" s="36">
        <v>190000</v>
      </c>
      <c r="N26" s="26">
        <v>189393.45</v>
      </c>
      <c r="O26" s="38" t="s">
        <v>43</v>
      </c>
      <c r="P26" s="25">
        <v>189393.45</v>
      </c>
      <c r="Q26" s="25">
        <v>174029.6</v>
      </c>
      <c r="R26" s="10">
        <v>32340</v>
      </c>
      <c r="S26" s="39">
        <v>10270</v>
      </c>
      <c r="T26" s="10" t="s">
        <v>44</v>
      </c>
      <c r="U26" s="10" t="s">
        <v>45</v>
      </c>
      <c r="V26" s="10">
        <v>0</v>
      </c>
      <c r="W26" s="25">
        <f>Table1[[#This Row],[STAB]]-Table1[[#This Row],[AMOUNT]]</f>
        <v>10270</v>
      </c>
      <c r="X26" s="10">
        <v>0</v>
      </c>
      <c r="Y26" s="10" t="s">
        <v>79</v>
      </c>
      <c r="Z26" s="10">
        <v>0</v>
      </c>
      <c r="AA26" s="10" t="s">
        <v>113</v>
      </c>
      <c r="AB26" s="36" t="s">
        <v>375</v>
      </c>
      <c r="AC26" s="10"/>
      <c r="AD26" s="10" t="s">
        <v>648</v>
      </c>
      <c r="AE26" s="10" t="s">
        <v>678</v>
      </c>
      <c r="AF26" s="10" t="s">
        <v>272</v>
      </c>
      <c r="AG26" s="10" t="s">
        <v>54</v>
      </c>
      <c r="AH26" s="10" t="s">
        <v>357</v>
      </c>
      <c r="AI26" s="10" t="s">
        <v>1960</v>
      </c>
      <c r="AJ26" s="10">
        <v>801264672</v>
      </c>
      <c r="AK26" s="10" t="s">
        <v>1959</v>
      </c>
      <c r="AL26" s="10"/>
      <c r="AM26" s="10"/>
      <c r="AN26" s="11" t="s">
        <v>390</v>
      </c>
      <c r="AO26" s="10" t="s">
        <v>398</v>
      </c>
      <c r="AP26" s="10" t="s">
        <v>859</v>
      </c>
      <c r="AQ26" s="10" t="s">
        <v>855</v>
      </c>
      <c r="AR26" s="2">
        <v>45459</v>
      </c>
      <c r="AS26" s="10">
        <v>9959.73</v>
      </c>
      <c r="AT26" s="10" t="s">
        <v>96</v>
      </c>
      <c r="AU26" s="10" t="s">
        <v>691</v>
      </c>
      <c r="AV26" s="36" t="s">
        <v>715</v>
      </c>
      <c r="AW26" s="1">
        <v>46193</v>
      </c>
    </row>
    <row r="27" spans="1:49" x14ac:dyDescent="0.25">
      <c r="A27" s="9" t="s">
        <v>556</v>
      </c>
      <c r="B27" s="10" t="s">
        <v>586</v>
      </c>
      <c r="C27" s="10">
        <v>0</v>
      </c>
      <c r="D27" s="10" t="s">
        <v>91</v>
      </c>
      <c r="E27" s="10"/>
      <c r="F27" s="10"/>
      <c r="G27" s="10"/>
      <c r="H27" s="10" t="s">
        <v>52</v>
      </c>
      <c r="I27" s="10">
        <v>2</v>
      </c>
      <c r="J27" s="10" t="s">
        <v>616</v>
      </c>
      <c r="K27" s="10" t="s">
        <v>42</v>
      </c>
      <c r="L27" s="10">
        <f>Table1[[#This Row],[ENR]]-Table1[[#This Row],[CREDIT]]</f>
        <v>-81473.37</v>
      </c>
      <c r="M27" s="36">
        <v>250000</v>
      </c>
      <c r="N27" s="26">
        <v>168526.63</v>
      </c>
      <c r="O27" s="38" t="s">
        <v>43</v>
      </c>
      <c r="P27" s="25">
        <v>168526.63</v>
      </c>
      <c r="Q27" s="25">
        <v>130531.98</v>
      </c>
      <c r="R27" s="10">
        <v>50730</v>
      </c>
      <c r="S27" s="39">
        <v>36410</v>
      </c>
      <c r="T27" s="10" t="s">
        <v>57</v>
      </c>
      <c r="U27" s="10" t="s">
        <v>14</v>
      </c>
      <c r="V27" s="25">
        <v>36500</v>
      </c>
      <c r="W27" s="25">
        <f>Table1[[#This Row],[STAB]]-Table1[[#This Row],[AMOUNT]]</f>
        <v>-90</v>
      </c>
      <c r="X27" s="10" t="s">
        <v>739</v>
      </c>
      <c r="Y27" s="10" t="s">
        <v>402</v>
      </c>
      <c r="Z27" s="10" t="s">
        <v>403</v>
      </c>
      <c r="AA27" s="10" t="s">
        <v>113</v>
      </c>
      <c r="AB27" s="10" t="s">
        <v>133</v>
      </c>
      <c r="AC27" s="10"/>
      <c r="AD27" s="10" t="s">
        <v>647</v>
      </c>
      <c r="AE27" s="10" t="s">
        <v>677</v>
      </c>
      <c r="AF27" s="10" t="s">
        <v>283</v>
      </c>
      <c r="AG27" s="10" t="s">
        <v>53</v>
      </c>
      <c r="AH27" s="10" t="s">
        <v>356</v>
      </c>
      <c r="AI27" s="10" t="s">
        <v>369</v>
      </c>
      <c r="AJ27" s="10">
        <v>802823180</v>
      </c>
      <c r="AK27" s="10" t="s">
        <v>105</v>
      </c>
      <c r="AL27" s="10"/>
      <c r="AM27" s="10"/>
      <c r="AN27" s="11" t="s">
        <v>390</v>
      </c>
      <c r="AO27" s="10"/>
      <c r="AP27" s="10"/>
      <c r="AQ27" s="10"/>
      <c r="AR27" s="2">
        <v>45930</v>
      </c>
      <c r="AS27" s="10">
        <v>24550</v>
      </c>
      <c r="AT27" s="10" t="s">
        <v>48</v>
      </c>
      <c r="AU27" s="10" t="s">
        <v>691</v>
      </c>
      <c r="AV27" s="36" t="s">
        <v>714</v>
      </c>
      <c r="AW27" s="1">
        <v>46193</v>
      </c>
    </row>
    <row r="28" spans="1:49" x14ac:dyDescent="0.25">
      <c r="A28" s="9" t="s">
        <v>555</v>
      </c>
      <c r="B28" s="10" t="s">
        <v>585</v>
      </c>
      <c r="C28" s="10">
        <v>0</v>
      </c>
      <c r="D28" s="10" t="s">
        <v>91</v>
      </c>
      <c r="E28" s="10"/>
      <c r="F28" s="10"/>
      <c r="G28" s="10"/>
      <c r="H28" s="10" t="s">
        <v>52</v>
      </c>
      <c r="I28" s="10">
        <v>2</v>
      </c>
      <c r="J28" s="10" t="s">
        <v>615</v>
      </c>
      <c r="K28" s="10" t="s">
        <v>42</v>
      </c>
      <c r="L28" s="10">
        <f>Table1[[#This Row],[ENR]]-Table1[[#This Row],[CREDIT]]</f>
        <v>15098.070000000007</v>
      </c>
      <c r="M28" s="36">
        <v>150000</v>
      </c>
      <c r="N28" s="26">
        <v>165098.07</v>
      </c>
      <c r="O28" s="38" t="s">
        <v>43</v>
      </c>
      <c r="P28" s="25">
        <v>165098.07</v>
      </c>
      <c r="Q28" s="25">
        <v>148394.51</v>
      </c>
      <c r="R28" s="10">
        <v>39090</v>
      </c>
      <c r="S28" s="39">
        <v>8830</v>
      </c>
      <c r="T28" s="10" t="s">
        <v>57</v>
      </c>
      <c r="U28" s="10" t="s">
        <v>14</v>
      </c>
      <c r="V28" s="25">
        <v>9000</v>
      </c>
      <c r="W28" s="25">
        <f>Table1[[#This Row],[STAB]]-Table1[[#This Row],[AMOUNT]]</f>
        <v>-170</v>
      </c>
      <c r="X28" s="10" t="s">
        <v>1401</v>
      </c>
      <c r="Y28" s="10" t="s">
        <v>396</v>
      </c>
      <c r="Z28" s="10" t="s">
        <v>403</v>
      </c>
      <c r="AA28" s="10" t="s">
        <v>113</v>
      </c>
      <c r="AB28" s="36" t="s">
        <v>131</v>
      </c>
      <c r="AC28" s="10"/>
      <c r="AD28" s="10" t="s">
        <v>646</v>
      </c>
      <c r="AE28" s="10" t="s">
        <v>676</v>
      </c>
      <c r="AF28" s="10" t="s">
        <v>499</v>
      </c>
      <c r="AG28" s="10" t="s">
        <v>53</v>
      </c>
      <c r="AH28" s="10" t="s">
        <v>55</v>
      </c>
      <c r="AI28" s="10" t="s">
        <v>365</v>
      </c>
      <c r="AJ28" s="10">
        <v>802824019</v>
      </c>
      <c r="AK28" s="10" t="s">
        <v>360</v>
      </c>
      <c r="AL28" s="10"/>
      <c r="AM28" s="10"/>
      <c r="AN28" s="11" t="s">
        <v>390</v>
      </c>
      <c r="AO28" s="10" t="s">
        <v>392</v>
      </c>
      <c r="AP28" s="10" t="s">
        <v>860</v>
      </c>
      <c r="AQ28" s="10" t="s">
        <v>855</v>
      </c>
      <c r="AR28" s="2">
        <v>46143</v>
      </c>
      <c r="AS28" s="10">
        <v>7000</v>
      </c>
      <c r="AT28" s="10" t="s">
        <v>690</v>
      </c>
      <c r="AU28" s="10" t="s">
        <v>691</v>
      </c>
      <c r="AV28" s="36" t="s">
        <v>713</v>
      </c>
      <c r="AW28" s="1">
        <v>46193</v>
      </c>
    </row>
    <row r="29" spans="1:49" x14ac:dyDescent="0.25">
      <c r="A29" s="9" t="s">
        <v>548</v>
      </c>
      <c r="B29" s="10" t="s">
        <v>578</v>
      </c>
      <c r="C29" s="10">
        <v>0</v>
      </c>
      <c r="D29" s="10" t="s">
        <v>91</v>
      </c>
      <c r="E29" s="10">
        <v>1</v>
      </c>
      <c r="F29" s="10"/>
      <c r="G29" s="10"/>
      <c r="H29" s="10" t="s">
        <v>52</v>
      </c>
      <c r="I29" s="10">
        <v>2</v>
      </c>
      <c r="J29" s="10" t="s">
        <v>608</v>
      </c>
      <c r="K29" s="10" t="s">
        <v>42</v>
      </c>
      <c r="L29" s="10">
        <f>Table1[[#This Row],[ENR]]-Table1[[#This Row],[CREDIT]]</f>
        <v>9207.570000000007</v>
      </c>
      <c r="M29" s="36">
        <v>150000</v>
      </c>
      <c r="N29" s="26">
        <v>159207.57</v>
      </c>
      <c r="O29" s="38">
        <v>59590.06</v>
      </c>
      <c r="P29" s="25">
        <v>99617.51</v>
      </c>
      <c r="Q29" s="25">
        <v>90031.75</v>
      </c>
      <c r="R29" s="10">
        <v>31890</v>
      </c>
      <c r="S29" s="39">
        <v>12510</v>
      </c>
      <c r="T29" s="10" t="s">
        <v>44</v>
      </c>
      <c r="U29" s="10" t="s">
        <v>45</v>
      </c>
      <c r="V29" s="10">
        <v>0</v>
      </c>
      <c r="W29" s="25">
        <f>Table1[[#This Row],[STAB]]-Table1[[#This Row],[AMOUNT]]</f>
        <v>12510</v>
      </c>
      <c r="X29" s="10">
        <v>0</v>
      </c>
      <c r="Y29" s="10" t="s">
        <v>79</v>
      </c>
      <c r="Z29" s="10">
        <v>0</v>
      </c>
      <c r="AA29" s="10" t="s">
        <v>113</v>
      </c>
      <c r="AB29" s="36" t="s">
        <v>132</v>
      </c>
      <c r="AC29" s="10"/>
      <c r="AD29" s="10" t="s">
        <v>639</v>
      </c>
      <c r="AE29" s="10" t="s">
        <v>669</v>
      </c>
      <c r="AF29" s="10" t="s">
        <v>85</v>
      </c>
      <c r="AG29" s="10" t="s">
        <v>54</v>
      </c>
      <c r="AH29" s="10" t="s">
        <v>89</v>
      </c>
      <c r="AI29" s="10" t="s">
        <v>106</v>
      </c>
      <c r="AJ29" s="10">
        <v>802370852</v>
      </c>
      <c r="AK29" s="10" t="s">
        <v>105</v>
      </c>
      <c r="AL29" s="10"/>
      <c r="AM29" s="10"/>
      <c r="AN29" s="11" t="s">
        <v>390</v>
      </c>
      <c r="AO29" s="10" t="s">
        <v>394</v>
      </c>
      <c r="AP29" s="10" t="s">
        <v>742</v>
      </c>
      <c r="AQ29" s="10" t="s">
        <v>739</v>
      </c>
      <c r="AR29" s="2">
        <v>46012</v>
      </c>
      <c r="AS29" s="10">
        <v>5000</v>
      </c>
      <c r="AT29" s="10" t="s">
        <v>503</v>
      </c>
      <c r="AU29" s="10" t="s">
        <v>691</v>
      </c>
      <c r="AV29" s="36" t="s">
        <v>706</v>
      </c>
      <c r="AW29" s="1">
        <v>46193</v>
      </c>
    </row>
    <row r="30" spans="1:49" x14ac:dyDescent="0.25">
      <c r="A30" s="9" t="s">
        <v>535</v>
      </c>
      <c r="B30" s="10" t="s">
        <v>565</v>
      </c>
      <c r="C30" s="10">
        <v>0</v>
      </c>
      <c r="D30" s="10" t="s">
        <v>91</v>
      </c>
      <c r="E30" s="10"/>
      <c r="F30" s="10"/>
      <c r="G30" s="10"/>
      <c r="H30" s="10" t="s">
        <v>52</v>
      </c>
      <c r="I30" s="10">
        <v>2</v>
      </c>
      <c r="J30" s="10" t="s">
        <v>595</v>
      </c>
      <c r="K30" s="10" t="s">
        <v>460</v>
      </c>
      <c r="L30" s="10">
        <f>Table1[[#This Row],[ENR]]-Table1[[#This Row],[CREDIT]]</f>
        <v>-266801.78000000003</v>
      </c>
      <c r="M30" s="36">
        <v>425000</v>
      </c>
      <c r="N30" s="26">
        <v>158198.22</v>
      </c>
      <c r="O30" s="38" t="s">
        <v>43</v>
      </c>
      <c r="P30" s="25">
        <v>158198.22</v>
      </c>
      <c r="Q30" s="25">
        <v>144252.92000000001</v>
      </c>
      <c r="R30" s="10">
        <v>22540</v>
      </c>
      <c r="S30" s="39">
        <v>8610</v>
      </c>
      <c r="T30" s="10" t="s">
        <v>57</v>
      </c>
      <c r="U30" s="10" t="s">
        <v>14</v>
      </c>
      <c r="V30" s="25">
        <v>8700</v>
      </c>
      <c r="W30" s="25">
        <f>Table1[[#This Row],[STAB]]-Table1[[#This Row],[AMOUNT]]</f>
        <v>-90</v>
      </c>
      <c r="X30" s="10" t="s">
        <v>1401</v>
      </c>
      <c r="Y30" s="10" t="s">
        <v>402</v>
      </c>
      <c r="Z30" s="10" t="s">
        <v>403</v>
      </c>
      <c r="AA30" s="10" t="s">
        <v>113</v>
      </c>
      <c r="AB30" s="10" t="s">
        <v>133</v>
      </c>
      <c r="AC30" s="10"/>
      <c r="AD30" s="10" t="s">
        <v>626</v>
      </c>
      <c r="AE30" s="10" t="s">
        <v>656</v>
      </c>
      <c r="AF30" s="10" t="s">
        <v>286</v>
      </c>
      <c r="AG30" s="10" t="s">
        <v>54</v>
      </c>
      <c r="AH30" s="10" t="s">
        <v>723</v>
      </c>
      <c r="AI30" s="10" t="s">
        <v>369</v>
      </c>
      <c r="AJ30" s="10">
        <v>802823180</v>
      </c>
      <c r="AK30" s="10" t="s">
        <v>105</v>
      </c>
      <c r="AL30" s="10"/>
      <c r="AM30" s="10"/>
      <c r="AN30" s="11" t="s">
        <v>390</v>
      </c>
      <c r="AO30" s="10"/>
      <c r="AP30" s="10"/>
      <c r="AQ30" s="10"/>
      <c r="AR30" s="2">
        <v>45832</v>
      </c>
      <c r="AS30" s="10">
        <v>10500</v>
      </c>
      <c r="AT30" s="10" t="s">
        <v>293</v>
      </c>
      <c r="AU30" s="10" t="s">
        <v>691</v>
      </c>
      <c r="AV30" s="36" t="s">
        <v>693</v>
      </c>
      <c r="AW30" s="1">
        <v>46193</v>
      </c>
    </row>
    <row r="31" spans="1:49" x14ac:dyDescent="0.25">
      <c r="A31" s="9" t="s">
        <v>186</v>
      </c>
      <c r="B31" s="10" t="s">
        <v>213</v>
      </c>
      <c r="C31" s="10">
        <v>0</v>
      </c>
      <c r="D31" s="10" t="s">
        <v>91</v>
      </c>
      <c r="E31" s="10"/>
      <c r="F31" s="10"/>
      <c r="G31" s="10"/>
      <c r="H31" s="10" t="s">
        <v>52</v>
      </c>
      <c r="I31" s="10">
        <v>2</v>
      </c>
      <c r="J31" s="10" t="s">
        <v>240</v>
      </c>
      <c r="K31" s="10" t="s">
        <v>42</v>
      </c>
      <c r="L31" s="10">
        <f>Table1[[#This Row],[ENR]]-Table1[[#This Row],[CREDIT]]</f>
        <v>5224.2099999999919</v>
      </c>
      <c r="M31" s="36">
        <v>150000</v>
      </c>
      <c r="N31" s="26">
        <v>155224.21</v>
      </c>
      <c r="O31" s="38">
        <v>78207.11</v>
      </c>
      <c r="P31" s="25">
        <v>77017.100000000006</v>
      </c>
      <c r="Q31" s="25">
        <v>70208.98</v>
      </c>
      <c r="R31" s="10">
        <v>51730</v>
      </c>
      <c r="S31" s="39">
        <v>19870</v>
      </c>
      <c r="T31" s="10" t="s">
        <v>57</v>
      </c>
      <c r="U31" s="10" t="s">
        <v>13</v>
      </c>
      <c r="V31" s="10">
        <v>77017.100000000006</v>
      </c>
      <c r="W31" s="25">
        <f>Table1[[#This Row],[STAB]]-Table1[[#This Row],[AMOUNT]]</f>
        <v>-57147.100000000006</v>
      </c>
      <c r="X31" s="10" t="s">
        <v>393</v>
      </c>
      <c r="Y31" s="10" t="s">
        <v>402</v>
      </c>
      <c r="Z31" s="10" t="s">
        <v>403</v>
      </c>
      <c r="AA31" s="10" t="s">
        <v>113</v>
      </c>
      <c r="AB31" s="36" t="s">
        <v>375</v>
      </c>
      <c r="AC31" s="10" t="s">
        <v>527</v>
      </c>
      <c r="AD31" s="9" t="s">
        <v>332</v>
      </c>
      <c r="AE31" s="10" t="s">
        <v>268</v>
      </c>
      <c r="AF31" s="10" t="s">
        <v>275</v>
      </c>
      <c r="AG31" s="10" t="s">
        <v>80</v>
      </c>
      <c r="AH31" s="10" t="s">
        <v>358</v>
      </c>
      <c r="AI31" s="10" t="s">
        <v>366</v>
      </c>
      <c r="AJ31" s="10">
        <v>802789320</v>
      </c>
      <c r="AK31" s="10" t="s">
        <v>104</v>
      </c>
      <c r="AL31" s="10"/>
      <c r="AM31" s="10"/>
      <c r="AN31" s="11" t="s">
        <v>390</v>
      </c>
      <c r="AO31" s="10"/>
      <c r="AP31" s="10"/>
      <c r="AQ31" s="10"/>
      <c r="AR31" s="2" t="s">
        <v>43</v>
      </c>
      <c r="AS31" s="10">
        <v>0</v>
      </c>
      <c r="AT31" s="10" t="s">
        <v>293</v>
      </c>
      <c r="AU31" s="10" t="s">
        <v>295</v>
      </c>
      <c r="AV31" s="36" t="s">
        <v>319</v>
      </c>
      <c r="AW31" s="1">
        <v>46193</v>
      </c>
    </row>
    <row r="32" spans="1:49" x14ac:dyDescent="0.25">
      <c r="A32" s="9" t="s">
        <v>172</v>
      </c>
      <c r="B32" s="10" t="s">
        <v>199</v>
      </c>
      <c r="C32" s="10">
        <v>0</v>
      </c>
      <c r="D32" s="10" t="s">
        <v>91</v>
      </c>
      <c r="E32" s="10"/>
      <c r="F32" s="10"/>
      <c r="G32" s="10"/>
      <c r="H32" s="10" t="s">
        <v>84</v>
      </c>
      <c r="I32" s="10">
        <v>2</v>
      </c>
      <c r="J32" s="10" t="s">
        <v>226</v>
      </c>
      <c r="K32" s="10" t="s">
        <v>42</v>
      </c>
      <c r="L32" s="10">
        <f>Table1[[#This Row],[ENR]]-Table1[[#This Row],[CREDIT]]</f>
        <v>-106060.23000000001</v>
      </c>
      <c r="M32" s="36">
        <v>260000</v>
      </c>
      <c r="N32" s="26">
        <v>153939.76999999999</v>
      </c>
      <c r="O32" s="38">
        <v>77159.679999999993</v>
      </c>
      <c r="P32" s="25">
        <v>76780.09</v>
      </c>
      <c r="Q32" s="25">
        <v>70189.679999999993</v>
      </c>
      <c r="R32" s="10">
        <v>28860</v>
      </c>
      <c r="S32" s="39">
        <v>12960</v>
      </c>
      <c r="T32" s="10" t="s">
        <v>57</v>
      </c>
      <c r="U32" s="10" t="s">
        <v>14</v>
      </c>
      <c r="V32" s="25">
        <v>14000</v>
      </c>
      <c r="W32" s="25">
        <f>Table1[[#This Row],[STAB]]-Table1[[#This Row],[AMOUNT]]</f>
        <v>-1040</v>
      </c>
      <c r="X32" s="10">
        <v>0</v>
      </c>
      <c r="Y32" s="10" t="s">
        <v>388</v>
      </c>
      <c r="Z32" s="10" t="s">
        <v>403</v>
      </c>
      <c r="AA32" s="10" t="s">
        <v>113</v>
      </c>
      <c r="AB32" s="10" t="s">
        <v>133</v>
      </c>
      <c r="AC32" s="10" t="s">
        <v>527</v>
      </c>
      <c r="AD32" s="9" t="s">
        <v>333</v>
      </c>
      <c r="AE32" s="10" t="s">
        <v>254</v>
      </c>
      <c r="AF32" s="10" t="s">
        <v>279</v>
      </c>
      <c r="AG32" s="10" t="s">
        <v>324</v>
      </c>
      <c r="AH32" s="10" t="s">
        <v>354</v>
      </c>
      <c r="AI32" s="10" t="s">
        <v>367</v>
      </c>
      <c r="AJ32" s="10">
        <v>801436997</v>
      </c>
      <c r="AK32" s="10" t="s">
        <v>104</v>
      </c>
      <c r="AL32" s="10"/>
      <c r="AM32" s="10"/>
      <c r="AN32" s="11" t="s">
        <v>390</v>
      </c>
      <c r="AO32" s="10" t="s">
        <v>392</v>
      </c>
      <c r="AP32" s="10" t="s">
        <v>1965</v>
      </c>
      <c r="AQ32" s="10" t="s">
        <v>1961</v>
      </c>
      <c r="AR32" s="2">
        <v>45488</v>
      </c>
      <c r="AS32" s="10">
        <v>60000</v>
      </c>
      <c r="AT32" s="10" t="s">
        <v>48</v>
      </c>
      <c r="AU32" s="10" t="s">
        <v>295</v>
      </c>
      <c r="AV32" s="36" t="s">
        <v>305</v>
      </c>
      <c r="AW32" s="1">
        <v>46193</v>
      </c>
    </row>
    <row r="33" spans="1:49" x14ac:dyDescent="0.25">
      <c r="A33" s="9" t="s">
        <v>182</v>
      </c>
      <c r="B33" s="10" t="s">
        <v>209</v>
      </c>
      <c r="C33" s="10">
        <v>0</v>
      </c>
      <c r="D33" s="10" t="s">
        <v>91</v>
      </c>
      <c r="E33" s="10"/>
      <c r="F33" s="10"/>
      <c r="G33" s="10"/>
      <c r="H33" s="10" t="s">
        <v>84</v>
      </c>
      <c r="I33" s="10">
        <v>2</v>
      </c>
      <c r="J33" s="10" t="s">
        <v>236</v>
      </c>
      <c r="K33" s="10" t="s">
        <v>42</v>
      </c>
      <c r="L33" s="10">
        <f>Table1[[#This Row],[ENR]]-Table1[[#This Row],[CREDIT]]</f>
        <v>-77624.48000000001</v>
      </c>
      <c r="M33" s="36">
        <v>220000</v>
      </c>
      <c r="N33" s="26">
        <v>142375.51999999999</v>
      </c>
      <c r="O33" s="38">
        <v>102946.42</v>
      </c>
      <c r="P33" s="25">
        <v>39429.1</v>
      </c>
      <c r="Q33" s="25">
        <v>34051.370000000003</v>
      </c>
      <c r="R33" s="10">
        <v>32690</v>
      </c>
      <c r="S33" s="39">
        <v>14930</v>
      </c>
      <c r="T33" s="10" t="s">
        <v>57</v>
      </c>
      <c r="U33" s="10" t="s">
        <v>14</v>
      </c>
      <c r="V33" s="25">
        <v>15029.1</v>
      </c>
      <c r="W33" s="25">
        <f>Table1[[#This Row],[STAB]]-Table1[[#This Row],[AMOUNT]]</f>
        <v>-99.100000000000364</v>
      </c>
      <c r="X33" s="10" t="s">
        <v>1961</v>
      </c>
      <c r="Y33" s="10" t="s">
        <v>402</v>
      </c>
      <c r="Z33" s="10" t="s">
        <v>403</v>
      </c>
      <c r="AA33" s="10" t="s">
        <v>113</v>
      </c>
      <c r="AB33" s="36" t="s">
        <v>132</v>
      </c>
      <c r="AC33" s="10" t="s">
        <v>527</v>
      </c>
      <c r="AD33" s="9" t="s">
        <v>334</v>
      </c>
      <c r="AE33" s="10" t="s">
        <v>264</v>
      </c>
      <c r="AF33" s="10" t="s">
        <v>285</v>
      </c>
      <c r="AG33" s="10" t="s">
        <v>54</v>
      </c>
      <c r="AH33" s="10" t="s">
        <v>98</v>
      </c>
      <c r="AI33" s="10" t="s">
        <v>727</v>
      </c>
      <c r="AJ33" s="10">
        <v>802898520</v>
      </c>
      <c r="AK33" s="10" t="s">
        <v>104</v>
      </c>
      <c r="AL33" s="10"/>
      <c r="AM33" s="10"/>
      <c r="AN33" s="11" t="s">
        <v>390</v>
      </c>
      <c r="AO33" s="10" t="s">
        <v>394</v>
      </c>
      <c r="AP33" s="10" t="s">
        <v>1966</v>
      </c>
      <c r="AQ33" s="10" t="s">
        <v>1961</v>
      </c>
      <c r="AR33" s="2" t="s">
        <v>43</v>
      </c>
      <c r="AS33" s="10">
        <v>0</v>
      </c>
      <c r="AT33" s="10" t="s">
        <v>48</v>
      </c>
      <c r="AU33" s="10" t="s">
        <v>295</v>
      </c>
      <c r="AV33" s="36" t="s">
        <v>315</v>
      </c>
      <c r="AW33" s="1">
        <v>46193</v>
      </c>
    </row>
    <row r="34" spans="1:49" x14ac:dyDescent="0.25">
      <c r="A34" s="40" t="s">
        <v>537</v>
      </c>
      <c r="B34" s="11" t="s">
        <v>567</v>
      </c>
      <c r="C34" s="10">
        <v>0</v>
      </c>
      <c r="D34" s="10" t="s">
        <v>91</v>
      </c>
      <c r="E34" s="11"/>
      <c r="F34" s="11"/>
      <c r="G34" s="11"/>
      <c r="H34" s="10" t="s">
        <v>52</v>
      </c>
      <c r="I34" s="11">
        <v>2</v>
      </c>
      <c r="J34" s="11" t="s">
        <v>597</v>
      </c>
      <c r="K34" s="11" t="s">
        <v>624</v>
      </c>
      <c r="L34" s="11">
        <f>Table1[[#This Row],[ENR]]-Table1[[#This Row],[CREDIT]]</f>
        <v>-61840.73000000001</v>
      </c>
      <c r="M34" s="41">
        <v>200000</v>
      </c>
      <c r="N34" s="42">
        <v>138159.26999999999</v>
      </c>
      <c r="O34" s="43" t="s">
        <v>43</v>
      </c>
      <c r="P34" s="44">
        <v>138159.26999999999</v>
      </c>
      <c r="Q34" s="44">
        <v>95514.53</v>
      </c>
      <c r="R34" s="11">
        <v>51970</v>
      </c>
      <c r="S34" s="45">
        <v>47430</v>
      </c>
      <c r="T34" s="10" t="s">
        <v>57</v>
      </c>
      <c r="U34" s="10" t="s">
        <v>14</v>
      </c>
      <c r="V34" s="25">
        <v>47970</v>
      </c>
      <c r="W34" s="44">
        <f>Table1[[#This Row],[STAB]]-Table1[[#This Row],[AMOUNT]]</f>
        <v>-540</v>
      </c>
      <c r="X34" s="10" t="s">
        <v>1961</v>
      </c>
      <c r="Y34" s="10" t="s">
        <v>402</v>
      </c>
      <c r="Z34" s="10" t="s">
        <v>403</v>
      </c>
      <c r="AA34" s="10" t="s">
        <v>113</v>
      </c>
      <c r="AB34" s="36" t="s">
        <v>375</v>
      </c>
      <c r="AC34" s="11"/>
      <c r="AD34" s="40" t="s">
        <v>628</v>
      </c>
      <c r="AE34" s="11" t="s">
        <v>658</v>
      </c>
      <c r="AF34" s="11" t="s">
        <v>499</v>
      </c>
      <c r="AG34" s="11" t="s">
        <v>53</v>
      </c>
      <c r="AH34" s="10" t="s">
        <v>55</v>
      </c>
      <c r="AI34" s="11" t="s">
        <v>365</v>
      </c>
      <c r="AJ34" s="11">
        <v>802824019</v>
      </c>
      <c r="AK34" s="11" t="s">
        <v>360</v>
      </c>
      <c r="AL34" s="11"/>
      <c r="AM34" s="11"/>
      <c r="AN34" s="11" t="s">
        <v>390</v>
      </c>
      <c r="AO34" s="11" t="s">
        <v>392</v>
      </c>
      <c r="AP34" s="11" t="s">
        <v>1987</v>
      </c>
      <c r="AQ34" s="11" t="s">
        <v>1961</v>
      </c>
      <c r="AR34" s="46">
        <v>45972</v>
      </c>
      <c r="AS34" s="11">
        <v>11100</v>
      </c>
      <c r="AT34" s="11" t="s">
        <v>48</v>
      </c>
      <c r="AU34" s="10" t="s">
        <v>691</v>
      </c>
      <c r="AV34" s="41" t="s">
        <v>695</v>
      </c>
      <c r="AW34" s="47">
        <v>46193</v>
      </c>
    </row>
    <row r="35" spans="1:49" x14ac:dyDescent="0.25">
      <c r="A35" s="40" t="s">
        <v>554</v>
      </c>
      <c r="B35" s="11" t="s">
        <v>584</v>
      </c>
      <c r="C35" s="10">
        <v>0</v>
      </c>
      <c r="D35" s="10" t="s">
        <v>91</v>
      </c>
      <c r="E35" s="11"/>
      <c r="F35" s="11"/>
      <c r="G35" s="11"/>
      <c r="H35" s="10" t="s">
        <v>52</v>
      </c>
      <c r="I35" s="11">
        <v>2</v>
      </c>
      <c r="J35" s="11" t="s">
        <v>614</v>
      </c>
      <c r="K35" s="11" t="s">
        <v>42</v>
      </c>
      <c r="L35" s="11">
        <f>Table1[[#This Row],[ENR]]-Table1[[#This Row],[CREDIT]]</f>
        <v>7991.2900000000081</v>
      </c>
      <c r="M35" s="41">
        <v>130000</v>
      </c>
      <c r="N35" s="42">
        <v>137991.29</v>
      </c>
      <c r="O35" s="43" t="s">
        <v>43</v>
      </c>
      <c r="P35" s="44">
        <v>137991.29</v>
      </c>
      <c r="Q35" s="44">
        <v>125082.56</v>
      </c>
      <c r="R35" s="11">
        <v>29800</v>
      </c>
      <c r="S35" s="45">
        <v>10330</v>
      </c>
      <c r="T35" s="10" t="s">
        <v>44</v>
      </c>
      <c r="U35" s="10" t="s">
        <v>45</v>
      </c>
      <c r="V35" s="10">
        <v>0</v>
      </c>
      <c r="W35" s="44">
        <f>Table1[[#This Row],[STAB]]-Table1[[#This Row],[AMOUNT]]</f>
        <v>10330</v>
      </c>
      <c r="X35" s="10">
        <v>0</v>
      </c>
      <c r="Y35" s="10" t="s">
        <v>79</v>
      </c>
      <c r="Z35" s="10">
        <v>0</v>
      </c>
      <c r="AA35" s="10" t="s">
        <v>113</v>
      </c>
      <c r="AB35" s="36" t="s">
        <v>374</v>
      </c>
      <c r="AC35" s="11"/>
      <c r="AD35" s="40" t="s">
        <v>645</v>
      </c>
      <c r="AE35" s="11" t="s">
        <v>675</v>
      </c>
      <c r="AF35" s="11" t="s">
        <v>146</v>
      </c>
      <c r="AG35" s="11" t="s">
        <v>54</v>
      </c>
      <c r="AH35" s="10" t="s">
        <v>146</v>
      </c>
      <c r="AI35" s="10" t="s">
        <v>365</v>
      </c>
      <c r="AJ35" s="10">
        <v>802824019</v>
      </c>
      <c r="AK35" s="10" t="s">
        <v>360</v>
      </c>
      <c r="AL35" s="11"/>
      <c r="AM35" s="11"/>
      <c r="AN35" s="11" t="s">
        <v>46</v>
      </c>
      <c r="AO35" s="11"/>
      <c r="AP35" s="11"/>
      <c r="AQ35" s="11"/>
      <c r="AR35" s="46" t="s">
        <v>43</v>
      </c>
      <c r="AS35" s="11">
        <v>0</v>
      </c>
      <c r="AT35" s="11" t="s">
        <v>48</v>
      </c>
      <c r="AU35" s="11" t="s">
        <v>691</v>
      </c>
      <c r="AV35" s="41" t="s">
        <v>712</v>
      </c>
      <c r="AW35" s="47">
        <v>46193</v>
      </c>
    </row>
    <row r="36" spans="1:49" x14ac:dyDescent="0.25">
      <c r="A36" s="9" t="s">
        <v>538</v>
      </c>
      <c r="B36" s="10" t="s">
        <v>568</v>
      </c>
      <c r="C36" s="10">
        <v>0</v>
      </c>
      <c r="D36" s="10" t="s">
        <v>91</v>
      </c>
      <c r="E36" s="10"/>
      <c r="F36" s="10"/>
      <c r="G36" s="10"/>
      <c r="H36" s="10" t="s">
        <v>52</v>
      </c>
      <c r="I36" s="10">
        <v>2</v>
      </c>
      <c r="J36" s="10" t="s">
        <v>598</v>
      </c>
      <c r="K36" s="10" t="s">
        <v>42</v>
      </c>
      <c r="L36" s="10">
        <f>Table1[[#This Row],[ENR]]-Table1[[#This Row],[CREDIT]]</f>
        <v>-196262.84</v>
      </c>
      <c r="M36" s="36">
        <v>330000</v>
      </c>
      <c r="N36" s="26">
        <v>133737.16</v>
      </c>
      <c r="O36" s="38" t="s">
        <v>43</v>
      </c>
      <c r="P36" s="25">
        <v>133737.16</v>
      </c>
      <c r="Q36" s="25">
        <v>122350.77</v>
      </c>
      <c r="R36" s="10">
        <v>19830</v>
      </c>
      <c r="S36" s="39">
        <v>6600</v>
      </c>
      <c r="T36" s="10" t="s">
        <v>44</v>
      </c>
      <c r="U36" s="10" t="s">
        <v>45</v>
      </c>
      <c r="V36" s="10">
        <v>0</v>
      </c>
      <c r="W36" s="25">
        <f>Table1[[#This Row],[STAB]]-Table1[[#This Row],[AMOUNT]]</f>
        <v>6600</v>
      </c>
      <c r="X36" s="10">
        <v>0</v>
      </c>
      <c r="Y36" s="10" t="s">
        <v>79</v>
      </c>
      <c r="Z36" s="10">
        <v>0</v>
      </c>
      <c r="AA36" s="10" t="s">
        <v>113</v>
      </c>
      <c r="AB36" s="41" t="s">
        <v>376</v>
      </c>
      <c r="AC36" s="10"/>
      <c r="AD36" s="9" t="s">
        <v>629</v>
      </c>
      <c r="AE36" s="10" t="s">
        <v>659</v>
      </c>
      <c r="AF36" s="10" t="s">
        <v>498</v>
      </c>
      <c r="AG36" s="10" t="s">
        <v>53</v>
      </c>
      <c r="AH36" s="10" t="s">
        <v>90</v>
      </c>
      <c r="AI36" s="10" t="s">
        <v>162</v>
      </c>
      <c r="AJ36" s="10">
        <v>801772794</v>
      </c>
      <c r="AK36" s="10" t="s">
        <v>361</v>
      </c>
      <c r="AL36" s="10"/>
      <c r="AM36" s="10"/>
      <c r="AN36" s="11" t="s">
        <v>46</v>
      </c>
      <c r="AO36" s="10"/>
      <c r="AP36" s="10"/>
      <c r="AQ36" s="10"/>
      <c r="AR36" s="2">
        <v>46122</v>
      </c>
      <c r="AS36" s="10">
        <v>16000</v>
      </c>
      <c r="AT36" s="10" t="s">
        <v>48</v>
      </c>
      <c r="AU36" s="10" t="s">
        <v>691</v>
      </c>
      <c r="AV36" s="36" t="s">
        <v>696</v>
      </c>
      <c r="AW36" s="1">
        <v>46193</v>
      </c>
    </row>
    <row r="37" spans="1:49" x14ac:dyDescent="0.25">
      <c r="A37" s="9" t="s">
        <v>168</v>
      </c>
      <c r="B37" s="10" t="s">
        <v>195</v>
      </c>
      <c r="C37" s="10">
        <v>0</v>
      </c>
      <c r="D37" s="10" t="s">
        <v>91</v>
      </c>
      <c r="E37" s="10"/>
      <c r="F37" s="10"/>
      <c r="G37" s="10"/>
      <c r="H37" s="10" t="s">
        <v>52</v>
      </c>
      <c r="I37" s="10">
        <v>2</v>
      </c>
      <c r="J37" s="10" t="s">
        <v>222</v>
      </c>
      <c r="K37" s="10" t="s">
        <v>42</v>
      </c>
      <c r="L37" s="10">
        <f>Table1[[#This Row],[ENR]]-Table1[[#This Row],[CREDIT]]</f>
        <v>8962.8699999999953</v>
      </c>
      <c r="M37" s="36">
        <v>120000</v>
      </c>
      <c r="N37" s="26">
        <v>128962.87</v>
      </c>
      <c r="O37" s="38" t="s">
        <v>43</v>
      </c>
      <c r="P37" s="25">
        <v>128962.87</v>
      </c>
      <c r="Q37" s="25">
        <v>117176.94</v>
      </c>
      <c r="R37" s="10">
        <v>27980</v>
      </c>
      <c r="S37" s="39">
        <v>8650</v>
      </c>
      <c r="T37" s="10" t="s">
        <v>57</v>
      </c>
      <c r="U37" s="10" t="s">
        <v>13</v>
      </c>
      <c r="V37" s="10">
        <v>27980</v>
      </c>
      <c r="W37" s="25">
        <f>Table1[[#This Row],[STAB]]-Table1[[#This Row],[AMOUNT]]</f>
        <v>-19330</v>
      </c>
      <c r="X37" s="10" t="s">
        <v>400</v>
      </c>
      <c r="Y37" s="10" t="s">
        <v>402</v>
      </c>
      <c r="Z37" s="10" t="s">
        <v>403</v>
      </c>
      <c r="AA37" s="10" t="s">
        <v>113</v>
      </c>
      <c r="AB37" s="36" t="s">
        <v>374</v>
      </c>
      <c r="AC37" s="10" t="s">
        <v>527</v>
      </c>
      <c r="AD37" s="9" t="s">
        <v>335</v>
      </c>
      <c r="AE37" s="10" t="s">
        <v>250</v>
      </c>
      <c r="AF37" s="10" t="s">
        <v>277</v>
      </c>
      <c r="AG37" s="10" t="s">
        <v>53</v>
      </c>
      <c r="AH37" s="10" t="s">
        <v>116</v>
      </c>
      <c r="AI37" s="10" t="s">
        <v>2961</v>
      </c>
      <c r="AJ37" s="10">
        <v>845041675</v>
      </c>
      <c r="AK37" s="10" t="s">
        <v>104</v>
      </c>
      <c r="AL37" s="10"/>
      <c r="AM37" s="10"/>
      <c r="AN37" s="11" t="s">
        <v>390</v>
      </c>
      <c r="AO37" s="10"/>
      <c r="AP37" s="10"/>
      <c r="AQ37" s="10"/>
      <c r="AR37" s="2">
        <v>45500</v>
      </c>
      <c r="AS37" s="10">
        <v>50000</v>
      </c>
      <c r="AT37" s="10" t="s">
        <v>48</v>
      </c>
      <c r="AU37" s="10" t="s">
        <v>295</v>
      </c>
      <c r="AV37" s="36" t="s">
        <v>301</v>
      </c>
      <c r="AW37" s="1">
        <v>46193</v>
      </c>
    </row>
    <row r="38" spans="1:49" x14ac:dyDescent="0.25">
      <c r="A38" s="9" t="s">
        <v>184</v>
      </c>
      <c r="B38" s="10" t="s">
        <v>211</v>
      </c>
      <c r="C38" s="10">
        <v>0</v>
      </c>
      <c r="D38" s="10" t="s">
        <v>91</v>
      </c>
      <c r="E38" s="10"/>
      <c r="F38" s="10"/>
      <c r="G38" s="10"/>
      <c r="H38" s="10" t="s">
        <v>84</v>
      </c>
      <c r="I38" s="10">
        <v>2</v>
      </c>
      <c r="J38" s="10" t="s">
        <v>238</v>
      </c>
      <c r="K38" s="10" t="s">
        <v>42</v>
      </c>
      <c r="L38" s="10">
        <f>Table1[[#This Row],[ENR]]-Table1[[#This Row],[CREDIT]]</f>
        <v>1327.2700000000041</v>
      </c>
      <c r="M38" s="36">
        <v>125000</v>
      </c>
      <c r="N38" s="26">
        <v>126327.27</v>
      </c>
      <c r="O38" s="38" t="s">
        <v>43</v>
      </c>
      <c r="P38" s="25">
        <v>126327.27</v>
      </c>
      <c r="Q38" s="25">
        <v>113558.84</v>
      </c>
      <c r="R38" s="10">
        <v>27690</v>
      </c>
      <c r="S38" s="39">
        <v>14110</v>
      </c>
      <c r="T38" s="10" t="s">
        <v>57</v>
      </c>
      <c r="U38" s="10" t="s">
        <v>14</v>
      </c>
      <c r="V38" s="25">
        <v>14200</v>
      </c>
      <c r="W38" s="25">
        <f>Table1[[#This Row],[STAB]]-Table1[[#This Row],[AMOUNT]]</f>
        <v>-90</v>
      </c>
      <c r="X38" s="10" t="s">
        <v>1401</v>
      </c>
      <c r="Y38" s="10" t="s">
        <v>402</v>
      </c>
      <c r="Z38" s="10" t="s">
        <v>403</v>
      </c>
      <c r="AA38" s="10" t="s">
        <v>113</v>
      </c>
      <c r="AB38" s="36" t="s">
        <v>131</v>
      </c>
      <c r="AC38" s="10" t="s">
        <v>527</v>
      </c>
      <c r="AD38" s="9" t="s">
        <v>336</v>
      </c>
      <c r="AE38" s="10" t="s">
        <v>266</v>
      </c>
      <c r="AF38" s="10" t="s">
        <v>286</v>
      </c>
      <c r="AG38" s="10" t="s">
        <v>54</v>
      </c>
      <c r="AH38" s="10" t="s">
        <v>358</v>
      </c>
      <c r="AI38" s="10" t="s">
        <v>365</v>
      </c>
      <c r="AJ38" s="10">
        <v>802824019</v>
      </c>
      <c r="AK38" s="10" t="s">
        <v>360</v>
      </c>
      <c r="AL38" s="10"/>
      <c r="AM38" s="10"/>
      <c r="AN38" s="11" t="s">
        <v>390</v>
      </c>
      <c r="AO38" s="10"/>
      <c r="AP38" s="10"/>
      <c r="AQ38" s="10"/>
      <c r="AR38" s="2">
        <v>45936</v>
      </c>
      <c r="AS38" s="10">
        <v>41920</v>
      </c>
      <c r="AT38" s="10" t="s">
        <v>290</v>
      </c>
      <c r="AU38" s="10" t="s">
        <v>295</v>
      </c>
      <c r="AV38" s="36" t="s">
        <v>317</v>
      </c>
      <c r="AW38" s="1">
        <v>46193</v>
      </c>
    </row>
    <row r="39" spans="1:49" x14ac:dyDescent="0.25">
      <c r="A39" s="9" t="s">
        <v>185</v>
      </c>
      <c r="B39" s="10" t="s">
        <v>212</v>
      </c>
      <c r="C39" s="10">
        <v>0</v>
      </c>
      <c r="D39" s="10" t="s">
        <v>91</v>
      </c>
      <c r="E39" s="10"/>
      <c r="F39" s="10"/>
      <c r="G39" s="10"/>
      <c r="H39" s="10" t="s">
        <v>84</v>
      </c>
      <c r="I39" s="10">
        <v>2</v>
      </c>
      <c r="J39" s="10" t="s">
        <v>239</v>
      </c>
      <c r="K39" s="10" t="s">
        <v>42</v>
      </c>
      <c r="L39" s="10">
        <f>Table1[[#This Row],[ENR]]-Table1[[#This Row],[CREDIT]]</f>
        <v>-278975.63</v>
      </c>
      <c r="M39" s="36">
        <v>402500</v>
      </c>
      <c r="N39" s="26">
        <v>123524.37</v>
      </c>
      <c r="O39" s="38" t="s">
        <v>43</v>
      </c>
      <c r="P39" s="25">
        <v>123524.37</v>
      </c>
      <c r="Q39" s="25">
        <v>113592.96000000001</v>
      </c>
      <c r="R39" s="10">
        <v>26140</v>
      </c>
      <c r="S39" s="39">
        <v>14080</v>
      </c>
      <c r="T39" s="10" t="s">
        <v>44</v>
      </c>
      <c r="U39" s="10" t="s">
        <v>45</v>
      </c>
      <c r="V39" s="10">
        <v>0</v>
      </c>
      <c r="W39" s="25">
        <f>Table1[[#This Row],[STAB]]-Table1[[#This Row],[AMOUNT]]</f>
        <v>14080</v>
      </c>
      <c r="X39" s="10">
        <v>0</v>
      </c>
      <c r="Y39" s="10" t="s">
        <v>79</v>
      </c>
      <c r="Z39" s="10">
        <v>0</v>
      </c>
      <c r="AA39" s="10" t="s">
        <v>113</v>
      </c>
      <c r="AB39" s="41" t="s">
        <v>376</v>
      </c>
      <c r="AC39" s="10" t="s">
        <v>527</v>
      </c>
      <c r="AD39" s="9" t="s">
        <v>337</v>
      </c>
      <c r="AE39" s="10" t="s">
        <v>267</v>
      </c>
      <c r="AF39" s="10" t="s">
        <v>272</v>
      </c>
      <c r="AG39" s="10" t="s">
        <v>54</v>
      </c>
      <c r="AH39" s="10" t="s">
        <v>357</v>
      </c>
      <c r="AI39" s="10" t="s">
        <v>133</v>
      </c>
      <c r="AJ39" s="10">
        <v>802555024</v>
      </c>
      <c r="AK39" s="10" t="s">
        <v>362</v>
      </c>
      <c r="AL39" s="10"/>
      <c r="AM39" s="10"/>
      <c r="AN39" s="11" t="s">
        <v>390</v>
      </c>
      <c r="AO39" s="10" t="s">
        <v>394</v>
      </c>
      <c r="AP39" s="10" t="s">
        <v>1402</v>
      </c>
      <c r="AQ39" s="10" t="s">
        <v>1401</v>
      </c>
      <c r="AR39" s="2">
        <v>46098</v>
      </c>
      <c r="AS39" s="10">
        <v>70741.02</v>
      </c>
      <c r="AT39" s="10" t="s">
        <v>292</v>
      </c>
      <c r="AU39" s="10" t="s">
        <v>295</v>
      </c>
      <c r="AV39" s="36" t="s">
        <v>318</v>
      </c>
      <c r="AW39" s="1">
        <v>46193</v>
      </c>
    </row>
    <row r="40" spans="1:49" x14ac:dyDescent="0.25">
      <c r="A40" s="9" t="s">
        <v>178</v>
      </c>
      <c r="B40" s="10" t="s">
        <v>205</v>
      </c>
      <c r="C40" s="10">
        <v>0</v>
      </c>
      <c r="D40" s="10" t="s">
        <v>91</v>
      </c>
      <c r="E40" s="10"/>
      <c r="F40" s="10"/>
      <c r="G40" s="10"/>
      <c r="H40" s="10" t="s">
        <v>52</v>
      </c>
      <c r="I40" s="10">
        <v>2</v>
      </c>
      <c r="J40" s="10" t="s">
        <v>232</v>
      </c>
      <c r="K40" s="10" t="s">
        <v>42</v>
      </c>
      <c r="L40" s="10">
        <f>Table1[[#This Row],[ENR]]-Table1[[#This Row],[CREDIT]]</f>
        <v>11873.130000000005</v>
      </c>
      <c r="M40" s="36">
        <v>110000</v>
      </c>
      <c r="N40" s="26">
        <v>121873.13</v>
      </c>
      <c r="O40" s="38" t="s">
        <v>43</v>
      </c>
      <c r="P40" s="25">
        <v>121873.13</v>
      </c>
      <c r="Q40" s="25">
        <v>109980.67</v>
      </c>
      <c r="R40" s="10">
        <v>30120</v>
      </c>
      <c r="S40" s="39">
        <v>11930</v>
      </c>
      <c r="T40" s="10" t="s">
        <v>44</v>
      </c>
      <c r="U40" s="10" t="s">
        <v>45</v>
      </c>
      <c r="V40" s="10">
        <v>0</v>
      </c>
      <c r="W40" s="25">
        <f>Table1[[#This Row],[STAB]]-Table1[[#This Row],[AMOUNT]]</f>
        <v>11930</v>
      </c>
      <c r="X40" s="10">
        <v>0</v>
      </c>
      <c r="Y40" s="10" t="s">
        <v>79</v>
      </c>
      <c r="Z40" s="10">
        <v>0</v>
      </c>
      <c r="AA40" s="10" t="s">
        <v>113</v>
      </c>
      <c r="AB40" s="10" t="s">
        <v>133</v>
      </c>
      <c r="AC40" s="10" t="s">
        <v>527</v>
      </c>
      <c r="AD40" s="9" t="s">
        <v>338</v>
      </c>
      <c r="AE40" s="10" t="s">
        <v>260</v>
      </c>
      <c r="AF40" s="10" t="s">
        <v>282</v>
      </c>
      <c r="AG40" s="10" t="s">
        <v>54</v>
      </c>
      <c r="AH40" s="10" t="s">
        <v>1398</v>
      </c>
      <c r="AI40" s="10" t="s">
        <v>162</v>
      </c>
      <c r="AJ40" s="10">
        <v>801772794</v>
      </c>
      <c r="AK40" s="10" t="s">
        <v>361</v>
      </c>
      <c r="AL40" s="10"/>
      <c r="AM40" s="10"/>
      <c r="AN40" s="11" t="s">
        <v>46</v>
      </c>
      <c r="AO40" s="10"/>
      <c r="AP40" s="10"/>
      <c r="AQ40" s="10"/>
      <c r="AR40" s="2">
        <v>45870</v>
      </c>
      <c r="AS40" s="10">
        <v>932</v>
      </c>
      <c r="AT40" s="10" t="s">
        <v>48</v>
      </c>
      <c r="AU40" s="10" t="s">
        <v>295</v>
      </c>
      <c r="AV40" s="36" t="s">
        <v>311</v>
      </c>
      <c r="AW40" s="1">
        <v>46193</v>
      </c>
    </row>
    <row r="41" spans="1:49" x14ac:dyDescent="0.25">
      <c r="A41" s="9" t="s">
        <v>180</v>
      </c>
      <c r="B41" s="10" t="s">
        <v>207</v>
      </c>
      <c r="C41" s="10">
        <v>0</v>
      </c>
      <c r="D41" s="10" t="s">
        <v>91</v>
      </c>
      <c r="E41" s="10"/>
      <c r="F41" s="10"/>
      <c r="G41" s="10"/>
      <c r="H41" s="10" t="s">
        <v>84</v>
      </c>
      <c r="I41" s="10">
        <v>2</v>
      </c>
      <c r="J41" s="10" t="s">
        <v>234</v>
      </c>
      <c r="K41" s="10" t="s">
        <v>42</v>
      </c>
      <c r="L41" s="10">
        <f>Table1[[#This Row],[ENR]]-Table1[[#This Row],[CREDIT]]</f>
        <v>-23111.03</v>
      </c>
      <c r="M41" s="36">
        <v>141000</v>
      </c>
      <c r="N41" s="26">
        <v>117888.97</v>
      </c>
      <c r="O41" s="38" t="s">
        <v>43</v>
      </c>
      <c r="P41" s="25">
        <v>117888.97</v>
      </c>
      <c r="Q41" s="25">
        <v>109660.62</v>
      </c>
      <c r="R41" s="10">
        <v>23880</v>
      </c>
      <c r="S41" s="39">
        <v>11850</v>
      </c>
      <c r="T41" s="10" t="s">
        <v>57</v>
      </c>
      <c r="U41" s="10" t="s">
        <v>14</v>
      </c>
      <c r="V41" s="25">
        <v>12000</v>
      </c>
      <c r="W41" s="25">
        <f>Table1[[#This Row],[STAB]]-Table1[[#This Row],[AMOUNT]]</f>
        <v>-150</v>
      </c>
      <c r="X41" s="10" t="s">
        <v>1961</v>
      </c>
      <c r="Y41" s="10" t="s">
        <v>402</v>
      </c>
      <c r="Z41" s="10" t="s">
        <v>403</v>
      </c>
      <c r="AA41" s="10" t="s">
        <v>113</v>
      </c>
      <c r="AB41" s="36" t="s">
        <v>132</v>
      </c>
      <c r="AC41" s="10" t="s">
        <v>527</v>
      </c>
      <c r="AD41" s="9" t="s">
        <v>339</v>
      </c>
      <c r="AE41" s="10" t="s">
        <v>262</v>
      </c>
      <c r="AF41" s="10" t="s">
        <v>278</v>
      </c>
      <c r="AG41" s="10" t="s">
        <v>54</v>
      </c>
      <c r="AH41" s="10" t="s">
        <v>86</v>
      </c>
      <c r="AI41" s="10" t="s">
        <v>368</v>
      </c>
      <c r="AJ41" s="10">
        <v>802823175</v>
      </c>
      <c r="AK41" s="10" t="s">
        <v>105</v>
      </c>
      <c r="AL41" s="10"/>
      <c r="AM41" s="10"/>
      <c r="AN41" s="11" t="s">
        <v>390</v>
      </c>
      <c r="AO41" s="10" t="s">
        <v>392</v>
      </c>
      <c r="AP41" s="10" t="s">
        <v>741</v>
      </c>
      <c r="AQ41" s="10" t="s">
        <v>739</v>
      </c>
      <c r="AR41" s="2">
        <v>45790</v>
      </c>
      <c r="AS41" s="10">
        <v>81000</v>
      </c>
      <c r="AT41" s="10" t="s">
        <v>157</v>
      </c>
      <c r="AU41" s="10" t="s">
        <v>295</v>
      </c>
      <c r="AV41" s="36" t="s">
        <v>313</v>
      </c>
      <c r="AW41" s="1">
        <v>46193</v>
      </c>
    </row>
    <row r="42" spans="1:49" x14ac:dyDescent="0.25">
      <c r="A42" s="9" t="s">
        <v>553</v>
      </c>
      <c r="B42" s="10" t="s">
        <v>583</v>
      </c>
      <c r="C42" s="10">
        <v>0</v>
      </c>
      <c r="D42" s="10" t="s">
        <v>91</v>
      </c>
      <c r="E42" s="10"/>
      <c r="F42" s="10"/>
      <c r="G42" s="10"/>
      <c r="H42" s="10" t="s">
        <v>52</v>
      </c>
      <c r="I42" s="10">
        <v>2</v>
      </c>
      <c r="J42" s="10" t="s">
        <v>613</v>
      </c>
      <c r="K42" s="10" t="s">
        <v>42</v>
      </c>
      <c r="L42" s="10">
        <f>Table1[[#This Row],[ENR]]-Table1[[#This Row],[CREDIT]]</f>
        <v>-86444.88</v>
      </c>
      <c r="M42" s="36">
        <v>200000</v>
      </c>
      <c r="N42" s="26">
        <v>113555.12</v>
      </c>
      <c r="O42" s="38" t="s">
        <v>43</v>
      </c>
      <c r="P42" s="25">
        <v>113555.12</v>
      </c>
      <c r="Q42" s="25">
        <v>101334.66</v>
      </c>
      <c r="R42" s="10">
        <v>19020</v>
      </c>
      <c r="S42" s="39">
        <v>7770</v>
      </c>
      <c r="T42" s="10" t="s">
        <v>44</v>
      </c>
      <c r="U42" s="10" t="s">
        <v>45</v>
      </c>
      <c r="V42" s="10">
        <v>0</v>
      </c>
      <c r="W42" s="25">
        <f>Table1[[#This Row],[STAB]]-Table1[[#This Row],[AMOUNT]]</f>
        <v>7770</v>
      </c>
      <c r="X42" s="10">
        <v>0</v>
      </c>
      <c r="Y42" s="10" t="s">
        <v>79</v>
      </c>
      <c r="Z42" s="10">
        <v>0</v>
      </c>
      <c r="AA42" s="10" t="s">
        <v>113</v>
      </c>
      <c r="AB42" s="41" t="s">
        <v>376</v>
      </c>
      <c r="AC42" s="10"/>
      <c r="AD42" s="9" t="s">
        <v>644</v>
      </c>
      <c r="AE42" s="10" t="s">
        <v>674</v>
      </c>
      <c r="AF42" s="10" t="s">
        <v>85</v>
      </c>
      <c r="AG42" s="10" t="s">
        <v>54</v>
      </c>
      <c r="AH42" s="10" t="s">
        <v>89</v>
      </c>
      <c r="AI42" s="10" t="s">
        <v>106</v>
      </c>
      <c r="AJ42" s="10">
        <v>802370852</v>
      </c>
      <c r="AK42" s="10" t="s">
        <v>105</v>
      </c>
      <c r="AL42" s="10"/>
      <c r="AM42" s="10"/>
      <c r="AN42" s="11" t="s">
        <v>390</v>
      </c>
      <c r="AO42" s="10" t="s">
        <v>398</v>
      </c>
      <c r="AP42" s="10" t="s">
        <v>744</v>
      </c>
      <c r="AQ42" s="10" t="s">
        <v>739</v>
      </c>
      <c r="AR42" s="2">
        <v>45521</v>
      </c>
      <c r="AS42" s="10">
        <v>9640.31</v>
      </c>
      <c r="AT42" s="10" t="s">
        <v>48</v>
      </c>
      <c r="AU42" s="10" t="s">
        <v>691</v>
      </c>
      <c r="AV42" s="36" t="s">
        <v>711</v>
      </c>
      <c r="AW42" s="1">
        <v>46193</v>
      </c>
    </row>
    <row r="43" spans="1:49" x14ac:dyDescent="0.25">
      <c r="A43" s="9" t="s">
        <v>177</v>
      </c>
      <c r="B43" s="10" t="s">
        <v>204</v>
      </c>
      <c r="C43" s="10">
        <v>0</v>
      </c>
      <c r="D43" s="10" t="s">
        <v>91</v>
      </c>
      <c r="E43" s="10"/>
      <c r="F43" s="10"/>
      <c r="G43" s="10"/>
      <c r="H43" s="10" t="s">
        <v>52</v>
      </c>
      <c r="I43" s="10">
        <v>2</v>
      </c>
      <c r="J43" s="10" t="s">
        <v>231</v>
      </c>
      <c r="K43" s="10" t="s">
        <v>42</v>
      </c>
      <c r="L43" s="10">
        <f>Table1[[#This Row],[ENR]]-Table1[[#This Row],[CREDIT]]</f>
        <v>10824.410000000003</v>
      </c>
      <c r="M43" s="36">
        <v>100000</v>
      </c>
      <c r="N43" s="26">
        <v>110824.41</v>
      </c>
      <c r="O43" s="38" t="s">
        <v>43</v>
      </c>
      <c r="P43" s="25">
        <v>110824.41</v>
      </c>
      <c r="Q43" s="25">
        <v>99965.15</v>
      </c>
      <c r="R43" s="10">
        <v>27360</v>
      </c>
      <c r="S43" s="39">
        <v>10540</v>
      </c>
      <c r="T43" s="10" t="s">
        <v>44</v>
      </c>
      <c r="U43" s="10" t="s">
        <v>45</v>
      </c>
      <c r="V43" s="10">
        <v>0</v>
      </c>
      <c r="W43" s="25">
        <f>Table1[[#This Row],[STAB]]-Table1[[#This Row],[AMOUNT]]</f>
        <v>10540</v>
      </c>
      <c r="X43" s="10">
        <v>0</v>
      </c>
      <c r="Y43" s="10" t="s">
        <v>79</v>
      </c>
      <c r="Z43" s="10">
        <v>0</v>
      </c>
      <c r="AA43" s="10" t="s">
        <v>113</v>
      </c>
      <c r="AB43" s="10" t="s">
        <v>133</v>
      </c>
      <c r="AC43" s="10" t="s">
        <v>527</v>
      </c>
      <c r="AD43" s="9" t="s">
        <v>340</v>
      </c>
      <c r="AE43" s="10" t="s">
        <v>259</v>
      </c>
      <c r="AF43" s="10" t="s">
        <v>283</v>
      </c>
      <c r="AG43" s="10" t="s">
        <v>53</v>
      </c>
      <c r="AH43" s="10" t="s">
        <v>356</v>
      </c>
      <c r="AI43" s="10" t="s">
        <v>2962</v>
      </c>
      <c r="AJ43" s="10">
        <v>801601134</v>
      </c>
      <c r="AK43" s="10" t="s">
        <v>104</v>
      </c>
      <c r="AL43" s="10"/>
      <c r="AM43" s="10"/>
      <c r="AN43" s="11" t="s">
        <v>390</v>
      </c>
      <c r="AO43" s="10" t="s">
        <v>398</v>
      </c>
      <c r="AP43" s="10" t="s">
        <v>397</v>
      </c>
      <c r="AQ43" s="10" t="s">
        <v>393</v>
      </c>
      <c r="AR43" s="2">
        <v>45960</v>
      </c>
      <c r="AS43" s="10">
        <v>7000</v>
      </c>
      <c r="AT43" s="10" t="s">
        <v>290</v>
      </c>
      <c r="AU43" s="10" t="s">
        <v>295</v>
      </c>
      <c r="AV43" s="36" t="s">
        <v>310</v>
      </c>
      <c r="AW43" s="1">
        <v>46193</v>
      </c>
    </row>
    <row r="44" spans="1:49" x14ac:dyDescent="0.25">
      <c r="A44" s="9" t="s">
        <v>551</v>
      </c>
      <c r="B44" s="10" t="s">
        <v>581</v>
      </c>
      <c r="C44" s="10">
        <v>0</v>
      </c>
      <c r="D44" s="10" t="s">
        <v>91</v>
      </c>
      <c r="E44" s="10"/>
      <c r="F44" s="10"/>
      <c r="G44" s="10"/>
      <c r="H44" s="10" t="s">
        <v>52</v>
      </c>
      <c r="I44" s="10">
        <v>2</v>
      </c>
      <c r="J44" s="10" t="s">
        <v>611</v>
      </c>
      <c r="K44" s="10" t="s">
        <v>42</v>
      </c>
      <c r="L44" s="10">
        <f>Table1[[#This Row],[ENR]]-Table1[[#This Row],[CREDIT]]</f>
        <v>10289.350000000006</v>
      </c>
      <c r="M44" s="36">
        <v>100000</v>
      </c>
      <c r="N44" s="26">
        <v>110289.35</v>
      </c>
      <c r="O44" s="38" t="s">
        <v>43</v>
      </c>
      <c r="P44" s="25">
        <v>110289.35</v>
      </c>
      <c r="Q44" s="25">
        <v>99994.72</v>
      </c>
      <c r="R44" s="10">
        <v>29820</v>
      </c>
      <c r="S44" s="39">
        <v>5000</v>
      </c>
      <c r="T44" s="10" t="s">
        <v>57</v>
      </c>
      <c r="U44" s="10" t="s">
        <v>13</v>
      </c>
      <c r="V44" s="10">
        <v>74426</v>
      </c>
      <c r="W44" s="25">
        <f>Table1[[#This Row],[STAB]]-Table1[[#This Row],[AMOUNT]]</f>
        <v>-69426</v>
      </c>
      <c r="X44" s="10" t="s">
        <v>1961</v>
      </c>
      <c r="Y44" s="10" t="s">
        <v>402</v>
      </c>
      <c r="Z44" s="10" t="s">
        <v>403</v>
      </c>
      <c r="AA44" s="10" t="s">
        <v>113</v>
      </c>
      <c r="AB44" s="36" t="s">
        <v>374</v>
      </c>
      <c r="AC44" s="10"/>
      <c r="AD44" s="9" t="s">
        <v>642</v>
      </c>
      <c r="AE44" s="10" t="s">
        <v>672</v>
      </c>
      <c r="AF44" s="10" t="s">
        <v>686</v>
      </c>
      <c r="AG44" s="10" t="s">
        <v>324</v>
      </c>
      <c r="AH44" s="10" t="s">
        <v>722</v>
      </c>
      <c r="AI44" s="10" t="s">
        <v>370</v>
      </c>
      <c r="AJ44" s="10">
        <v>801448854</v>
      </c>
      <c r="AK44" s="10" t="s">
        <v>105</v>
      </c>
      <c r="AL44" s="10"/>
      <c r="AM44" s="10"/>
      <c r="AN44" s="11" t="s">
        <v>390</v>
      </c>
      <c r="AO44" s="10" t="s">
        <v>398</v>
      </c>
      <c r="AP44" s="10" t="s">
        <v>1408</v>
      </c>
      <c r="AQ44" s="10" t="s">
        <v>1401</v>
      </c>
      <c r="AR44" s="2">
        <v>45766</v>
      </c>
      <c r="AS44" s="10">
        <v>23500</v>
      </c>
      <c r="AT44" s="10" t="s">
        <v>96</v>
      </c>
      <c r="AU44" s="10" t="s">
        <v>691</v>
      </c>
      <c r="AV44" s="36" t="s">
        <v>709</v>
      </c>
      <c r="AW44" s="1">
        <v>46193</v>
      </c>
    </row>
    <row r="45" spans="1:49" x14ac:dyDescent="0.25">
      <c r="A45" s="9" t="s">
        <v>552</v>
      </c>
      <c r="B45" s="10" t="s">
        <v>582</v>
      </c>
      <c r="C45" s="10">
        <v>0</v>
      </c>
      <c r="D45" s="10" t="s">
        <v>91</v>
      </c>
      <c r="E45" s="10"/>
      <c r="F45" s="10"/>
      <c r="G45" s="10"/>
      <c r="H45" s="10" t="s">
        <v>52</v>
      </c>
      <c r="I45" s="10">
        <v>2</v>
      </c>
      <c r="J45" s="10" t="s">
        <v>612</v>
      </c>
      <c r="K45" s="10" t="s">
        <v>42</v>
      </c>
      <c r="L45" s="10">
        <f>Table1[[#This Row],[ENR]]-Table1[[#This Row],[CREDIT]]</f>
        <v>8662.5</v>
      </c>
      <c r="M45" s="36">
        <v>100000</v>
      </c>
      <c r="N45" s="26">
        <v>108662.5</v>
      </c>
      <c r="O45" s="38" t="s">
        <v>43</v>
      </c>
      <c r="P45" s="25">
        <v>108662.5</v>
      </c>
      <c r="Q45" s="25">
        <v>100000</v>
      </c>
      <c r="R45" s="10">
        <v>26650</v>
      </c>
      <c r="S45" s="39">
        <v>5000</v>
      </c>
      <c r="T45" s="10" t="s">
        <v>57</v>
      </c>
      <c r="U45" s="10" t="s">
        <v>13</v>
      </c>
      <c r="V45" s="10">
        <v>77000</v>
      </c>
      <c r="W45" s="25">
        <f>Table1[[#This Row],[STAB]]-Table1[[#This Row],[AMOUNT]]</f>
        <v>-72000</v>
      </c>
      <c r="X45" s="10" t="s">
        <v>1401</v>
      </c>
      <c r="Y45" s="10" t="s">
        <v>396</v>
      </c>
      <c r="Z45" s="10" t="s">
        <v>964</v>
      </c>
      <c r="AA45" s="10" t="s">
        <v>113</v>
      </c>
      <c r="AB45" s="36" t="s">
        <v>375</v>
      </c>
      <c r="AC45" s="10"/>
      <c r="AD45" s="9" t="s">
        <v>643</v>
      </c>
      <c r="AE45" s="10" t="s">
        <v>673</v>
      </c>
      <c r="AF45" s="10" t="s">
        <v>285</v>
      </c>
      <c r="AG45" s="10" t="s">
        <v>54</v>
      </c>
      <c r="AH45" s="10" t="s">
        <v>98</v>
      </c>
      <c r="AI45" s="10" t="s">
        <v>727</v>
      </c>
      <c r="AJ45" s="10">
        <v>802898520</v>
      </c>
      <c r="AK45" s="10" t="s">
        <v>104</v>
      </c>
      <c r="AL45" s="10"/>
      <c r="AM45" s="10"/>
      <c r="AN45" s="11" t="s">
        <v>390</v>
      </c>
      <c r="AO45" s="10" t="s">
        <v>398</v>
      </c>
      <c r="AP45" s="10" t="s">
        <v>1409</v>
      </c>
      <c r="AQ45" s="10" t="s">
        <v>1401</v>
      </c>
      <c r="AR45" s="2" t="s">
        <v>43</v>
      </c>
      <c r="AS45" s="10">
        <v>0</v>
      </c>
      <c r="AT45" s="10" t="s">
        <v>48</v>
      </c>
      <c r="AU45" s="10" t="s">
        <v>691</v>
      </c>
      <c r="AV45" s="36" t="s">
        <v>710</v>
      </c>
      <c r="AW45" s="1">
        <v>46193</v>
      </c>
    </row>
    <row r="46" spans="1:49" x14ac:dyDescent="0.25">
      <c r="A46" s="9" t="s">
        <v>550</v>
      </c>
      <c r="B46" s="10" t="s">
        <v>580</v>
      </c>
      <c r="C46" s="10">
        <v>0</v>
      </c>
      <c r="D46" s="10" t="s">
        <v>91</v>
      </c>
      <c r="E46" s="10"/>
      <c r="F46" s="10"/>
      <c r="G46" s="10"/>
      <c r="H46" s="10" t="s">
        <v>52</v>
      </c>
      <c r="I46" s="10">
        <v>2</v>
      </c>
      <c r="J46" s="10" t="s">
        <v>610</v>
      </c>
      <c r="K46" s="10" t="s">
        <v>42</v>
      </c>
      <c r="L46" s="10">
        <f>Table1[[#This Row],[ENR]]-Table1[[#This Row],[CREDIT]]</f>
        <v>-310362.45</v>
      </c>
      <c r="M46" s="36">
        <v>410000</v>
      </c>
      <c r="N46" s="26">
        <v>99637.55</v>
      </c>
      <c r="O46" s="38" t="s">
        <v>43</v>
      </c>
      <c r="P46" s="25">
        <v>99637.55</v>
      </c>
      <c r="Q46" s="25">
        <v>89854.9</v>
      </c>
      <c r="R46" s="10">
        <v>15460</v>
      </c>
      <c r="S46" s="39">
        <v>5280</v>
      </c>
      <c r="T46" s="10" t="s">
        <v>57</v>
      </c>
      <c r="U46" s="10" t="s">
        <v>13</v>
      </c>
      <c r="V46" s="10">
        <v>15460</v>
      </c>
      <c r="W46" s="25">
        <f>Table1[[#This Row],[STAB]]-Table1[[#This Row],[AMOUNT]]</f>
        <v>-10180</v>
      </c>
      <c r="X46" s="10" t="s">
        <v>1961</v>
      </c>
      <c r="Y46" s="10" t="s">
        <v>402</v>
      </c>
      <c r="Z46" s="10" t="s">
        <v>403</v>
      </c>
      <c r="AA46" s="10" t="s">
        <v>113</v>
      </c>
      <c r="AB46" s="10" t="s">
        <v>133</v>
      </c>
      <c r="AC46" s="10"/>
      <c r="AD46" s="9" t="s">
        <v>641</v>
      </c>
      <c r="AE46" s="10" t="s">
        <v>671</v>
      </c>
      <c r="AF46" s="10" t="s">
        <v>272</v>
      </c>
      <c r="AG46" s="10" t="s">
        <v>54</v>
      </c>
      <c r="AH46" s="10" t="s">
        <v>357</v>
      </c>
      <c r="AI46" s="10" t="s">
        <v>1960</v>
      </c>
      <c r="AJ46" s="10">
        <v>801264672</v>
      </c>
      <c r="AK46" s="10" t="s">
        <v>1959</v>
      </c>
      <c r="AL46" s="10"/>
      <c r="AM46" s="10"/>
      <c r="AN46" s="11" t="s">
        <v>390</v>
      </c>
      <c r="AO46" s="10" t="s">
        <v>398</v>
      </c>
      <c r="AP46" s="10" t="s">
        <v>862</v>
      </c>
      <c r="AQ46" s="10" t="s">
        <v>855</v>
      </c>
      <c r="AR46" s="2">
        <v>46131</v>
      </c>
      <c r="AS46" s="10">
        <v>5380</v>
      </c>
      <c r="AT46" s="10" t="s">
        <v>48</v>
      </c>
      <c r="AU46" s="10" t="s">
        <v>691</v>
      </c>
      <c r="AV46" s="36" t="s">
        <v>708</v>
      </c>
      <c r="AW46" s="1">
        <v>46193</v>
      </c>
    </row>
    <row r="47" spans="1:49" x14ac:dyDescent="0.25">
      <c r="A47" s="9" t="s">
        <v>169</v>
      </c>
      <c r="B47" s="10" t="s">
        <v>196</v>
      </c>
      <c r="C47" s="10">
        <v>0</v>
      </c>
      <c r="D47" s="10" t="s">
        <v>91</v>
      </c>
      <c r="E47" s="10"/>
      <c r="F47" s="10"/>
      <c r="G47" s="10"/>
      <c r="H47" s="10" t="s">
        <v>52</v>
      </c>
      <c r="I47" s="10">
        <v>2</v>
      </c>
      <c r="J47" s="10" t="s">
        <v>223</v>
      </c>
      <c r="K47" s="10" t="s">
        <v>42</v>
      </c>
      <c r="L47" s="10">
        <f>Table1[[#This Row],[ENR]]-Table1[[#This Row],[CREDIT]]</f>
        <v>7269.7400000000052</v>
      </c>
      <c r="M47" s="36">
        <v>92000</v>
      </c>
      <c r="N47" s="26">
        <v>99269.74</v>
      </c>
      <c r="O47" s="38">
        <v>31312.15</v>
      </c>
      <c r="P47" s="25">
        <v>67957.59</v>
      </c>
      <c r="Q47" s="25">
        <v>59904.89</v>
      </c>
      <c r="R47" s="10">
        <v>16700</v>
      </c>
      <c r="S47" s="39">
        <v>7060</v>
      </c>
      <c r="T47" s="10" t="s">
        <v>44</v>
      </c>
      <c r="U47" s="10" t="s">
        <v>45</v>
      </c>
      <c r="V47" s="10">
        <v>0</v>
      </c>
      <c r="W47" s="25">
        <f>Table1[[#This Row],[STAB]]-Table1[[#This Row],[AMOUNT]]</f>
        <v>7060</v>
      </c>
      <c r="X47" s="10">
        <v>0</v>
      </c>
      <c r="Y47" s="10" t="s">
        <v>79</v>
      </c>
      <c r="Z47" s="10">
        <v>0</v>
      </c>
      <c r="AA47" s="10" t="s">
        <v>113</v>
      </c>
      <c r="AB47" s="36" t="s">
        <v>132</v>
      </c>
      <c r="AC47" s="10" t="s">
        <v>527</v>
      </c>
      <c r="AD47" s="9" t="s">
        <v>341</v>
      </c>
      <c r="AE47" s="10" t="s">
        <v>251</v>
      </c>
      <c r="AF47" s="10" t="s">
        <v>276</v>
      </c>
      <c r="AG47" s="10" t="s">
        <v>324</v>
      </c>
      <c r="AH47" s="10" t="s">
        <v>354</v>
      </c>
      <c r="AI47" s="10" t="s">
        <v>367</v>
      </c>
      <c r="AJ47" s="10">
        <v>801436997</v>
      </c>
      <c r="AK47" s="10" t="s">
        <v>104</v>
      </c>
      <c r="AL47" s="10"/>
      <c r="AM47" s="10"/>
      <c r="AN47" s="11" t="s">
        <v>390</v>
      </c>
      <c r="AO47" s="10" t="s">
        <v>398</v>
      </c>
      <c r="AP47" s="10" t="s">
        <v>738</v>
      </c>
      <c r="AQ47" s="10" t="s">
        <v>730</v>
      </c>
      <c r="AR47" s="2">
        <v>46118</v>
      </c>
      <c r="AS47" s="10">
        <v>18580</v>
      </c>
      <c r="AT47" s="10" t="s">
        <v>47</v>
      </c>
      <c r="AU47" s="10" t="s">
        <v>295</v>
      </c>
      <c r="AV47" s="36" t="s">
        <v>302</v>
      </c>
      <c r="AW47" s="1">
        <v>46193</v>
      </c>
    </row>
    <row r="48" spans="1:49" x14ac:dyDescent="0.25">
      <c r="A48" s="40" t="s">
        <v>549</v>
      </c>
      <c r="B48" s="11" t="s">
        <v>579</v>
      </c>
      <c r="C48" s="10">
        <v>0</v>
      </c>
      <c r="D48" s="10" t="s">
        <v>91</v>
      </c>
      <c r="E48" s="11"/>
      <c r="F48" s="11"/>
      <c r="G48" s="11"/>
      <c r="H48" s="10" t="s">
        <v>52</v>
      </c>
      <c r="I48" s="11">
        <v>2</v>
      </c>
      <c r="J48" s="11" t="s">
        <v>609</v>
      </c>
      <c r="K48" s="11" t="s">
        <v>42</v>
      </c>
      <c r="L48" s="11">
        <f>Table1[[#This Row],[ENR]]-Table1[[#This Row],[CREDIT]]</f>
        <v>-66038.97</v>
      </c>
      <c r="M48" s="41">
        <v>160000</v>
      </c>
      <c r="N48" s="42">
        <v>93961.03</v>
      </c>
      <c r="O48" s="43" t="s">
        <v>43</v>
      </c>
      <c r="P48" s="44">
        <v>93961.03</v>
      </c>
      <c r="Q48" s="44">
        <v>84598.98</v>
      </c>
      <c r="R48" s="11">
        <v>14670</v>
      </c>
      <c r="S48" s="45">
        <v>4990</v>
      </c>
      <c r="T48" s="10" t="s">
        <v>44</v>
      </c>
      <c r="U48" s="10" t="s">
        <v>45</v>
      </c>
      <c r="V48" s="10">
        <v>0</v>
      </c>
      <c r="W48" s="44">
        <f>Table1[[#This Row],[STAB]]-Table1[[#This Row],[AMOUNT]]</f>
        <v>4990</v>
      </c>
      <c r="X48" s="10">
        <v>0</v>
      </c>
      <c r="Y48" s="10" t="s">
        <v>79</v>
      </c>
      <c r="Z48" s="10">
        <v>0</v>
      </c>
      <c r="AA48" s="10" t="s">
        <v>113</v>
      </c>
      <c r="AB48" s="36" t="s">
        <v>132</v>
      </c>
      <c r="AC48" s="11"/>
      <c r="AD48" s="40" t="s">
        <v>640</v>
      </c>
      <c r="AE48" s="11" t="s">
        <v>670</v>
      </c>
      <c r="AF48" s="11" t="s">
        <v>281</v>
      </c>
      <c r="AG48" s="11" t="s">
        <v>54</v>
      </c>
      <c r="AH48" s="10" t="s">
        <v>724</v>
      </c>
      <c r="AI48" s="10" t="s">
        <v>365</v>
      </c>
      <c r="AJ48" s="11">
        <v>802824019</v>
      </c>
      <c r="AK48" s="11" t="s">
        <v>360</v>
      </c>
      <c r="AL48" s="11"/>
      <c r="AM48" s="11"/>
      <c r="AN48" s="11" t="s">
        <v>46</v>
      </c>
      <c r="AO48" s="11" t="s">
        <v>398</v>
      </c>
      <c r="AP48" s="11" t="s">
        <v>969</v>
      </c>
      <c r="AQ48" s="11" t="s">
        <v>739</v>
      </c>
      <c r="AR48" s="46">
        <v>46127</v>
      </c>
      <c r="AS48" s="11">
        <v>16080</v>
      </c>
      <c r="AT48" s="11" t="s">
        <v>48</v>
      </c>
      <c r="AU48" s="10" t="s">
        <v>691</v>
      </c>
      <c r="AV48" s="41" t="s">
        <v>707</v>
      </c>
      <c r="AW48" s="47">
        <v>46193</v>
      </c>
    </row>
    <row r="49" spans="1:49" x14ac:dyDescent="0.25">
      <c r="A49" s="9" t="s">
        <v>542</v>
      </c>
      <c r="B49" s="10" t="s">
        <v>572</v>
      </c>
      <c r="C49" s="10">
        <v>0</v>
      </c>
      <c r="D49" s="10" t="s">
        <v>91</v>
      </c>
      <c r="E49" s="10"/>
      <c r="F49" s="10"/>
      <c r="G49" s="10"/>
      <c r="H49" s="10" t="s">
        <v>52</v>
      </c>
      <c r="I49" s="10">
        <v>2</v>
      </c>
      <c r="J49" s="10" t="s">
        <v>602</v>
      </c>
      <c r="K49" s="10" t="s">
        <v>42</v>
      </c>
      <c r="L49" s="10">
        <f>Table1[[#This Row],[ENR]]-Table1[[#This Row],[CREDIT]]</f>
        <v>-21.830000000001746</v>
      </c>
      <c r="M49" s="36">
        <v>92000</v>
      </c>
      <c r="N49" s="26">
        <v>91978.17</v>
      </c>
      <c r="O49" s="38" t="s">
        <v>43</v>
      </c>
      <c r="P49" s="25">
        <v>91978.17</v>
      </c>
      <c r="Q49" s="25">
        <v>80936.320000000007</v>
      </c>
      <c r="R49" s="10">
        <v>15760</v>
      </c>
      <c r="S49" s="39">
        <v>6400</v>
      </c>
      <c r="T49" s="10" t="s">
        <v>44</v>
      </c>
      <c r="U49" s="10" t="s">
        <v>45</v>
      </c>
      <c r="V49" s="10">
        <v>0</v>
      </c>
      <c r="W49" s="25">
        <f>Table1[[#This Row],[STAB]]-Table1[[#This Row],[AMOUNT]]</f>
        <v>6400</v>
      </c>
      <c r="X49" s="10">
        <v>0</v>
      </c>
      <c r="Y49" s="10" t="s">
        <v>79</v>
      </c>
      <c r="Z49" s="10">
        <v>0</v>
      </c>
      <c r="AA49" s="10" t="s">
        <v>113</v>
      </c>
      <c r="AB49" s="36" t="s">
        <v>375</v>
      </c>
      <c r="AC49" s="10"/>
      <c r="AD49" s="9" t="s">
        <v>633</v>
      </c>
      <c r="AE49" s="10" t="s">
        <v>663</v>
      </c>
      <c r="AF49" s="10" t="s">
        <v>685</v>
      </c>
      <c r="AG49" s="10" t="s">
        <v>54</v>
      </c>
      <c r="AH49" s="10" t="s">
        <v>1398</v>
      </c>
      <c r="AI49" s="10" t="s">
        <v>162</v>
      </c>
      <c r="AJ49" s="10">
        <v>801772794</v>
      </c>
      <c r="AK49" s="10" t="s">
        <v>361</v>
      </c>
      <c r="AL49" s="10"/>
      <c r="AM49" s="10"/>
      <c r="AN49" s="11" t="s">
        <v>46</v>
      </c>
      <c r="AO49" s="10"/>
      <c r="AP49" s="10"/>
      <c r="AQ49" s="10"/>
      <c r="AR49" s="2">
        <v>45957</v>
      </c>
      <c r="AS49" s="10">
        <v>8236.27</v>
      </c>
      <c r="AT49" s="10" t="s">
        <v>48</v>
      </c>
      <c r="AU49" s="10" t="s">
        <v>691</v>
      </c>
      <c r="AV49" s="36" t="s">
        <v>700</v>
      </c>
      <c r="AW49" s="1">
        <v>46193</v>
      </c>
    </row>
    <row r="50" spans="1:49" x14ac:dyDescent="0.25">
      <c r="A50" s="9" t="s">
        <v>547</v>
      </c>
      <c r="B50" s="10" t="s">
        <v>577</v>
      </c>
      <c r="C50" s="10">
        <v>0</v>
      </c>
      <c r="D50" s="10" t="s">
        <v>91</v>
      </c>
      <c r="E50" s="10"/>
      <c r="F50" s="10"/>
      <c r="G50" s="10"/>
      <c r="H50" s="10" t="s">
        <v>52</v>
      </c>
      <c r="I50" s="10">
        <v>2</v>
      </c>
      <c r="J50" s="10" t="s">
        <v>607</v>
      </c>
      <c r="K50" s="10" t="s">
        <v>42</v>
      </c>
      <c r="L50" s="10">
        <f>Table1[[#This Row],[ENR]]-Table1[[#This Row],[CREDIT]]</f>
        <v>-5980.5200000000041</v>
      </c>
      <c r="M50" s="36">
        <v>90000</v>
      </c>
      <c r="N50" s="26">
        <v>84019.48</v>
      </c>
      <c r="O50" s="38" t="s">
        <v>43</v>
      </c>
      <c r="P50" s="25">
        <v>84019.48</v>
      </c>
      <c r="Q50" s="25">
        <v>75779.72</v>
      </c>
      <c r="R50" s="10">
        <v>14630</v>
      </c>
      <c r="S50" s="39">
        <v>5887</v>
      </c>
      <c r="T50" s="10" t="s">
        <v>57</v>
      </c>
      <c r="U50" s="10" t="s">
        <v>14</v>
      </c>
      <c r="V50" s="25">
        <v>6000</v>
      </c>
      <c r="W50" s="25">
        <f>Table1[[#This Row],[STAB]]-Table1[[#This Row],[AMOUNT]]</f>
        <v>-113</v>
      </c>
      <c r="X50" s="10" t="s">
        <v>1401</v>
      </c>
      <c r="Y50" s="10" t="s">
        <v>388</v>
      </c>
      <c r="Z50" s="10" t="s">
        <v>403</v>
      </c>
      <c r="AA50" s="10" t="s">
        <v>113</v>
      </c>
      <c r="AB50" s="36" t="s">
        <v>131</v>
      </c>
      <c r="AC50" s="10"/>
      <c r="AD50" s="9" t="s">
        <v>638</v>
      </c>
      <c r="AE50" s="10" t="s">
        <v>668</v>
      </c>
      <c r="AF50" s="10" t="s">
        <v>273</v>
      </c>
      <c r="AG50" s="10" t="s">
        <v>323</v>
      </c>
      <c r="AH50" s="10" t="s">
        <v>352</v>
      </c>
      <c r="AI50" s="10" t="s">
        <v>363</v>
      </c>
      <c r="AJ50" s="10">
        <v>802913252</v>
      </c>
      <c r="AK50" s="10" t="s">
        <v>104</v>
      </c>
      <c r="AL50" s="10"/>
      <c r="AM50" s="10"/>
      <c r="AN50" s="11" t="s">
        <v>390</v>
      </c>
      <c r="AO50" s="10" t="s">
        <v>398</v>
      </c>
      <c r="AP50" s="10" t="s">
        <v>1406</v>
      </c>
      <c r="AQ50" s="10" t="s">
        <v>1401</v>
      </c>
      <c r="AR50" s="2">
        <v>46127</v>
      </c>
      <c r="AS50" s="10">
        <v>16557.04</v>
      </c>
      <c r="AT50" s="10" t="s">
        <v>48</v>
      </c>
      <c r="AU50" s="10" t="s">
        <v>691</v>
      </c>
      <c r="AV50" s="36" t="s">
        <v>705</v>
      </c>
      <c r="AW50" s="1">
        <v>46193</v>
      </c>
    </row>
    <row r="51" spans="1:49" x14ac:dyDescent="0.25">
      <c r="A51" s="9" t="s">
        <v>179</v>
      </c>
      <c r="B51" s="10" t="s">
        <v>206</v>
      </c>
      <c r="C51" s="10">
        <v>0</v>
      </c>
      <c r="D51" s="10" t="s">
        <v>91</v>
      </c>
      <c r="E51" s="10"/>
      <c r="F51" s="10"/>
      <c r="G51" s="10"/>
      <c r="H51" s="10" t="s">
        <v>84</v>
      </c>
      <c r="I51" s="10">
        <v>2</v>
      </c>
      <c r="J51" s="10" t="s">
        <v>233</v>
      </c>
      <c r="K51" s="10" t="s">
        <v>42</v>
      </c>
      <c r="L51" s="10">
        <f>Table1[[#This Row],[ENR]]-Table1[[#This Row],[CREDIT]]</f>
        <v>3609.0899999999965</v>
      </c>
      <c r="M51" s="36">
        <v>80000</v>
      </c>
      <c r="N51" s="26">
        <v>83609.09</v>
      </c>
      <c r="O51" s="38" t="s">
        <v>43</v>
      </c>
      <c r="P51" s="25">
        <v>83609.09</v>
      </c>
      <c r="Q51" s="25">
        <v>78446.009999999995</v>
      </c>
      <c r="R51" s="10">
        <v>17520</v>
      </c>
      <c r="S51" s="39">
        <v>8340</v>
      </c>
      <c r="T51" s="10" t="s">
        <v>57</v>
      </c>
      <c r="U51" s="10" t="s">
        <v>14</v>
      </c>
      <c r="V51" s="25">
        <v>8500</v>
      </c>
      <c r="W51" s="25">
        <f>Table1[[#This Row],[STAB]]-Table1[[#This Row],[AMOUNT]]</f>
        <v>-160</v>
      </c>
      <c r="X51" s="10" t="s">
        <v>959</v>
      </c>
      <c r="Y51" s="10" t="s">
        <v>402</v>
      </c>
      <c r="Z51" s="10" t="s">
        <v>403</v>
      </c>
      <c r="AA51" s="10" t="s">
        <v>113</v>
      </c>
      <c r="AB51" s="36" t="s">
        <v>132</v>
      </c>
      <c r="AC51" s="10" t="s">
        <v>527</v>
      </c>
      <c r="AD51" s="9" t="s">
        <v>342</v>
      </c>
      <c r="AE51" s="10" t="s">
        <v>261</v>
      </c>
      <c r="AF51" s="10" t="s">
        <v>276</v>
      </c>
      <c r="AG51" s="10" t="s">
        <v>324</v>
      </c>
      <c r="AH51" s="10" t="s">
        <v>354</v>
      </c>
      <c r="AI51" s="10" t="s">
        <v>367</v>
      </c>
      <c r="AJ51" s="10">
        <v>801436997</v>
      </c>
      <c r="AK51" s="10" t="s">
        <v>104</v>
      </c>
      <c r="AL51" s="10"/>
      <c r="AM51" s="10"/>
      <c r="AN51" s="11" t="s">
        <v>390</v>
      </c>
      <c r="AO51" s="10" t="s">
        <v>394</v>
      </c>
      <c r="AP51" s="10" t="s">
        <v>865</v>
      </c>
      <c r="AQ51" s="10" t="s">
        <v>855</v>
      </c>
      <c r="AR51" s="2">
        <v>45772</v>
      </c>
      <c r="AS51" s="10">
        <v>101</v>
      </c>
      <c r="AT51" s="10" t="s">
        <v>48</v>
      </c>
      <c r="AU51" s="10" t="s">
        <v>295</v>
      </c>
      <c r="AV51" s="36" t="s">
        <v>312</v>
      </c>
      <c r="AW51" s="1">
        <v>46193</v>
      </c>
    </row>
    <row r="52" spans="1:49" x14ac:dyDescent="0.25">
      <c r="A52" s="9" t="s">
        <v>546</v>
      </c>
      <c r="B52" s="10" t="s">
        <v>576</v>
      </c>
      <c r="C52" s="10">
        <v>0</v>
      </c>
      <c r="D52" s="10" t="s">
        <v>91</v>
      </c>
      <c r="E52" s="10"/>
      <c r="F52" s="10"/>
      <c r="G52" s="10"/>
      <c r="H52" s="10" t="s">
        <v>52</v>
      </c>
      <c r="I52" s="10">
        <v>2</v>
      </c>
      <c r="J52" s="10" t="s">
        <v>606</v>
      </c>
      <c r="K52" s="10" t="s">
        <v>42</v>
      </c>
      <c r="L52" s="10">
        <f>Table1[[#This Row],[ENR]]-Table1[[#This Row],[CREDIT]]</f>
        <v>-618059.07000000007</v>
      </c>
      <c r="M52" s="36">
        <v>700000</v>
      </c>
      <c r="N52" s="26">
        <v>81940.929999999993</v>
      </c>
      <c r="O52" s="38" t="s">
        <v>43</v>
      </c>
      <c r="P52" s="25">
        <v>81940.929999999993</v>
      </c>
      <c r="Q52" s="25">
        <v>72171.88</v>
      </c>
      <c r="R52" s="10">
        <v>16810</v>
      </c>
      <c r="S52" s="39">
        <v>8400</v>
      </c>
      <c r="T52" s="10" t="s">
        <v>57</v>
      </c>
      <c r="U52" s="10" t="s">
        <v>13</v>
      </c>
      <c r="V52" s="10">
        <v>81940.929999999993</v>
      </c>
      <c r="W52" s="25">
        <f>Table1[[#This Row],[STAB]]-Table1[[#This Row],[AMOUNT]]</f>
        <v>-73540.929999999993</v>
      </c>
      <c r="X52" s="10" t="s">
        <v>1961</v>
      </c>
      <c r="Y52" s="10" t="s">
        <v>402</v>
      </c>
      <c r="Z52" s="10" t="s">
        <v>403</v>
      </c>
      <c r="AA52" s="10" t="s">
        <v>113</v>
      </c>
      <c r="AB52" s="36" t="s">
        <v>132</v>
      </c>
      <c r="AC52" s="10"/>
      <c r="AD52" s="9" t="s">
        <v>637</v>
      </c>
      <c r="AE52" s="10" t="s">
        <v>667</v>
      </c>
      <c r="AF52" s="10" t="s">
        <v>383</v>
      </c>
      <c r="AG52" s="10" t="s">
        <v>53</v>
      </c>
      <c r="AH52" s="10" t="s">
        <v>55</v>
      </c>
      <c r="AI52" s="10" t="s">
        <v>365</v>
      </c>
      <c r="AJ52" s="10">
        <v>802824019</v>
      </c>
      <c r="AK52" s="10" t="s">
        <v>360</v>
      </c>
      <c r="AL52" s="10"/>
      <c r="AM52" s="10"/>
      <c r="AN52" s="11" t="s">
        <v>390</v>
      </c>
      <c r="AO52" s="10" t="s">
        <v>398</v>
      </c>
      <c r="AP52" s="10" t="s">
        <v>954</v>
      </c>
      <c r="AQ52" s="10" t="s">
        <v>855</v>
      </c>
      <c r="AR52" s="2">
        <v>45736</v>
      </c>
      <c r="AS52" s="10">
        <v>2720</v>
      </c>
      <c r="AT52" s="10" t="s">
        <v>48</v>
      </c>
      <c r="AU52" s="10" t="s">
        <v>691</v>
      </c>
      <c r="AV52" s="36" t="s">
        <v>704</v>
      </c>
      <c r="AW52" s="1">
        <v>46193</v>
      </c>
    </row>
    <row r="53" spans="1:49" x14ac:dyDescent="0.25">
      <c r="A53" s="40" t="s">
        <v>187</v>
      </c>
      <c r="B53" s="11" t="s">
        <v>214</v>
      </c>
      <c r="C53" s="10">
        <v>0</v>
      </c>
      <c r="D53" s="10" t="s">
        <v>91</v>
      </c>
      <c r="E53" s="11"/>
      <c r="F53" s="11"/>
      <c r="G53" s="11"/>
      <c r="H53" s="10" t="s">
        <v>52</v>
      </c>
      <c r="I53" s="11">
        <v>2</v>
      </c>
      <c r="J53" s="11" t="s">
        <v>241</v>
      </c>
      <c r="K53" s="11" t="s">
        <v>42</v>
      </c>
      <c r="L53" s="11">
        <f>Table1[[#This Row],[ENR]]-Table1[[#This Row],[CREDIT]]</f>
        <v>11275.800000000003</v>
      </c>
      <c r="M53" s="41">
        <v>70000</v>
      </c>
      <c r="N53" s="42">
        <v>81275.8</v>
      </c>
      <c r="O53" s="43" t="s">
        <v>43</v>
      </c>
      <c r="P53" s="44">
        <v>81275.8</v>
      </c>
      <c r="Q53" s="44">
        <v>69895.820000000007</v>
      </c>
      <c r="R53" s="11">
        <v>25430</v>
      </c>
      <c r="S53" s="45">
        <v>12780</v>
      </c>
      <c r="T53" s="10" t="s">
        <v>57</v>
      </c>
      <c r="U53" s="10" t="s">
        <v>13</v>
      </c>
      <c r="V53" s="10">
        <v>81275.8</v>
      </c>
      <c r="W53" s="44">
        <f>Table1[[#This Row],[STAB]]-Table1[[#This Row],[AMOUNT]]</f>
        <v>-68495.8</v>
      </c>
      <c r="X53" s="10" t="s">
        <v>393</v>
      </c>
      <c r="Y53" s="10" t="s">
        <v>396</v>
      </c>
      <c r="Z53" s="10" t="s">
        <v>403</v>
      </c>
      <c r="AA53" s="10" t="s">
        <v>113</v>
      </c>
      <c r="AB53" s="36" t="s">
        <v>375</v>
      </c>
      <c r="AC53" s="11" t="s">
        <v>527</v>
      </c>
      <c r="AD53" s="40" t="s">
        <v>343</v>
      </c>
      <c r="AE53" s="11" t="s">
        <v>269</v>
      </c>
      <c r="AF53" s="11" t="s">
        <v>287</v>
      </c>
      <c r="AG53" s="11" t="s">
        <v>324</v>
      </c>
      <c r="AH53" s="11" t="s">
        <v>56</v>
      </c>
      <c r="AI53" s="10" t="s">
        <v>370</v>
      </c>
      <c r="AJ53" s="11">
        <v>801448854</v>
      </c>
      <c r="AK53" s="11" t="s">
        <v>105</v>
      </c>
      <c r="AL53" s="11"/>
      <c r="AM53" s="11"/>
      <c r="AN53" s="11" t="s">
        <v>390</v>
      </c>
      <c r="AO53" s="11" t="s">
        <v>392</v>
      </c>
      <c r="AP53" s="11" t="s">
        <v>401</v>
      </c>
      <c r="AQ53" s="11" t="s">
        <v>400</v>
      </c>
      <c r="AR53" s="46">
        <v>46141</v>
      </c>
      <c r="AS53" s="11">
        <v>69900</v>
      </c>
      <c r="AT53" s="11" t="s">
        <v>294</v>
      </c>
      <c r="AU53" s="10" t="s">
        <v>295</v>
      </c>
      <c r="AV53" s="41" t="s">
        <v>320</v>
      </c>
      <c r="AW53" s="47">
        <v>46193</v>
      </c>
    </row>
    <row r="54" spans="1:49" x14ac:dyDescent="0.25">
      <c r="A54" s="9" t="s">
        <v>189</v>
      </c>
      <c r="B54" s="10" t="s">
        <v>216</v>
      </c>
      <c r="C54" s="10">
        <v>0</v>
      </c>
      <c r="D54" s="10" t="s">
        <v>95</v>
      </c>
      <c r="E54" s="10"/>
      <c r="F54" s="10" t="s">
        <v>112</v>
      </c>
      <c r="G54" s="10" t="s">
        <v>4945</v>
      </c>
      <c r="H54" s="10" t="s">
        <v>84</v>
      </c>
      <c r="I54" s="10">
        <v>2</v>
      </c>
      <c r="J54" s="10" t="s">
        <v>243</v>
      </c>
      <c r="K54" s="10" t="s">
        <v>42</v>
      </c>
      <c r="L54" s="10">
        <f>Table1[[#This Row],[ENR]]-Table1[[#This Row],[CREDIT]]</f>
        <v>-19324.300000000003</v>
      </c>
      <c r="M54" s="36">
        <v>100000</v>
      </c>
      <c r="N54" s="26">
        <v>80675.7</v>
      </c>
      <c r="O54" s="38" t="s">
        <v>43</v>
      </c>
      <c r="P54" s="25">
        <v>80675.7</v>
      </c>
      <c r="Q54" s="25">
        <v>74673.38</v>
      </c>
      <c r="R54" s="10">
        <v>75240</v>
      </c>
      <c r="S54" s="39">
        <v>37150</v>
      </c>
      <c r="T54" s="10" t="s">
        <v>57</v>
      </c>
      <c r="U54" s="10" t="s">
        <v>14</v>
      </c>
      <c r="V54" s="10">
        <v>37300</v>
      </c>
      <c r="W54" s="25">
        <f>Table1[[#This Row],[STAB]]-Table1[[#This Row],[AMOUNT]]</f>
        <v>-150</v>
      </c>
      <c r="X54" s="10" t="s">
        <v>395</v>
      </c>
      <c r="Y54" s="10" t="s">
        <v>396</v>
      </c>
      <c r="Z54" s="10">
        <v>0</v>
      </c>
      <c r="AA54" s="10" t="s">
        <v>113</v>
      </c>
      <c r="AB54" s="36" t="s">
        <v>374</v>
      </c>
      <c r="AC54" s="10" t="e">
        <v>#N/A</v>
      </c>
      <c r="AD54" s="9" t="s">
        <v>344</v>
      </c>
      <c r="AE54" s="10" t="s">
        <v>271</v>
      </c>
      <c r="AF54" s="10" t="s">
        <v>273</v>
      </c>
      <c r="AG54" s="10" t="s">
        <v>323</v>
      </c>
      <c r="AH54" s="10" t="s">
        <v>352</v>
      </c>
      <c r="AI54" s="10" t="s">
        <v>363</v>
      </c>
      <c r="AJ54" s="10">
        <v>802913252</v>
      </c>
      <c r="AK54" s="10" t="s">
        <v>104</v>
      </c>
      <c r="AL54" s="10"/>
      <c r="AM54" s="10"/>
      <c r="AN54" s="11" t="s">
        <v>390</v>
      </c>
      <c r="AO54" s="10"/>
      <c r="AP54" s="10"/>
      <c r="AQ54" s="10"/>
      <c r="AR54" s="2">
        <v>46174</v>
      </c>
      <c r="AS54" s="10">
        <v>4500</v>
      </c>
      <c r="AT54" s="10" t="s">
        <v>48</v>
      </c>
      <c r="AU54" s="10" t="s">
        <v>295</v>
      </c>
      <c r="AV54" s="36" t="s">
        <v>322</v>
      </c>
      <c r="AW54" s="1">
        <v>46193</v>
      </c>
    </row>
    <row r="55" spans="1:49" x14ac:dyDescent="0.25">
      <c r="A55" s="9" t="s">
        <v>166</v>
      </c>
      <c r="B55" s="10" t="s">
        <v>193</v>
      </c>
      <c r="C55" s="10">
        <v>0</v>
      </c>
      <c r="D55" s="10" t="s">
        <v>91</v>
      </c>
      <c r="E55" s="10"/>
      <c r="F55" s="10"/>
      <c r="G55" s="10"/>
      <c r="H55" s="10" t="s">
        <v>52</v>
      </c>
      <c r="I55" s="10">
        <v>2</v>
      </c>
      <c r="J55" s="10" t="s">
        <v>220</v>
      </c>
      <c r="K55" s="10" t="s">
        <v>244</v>
      </c>
      <c r="L55" s="10">
        <f>Table1[[#This Row],[ENR]]-Table1[[#This Row],[CREDIT]]</f>
        <v>-45439.05</v>
      </c>
      <c r="M55" s="36">
        <v>120000</v>
      </c>
      <c r="N55" s="26">
        <v>74560.95</v>
      </c>
      <c r="O55" s="38" t="s">
        <v>43</v>
      </c>
      <c r="P55" s="25">
        <v>74560.95</v>
      </c>
      <c r="Q55" s="25">
        <v>67725.22</v>
      </c>
      <c r="R55" s="10">
        <v>10670</v>
      </c>
      <c r="S55" s="39">
        <v>4100</v>
      </c>
      <c r="T55" s="10" t="s">
        <v>57</v>
      </c>
      <c r="U55" s="10" t="s">
        <v>14</v>
      </c>
      <c r="V55" s="25">
        <v>4200</v>
      </c>
      <c r="W55" s="25">
        <f>Table1[[#This Row],[STAB]]-Table1[[#This Row],[AMOUNT]]</f>
        <v>-100</v>
      </c>
      <c r="X55" s="10" t="s">
        <v>526</v>
      </c>
      <c r="Y55" s="10" t="s">
        <v>402</v>
      </c>
      <c r="Z55" s="10" t="s">
        <v>964</v>
      </c>
      <c r="AA55" s="10" t="s">
        <v>113</v>
      </c>
      <c r="AB55" s="36" t="s">
        <v>375</v>
      </c>
      <c r="AC55" s="10" t="s">
        <v>527</v>
      </c>
      <c r="AD55" s="9" t="s">
        <v>345</v>
      </c>
      <c r="AE55" s="10" t="s">
        <v>248</v>
      </c>
      <c r="AF55" s="10" t="s">
        <v>275</v>
      </c>
      <c r="AG55" s="10" t="s">
        <v>80</v>
      </c>
      <c r="AH55" s="10" t="s">
        <v>87</v>
      </c>
      <c r="AI55" s="10" t="s">
        <v>368</v>
      </c>
      <c r="AJ55" s="10">
        <v>802823175</v>
      </c>
      <c r="AK55" s="10" t="s">
        <v>105</v>
      </c>
      <c r="AL55" s="10"/>
      <c r="AM55" s="10"/>
      <c r="AN55" s="11" t="s">
        <v>390</v>
      </c>
      <c r="AO55" s="10" t="s">
        <v>392</v>
      </c>
      <c r="AP55" s="10" t="s">
        <v>731</v>
      </c>
      <c r="AQ55" s="10" t="s">
        <v>730</v>
      </c>
      <c r="AR55" s="2">
        <v>46139</v>
      </c>
      <c r="AS55" s="10">
        <v>20000</v>
      </c>
      <c r="AT55" s="10" t="s">
        <v>288</v>
      </c>
      <c r="AU55" s="10" t="s">
        <v>295</v>
      </c>
      <c r="AV55" s="36" t="s">
        <v>299</v>
      </c>
      <c r="AW55" s="1">
        <v>46193</v>
      </c>
    </row>
    <row r="56" spans="1:49" x14ac:dyDescent="0.25">
      <c r="A56" s="9" t="s">
        <v>188</v>
      </c>
      <c r="B56" s="10" t="s">
        <v>215</v>
      </c>
      <c r="C56" s="10">
        <v>0</v>
      </c>
      <c r="D56" s="10" t="s">
        <v>91</v>
      </c>
      <c r="E56" s="10"/>
      <c r="F56" s="10"/>
      <c r="G56" s="10"/>
      <c r="H56" s="10" t="s">
        <v>52</v>
      </c>
      <c r="I56" s="10">
        <v>2</v>
      </c>
      <c r="J56" s="10" t="s">
        <v>242</v>
      </c>
      <c r="K56" s="10" t="s">
        <v>42</v>
      </c>
      <c r="L56" s="10">
        <f>Table1[[#This Row],[ENR]]-Table1[[#This Row],[CREDIT]]</f>
        <v>-179189.37</v>
      </c>
      <c r="M56" s="36">
        <v>250000</v>
      </c>
      <c r="N56" s="26">
        <v>70810.63</v>
      </c>
      <c r="O56" s="38" t="s">
        <v>43</v>
      </c>
      <c r="P56" s="25">
        <v>70810.63</v>
      </c>
      <c r="Q56" s="25">
        <v>53868.14</v>
      </c>
      <c r="R56" s="10">
        <v>22200</v>
      </c>
      <c r="S56" s="39">
        <v>15290</v>
      </c>
      <c r="T56" s="10" t="s">
        <v>44</v>
      </c>
      <c r="U56" s="10" t="s">
        <v>45</v>
      </c>
      <c r="V56" s="10">
        <v>0</v>
      </c>
      <c r="W56" s="25">
        <f>Table1[[#This Row],[STAB]]-Table1[[#This Row],[AMOUNT]]</f>
        <v>15290</v>
      </c>
      <c r="X56" s="10">
        <v>0</v>
      </c>
      <c r="Y56" s="10" t="s">
        <v>79</v>
      </c>
      <c r="Z56" s="10">
        <v>0</v>
      </c>
      <c r="AA56" s="10" t="s">
        <v>113</v>
      </c>
      <c r="AB56" s="36" t="s">
        <v>132</v>
      </c>
      <c r="AC56" s="10" t="s">
        <v>527</v>
      </c>
      <c r="AD56" s="9" t="s">
        <v>346</v>
      </c>
      <c r="AE56" s="10" t="s">
        <v>270</v>
      </c>
      <c r="AF56" s="10" t="s">
        <v>283</v>
      </c>
      <c r="AG56" s="10" t="s">
        <v>53</v>
      </c>
      <c r="AH56" s="10" t="s">
        <v>356</v>
      </c>
      <c r="AI56" s="10" t="s">
        <v>2962</v>
      </c>
      <c r="AJ56" s="10">
        <v>801601134</v>
      </c>
      <c r="AK56" s="10" t="s">
        <v>104</v>
      </c>
      <c r="AL56" s="10"/>
      <c r="AM56" s="10"/>
      <c r="AN56" s="11" t="s">
        <v>46</v>
      </c>
      <c r="AO56" s="10"/>
      <c r="AP56" s="10"/>
      <c r="AQ56" s="10"/>
      <c r="AR56" s="2">
        <v>45920</v>
      </c>
      <c r="AS56" s="10">
        <v>6150</v>
      </c>
      <c r="AT56" s="10" t="s">
        <v>48</v>
      </c>
      <c r="AU56" s="10" t="s">
        <v>295</v>
      </c>
      <c r="AV56" s="36" t="s">
        <v>321</v>
      </c>
      <c r="AW56" s="1">
        <v>46193</v>
      </c>
    </row>
    <row r="57" spans="1:49" x14ac:dyDescent="0.25">
      <c r="A57" s="9" t="s">
        <v>170</v>
      </c>
      <c r="B57" s="10" t="s">
        <v>197</v>
      </c>
      <c r="C57" s="10">
        <v>0</v>
      </c>
      <c r="D57" s="10" t="s">
        <v>91</v>
      </c>
      <c r="E57" s="10"/>
      <c r="F57" s="10"/>
      <c r="G57" s="10"/>
      <c r="H57" s="10" t="s">
        <v>52</v>
      </c>
      <c r="I57" s="10">
        <v>2</v>
      </c>
      <c r="J57" s="10" t="s">
        <v>224</v>
      </c>
      <c r="K57" s="10" t="s">
        <v>42</v>
      </c>
      <c r="L57" s="10">
        <f>Table1[[#This Row],[ENR]]-Table1[[#This Row],[CREDIT]]</f>
        <v>186.52999999999884</v>
      </c>
      <c r="M57" s="36">
        <v>70000</v>
      </c>
      <c r="N57" s="26">
        <v>70186.53</v>
      </c>
      <c r="O57" s="38" t="s">
        <v>43</v>
      </c>
      <c r="P57" s="25">
        <v>70186.53</v>
      </c>
      <c r="Q57" s="25">
        <v>61102.62</v>
      </c>
      <c r="R57" s="10">
        <v>12780</v>
      </c>
      <c r="S57" s="39">
        <v>5160</v>
      </c>
      <c r="T57" s="10" t="s">
        <v>44</v>
      </c>
      <c r="U57" s="10" t="s">
        <v>45</v>
      </c>
      <c r="V57" s="10">
        <v>0</v>
      </c>
      <c r="W57" s="25">
        <f>Table1[[#This Row],[STAB]]-Table1[[#This Row],[AMOUNT]]</f>
        <v>5160</v>
      </c>
      <c r="X57" s="10">
        <v>0</v>
      </c>
      <c r="Y57" s="10" t="s">
        <v>79</v>
      </c>
      <c r="Z57" s="10">
        <v>0</v>
      </c>
      <c r="AA57" s="10" t="s">
        <v>113</v>
      </c>
      <c r="AB57" s="36" t="s">
        <v>131</v>
      </c>
      <c r="AC57" s="10" t="s">
        <v>527</v>
      </c>
      <c r="AD57" s="9" t="s">
        <v>347</v>
      </c>
      <c r="AE57" s="10" t="s">
        <v>252</v>
      </c>
      <c r="AF57" s="10" t="s">
        <v>278</v>
      </c>
      <c r="AG57" s="10" t="s">
        <v>54</v>
      </c>
      <c r="AH57" s="10" t="s">
        <v>86</v>
      </c>
      <c r="AI57" s="10" t="s">
        <v>368</v>
      </c>
      <c r="AJ57" s="10">
        <v>802823175</v>
      </c>
      <c r="AK57" s="10" t="s">
        <v>105</v>
      </c>
      <c r="AL57" s="10"/>
      <c r="AM57" s="10"/>
      <c r="AN57" s="11" t="s">
        <v>390</v>
      </c>
      <c r="AO57" s="10" t="s">
        <v>392</v>
      </c>
      <c r="AP57" s="10" t="s">
        <v>740</v>
      </c>
      <c r="AQ57" s="10" t="s">
        <v>739</v>
      </c>
      <c r="AR57" s="2">
        <v>45866</v>
      </c>
      <c r="AS57" s="10">
        <v>69509</v>
      </c>
      <c r="AT57" s="10" t="s">
        <v>48</v>
      </c>
      <c r="AU57" s="10" t="s">
        <v>295</v>
      </c>
      <c r="AV57" s="36" t="s">
        <v>303</v>
      </c>
      <c r="AW57" s="1">
        <v>46193</v>
      </c>
    </row>
    <row r="58" spans="1:49" x14ac:dyDescent="0.25">
      <c r="A58" s="9" t="s">
        <v>173</v>
      </c>
      <c r="B58" s="10" t="s">
        <v>200</v>
      </c>
      <c r="C58" s="10">
        <v>0</v>
      </c>
      <c r="D58" s="10" t="s">
        <v>91</v>
      </c>
      <c r="E58" s="10"/>
      <c r="F58" s="10"/>
      <c r="G58" s="10"/>
      <c r="H58" s="10" t="s">
        <v>52</v>
      </c>
      <c r="I58" s="10">
        <v>2</v>
      </c>
      <c r="J58" s="10" t="s">
        <v>227</v>
      </c>
      <c r="K58" s="10" t="s">
        <v>42</v>
      </c>
      <c r="L58" s="10">
        <f>Table1[[#This Row],[ENR]]-Table1[[#This Row],[CREDIT]]</f>
        <v>-137134.76999999999</v>
      </c>
      <c r="M58" s="36">
        <v>200000</v>
      </c>
      <c r="N58" s="26">
        <v>62865.23</v>
      </c>
      <c r="O58" s="38" t="s">
        <v>43</v>
      </c>
      <c r="P58" s="25">
        <v>62865.23</v>
      </c>
      <c r="Q58" s="25">
        <v>24519.9</v>
      </c>
      <c r="R58" s="10">
        <v>10830</v>
      </c>
      <c r="S58" s="39">
        <v>5310</v>
      </c>
      <c r="T58" s="10" t="s">
        <v>57</v>
      </c>
      <c r="U58" s="10" t="s">
        <v>14</v>
      </c>
      <c r="V58" s="25">
        <v>5500</v>
      </c>
      <c r="W58" s="25">
        <f>Table1[[#This Row],[STAB]]-Table1[[#This Row],[AMOUNT]]</f>
        <v>-190</v>
      </c>
      <c r="X58" s="10" t="s">
        <v>1401</v>
      </c>
      <c r="Y58" s="10" t="s">
        <v>402</v>
      </c>
      <c r="Z58" s="10" t="s">
        <v>964</v>
      </c>
      <c r="AA58" s="10" t="s">
        <v>113</v>
      </c>
      <c r="AB58" s="10" t="s">
        <v>133</v>
      </c>
      <c r="AC58" s="10" t="s">
        <v>529</v>
      </c>
      <c r="AD58" s="9" t="s">
        <v>348</v>
      </c>
      <c r="AE58" s="10" t="s">
        <v>255</v>
      </c>
      <c r="AF58" s="10" t="s">
        <v>280</v>
      </c>
      <c r="AG58" s="10" t="s">
        <v>54</v>
      </c>
      <c r="AH58" s="10" t="s">
        <v>358</v>
      </c>
      <c r="AI58" s="10" t="s">
        <v>365</v>
      </c>
      <c r="AJ58" s="10">
        <v>802824019</v>
      </c>
      <c r="AK58" s="10" t="s">
        <v>360</v>
      </c>
      <c r="AL58" s="10"/>
      <c r="AM58" s="10"/>
      <c r="AN58" s="11" t="s">
        <v>390</v>
      </c>
      <c r="AO58" s="10"/>
      <c r="AP58" s="10"/>
      <c r="AQ58" s="10"/>
      <c r="AR58" s="2">
        <v>46172</v>
      </c>
      <c r="AS58" s="10">
        <v>6000</v>
      </c>
      <c r="AT58" s="10" t="s">
        <v>48</v>
      </c>
      <c r="AU58" s="10" t="s">
        <v>295</v>
      </c>
      <c r="AV58" s="36" t="s">
        <v>306</v>
      </c>
      <c r="AW58" s="1">
        <v>46193</v>
      </c>
    </row>
    <row r="59" spans="1:49" x14ac:dyDescent="0.25">
      <c r="A59" s="9" t="s">
        <v>539</v>
      </c>
      <c r="B59" s="10" t="s">
        <v>569</v>
      </c>
      <c r="C59" s="10">
        <v>0</v>
      </c>
      <c r="D59" s="10" t="s">
        <v>91</v>
      </c>
      <c r="E59" s="10"/>
      <c r="F59" s="10"/>
      <c r="G59" s="10"/>
      <c r="H59" s="10" t="s">
        <v>52</v>
      </c>
      <c r="I59" s="10">
        <v>2</v>
      </c>
      <c r="J59" s="10" t="s">
        <v>599</v>
      </c>
      <c r="K59" s="10" t="s">
        <v>42</v>
      </c>
      <c r="L59" s="10">
        <f>Table1[[#This Row],[ENR]]-Table1[[#This Row],[CREDIT]]</f>
        <v>-98377.36</v>
      </c>
      <c r="M59" s="36">
        <v>160000</v>
      </c>
      <c r="N59" s="26">
        <v>61622.64</v>
      </c>
      <c r="O59" s="38" t="s">
        <v>43</v>
      </c>
      <c r="P59" s="25">
        <v>61622.64</v>
      </c>
      <c r="Q59" s="25">
        <v>51173.21</v>
      </c>
      <c r="R59" s="10">
        <v>15410</v>
      </c>
      <c r="S59" s="39">
        <v>8940</v>
      </c>
      <c r="T59" s="10" t="s">
        <v>57</v>
      </c>
      <c r="U59" s="10" t="s">
        <v>13</v>
      </c>
      <c r="V59" s="10">
        <v>15410</v>
      </c>
      <c r="W59" s="25">
        <f>Table1[[#This Row],[STAB]]-Table1[[#This Row],[AMOUNT]]</f>
        <v>-6470</v>
      </c>
      <c r="X59" s="10" t="s">
        <v>739</v>
      </c>
      <c r="Y59" s="10" t="s">
        <v>402</v>
      </c>
      <c r="Z59" s="10" t="s">
        <v>403</v>
      </c>
      <c r="AA59" s="10" t="s">
        <v>113</v>
      </c>
      <c r="AB59" s="36" t="s">
        <v>131</v>
      </c>
      <c r="AC59" s="10"/>
      <c r="AD59" s="9" t="s">
        <v>630</v>
      </c>
      <c r="AE59" s="10" t="s">
        <v>660</v>
      </c>
      <c r="AF59" s="10" t="s">
        <v>499</v>
      </c>
      <c r="AG59" s="10" t="s">
        <v>53</v>
      </c>
      <c r="AH59" s="10" t="s">
        <v>55</v>
      </c>
      <c r="AI59" s="10" t="s">
        <v>365</v>
      </c>
      <c r="AJ59" s="10">
        <v>802824019</v>
      </c>
      <c r="AK59" s="10" t="s">
        <v>360</v>
      </c>
      <c r="AL59" s="10"/>
      <c r="AM59" s="10"/>
      <c r="AN59" s="11" t="s">
        <v>390</v>
      </c>
      <c r="AO59" s="10"/>
      <c r="AP59" s="10"/>
      <c r="AQ59" s="10"/>
      <c r="AR59" s="2" t="s">
        <v>43</v>
      </c>
      <c r="AS59" s="10">
        <v>0</v>
      </c>
      <c r="AT59" s="10" t="s">
        <v>48</v>
      </c>
      <c r="AU59" s="10" t="s">
        <v>691</v>
      </c>
      <c r="AV59" s="36" t="s">
        <v>697</v>
      </c>
      <c r="AW59" s="1">
        <v>46193</v>
      </c>
    </row>
    <row r="60" spans="1:49" x14ac:dyDescent="0.25">
      <c r="A60" s="9" t="s">
        <v>181</v>
      </c>
      <c r="B60" s="10" t="s">
        <v>208</v>
      </c>
      <c r="C60" s="10">
        <v>0</v>
      </c>
      <c r="D60" s="10" t="s">
        <v>91</v>
      </c>
      <c r="E60" s="10"/>
      <c r="F60" s="10"/>
      <c r="G60" s="10"/>
      <c r="H60" s="10" t="s">
        <v>52</v>
      </c>
      <c r="I60" s="10">
        <v>2</v>
      </c>
      <c r="J60" s="10" t="s">
        <v>235</v>
      </c>
      <c r="K60" s="10" t="s">
        <v>42</v>
      </c>
      <c r="L60" s="10">
        <f>Table1[[#This Row],[ENR]]-Table1[[#This Row],[CREDIT]]</f>
        <v>-349168.33</v>
      </c>
      <c r="M60" s="36">
        <v>410000</v>
      </c>
      <c r="N60" s="26">
        <v>60831.67</v>
      </c>
      <c r="O60" s="38">
        <v>16440.95</v>
      </c>
      <c r="P60" s="25">
        <v>44390.720000000001</v>
      </c>
      <c r="Q60" s="25">
        <v>39029.5</v>
      </c>
      <c r="R60" s="10">
        <v>15110</v>
      </c>
      <c r="S60" s="39">
        <v>6190</v>
      </c>
      <c r="T60" s="10" t="s">
        <v>57</v>
      </c>
      <c r="U60" s="10" t="s">
        <v>13</v>
      </c>
      <c r="V60" s="10">
        <v>44391</v>
      </c>
      <c r="W60" s="25">
        <f>Table1[[#This Row],[STAB]]-Table1[[#This Row],[AMOUNT]]</f>
        <v>-38201</v>
      </c>
      <c r="X60" s="10">
        <v>0</v>
      </c>
      <c r="Y60" s="10" t="s">
        <v>388</v>
      </c>
      <c r="Z60" s="10" t="s">
        <v>961</v>
      </c>
      <c r="AA60" s="10" t="s">
        <v>113</v>
      </c>
      <c r="AB60" s="36" t="s">
        <v>131</v>
      </c>
      <c r="AC60" s="10" t="s">
        <v>527</v>
      </c>
      <c r="AD60" s="9" t="s">
        <v>349</v>
      </c>
      <c r="AE60" s="10" t="s">
        <v>263</v>
      </c>
      <c r="AF60" s="10" t="s">
        <v>284</v>
      </c>
      <c r="AG60" s="10" t="s">
        <v>324</v>
      </c>
      <c r="AH60" s="10" t="s">
        <v>355</v>
      </c>
      <c r="AI60" s="10" t="s">
        <v>372</v>
      </c>
      <c r="AJ60" s="10">
        <v>801597759</v>
      </c>
      <c r="AK60" s="10" t="s">
        <v>362</v>
      </c>
      <c r="AL60" s="10"/>
      <c r="AM60" s="10"/>
      <c r="AN60" s="11" t="s">
        <v>390</v>
      </c>
      <c r="AO60" s="10" t="s">
        <v>398</v>
      </c>
      <c r="AP60" s="10" t="s">
        <v>404</v>
      </c>
      <c r="AQ60" s="10" t="s">
        <v>400</v>
      </c>
      <c r="AR60" s="2">
        <v>46010</v>
      </c>
      <c r="AS60" s="10">
        <v>49000</v>
      </c>
      <c r="AT60" s="10" t="s">
        <v>48</v>
      </c>
      <c r="AU60" s="10" t="s">
        <v>295</v>
      </c>
      <c r="AV60" s="36" t="s">
        <v>314</v>
      </c>
      <c r="AW60" s="1">
        <v>46193</v>
      </c>
    </row>
    <row r="61" spans="1:49" x14ac:dyDescent="0.25">
      <c r="A61" s="9" t="s">
        <v>536</v>
      </c>
      <c r="B61" s="10" t="s">
        <v>566</v>
      </c>
      <c r="C61" s="10">
        <v>0</v>
      </c>
      <c r="D61" s="10" t="s">
        <v>91</v>
      </c>
      <c r="E61" s="10"/>
      <c r="F61" s="10"/>
      <c r="G61" s="10"/>
      <c r="H61" s="10" t="s">
        <v>52</v>
      </c>
      <c r="I61" s="10">
        <v>2</v>
      </c>
      <c r="J61" s="10" t="s">
        <v>596</v>
      </c>
      <c r="K61" s="10" t="s">
        <v>244</v>
      </c>
      <c r="L61" s="10">
        <f>Table1[[#This Row],[ENR]]-Table1[[#This Row],[CREDIT]]</f>
        <v>-20476.32</v>
      </c>
      <c r="M61" s="36">
        <v>80000</v>
      </c>
      <c r="N61" s="26">
        <v>59523.68</v>
      </c>
      <c r="O61" s="38" t="s">
        <v>43</v>
      </c>
      <c r="P61" s="25">
        <v>59523.68</v>
      </c>
      <c r="Q61" s="25">
        <v>54369.48</v>
      </c>
      <c r="R61" s="10">
        <v>8480</v>
      </c>
      <c r="S61" s="39">
        <v>3230</v>
      </c>
      <c r="T61" s="10" t="s">
        <v>44</v>
      </c>
      <c r="U61" s="10" t="s">
        <v>45</v>
      </c>
      <c r="V61" s="10">
        <v>0</v>
      </c>
      <c r="W61" s="25">
        <f>Table1[[#This Row],[STAB]]-Table1[[#This Row],[AMOUNT]]</f>
        <v>3230</v>
      </c>
      <c r="X61" s="10">
        <v>0</v>
      </c>
      <c r="Y61" s="10" t="s">
        <v>79</v>
      </c>
      <c r="Z61" s="10">
        <v>0</v>
      </c>
      <c r="AA61" s="10" t="s">
        <v>113</v>
      </c>
      <c r="AB61" s="36" t="s">
        <v>132</v>
      </c>
      <c r="AC61" s="10"/>
      <c r="AD61" s="9" t="s">
        <v>627</v>
      </c>
      <c r="AE61" s="10" t="s">
        <v>657</v>
      </c>
      <c r="AF61" s="10" t="s">
        <v>285</v>
      </c>
      <c r="AG61" s="10" t="s">
        <v>54</v>
      </c>
      <c r="AH61" s="10" t="s">
        <v>98</v>
      </c>
      <c r="AI61" s="10" t="s">
        <v>727</v>
      </c>
      <c r="AJ61" s="10">
        <v>802898520</v>
      </c>
      <c r="AK61" s="10" t="s">
        <v>104</v>
      </c>
      <c r="AL61" s="10"/>
      <c r="AM61" s="10"/>
      <c r="AN61" s="11" t="s">
        <v>390</v>
      </c>
      <c r="AO61" s="10" t="s">
        <v>398</v>
      </c>
      <c r="AP61" s="10" t="s">
        <v>967</v>
      </c>
      <c r="AQ61" s="10" t="s">
        <v>959</v>
      </c>
      <c r="AR61" s="2">
        <v>46071</v>
      </c>
      <c r="AS61" s="10">
        <v>7100</v>
      </c>
      <c r="AT61" s="10" t="s">
        <v>48</v>
      </c>
      <c r="AU61" s="10" t="s">
        <v>691</v>
      </c>
      <c r="AV61" s="36" t="s">
        <v>694</v>
      </c>
      <c r="AW61" s="1">
        <v>46193</v>
      </c>
    </row>
    <row r="62" spans="1:49" x14ac:dyDescent="0.25">
      <c r="A62" s="9" t="s">
        <v>183</v>
      </c>
      <c r="B62" s="10" t="s">
        <v>210</v>
      </c>
      <c r="C62" s="10">
        <v>0</v>
      </c>
      <c r="D62" s="10" t="s">
        <v>91</v>
      </c>
      <c r="E62" s="10"/>
      <c r="F62" s="10"/>
      <c r="G62" s="10"/>
      <c r="H62" s="10" t="s">
        <v>52</v>
      </c>
      <c r="I62" s="10">
        <v>2</v>
      </c>
      <c r="J62" s="10" t="s">
        <v>237</v>
      </c>
      <c r="K62" s="10" t="s">
        <v>244</v>
      </c>
      <c r="L62" s="10">
        <f>Table1[[#This Row],[ENR]]-Table1[[#This Row],[CREDIT]]</f>
        <v>-92536.63</v>
      </c>
      <c r="M62" s="36">
        <v>150000</v>
      </c>
      <c r="N62" s="26">
        <v>57463.37</v>
      </c>
      <c r="O62" s="38" t="s">
        <v>43</v>
      </c>
      <c r="P62" s="25">
        <v>57463.37</v>
      </c>
      <c r="Q62" s="25">
        <v>51508.54</v>
      </c>
      <c r="R62" s="10">
        <v>10980</v>
      </c>
      <c r="S62" s="39">
        <v>6070</v>
      </c>
      <c r="T62" s="10" t="s">
        <v>44</v>
      </c>
      <c r="U62" s="10" t="s">
        <v>45</v>
      </c>
      <c r="V62" s="10">
        <v>0</v>
      </c>
      <c r="W62" s="25">
        <f>Table1[[#This Row],[STAB]]-Table1[[#This Row],[AMOUNT]]</f>
        <v>6070</v>
      </c>
      <c r="X62" s="10">
        <v>0</v>
      </c>
      <c r="Y62" s="10" t="s">
        <v>79</v>
      </c>
      <c r="Z62" s="10">
        <v>0</v>
      </c>
      <c r="AA62" s="10" t="s">
        <v>113</v>
      </c>
      <c r="AB62" s="36" t="s">
        <v>374</v>
      </c>
      <c r="AC62" s="10" t="s">
        <v>527</v>
      </c>
      <c r="AD62" s="9" t="s">
        <v>350</v>
      </c>
      <c r="AE62" s="10" t="s">
        <v>265</v>
      </c>
      <c r="AF62" s="10" t="s">
        <v>274</v>
      </c>
      <c r="AG62" s="10" t="s">
        <v>53</v>
      </c>
      <c r="AH62" s="10" t="s">
        <v>55</v>
      </c>
      <c r="AI62" s="10" t="s">
        <v>365</v>
      </c>
      <c r="AJ62" s="10">
        <v>802824019</v>
      </c>
      <c r="AK62" s="10" t="s">
        <v>360</v>
      </c>
      <c r="AL62" s="10"/>
      <c r="AM62" s="10"/>
      <c r="AN62" s="11" t="s">
        <v>46</v>
      </c>
      <c r="AO62" s="10"/>
      <c r="AP62" s="10"/>
      <c r="AQ62" s="10"/>
      <c r="AR62" s="2">
        <v>46132</v>
      </c>
      <c r="AS62" s="10">
        <v>50000</v>
      </c>
      <c r="AT62" s="10" t="s">
        <v>291</v>
      </c>
      <c r="AU62" s="10" t="s">
        <v>295</v>
      </c>
      <c r="AV62" s="36" t="s">
        <v>316</v>
      </c>
      <c r="AW62" s="1">
        <v>46193</v>
      </c>
    </row>
    <row r="63" spans="1:49" x14ac:dyDescent="0.25">
      <c r="A63" s="9" t="s">
        <v>545</v>
      </c>
      <c r="B63" s="10" t="s">
        <v>575</v>
      </c>
      <c r="C63" s="10">
        <v>0</v>
      </c>
      <c r="D63" s="10" t="s">
        <v>91</v>
      </c>
      <c r="E63" s="10"/>
      <c r="F63" s="10"/>
      <c r="G63" s="10"/>
      <c r="H63" s="10" t="s">
        <v>52</v>
      </c>
      <c r="I63" s="10">
        <v>2</v>
      </c>
      <c r="J63" s="10" t="s">
        <v>605</v>
      </c>
      <c r="K63" s="10" t="s">
        <v>42</v>
      </c>
      <c r="L63" s="10">
        <f>Table1[[#This Row],[ENR]]-Table1[[#This Row],[CREDIT]]</f>
        <v>-143572.84</v>
      </c>
      <c r="M63" s="36">
        <v>200000</v>
      </c>
      <c r="N63" s="26">
        <v>56427.16</v>
      </c>
      <c r="O63" s="38" t="s">
        <v>43</v>
      </c>
      <c r="P63" s="25">
        <v>56427.16</v>
      </c>
      <c r="Q63" s="25">
        <v>50086.559999999998</v>
      </c>
      <c r="R63" s="10">
        <v>9360</v>
      </c>
      <c r="S63" s="39">
        <v>2990</v>
      </c>
      <c r="T63" s="10" t="s">
        <v>57</v>
      </c>
      <c r="U63" s="10" t="s">
        <v>14</v>
      </c>
      <c r="V63" s="25">
        <v>2990</v>
      </c>
      <c r="W63" s="25">
        <f>Table1[[#This Row],[STAB]]-Table1[[#This Row],[AMOUNT]]</f>
        <v>0</v>
      </c>
      <c r="X63" s="10" t="s">
        <v>1961</v>
      </c>
      <c r="Y63" s="10" t="s">
        <v>402</v>
      </c>
      <c r="Z63" s="10" t="s">
        <v>403</v>
      </c>
      <c r="AA63" s="10" t="s">
        <v>113</v>
      </c>
      <c r="AB63" s="10" t="s">
        <v>133</v>
      </c>
      <c r="AC63" s="10"/>
      <c r="AD63" s="9" t="s">
        <v>636</v>
      </c>
      <c r="AE63" s="10" t="s">
        <v>666</v>
      </c>
      <c r="AF63" s="10" t="s">
        <v>272</v>
      </c>
      <c r="AG63" s="10" t="s">
        <v>54</v>
      </c>
      <c r="AH63" s="10" t="s">
        <v>357</v>
      </c>
      <c r="AI63" s="10" t="s">
        <v>1960</v>
      </c>
      <c r="AJ63" s="10">
        <v>801264672</v>
      </c>
      <c r="AK63" s="10" t="s">
        <v>1959</v>
      </c>
      <c r="AL63" s="10"/>
      <c r="AM63" s="10"/>
      <c r="AN63" s="11" t="s">
        <v>390</v>
      </c>
      <c r="AO63" s="10" t="s">
        <v>398</v>
      </c>
      <c r="AP63" s="10" t="s">
        <v>861</v>
      </c>
      <c r="AQ63" s="10" t="s">
        <v>855</v>
      </c>
      <c r="AR63" s="2" t="s">
        <v>43</v>
      </c>
      <c r="AS63" s="10">
        <v>0</v>
      </c>
      <c r="AT63" s="10" t="s">
        <v>48</v>
      </c>
      <c r="AU63" s="10" t="s">
        <v>691</v>
      </c>
      <c r="AV63" s="36" t="s">
        <v>703</v>
      </c>
      <c r="AW63" s="1">
        <v>46193</v>
      </c>
    </row>
    <row r="64" spans="1:49" x14ac:dyDescent="0.25">
      <c r="A64" s="9" t="s">
        <v>544</v>
      </c>
      <c r="B64" s="10" t="s">
        <v>574</v>
      </c>
      <c r="C64" s="10">
        <v>0</v>
      </c>
      <c r="D64" s="10" t="s">
        <v>91</v>
      </c>
      <c r="E64" s="10"/>
      <c r="F64" s="10"/>
      <c r="G64" s="10"/>
      <c r="H64" s="10" t="s">
        <v>52</v>
      </c>
      <c r="I64" s="10">
        <v>2</v>
      </c>
      <c r="J64" s="10" t="s">
        <v>604</v>
      </c>
      <c r="K64" s="10" t="s">
        <v>42</v>
      </c>
      <c r="L64" s="10">
        <f>Table1[[#This Row],[ENR]]-Table1[[#This Row],[CREDIT]]</f>
        <v>-43731.11</v>
      </c>
      <c r="M64" s="36">
        <v>100000</v>
      </c>
      <c r="N64" s="26">
        <v>56268.89</v>
      </c>
      <c r="O64" s="38" t="s">
        <v>43</v>
      </c>
      <c r="P64" s="25">
        <v>56268.89</v>
      </c>
      <c r="Q64" s="25">
        <v>50479.67</v>
      </c>
      <c r="R64" s="10">
        <v>9260</v>
      </c>
      <c r="S64" s="39">
        <v>2890</v>
      </c>
      <c r="T64" s="10" t="s">
        <v>57</v>
      </c>
      <c r="U64" s="10" t="s">
        <v>13</v>
      </c>
      <c r="V64" s="10">
        <v>9260</v>
      </c>
      <c r="W64" s="25">
        <f>Table1[[#This Row],[STAB]]-Table1[[#This Row],[AMOUNT]]</f>
        <v>-6370</v>
      </c>
      <c r="X64" s="10" t="s">
        <v>739</v>
      </c>
      <c r="Y64" s="10" t="s">
        <v>402</v>
      </c>
      <c r="Z64" s="10" t="s">
        <v>403</v>
      </c>
      <c r="AA64" s="10" t="s">
        <v>113</v>
      </c>
      <c r="AB64" s="36" t="s">
        <v>375</v>
      </c>
      <c r="AC64" s="10"/>
      <c r="AD64" s="9" t="s">
        <v>635</v>
      </c>
      <c r="AE64" s="10" t="s">
        <v>665</v>
      </c>
      <c r="AF64" s="10" t="s">
        <v>281</v>
      </c>
      <c r="AG64" s="10" t="s">
        <v>54</v>
      </c>
      <c r="AH64" s="10" t="s">
        <v>99</v>
      </c>
      <c r="AI64" s="10" t="s">
        <v>363</v>
      </c>
      <c r="AJ64" s="10">
        <v>802913252</v>
      </c>
      <c r="AK64" s="10" t="s">
        <v>104</v>
      </c>
      <c r="AL64" s="10"/>
      <c r="AM64" s="10"/>
      <c r="AN64" s="11" t="s">
        <v>390</v>
      </c>
      <c r="AO64" s="10" t="s">
        <v>392</v>
      </c>
      <c r="AP64" s="10" t="s">
        <v>856</v>
      </c>
      <c r="AQ64" s="10" t="s">
        <v>855</v>
      </c>
      <c r="AR64" s="2">
        <v>45473</v>
      </c>
      <c r="AS64" s="10">
        <v>1702</v>
      </c>
      <c r="AT64" s="10" t="s">
        <v>48</v>
      </c>
      <c r="AU64" s="10" t="s">
        <v>691</v>
      </c>
      <c r="AV64" s="36" t="s">
        <v>702</v>
      </c>
      <c r="AW64" s="1">
        <v>46193</v>
      </c>
    </row>
    <row r="65" spans="1:49" x14ac:dyDescent="0.25">
      <c r="A65" s="9" t="s">
        <v>176</v>
      </c>
      <c r="B65" s="10" t="s">
        <v>203</v>
      </c>
      <c r="C65" s="10">
        <v>0</v>
      </c>
      <c r="D65" s="10" t="s">
        <v>91</v>
      </c>
      <c r="E65" s="10"/>
      <c r="F65" s="10"/>
      <c r="G65" s="10"/>
      <c r="H65" s="10" t="s">
        <v>52</v>
      </c>
      <c r="I65" s="10">
        <v>2</v>
      </c>
      <c r="J65" s="10" t="s">
        <v>230</v>
      </c>
      <c r="K65" s="10" t="s">
        <v>42</v>
      </c>
      <c r="L65" s="10">
        <f>Table1[[#This Row],[ENR]]-Table1[[#This Row],[CREDIT]]</f>
        <v>6192.8700000000026</v>
      </c>
      <c r="M65" s="36">
        <v>50000</v>
      </c>
      <c r="N65" s="26">
        <v>56192.87</v>
      </c>
      <c r="O65" s="38" t="s">
        <v>43</v>
      </c>
      <c r="P65" s="25">
        <v>56192.87</v>
      </c>
      <c r="Q65" s="25">
        <v>49983.25</v>
      </c>
      <c r="R65" s="10">
        <v>15200</v>
      </c>
      <c r="S65" s="39">
        <v>5290</v>
      </c>
      <c r="T65" s="10" t="s">
        <v>44</v>
      </c>
      <c r="U65" s="10" t="s">
        <v>45</v>
      </c>
      <c r="V65" s="10">
        <v>0</v>
      </c>
      <c r="W65" s="25">
        <f>Table1[[#This Row],[STAB]]-Table1[[#This Row],[AMOUNT]]</f>
        <v>5290</v>
      </c>
      <c r="X65" s="10">
        <v>0</v>
      </c>
      <c r="Y65" s="10" t="s">
        <v>79</v>
      </c>
      <c r="Z65" s="10">
        <v>0</v>
      </c>
      <c r="AA65" s="10" t="s">
        <v>113</v>
      </c>
      <c r="AB65" s="36" t="s">
        <v>375</v>
      </c>
      <c r="AC65" s="10" t="s">
        <v>527</v>
      </c>
      <c r="AD65" s="9" t="s">
        <v>351</v>
      </c>
      <c r="AE65" s="10" t="s">
        <v>258</v>
      </c>
      <c r="AF65" s="10" t="s">
        <v>111</v>
      </c>
      <c r="AG65" s="10" t="s">
        <v>53</v>
      </c>
      <c r="AH65" s="10" t="s">
        <v>92</v>
      </c>
      <c r="AI65" s="10" t="s">
        <v>113</v>
      </c>
      <c r="AJ65" s="10">
        <v>802388289</v>
      </c>
      <c r="AK65" s="10" t="s">
        <v>104</v>
      </c>
      <c r="AL65" s="10"/>
      <c r="AM65" s="10"/>
      <c r="AN65" s="11" t="s">
        <v>390</v>
      </c>
      <c r="AO65" s="10" t="s">
        <v>398</v>
      </c>
      <c r="AP65" s="10" t="s">
        <v>854</v>
      </c>
      <c r="AQ65" s="10" t="s">
        <v>855</v>
      </c>
      <c r="AR65" s="2">
        <v>46055</v>
      </c>
      <c r="AS65" s="10">
        <v>3000</v>
      </c>
      <c r="AT65" s="10" t="s">
        <v>157</v>
      </c>
      <c r="AU65" s="10" t="s">
        <v>295</v>
      </c>
      <c r="AV65" s="36" t="s">
        <v>309</v>
      </c>
      <c r="AW65" s="1">
        <v>46193</v>
      </c>
    </row>
    <row r="66" spans="1:49" x14ac:dyDescent="0.25">
      <c r="A66" s="9" t="s">
        <v>540</v>
      </c>
      <c r="B66" s="10" t="s">
        <v>570</v>
      </c>
      <c r="C66" s="10">
        <v>0</v>
      </c>
      <c r="D66" s="10" t="s">
        <v>91</v>
      </c>
      <c r="E66" s="10"/>
      <c r="F66" s="10"/>
      <c r="G66" s="10"/>
      <c r="H66" s="10" t="s">
        <v>52</v>
      </c>
      <c r="I66" s="10">
        <v>2</v>
      </c>
      <c r="J66" s="10" t="s">
        <v>600</v>
      </c>
      <c r="K66" s="10" t="s">
        <v>42</v>
      </c>
      <c r="L66" s="10">
        <f>Table1[[#This Row],[ENR]]-Table1[[#This Row],[CREDIT]]</f>
        <v>2892.0800000000017</v>
      </c>
      <c r="M66" s="36">
        <v>50000</v>
      </c>
      <c r="N66" s="26">
        <v>52892.08</v>
      </c>
      <c r="O66" s="38" t="s">
        <v>43</v>
      </c>
      <c r="P66" s="25">
        <v>52892.08</v>
      </c>
      <c r="Q66" s="25">
        <v>48808.1</v>
      </c>
      <c r="R66" s="10">
        <v>8770</v>
      </c>
      <c r="S66" s="39">
        <v>2210</v>
      </c>
      <c r="T66" s="10" t="s">
        <v>57</v>
      </c>
      <c r="U66" s="10" t="s">
        <v>13</v>
      </c>
      <c r="V66" s="10">
        <v>8770</v>
      </c>
      <c r="W66" s="25">
        <f>Table1[[#This Row],[STAB]]-Table1[[#This Row],[AMOUNT]]</f>
        <v>-6560</v>
      </c>
      <c r="X66" s="10">
        <v>0</v>
      </c>
      <c r="Y66" s="10" t="s">
        <v>388</v>
      </c>
      <c r="Z66" s="10" t="s">
        <v>403</v>
      </c>
      <c r="AA66" s="10" t="s">
        <v>113</v>
      </c>
      <c r="AB66" s="36" t="s">
        <v>374</v>
      </c>
      <c r="AC66" s="10"/>
      <c r="AD66" s="9" t="s">
        <v>631</v>
      </c>
      <c r="AE66" s="10" t="s">
        <v>661</v>
      </c>
      <c r="AF66" s="10" t="s">
        <v>272</v>
      </c>
      <c r="AG66" s="10" t="s">
        <v>54</v>
      </c>
      <c r="AH66" s="10" t="s">
        <v>58</v>
      </c>
      <c r="AI66" s="10" t="s">
        <v>133</v>
      </c>
      <c r="AJ66" s="10">
        <v>802555024</v>
      </c>
      <c r="AK66" s="10" t="s">
        <v>362</v>
      </c>
      <c r="AL66" s="10"/>
      <c r="AM66" s="10"/>
      <c r="AN66" s="11" t="s">
        <v>390</v>
      </c>
      <c r="AO66" s="10" t="s">
        <v>392</v>
      </c>
      <c r="AP66" s="10" t="s">
        <v>746</v>
      </c>
      <c r="AQ66" s="10" t="s">
        <v>739</v>
      </c>
      <c r="AR66" s="2" t="s">
        <v>43</v>
      </c>
      <c r="AS66" s="10">
        <v>0</v>
      </c>
      <c r="AT66" s="10" t="s">
        <v>48</v>
      </c>
      <c r="AU66" s="10" t="s">
        <v>691</v>
      </c>
      <c r="AV66" s="36" t="s">
        <v>698</v>
      </c>
      <c r="AW66" s="1">
        <v>46193</v>
      </c>
    </row>
    <row r="67" spans="1:49" x14ac:dyDescent="0.25">
      <c r="A67" s="9" t="s">
        <v>543</v>
      </c>
      <c r="B67" s="10" t="s">
        <v>573</v>
      </c>
      <c r="C67" s="10">
        <v>0</v>
      </c>
      <c r="D67" s="10" t="s">
        <v>91</v>
      </c>
      <c r="E67" s="10"/>
      <c r="F67" s="10"/>
      <c r="G67" s="10"/>
      <c r="H67" s="10" t="s">
        <v>52</v>
      </c>
      <c r="I67" s="10">
        <v>2</v>
      </c>
      <c r="J67" s="10" t="s">
        <v>603</v>
      </c>
      <c r="K67" s="10" t="s">
        <v>42</v>
      </c>
      <c r="L67" s="10">
        <f>Table1[[#This Row],[ENR]]-Table1[[#This Row],[CREDIT]]</f>
        <v>-109328.73999999999</v>
      </c>
      <c r="M67" s="36">
        <v>160000</v>
      </c>
      <c r="N67" s="26">
        <v>50671.26</v>
      </c>
      <c r="O67" s="38" t="s">
        <v>43</v>
      </c>
      <c r="P67" s="25">
        <v>50671.26</v>
      </c>
      <c r="Q67" s="25">
        <v>44233.87</v>
      </c>
      <c r="R67" s="10">
        <v>8980</v>
      </c>
      <c r="S67" s="39">
        <v>3410</v>
      </c>
      <c r="T67" s="10" t="s">
        <v>57</v>
      </c>
      <c r="U67" s="10" t="s">
        <v>13</v>
      </c>
      <c r="V67" s="10">
        <v>8980</v>
      </c>
      <c r="W67" s="25">
        <f>Table1[[#This Row],[STAB]]-Table1[[#This Row],[AMOUNT]]</f>
        <v>-5570</v>
      </c>
      <c r="X67" s="10" t="s">
        <v>739</v>
      </c>
      <c r="Y67" s="10" t="s">
        <v>402</v>
      </c>
      <c r="Z67" s="10" t="s">
        <v>403</v>
      </c>
      <c r="AA67" s="10" t="s">
        <v>113</v>
      </c>
      <c r="AB67" s="41" t="s">
        <v>376</v>
      </c>
      <c r="AC67" s="10"/>
      <c r="AD67" s="9" t="s">
        <v>634</v>
      </c>
      <c r="AE67" s="10" t="s">
        <v>664</v>
      </c>
      <c r="AF67" s="10" t="s">
        <v>85</v>
      </c>
      <c r="AG67" s="10" t="s">
        <v>54</v>
      </c>
      <c r="AH67" s="10" t="s">
        <v>89</v>
      </c>
      <c r="AI67" s="10" t="s">
        <v>106</v>
      </c>
      <c r="AJ67" s="10">
        <v>802370852</v>
      </c>
      <c r="AK67" s="10" t="s">
        <v>105</v>
      </c>
      <c r="AL67" s="10"/>
      <c r="AM67" s="10"/>
      <c r="AN67" s="11" t="s">
        <v>390</v>
      </c>
      <c r="AO67" s="10"/>
      <c r="AP67" s="10"/>
      <c r="AQ67" s="10"/>
      <c r="AR67" s="2" t="s">
        <v>43</v>
      </c>
      <c r="AS67" s="10">
        <v>0</v>
      </c>
      <c r="AT67" s="10" t="s">
        <v>96</v>
      </c>
      <c r="AU67" s="10" t="s">
        <v>691</v>
      </c>
      <c r="AV67" s="36" t="s">
        <v>701</v>
      </c>
      <c r="AW67" s="1">
        <v>46193</v>
      </c>
    </row>
    <row r="68" spans="1:49" x14ac:dyDescent="0.25">
      <c r="A68" s="9" t="s">
        <v>414</v>
      </c>
      <c r="B68" s="10" t="s">
        <v>432</v>
      </c>
      <c r="C68" s="10">
        <v>0</v>
      </c>
      <c r="D68" s="10" t="s">
        <v>91</v>
      </c>
      <c r="E68" s="10"/>
      <c r="F68" s="10"/>
      <c r="G68" s="10"/>
      <c r="H68" s="10" t="s">
        <v>52</v>
      </c>
      <c r="I68" s="10">
        <v>5</v>
      </c>
      <c r="J68" s="10" t="s">
        <v>450</v>
      </c>
      <c r="K68" s="10" t="s">
        <v>42</v>
      </c>
      <c r="L68" s="10">
        <f>Table1[[#This Row],[ENR]]-Table1[[#This Row],[CREDIT]]</f>
        <v>23310.530000000028</v>
      </c>
      <c r="M68" s="36">
        <v>650000</v>
      </c>
      <c r="N68" s="26">
        <v>673310.53</v>
      </c>
      <c r="O68" s="38">
        <v>439155.13</v>
      </c>
      <c r="P68" s="25">
        <v>234155.4</v>
      </c>
      <c r="Q68" s="25">
        <v>198257.75</v>
      </c>
      <c r="R68" s="10">
        <v>116310</v>
      </c>
      <c r="S68" s="39">
        <v>54940</v>
      </c>
      <c r="T68" s="10" t="s">
        <v>44</v>
      </c>
      <c r="U68" s="10" t="s">
        <v>45</v>
      </c>
      <c r="V68" s="10">
        <v>0</v>
      </c>
      <c r="W68" s="25">
        <f>Table1[[#This Row],[STAB]]-Table1[[#This Row],[AMOUNT]]</f>
        <v>54940</v>
      </c>
      <c r="X68" s="10">
        <v>0</v>
      </c>
      <c r="Y68" s="10" t="s">
        <v>79</v>
      </c>
      <c r="Z68" s="10">
        <v>0</v>
      </c>
      <c r="AA68" s="10" t="s">
        <v>162</v>
      </c>
      <c r="AB68" s="36" t="s">
        <v>733</v>
      </c>
      <c r="AC68" s="10">
        <v>0</v>
      </c>
      <c r="AD68" s="9" t="s">
        <v>469</v>
      </c>
      <c r="AE68" s="10" t="s">
        <v>487</v>
      </c>
      <c r="AF68" s="10" t="s">
        <v>280</v>
      </c>
      <c r="AG68" s="10" t="s">
        <v>54</v>
      </c>
      <c r="AH68" s="10" t="s">
        <v>523</v>
      </c>
      <c r="AI68" s="10" t="s">
        <v>371</v>
      </c>
      <c r="AJ68" s="10">
        <v>802835406</v>
      </c>
      <c r="AK68" s="10" t="s">
        <v>362</v>
      </c>
      <c r="AL68" s="10"/>
      <c r="AM68" s="10"/>
      <c r="AN68" s="11" t="s">
        <v>390</v>
      </c>
      <c r="AO68" s="10" t="s">
        <v>398</v>
      </c>
      <c r="AP68" s="10" t="s">
        <v>1962</v>
      </c>
      <c r="AQ68" s="10" t="s">
        <v>1961</v>
      </c>
      <c r="AR68" s="2">
        <v>46045</v>
      </c>
      <c r="AS68" s="10">
        <v>58593.88</v>
      </c>
      <c r="AT68" s="10" t="s">
        <v>47</v>
      </c>
      <c r="AU68" s="10" t="s">
        <v>504</v>
      </c>
      <c r="AV68" s="36" t="s">
        <v>513</v>
      </c>
      <c r="AW68" s="1">
        <v>46196</v>
      </c>
    </row>
    <row r="69" spans="1:49" x14ac:dyDescent="0.25">
      <c r="A69" s="9" t="s">
        <v>420</v>
      </c>
      <c r="B69" s="10" t="s">
        <v>438</v>
      </c>
      <c r="C69" s="10">
        <v>0</v>
      </c>
      <c r="D69" s="10" t="s">
        <v>91</v>
      </c>
      <c r="E69" s="10"/>
      <c r="F69" s="10"/>
      <c r="G69" s="10"/>
      <c r="H69" s="10" t="s">
        <v>52</v>
      </c>
      <c r="I69" s="10">
        <v>5</v>
      </c>
      <c r="J69" s="10" t="s">
        <v>456</v>
      </c>
      <c r="K69" s="10" t="s">
        <v>42</v>
      </c>
      <c r="L69" s="10">
        <f>Table1[[#This Row],[ENR]]-Table1[[#This Row],[CREDIT]]</f>
        <v>22116.229999999981</v>
      </c>
      <c r="M69" s="36">
        <v>600000</v>
      </c>
      <c r="N69" s="26">
        <v>622116.23</v>
      </c>
      <c r="O69" s="38">
        <v>126832.09</v>
      </c>
      <c r="P69" s="25">
        <v>495284.14</v>
      </c>
      <c r="Q69" s="25">
        <v>471651.25</v>
      </c>
      <c r="R69" s="10">
        <v>104540</v>
      </c>
      <c r="S69" s="39">
        <v>43560</v>
      </c>
      <c r="T69" s="10" t="s">
        <v>57</v>
      </c>
      <c r="U69" s="10" t="s">
        <v>13</v>
      </c>
      <c r="V69" s="10">
        <v>495284.14</v>
      </c>
      <c r="W69" s="25">
        <f>Table1[[#This Row],[STAB]]-Table1[[#This Row],[AMOUNT]]</f>
        <v>-451724.14</v>
      </c>
      <c r="X69" s="10" t="s">
        <v>1961</v>
      </c>
      <c r="Y69" s="10" t="s">
        <v>402</v>
      </c>
      <c r="Z69" s="10" t="s">
        <v>962</v>
      </c>
      <c r="AA69" s="10" t="s">
        <v>162</v>
      </c>
      <c r="AB69" s="36" t="s">
        <v>734</v>
      </c>
      <c r="AC69" s="10">
        <v>0</v>
      </c>
      <c r="AD69" s="9" t="s">
        <v>475</v>
      </c>
      <c r="AE69" s="10" t="s">
        <v>493</v>
      </c>
      <c r="AF69" s="10" t="s">
        <v>273</v>
      </c>
      <c r="AG69" s="10" t="s">
        <v>323</v>
      </c>
      <c r="AH69" s="10" t="s">
        <v>525</v>
      </c>
      <c r="AI69" s="10" t="s">
        <v>363</v>
      </c>
      <c r="AJ69" s="10">
        <v>802913252</v>
      </c>
      <c r="AK69" s="10" t="s">
        <v>104</v>
      </c>
      <c r="AL69" s="10"/>
      <c r="AM69" s="10"/>
      <c r="AN69" s="11" t="s">
        <v>390</v>
      </c>
      <c r="AO69" s="10" t="s">
        <v>398</v>
      </c>
      <c r="AP69" s="10" t="s">
        <v>955</v>
      </c>
      <c r="AQ69" s="10" t="s">
        <v>855</v>
      </c>
      <c r="AR69" s="2">
        <v>45483</v>
      </c>
      <c r="AS69" s="10">
        <v>15799.76</v>
      </c>
      <c r="AT69" s="10" t="s">
        <v>47</v>
      </c>
      <c r="AU69" s="10" t="s">
        <v>504</v>
      </c>
      <c r="AV69" s="36" t="s">
        <v>519</v>
      </c>
      <c r="AW69" s="1">
        <v>46196</v>
      </c>
    </row>
    <row r="70" spans="1:49" x14ac:dyDescent="0.25">
      <c r="A70" s="9" t="s">
        <v>137</v>
      </c>
      <c r="B70" s="10" t="s">
        <v>141</v>
      </c>
      <c r="C70" s="10">
        <v>0</v>
      </c>
      <c r="D70" s="10" t="s">
        <v>95</v>
      </c>
      <c r="E70" s="10">
        <v>1</v>
      </c>
      <c r="F70" s="10" t="s">
        <v>112</v>
      </c>
      <c r="G70" s="10" t="s">
        <v>737</v>
      </c>
      <c r="H70" s="10" t="s">
        <v>52</v>
      </c>
      <c r="I70" s="10">
        <v>5</v>
      </c>
      <c r="J70" s="10" t="s">
        <v>145</v>
      </c>
      <c r="K70" s="10" t="s">
        <v>42</v>
      </c>
      <c r="L70" s="10">
        <f>Table1[[#This Row],[ENR]]-Table1[[#This Row],[CREDIT]]</f>
        <v>513246.98</v>
      </c>
      <c r="M70" s="36">
        <v>20000</v>
      </c>
      <c r="N70" s="26">
        <v>533246.98</v>
      </c>
      <c r="O70" s="38" t="s">
        <v>43</v>
      </c>
      <c r="P70" s="25">
        <v>533246.98</v>
      </c>
      <c r="Q70" s="25">
        <v>499725.09</v>
      </c>
      <c r="R70" s="10">
        <v>533246.98</v>
      </c>
      <c r="S70" s="39">
        <v>480730</v>
      </c>
      <c r="T70" s="10" t="s">
        <v>44</v>
      </c>
      <c r="U70" s="10" t="s">
        <v>45</v>
      </c>
      <c r="V70" s="10">
        <v>0</v>
      </c>
      <c r="W70" s="25">
        <f>Table1[[#This Row],[STAB]]-Table1[[#This Row],[AMOUNT]]</f>
        <v>480730</v>
      </c>
      <c r="X70" s="10">
        <v>0</v>
      </c>
      <c r="Y70" s="10" t="s">
        <v>79</v>
      </c>
      <c r="Z70" s="10">
        <v>0</v>
      </c>
      <c r="AA70" s="10" t="s">
        <v>162</v>
      </c>
      <c r="AB70" s="36" t="s">
        <v>737</v>
      </c>
      <c r="AC70" s="10" t="e">
        <v>#N/A</v>
      </c>
      <c r="AD70" s="9" t="s">
        <v>152</v>
      </c>
      <c r="AE70" s="10" t="s">
        <v>156</v>
      </c>
      <c r="AF70" s="10" t="s">
        <v>147</v>
      </c>
      <c r="AG70" s="10" t="s">
        <v>148</v>
      </c>
      <c r="AH70" s="10" t="s">
        <v>60</v>
      </c>
      <c r="AI70" s="10" t="s">
        <v>366</v>
      </c>
      <c r="AJ70" s="10">
        <v>802789320</v>
      </c>
      <c r="AK70" s="10" t="s">
        <v>104</v>
      </c>
      <c r="AL70" s="10"/>
      <c r="AM70" s="10"/>
      <c r="AN70" s="11" t="s">
        <v>46</v>
      </c>
      <c r="AO70" s="10"/>
      <c r="AP70" s="10"/>
      <c r="AQ70" s="10"/>
      <c r="AR70" s="2">
        <v>45736</v>
      </c>
      <c r="AS70" s="10">
        <v>34497</v>
      </c>
      <c r="AT70" s="10" t="s">
        <v>47</v>
      </c>
      <c r="AU70" s="10" t="s">
        <v>126</v>
      </c>
      <c r="AV70" s="36" t="s">
        <v>161</v>
      </c>
      <c r="AW70" s="1">
        <v>46196</v>
      </c>
    </row>
    <row r="71" spans="1:49" x14ac:dyDescent="0.25">
      <c r="A71" s="9" t="s">
        <v>419</v>
      </c>
      <c r="B71" s="10" t="s">
        <v>437</v>
      </c>
      <c r="C71" s="10">
        <v>0</v>
      </c>
      <c r="D71" s="10" t="s">
        <v>91</v>
      </c>
      <c r="E71" s="10"/>
      <c r="F71" s="10"/>
      <c r="G71" s="10"/>
      <c r="H71" s="10" t="s">
        <v>52</v>
      </c>
      <c r="I71" s="10">
        <v>5</v>
      </c>
      <c r="J71" s="10" t="s">
        <v>455</v>
      </c>
      <c r="K71" s="10" t="s">
        <v>42</v>
      </c>
      <c r="L71" s="10">
        <f>Table1[[#This Row],[ENR]]-Table1[[#This Row],[CREDIT]]</f>
        <v>16591</v>
      </c>
      <c r="M71" s="36">
        <v>500000</v>
      </c>
      <c r="N71" s="26">
        <v>516591</v>
      </c>
      <c r="O71" s="38">
        <v>127833.02</v>
      </c>
      <c r="P71" s="25">
        <v>388757.98</v>
      </c>
      <c r="Q71" s="25">
        <v>351343.34</v>
      </c>
      <c r="R71" s="10">
        <v>84070</v>
      </c>
      <c r="S71" s="39">
        <v>32140</v>
      </c>
      <c r="T71" s="10" t="s">
        <v>57</v>
      </c>
      <c r="U71" s="10" t="s">
        <v>13</v>
      </c>
      <c r="V71" s="10">
        <v>388757.98</v>
      </c>
      <c r="W71" s="25">
        <f>Table1[[#This Row],[STAB]]-Table1[[#This Row],[AMOUNT]]</f>
        <v>-356617.98</v>
      </c>
      <c r="X71" s="10" t="s">
        <v>526</v>
      </c>
      <c r="Y71" s="10" t="s">
        <v>402</v>
      </c>
      <c r="Z71" s="10" t="s">
        <v>962</v>
      </c>
      <c r="AA71" s="10" t="s">
        <v>162</v>
      </c>
      <c r="AB71" s="36" t="s">
        <v>734</v>
      </c>
      <c r="AC71" s="10">
        <v>0</v>
      </c>
      <c r="AD71" s="9" t="s">
        <v>474</v>
      </c>
      <c r="AE71" s="10" t="s">
        <v>492</v>
      </c>
      <c r="AF71" s="10" t="s">
        <v>500</v>
      </c>
      <c r="AG71" s="10" t="s">
        <v>54</v>
      </c>
      <c r="AH71" s="10" t="s">
        <v>99</v>
      </c>
      <c r="AI71" s="10" t="s">
        <v>363</v>
      </c>
      <c r="AJ71" s="10">
        <v>802913252</v>
      </c>
      <c r="AK71" s="10" t="s">
        <v>104</v>
      </c>
      <c r="AL71" s="10"/>
      <c r="AM71" s="10"/>
      <c r="AN71" s="11" t="s">
        <v>390</v>
      </c>
      <c r="AO71" s="10" t="s">
        <v>392</v>
      </c>
      <c r="AP71" s="10" t="s">
        <v>732</v>
      </c>
      <c r="AQ71" s="10" t="s">
        <v>730</v>
      </c>
      <c r="AR71" s="2">
        <v>45823</v>
      </c>
      <c r="AS71" s="10">
        <v>45000</v>
      </c>
      <c r="AT71" s="10" t="s">
        <v>47</v>
      </c>
      <c r="AU71" s="10" t="s">
        <v>504</v>
      </c>
      <c r="AV71" s="36" t="s">
        <v>518</v>
      </c>
      <c r="AW71" s="1">
        <v>46196</v>
      </c>
    </row>
    <row r="72" spans="1:49" x14ac:dyDescent="0.25">
      <c r="A72" s="9" t="s">
        <v>410</v>
      </c>
      <c r="B72" s="10" t="s">
        <v>428</v>
      </c>
      <c r="C72" s="10">
        <v>0</v>
      </c>
      <c r="D72" s="10" t="s">
        <v>95</v>
      </c>
      <c r="E72" s="10">
        <v>1</v>
      </c>
      <c r="F72" s="10" t="s">
        <v>112</v>
      </c>
      <c r="G72" s="10" t="s">
        <v>737</v>
      </c>
      <c r="H72" s="10" t="s">
        <v>52</v>
      </c>
      <c r="I72" s="10">
        <v>5</v>
      </c>
      <c r="J72" s="10" t="s">
        <v>446</v>
      </c>
      <c r="K72" s="10" t="s">
        <v>42</v>
      </c>
      <c r="L72" s="10">
        <f>Table1[[#This Row],[ENR]]-Table1[[#This Row],[CREDIT]]</f>
        <v>346438.75</v>
      </c>
      <c r="M72" s="36">
        <v>150000</v>
      </c>
      <c r="N72" s="26">
        <v>496438.75</v>
      </c>
      <c r="O72" s="38">
        <v>290713.34000000003</v>
      </c>
      <c r="P72" s="25">
        <v>205725.41</v>
      </c>
      <c r="Q72" s="25">
        <v>187808.02</v>
      </c>
      <c r="R72" s="10">
        <v>138090</v>
      </c>
      <c r="S72" s="39">
        <v>53160</v>
      </c>
      <c r="T72" s="10" t="s">
        <v>44</v>
      </c>
      <c r="U72" s="10" t="s">
        <v>45</v>
      </c>
      <c r="V72" s="10">
        <v>0</v>
      </c>
      <c r="W72" s="25">
        <f>Table1[[#This Row],[STAB]]-Table1[[#This Row],[AMOUNT]]</f>
        <v>53160</v>
      </c>
      <c r="X72" s="10">
        <v>0</v>
      </c>
      <c r="Y72" s="10" t="s">
        <v>79</v>
      </c>
      <c r="Z72" s="10">
        <v>0</v>
      </c>
      <c r="AA72" s="10" t="s">
        <v>162</v>
      </c>
      <c r="AB72" s="36" t="s">
        <v>737</v>
      </c>
      <c r="AC72" s="10">
        <v>0</v>
      </c>
      <c r="AD72" s="9" t="s">
        <v>465</v>
      </c>
      <c r="AE72" s="10" t="s">
        <v>483</v>
      </c>
      <c r="AF72" s="10" t="s">
        <v>272</v>
      </c>
      <c r="AG72" s="10" t="s">
        <v>54</v>
      </c>
      <c r="AH72" s="10" t="s">
        <v>114</v>
      </c>
      <c r="AI72" s="10" t="s">
        <v>726</v>
      </c>
      <c r="AJ72" s="10">
        <v>801772792</v>
      </c>
      <c r="AK72" s="10" t="s">
        <v>105</v>
      </c>
      <c r="AL72" s="10"/>
      <c r="AM72" s="10"/>
      <c r="AN72" s="11" t="s">
        <v>46</v>
      </c>
      <c r="AO72" s="10"/>
      <c r="AP72" s="10"/>
      <c r="AQ72" s="10"/>
      <c r="AR72" s="2">
        <v>45950</v>
      </c>
      <c r="AS72" s="10">
        <v>350</v>
      </c>
      <c r="AT72" s="10" t="s">
        <v>47</v>
      </c>
      <c r="AU72" s="10" t="s">
        <v>504</v>
      </c>
      <c r="AV72" s="36" t="s">
        <v>509</v>
      </c>
      <c r="AW72" s="1">
        <v>46196</v>
      </c>
    </row>
    <row r="73" spans="1:49" x14ac:dyDescent="0.25">
      <c r="A73" s="9" t="s">
        <v>134</v>
      </c>
      <c r="B73" s="10" t="s">
        <v>138</v>
      </c>
      <c r="C73" s="10">
        <v>0</v>
      </c>
      <c r="D73" s="10" t="s">
        <v>91</v>
      </c>
      <c r="E73" s="10"/>
      <c r="F73" s="10"/>
      <c r="G73" s="10"/>
      <c r="H73" s="10" t="s">
        <v>52</v>
      </c>
      <c r="I73" s="10">
        <v>5</v>
      </c>
      <c r="J73" s="10" t="s">
        <v>142</v>
      </c>
      <c r="K73" s="10" t="s">
        <v>42</v>
      </c>
      <c r="L73" s="10">
        <f>Table1[[#This Row],[ENR]]-Table1[[#This Row],[CREDIT]]</f>
        <v>-96125.830000000016</v>
      </c>
      <c r="M73" s="36">
        <v>500000</v>
      </c>
      <c r="N73" s="26">
        <v>403874.17</v>
      </c>
      <c r="O73" s="38">
        <v>356269.99</v>
      </c>
      <c r="P73" s="25">
        <v>47604.18</v>
      </c>
      <c r="Q73" s="25">
        <v>38399.31</v>
      </c>
      <c r="R73" s="10">
        <v>47604.18</v>
      </c>
      <c r="S73" s="39">
        <v>23641.31</v>
      </c>
      <c r="T73" s="10" t="s">
        <v>44</v>
      </c>
      <c r="U73" s="10" t="s">
        <v>45</v>
      </c>
      <c r="V73" s="10">
        <v>0</v>
      </c>
      <c r="W73" s="25">
        <f>Table1[[#This Row],[STAB]]-Table1[[#This Row],[AMOUNT]]</f>
        <v>23641.31</v>
      </c>
      <c r="X73" s="10">
        <v>0</v>
      </c>
      <c r="Y73" s="10" t="s">
        <v>79</v>
      </c>
      <c r="Z73" s="10">
        <v>0</v>
      </c>
      <c r="AA73" s="10" t="s">
        <v>162</v>
      </c>
      <c r="AB73" s="36" t="s">
        <v>733</v>
      </c>
      <c r="AC73" s="10" t="s">
        <v>527</v>
      </c>
      <c r="AD73" s="9" t="s">
        <v>149</v>
      </c>
      <c r="AE73" s="10" t="s">
        <v>153</v>
      </c>
      <c r="AF73" s="10" t="s">
        <v>146</v>
      </c>
      <c r="AG73" s="10" t="s">
        <v>54</v>
      </c>
      <c r="AH73" s="10" t="s">
        <v>146</v>
      </c>
      <c r="AI73" s="10" t="s">
        <v>365</v>
      </c>
      <c r="AJ73" s="10">
        <v>802824019</v>
      </c>
      <c r="AK73" s="10" t="s">
        <v>360</v>
      </c>
      <c r="AL73" s="10"/>
      <c r="AM73" s="10"/>
      <c r="AN73" s="11" t="s">
        <v>46</v>
      </c>
      <c r="AO73" s="10"/>
      <c r="AP73" s="10"/>
      <c r="AQ73" s="10"/>
      <c r="AR73" s="2">
        <v>46176</v>
      </c>
      <c r="AS73" s="10">
        <v>15100</v>
      </c>
      <c r="AT73" s="10" t="s">
        <v>157</v>
      </c>
      <c r="AU73" s="10" t="s">
        <v>126</v>
      </c>
      <c r="AV73" s="36" t="s">
        <v>158</v>
      </c>
      <c r="AW73" s="1">
        <v>46196</v>
      </c>
    </row>
    <row r="74" spans="1:49" x14ac:dyDescent="0.25">
      <c r="A74" s="9" t="s">
        <v>135</v>
      </c>
      <c r="B74" s="10" t="s">
        <v>139</v>
      </c>
      <c r="C74" s="10" t="s">
        <v>97</v>
      </c>
      <c r="D74" s="10" t="s">
        <v>95</v>
      </c>
      <c r="E74" s="10">
        <v>1</v>
      </c>
      <c r="F74" s="10" t="s">
        <v>112</v>
      </c>
      <c r="G74" s="10" t="s">
        <v>737</v>
      </c>
      <c r="H74" s="10" t="s">
        <v>84</v>
      </c>
      <c r="I74" s="10">
        <v>5</v>
      </c>
      <c r="J74" s="10" t="s">
        <v>143</v>
      </c>
      <c r="K74" s="10" t="s">
        <v>42</v>
      </c>
      <c r="L74" s="10">
        <f>Table1[[#This Row],[ENR]]-Table1[[#This Row],[CREDIT]]</f>
        <v>101632.89000000001</v>
      </c>
      <c r="M74" s="36">
        <v>300000</v>
      </c>
      <c r="N74" s="26">
        <v>401632.89</v>
      </c>
      <c r="O74" s="38">
        <v>72208.929999999993</v>
      </c>
      <c r="P74" s="25">
        <v>329423.96000000002</v>
      </c>
      <c r="Q74" s="25">
        <v>308881.77</v>
      </c>
      <c r="R74" s="10">
        <v>105930</v>
      </c>
      <c r="S74" s="39">
        <v>63206.03</v>
      </c>
      <c r="T74" s="10" t="s">
        <v>44</v>
      </c>
      <c r="U74" s="10" t="s">
        <v>45</v>
      </c>
      <c r="V74" s="10">
        <v>0</v>
      </c>
      <c r="W74" s="25">
        <f>Table1[[#This Row],[STAB]]-Table1[[#This Row],[AMOUNT]]</f>
        <v>63206.03</v>
      </c>
      <c r="X74" s="10">
        <v>0</v>
      </c>
      <c r="Y74" s="10" t="s">
        <v>79</v>
      </c>
      <c r="Z74" s="10">
        <v>0</v>
      </c>
      <c r="AA74" s="10" t="s">
        <v>162</v>
      </c>
      <c r="AB74" s="36" t="s">
        <v>737</v>
      </c>
      <c r="AC74" s="10" t="e">
        <v>#N/A</v>
      </c>
      <c r="AD74" s="9" t="s">
        <v>150</v>
      </c>
      <c r="AE74" s="10" t="s">
        <v>154</v>
      </c>
      <c r="AF74" s="10" t="s">
        <v>85</v>
      </c>
      <c r="AG74" s="10" t="s">
        <v>54</v>
      </c>
      <c r="AH74" s="10" t="s">
        <v>89</v>
      </c>
      <c r="AI74" s="10" t="s">
        <v>106</v>
      </c>
      <c r="AJ74" s="10">
        <v>802370852</v>
      </c>
      <c r="AK74" s="10" t="s">
        <v>105</v>
      </c>
      <c r="AL74" s="10"/>
      <c r="AM74" s="10"/>
      <c r="AN74" s="11" t="s">
        <v>46</v>
      </c>
      <c r="AO74" s="10"/>
      <c r="AP74" s="10"/>
      <c r="AQ74" s="10"/>
      <c r="AR74" s="2">
        <v>45491</v>
      </c>
      <c r="AS74" s="10">
        <v>25000</v>
      </c>
      <c r="AT74" s="10" t="s">
        <v>47</v>
      </c>
      <c r="AU74" s="10" t="s">
        <v>126</v>
      </c>
      <c r="AV74" s="36" t="s">
        <v>159</v>
      </c>
      <c r="AW74" s="1">
        <v>46196</v>
      </c>
    </row>
    <row r="75" spans="1:49" x14ac:dyDescent="0.25">
      <c r="A75" s="54" t="s">
        <v>1978</v>
      </c>
      <c r="B75" s="10" t="s">
        <v>1979</v>
      </c>
      <c r="C75" s="10">
        <v>0</v>
      </c>
      <c r="D75" s="10" t="s">
        <v>1993</v>
      </c>
      <c r="E75" s="10"/>
      <c r="F75" s="10"/>
      <c r="G75" s="10"/>
      <c r="H75" s="10" t="s">
        <v>52</v>
      </c>
      <c r="I75" s="10">
        <v>5</v>
      </c>
      <c r="J75" s="10">
        <v>9949297276</v>
      </c>
      <c r="K75" s="10"/>
      <c r="L75" s="10">
        <f>Table1[[#This Row],[ENR]]-Table1[[#This Row],[CREDIT]]</f>
        <v>350142.01</v>
      </c>
      <c r="M75" s="36"/>
      <c r="N75" s="26">
        <v>350142.01</v>
      </c>
      <c r="O75" s="38"/>
      <c r="P75" s="25"/>
      <c r="Q75" s="25"/>
      <c r="R75" s="10"/>
      <c r="S75" s="39"/>
      <c r="T75" s="10" t="s">
        <v>57</v>
      </c>
      <c r="U75" s="10" t="s">
        <v>13</v>
      </c>
      <c r="V75" s="10">
        <v>350142</v>
      </c>
      <c r="W75" s="25">
        <f>Table1[[#This Row],[STAB]]-Table1[[#This Row],[AMOUNT]]</f>
        <v>-350142</v>
      </c>
      <c r="X75" s="10">
        <v>0</v>
      </c>
      <c r="Y75" s="10" t="s">
        <v>388</v>
      </c>
      <c r="Z75" s="10" t="s">
        <v>403</v>
      </c>
      <c r="AA75" s="10" t="s">
        <v>162</v>
      </c>
      <c r="AB75" s="36" t="s">
        <v>162</v>
      </c>
      <c r="AC75" s="10"/>
      <c r="AD75" s="9" t="s">
        <v>1980</v>
      </c>
      <c r="AE75" s="10"/>
      <c r="AF75" s="10" t="s">
        <v>275</v>
      </c>
      <c r="AG75" s="10" t="s">
        <v>80</v>
      </c>
      <c r="AH75" s="10" t="s">
        <v>384</v>
      </c>
      <c r="AI75" s="10" t="s">
        <v>365</v>
      </c>
      <c r="AJ75" s="10">
        <v>802824019</v>
      </c>
      <c r="AK75" s="10" t="s">
        <v>360</v>
      </c>
      <c r="AL75" s="10"/>
      <c r="AM75" s="10"/>
      <c r="AN75" s="11" t="s">
        <v>390</v>
      </c>
      <c r="AO75" s="10"/>
      <c r="AP75" s="10"/>
      <c r="AQ75" s="10"/>
      <c r="AR75" s="2"/>
      <c r="AS75" s="10"/>
      <c r="AT75" s="10"/>
      <c r="AU75" s="10" t="s">
        <v>2748</v>
      </c>
      <c r="AV75" s="36"/>
      <c r="AW75" s="1"/>
    </row>
    <row r="76" spans="1:49" x14ac:dyDescent="0.25">
      <c r="A76" s="9" t="s">
        <v>136</v>
      </c>
      <c r="B76" s="10" t="s">
        <v>140</v>
      </c>
      <c r="C76" s="10">
        <v>0</v>
      </c>
      <c r="D76" s="10" t="s">
        <v>91</v>
      </c>
      <c r="E76" s="10">
        <v>1</v>
      </c>
      <c r="F76" s="10"/>
      <c r="G76" s="10"/>
      <c r="H76" s="10" t="s">
        <v>52</v>
      </c>
      <c r="I76" s="10">
        <v>5</v>
      </c>
      <c r="J76" s="10" t="s">
        <v>144</v>
      </c>
      <c r="K76" s="10" t="s">
        <v>42</v>
      </c>
      <c r="L76" s="10">
        <f>Table1[[#This Row],[ENR]]-Table1[[#This Row],[CREDIT]]</f>
        <v>41179.080000000016</v>
      </c>
      <c r="M76" s="36">
        <v>290000</v>
      </c>
      <c r="N76" s="26">
        <v>331179.08</v>
      </c>
      <c r="O76" s="38" t="s">
        <v>43</v>
      </c>
      <c r="P76" s="25">
        <v>331179.08</v>
      </c>
      <c r="Q76" s="25">
        <v>289832</v>
      </c>
      <c r="R76" s="10">
        <v>107520</v>
      </c>
      <c r="S76" s="39">
        <v>64500</v>
      </c>
      <c r="T76" s="10" t="s">
        <v>44</v>
      </c>
      <c r="U76" s="10" t="s">
        <v>45</v>
      </c>
      <c r="V76" s="10">
        <v>0</v>
      </c>
      <c r="W76" s="25">
        <f>Table1[[#This Row],[STAB]]-Table1[[#This Row],[AMOUNT]]</f>
        <v>64500</v>
      </c>
      <c r="X76" s="10">
        <v>0</v>
      </c>
      <c r="Y76" s="10" t="s">
        <v>79</v>
      </c>
      <c r="Z76" s="10">
        <v>0</v>
      </c>
      <c r="AA76" s="10" t="s">
        <v>162</v>
      </c>
      <c r="AB76" s="36" t="s">
        <v>734</v>
      </c>
      <c r="AC76" s="10" t="s">
        <v>527</v>
      </c>
      <c r="AD76" s="9" t="s">
        <v>151</v>
      </c>
      <c r="AE76" s="10" t="s">
        <v>155</v>
      </c>
      <c r="AF76" s="10" t="s">
        <v>146</v>
      </c>
      <c r="AG76" s="10" t="s">
        <v>54</v>
      </c>
      <c r="AH76" s="10" t="s">
        <v>146</v>
      </c>
      <c r="AI76" s="10" t="s">
        <v>365</v>
      </c>
      <c r="AJ76" s="10">
        <v>802824019</v>
      </c>
      <c r="AK76" s="10" t="s">
        <v>360</v>
      </c>
      <c r="AL76" s="10"/>
      <c r="AM76" s="10"/>
      <c r="AN76" s="11" t="s">
        <v>46</v>
      </c>
      <c r="AO76" s="10"/>
      <c r="AP76" s="10"/>
      <c r="AQ76" s="10"/>
      <c r="AR76" s="2">
        <v>45953</v>
      </c>
      <c r="AS76" s="10">
        <v>2000</v>
      </c>
      <c r="AT76" s="10" t="s">
        <v>47</v>
      </c>
      <c r="AU76" s="10" t="s">
        <v>126</v>
      </c>
      <c r="AV76" s="36" t="s">
        <v>160</v>
      </c>
      <c r="AW76" s="1">
        <v>46196</v>
      </c>
    </row>
    <row r="77" spans="1:49" x14ac:dyDescent="0.25">
      <c r="A77" s="9" t="s">
        <v>418</v>
      </c>
      <c r="B77" s="10" t="s">
        <v>436</v>
      </c>
      <c r="C77" s="10">
        <v>0</v>
      </c>
      <c r="D77" s="10" t="s">
        <v>91</v>
      </c>
      <c r="E77" s="10"/>
      <c r="F77" s="10"/>
      <c r="G77" s="10"/>
      <c r="H77" s="10" t="s">
        <v>52</v>
      </c>
      <c r="I77" s="10">
        <v>5</v>
      </c>
      <c r="J77" s="10" t="s">
        <v>454</v>
      </c>
      <c r="K77" s="10" t="s">
        <v>42</v>
      </c>
      <c r="L77" s="10">
        <f>Table1[[#This Row],[ENR]]-Table1[[#This Row],[CREDIT]]</f>
        <v>14388.020000000019</v>
      </c>
      <c r="M77" s="36">
        <v>310000</v>
      </c>
      <c r="N77" s="26">
        <v>324388.02</v>
      </c>
      <c r="O77" s="38" t="s">
        <v>43</v>
      </c>
      <c r="P77" s="25">
        <v>324388.02</v>
      </c>
      <c r="Q77" s="25">
        <v>307947.65000000002</v>
      </c>
      <c r="R77" s="10">
        <v>76080</v>
      </c>
      <c r="S77" s="39">
        <v>44810</v>
      </c>
      <c r="T77" s="10" t="s">
        <v>57</v>
      </c>
      <c r="U77" s="10" t="s">
        <v>13</v>
      </c>
      <c r="V77" s="10">
        <v>324388.02</v>
      </c>
      <c r="W77" s="25">
        <f>Table1[[#This Row],[STAB]]-Table1[[#This Row],[AMOUNT]]</f>
        <v>-279578.02</v>
      </c>
      <c r="X77" s="10" t="s">
        <v>1989</v>
      </c>
      <c r="Y77" s="10" t="s">
        <v>402</v>
      </c>
      <c r="Z77" s="10" t="s">
        <v>962</v>
      </c>
      <c r="AA77" s="10" t="s">
        <v>162</v>
      </c>
      <c r="AB77" s="36" t="s">
        <v>736</v>
      </c>
      <c r="AC77" s="10">
        <v>0</v>
      </c>
      <c r="AD77" s="9" t="s">
        <v>473</v>
      </c>
      <c r="AE77" s="10" t="s">
        <v>491</v>
      </c>
      <c r="AF77" s="10" t="s">
        <v>85</v>
      </c>
      <c r="AG77" s="10" t="s">
        <v>54</v>
      </c>
      <c r="AH77" s="10" t="s">
        <v>89</v>
      </c>
      <c r="AI77" s="10" t="s">
        <v>106</v>
      </c>
      <c r="AJ77" s="10">
        <v>802370852</v>
      </c>
      <c r="AK77" s="10" t="s">
        <v>105</v>
      </c>
      <c r="AL77" s="10"/>
      <c r="AM77" s="10"/>
      <c r="AN77" s="11" t="s">
        <v>390</v>
      </c>
      <c r="AO77" s="10"/>
      <c r="AP77" s="10"/>
      <c r="AQ77" s="10"/>
      <c r="AR77" s="2">
        <v>45923</v>
      </c>
      <c r="AS77" s="10">
        <v>302773.59999999998</v>
      </c>
      <c r="AT77" s="10" t="s">
        <v>47</v>
      </c>
      <c r="AU77" s="10" t="s">
        <v>504</v>
      </c>
      <c r="AV77" s="36" t="s">
        <v>517</v>
      </c>
      <c r="AW77" s="1">
        <v>46196</v>
      </c>
    </row>
    <row r="78" spans="1:49" x14ac:dyDescent="0.25">
      <c r="A78" s="9" t="s">
        <v>417</v>
      </c>
      <c r="B78" s="10" t="s">
        <v>435</v>
      </c>
      <c r="C78" s="10">
        <v>0</v>
      </c>
      <c r="D78" s="10" t="s">
        <v>91</v>
      </c>
      <c r="E78" s="10"/>
      <c r="F78" s="10"/>
      <c r="G78" s="10"/>
      <c r="H78" s="10" t="s">
        <v>52</v>
      </c>
      <c r="I78" s="10">
        <v>5</v>
      </c>
      <c r="J78" s="10" t="s">
        <v>453</v>
      </c>
      <c r="K78" s="10" t="s">
        <v>42</v>
      </c>
      <c r="L78" s="10">
        <f>Table1[[#This Row],[ENR]]-Table1[[#This Row],[CREDIT]]</f>
        <v>19715.299999999988</v>
      </c>
      <c r="M78" s="36">
        <v>290000</v>
      </c>
      <c r="N78" s="26">
        <v>309715.3</v>
      </c>
      <c r="O78" s="38" t="s">
        <v>43</v>
      </c>
      <c r="P78" s="25">
        <v>309715.3</v>
      </c>
      <c r="Q78" s="25">
        <v>287855.86</v>
      </c>
      <c r="R78" s="10">
        <v>68320</v>
      </c>
      <c r="S78" s="39">
        <v>14030</v>
      </c>
      <c r="T78" s="10" t="s">
        <v>44</v>
      </c>
      <c r="U78" s="10" t="s">
        <v>45</v>
      </c>
      <c r="V78" s="10">
        <v>0</v>
      </c>
      <c r="W78" s="25">
        <f>Table1[[#This Row],[STAB]]-Table1[[#This Row],[AMOUNT]]</f>
        <v>14030</v>
      </c>
      <c r="X78" s="10">
        <v>0</v>
      </c>
      <c r="Y78" s="10" t="s">
        <v>79</v>
      </c>
      <c r="Z78" s="10">
        <v>0</v>
      </c>
      <c r="AA78" s="10" t="s">
        <v>162</v>
      </c>
      <c r="AB78" s="36" t="s">
        <v>734</v>
      </c>
      <c r="AC78" s="10">
        <v>0</v>
      </c>
      <c r="AD78" s="9" t="s">
        <v>472</v>
      </c>
      <c r="AE78" s="10" t="s">
        <v>490</v>
      </c>
      <c r="AF78" s="10" t="s">
        <v>272</v>
      </c>
      <c r="AG78" s="10" t="s">
        <v>54</v>
      </c>
      <c r="AH78" s="10" t="s">
        <v>523</v>
      </c>
      <c r="AI78" s="10" t="s">
        <v>371</v>
      </c>
      <c r="AJ78" s="10">
        <v>802835406</v>
      </c>
      <c r="AK78" s="10" t="s">
        <v>362</v>
      </c>
      <c r="AL78" s="10"/>
      <c r="AM78" s="10"/>
      <c r="AN78" s="11" t="s">
        <v>390</v>
      </c>
      <c r="AO78" s="10" t="s">
        <v>398</v>
      </c>
      <c r="AP78" s="10" t="s">
        <v>852</v>
      </c>
      <c r="AQ78" s="10" t="s">
        <v>853</v>
      </c>
      <c r="AR78" s="2">
        <v>46128</v>
      </c>
      <c r="AS78" s="10">
        <v>39134.5</v>
      </c>
      <c r="AT78" s="10" t="s">
        <v>47</v>
      </c>
      <c r="AU78" s="10" t="s">
        <v>504</v>
      </c>
      <c r="AV78" s="36" t="s">
        <v>516</v>
      </c>
      <c r="AW78" s="1">
        <v>46196</v>
      </c>
    </row>
    <row r="79" spans="1:49" x14ac:dyDescent="0.25">
      <c r="A79" s="9" t="s">
        <v>995</v>
      </c>
      <c r="B79" s="10" t="s">
        <v>1021</v>
      </c>
      <c r="C79" s="10">
        <v>0</v>
      </c>
      <c r="D79" s="10" t="s">
        <v>91</v>
      </c>
      <c r="E79" s="10">
        <v>1</v>
      </c>
      <c r="F79" s="10"/>
      <c r="G79" s="10"/>
      <c r="H79" s="10" t="s">
        <v>52</v>
      </c>
      <c r="I79" s="10">
        <v>5</v>
      </c>
      <c r="J79" s="10" t="s">
        <v>1047</v>
      </c>
      <c r="K79" s="10" t="s">
        <v>42</v>
      </c>
      <c r="L79" s="10">
        <f>Table1[[#This Row],[ENR]]-Table1[[#This Row],[CREDIT]]</f>
        <v>221472.71000000002</v>
      </c>
      <c r="M79" s="36">
        <v>69000</v>
      </c>
      <c r="N79" s="26">
        <v>290472.71000000002</v>
      </c>
      <c r="O79" s="38" t="s">
        <v>43</v>
      </c>
      <c r="P79" s="25">
        <v>290472.71000000002</v>
      </c>
      <c r="Q79" s="25">
        <v>259366.8</v>
      </c>
      <c r="R79" s="10">
        <v>256940</v>
      </c>
      <c r="S79" s="39">
        <v>227350</v>
      </c>
      <c r="T79" s="10" t="s">
        <v>44</v>
      </c>
      <c r="U79" s="10" t="s">
        <v>45</v>
      </c>
      <c r="V79" s="10">
        <v>0</v>
      </c>
      <c r="W79" s="25">
        <f>Table1[[#This Row],[STAB]]-Table1[[#This Row],[AMOUNT]]</f>
        <v>227350</v>
      </c>
      <c r="X79" s="10">
        <v>0</v>
      </c>
      <c r="Y79" s="10" t="s">
        <v>79</v>
      </c>
      <c r="Z79" s="10">
        <v>0</v>
      </c>
      <c r="AA79" s="10" t="s">
        <v>162</v>
      </c>
      <c r="AB79" s="36" t="s">
        <v>736</v>
      </c>
      <c r="AC79" s="10"/>
      <c r="AD79" s="9" t="s">
        <v>1073</v>
      </c>
      <c r="AE79" s="10" t="s">
        <v>1099</v>
      </c>
      <c r="AF79" s="10" t="s">
        <v>286</v>
      </c>
      <c r="AG79" s="10" t="s">
        <v>54</v>
      </c>
      <c r="AH79" s="10" t="s">
        <v>58</v>
      </c>
      <c r="AI79" s="10" t="s">
        <v>133</v>
      </c>
      <c r="AJ79" s="10">
        <v>802555024</v>
      </c>
      <c r="AK79" s="10" t="s">
        <v>362</v>
      </c>
      <c r="AL79" s="10"/>
      <c r="AM79" s="10"/>
      <c r="AN79" s="11" t="s">
        <v>46</v>
      </c>
      <c r="AO79" s="10"/>
      <c r="AP79" s="10"/>
      <c r="AQ79" s="10"/>
      <c r="AR79" s="2">
        <v>46135</v>
      </c>
      <c r="AS79" s="10">
        <v>49300</v>
      </c>
      <c r="AT79" s="10" t="s">
        <v>291</v>
      </c>
      <c r="AU79" s="10" t="s">
        <v>1105</v>
      </c>
      <c r="AV79" s="36" t="s">
        <v>1129</v>
      </c>
      <c r="AW79" s="1">
        <v>46196</v>
      </c>
    </row>
    <row r="80" spans="1:49" x14ac:dyDescent="0.25">
      <c r="A80" s="9" t="s">
        <v>415</v>
      </c>
      <c r="B80" s="10" t="s">
        <v>433</v>
      </c>
      <c r="C80" s="10">
        <v>0</v>
      </c>
      <c r="D80" s="10" t="s">
        <v>91</v>
      </c>
      <c r="E80" s="10"/>
      <c r="F80" s="10"/>
      <c r="G80" s="10"/>
      <c r="H80" s="10" t="s">
        <v>52</v>
      </c>
      <c r="I80" s="10">
        <v>5</v>
      </c>
      <c r="J80" s="10" t="s">
        <v>451</v>
      </c>
      <c r="K80" s="10" t="s">
        <v>42</v>
      </c>
      <c r="L80" s="10">
        <f>Table1[[#This Row],[ENR]]-Table1[[#This Row],[CREDIT]]</f>
        <v>-210118.37</v>
      </c>
      <c r="M80" s="36">
        <v>500000</v>
      </c>
      <c r="N80" s="26">
        <v>289881.63</v>
      </c>
      <c r="O80" s="38">
        <v>70390.740000000005</v>
      </c>
      <c r="P80" s="25">
        <v>219490.89</v>
      </c>
      <c r="Q80" s="25">
        <v>194343.13</v>
      </c>
      <c r="R80" s="10">
        <v>54580</v>
      </c>
      <c r="S80" s="39">
        <v>28110</v>
      </c>
      <c r="T80" s="10" t="s">
        <v>57</v>
      </c>
      <c r="U80" s="10" t="s">
        <v>13</v>
      </c>
      <c r="V80" s="10">
        <v>219490.89</v>
      </c>
      <c r="W80" s="25">
        <f>Table1[[#This Row],[STAB]]-Table1[[#This Row],[AMOUNT]]</f>
        <v>-191380.89</v>
      </c>
      <c r="X80" s="10" t="s">
        <v>959</v>
      </c>
      <c r="Y80" s="10" t="s">
        <v>402</v>
      </c>
      <c r="Z80" s="10" t="s">
        <v>403</v>
      </c>
      <c r="AA80" s="10" t="s">
        <v>162</v>
      </c>
      <c r="AB80" s="36" t="s">
        <v>733</v>
      </c>
      <c r="AC80" s="10">
        <v>0</v>
      </c>
      <c r="AD80" s="9" t="s">
        <v>470</v>
      </c>
      <c r="AE80" s="10" t="s">
        <v>488</v>
      </c>
      <c r="AF80" s="10" t="s">
        <v>281</v>
      </c>
      <c r="AG80" s="10" t="s">
        <v>54</v>
      </c>
      <c r="AH80" s="10" t="s">
        <v>99</v>
      </c>
      <c r="AI80" s="10" t="s">
        <v>363</v>
      </c>
      <c r="AJ80" s="10">
        <v>802913252</v>
      </c>
      <c r="AK80" s="10" t="s">
        <v>104</v>
      </c>
      <c r="AL80" s="10"/>
      <c r="AM80" s="10"/>
      <c r="AN80" s="11" t="s">
        <v>390</v>
      </c>
      <c r="AO80" s="10" t="s">
        <v>398</v>
      </c>
      <c r="AP80" s="10" t="s">
        <v>747</v>
      </c>
      <c r="AQ80" s="10" t="s">
        <v>739</v>
      </c>
      <c r="AR80" s="2">
        <v>46133</v>
      </c>
      <c r="AS80" s="10">
        <v>196410</v>
      </c>
      <c r="AT80" s="10" t="s">
        <v>502</v>
      </c>
      <c r="AU80" s="10" t="s">
        <v>504</v>
      </c>
      <c r="AV80" s="36" t="s">
        <v>514</v>
      </c>
      <c r="AW80" s="1">
        <v>46196</v>
      </c>
    </row>
    <row r="81" spans="1:49" x14ac:dyDescent="0.25">
      <c r="A81" s="9" t="s">
        <v>990</v>
      </c>
      <c r="B81" s="10" t="s">
        <v>1016</v>
      </c>
      <c r="C81" s="10">
        <v>0</v>
      </c>
      <c r="D81" s="10" t="s">
        <v>91</v>
      </c>
      <c r="E81" s="10"/>
      <c r="F81" s="10"/>
      <c r="G81" s="10"/>
      <c r="H81" s="10" t="s">
        <v>52</v>
      </c>
      <c r="I81" s="10">
        <v>5</v>
      </c>
      <c r="J81" s="10" t="s">
        <v>1042</v>
      </c>
      <c r="K81" s="10" t="s">
        <v>42</v>
      </c>
      <c r="L81" s="10">
        <f>Table1[[#This Row],[ENR]]-Table1[[#This Row],[CREDIT]]</f>
        <v>116797.04000000001</v>
      </c>
      <c r="M81" s="36">
        <v>130000</v>
      </c>
      <c r="N81" s="26">
        <v>246797.04</v>
      </c>
      <c r="O81" s="38">
        <v>97812.88</v>
      </c>
      <c r="P81" s="25">
        <v>148984.16</v>
      </c>
      <c r="Q81" s="25">
        <v>134575.59</v>
      </c>
      <c r="R81" s="10">
        <v>54280</v>
      </c>
      <c r="S81" s="39">
        <v>19140</v>
      </c>
      <c r="T81" s="10" t="s">
        <v>57</v>
      </c>
      <c r="U81" s="10" t="s">
        <v>13</v>
      </c>
      <c r="V81" s="10">
        <v>148984.16</v>
      </c>
      <c r="W81" s="25">
        <f>Table1[[#This Row],[STAB]]-Table1[[#This Row],[AMOUNT]]</f>
        <v>-129844.16</v>
      </c>
      <c r="X81" s="10" t="s">
        <v>1401</v>
      </c>
      <c r="Y81" s="10" t="s">
        <v>402</v>
      </c>
      <c r="Z81" s="10" t="s">
        <v>1968</v>
      </c>
      <c r="AA81" s="10" t="s">
        <v>162</v>
      </c>
      <c r="AB81" s="36" t="s">
        <v>734</v>
      </c>
      <c r="AC81" s="10"/>
      <c r="AD81" s="9" t="s">
        <v>1068</v>
      </c>
      <c r="AE81" s="10" t="s">
        <v>1094</v>
      </c>
      <c r="AF81" s="10" t="s">
        <v>686</v>
      </c>
      <c r="AG81" s="10" t="s">
        <v>324</v>
      </c>
      <c r="AH81" s="10" t="s">
        <v>722</v>
      </c>
      <c r="AI81" s="10" t="s">
        <v>370</v>
      </c>
      <c r="AJ81" s="10">
        <v>801448854</v>
      </c>
      <c r="AK81" s="10" t="s">
        <v>105</v>
      </c>
      <c r="AL81" s="10"/>
      <c r="AM81" s="10"/>
      <c r="AN81" s="11" t="s">
        <v>390</v>
      </c>
      <c r="AO81" s="10"/>
      <c r="AP81" s="10"/>
      <c r="AQ81" s="10"/>
      <c r="AR81" s="2">
        <v>46109</v>
      </c>
      <c r="AS81" s="10">
        <v>8500</v>
      </c>
      <c r="AT81" s="10" t="s">
        <v>47</v>
      </c>
      <c r="AU81" s="10" t="s">
        <v>1105</v>
      </c>
      <c r="AV81" s="36" t="s">
        <v>1124</v>
      </c>
      <c r="AW81" s="1">
        <v>46196</v>
      </c>
    </row>
    <row r="82" spans="1:49" x14ac:dyDescent="0.25">
      <c r="A82" s="9" t="s">
        <v>979</v>
      </c>
      <c r="B82" s="10" t="s">
        <v>1005</v>
      </c>
      <c r="C82" s="10">
        <v>0</v>
      </c>
      <c r="D82" s="10" t="s">
        <v>91</v>
      </c>
      <c r="E82" s="10"/>
      <c r="F82" s="10"/>
      <c r="G82" s="10"/>
      <c r="H82" s="10" t="s">
        <v>52</v>
      </c>
      <c r="I82" s="10">
        <v>5</v>
      </c>
      <c r="J82" s="10" t="s">
        <v>1031</v>
      </c>
      <c r="K82" s="10" t="s">
        <v>42</v>
      </c>
      <c r="L82" s="10">
        <f>Table1[[#This Row],[ENR]]-Table1[[#This Row],[CREDIT]]</f>
        <v>7915.0899999999965</v>
      </c>
      <c r="M82" s="36">
        <v>210000</v>
      </c>
      <c r="N82" s="26">
        <v>217915.09</v>
      </c>
      <c r="O82" s="38">
        <v>150039.54</v>
      </c>
      <c r="P82" s="25">
        <v>67875.55</v>
      </c>
      <c r="Q82" s="25">
        <v>59573.96</v>
      </c>
      <c r="R82" s="10">
        <v>47220</v>
      </c>
      <c r="S82" s="39">
        <v>23270</v>
      </c>
      <c r="T82" s="10" t="s">
        <v>44</v>
      </c>
      <c r="U82" s="10" t="s">
        <v>45</v>
      </c>
      <c r="V82" s="10">
        <v>0</v>
      </c>
      <c r="W82" s="25">
        <f>Table1[[#This Row],[STAB]]-Table1[[#This Row],[AMOUNT]]</f>
        <v>23270</v>
      </c>
      <c r="X82" s="10">
        <v>0</v>
      </c>
      <c r="Y82" s="10" t="s">
        <v>79</v>
      </c>
      <c r="Z82" s="10">
        <v>0</v>
      </c>
      <c r="AA82" s="10" t="s">
        <v>162</v>
      </c>
      <c r="AB82" s="10" t="s">
        <v>735</v>
      </c>
      <c r="AC82" s="10"/>
      <c r="AD82" s="9" t="s">
        <v>1057</v>
      </c>
      <c r="AE82" s="10" t="s">
        <v>1083</v>
      </c>
      <c r="AF82" s="10" t="s">
        <v>272</v>
      </c>
      <c r="AG82" s="10" t="s">
        <v>54</v>
      </c>
      <c r="AH82" s="10" t="s">
        <v>114</v>
      </c>
      <c r="AI82" s="10" t="s">
        <v>726</v>
      </c>
      <c r="AJ82" s="10">
        <v>801772792</v>
      </c>
      <c r="AK82" s="10" t="s">
        <v>105</v>
      </c>
      <c r="AL82" s="10"/>
      <c r="AM82" s="10"/>
      <c r="AN82" s="11" t="s">
        <v>390</v>
      </c>
      <c r="AO82" s="10" t="s">
        <v>394</v>
      </c>
      <c r="AP82" s="10" t="s">
        <v>1997</v>
      </c>
      <c r="AQ82" s="10" t="s">
        <v>1989</v>
      </c>
      <c r="AR82" s="2">
        <v>45483</v>
      </c>
      <c r="AS82" s="10">
        <v>10271.540000000001</v>
      </c>
      <c r="AT82" s="10" t="s">
        <v>47</v>
      </c>
      <c r="AU82" s="10" t="s">
        <v>1105</v>
      </c>
      <c r="AV82" s="36" t="s">
        <v>1113</v>
      </c>
      <c r="AW82" s="1">
        <v>46196</v>
      </c>
    </row>
    <row r="83" spans="1:49" x14ac:dyDescent="0.25">
      <c r="A83" s="40" t="s">
        <v>992</v>
      </c>
      <c r="B83" s="11" t="s">
        <v>1018</v>
      </c>
      <c r="C83" s="10">
        <v>0</v>
      </c>
      <c r="D83" s="10" t="s">
        <v>91</v>
      </c>
      <c r="E83" s="11"/>
      <c r="F83" s="11"/>
      <c r="G83" s="11"/>
      <c r="H83" s="10" t="s">
        <v>52</v>
      </c>
      <c r="I83" s="11">
        <v>5</v>
      </c>
      <c r="J83" s="11" t="s">
        <v>1044</v>
      </c>
      <c r="K83" s="11" t="s">
        <v>42</v>
      </c>
      <c r="L83" s="11">
        <f>Table1[[#This Row],[ENR]]-Table1[[#This Row],[CREDIT]]</f>
        <v>16922.73000000001</v>
      </c>
      <c r="M83" s="41">
        <v>200000</v>
      </c>
      <c r="N83" s="42">
        <v>216922.73</v>
      </c>
      <c r="O83" s="43">
        <v>56525.22</v>
      </c>
      <c r="P83" s="44">
        <v>160397.51</v>
      </c>
      <c r="Q83" s="44">
        <v>143465.32999999999</v>
      </c>
      <c r="R83" s="11">
        <v>41360</v>
      </c>
      <c r="S83" s="45">
        <v>14720</v>
      </c>
      <c r="T83" s="10" t="s">
        <v>57</v>
      </c>
      <c r="U83" s="10" t="s">
        <v>13</v>
      </c>
      <c r="V83" s="10">
        <v>41360</v>
      </c>
      <c r="W83" s="44">
        <f>Table1[[#This Row],[STAB]]-Table1[[#This Row],[AMOUNT]]</f>
        <v>-26640</v>
      </c>
      <c r="X83" s="10" t="s">
        <v>959</v>
      </c>
      <c r="Y83" s="10" t="s">
        <v>402</v>
      </c>
      <c r="Z83" s="10" t="s">
        <v>403</v>
      </c>
      <c r="AA83" s="10" t="s">
        <v>162</v>
      </c>
      <c r="AB83" s="36" t="s">
        <v>733</v>
      </c>
      <c r="AC83" s="11"/>
      <c r="AD83" s="40" t="s">
        <v>1070</v>
      </c>
      <c r="AE83" s="11" t="s">
        <v>1096</v>
      </c>
      <c r="AF83" s="11" t="s">
        <v>383</v>
      </c>
      <c r="AG83" s="11" t="s">
        <v>53</v>
      </c>
      <c r="AH83" s="11" t="s">
        <v>55</v>
      </c>
      <c r="AI83" s="10" t="s">
        <v>365</v>
      </c>
      <c r="AJ83" s="11">
        <v>802824019</v>
      </c>
      <c r="AK83" s="11" t="s">
        <v>360</v>
      </c>
      <c r="AL83" s="11"/>
      <c r="AM83" s="11"/>
      <c r="AN83" s="11" t="s">
        <v>390</v>
      </c>
      <c r="AO83" s="11"/>
      <c r="AP83" s="11"/>
      <c r="AQ83" s="11"/>
      <c r="AR83" s="46">
        <v>46055</v>
      </c>
      <c r="AS83" s="11">
        <v>17000</v>
      </c>
      <c r="AT83" s="11" t="s">
        <v>47</v>
      </c>
      <c r="AU83" s="10" t="s">
        <v>1105</v>
      </c>
      <c r="AV83" s="41" t="s">
        <v>1126</v>
      </c>
      <c r="AW83" s="47">
        <v>46196</v>
      </c>
    </row>
    <row r="84" spans="1:49" x14ac:dyDescent="0.25">
      <c r="A84" s="9" t="s">
        <v>973</v>
      </c>
      <c r="B84" s="10" t="s">
        <v>999</v>
      </c>
      <c r="C84" s="10">
        <v>0</v>
      </c>
      <c r="D84" s="10" t="s">
        <v>91</v>
      </c>
      <c r="E84" s="10"/>
      <c r="F84" s="10"/>
      <c r="G84" s="10"/>
      <c r="H84" s="10" t="s">
        <v>52</v>
      </c>
      <c r="I84" s="10">
        <v>5</v>
      </c>
      <c r="J84" s="10" t="s">
        <v>1025</v>
      </c>
      <c r="K84" s="10" t="s">
        <v>42</v>
      </c>
      <c r="L84" s="10">
        <f>Table1[[#This Row],[ENR]]-Table1[[#This Row],[CREDIT]]</f>
        <v>12431.25</v>
      </c>
      <c r="M84" s="36">
        <v>175000</v>
      </c>
      <c r="N84" s="26">
        <v>187431.25</v>
      </c>
      <c r="O84" s="38">
        <v>3526.38</v>
      </c>
      <c r="P84" s="25">
        <v>183904.87</v>
      </c>
      <c r="Q84" s="25">
        <v>171323.07</v>
      </c>
      <c r="R84" s="10">
        <v>39810</v>
      </c>
      <c r="S84" s="39">
        <v>9680</v>
      </c>
      <c r="T84" s="10" t="s">
        <v>44</v>
      </c>
      <c r="U84" s="10" t="s">
        <v>45</v>
      </c>
      <c r="V84" s="10">
        <v>0</v>
      </c>
      <c r="W84" s="25">
        <f>Table1[[#This Row],[STAB]]-Table1[[#This Row],[AMOUNT]]</f>
        <v>9680</v>
      </c>
      <c r="X84" s="10">
        <v>0</v>
      </c>
      <c r="Y84" s="10" t="s">
        <v>79</v>
      </c>
      <c r="Z84" s="10">
        <v>0</v>
      </c>
      <c r="AA84" s="10" t="s">
        <v>162</v>
      </c>
      <c r="AB84" s="10" t="s">
        <v>735</v>
      </c>
      <c r="AC84" s="10"/>
      <c r="AD84" s="9" t="s">
        <v>1051</v>
      </c>
      <c r="AE84" s="10" t="s">
        <v>1077</v>
      </c>
      <c r="AF84" s="10" t="s">
        <v>1102</v>
      </c>
      <c r="AG84" s="10" t="s">
        <v>324</v>
      </c>
      <c r="AH84" s="10" t="s">
        <v>1956</v>
      </c>
      <c r="AI84" s="10" t="s">
        <v>1403</v>
      </c>
      <c r="AJ84" s="10">
        <v>802631601</v>
      </c>
      <c r="AK84" s="10" t="s">
        <v>362</v>
      </c>
      <c r="AL84" s="10"/>
      <c r="AM84" s="10"/>
      <c r="AN84" s="11" t="s">
        <v>46</v>
      </c>
      <c r="AO84" s="10"/>
      <c r="AP84" s="10"/>
      <c r="AQ84" s="10"/>
      <c r="AR84" s="2">
        <v>45871</v>
      </c>
      <c r="AS84" s="10">
        <v>22410</v>
      </c>
      <c r="AT84" s="10" t="s">
        <v>937</v>
      </c>
      <c r="AU84" s="10" t="s">
        <v>1105</v>
      </c>
      <c r="AV84" s="36" t="s">
        <v>1107</v>
      </c>
      <c r="AW84" s="1">
        <v>46196</v>
      </c>
    </row>
    <row r="85" spans="1:49" x14ac:dyDescent="0.25">
      <c r="A85" s="9" t="s">
        <v>975</v>
      </c>
      <c r="B85" s="10" t="s">
        <v>1001</v>
      </c>
      <c r="C85" s="10">
        <v>0</v>
      </c>
      <c r="D85" s="10" t="s">
        <v>91</v>
      </c>
      <c r="E85" s="10"/>
      <c r="F85" s="10"/>
      <c r="G85" s="10"/>
      <c r="H85" s="10" t="s">
        <v>52</v>
      </c>
      <c r="I85" s="10">
        <v>5</v>
      </c>
      <c r="J85" s="10" t="s">
        <v>1027</v>
      </c>
      <c r="K85" s="10" t="s">
        <v>42</v>
      </c>
      <c r="L85" s="10">
        <f>Table1[[#This Row],[ENR]]-Table1[[#This Row],[CREDIT]]</f>
        <v>-20229.459999999992</v>
      </c>
      <c r="M85" s="36">
        <v>200000</v>
      </c>
      <c r="N85" s="26">
        <v>179770.54</v>
      </c>
      <c r="O85" s="38" t="s">
        <v>43</v>
      </c>
      <c r="P85" s="25">
        <v>179770.54</v>
      </c>
      <c r="Q85" s="25">
        <v>160928.95999999999</v>
      </c>
      <c r="R85" s="10">
        <v>28270</v>
      </c>
      <c r="S85" s="39">
        <v>11180</v>
      </c>
      <c r="T85" s="10" t="s">
        <v>57</v>
      </c>
      <c r="U85" s="10" t="s">
        <v>14</v>
      </c>
      <c r="V85" s="25">
        <v>15000</v>
      </c>
      <c r="W85" s="25">
        <f>Table1[[#This Row],[STAB]]-Table1[[#This Row],[AMOUNT]]</f>
        <v>-3820</v>
      </c>
      <c r="X85" s="10" t="s">
        <v>959</v>
      </c>
      <c r="Y85" s="10" t="s">
        <v>402</v>
      </c>
      <c r="Z85" s="10" t="s">
        <v>964</v>
      </c>
      <c r="AA85" s="10" t="s">
        <v>162</v>
      </c>
      <c r="AB85" s="36" t="s">
        <v>733</v>
      </c>
      <c r="AC85" s="10"/>
      <c r="AD85" s="9" t="s">
        <v>1053</v>
      </c>
      <c r="AE85" s="10" t="s">
        <v>1079</v>
      </c>
      <c r="AF85" s="10" t="s">
        <v>272</v>
      </c>
      <c r="AG85" s="10" t="s">
        <v>54</v>
      </c>
      <c r="AH85" s="10" t="s">
        <v>114</v>
      </c>
      <c r="AI85" s="10" t="s">
        <v>726</v>
      </c>
      <c r="AJ85" s="10">
        <v>801772792</v>
      </c>
      <c r="AK85" s="10" t="s">
        <v>105</v>
      </c>
      <c r="AL85" s="10"/>
      <c r="AM85" s="10"/>
      <c r="AN85" s="11" t="s">
        <v>390</v>
      </c>
      <c r="AO85" s="10"/>
      <c r="AP85" s="10"/>
      <c r="AQ85" s="10"/>
      <c r="AR85" s="2">
        <v>45746</v>
      </c>
      <c r="AS85" s="10">
        <v>4000</v>
      </c>
      <c r="AT85" s="10" t="s">
        <v>47</v>
      </c>
      <c r="AU85" s="10" t="s">
        <v>1105</v>
      </c>
      <c r="AV85" s="36" t="s">
        <v>1109</v>
      </c>
      <c r="AW85" s="1">
        <v>46196</v>
      </c>
    </row>
    <row r="86" spans="1:49" x14ac:dyDescent="0.25">
      <c r="A86" s="9" t="s">
        <v>994</v>
      </c>
      <c r="B86" s="10" t="s">
        <v>1020</v>
      </c>
      <c r="C86" s="10">
        <v>0</v>
      </c>
      <c r="D86" s="10" t="s">
        <v>91</v>
      </c>
      <c r="E86" s="10"/>
      <c r="F86" s="10"/>
      <c r="G86" s="10"/>
      <c r="H86" s="10" t="s">
        <v>52</v>
      </c>
      <c r="I86" s="10">
        <v>5</v>
      </c>
      <c r="J86" s="10" t="s">
        <v>1046</v>
      </c>
      <c r="K86" s="10" t="s">
        <v>42</v>
      </c>
      <c r="L86" s="10">
        <f>Table1[[#This Row],[ENR]]-Table1[[#This Row],[CREDIT]]</f>
        <v>8900.3099999999977</v>
      </c>
      <c r="M86" s="36">
        <v>150000</v>
      </c>
      <c r="N86" s="26">
        <v>158900.31</v>
      </c>
      <c r="O86" s="38" t="s">
        <v>43</v>
      </c>
      <c r="P86" s="25">
        <v>158900.31</v>
      </c>
      <c r="Q86" s="25">
        <v>142112.85999999999</v>
      </c>
      <c r="R86" s="10">
        <v>37380</v>
      </c>
      <c r="S86" s="39">
        <v>13450</v>
      </c>
      <c r="T86" s="10" t="s">
        <v>57</v>
      </c>
      <c r="U86" s="10" t="s">
        <v>13</v>
      </c>
      <c r="V86" s="10">
        <v>158900.31</v>
      </c>
      <c r="W86" s="25">
        <f>Table1[[#This Row],[STAB]]-Table1[[#This Row],[AMOUNT]]</f>
        <v>-145450.31</v>
      </c>
      <c r="X86" s="10" t="s">
        <v>4530</v>
      </c>
      <c r="Y86" s="10" t="s">
        <v>402</v>
      </c>
      <c r="Z86" s="10" t="s">
        <v>962</v>
      </c>
      <c r="AA86" s="10" t="s">
        <v>162</v>
      </c>
      <c r="AB86" s="36" t="s">
        <v>736</v>
      </c>
      <c r="AC86" s="10"/>
      <c r="AD86" s="9" t="s">
        <v>1072</v>
      </c>
      <c r="AE86" s="10" t="s">
        <v>1098</v>
      </c>
      <c r="AF86" s="10" t="s">
        <v>864</v>
      </c>
      <c r="AG86" s="10" t="s">
        <v>54</v>
      </c>
      <c r="AH86" s="10" t="s">
        <v>1398</v>
      </c>
      <c r="AI86" s="10" t="s">
        <v>162</v>
      </c>
      <c r="AJ86" s="10">
        <v>801772794</v>
      </c>
      <c r="AK86" s="10" t="s">
        <v>361</v>
      </c>
      <c r="AL86" s="10"/>
      <c r="AM86" s="10"/>
      <c r="AN86" s="11" t="s">
        <v>390</v>
      </c>
      <c r="AO86" s="10"/>
      <c r="AP86" s="10"/>
      <c r="AQ86" s="10"/>
      <c r="AR86" s="2" t="s">
        <v>43</v>
      </c>
      <c r="AS86" s="10">
        <v>0</v>
      </c>
      <c r="AT86" s="10" t="s">
        <v>502</v>
      </c>
      <c r="AU86" s="10" t="s">
        <v>1105</v>
      </c>
      <c r="AV86" s="36" t="s">
        <v>1128</v>
      </c>
      <c r="AW86" s="1">
        <v>46196</v>
      </c>
    </row>
    <row r="87" spans="1:49" x14ac:dyDescent="0.25">
      <c r="A87" s="9" t="s">
        <v>993</v>
      </c>
      <c r="B87" s="10" t="s">
        <v>1019</v>
      </c>
      <c r="C87" s="10">
        <v>0</v>
      </c>
      <c r="D87" s="10" t="s">
        <v>91</v>
      </c>
      <c r="E87" s="10"/>
      <c r="F87" s="10"/>
      <c r="G87" s="10"/>
      <c r="H87" s="10" t="s">
        <v>52</v>
      </c>
      <c r="I87" s="10">
        <v>5</v>
      </c>
      <c r="J87" s="10" t="s">
        <v>1045</v>
      </c>
      <c r="K87" s="10" t="s">
        <v>42</v>
      </c>
      <c r="L87" s="10">
        <f>Table1[[#This Row],[ENR]]-Table1[[#This Row],[CREDIT]]</f>
        <v>14417.880000000005</v>
      </c>
      <c r="M87" s="36">
        <v>140000</v>
      </c>
      <c r="N87" s="26">
        <v>154417.88</v>
      </c>
      <c r="O87" s="38" t="s">
        <v>43</v>
      </c>
      <c r="P87" s="25">
        <v>154417.88</v>
      </c>
      <c r="Q87" s="25">
        <v>138332.47</v>
      </c>
      <c r="R87" s="10">
        <v>37410</v>
      </c>
      <c r="S87" s="39">
        <v>8770</v>
      </c>
      <c r="T87" s="10" t="s">
        <v>57</v>
      </c>
      <c r="U87" s="10" t="s">
        <v>14</v>
      </c>
      <c r="V87" s="25">
        <v>9000</v>
      </c>
      <c r="W87" s="25">
        <f>Table1[[#This Row],[STAB]]-Table1[[#This Row],[AMOUNT]]</f>
        <v>-230</v>
      </c>
      <c r="X87" s="10" t="s">
        <v>4530</v>
      </c>
      <c r="Y87" s="10" t="s">
        <v>402</v>
      </c>
      <c r="Z87" s="10" t="s">
        <v>403</v>
      </c>
      <c r="AA87" s="10" t="s">
        <v>162</v>
      </c>
      <c r="AB87" s="36" t="s">
        <v>733</v>
      </c>
      <c r="AC87" s="10"/>
      <c r="AD87" s="9" t="s">
        <v>1071</v>
      </c>
      <c r="AE87" s="10" t="s">
        <v>1097</v>
      </c>
      <c r="AF87" s="10" t="s">
        <v>383</v>
      </c>
      <c r="AG87" s="10" t="s">
        <v>53</v>
      </c>
      <c r="AH87" s="10" t="s">
        <v>55</v>
      </c>
      <c r="AI87" s="10" t="s">
        <v>365</v>
      </c>
      <c r="AJ87" s="10">
        <v>802824019</v>
      </c>
      <c r="AK87" s="10" t="s">
        <v>360</v>
      </c>
      <c r="AL87" s="10"/>
      <c r="AM87" s="10"/>
      <c r="AN87" s="11" t="s">
        <v>390</v>
      </c>
      <c r="AO87" s="10" t="s">
        <v>392</v>
      </c>
      <c r="AP87" s="10" t="s">
        <v>2956</v>
      </c>
      <c r="AQ87" s="10" t="s">
        <v>2004</v>
      </c>
      <c r="AR87" s="2">
        <v>46147</v>
      </c>
      <c r="AS87" s="10">
        <v>19000</v>
      </c>
      <c r="AT87" s="10" t="s">
        <v>502</v>
      </c>
      <c r="AU87" s="10" t="s">
        <v>1105</v>
      </c>
      <c r="AV87" s="36" t="s">
        <v>1127</v>
      </c>
      <c r="AW87" s="1">
        <v>46196</v>
      </c>
    </row>
    <row r="88" spans="1:49" x14ac:dyDescent="0.25">
      <c r="A88" s="9" t="s">
        <v>991</v>
      </c>
      <c r="B88" s="10" t="s">
        <v>1017</v>
      </c>
      <c r="C88" s="10">
        <v>0</v>
      </c>
      <c r="D88" s="10" t="s">
        <v>91</v>
      </c>
      <c r="E88" s="10"/>
      <c r="F88" s="10"/>
      <c r="G88" s="10"/>
      <c r="H88" s="10" t="s">
        <v>52</v>
      </c>
      <c r="I88" s="10">
        <v>5</v>
      </c>
      <c r="J88" s="10" t="s">
        <v>1043</v>
      </c>
      <c r="K88" s="10" t="s">
        <v>42</v>
      </c>
      <c r="L88" s="10">
        <f>Table1[[#This Row],[ENR]]-Table1[[#This Row],[CREDIT]]</f>
        <v>10361.320000000007</v>
      </c>
      <c r="M88" s="36">
        <v>135000</v>
      </c>
      <c r="N88" s="26">
        <v>145361.32</v>
      </c>
      <c r="O88" s="38" t="s">
        <v>43</v>
      </c>
      <c r="P88" s="25">
        <v>145361.32</v>
      </c>
      <c r="Q88" s="25">
        <v>134986</v>
      </c>
      <c r="R88" s="10">
        <v>33390</v>
      </c>
      <c r="S88" s="39">
        <v>6750</v>
      </c>
      <c r="T88" s="10" t="s">
        <v>44</v>
      </c>
      <c r="U88" s="10" t="s">
        <v>45</v>
      </c>
      <c r="V88" s="10">
        <v>0</v>
      </c>
      <c r="W88" s="25">
        <f>Table1[[#This Row],[STAB]]-Table1[[#This Row],[AMOUNT]]</f>
        <v>6750</v>
      </c>
      <c r="X88" s="10">
        <v>0</v>
      </c>
      <c r="Y88" s="10" t="s">
        <v>79</v>
      </c>
      <c r="Z88" s="10">
        <v>0</v>
      </c>
      <c r="AA88" s="10" t="s">
        <v>162</v>
      </c>
      <c r="AB88" s="36" t="s">
        <v>734</v>
      </c>
      <c r="AC88" s="10"/>
      <c r="AD88" s="9" t="s">
        <v>1069</v>
      </c>
      <c r="AE88" s="10" t="s">
        <v>1095</v>
      </c>
      <c r="AF88" s="10" t="s">
        <v>111</v>
      </c>
      <c r="AG88" s="10" t="s">
        <v>53</v>
      </c>
      <c r="AH88" s="10" t="s">
        <v>92</v>
      </c>
      <c r="AI88" s="10" t="s">
        <v>113</v>
      </c>
      <c r="AJ88" s="10">
        <v>802388289</v>
      </c>
      <c r="AK88" s="10" t="s">
        <v>104</v>
      </c>
      <c r="AL88" s="10"/>
      <c r="AM88" s="10"/>
      <c r="AN88" s="11" t="s">
        <v>390</v>
      </c>
      <c r="AO88" s="10" t="s">
        <v>398</v>
      </c>
      <c r="AP88" s="10" t="s">
        <v>1994</v>
      </c>
      <c r="AQ88" s="10" t="s">
        <v>1989</v>
      </c>
      <c r="AR88" s="2">
        <v>46134</v>
      </c>
      <c r="AS88" s="10">
        <v>134698</v>
      </c>
      <c r="AT88" s="10" t="s">
        <v>936</v>
      </c>
      <c r="AU88" s="10" t="s">
        <v>1105</v>
      </c>
      <c r="AV88" s="36" t="s">
        <v>1125</v>
      </c>
      <c r="AW88" s="1">
        <v>46196</v>
      </c>
    </row>
    <row r="89" spans="1:49" x14ac:dyDescent="0.25">
      <c r="A89" s="9" t="s">
        <v>408</v>
      </c>
      <c r="B89" s="10" t="s">
        <v>426</v>
      </c>
      <c r="C89" s="10">
        <v>0</v>
      </c>
      <c r="D89" s="10" t="s">
        <v>91</v>
      </c>
      <c r="E89" s="10">
        <v>1</v>
      </c>
      <c r="F89" s="10"/>
      <c r="G89" s="10"/>
      <c r="H89" s="10" t="s">
        <v>52</v>
      </c>
      <c r="I89" s="10">
        <v>5</v>
      </c>
      <c r="J89" s="10" t="s">
        <v>444</v>
      </c>
      <c r="K89" s="10" t="s">
        <v>460</v>
      </c>
      <c r="L89" s="10">
        <f>Table1[[#This Row],[ENR]]-Table1[[#This Row],[CREDIT]]</f>
        <v>-164462.06</v>
      </c>
      <c r="M89" s="36">
        <v>300000</v>
      </c>
      <c r="N89" s="26">
        <v>135537.94</v>
      </c>
      <c r="O89" s="38" t="s">
        <v>43</v>
      </c>
      <c r="P89" s="25">
        <v>135537.94</v>
      </c>
      <c r="Q89" s="25">
        <v>127787.94</v>
      </c>
      <c r="R89" s="10">
        <v>21590</v>
      </c>
      <c r="S89" s="39">
        <v>9710</v>
      </c>
      <c r="T89" s="10" t="s">
        <v>57</v>
      </c>
      <c r="U89" s="10" t="s">
        <v>13</v>
      </c>
      <c r="V89" s="10">
        <v>21590</v>
      </c>
      <c r="W89" s="25">
        <f>Table1[[#This Row],[STAB]]-Table1[[#This Row],[AMOUNT]]</f>
        <v>-11880</v>
      </c>
      <c r="X89" s="10" t="s">
        <v>1961</v>
      </c>
      <c r="Y89" s="10" t="s">
        <v>402</v>
      </c>
      <c r="Z89" s="10" t="s">
        <v>403</v>
      </c>
      <c r="AA89" s="10" t="s">
        <v>162</v>
      </c>
      <c r="AB89" s="10" t="s">
        <v>735</v>
      </c>
      <c r="AC89" s="10">
        <v>0</v>
      </c>
      <c r="AD89" s="9" t="s">
        <v>463</v>
      </c>
      <c r="AE89" s="10" t="s">
        <v>481</v>
      </c>
      <c r="AF89" s="10" t="s">
        <v>498</v>
      </c>
      <c r="AG89" s="10" t="s">
        <v>53</v>
      </c>
      <c r="AH89" s="10" t="s">
        <v>90</v>
      </c>
      <c r="AI89" s="10" t="s">
        <v>162</v>
      </c>
      <c r="AJ89" s="10">
        <v>801772794</v>
      </c>
      <c r="AK89" s="10" t="s">
        <v>361</v>
      </c>
      <c r="AL89" s="10"/>
      <c r="AM89" s="10"/>
      <c r="AN89" s="11" t="s">
        <v>390</v>
      </c>
      <c r="AO89" s="10" t="s">
        <v>392</v>
      </c>
      <c r="AP89" s="10" t="s">
        <v>530</v>
      </c>
      <c r="AQ89" s="10" t="s">
        <v>526</v>
      </c>
      <c r="AR89" s="2">
        <v>45623</v>
      </c>
      <c r="AS89" s="10">
        <v>200000</v>
      </c>
      <c r="AT89" s="10" t="s">
        <v>47</v>
      </c>
      <c r="AU89" s="10" t="s">
        <v>504</v>
      </c>
      <c r="AV89" s="36" t="s">
        <v>507</v>
      </c>
      <c r="AW89" s="1">
        <v>46196</v>
      </c>
    </row>
    <row r="90" spans="1:49" x14ac:dyDescent="0.25">
      <c r="A90" s="9" t="s">
        <v>976</v>
      </c>
      <c r="B90" s="10" t="s">
        <v>1002</v>
      </c>
      <c r="C90" s="10" t="s">
        <v>97</v>
      </c>
      <c r="D90" s="10" t="s">
        <v>91</v>
      </c>
      <c r="E90" s="10">
        <v>1</v>
      </c>
      <c r="F90" s="10"/>
      <c r="G90" s="10"/>
      <c r="H90" s="10" t="s">
        <v>52</v>
      </c>
      <c r="I90" s="10">
        <v>5</v>
      </c>
      <c r="J90" s="10" t="s">
        <v>1028</v>
      </c>
      <c r="K90" s="10" t="s">
        <v>42</v>
      </c>
      <c r="L90" s="10">
        <f>Table1[[#This Row],[ENR]]-Table1[[#This Row],[CREDIT]]</f>
        <v>12625.26999999999</v>
      </c>
      <c r="M90" s="36">
        <v>120000</v>
      </c>
      <c r="N90" s="26">
        <v>132625.26999999999</v>
      </c>
      <c r="O90" s="38">
        <v>115703.91</v>
      </c>
      <c r="P90" s="25">
        <v>16921.36</v>
      </c>
      <c r="Q90" s="25">
        <v>4225.5</v>
      </c>
      <c r="R90" s="10">
        <v>16900</v>
      </c>
      <c r="S90" s="39">
        <v>6470</v>
      </c>
      <c r="T90" s="10" t="s">
        <v>57</v>
      </c>
      <c r="U90" s="10" t="s">
        <v>14</v>
      </c>
      <c r="V90" s="25">
        <v>6500</v>
      </c>
      <c r="W90" s="25">
        <f>Table1[[#This Row],[STAB]]-Table1[[#This Row],[AMOUNT]]</f>
        <v>-30</v>
      </c>
      <c r="X90" s="10" t="s">
        <v>1989</v>
      </c>
      <c r="Y90" s="10" t="s">
        <v>402</v>
      </c>
      <c r="Z90" s="10" t="s">
        <v>1968</v>
      </c>
      <c r="AA90" s="10" t="s">
        <v>162</v>
      </c>
      <c r="AB90" s="36" t="s">
        <v>736</v>
      </c>
      <c r="AC90" s="10"/>
      <c r="AD90" s="9" t="s">
        <v>1054</v>
      </c>
      <c r="AE90" s="10" t="s">
        <v>1080</v>
      </c>
      <c r="AF90" s="10" t="s">
        <v>276</v>
      </c>
      <c r="AG90" s="10" t="s">
        <v>324</v>
      </c>
      <c r="AH90" s="10" t="s">
        <v>354</v>
      </c>
      <c r="AI90" s="10" t="s">
        <v>367</v>
      </c>
      <c r="AJ90" s="10">
        <v>801436997</v>
      </c>
      <c r="AK90" s="10" t="s">
        <v>104</v>
      </c>
      <c r="AL90" s="10"/>
      <c r="AM90" s="10"/>
      <c r="AN90" s="11" t="s">
        <v>390</v>
      </c>
      <c r="AO90" s="10" t="s">
        <v>392</v>
      </c>
      <c r="AP90" s="10" t="s">
        <v>1413</v>
      </c>
      <c r="AQ90" s="10" t="s">
        <v>1401</v>
      </c>
      <c r="AR90" s="2">
        <v>46146</v>
      </c>
      <c r="AS90" s="10">
        <v>3000</v>
      </c>
      <c r="AT90" s="10" t="s">
        <v>47</v>
      </c>
      <c r="AU90" s="10" t="s">
        <v>1105</v>
      </c>
      <c r="AV90" s="36" t="s">
        <v>1110</v>
      </c>
      <c r="AW90" s="1">
        <v>46196</v>
      </c>
    </row>
    <row r="91" spans="1:49" x14ac:dyDescent="0.25">
      <c r="A91" s="9" t="s">
        <v>989</v>
      </c>
      <c r="B91" s="10" t="s">
        <v>1015</v>
      </c>
      <c r="C91" s="10">
        <v>0</v>
      </c>
      <c r="D91" s="10" t="s">
        <v>91</v>
      </c>
      <c r="E91" s="10"/>
      <c r="F91" s="10"/>
      <c r="G91" s="10"/>
      <c r="H91" s="10" t="s">
        <v>52</v>
      </c>
      <c r="I91" s="10">
        <v>5</v>
      </c>
      <c r="J91" s="10" t="s">
        <v>1041</v>
      </c>
      <c r="K91" s="10" t="s">
        <v>42</v>
      </c>
      <c r="L91" s="10">
        <f>Table1[[#This Row],[ENR]]-Table1[[#This Row],[CREDIT]]</f>
        <v>12082.140000000014</v>
      </c>
      <c r="M91" s="36">
        <v>120000</v>
      </c>
      <c r="N91" s="26">
        <v>132082.14000000001</v>
      </c>
      <c r="O91" s="38" t="s">
        <v>43</v>
      </c>
      <c r="P91" s="25">
        <v>132082.14000000001</v>
      </c>
      <c r="Q91" s="25">
        <v>118248.4</v>
      </c>
      <c r="R91" s="10">
        <v>32670</v>
      </c>
      <c r="S91" s="39">
        <v>13290</v>
      </c>
      <c r="T91" s="10" t="s">
        <v>57</v>
      </c>
      <c r="U91" s="10" t="s">
        <v>14</v>
      </c>
      <c r="V91" s="25">
        <v>14000</v>
      </c>
      <c r="W91" s="25">
        <f>Table1[[#This Row],[STAB]]-Table1[[#This Row],[AMOUNT]]</f>
        <v>-710</v>
      </c>
      <c r="X91" s="10" t="s">
        <v>1989</v>
      </c>
      <c r="Y91" s="10" t="s">
        <v>396</v>
      </c>
      <c r="Z91" s="10" t="s">
        <v>403</v>
      </c>
      <c r="AA91" s="10" t="s">
        <v>162</v>
      </c>
      <c r="AB91" s="36" t="s">
        <v>733</v>
      </c>
      <c r="AC91" s="10"/>
      <c r="AD91" s="9" t="s">
        <v>1067</v>
      </c>
      <c r="AE91" s="10" t="s">
        <v>1093</v>
      </c>
      <c r="AF91" s="10" t="s">
        <v>1104</v>
      </c>
      <c r="AG91" s="10" t="s">
        <v>324</v>
      </c>
      <c r="AH91" s="10" t="s">
        <v>1361</v>
      </c>
      <c r="AI91" s="10" t="s">
        <v>1404</v>
      </c>
      <c r="AJ91" s="10">
        <v>802852449</v>
      </c>
      <c r="AK91" s="10" t="s">
        <v>104</v>
      </c>
      <c r="AL91" s="10"/>
      <c r="AM91" s="10"/>
      <c r="AN91" s="11" t="s">
        <v>390</v>
      </c>
      <c r="AO91" s="10" t="s">
        <v>398</v>
      </c>
      <c r="AP91" s="10" t="s">
        <v>1986</v>
      </c>
      <c r="AQ91" s="10" t="s">
        <v>1961</v>
      </c>
      <c r="AR91" s="2">
        <v>45618</v>
      </c>
      <c r="AS91" s="10">
        <v>9000</v>
      </c>
      <c r="AT91" s="10" t="s">
        <v>47</v>
      </c>
      <c r="AU91" s="10" t="s">
        <v>1105</v>
      </c>
      <c r="AV91" s="36" t="s">
        <v>1123</v>
      </c>
      <c r="AW91" s="1">
        <v>46196</v>
      </c>
    </row>
    <row r="92" spans="1:49" x14ac:dyDescent="0.25">
      <c r="A92" s="9" t="s">
        <v>980</v>
      </c>
      <c r="B92" s="10" t="s">
        <v>1006</v>
      </c>
      <c r="C92" s="10">
        <v>0</v>
      </c>
      <c r="D92" s="10" t="s">
        <v>91</v>
      </c>
      <c r="E92" s="10"/>
      <c r="F92" s="10"/>
      <c r="G92" s="10"/>
      <c r="H92" s="10" t="s">
        <v>52</v>
      </c>
      <c r="I92" s="10">
        <v>5</v>
      </c>
      <c r="J92" s="10" t="s">
        <v>1032</v>
      </c>
      <c r="K92" s="10" t="s">
        <v>42</v>
      </c>
      <c r="L92" s="10">
        <f>Table1[[#This Row],[ENR]]-Table1[[#This Row],[CREDIT]]</f>
        <v>-45434.31</v>
      </c>
      <c r="M92" s="36">
        <v>166000</v>
      </c>
      <c r="N92" s="26">
        <v>120565.69</v>
      </c>
      <c r="O92" s="38">
        <v>28394.38</v>
      </c>
      <c r="P92" s="25">
        <v>92171.31</v>
      </c>
      <c r="Q92" s="25">
        <v>86179.27</v>
      </c>
      <c r="R92" s="10">
        <v>28320</v>
      </c>
      <c r="S92" s="39">
        <v>12990</v>
      </c>
      <c r="T92" s="10" t="s">
        <v>57</v>
      </c>
      <c r="U92" s="10" t="s">
        <v>13</v>
      </c>
      <c r="V92" s="10">
        <v>92171.31</v>
      </c>
      <c r="W92" s="25">
        <f>Table1[[#This Row],[STAB]]-Table1[[#This Row],[AMOUNT]]</f>
        <v>-79181.31</v>
      </c>
      <c r="X92" s="10" t="s">
        <v>1401</v>
      </c>
      <c r="Y92" s="10" t="s">
        <v>388</v>
      </c>
      <c r="Z92" s="10" t="s">
        <v>403</v>
      </c>
      <c r="AA92" s="10" t="s">
        <v>162</v>
      </c>
      <c r="AB92" s="36" t="s">
        <v>734</v>
      </c>
      <c r="AC92" s="10"/>
      <c r="AD92" s="9" t="s">
        <v>1058</v>
      </c>
      <c r="AE92" s="10" t="s">
        <v>1084</v>
      </c>
      <c r="AF92" s="10" t="s">
        <v>687</v>
      </c>
      <c r="AG92" s="10" t="s">
        <v>53</v>
      </c>
      <c r="AH92" s="10" t="s">
        <v>83</v>
      </c>
      <c r="AI92" s="10" t="s">
        <v>728</v>
      </c>
      <c r="AJ92" s="10">
        <v>802349062</v>
      </c>
      <c r="AK92" s="10" t="s">
        <v>104</v>
      </c>
      <c r="AL92" s="10"/>
      <c r="AM92" s="10"/>
      <c r="AN92" s="11" t="s">
        <v>390</v>
      </c>
      <c r="AO92" s="10"/>
      <c r="AP92" s="10"/>
      <c r="AQ92" s="10"/>
      <c r="AR92" s="2">
        <v>45471</v>
      </c>
      <c r="AS92" s="10">
        <v>57851.59</v>
      </c>
      <c r="AT92" s="10" t="s">
        <v>289</v>
      </c>
      <c r="AU92" s="10" t="s">
        <v>1105</v>
      </c>
      <c r="AV92" s="36" t="s">
        <v>1114</v>
      </c>
      <c r="AW92" s="1">
        <v>46196</v>
      </c>
    </row>
    <row r="93" spans="1:49" x14ac:dyDescent="0.25">
      <c r="A93" s="9" t="s">
        <v>988</v>
      </c>
      <c r="B93" s="10" t="s">
        <v>1014</v>
      </c>
      <c r="C93" s="10">
        <v>0</v>
      </c>
      <c r="D93" s="10" t="s">
        <v>91</v>
      </c>
      <c r="E93" s="10"/>
      <c r="F93" s="10"/>
      <c r="G93" s="10"/>
      <c r="H93" s="10" t="s">
        <v>52</v>
      </c>
      <c r="I93" s="10">
        <v>5</v>
      </c>
      <c r="J93" s="10" t="s">
        <v>1040</v>
      </c>
      <c r="K93" s="10" t="s">
        <v>42</v>
      </c>
      <c r="L93" s="10">
        <f>Table1[[#This Row],[ENR]]-Table1[[#This Row],[CREDIT]]</f>
        <v>6606.8099999999977</v>
      </c>
      <c r="M93" s="36">
        <v>110000</v>
      </c>
      <c r="N93" s="26">
        <v>116606.81</v>
      </c>
      <c r="O93" s="38">
        <v>1866.03</v>
      </c>
      <c r="P93" s="25">
        <v>114740.78</v>
      </c>
      <c r="Q93" s="25">
        <v>108044.49</v>
      </c>
      <c r="R93" s="10">
        <v>17210</v>
      </c>
      <c r="S93" s="39">
        <v>5360</v>
      </c>
      <c r="T93" s="10" t="s">
        <v>57</v>
      </c>
      <c r="U93" s="10" t="s">
        <v>13</v>
      </c>
      <c r="V93" s="10">
        <v>17210</v>
      </c>
      <c r="W93" s="25">
        <f>Table1[[#This Row],[STAB]]-Table1[[#This Row],[AMOUNT]]</f>
        <v>-11850</v>
      </c>
      <c r="X93" s="10" t="s">
        <v>2004</v>
      </c>
      <c r="Y93" s="10" t="s">
        <v>396</v>
      </c>
      <c r="Z93" s="10" t="s">
        <v>403</v>
      </c>
      <c r="AA93" s="10" t="s">
        <v>162</v>
      </c>
      <c r="AB93" s="36" t="s">
        <v>736</v>
      </c>
      <c r="AC93" s="10"/>
      <c r="AD93" s="9" t="s">
        <v>1066</v>
      </c>
      <c r="AE93" s="10" t="s">
        <v>1092</v>
      </c>
      <c r="AF93" s="10" t="s">
        <v>1102</v>
      </c>
      <c r="AG93" s="10" t="s">
        <v>324</v>
      </c>
      <c r="AH93" s="10" t="s">
        <v>1956</v>
      </c>
      <c r="AI93" s="10" t="s">
        <v>1403</v>
      </c>
      <c r="AJ93" s="10">
        <v>802631601</v>
      </c>
      <c r="AK93" s="10" t="s">
        <v>362</v>
      </c>
      <c r="AL93" s="10"/>
      <c r="AM93" s="10"/>
      <c r="AN93" s="11" t="s">
        <v>390</v>
      </c>
      <c r="AO93" s="10"/>
      <c r="AP93" s="10"/>
      <c r="AQ93" s="10"/>
      <c r="AR93" s="2">
        <v>45863</v>
      </c>
      <c r="AS93" s="10">
        <v>14310</v>
      </c>
      <c r="AT93" s="10" t="s">
        <v>938</v>
      </c>
      <c r="AU93" s="10" t="s">
        <v>1105</v>
      </c>
      <c r="AV93" s="36" t="s">
        <v>1122</v>
      </c>
      <c r="AW93" s="1">
        <v>46196</v>
      </c>
    </row>
    <row r="94" spans="1:49" x14ac:dyDescent="0.25">
      <c r="A94" s="9" t="s">
        <v>977</v>
      </c>
      <c r="B94" s="10" t="s">
        <v>1003</v>
      </c>
      <c r="C94" s="10">
        <v>0</v>
      </c>
      <c r="D94" s="10" t="s">
        <v>91</v>
      </c>
      <c r="E94" s="10"/>
      <c r="F94" s="10"/>
      <c r="G94" s="10"/>
      <c r="H94" s="10" t="s">
        <v>52</v>
      </c>
      <c r="I94" s="10">
        <v>5</v>
      </c>
      <c r="J94" s="10" t="s">
        <v>1029</v>
      </c>
      <c r="K94" s="10" t="s">
        <v>42</v>
      </c>
      <c r="L94" s="10">
        <f>Table1[[#This Row],[ENR]]-Table1[[#This Row],[CREDIT]]</f>
        <v>-39593.679999999993</v>
      </c>
      <c r="M94" s="36">
        <v>150000</v>
      </c>
      <c r="N94" s="26">
        <v>110406.32</v>
      </c>
      <c r="O94" s="38">
        <v>84546.43</v>
      </c>
      <c r="P94" s="25">
        <v>25859.89</v>
      </c>
      <c r="Q94" s="25">
        <v>15450.57</v>
      </c>
      <c r="R94" s="10">
        <v>25859.89</v>
      </c>
      <c r="S94" s="39">
        <v>14244.05</v>
      </c>
      <c r="T94" s="10" t="s">
        <v>57</v>
      </c>
      <c r="U94" s="10" t="s">
        <v>13</v>
      </c>
      <c r="V94" s="10">
        <v>26000</v>
      </c>
      <c r="W94" s="25">
        <f>Table1[[#This Row],[STAB]]-Table1[[#This Row],[AMOUNT]]</f>
        <v>-11755.95</v>
      </c>
      <c r="X94" s="10" t="s">
        <v>2004</v>
      </c>
      <c r="Y94" s="10" t="s">
        <v>402</v>
      </c>
      <c r="Z94" s="10" t="s">
        <v>1968</v>
      </c>
      <c r="AA94" s="10" t="s">
        <v>162</v>
      </c>
      <c r="AB94" s="36" t="s">
        <v>734</v>
      </c>
      <c r="AC94" s="10"/>
      <c r="AD94" s="9" t="s">
        <v>1055</v>
      </c>
      <c r="AE94" s="10" t="s">
        <v>1081</v>
      </c>
      <c r="AF94" s="10" t="s">
        <v>146</v>
      </c>
      <c r="AG94" s="10" t="s">
        <v>54</v>
      </c>
      <c r="AH94" s="10" t="s">
        <v>1399</v>
      </c>
      <c r="AI94" s="10" t="s">
        <v>373</v>
      </c>
      <c r="AJ94" s="10">
        <v>801174030</v>
      </c>
      <c r="AK94" s="10" t="s">
        <v>359</v>
      </c>
      <c r="AL94" s="10"/>
      <c r="AM94" s="10"/>
      <c r="AN94" s="11" t="s">
        <v>390</v>
      </c>
      <c r="AO94" s="10"/>
      <c r="AP94" s="10"/>
      <c r="AQ94" s="10"/>
      <c r="AR94" s="2">
        <v>46016</v>
      </c>
      <c r="AS94" s="10">
        <v>49998</v>
      </c>
      <c r="AT94" s="10" t="s">
        <v>293</v>
      </c>
      <c r="AU94" s="10" t="s">
        <v>1105</v>
      </c>
      <c r="AV94" s="36" t="s">
        <v>1111</v>
      </c>
      <c r="AW94" s="1">
        <v>46196</v>
      </c>
    </row>
    <row r="95" spans="1:49" x14ac:dyDescent="0.25">
      <c r="A95" s="9" t="s">
        <v>987</v>
      </c>
      <c r="B95" s="10" t="s">
        <v>1013</v>
      </c>
      <c r="C95" s="10">
        <v>0</v>
      </c>
      <c r="D95" s="10" t="s">
        <v>91</v>
      </c>
      <c r="E95" s="10"/>
      <c r="F95" s="10"/>
      <c r="G95" s="10"/>
      <c r="H95" s="10" t="s">
        <v>52</v>
      </c>
      <c r="I95" s="10">
        <v>5</v>
      </c>
      <c r="J95" s="10" t="s">
        <v>1039</v>
      </c>
      <c r="K95" s="10" t="s">
        <v>42</v>
      </c>
      <c r="L95" s="10">
        <f>Table1[[#This Row],[ENR]]-Table1[[#This Row],[CREDIT]]</f>
        <v>8388.3399999999965</v>
      </c>
      <c r="M95" s="36">
        <v>100000</v>
      </c>
      <c r="N95" s="26">
        <v>108388.34</v>
      </c>
      <c r="O95" s="38" t="s">
        <v>43</v>
      </c>
      <c r="P95" s="25">
        <v>108388.34</v>
      </c>
      <c r="Q95" s="25">
        <v>94239.12</v>
      </c>
      <c r="R95" s="10">
        <v>31200</v>
      </c>
      <c r="S95" s="39">
        <v>15080</v>
      </c>
      <c r="T95" s="10" t="s">
        <v>57</v>
      </c>
      <c r="U95" s="10" t="s">
        <v>13</v>
      </c>
      <c r="V95" s="10">
        <v>108388.34</v>
      </c>
      <c r="W95" s="25">
        <f>Table1[[#This Row],[STAB]]-Table1[[#This Row],[AMOUNT]]</f>
        <v>-93308.34</v>
      </c>
      <c r="X95" s="10" t="s">
        <v>2004</v>
      </c>
      <c r="Y95" s="10" t="s">
        <v>402</v>
      </c>
      <c r="Z95" s="10" t="s">
        <v>962</v>
      </c>
      <c r="AA95" s="10" t="s">
        <v>162</v>
      </c>
      <c r="AB95" s="10" t="s">
        <v>735</v>
      </c>
      <c r="AC95" s="10"/>
      <c r="AD95" s="9" t="s">
        <v>1065</v>
      </c>
      <c r="AE95" s="10" t="s">
        <v>1091</v>
      </c>
      <c r="AF95" s="10" t="s">
        <v>111</v>
      </c>
      <c r="AG95" s="10" t="s">
        <v>53</v>
      </c>
      <c r="AH95" s="10" t="s">
        <v>92</v>
      </c>
      <c r="AI95" s="10" t="s">
        <v>113</v>
      </c>
      <c r="AJ95" s="10">
        <v>802388289</v>
      </c>
      <c r="AK95" s="10" t="s">
        <v>104</v>
      </c>
      <c r="AL95" s="10"/>
      <c r="AM95" s="10"/>
      <c r="AN95" s="11" t="s">
        <v>390</v>
      </c>
      <c r="AO95" s="10" t="s">
        <v>398</v>
      </c>
      <c r="AP95" s="10" t="s">
        <v>1992</v>
      </c>
      <c r="AQ95" s="10" t="s">
        <v>1989</v>
      </c>
      <c r="AR95" s="2">
        <v>45466</v>
      </c>
      <c r="AS95" s="10">
        <v>69402.66</v>
      </c>
      <c r="AT95" s="10" t="s">
        <v>47</v>
      </c>
      <c r="AU95" s="10" t="s">
        <v>1105</v>
      </c>
      <c r="AV95" s="36" t="s">
        <v>1121</v>
      </c>
      <c r="AW95" s="1">
        <v>46196</v>
      </c>
    </row>
    <row r="96" spans="1:49" x14ac:dyDescent="0.25">
      <c r="A96" s="9" t="s">
        <v>986</v>
      </c>
      <c r="B96" s="10" t="s">
        <v>1012</v>
      </c>
      <c r="C96" s="10">
        <v>0</v>
      </c>
      <c r="D96" s="10" t="s">
        <v>91</v>
      </c>
      <c r="E96" s="10"/>
      <c r="F96" s="10"/>
      <c r="G96" s="10"/>
      <c r="H96" s="10" t="s">
        <v>52</v>
      </c>
      <c r="I96" s="10">
        <v>5</v>
      </c>
      <c r="J96" s="10" t="s">
        <v>1038</v>
      </c>
      <c r="K96" s="10" t="s">
        <v>42</v>
      </c>
      <c r="L96" s="10">
        <f>Table1[[#This Row],[ENR]]-Table1[[#This Row],[CREDIT]]</f>
        <v>-91772.43</v>
      </c>
      <c r="M96" s="36">
        <v>200000</v>
      </c>
      <c r="N96" s="26">
        <v>108227.57</v>
      </c>
      <c r="O96" s="38" t="s">
        <v>43</v>
      </c>
      <c r="P96" s="25">
        <v>108227.57</v>
      </c>
      <c r="Q96" s="25">
        <v>101675.91</v>
      </c>
      <c r="R96" s="10">
        <v>14510</v>
      </c>
      <c r="S96" s="39">
        <v>7270</v>
      </c>
      <c r="T96" s="10" t="s">
        <v>44</v>
      </c>
      <c r="U96" s="10" t="s">
        <v>45</v>
      </c>
      <c r="V96" s="10">
        <v>0</v>
      </c>
      <c r="W96" s="25">
        <f>Table1[[#This Row],[STAB]]-Table1[[#This Row],[AMOUNT]]</f>
        <v>7270</v>
      </c>
      <c r="X96" s="10">
        <v>0</v>
      </c>
      <c r="Y96" s="10" t="s">
        <v>79</v>
      </c>
      <c r="Z96" s="10">
        <v>0</v>
      </c>
      <c r="AA96" s="10" t="s">
        <v>162</v>
      </c>
      <c r="AB96" s="36" t="s">
        <v>733</v>
      </c>
      <c r="AC96" s="10"/>
      <c r="AD96" s="9" t="s">
        <v>1064</v>
      </c>
      <c r="AE96" s="10" t="s">
        <v>1090</v>
      </c>
      <c r="AF96" s="10" t="s">
        <v>687</v>
      </c>
      <c r="AG96" s="10" t="s">
        <v>53</v>
      </c>
      <c r="AH96" s="10" t="s">
        <v>83</v>
      </c>
      <c r="AI96" s="10" t="s">
        <v>728</v>
      </c>
      <c r="AJ96" s="10">
        <v>802349062</v>
      </c>
      <c r="AK96" s="10" t="s">
        <v>104</v>
      </c>
      <c r="AL96" s="10"/>
      <c r="AM96" s="10"/>
      <c r="AN96" s="11" t="s">
        <v>46</v>
      </c>
      <c r="AO96" s="10"/>
      <c r="AP96" s="10"/>
      <c r="AQ96" s="10"/>
      <c r="AR96" s="2">
        <v>46139</v>
      </c>
      <c r="AS96" s="10">
        <v>8000</v>
      </c>
      <c r="AT96" s="10" t="s">
        <v>47</v>
      </c>
      <c r="AU96" s="10" t="s">
        <v>1105</v>
      </c>
      <c r="AV96" s="36" t="s">
        <v>1120</v>
      </c>
      <c r="AW96" s="1">
        <v>46196</v>
      </c>
    </row>
    <row r="97" spans="1:49" x14ac:dyDescent="0.25">
      <c r="A97" s="9" t="s">
        <v>985</v>
      </c>
      <c r="B97" s="10" t="s">
        <v>1011</v>
      </c>
      <c r="C97" s="10">
        <v>0</v>
      </c>
      <c r="D97" s="10" t="s">
        <v>91</v>
      </c>
      <c r="E97" s="10"/>
      <c r="F97" s="10"/>
      <c r="G97" s="10"/>
      <c r="H97" s="10" t="s">
        <v>52</v>
      </c>
      <c r="I97" s="10">
        <v>5</v>
      </c>
      <c r="J97" s="10" t="s">
        <v>1037</v>
      </c>
      <c r="K97" s="10" t="s">
        <v>42</v>
      </c>
      <c r="L97" s="10">
        <f>Table1[[#This Row],[ENR]]-Table1[[#This Row],[CREDIT]]</f>
        <v>-125646.28</v>
      </c>
      <c r="M97" s="36">
        <v>230000</v>
      </c>
      <c r="N97" s="26">
        <v>104353.72</v>
      </c>
      <c r="O97" s="38" t="s">
        <v>43</v>
      </c>
      <c r="P97" s="25">
        <v>104353.72</v>
      </c>
      <c r="Q97" s="25">
        <v>92620</v>
      </c>
      <c r="R97" s="10">
        <v>20770</v>
      </c>
      <c r="S97" s="39">
        <v>10430</v>
      </c>
      <c r="T97" s="10" t="s">
        <v>57</v>
      </c>
      <c r="U97" s="10" t="s">
        <v>14</v>
      </c>
      <c r="V97" s="25">
        <v>10500</v>
      </c>
      <c r="W97" s="25">
        <f>Table1[[#This Row],[STAB]]-Table1[[#This Row],[AMOUNT]]</f>
        <v>-70</v>
      </c>
      <c r="X97" s="10" t="s">
        <v>1989</v>
      </c>
      <c r="Y97" s="10" t="s">
        <v>402</v>
      </c>
      <c r="Z97" s="10" t="s">
        <v>403</v>
      </c>
      <c r="AA97" s="10" t="s">
        <v>162</v>
      </c>
      <c r="AB97" s="36" t="s">
        <v>736</v>
      </c>
      <c r="AC97" s="10"/>
      <c r="AD97" s="9" t="s">
        <v>1063</v>
      </c>
      <c r="AE97" s="10" t="s">
        <v>1089</v>
      </c>
      <c r="AF97" s="10" t="s">
        <v>383</v>
      </c>
      <c r="AG97" s="10" t="s">
        <v>53</v>
      </c>
      <c r="AH97" s="10" t="s">
        <v>55</v>
      </c>
      <c r="AI97" s="10" t="s">
        <v>365</v>
      </c>
      <c r="AJ97" s="10">
        <v>802824019</v>
      </c>
      <c r="AK97" s="10" t="s">
        <v>360</v>
      </c>
      <c r="AL97" s="10"/>
      <c r="AM97" s="10"/>
      <c r="AN97" s="11" t="s">
        <v>390</v>
      </c>
      <c r="AO97" s="10" t="s">
        <v>392</v>
      </c>
      <c r="AP97" s="10" t="s">
        <v>958</v>
      </c>
      <c r="AQ97" s="10" t="s">
        <v>1401</v>
      </c>
      <c r="AR97" s="2">
        <v>45614</v>
      </c>
      <c r="AS97" s="10">
        <v>13608.62</v>
      </c>
      <c r="AT97" s="10" t="s">
        <v>47</v>
      </c>
      <c r="AU97" s="10" t="s">
        <v>1105</v>
      </c>
      <c r="AV97" s="36" t="s">
        <v>1119</v>
      </c>
      <c r="AW97" s="1">
        <v>46196</v>
      </c>
    </row>
    <row r="98" spans="1:49" x14ac:dyDescent="0.25">
      <c r="A98" s="9" t="s">
        <v>984</v>
      </c>
      <c r="B98" s="10" t="s">
        <v>1010</v>
      </c>
      <c r="C98" s="10">
        <v>0</v>
      </c>
      <c r="D98" s="10" t="s">
        <v>91</v>
      </c>
      <c r="E98" s="10"/>
      <c r="F98" s="10"/>
      <c r="G98" s="10"/>
      <c r="H98" s="10" t="s">
        <v>52</v>
      </c>
      <c r="I98" s="10">
        <v>5</v>
      </c>
      <c r="J98" s="10" t="s">
        <v>1036</v>
      </c>
      <c r="K98" s="10" t="s">
        <v>42</v>
      </c>
      <c r="L98" s="10">
        <f>Table1[[#This Row],[ENR]]-Table1[[#This Row],[CREDIT]]</f>
        <v>9859.7200000000012</v>
      </c>
      <c r="M98" s="36">
        <v>90000</v>
      </c>
      <c r="N98" s="26">
        <v>99859.72</v>
      </c>
      <c r="O98" s="38" t="s">
        <v>43</v>
      </c>
      <c r="P98" s="25">
        <v>99859.72</v>
      </c>
      <c r="Q98" s="25">
        <v>86466.92</v>
      </c>
      <c r="R98" s="10">
        <v>31000</v>
      </c>
      <c r="S98" s="39">
        <v>16020</v>
      </c>
      <c r="T98" s="10" t="s">
        <v>57</v>
      </c>
      <c r="U98" s="10" t="s">
        <v>14</v>
      </c>
      <c r="V98" s="25">
        <v>16050</v>
      </c>
      <c r="W98" s="25">
        <f>Table1[[#This Row],[STAB]]-Table1[[#This Row],[AMOUNT]]</f>
        <v>-30</v>
      </c>
      <c r="X98" s="10" t="s">
        <v>4530</v>
      </c>
      <c r="Y98" s="10" t="s">
        <v>396</v>
      </c>
      <c r="Z98" s="10" t="s">
        <v>403</v>
      </c>
      <c r="AA98" s="10" t="s">
        <v>162</v>
      </c>
      <c r="AB98" s="10" t="s">
        <v>735</v>
      </c>
      <c r="AC98" s="10"/>
      <c r="AD98" s="9" t="s">
        <v>1062</v>
      </c>
      <c r="AE98" s="10" t="s">
        <v>1088</v>
      </c>
      <c r="AF98" s="10" t="s">
        <v>285</v>
      </c>
      <c r="AG98" s="10" t="s">
        <v>54</v>
      </c>
      <c r="AH98" s="10" t="s">
        <v>98</v>
      </c>
      <c r="AI98" s="10" t="s">
        <v>727</v>
      </c>
      <c r="AJ98" s="10">
        <v>802898520</v>
      </c>
      <c r="AK98" s="10" t="s">
        <v>104</v>
      </c>
      <c r="AL98" s="10"/>
      <c r="AM98" s="10"/>
      <c r="AN98" s="11" t="s">
        <v>390</v>
      </c>
      <c r="AO98" s="10" t="s">
        <v>394</v>
      </c>
      <c r="AP98" s="10" t="s">
        <v>1991</v>
      </c>
      <c r="AQ98" s="10" t="s">
        <v>1989</v>
      </c>
      <c r="AR98" s="2">
        <v>46140</v>
      </c>
      <c r="AS98" s="10">
        <v>4040</v>
      </c>
      <c r="AT98" s="10" t="s">
        <v>47</v>
      </c>
      <c r="AU98" s="10" t="s">
        <v>1105</v>
      </c>
      <c r="AV98" s="36" t="s">
        <v>1118</v>
      </c>
      <c r="AW98" s="1">
        <v>46196</v>
      </c>
    </row>
    <row r="99" spans="1:49" x14ac:dyDescent="0.25">
      <c r="A99" s="9" t="s">
        <v>983</v>
      </c>
      <c r="B99" s="10" t="s">
        <v>1009</v>
      </c>
      <c r="C99" s="10">
        <v>0</v>
      </c>
      <c r="D99" s="10" t="s">
        <v>91</v>
      </c>
      <c r="E99" s="10"/>
      <c r="F99" s="10"/>
      <c r="G99" s="10"/>
      <c r="H99" s="10" t="s">
        <v>52</v>
      </c>
      <c r="I99" s="10">
        <v>5</v>
      </c>
      <c r="J99" s="10" t="s">
        <v>1035</v>
      </c>
      <c r="K99" s="10" t="s">
        <v>42</v>
      </c>
      <c r="L99" s="10">
        <f>Table1[[#This Row],[ENR]]-Table1[[#This Row],[CREDIT]]</f>
        <v>8645.929999999993</v>
      </c>
      <c r="M99" s="36">
        <v>90000</v>
      </c>
      <c r="N99" s="26">
        <v>98645.93</v>
      </c>
      <c r="O99" s="38" t="s">
        <v>43</v>
      </c>
      <c r="P99" s="25">
        <v>98645.93</v>
      </c>
      <c r="Q99" s="25">
        <v>89844.47</v>
      </c>
      <c r="R99" s="10">
        <v>23290</v>
      </c>
      <c r="S99" s="39">
        <v>8200</v>
      </c>
      <c r="T99" s="10" t="s">
        <v>57</v>
      </c>
      <c r="U99" s="10" t="s">
        <v>13</v>
      </c>
      <c r="V99" s="10">
        <v>23290</v>
      </c>
      <c r="W99" s="25">
        <f>Table1[[#This Row],[STAB]]-Table1[[#This Row],[AMOUNT]]</f>
        <v>-15090</v>
      </c>
      <c r="X99" s="10" t="s">
        <v>1401</v>
      </c>
      <c r="Y99" s="10" t="s">
        <v>396</v>
      </c>
      <c r="Z99" s="10" t="s">
        <v>403</v>
      </c>
      <c r="AA99" s="10" t="s">
        <v>162</v>
      </c>
      <c r="AB99" s="36" t="s">
        <v>736</v>
      </c>
      <c r="AC99" s="10"/>
      <c r="AD99" s="9" t="s">
        <v>1061</v>
      </c>
      <c r="AE99" s="10" t="s">
        <v>1087</v>
      </c>
      <c r="AF99" s="10" t="s">
        <v>276</v>
      </c>
      <c r="AG99" s="10" t="s">
        <v>324</v>
      </c>
      <c r="AH99" s="10" t="s">
        <v>354</v>
      </c>
      <c r="AI99" s="10" t="s">
        <v>367</v>
      </c>
      <c r="AJ99" s="10">
        <v>801436997</v>
      </c>
      <c r="AK99" s="10" t="s">
        <v>104</v>
      </c>
      <c r="AL99" s="10"/>
      <c r="AM99" s="10"/>
      <c r="AN99" s="11" t="s">
        <v>390</v>
      </c>
      <c r="AO99" s="10" t="s">
        <v>531</v>
      </c>
      <c r="AP99" s="10" t="s">
        <v>1412</v>
      </c>
      <c r="AQ99" s="10" t="s">
        <v>1401</v>
      </c>
      <c r="AR99" s="2">
        <v>46026</v>
      </c>
      <c r="AS99" s="10">
        <v>21790</v>
      </c>
      <c r="AT99" s="10" t="s">
        <v>47</v>
      </c>
      <c r="AU99" s="10" t="s">
        <v>1105</v>
      </c>
      <c r="AV99" s="36" t="s">
        <v>1117</v>
      </c>
      <c r="AW99" s="1">
        <v>46196</v>
      </c>
    </row>
    <row r="100" spans="1:49" x14ac:dyDescent="0.25">
      <c r="A100" s="40" t="s">
        <v>982</v>
      </c>
      <c r="B100" s="11" t="s">
        <v>1008</v>
      </c>
      <c r="C100" s="10">
        <v>0</v>
      </c>
      <c r="D100" s="10" t="s">
        <v>91</v>
      </c>
      <c r="E100" s="11"/>
      <c r="F100" s="11"/>
      <c r="G100" s="11"/>
      <c r="H100" s="10" t="s">
        <v>52</v>
      </c>
      <c r="I100" s="11">
        <v>5</v>
      </c>
      <c r="J100" s="11" t="s">
        <v>1034</v>
      </c>
      <c r="K100" s="11" t="s">
        <v>42</v>
      </c>
      <c r="L100" s="11">
        <f>Table1[[#This Row],[ENR]]-Table1[[#This Row],[CREDIT]]</f>
        <v>3568.820000000007</v>
      </c>
      <c r="M100" s="41">
        <v>86000</v>
      </c>
      <c r="N100" s="42">
        <v>89568.82</v>
      </c>
      <c r="O100" s="43" t="s">
        <v>43</v>
      </c>
      <c r="P100" s="44">
        <v>89568.82</v>
      </c>
      <c r="Q100" s="44">
        <v>79501.929999999993</v>
      </c>
      <c r="R100" s="11">
        <v>17770</v>
      </c>
      <c r="S100" s="45">
        <v>5120</v>
      </c>
      <c r="T100" s="10" t="s">
        <v>44</v>
      </c>
      <c r="U100" s="10" t="s">
        <v>45</v>
      </c>
      <c r="V100" s="10">
        <v>0</v>
      </c>
      <c r="W100" s="44">
        <f>Table1[[#This Row],[STAB]]-Table1[[#This Row],[AMOUNT]]</f>
        <v>5120</v>
      </c>
      <c r="X100" s="10">
        <v>0</v>
      </c>
      <c r="Y100" s="10" t="s">
        <v>79</v>
      </c>
      <c r="Z100" s="10">
        <v>0</v>
      </c>
      <c r="AA100" s="10" t="s">
        <v>162</v>
      </c>
      <c r="AB100" s="36" t="s">
        <v>733</v>
      </c>
      <c r="AC100" s="11"/>
      <c r="AD100" s="40" t="s">
        <v>1060</v>
      </c>
      <c r="AE100" s="11" t="s">
        <v>1086</v>
      </c>
      <c r="AF100" s="11" t="s">
        <v>686</v>
      </c>
      <c r="AG100" s="11" t="s">
        <v>324</v>
      </c>
      <c r="AH100" s="11" t="s">
        <v>722</v>
      </c>
      <c r="AI100" s="10" t="s">
        <v>370</v>
      </c>
      <c r="AJ100" s="10">
        <v>801448854</v>
      </c>
      <c r="AK100" s="10" t="s">
        <v>105</v>
      </c>
      <c r="AL100" s="11"/>
      <c r="AM100" s="11"/>
      <c r="AN100" s="11" t="s">
        <v>390</v>
      </c>
      <c r="AO100" s="11" t="s">
        <v>392</v>
      </c>
      <c r="AP100" s="11" t="s">
        <v>1990</v>
      </c>
      <c r="AQ100" s="11" t="s">
        <v>1989</v>
      </c>
      <c r="AR100" s="46">
        <v>46134</v>
      </c>
      <c r="AS100" s="11">
        <v>3968</v>
      </c>
      <c r="AT100" s="11" t="s">
        <v>291</v>
      </c>
      <c r="AU100" s="10" t="s">
        <v>1105</v>
      </c>
      <c r="AV100" s="41" t="s">
        <v>1116</v>
      </c>
      <c r="AW100" s="47">
        <v>46196</v>
      </c>
    </row>
    <row r="101" spans="1:49" x14ac:dyDescent="0.25">
      <c r="A101" s="9" t="s">
        <v>981</v>
      </c>
      <c r="B101" s="10" t="s">
        <v>1007</v>
      </c>
      <c r="C101" s="10" t="s">
        <v>97</v>
      </c>
      <c r="D101" s="10" t="s">
        <v>91</v>
      </c>
      <c r="E101" s="10">
        <v>1</v>
      </c>
      <c r="F101" s="10"/>
      <c r="G101" s="10"/>
      <c r="H101" s="10" t="s">
        <v>52</v>
      </c>
      <c r="I101" s="10">
        <v>5</v>
      </c>
      <c r="J101" s="10" t="s">
        <v>1033</v>
      </c>
      <c r="K101" s="10" t="s">
        <v>42</v>
      </c>
      <c r="L101" s="10">
        <f>Table1[[#This Row],[ENR]]-Table1[[#This Row],[CREDIT]]</f>
        <v>6703.5099999999948</v>
      </c>
      <c r="M101" s="36">
        <v>80000</v>
      </c>
      <c r="N101" s="26">
        <v>86703.51</v>
      </c>
      <c r="O101" s="38">
        <v>4755.1000000000004</v>
      </c>
      <c r="P101" s="25">
        <v>81948.41</v>
      </c>
      <c r="Q101" s="25">
        <v>69744.34</v>
      </c>
      <c r="R101" s="10">
        <v>20940</v>
      </c>
      <c r="S101" s="39">
        <v>8560</v>
      </c>
      <c r="T101" s="10" t="s">
        <v>57</v>
      </c>
      <c r="U101" s="10" t="s">
        <v>14</v>
      </c>
      <c r="V101" s="25">
        <v>9000</v>
      </c>
      <c r="W101" s="25">
        <f>Table1[[#This Row],[STAB]]-Table1[[#This Row],[AMOUNT]]</f>
        <v>-440</v>
      </c>
      <c r="X101" s="10" t="s">
        <v>1961</v>
      </c>
      <c r="Y101" s="10" t="s">
        <v>402</v>
      </c>
      <c r="Z101" s="10" t="s">
        <v>403</v>
      </c>
      <c r="AA101" s="10" t="s">
        <v>162</v>
      </c>
      <c r="AB101" s="36" t="s">
        <v>736</v>
      </c>
      <c r="AC101" s="10"/>
      <c r="AD101" s="9" t="s">
        <v>1059</v>
      </c>
      <c r="AE101" s="10" t="s">
        <v>1085</v>
      </c>
      <c r="AF101" s="10" t="s">
        <v>685</v>
      </c>
      <c r="AG101" s="10" t="s">
        <v>54</v>
      </c>
      <c r="AH101" s="10" t="s">
        <v>1398</v>
      </c>
      <c r="AI101" s="10" t="s">
        <v>162</v>
      </c>
      <c r="AJ101" s="10">
        <v>801772794</v>
      </c>
      <c r="AK101" s="10" t="s">
        <v>361</v>
      </c>
      <c r="AL101" s="10"/>
      <c r="AM101" s="10"/>
      <c r="AN101" s="11" t="s">
        <v>390</v>
      </c>
      <c r="AO101" s="10"/>
      <c r="AP101" s="10"/>
      <c r="AQ101" s="10"/>
      <c r="AR101" s="2">
        <v>45721</v>
      </c>
      <c r="AS101" s="10">
        <v>210</v>
      </c>
      <c r="AT101" s="10" t="s">
        <v>47</v>
      </c>
      <c r="AU101" s="10" t="s">
        <v>1105</v>
      </c>
      <c r="AV101" s="36" t="s">
        <v>1115</v>
      </c>
      <c r="AW101" s="1">
        <v>46196</v>
      </c>
    </row>
    <row r="102" spans="1:49" x14ac:dyDescent="0.25">
      <c r="A102" s="9" t="s">
        <v>412</v>
      </c>
      <c r="B102" s="10" t="s">
        <v>430</v>
      </c>
      <c r="C102" s="10" t="s">
        <v>97</v>
      </c>
      <c r="D102" s="10" t="s">
        <v>91</v>
      </c>
      <c r="E102" s="10"/>
      <c r="F102" s="10"/>
      <c r="G102" s="10"/>
      <c r="H102" s="10" t="s">
        <v>84</v>
      </c>
      <c r="I102" s="10">
        <v>5</v>
      </c>
      <c r="J102" s="10" t="s">
        <v>448</v>
      </c>
      <c r="K102" s="10" t="s">
        <v>42</v>
      </c>
      <c r="L102" s="10">
        <f>Table1[[#This Row],[ENR]]-Table1[[#This Row],[CREDIT]]</f>
        <v>-28388.630000000005</v>
      </c>
      <c r="M102" s="36">
        <v>100000</v>
      </c>
      <c r="N102" s="26">
        <v>71611.37</v>
      </c>
      <c r="O102" s="38" t="s">
        <v>43</v>
      </c>
      <c r="P102" s="25">
        <v>71611.37</v>
      </c>
      <c r="Q102" s="25">
        <v>47892.01</v>
      </c>
      <c r="R102" s="10">
        <v>14130</v>
      </c>
      <c r="S102" s="39">
        <v>7050</v>
      </c>
      <c r="T102" s="10" t="s">
        <v>57</v>
      </c>
      <c r="U102" s="10" t="s">
        <v>14</v>
      </c>
      <c r="V102" s="25">
        <v>7200</v>
      </c>
      <c r="W102" s="25">
        <f>Table1[[#This Row],[STAB]]-Table1[[#This Row],[AMOUNT]]</f>
        <v>-150</v>
      </c>
      <c r="X102" s="10" t="s">
        <v>1961</v>
      </c>
      <c r="Y102" s="10" t="s">
        <v>396</v>
      </c>
      <c r="Z102" s="10" t="s">
        <v>964</v>
      </c>
      <c r="AA102" s="10" t="s">
        <v>162</v>
      </c>
      <c r="AB102" s="36" t="s">
        <v>736</v>
      </c>
      <c r="AC102" s="10">
        <v>0</v>
      </c>
      <c r="AD102" s="9" t="s">
        <v>467</v>
      </c>
      <c r="AE102" s="10" t="s">
        <v>485</v>
      </c>
      <c r="AF102" s="10" t="s">
        <v>499</v>
      </c>
      <c r="AG102" s="10" t="s">
        <v>53</v>
      </c>
      <c r="AH102" s="10" t="s">
        <v>55</v>
      </c>
      <c r="AI102" s="10" t="s">
        <v>365</v>
      </c>
      <c r="AJ102" s="10">
        <v>802824019</v>
      </c>
      <c r="AK102" s="10" t="s">
        <v>360</v>
      </c>
      <c r="AL102" s="10"/>
      <c r="AM102" s="10"/>
      <c r="AN102" s="11" t="s">
        <v>390</v>
      </c>
      <c r="AO102" s="10" t="s">
        <v>392</v>
      </c>
      <c r="AP102" s="10" t="s">
        <v>860</v>
      </c>
      <c r="AQ102" s="10" t="s">
        <v>855</v>
      </c>
      <c r="AR102" s="2">
        <v>46174</v>
      </c>
      <c r="AS102" s="10">
        <v>7250</v>
      </c>
      <c r="AT102" s="10" t="s">
        <v>48</v>
      </c>
      <c r="AU102" s="10" t="s">
        <v>504</v>
      </c>
      <c r="AV102" s="36" t="s">
        <v>511</v>
      </c>
      <c r="AW102" s="1">
        <v>46196</v>
      </c>
    </row>
    <row r="103" spans="1:49" x14ac:dyDescent="0.25">
      <c r="A103" s="9" t="s">
        <v>411</v>
      </c>
      <c r="B103" s="10" t="s">
        <v>429</v>
      </c>
      <c r="C103" s="10">
        <v>0</v>
      </c>
      <c r="D103" s="10" t="s">
        <v>91</v>
      </c>
      <c r="E103" s="10"/>
      <c r="F103" s="10"/>
      <c r="G103" s="10"/>
      <c r="H103" s="10" t="s">
        <v>52</v>
      </c>
      <c r="I103" s="10">
        <v>5</v>
      </c>
      <c r="J103" s="10" t="s">
        <v>447</v>
      </c>
      <c r="K103" s="10" t="s">
        <v>42</v>
      </c>
      <c r="L103" s="10">
        <f>Table1[[#This Row],[ENR]]-Table1[[#This Row],[CREDIT]]</f>
        <v>-430928.41000000003</v>
      </c>
      <c r="M103" s="36">
        <v>500000</v>
      </c>
      <c r="N103" s="26">
        <v>69071.59</v>
      </c>
      <c r="O103" s="38" t="s">
        <v>43</v>
      </c>
      <c r="P103" s="25">
        <v>69071.59</v>
      </c>
      <c r="Q103" s="25">
        <v>63999.55</v>
      </c>
      <c r="R103" s="10">
        <v>8470</v>
      </c>
      <c r="S103" s="39">
        <v>3200</v>
      </c>
      <c r="T103" s="10" t="s">
        <v>44</v>
      </c>
      <c r="U103" s="10" t="s">
        <v>45</v>
      </c>
      <c r="V103" s="10">
        <v>0</v>
      </c>
      <c r="W103" s="25">
        <f>Table1[[#This Row],[STAB]]-Table1[[#This Row],[AMOUNT]]</f>
        <v>3200</v>
      </c>
      <c r="X103" s="10">
        <v>0</v>
      </c>
      <c r="Y103" s="10" t="s">
        <v>79</v>
      </c>
      <c r="Z103" s="10">
        <v>0</v>
      </c>
      <c r="AA103" s="10" t="s">
        <v>162</v>
      </c>
      <c r="AB103" s="10" t="s">
        <v>735</v>
      </c>
      <c r="AC103" s="10">
        <v>0</v>
      </c>
      <c r="AD103" s="9" t="s">
        <v>466</v>
      </c>
      <c r="AE103" s="10" t="s">
        <v>484</v>
      </c>
      <c r="AF103" s="10" t="s">
        <v>111</v>
      </c>
      <c r="AG103" s="10" t="s">
        <v>53</v>
      </c>
      <c r="AH103" s="10" t="s">
        <v>92</v>
      </c>
      <c r="AI103" s="10" t="s">
        <v>113</v>
      </c>
      <c r="AJ103" s="10">
        <v>802388289</v>
      </c>
      <c r="AK103" s="10" t="s">
        <v>104</v>
      </c>
      <c r="AL103" s="10"/>
      <c r="AM103" s="10"/>
      <c r="AN103" s="11" t="s">
        <v>390</v>
      </c>
      <c r="AO103" s="10" t="s">
        <v>531</v>
      </c>
      <c r="AP103" s="10" t="s">
        <v>957</v>
      </c>
      <c r="AQ103" s="10" t="s">
        <v>855</v>
      </c>
      <c r="AR103" s="2">
        <v>46133</v>
      </c>
      <c r="AS103" s="10">
        <v>1000</v>
      </c>
      <c r="AT103" s="10" t="s">
        <v>47</v>
      </c>
      <c r="AU103" s="10" t="s">
        <v>504</v>
      </c>
      <c r="AV103" s="36" t="s">
        <v>510</v>
      </c>
      <c r="AW103" s="1">
        <v>46196</v>
      </c>
    </row>
    <row r="104" spans="1:49" x14ac:dyDescent="0.25">
      <c r="A104" s="9" t="s">
        <v>974</v>
      </c>
      <c r="B104" s="10" t="s">
        <v>1000</v>
      </c>
      <c r="C104" s="10">
        <v>0</v>
      </c>
      <c r="D104" s="10" t="s">
        <v>91</v>
      </c>
      <c r="E104" s="10"/>
      <c r="F104" s="10"/>
      <c r="G104" s="10"/>
      <c r="H104" s="10" t="s">
        <v>52</v>
      </c>
      <c r="I104" s="10">
        <v>5</v>
      </c>
      <c r="J104" s="10" t="s">
        <v>1026</v>
      </c>
      <c r="K104" s="10" t="s">
        <v>244</v>
      </c>
      <c r="L104" s="10">
        <f>Table1[[#This Row],[ENR]]-Table1[[#This Row],[CREDIT]]</f>
        <v>-302466.21999999997</v>
      </c>
      <c r="M104" s="36">
        <v>370000</v>
      </c>
      <c r="N104" s="26">
        <v>67533.78</v>
      </c>
      <c r="O104" s="38" t="s">
        <v>43</v>
      </c>
      <c r="P104" s="25">
        <v>67533.78</v>
      </c>
      <c r="Q104" s="25">
        <v>61742.93</v>
      </c>
      <c r="R104" s="10">
        <v>9610</v>
      </c>
      <c r="S104" s="39">
        <v>3660</v>
      </c>
      <c r="T104" s="10" t="s">
        <v>57</v>
      </c>
      <c r="U104" s="10" t="s">
        <v>13</v>
      </c>
      <c r="V104" s="10">
        <v>10000</v>
      </c>
      <c r="W104" s="25">
        <f>Table1[[#This Row],[STAB]]-Table1[[#This Row],[AMOUNT]]</f>
        <v>-6340</v>
      </c>
      <c r="X104" s="10">
        <v>0</v>
      </c>
      <c r="Y104" s="10" t="s">
        <v>388</v>
      </c>
      <c r="Z104" s="10" t="s">
        <v>403</v>
      </c>
      <c r="AA104" s="10" t="s">
        <v>162</v>
      </c>
      <c r="AB104" s="10" t="s">
        <v>735</v>
      </c>
      <c r="AC104" s="10"/>
      <c r="AD104" s="9" t="s">
        <v>1052</v>
      </c>
      <c r="AE104" s="10" t="s">
        <v>1078</v>
      </c>
      <c r="AF104" s="10" t="s">
        <v>283</v>
      </c>
      <c r="AG104" s="10" t="s">
        <v>53</v>
      </c>
      <c r="AH104" s="10" t="s">
        <v>356</v>
      </c>
      <c r="AI104" s="10" t="s">
        <v>2962</v>
      </c>
      <c r="AJ104" s="10">
        <v>801601134</v>
      </c>
      <c r="AK104" s="10" t="s">
        <v>104</v>
      </c>
      <c r="AL104" s="10"/>
      <c r="AM104" s="10"/>
      <c r="AN104" s="11" t="s">
        <v>390</v>
      </c>
      <c r="AO104" s="10"/>
      <c r="AP104" s="10"/>
      <c r="AQ104" s="10"/>
      <c r="AR104" s="2">
        <v>45464</v>
      </c>
      <c r="AS104" s="10">
        <v>47920</v>
      </c>
      <c r="AT104" s="10" t="s">
        <v>47</v>
      </c>
      <c r="AU104" s="10" t="s">
        <v>1105</v>
      </c>
      <c r="AV104" s="36" t="s">
        <v>1108</v>
      </c>
      <c r="AW104" s="1">
        <v>46196</v>
      </c>
    </row>
    <row r="105" spans="1:49" x14ac:dyDescent="0.25">
      <c r="A105" s="9" t="s">
        <v>409</v>
      </c>
      <c r="B105" s="10" t="s">
        <v>427</v>
      </c>
      <c r="C105" s="10">
        <v>0</v>
      </c>
      <c r="D105" s="10" t="s">
        <v>91</v>
      </c>
      <c r="E105" s="10"/>
      <c r="F105" s="10"/>
      <c r="G105" s="10"/>
      <c r="H105" s="10" t="s">
        <v>52</v>
      </c>
      <c r="I105" s="10">
        <v>5</v>
      </c>
      <c r="J105" s="10" t="s">
        <v>445</v>
      </c>
      <c r="K105" s="10" t="s">
        <v>460</v>
      </c>
      <c r="L105" s="10">
        <f>Table1[[#This Row],[ENR]]-Table1[[#This Row],[CREDIT]]</f>
        <v>-25041.010000000002</v>
      </c>
      <c r="M105" s="36">
        <v>90000</v>
      </c>
      <c r="N105" s="26">
        <v>64958.99</v>
      </c>
      <c r="O105" s="38" t="s">
        <v>43</v>
      </c>
      <c r="P105" s="25">
        <v>64958.99</v>
      </c>
      <c r="Q105" s="25">
        <v>58181.36</v>
      </c>
      <c r="R105" s="10">
        <v>12460</v>
      </c>
      <c r="S105" s="39">
        <v>6910</v>
      </c>
      <c r="T105" s="10" t="s">
        <v>57</v>
      </c>
      <c r="U105" s="10" t="s">
        <v>13</v>
      </c>
      <c r="V105" s="10">
        <v>64958.99</v>
      </c>
      <c r="W105" s="25">
        <f>Table1[[#This Row],[STAB]]-Table1[[#This Row],[AMOUNT]]</f>
        <v>-58048.99</v>
      </c>
      <c r="X105" s="10" t="s">
        <v>2004</v>
      </c>
      <c r="Y105" s="10" t="s">
        <v>396</v>
      </c>
      <c r="Z105" s="10" t="s">
        <v>403</v>
      </c>
      <c r="AA105" s="10" t="s">
        <v>162</v>
      </c>
      <c r="AB105" s="36" t="s">
        <v>733</v>
      </c>
      <c r="AC105" s="10">
        <v>0</v>
      </c>
      <c r="AD105" s="9" t="s">
        <v>464</v>
      </c>
      <c r="AE105" s="10" t="s">
        <v>482</v>
      </c>
      <c r="AF105" s="10" t="s">
        <v>275</v>
      </c>
      <c r="AG105" s="10" t="s">
        <v>80</v>
      </c>
      <c r="AH105" s="10" t="s">
        <v>524</v>
      </c>
      <c r="AI105" s="10" t="s">
        <v>82</v>
      </c>
      <c r="AJ105" s="10">
        <v>801723195</v>
      </c>
      <c r="AK105" s="10" t="s">
        <v>105</v>
      </c>
      <c r="AL105" s="10"/>
      <c r="AM105" s="10"/>
      <c r="AN105" s="11" t="s">
        <v>390</v>
      </c>
      <c r="AO105" s="10" t="s">
        <v>392</v>
      </c>
      <c r="AP105" s="10" t="s">
        <v>533</v>
      </c>
      <c r="AQ105" s="10" t="s">
        <v>526</v>
      </c>
      <c r="AR105" s="2">
        <v>45991</v>
      </c>
      <c r="AS105" s="10">
        <v>25000</v>
      </c>
      <c r="AT105" s="10" t="s">
        <v>47</v>
      </c>
      <c r="AU105" s="10" t="s">
        <v>504</v>
      </c>
      <c r="AV105" s="36" t="s">
        <v>508</v>
      </c>
      <c r="AW105" s="1">
        <v>46196</v>
      </c>
    </row>
    <row r="106" spans="1:49" x14ac:dyDescent="0.25">
      <c r="A106" s="9" t="s">
        <v>972</v>
      </c>
      <c r="B106" s="10" t="s">
        <v>998</v>
      </c>
      <c r="C106" s="10">
        <v>0</v>
      </c>
      <c r="D106" s="10" t="s">
        <v>91</v>
      </c>
      <c r="E106" s="10"/>
      <c r="F106" s="10"/>
      <c r="G106" s="10"/>
      <c r="H106" s="10" t="s">
        <v>52</v>
      </c>
      <c r="I106" s="10">
        <v>5</v>
      </c>
      <c r="J106" s="10" t="s">
        <v>1024</v>
      </c>
      <c r="K106" s="10" t="s">
        <v>42</v>
      </c>
      <c r="L106" s="10">
        <f>Table1[[#This Row],[ENR]]-Table1[[#This Row],[CREDIT]]</f>
        <v>-37997.65</v>
      </c>
      <c r="M106" s="36">
        <v>100000</v>
      </c>
      <c r="N106" s="26">
        <v>62002.35</v>
      </c>
      <c r="O106" s="38">
        <v>34153.32</v>
      </c>
      <c r="P106" s="25">
        <v>27849.03</v>
      </c>
      <c r="Q106" s="25">
        <v>23799.15</v>
      </c>
      <c r="R106" s="10">
        <v>10310</v>
      </c>
      <c r="S106" s="39">
        <v>3820</v>
      </c>
      <c r="T106" s="10" t="s">
        <v>44</v>
      </c>
      <c r="U106" s="10" t="s">
        <v>45</v>
      </c>
      <c r="V106" s="10">
        <v>0</v>
      </c>
      <c r="W106" s="25">
        <f>Table1[[#This Row],[STAB]]-Table1[[#This Row],[AMOUNT]]</f>
        <v>3820</v>
      </c>
      <c r="X106" s="10">
        <v>0</v>
      </c>
      <c r="Y106" s="10" t="s">
        <v>79</v>
      </c>
      <c r="Z106" s="10" t="s">
        <v>403</v>
      </c>
      <c r="AA106" s="10" t="s">
        <v>162</v>
      </c>
      <c r="AB106" s="36" t="s">
        <v>734</v>
      </c>
      <c r="AC106" s="10"/>
      <c r="AD106" s="9" t="s">
        <v>1050</v>
      </c>
      <c r="AE106" s="10" t="s">
        <v>1076</v>
      </c>
      <c r="AF106" s="10" t="s">
        <v>687</v>
      </c>
      <c r="AG106" s="10" t="s">
        <v>53</v>
      </c>
      <c r="AH106" s="10" t="s">
        <v>83</v>
      </c>
      <c r="AI106" s="10" t="s">
        <v>728</v>
      </c>
      <c r="AJ106" s="10">
        <v>802349062</v>
      </c>
      <c r="AK106" s="10" t="s">
        <v>104</v>
      </c>
      <c r="AL106" s="10"/>
      <c r="AM106" s="10"/>
      <c r="AN106" s="11" t="s">
        <v>46</v>
      </c>
      <c r="AO106" s="10"/>
      <c r="AP106" s="10"/>
      <c r="AQ106" s="10"/>
      <c r="AR106" s="2">
        <v>45919</v>
      </c>
      <c r="AS106" s="10">
        <v>1</v>
      </c>
      <c r="AT106" s="10" t="s">
        <v>47</v>
      </c>
      <c r="AU106" s="10" t="s">
        <v>1105</v>
      </c>
      <c r="AV106" s="36" t="s">
        <v>1106</v>
      </c>
      <c r="AW106" s="1">
        <v>46196</v>
      </c>
    </row>
    <row r="107" spans="1:49" x14ac:dyDescent="0.25">
      <c r="A107" s="9" t="s">
        <v>978</v>
      </c>
      <c r="B107" s="10" t="s">
        <v>1004</v>
      </c>
      <c r="C107" s="10">
        <v>0</v>
      </c>
      <c r="D107" s="10" t="s">
        <v>91</v>
      </c>
      <c r="E107" s="10"/>
      <c r="F107" s="10"/>
      <c r="G107" s="10"/>
      <c r="H107" s="10" t="s">
        <v>52</v>
      </c>
      <c r="I107" s="10">
        <v>7</v>
      </c>
      <c r="J107" s="10" t="s">
        <v>1030</v>
      </c>
      <c r="K107" s="10" t="s">
        <v>42</v>
      </c>
      <c r="L107" s="10">
        <f>Table1[[#This Row],[ENR]]-Table1[[#This Row],[CREDIT]]</f>
        <v>4616.8600000000006</v>
      </c>
      <c r="M107" s="36">
        <v>100000</v>
      </c>
      <c r="N107" s="26">
        <v>104616.86</v>
      </c>
      <c r="O107" s="38">
        <v>76203.56</v>
      </c>
      <c r="P107" s="25">
        <v>28413.3</v>
      </c>
      <c r="Q107" s="25">
        <v>21059.47</v>
      </c>
      <c r="R107" s="10">
        <v>28413.3</v>
      </c>
      <c r="S107" s="39">
        <v>15433.31</v>
      </c>
      <c r="T107" s="10" t="s">
        <v>57</v>
      </c>
      <c r="U107" s="10" t="s">
        <v>13</v>
      </c>
      <c r="V107" s="10">
        <v>28413.3</v>
      </c>
      <c r="W107" s="25">
        <f>Table1[[#This Row],[STAB]]-Table1[[#This Row],[AMOUNT]]</f>
        <v>-12979.99</v>
      </c>
      <c r="X107" s="10" t="s">
        <v>4566</v>
      </c>
      <c r="Y107" s="10" t="s">
        <v>402</v>
      </c>
      <c r="Z107" s="10" t="s">
        <v>403</v>
      </c>
      <c r="AA107" s="10" t="s">
        <v>162</v>
      </c>
      <c r="AB107" s="10" t="s">
        <v>735</v>
      </c>
      <c r="AC107" s="10"/>
      <c r="AD107" s="9" t="s">
        <v>1056</v>
      </c>
      <c r="AE107" s="10" t="s">
        <v>1082</v>
      </c>
      <c r="AF107" s="10" t="s">
        <v>1103</v>
      </c>
      <c r="AG107" s="10" t="s">
        <v>1362</v>
      </c>
      <c r="AH107" s="10" t="s">
        <v>1366</v>
      </c>
      <c r="AI107" s="10" t="s">
        <v>82</v>
      </c>
      <c r="AJ107" s="10">
        <v>801723195</v>
      </c>
      <c r="AK107" s="10" t="s">
        <v>105</v>
      </c>
      <c r="AL107" s="10"/>
      <c r="AM107" s="10"/>
      <c r="AN107" s="11" t="s">
        <v>390</v>
      </c>
      <c r="AO107" s="10"/>
      <c r="AP107" s="10"/>
      <c r="AQ107" s="10"/>
      <c r="AR107" s="2">
        <v>45814</v>
      </c>
      <c r="AS107" s="10">
        <v>10740</v>
      </c>
      <c r="AT107" s="10" t="s">
        <v>503</v>
      </c>
      <c r="AU107" s="10" t="s">
        <v>1105</v>
      </c>
      <c r="AV107" s="36" t="s">
        <v>1112</v>
      </c>
      <c r="AW107" s="1">
        <v>46198</v>
      </c>
    </row>
    <row r="108" spans="1:49" x14ac:dyDescent="0.25">
      <c r="A108" s="9" t="s">
        <v>422</v>
      </c>
      <c r="B108" s="10" t="s">
        <v>440</v>
      </c>
      <c r="C108" s="10">
        <v>0</v>
      </c>
      <c r="D108" s="10" t="s">
        <v>91</v>
      </c>
      <c r="E108" s="10"/>
      <c r="F108" s="10"/>
      <c r="G108" s="10"/>
      <c r="H108" s="10" t="s">
        <v>52</v>
      </c>
      <c r="I108" s="10">
        <v>8</v>
      </c>
      <c r="J108" s="10" t="s">
        <v>458</v>
      </c>
      <c r="K108" s="10" t="s">
        <v>42</v>
      </c>
      <c r="L108" s="10">
        <f>Table1[[#This Row],[ENR]]-Table1[[#This Row],[CREDIT]]</f>
        <v>32435.400000000023</v>
      </c>
      <c r="M108" s="36">
        <v>640000</v>
      </c>
      <c r="N108" s="26">
        <v>672435.4</v>
      </c>
      <c r="O108" s="38">
        <v>428951.14</v>
      </c>
      <c r="P108" s="25">
        <v>243484.26</v>
      </c>
      <c r="Q108" s="25">
        <v>210783.29</v>
      </c>
      <c r="R108" s="10">
        <v>84200</v>
      </c>
      <c r="S108" s="39">
        <v>34040</v>
      </c>
      <c r="T108" s="10" t="s">
        <v>44</v>
      </c>
      <c r="U108" s="10" t="s">
        <v>45</v>
      </c>
      <c r="V108" s="10">
        <v>0</v>
      </c>
      <c r="W108" s="25">
        <f>Table1[[#This Row],[STAB]]-Table1[[#This Row],[AMOUNT]]</f>
        <v>34040</v>
      </c>
      <c r="X108" s="10">
        <v>0</v>
      </c>
      <c r="Y108" s="10" t="s">
        <v>79</v>
      </c>
      <c r="Z108" s="10">
        <v>0</v>
      </c>
      <c r="AA108" s="10" t="s">
        <v>113</v>
      </c>
      <c r="AB108" s="36" t="s">
        <v>131</v>
      </c>
      <c r="AC108" s="10" t="s">
        <v>527</v>
      </c>
      <c r="AD108" s="9" t="s">
        <v>477</v>
      </c>
      <c r="AE108" s="10" t="s">
        <v>495</v>
      </c>
      <c r="AF108" s="10" t="s">
        <v>272</v>
      </c>
      <c r="AG108" s="10" t="s">
        <v>54</v>
      </c>
      <c r="AH108" s="10" t="s">
        <v>114</v>
      </c>
      <c r="AI108" s="10" t="s">
        <v>726</v>
      </c>
      <c r="AJ108" s="10">
        <v>801772792</v>
      </c>
      <c r="AK108" s="10" t="s">
        <v>105</v>
      </c>
      <c r="AL108" s="10"/>
      <c r="AM108" s="10"/>
      <c r="AN108" s="11" t="s">
        <v>390</v>
      </c>
      <c r="AO108" s="10" t="s">
        <v>394</v>
      </c>
      <c r="AP108" s="10" t="s">
        <v>1411</v>
      </c>
      <c r="AQ108" s="10" t="s">
        <v>1401</v>
      </c>
      <c r="AR108" s="2">
        <v>45472</v>
      </c>
      <c r="AS108" s="10">
        <v>63740</v>
      </c>
      <c r="AT108" s="10" t="s">
        <v>291</v>
      </c>
      <c r="AU108" s="10" t="s">
        <v>504</v>
      </c>
      <c r="AV108" s="36" t="s">
        <v>521</v>
      </c>
      <c r="AW108" s="1">
        <v>46199</v>
      </c>
    </row>
    <row r="109" spans="1:49" x14ac:dyDescent="0.25">
      <c r="A109" s="9" t="s">
        <v>423</v>
      </c>
      <c r="B109" s="10" t="s">
        <v>441</v>
      </c>
      <c r="C109" s="10">
        <v>0</v>
      </c>
      <c r="D109" s="10" t="s">
        <v>91</v>
      </c>
      <c r="E109" s="10"/>
      <c r="F109" s="10"/>
      <c r="G109" s="10"/>
      <c r="H109" s="10" t="s">
        <v>52</v>
      </c>
      <c r="I109" s="10">
        <v>8</v>
      </c>
      <c r="J109" s="10" t="s">
        <v>459</v>
      </c>
      <c r="K109" s="10" t="s">
        <v>42</v>
      </c>
      <c r="L109" s="10">
        <f>Table1[[#This Row],[ENR]]-Table1[[#This Row],[CREDIT]]</f>
        <v>424703.29</v>
      </c>
      <c r="M109" s="36">
        <v>20000</v>
      </c>
      <c r="N109" s="26">
        <v>444703.29</v>
      </c>
      <c r="O109" s="38" t="s">
        <v>43</v>
      </c>
      <c r="P109" s="25">
        <v>444703.29</v>
      </c>
      <c r="Q109" s="25">
        <v>410000</v>
      </c>
      <c r="R109" s="10">
        <v>444703.29</v>
      </c>
      <c r="S109" s="39">
        <v>391000</v>
      </c>
      <c r="T109" s="10" t="s">
        <v>44</v>
      </c>
      <c r="U109" s="10" t="s">
        <v>45</v>
      </c>
      <c r="V109" s="10">
        <v>0</v>
      </c>
      <c r="W109" s="25">
        <f>Table1[[#This Row],[STAB]]-Table1[[#This Row],[AMOUNT]]</f>
        <v>391000</v>
      </c>
      <c r="X109" s="10">
        <v>0</v>
      </c>
      <c r="Y109" s="10" t="s">
        <v>79</v>
      </c>
      <c r="Z109" s="10" t="s">
        <v>403</v>
      </c>
      <c r="AA109" s="10" t="s">
        <v>113</v>
      </c>
      <c r="AB109" s="10" t="s">
        <v>133</v>
      </c>
      <c r="AC109" s="10" t="s">
        <v>527</v>
      </c>
      <c r="AD109" s="9" t="s">
        <v>478</v>
      </c>
      <c r="AE109" s="10" t="s">
        <v>496</v>
      </c>
      <c r="AF109" s="10" t="s">
        <v>501</v>
      </c>
      <c r="AG109" s="10" t="s">
        <v>53</v>
      </c>
      <c r="AH109" s="10" t="s">
        <v>116</v>
      </c>
      <c r="AI109" s="10" t="s">
        <v>2961</v>
      </c>
      <c r="AJ109" s="10">
        <v>845041675</v>
      </c>
      <c r="AK109" s="10" t="s">
        <v>104</v>
      </c>
      <c r="AL109" s="10"/>
      <c r="AM109" s="10"/>
      <c r="AN109" s="11" t="s">
        <v>390</v>
      </c>
      <c r="AO109" s="10" t="s">
        <v>531</v>
      </c>
      <c r="AP109" s="10" t="s">
        <v>748</v>
      </c>
      <c r="AQ109" s="10" t="s">
        <v>739</v>
      </c>
      <c r="AR109" s="2">
        <v>45485</v>
      </c>
      <c r="AS109" s="10">
        <v>1431.5</v>
      </c>
      <c r="AT109" s="10" t="s">
        <v>47</v>
      </c>
      <c r="AU109" s="10" t="s">
        <v>504</v>
      </c>
      <c r="AV109" s="36" t="s">
        <v>522</v>
      </c>
      <c r="AW109" s="1">
        <v>46199</v>
      </c>
    </row>
    <row r="110" spans="1:49" x14ac:dyDescent="0.25">
      <c r="A110" s="9" t="s">
        <v>878</v>
      </c>
      <c r="B110" s="10" t="s">
        <v>892</v>
      </c>
      <c r="C110" s="10">
        <v>0</v>
      </c>
      <c r="D110" s="10" t="s">
        <v>91</v>
      </c>
      <c r="E110" s="10"/>
      <c r="F110" s="10"/>
      <c r="G110" s="10"/>
      <c r="H110" s="10" t="s">
        <v>52</v>
      </c>
      <c r="I110" s="10">
        <v>8</v>
      </c>
      <c r="J110" s="10" t="s">
        <v>906</v>
      </c>
      <c r="K110" s="10" t="s">
        <v>42</v>
      </c>
      <c r="L110" s="10">
        <f>Table1[[#This Row],[ENR]]-Table1[[#This Row],[CREDIT]]</f>
        <v>166090.28999999998</v>
      </c>
      <c r="M110" s="36">
        <v>230000</v>
      </c>
      <c r="N110" s="26">
        <v>396090.29</v>
      </c>
      <c r="O110" s="38">
        <v>110496.94</v>
      </c>
      <c r="P110" s="25">
        <v>285593.34999999998</v>
      </c>
      <c r="Q110" s="25">
        <v>260722.23</v>
      </c>
      <c r="R110" s="10">
        <v>124190</v>
      </c>
      <c r="S110" s="39">
        <v>57960</v>
      </c>
      <c r="T110" s="10" t="s">
        <v>44</v>
      </c>
      <c r="U110" s="10" t="s">
        <v>45</v>
      </c>
      <c r="V110" s="10">
        <v>0</v>
      </c>
      <c r="W110" s="25">
        <f>Table1[[#This Row],[STAB]]-Table1[[#This Row],[AMOUNT]]</f>
        <v>57960</v>
      </c>
      <c r="X110" s="10">
        <v>0</v>
      </c>
      <c r="Y110" s="10" t="s">
        <v>79</v>
      </c>
      <c r="Z110" s="10">
        <v>0</v>
      </c>
      <c r="AA110" s="10" t="s">
        <v>113</v>
      </c>
      <c r="AB110" s="36" t="s">
        <v>131</v>
      </c>
      <c r="AC110" s="10"/>
      <c r="AD110" s="9" t="s">
        <v>920</v>
      </c>
      <c r="AE110" s="10" t="s">
        <v>932</v>
      </c>
      <c r="AF110" s="10" t="s">
        <v>934</v>
      </c>
      <c r="AG110" s="10" t="s">
        <v>53</v>
      </c>
      <c r="AH110" s="10" t="s">
        <v>55</v>
      </c>
      <c r="AI110" s="10" t="s">
        <v>365</v>
      </c>
      <c r="AJ110" s="10">
        <v>802824019</v>
      </c>
      <c r="AK110" s="10" t="s">
        <v>360</v>
      </c>
      <c r="AL110" s="10"/>
      <c r="AM110" s="10"/>
      <c r="AN110" s="11" t="s">
        <v>390</v>
      </c>
      <c r="AO110" s="10" t="s">
        <v>398</v>
      </c>
      <c r="AP110" s="10" t="s">
        <v>1998</v>
      </c>
      <c r="AQ110" s="10" t="s">
        <v>1989</v>
      </c>
      <c r="AR110" s="2">
        <v>46165</v>
      </c>
      <c r="AS110" s="10">
        <v>2100</v>
      </c>
      <c r="AT110" s="10" t="s">
        <v>48</v>
      </c>
      <c r="AU110" s="10" t="s">
        <v>834</v>
      </c>
      <c r="AV110" s="36" t="s">
        <v>951</v>
      </c>
      <c r="AW110" s="1">
        <v>46199</v>
      </c>
    </row>
    <row r="111" spans="1:49" x14ac:dyDescent="0.25">
      <c r="A111" s="9" t="s">
        <v>1820</v>
      </c>
      <c r="B111" s="10" t="s">
        <v>1844</v>
      </c>
      <c r="C111" s="10">
        <v>0</v>
      </c>
      <c r="D111" s="10" t="s">
        <v>91</v>
      </c>
      <c r="E111" s="10"/>
      <c r="F111" s="10"/>
      <c r="G111" s="10"/>
      <c r="H111" s="10" t="s">
        <v>52</v>
      </c>
      <c r="I111" s="10">
        <v>8</v>
      </c>
      <c r="J111" s="10" t="s">
        <v>1868</v>
      </c>
      <c r="K111" s="10" t="s">
        <v>42</v>
      </c>
      <c r="L111" s="10">
        <f>Table1[[#This Row],[ENR]]-Table1[[#This Row],[CREDIT]]</f>
        <v>22480.039999999979</v>
      </c>
      <c r="M111" s="36">
        <v>259000</v>
      </c>
      <c r="N111" s="26">
        <v>281480.03999999998</v>
      </c>
      <c r="O111" s="38" t="s">
        <v>43</v>
      </c>
      <c r="P111" s="25">
        <v>281480.03999999998</v>
      </c>
      <c r="Q111" s="25">
        <v>251935.49</v>
      </c>
      <c r="R111" s="10">
        <v>83920</v>
      </c>
      <c r="S111" s="39">
        <v>23180</v>
      </c>
      <c r="T111" s="10" t="s">
        <v>57</v>
      </c>
      <c r="U111" s="10" t="s">
        <v>14</v>
      </c>
      <c r="V111" s="25">
        <v>24249.62</v>
      </c>
      <c r="W111" s="25">
        <f>Table1[[#This Row],[STAB]]-Table1[[#This Row],[AMOUNT]]</f>
        <v>-1069.619999999999</v>
      </c>
      <c r="X111" s="10" t="s">
        <v>4535</v>
      </c>
      <c r="Y111" s="10" t="s">
        <v>402</v>
      </c>
      <c r="Z111" s="10" t="s">
        <v>963</v>
      </c>
      <c r="AA111" s="10" t="s">
        <v>113</v>
      </c>
      <c r="AB111" s="36" t="s">
        <v>131</v>
      </c>
      <c r="AC111" s="10"/>
      <c r="AD111" s="9" t="s">
        <v>1892</v>
      </c>
      <c r="AE111" s="10" t="s">
        <v>1916</v>
      </c>
      <c r="AF111" s="10" t="s">
        <v>278</v>
      </c>
      <c r="AG111" s="10" t="s">
        <v>54</v>
      </c>
      <c r="AH111" s="10" t="s">
        <v>86</v>
      </c>
      <c r="AI111" s="10" t="s">
        <v>369</v>
      </c>
      <c r="AJ111" s="10">
        <v>802823180</v>
      </c>
      <c r="AK111" s="10" t="s">
        <v>105</v>
      </c>
      <c r="AL111" s="10"/>
      <c r="AM111" s="10"/>
      <c r="AN111" s="11" t="s">
        <v>390</v>
      </c>
      <c r="AO111" s="10" t="s">
        <v>392</v>
      </c>
      <c r="AP111" s="10" t="s">
        <v>4557</v>
      </c>
      <c r="AQ111" s="10" t="s">
        <v>4535</v>
      </c>
      <c r="AR111" s="2">
        <v>45955</v>
      </c>
      <c r="AS111" s="10">
        <v>40740.32</v>
      </c>
      <c r="AT111" s="10" t="s">
        <v>48</v>
      </c>
      <c r="AU111" s="10" t="s">
        <v>1741</v>
      </c>
      <c r="AV111" s="36" t="s">
        <v>1942</v>
      </c>
      <c r="AW111" s="1">
        <v>46199</v>
      </c>
    </row>
    <row r="112" spans="1:49" x14ac:dyDescent="0.25">
      <c r="A112" s="9" t="s">
        <v>879</v>
      </c>
      <c r="B112" s="10" t="s">
        <v>893</v>
      </c>
      <c r="C112" s="10">
        <v>0</v>
      </c>
      <c r="D112" s="10" t="s">
        <v>91</v>
      </c>
      <c r="E112" s="10"/>
      <c r="F112" s="10"/>
      <c r="G112" s="10"/>
      <c r="H112" s="10" t="s">
        <v>52</v>
      </c>
      <c r="I112" s="10">
        <v>8</v>
      </c>
      <c r="J112" s="10" t="s">
        <v>907</v>
      </c>
      <c r="K112" s="10" t="s">
        <v>42</v>
      </c>
      <c r="L112" s="10">
        <f>Table1[[#This Row],[ENR]]-Table1[[#This Row],[CREDIT]]</f>
        <v>26072.890000000014</v>
      </c>
      <c r="M112" s="36">
        <v>250000</v>
      </c>
      <c r="N112" s="26">
        <v>276072.89</v>
      </c>
      <c r="O112" s="38" t="s">
        <v>43</v>
      </c>
      <c r="P112" s="25">
        <v>276072.89</v>
      </c>
      <c r="Q112" s="25">
        <v>246439.36</v>
      </c>
      <c r="R112" s="10">
        <v>77830</v>
      </c>
      <c r="S112" s="39">
        <v>40850</v>
      </c>
      <c r="T112" s="10" t="s">
        <v>44</v>
      </c>
      <c r="U112" s="10" t="s">
        <v>45</v>
      </c>
      <c r="V112" s="10">
        <v>0</v>
      </c>
      <c r="W112" s="25">
        <f>Table1[[#This Row],[STAB]]-Table1[[#This Row],[AMOUNT]]</f>
        <v>40850</v>
      </c>
      <c r="X112" s="10">
        <v>0</v>
      </c>
      <c r="Y112" s="10" t="s">
        <v>79</v>
      </c>
      <c r="Z112" s="10">
        <v>0</v>
      </c>
      <c r="AA112" s="10" t="s">
        <v>113</v>
      </c>
      <c r="AB112" s="36" t="s">
        <v>132</v>
      </c>
      <c r="AC112" s="10"/>
      <c r="AD112" s="9" t="s">
        <v>921</v>
      </c>
      <c r="AE112" s="10" t="s">
        <v>933</v>
      </c>
      <c r="AF112" s="10" t="s">
        <v>935</v>
      </c>
      <c r="AG112" s="10" t="s">
        <v>80</v>
      </c>
      <c r="AH112" s="10" t="s">
        <v>87</v>
      </c>
      <c r="AI112" s="10" t="s">
        <v>368</v>
      </c>
      <c r="AJ112" s="10">
        <v>802823175</v>
      </c>
      <c r="AK112" s="10" t="s">
        <v>105</v>
      </c>
      <c r="AL112" s="10"/>
      <c r="AM112" s="10"/>
      <c r="AN112" s="11" t="s">
        <v>390</v>
      </c>
      <c r="AO112" s="10" t="s">
        <v>392</v>
      </c>
      <c r="AP112" s="10" t="s">
        <v>4584</v>
      </c>
      <c r="AQ112" s="10" t="s">
        <v>4566</v>
      </c>
      <c r="AR112" s="2">
        <v>45655</v>
      </c>
      <c r="AS112" s="10">
        <v>68720</v>
      </c>
      <c r="AT112" s="10" t="s">
        <v>48</v>
      </c>
      <c r="AU112" s="10" t="s">
        <v>834</v>
      </c>
      <c r="AV112" s="36" t="s">
        <v>952</v>
      </c>
      <c r="AW112" s="1">
        <v>46199</v>
      </c>
    </row>
    <row r="113" spans="1:49" x14ac:dyDescent="0.25">
      <c r="A113" s="9" t="s">
        <v>1819</v>
      </c>
      <c r="B113" s="10" t="s">
        <v>1843</v>
      </c>
      <c r="C113" s="10">
        <v>0</v>
      </c>
      <c r="D113" s="10" t="s">
        <v>91</v>
      </c>
      <c r="E113" s="10"/>
      <c r="F113" s="10"/>
      <c r="G113" s="10"/>
      <c r="H113" s="10" t="s">
        <v>52</v>
      </c>
      <c r="I113" s="10">
        <v>8</v>
      </c>
      <c r="J113" s="10" t="s">
        <v>1867</v>
      </c>
      <c r="K113" s="10" t="s">
        <v>42</v>
      </c>
      <c r="L113" s="10">
        <f>Table1[[#This Row],[ENR]]-Table1[[#This Row],[CREDIT]]</f>
        <v>23050.710000000021</v>
      </c>
      <c r="M113" s="36">
        <v>250000</v>
      </c>
      <c r="N113" s="26">
        <v>273050.71000000002</v>
      </c>
      <c r="O113" s="38" t="s">
        <v>43</v>
      </c>
      <c r="P113" s="25">
        <v>273050.71000000002</v>
      </c>
      <c r="Q113" s="25">
        <v>248979</v>
      </c>
      <c r="R113" s="10">
        <v>70250</v>
      </c>
      <c r="S113" s="39">
        <v>12450</v>
      </c>
      <c r="T113" s="10" t="s">
        <v>44</v>
      </c>
      <c r="U113" s="10" t="s">
        <v>45</v>
      </c>
      <c r="V113" s="10">
        <v>0</v>
      </c>
      <c r="W113" s="25">
        <f>Table1[[#This Row],[STAB]]-Table1[[#This Row],[AMOUNT]]</f>
        <v>12450</v>
      </c>
      <c r="X113" s="10">
        <v>0</v>
      </c>
      <c r="Y113" s="10" t="s">
        <v>79</v>
      </c>
      <c r="Z113" s="10" t="s">
        <v>963</v>
      </c>
      <c r="AA113" s="10" t="s">
        <v>113</v>
      </c>
      <c r="AB113" s="36" t="s">
        <v>132</v>
      </c>
      <c r="AC113" s="10"/>
      <c r="AD113" s="9" t="s">
        <v>1891</v>
      </c>
      <c r="AE113" s="10" t="s">
        <v>1915</v>
      </c>
      <c r="AF113" s="10" t="s">
        <v>275</v>
      </c>
      <c r="AG113" s="10" t="s">
        <v>80</v>
      </c>
      <c r="AH113" s="10" t="s">
        <v>115</v>
      </c>
      <c r="AI113" s="10" t="s">
        <v>368</v>
      </c>
      <c r="AJ113" s="10">
        <v>802823175</v>
      </c>
      <c r="AK113" s="10" t="s">
        <v>105</v>
      </c>
      <c r="AL113" s="10"/>
      <c r="AM113" s="10"/>
      <c r="AN113" s="11" t="s">
        <v>390</v>
      </c>
      <c r="AO113" s="10" t="s">
        <v>398</v>
      </c>
      <c r="AP113" s="10" t="s">
        <v>4545</v>
      </c>
      <c r="AQ113" s="10" t="s">
        <v>4535</v>
      </c>
      <c r="AR113" s="2">
        <v>46107</v>
      </c>
      <c r="AS113" s="10">
        <v>10</v>
      </c>
      <c r="AT113" s="10" t="s">
        <v>503</v>
      </c>
      <c r="AU113" s="10" t="s">
        <v>1741</v>
      </c>
      <c r="AV113" s="36" t="s">
        <v>1941</v>
      </c>
      <c r="AW113" s="1">
        <v>46199</v>
      </c>
    </row>
    <row r="114" spans="1:49" x14ac:dyDescent="0.25">
      <c r="A114" s="40" t="s">
        <v>1821</v>
      </c>
      <c r="B114" s="11" t="s">
        <v>1845</v>
      </c>
      <c r="C114" s="10">
        <v>0</v>
      </c>
      <c r="D114" s="10" t="s">
        <v>91</v>
      </c>
      <c r="E114" s="11"/>
      <c r="F114" s="11"/>
      <c r="G114" s="10"/>
      <c r="H114" s="10" t="s">
        <v>52</v>
      </c>
      <c r="I114" s="11">
        <v>8</v>
      </c>
      <c r="J114" s="11" t="s">
        <v>1869</v>
      </c>
      <c r="K114" s="11" t="s">
        <v>42</v>
      </c>
      <c r="L114" s="11">
        <f>Table1[[#This Row],[ENR]]-Table1[[#This Row],[CREDIT]]</f>
        <v>-128718.65000000002</v>
      </c>
      <c r="M114" s="41">
        <v>400000</v>
      </c>
      <c r="N114" s="42">
        <v>271281.34999999998</v>
      </c>
      <c r="O114" s="43" t="s">
        <v>43</v>
      </c>
      <c r="P114" s="44">
        <v>271281.34999999998</v>
      </c>
      <c r="Q114" s="44">
        <v>232954.99</v>
      </c>
      <c r="R114" s="11">
        <v>52170</v>
      </c>
      <c r="S114" s="45">
        <v>22170</v>
      </c>
      <c r="T114" s="10" t="s">
        <v>57</v>
      </c>
      <c r="U114" s="10" t="s">
        <v>14</v>
      </c>
      <c r="V114" s="25">
        <v>22170</v>
      </c>
      <c r="W114" s="44">
        <f>Table1[[#This Row],[STAB]]-Table1[[#This Row],[AMOUNT]]</f>
        <v>0</v>
      </c>
      <c r="X114" s="10" t="s">
        <v>4591</v>
      </c>
      <c r="Y114" s="10" t="s">
        <v>402</v>
      </c>
      <c r="Z114" s="10" t="s">
        <v>403</v>
      </c>
      <c r="AA114" s="10" t="s">
        <v>113</v>
      </c>
      <c r="AB114" s="36" t="s">
        <v>374</v>
      </c>
      <c r="AC114" s="11"/>
      <c r="AD114" s="40" t="s">
        <v>1893</v>
      </c>
      <c r="AE114" s="11" t="s">
        <v>1917</v>
      </c>
      <c r="AF114" s="11" t="s">
        <v>111</v>
      </c>
      <c r="AG114" s="11" t="s">
        <v>53</v>
      </c>
      <c r="AH114" s="11" t="s">
        <v>92</v>
      </c>
      <c r="AI114" s="10" t="s">
        <v>113</v>
      </c>
      <c r="AJ114" s="10">
        <v>802388289</v>
      </c>
      <c r="AK114" s="10" t="s">
        <v>104</v>
      </c>
      <c r="AL114" s="11"/>
      <c r="AM114" s="11"/>
      <c r="AN114" s="11" t="s">
        <v>390</v>
      </c>
      <c r="AO114" s="11" t="s">
        <v>531</v>
      </c>
      <c r="AP114" s="11" t="s">
        <v>2959</v>
      </c>
      <c r="AQ114" s="11" t="s">
        <v>2004</v>
      </c>
      <c r="AR114" s="46">
        <v>46080</v>
      </c>
      <c r="AS114" s="11">
        <v>19720</v>
      </c>
      <c r="AT114" s="11" t="s">
        <v>503</v>
      </c>
      <c r="AU114" s="10" t="s">
        <v>1741</v>
      </c>
      <c r="AV114" s="41" t="s">
        <v>1943</v>
      </c>
      <c r="AW114" s="47">
        <v>46199</v>
      </c>
    </row>
    <row r="115" spans="1:49" x14ac:dyDescent="0.25">
      <c r="A115" s="9" t="s">
        <v>1810</v>
      </c>
      <c r="B115" s="10" t="s">
        <v>1834</v>
      </c>
      <c r="C115" s="10">
        <v>0</v>
      </c>
      <c r="D115" s="10" t="s">
        <v>91</v>
      </c>
      <c r="E115" s="10"/>
      <c r="F115" s="10"/>
      <c r="G115" s="10"/>
      <c r="H115" s="10" t="s">
        <v>52</v>
      </c>
      <c r="I115" s="10">
        <v>8</v>
      </c>
      <c r="J115" s="10" t="s">
        <v>1858</v>
      </c>
      <c r="K115" s="10" t="s">
        <v>42</v>
      </c>
      <c r="L115" s="10">
        <f>Table1[[#This Row],[ENR]]-Table1[[#This Row],[CREDIT]]</f>
        <v>29525.600000000006</v>
      </c>
      <c r="M115" s="36">
        <v>120000</v>
      </c>
      <c r="N115" s="26">
        <v>149525.6</v>
      </c>
      <c r="O115" s="38">
        <v>113475.52</v>
      </c>
      <c r="P115" s="25">
        <v>36050.080000000002</v>
      </c>
      <c r="Q115" s="25">
        <v>29532.87</v>
      </c>
      <c r="R115" s="10">
        <v>36050.080000000002</v>
      </c>
      <c r="S115" s="39">
        <v>16543.740000000002</v>
      </c>
      <c r="T115" s="10" t="s">
        <v>57</v>
      </c>
      <c r="U115" s="10" t="s">
        <v>13</v>
      </c>
      <c r="V115" s="10">
        <v>36050.080000000002</v>
      </c>
      <c r="W115" s="25">
        <f>Table1[[#This Row],[STAB]]-Table1[[#This Row],[AMOUNT]]</f>
        <v>-19506.34</v>
      </c>
      <c r="X115" s="10" t="s">
        <v>4530</v>
      </c>
      <c r="Y115" s="10" t="s">
        <v>402</v>
      </c>
      <c r="Z115" s="10" t="s">
        <v>963</v>
      </c>
      <c r="AA115" s="10" t="s">
        <v>113</v>
      </c>
      <c r="AB115" s="10" t="s">
        <v>133</v>
      </c>
      <c r="AC115" s="10"/>
      <c r="AD115" s="9" t="s">
        <v>1882</v>
      </c>
      <c r="AE115" s="10" t="s">
        <v>1906</v>
      </c>
      <c r="AF115" s="10" t="s">
        <v>111</v>
      </c>
      <c r="AG115" s="10" t="s">
        <v>80</v>
      </c>
      <c r="AH115" s="10" t="s">
        <v>1957</v>
      </c>
      <c r="AI115" s="10" t="s">
        <v>82</v>
      </c>
      <c r="AJ115" s="10">
        <v>801723195</v>
      </c>
      <c r="AK115" s="10" t="s">
        <v>105</v>
      </c>
      <c r="AL115" s="10"/>
      <c r="AM115" s="10"/>
      <c r="AN115" s="11" t="s">
        <v>390</v>
      </c>
      <c r="AO115" s="10"/>
      <c r="AP115" s="10"/>
      <c r="AQ115" s="10"/>
      <c r="AR115" s="2">
        <v>46136</v>
      </c>
      <c r="AS115" s="10">
        <v>10235.98</v>
      </c>
      <c r="AT115" s="10" t="s">
        <v>291</v>
      </c>
      <c r="AU115" s="10" t="s">
        <v>1741</v>
      </c>
      <c r="AV115" s="36" t="s">
        <v>1932</v>
      </c>
      <c r="AW115" s="1">
        <v>46199</v>
      </c>
    </row>
    <row r="116" spans="1:49" x14ac:dyDescent="0.25">
      <c r="A116" s="40" t="s">
        <v>876</v>
      </c>
      <c r="B116" s="11" t="s">
        <v>890</v>
      </c>
      <c r="C116" s="10">
        <v>0</v>
      </c>
      <c r="D116" s="10" t="s">
        <v>91</v>
      </c>
      <c r="E116" s="11"/>
      <c r="F116" s="11"/>
      <c r="G116" s="11"/>
      <c r="H116" s="10" t="s">
        <v>52</v>
      </c>
      <c r="I116" s="11">
        <v>8</v>
      </c>
      <c r="J116" s="11" t="s">
        <v>904</v>
      </c>
      <c r="K116" s="11" t="s">
        <v>42</v>
      </c>
      <c r="L116" s="11">
        <f>Table1[[#This Row],[ENR]]-Table1[[#This Row],[CREDIT]]</f>
        <v>-100909.4</v>
      </c>
      <c r="M116" s="41">
        <v>240000</v>
      </c>
      <c r="N116" s="42">
        <v>139090.6</v>
      </c>
      <c r="O116" s="43" t="s">
        <v>43</v>
      </c>
      <c r="P116" s="44">
        <v>139090.6</v>
      </c>
      <c r="Q116" s="44">
        <v>126211.05</v>
      </c>
      <c r="R116" s="11">
        <v>21040</v>
      </c>
      <c r="S116" s="45">
        <v>7380</v>
      </c>
      <c r="T116" s="10" t="s">
        <v>44</v>
      </c>
      <c r="U116" s="10" t="s">
        <v>45</v>
      </c>
      <c r="V116" s="10">
        <v>0</v>
      </c>
      <c r="W116" s="44">
        <f>Table1[[#This Row],[STAB]]-Table1[[#This Row],[AMOUNT]]</f>
        <v>7380</v>
      </c>
      <c r="X116" s="10">
        <v>0</v>
      </c>
      <c r="Y116" s="10" t="s">
        <v>79</v>
      </c>
      <c r="Z116" s="10">
        <v>0</v>
      </c>
      <c r="AA116" s="10" t="s">
        <v>113</v>
      </c>
      <c r="AB116" s="10" t="s">
        <v>133</v>
      </c>
      <c r="AC116" s="11"/>
      <c r="AD116" s="40" t="s">
        <v>918</v>
      </c>
      <c r="AE116" s="11" t="s">
        <v>930</v>
      </c>
      <c r="AF116" s="11" t="s">
        <v>501</v>
      </c>
      <c r="AG116" s="11" t="s">
        <v>53</v>
      </c>
      <c r="AH116" s="11" t="s">
        <v>116</v>
      </c>
      <c r="AI116" s="10" t="s">
        <v>365</v>
      </c>
      <c r="AJ116" s="10">
        <v>802824019</v>
      </c>
      <c r="AK116" s="10" t="s">
        <v>360</v>
      </c>
      <c r="AL116" s="11"/>
      <c r="AM116" s="11"/>
      <c r="AN116" s="11" t="s">
        <v>390</v>
      </c>
      <c r="AO116" s="11" t="s">
        <v>531</v>
      </c>
      <c r="AP116" s="11" t="s">
        <v>4581</v>
      </c>
      <c r="AQ116" s="11" t="s">
        <v>4566</v>
      </c>
      <c r="AR116" s="46">
        <v>45988</v>
      </c>
      <c r="AS116" s="11">
        <v>12920</v>
      </c>
      <c r="AT116" s="11" t="s">
        <v>503</v>
      </c>
      <c r="AU116" s="10" t="s">
        <v>834</v>
      </c>
      <c r="AV116" s="41" t="s">
        <v>949</v>
      </c>
      <c r="AW116" s="47">
        <v>46199</v>
      </c>
    </row>
    <row r="117" spans="1:49" x14ac:dyDescent="0.25">
      <c r="A117" s="9" t="s">
        <v>1817</v>
      </c>
      <c r="B117" s="10" t="s">
        <v>1841</v>
      </c>
      <c r="C117" s="10">
        <v>0</v>
      </c>
      <c r="D117" s="10" t="s">
        <v>91</v>
      </c>
      <c r="E117" s="10"/>
      <c r="F117" s="10"/>
      <c r="G117" s="10"/>
      <c r="H117" s="10" t="s">
        <v>52</v>
      </c>
      <c r="I117" s="10">
        <v>8</v>
      </c>
      <c r="J117" s="10" t="s">
        <v>1865</v>
      </c>
      <c r="K117" s="10" t="s">
        <v>42</v>
      </c>
      <c r="L117" s="10">
        <f>Table1[[#This Row],[ENR]]-Table1[[#This Row],[CREDIT]]</f>
        <v>11878.649999999994</v>
      </c>
      <c r="M117" s="36">
        <v>120000</v>
      </c>
      <c r="N117" s="26">
        <v>131878.65</v>
      </c>
      <c r="O117" s="38" t="s">
        <v>43</v>
      </c>
      <c r="P117" s="25">
        <v>131878.65</v>
      </c>
      <c r="Q117" s="25">
        <v>118047.73</v>
      </c>
      <c r="R117" s="10">
        <v>32570</v>
      </c>
      <c r="S117" s="39">
        <v>13230</v>
      </c>
      <c r="T117" s="10" t="s">
        <v>44</v>
      </c>
      <c r="U117" s="10" t="s">
        <v>45</v>
      </c>
      <c r="V117" s="10">
        <v>0</v>
      </c>
      <c r="W117" s="25">
        <f>Table1[[#This Row],[STAB]]-Table1[[#This Row],[AMOUNT]]</f>
        <v>13230</v>
      </c>
      <c r="X117" s="10">
        <v>0</v>
      </c>
      <c r="Y117" s="10" t="s">
        <v>79</v>
      </c>
      <c r="Z117" s="10">
        <v>0</v>
      </c>
      <c r="AA117" s="10" t="s">
        <v>113</v>
      </c>
      <c r="AB117" s="36" t="s">
        <v>375</v>
      </c>
      <c r="AC117" s="10"/>
      <c r="AD117" s="9" t="s">
        <v>1889</v>
      </c>
      <c r="AE117" s="10" t="s">
        <v>1913</v>
      </c>
      <c r="AF117" s="10" t="s">
        <v>275</v>
      </c>
      <c r="AG117" s="10" t="s">
        <v>80</v>
      </c>
      <c r="AH117" s="10" t="s">
        <v>115</v>
      </c>
      <c r="AI117" s="10" t="s">
        <v>368</v>
      </c>
      <c r="AJ117" s="10">
        <v>802823175</v>
      </c>
      <c r="AK117" s="10" t="s">
        <v>105</v>
      </c>
      <c r="AL117" s="10"/>
      <c r="AM117" s="10"/>
      <c r="AN117" s="11" t="s">
        <v>390</v>
      </c>
      <c r="AO117" s="10" t="s">
        <v>392</v>
      </c>
      <c r="AP117" s="10" t="s">
        <v>2009</v>
      </c>
      <c r="AQ117" s="10" t="s">
        <v>2004</v>
      </c>
      <c r="AR117" s="2">
        <v>46048</v>
      </c>
      <c r="AS117" s="10">
        <v>521.5</v>
      </c>
      <c r="AT117" s="10" t="s">
        <v>1930</v>
      </c>
      <c r="AU117" s="10" t="s">
        <v>1741</v>
      </c>
      <c r="AV117" s="36" t="s">
        <v>1939</v>
      </c>
      <c r="AW117" s="1">
        <v>46199</v>
      </c>
    </row>
    <row r="118" spans="1:49" x14ac:dyDescent="0.25">
      <c r="A118" s="9" t="s">
        <v>872</v>
      </c>
      <c r="B118" s="10" t="s">
        <v>886</v>
      </c>
      <c r="C118" s="10">
        <v>0</v>
      </c>
      <c r="D118" s="10" t="s">
        <v>91</v>
      </c>
      <c r="E118" s="10"/>
      <c r="F118" s="10"/>
      <c r="G118" s="10"/>
      <c r="H118" s="10" t="s">
        <v>52</v>
      </c>
      <c r="I118" s="10">
        <v>8</v>
      </c>
      <c r="J118" s="10" t="s">
        <v>900</v>
      </c>
      <c r="K118" s="10" t="s">
        <v>42</v>
      </c>
      <c r="L118" s="10">
        <f>Table1[[#This Row],[ENR]]-Table1[[#This Row],[CREDIT]]</f>
        <v>-12406.289999999994</v>
      </c>
      <c r="M118" s="36">
        <v>115000</v>
      </c>
      <c r="N118" s="26">
        <v>102593.71</v>
      </c>
      <c r="O118" s="38">
        <v>7750.41</v>
      </c>
      <c r="P118" s="25">
        <v>94843.3</v>
      </c>
      <c r="Q118" s="25">
        <v>85208.85</v>
      </c>
      <c r="R118" s="10">
        <v>27170</v>
      </c>
      <c r="S118" s="39">
        <v>9040</v>
      </c>
      <c r="T118" s="10" t="s">
        <v>57</v>
      </c>
      <c r="U118" s="10" t="s">
        <v>14</v>
      </c>
      <c r="V118" s="25">
        <v>9040</v>
      </c>
      <c r="W118" s="25">
        <f>Table1[[#This Row],[STAB]]-Table1[[#This Row],[AMOUNT]]</f>
        <v>0</v>
      </c>
      <c r="X118" s="10" t="s">
        <v>4535</v>
      </c>
      <c r="Y118" s="10" t="s">
        <v>396</v>
      </c>
      <c r="Z118" s="10" t="s">
        <v>1968</v>
      </c>
      <c r="AA118" s="10" t="s">
        <v>113</v>
      </c>
      <c r="AB118" s="36" t="s">
        <v>375</v>
      </c>
      <c r="AC118" s="10"/>
      <c r="AD118" s="9" t="s">
        <v>914</v>
      </c>
      <c r="AE118" s="10" t="s">
        <v>927</v>
      </c>
      <c r="AF118" s="10" t="s">
        <v>285</v>
      </c>
      <c r="AG118" s="10" t="s">
        <v>54</v>
      </c>
      <c r="AH118" s="10" t="s">
        <v>94</v>
      </c>
      <c r="AI118" s="10" t="s">
        <v>725</v>
      </c>
      <c r="AJ118" s="10">
        <v>802794852</v>
      </c>
      <c r="AK118" s="10" t="s">
        <v>104</v>
      </c>
      <c r="AL118" s="10"/>
      <c r="AM118" s="10"/>
      <c r="AN118" s="11" t="s">
        <v>390</v>
      </c>
      <c r="AO118" s="10" t="s">
        <v>394</v>
      </c>
      <c r="AP118" s="10" t="s">
        <v>970</v>
      </c>
      <c r="AQ118" s="10" t="s">
        <v>959</v>
      </c>
      <c r="AR118" s="2">
        <v>45639</v>
      </c>
      <c r="AS118" s="10">
        <v>1000</v>
      </c>
      <c r="AT118" s="10" t="s">
        <v>503</v>
      </c>
      <c r="AU118" s="10" t="s">
        <v>834</v>
      </c>
      <c r="AV118" s="36" t="s">
        <v>945</v>
      </c>
      <c r="AW118" s="1">
        <v>46199</v>
      </c>
    </row>
    <row r="119" spans="1:49" x14ac:dyDescent="0.25">
      <c r="A119" s="9" t="s">
        <v>1818</v>
      </c>
      <c r="B119" s="10" t="s">
        <v>1842</v>
      </c>
      <c r="C119" s="10">
        <v>0</v>
      </c>
      <c r="D119" s="10" t="s">
        <v>91</v>
      </c>
      <c r="E119" s="10"/>
      <c r="F119" s="10"/>
      <c r="G119" s="10"/>
      <c r="H119" s="10" t="s">
        <v>52</v>
      </c>
      <c r="I119" s="10">
        <v>8</v>
      </c>
      <c r="J119" s="10" t="s">
        <v>1866</v>
      </c>
      <c r="K119" s="10" t="s">
        <v>42</v>
      </c>
      <c r="L119" s="10">
        <f>Table1[[#This Row],[ENR]]-Table1[[#This Row],[CREDIT]]</f>
        <v>12083.36</v>
      </c>
      <c r="M119" s="36">
        <v>90000</v>
      </c>
      <c r="N119" s="26">
        <v>102083.36</v>
      </c>
      <c r="O119" s="38">
        <v>27057.5</v>
      </c>
      <c r="P119" s="25">
        <v>75025.86</v>
      </c>
      <c r="Q119" s="25">
        <v>60782.3</v>
      </c>
      <c r="R119" s="10">
        <v>25320</v>
      </c>
      <c r="S119" s="39">
        <v>12100</v>
      </c>
      <c r="T119" s="10" t="s">
        <v>44</v>
      </c>
      <c r="U119" s="10" t="s">
        <v>45</v>
      </c>
      <c r="V119" s="10">
        <v>0</v>
      </c>
      <c r="W119" s="25">
        <f>Table1[[#This Row],[STAB]]-Table1[[#This Row],[AMOUNT]]</f>
        <v>12100</v>
      </c>
      <c r="X119" s="10">
        <v>0</v>
      </c>
      <c r="Y119" s="10" t="s">
        <v>79</v>
      </c>
      <c r="Z119" s="10">
        <v>0</v>
      </c>
      <c r="AA119" s="10" t="s">
        <v>113</v>
      </c>
      <c r="AB119" s="41" t="s">
        <v>376</v>
      </c>
      <c r="AC119" s="10"/>
      <c r="AD119" s="9" t="s">
        <v>1890</v>
      </c>
      <c r="AE119" s="10" t="s">
        <v>1914</v>
      </c>
      <c r="AF119" s="10" t="s">
        <v>281</v>
      </c>
      <c r="AG119" s="10" t="s">
        <v>54</v>
      </c>
      <c r="AH119" s="10" t="s">
        <v>724</v>
      </c>
      <c r="AI119" s="10" t="s">
        <v>365</v>
      </c>
      <c r="AJ119" s="10">
        <v>802824019</v>
      </c>
      <c r="AK119" s="10" t="s">
        <v>360</v>
      </c>
      <c r="AL119" s="10"/>
      <c r="AM119" s="10"/>
      <c r="AN119" s="11" t="s">
        <v>390</v>
      </c>
      <c r="AO119" s="10" t="s">
        <v>398</v>
      </c>
      <c r="AP119" s="10" t="s">
        <v>4594</v>
      </c>
      <c r="AQ119" s="10" t="s">
        <v>4591</v>
      </c>
      <c r="AR119" s="2">
        <v>45929</v>
      </c>
      <c r="AS119" s="10">
        <v>1961.4</v>
      </c>
      <c r="AT119" s="10" t="s">
        <v>936</v>
      </c>
      <c r="AU119" s="10" t="s">
        <v>1741</v>
      </c>
      <c r="AV119" s="36" t="s">
        <v>1940</v>
      </c>
      <c r="AW119" s="1">
        <v>46199</v>
      </c>
    </row>
    <row r="120" spans="1:49" x14ac:dyDescent="0.25">
      <c r="A120" s="9" t="s">
        <v>875</v>
      </c>
      <c r="B120" s="10" t="s">
        <v>889</v>
      </c>
      <c r="C120" s="10">
        <v>0</v>
      </c>
      <c r="D120" s="10" t="s">
        <v>91</v>
      </c>
      <c r="E120" s="10"/>
      <c r="F120" s="10"/>
      <c r="G120" s="10"/>
      <c r="H120" s="10" t="s">
        <v>52</v>
      </c>
      <c r="I120" s="10">
        <v>8</v>
      </c>
      <c r="J120" s="10" t="s">
        <v>903</v>
      </c>
      <c r="K120" s="10" t="s">
        <v>42</v>
      </c>
      <c r="L120" s="10">
        <f>Table1[[#This Row],[ENR]]-Table1[[#This Row],[CREDIT]]</f>
        <v>9630.61</v>
      </c>
      <c r="M120" s="36">
        <v>90000</v>
      </c>
      <c r="N120" s="26">
        <v>99630.61</v>
      </c>
      <c r="O120" s="38" t="s">
        <v>43</v>
      </c>
      <c r="P120" s="25">
        <v>99630.61</v>
      </c>
      <c r="Q120" s="25">
        <v>89920.58</v>
      </c>
      <c r="R120" s="10">
        <v>24420</v>
      </c>
      <c r="S120" s="39">
        <v>8960</v>
      </c>
      <c r="T120" s="10" t="s">
        <v>57</v>
      </c>
      <c r="U120" s="10" t="s">
        <v>14</v>
      </c>
      <c r="V120" s="25">
        <v>9000</v>
      </c>
      <c r="W120" s="25">
        <f>Table1[[#This Row],[STAB]]-Table1[[#This Row],[AMOUNT]]</f>
        <v>-40</v>
      </c>
      <c r="X120" s="10" t="s">
        <v>4535</v>
      </c>
      <c r="Y120" s="10" t="s">
        <v>396</v>
      </c>
      <c r="Z120" s="10" t="s">
        <v>403</v>
      </c>
      <c r="AA120" s="10" t="s">
        <v>113</v>
      </c>
      <c r="AB120" s="36" t="s">
        <v>374</v>
      </c>
      <c r="AC120" s="10"/>
      <c r="AD120" s="9" t="s">
        <v>917</v>
      </c>
      <c r="AE120" s="10" t="s">
        <v>929</v>
      </c>
      <c r="AF120" s="10" t="s">
        <v>280</v>
      </c>
      <c r="AG120" s="10" t="s">
        <v>54</v>
      </c>
      <c r="AH120" s="10" t="s">
        <v>523</v>
      </c>
      <c r="AI120" s="10" t="s">
        <v>371</v>
      </c>
      <c r="AJ120" s="10">
        <v>802835406</v>
      </c>
      <c r="AK120" s="10" t="s">
        <v>362</v>
      </c>
      <c r="AL120" s="10"/>
      <c r="AM120" s="10"/>
      <c r="AN120" s="11" t="s">
        <v>390</v>
      </c>
      <c r="AO120" s="10" t="s">
        <v>394</v>
      </c>
      <c r="AP120" s="10" t="s">
        <v>1977</v>
      </c>
      <c r="AQ120" s="10" t="s">
        <v>1961</v>
      </c>
      <c r="AR120" s="2">
        <v>45499</v>
      </c>
      <c r="AS120" s="10">
        <v>8000</v>
      </c>
      <c r="AT120" s="10" t="s">
        <v>503</v>
      </c>
      <c r="AU120" s="10" t="s">
        <v>834</v>
      </c>
      <c r="AV120" s="36" t="s">
        <v>948</v>
      </c>
      <c r="AW120" s="1">
        <v>46199</v>
      </c>
    </row>
    <row r="121" spans="1:49" x14ac:dyDescent="0.25">
      <c r="A121" s="9" t="s">
        <v>874</v>
      </c>
      <c r="B121" s="10" t="s">
        <v>888</v>
      </c>
      <c r="C121" s="10">
        <v>0</v>
      </c>
      <c r="D121" s="10" t="s">
        <v>91</v>
      </c>
      <c r="E121" s="10"/>
      <c r="F121" s="10"/>
      <c r="G121" s="10"/>
      <c r="H121" s="10" t="s">
        <v>52</v>
      </c>
      <c r="I121" s="10">
        <v>8</v>
      </c>
      <c r="J121" s="10" t="s">
        <v>902</v>
      </c>
      <c r="K121" s="10" t="s">
        <v>42</v>
      </c>
      <c r="L121" s="10">
        <f>Table1[[#This Row],[ENR]]-Table1[[#This Row],[CREDIT]]</f>
        <v>-4672.8099999999977</v>
      </c>
      <c r="M121" s="36">
        <v>100000</v>
      </c>
      <c r="N121" s="26">
        <v>95327.19</v>
      </c>
      <c r="O121" s="38" t="s">
        <v>43</v>
      </c>
      <c r="P121" s="25">
        <v>95327.19</v>
      </c>
      <c r="Q121" s="25">
        <v>81735.41</v>
      </c>
      <c r="R121" s="10">
        <v>18780</v>
      </c>
      <c r="S121" s="39">
        <v>7680</v>
      </c>
      <c r="T121" s="10" t="s">
        <v>57</v>
      </c>
      <c r="U121" s="10" t="s">
        <v>13</v>
      </c>
      <c r="V121" s="10">
        <v>20398</v>
      </c>
      <c r="W121" s="25">
        <f>Table1[[#This Row],[STAB]]-Table1[[#This Row],[AMOUNT]]</f>
        <v>-12718</v>
      </c>
      <c r="X121" s="10">
        <v>0</v>
      </c>
      <c r="Y121" s="10" t="s">
        <v>388</v>
      </c>
      <c r="Z121" s="10" t="s">
        <v>963</v>
      </c>
      <c r="AA121" s="10" t="s">
        <v>113</v>
      </c>
      <c r="AB121" s="41" t="s">
        <v>376</v>
      </c>
      <c r="AC121" s="10"/>
      <c r="AD121" s="9" t="s">
        <v>916</v>
      </c>
      <c r="AE121" s="10" t="s">
        <v>928</v>
      </c>
      <c r="AF121" s="10" t="s">
        <v>85</v>
      </c>
      <c r="AG121" s="10" t="s">
        <v>54</v>
      </c>
      <c r="AH121" s="10" t="s">
        <v>59</v>
      </c>
      <c r="AI121" s="10" t="s">
        <v>956</v>
      </c>
      <c r="AJ121" s="10">
        <v>802551967</v>
      </c>
      <c r="AK121" s="10" t="s">
        <v>362</v>
      </c>
      <c r="AL121" s="10"/>
      <c r="AM121" s="10"/>
      <c r="AN121" s="11" t="s">
        <v>390</v>
      </c>
      <c r="AO121" s="10"/>
      <c r="AP121" s="10"/>
      <c r="AQ121" s="10"/>
      <c r="AR121" s="2">
        <v>46144</v>
      </c>
      <c r="AS121" s="10">
        <v>10000</v>
      </c>
      <c r="AT121" s="10" t="s">
        <v>503</v>
      </c>
      <c r="AU121" s="10" t="s">
        <v>834</v>
      </c>
      <c r="AV121" s="36" t="s">
        <v>947</v>
      </c>
      <c r="AW121" s="1">
        <v>46199</v>
      </c>
    </row>
    <row r="122" spans="1:49" x14ac:dyDescent="0.25">
      <c r="A122" s="9" t="s">
        <v>873</v>
      </c>
      <c r="B122" s="10" t="s">
        <v>887</v>
      </c>
      <c r="C122" s="10">
        <v>0</v>
      </c>
      <c r="D122" s="10" t="s">
        <v>91</v>
      </c>
      <c r="E122" s="10"/>
      <c r="F122" s="10"/>
      <c r="G122" s="10"/>
      <c r="H122" s="10" t="s">
        <v>52</v>
      </c>
      <c r="I122" s="10">
        <v>8</v>
      </c>
      <c r="J122" s="10" t="s">
        <v>901</v>
      </c>
      <c r="K122" s="10" t="s">
        <v>42</v>
      </c>
      <c r="L122" s="10">
        <f>Table1[[#This Row],[ENR]]-Table1[[#This Row],[CREDIT]]</f>
        <v>-14362.100000000006</v>
      </c>
      <c r="M122" s="36">
        <v>108000</v>
      </c>
      <c r="N122" s="26">
        <v>93637.9</v>
      </c>
      <c r="O122" s="38" t="s">
        <v>43</v>
      </c>
      <c r="P122" s="25">
        <v>93637.9</v>
      </c>
      <c r="Q122" s="25">
        <v>82882.19</v>
      </c>
      <c r="R122" s="10">
        <v>15940</v>
      </c>
      <c r="S122" s="39">
        <v>6420</v>
      </c>
      <c r="T122" s="10" t="s">
        <v>44</v>
      </c>
      <c r="U122" s="10" t="s">
        <v>45</v>
      </c>
      <c r="V122" s="10">
        <v>0</v>
      </c>
      <c r="W122" s="25">
        <f>Table1[[#This Row],[STAB]]-Table1[[#This Row],[AMOUNT]]</f>
        <v>6420</v>
      </c>
      <c r="X122" s="10">
        <v>0</v>
      </c>
      <c r="Y122" s="10" t="s">
        <v>79</v>
      </c>
      <c r="Z122" s="10">
        <v>0</v>
      </c>
      <c r="AA122" s="10" t="s">
        <v>113</v>
      </c>
      <c r="AB122" s="41" t="s">
        <v>376</v>
      </c>
      <c r="AC122" s="10"/>
      <c r="AD122" s="9" t="s">
        <v>915</v>
      </c>
      <c r="AE122" s="10" t="s">
        <v>915</v>
      </c>
      <c r="AF122" s="10" t="s">
        <v>281</v>
      </c>
      <c r="AG122" s="10" t="s">
        <v>54</v>
      </c>
      <c r="AH122" s="10" t="s">
        <v>58</v>
      </c>
      <c r="AI122" s="10" t="s">
        <v>133</v>
      </c>
      <c r="AJ122" s="10">
        <v>802555024</v>
      </c>
      <c r="AK122" s="10" t="s">
        <v>362</v>
      </c>
      <c r="AL122" s="10"/>
      <c r="AM122" s="10"/>
      <c r="AN122" s="11" t="s">
        <v>390</v>
      </c>
      <c r="AO122" s="10" t="s">
        <v>392</v>
      </c>
      <c r="AP122" s="10" t="s">
        <v>1410</v>
      </c>
      <c r="AQ122" s="10" t="s">
        <v>1401</v>
      </c>
      <c r="AR122" s="2">
        <v>46116</v>
      </c>
      <c r="AS122" s="10">
        <v>6480</v>
      </c>
      <c r="AT122" s="10" t="s">
        <v>936</v>
      </c>
      <c r="AU122" s="10" t="s">
        <v>834</v>
      </c>
      <c r="AV122" s="36" t="s">
        <v>946</v>
      </c>
      <c r="AW122" s="1">
        <v>46199</v>
      </c>
    </row>
    <row r="123" spans="1:49" x14ac:dyDescent="0.25">
      <c r="A123" s="9" t="s">
        <v>1816</v>
      </c>
      <c r="B123" s="10" t="s">
        <v>1840</v>
      </c>
      <c r="C123" s="10">
        <v>0</v>
      </c>
      <c r="D123" s="10" t="s">
        <v>91</v>
      </c>
      <c r="E123" s="10"/>
      <c r="F123" s="10"/>
      <c r="G123" s="10"/>
      <c r="H123" s="10" t="s">
        <v>52</v>
      </c>
      <c r="I123" s="10">
        <v>8</v>
      </c>
      <c r="J123" s="10" t="s">
        <v>1864</v>
      </c>
      <c r="K123" s="10" t="s">
        <v>42</v>
      </c>
      <c r="L123" s="10">
        <f>Table1[[#This Row],[ENR]]-Table1[[#This Row],[CREDIT]]</f>
        <v>-6691.1499999999942</v>
      </c>
      <c r="M123" s="36">
        <v>100000</v>
      </c>
      <c r="N123" s="26">
        <v>93308.85</v>
      </c>
      <c r="O123" s="38" t="s">
        <v>43</v>
      </c>
      <c r="P123" s="25">
        <v>93308.85</v>
      </c>
      <c r="Q123" s="25">
        <v>79421.27</v>
      </c>
      <c r="R123" s="10">
        <v>22100</v>
      </c>
      <c r="S123" s="39">
        <v>10810</v>
      </c>
      <c r="T123" s="10" t="s">
        <v>57</v>
      </c>
      <c r="U123" s="10" t="s">
        <v>14</v>
      </c>
      <c r="V123" s="25">
        <v>11000</v>
      </c>
      <c r="W123" s="25">
        <f>Table1[[#This Row],[STAB]]-Table1[[#This Row],[AMOUNT]]</f>
        <v>-190</v>
      </c>
      <c r="X123" s="10">
        <v>0</v>
      </c>
      <c r="Y123" s="10" t="s">
        <v>388</v>
      </c>
      <c r="Z123" s="10" t="s">
        <v>403</v>
      </c>
      <c r="AA123" s="10" t="s">
        <v>113</v>
      </c>
      <c r="AB123" s="41" t="s">
        <v>376</v>
      </c>
      <c r="AC123" s="10"/>
      <c r="AD123" s="9" t="s">
        <v>1888</v>
      </c>
      <c r="AE123" s="10" t="s">
        <v>1912</v>
      </c>
      <c r="AF123" s="10" t="s">
        <v>85</v>
      </c>
      <c r="AG123" s="10" t="s">
        <v>54</v>
      </c>
      <c r="AH123" s="10" t="s">
        <v>89</v>
      </c>
      <c r="AI123" s="10" t="s">
        <v>106</v>
      </c>
      <c r="AJ123" s="10">
        <v>802370852</v>
      </c>
      <c r="AK123" s="10" t="s">
        <v>105</v>
      </c>
      <c r="AL123" s="10"/>
      <c r="AM123" s="10"/>
      <c r="AN123" s="11" t="s">
        <v>390</v>
      </c>
      <c r="AO123" s="10" t="s">
        <v>398</v>
      </c>
      <c r="AP123" s="10" t="s">
        <v>4536</v>
      </c>
      <c r="AQ123" s="10" t="s">
        <v>4535</v>
      </c>
      <c r="AR123" s="2">
        <v>45834</v>
      </c>
      <c r="AS123" s="10">
        <v>7100</v>
      </c>
      <c r="AT123" s="10" t="s">
        <v>503</v>
      </c>
      <c r="AU123" s="10" t="s">
        <v>1741</v>
      </c>
      <c r="AV123" s="36" t="s">
        <v>1938</v>
      </c>
      <c r="AW123" s="1">
        <v>46199</v>
      </c>
    </row>
    <row r="124" spans="1:49" x14ac:dyDescent="0.25">
      <c r="A124" s="9" t="s">
        <v>1815</v>
      </c>
      <c r="B124" s="10" t="s">
        <v>1839</v>
      </c>
      <c r="C124" s="10">
        <v>0</v>
      </c>
      <c r="D124" s="10" t="s">
        <v>91</v>
      </c>
      <c r="E124" s="10"/>
      <c r="F124" s="10"/>
      <c r="G124" s="10"/>
      <c r="H124" s="10" t="s">
        <v>52</v>
      </c>
      <c r="I124" s="10">
        <v>8</v>
      </c>
      <c r="J124" s="10" t="s">
        <v>1863</v>
      </c>
      <c r="K124" s="10" t="s">
        <v>42</v>
      </c>
      <c r="L124" s="10">
        <f>Table1[[#This Row],[ENR]]-Table1[[#This Row],[CREDIT]]</f>
        <v>-38426.86</v>
      </c>
      <c r="M124" s="36">
        <v>125000</v>
      </c>
      <c r="N124" s="26">
        <v>86573.14</v>
      </c>
      <c r="O124" s="38" t="s">
        <v>43</v>
      </c>
      <c r="P124" s="25">
        <v>86573.14</v>
      </c>
      <c r="Q124" s="25">
        <v>72480.58</v>
      </c>
      <c r="R124" s="10">
        <v>18630</v>
      </c>
      <c r="S124" s="39">
        <v>7660</v>
      </c>
      <c r="T124" s="10" t="s">
        <v>57</v>
      </c>
      <c r="U124" s="10" t="s">
        <v>14</v>
      </c>
      <c r="V124" s="25">
        <v>9640.2000000000007</v>
      </c>
      <c r="W124" s="25">
        <f>Table1[[#This Row],[STAB]]-Table1[[#This Row],[AMOUNT]]</f>
        <v>-1980.2000000000007</v>
      </c>
      <c r="X124" s="10" t="s">
        <v>1989</v>
      </c>
      <c r="Y124" s="10" t="s">
        <v>402</v>
      </c>
      <c r="Z124" s="10" t="s">
        <v>963</v>
      </c>
      <c r="AA124" s="10" t="s">
        <v>113</v>
      </c>
      <c r="AB124" s="36" t="s">
        <v>375</v>
      </c>
      <c r="AC124" s="10"/>
      <c r="AD124" s="9" t="s">
        <v>1887</v>
      </c>
      <c r="AE124" s="10" t="s">
        <v>1911</v>
      </c>
      <c r="AF124" s="10" t="s">
        <v>273</v>
      </c>
      <c r="AG124" s="10" t="s">
        <v>323</v>
      </c>
      <c r="AH124" s="10" t="s">
        <v>352</v>
      </c>
      <c r="AI124" s="10" t="s">
        <v>363</v>
      </c>
      <c r="AJ124" s="10">
        <v>802913252</v>
      </c>
      <c r="AK124" s="10" t="s">
        <v>104</v>
      </c>
      <c r="AL124" s="10"/>
      <c r="AM124" s="10"/>
      <c r="AN124" s="11" t="s">
        <v>390</v>
      </c>
      <c r="AO124" s="10"/>
      <c r="AP124" s="10"/>
      <c r="AQ124" s="10"/>
      <c r="AR124" s="2">
        <v>46147</v>
      </c>
      <c r="AS124" s="10">
        <v>6090</v>
      </c>
      <c r="AT124" s="10" t="s">
        <v>503</v>
      </c>
      <c r="AU124" s="10" t="s">
        <v>1741</v>
      </c>
      <c r="AV124" s="36" t="s">
        <v>1937</v>
      </c>
      <c r="AW124" s="1">
        <v>46199</v>
      </c>
    </row>
    <row r="125" spans="1:49" x14ac:dyDescent="0.25">
      <c r="A125" s="9" t="s">
        <v>870</v>
      </c>
      <c r="B125" s="10" t="s">
        <v>884</v>
      </c>
      <c r="C125" s="10">
        <v>0</v>
      </c>
      <c r="D125" s="10" t="s">
        <v>91</v>
      </c>
      <c r="E125" s="10"/>
      <c r="F125" s="10"/>
      <c r="G125" s="10"/>
      <c r="H125" s="10" t="s">
        <v>84</v>
      </c>
      <c r="I125" s="10">
        <v>8</v>
      </c>
      <c r="J125" s="10" t="s">
        <v>898</v>
      </c>
      <c r="K125" s="10" t="s">
        <v>42</v>
      </c>
      <c r="L125" s="10">
        <f>Table1[[#This Row],[ENR]]-Table1[[#This Row],[CREDIT]]</f>
        <v>-182.83999999999651</v>
      </c>
      <c r="M125" s="36">
        <v>80000</v>
      </c>
      <c r="N125" s="26">
        <v>79817.16</v>
      </c>
      <c r="O125" s="38" t="s">
        <v>43</v>
      </c>
      <c r="P125" s="25">
        <v>79817.16</v>
      </c>
      <c r="Q125" s="25">
        <v>72658.149999999994</v>
      </c>
      <c r="R125" s="10">
        <v>17980</v>
      </c>
      <c r="S125" s="39">
        <v>10570</v>
      </c>
      <c r="T125" s="10" t="s">
        <v>57</v>
      </c>
      <c r="U125" s="10" t="s">
        <v>13</v>
      </c>
      <c r="V125" s="10">
        <v>18000</v>
      </c>
      <c r="W125" s="25">
        <f>Table1[[#This Row],[STAB]]-Table1[[#This Row],[AMOUNT]]</f>
        <v>-7430</v>
      </c>
      <c r="X125" s="10" t="s">
        <v>4591</v>
      </c>
      <c r="Y125" s="10" t="s">
        <v>396</v>
      </c>
      <c r="Z125" s="10" t="s">
        <v>403</v>
      </c>
      <c r="AA125" s="10" t="s">
        <v>113</v>
      </c>
      <c r="AB125" s="36" t="s">
        <v>374</v>
      </c>
      <c r="AC125" s="10"/>
      <c r="AD125" s="9" t="s">
        <v>912</v>
      </c>
      <c r="AE125" s="10" t="s">
        <v>925</v>
      </c>
      <c r="AF125" s="10" t="s">
        <v>281</v>
      </c>
      <c r="AG125" s="10" t="s">
        <v>54</v>
      </c>
      <c r="AH125" s="10" t="s">
        <v>58</v>
      </c>
      <c r="AI125" s="10" t="s">
        <v>133</v>
      </c>
      <c r="AJ125" s="10">
        <v>802555024</v>
      </c>
      <c r="AK125" s="10" t="s">
        <v>362</v>
      </c>
      <c r="AL125" s="10"/>
      <c r="AM125" s="10"/>
      <c r="AN125" s="11" t="s">
        <v>390</v>
      </c>
      <c r="AO125" s="10" t="s">
        <v>398</v>
      </c>
      <c r="AP125" s="10" t="s">
        <v>4600</v>
      </c>
      <c r="AQ125" s="10" t="s">
        <v>4591</v>
      </c>
      <c r="AR125" s="2">
        <v>45954</v>
      </c>
      <c r="AS125" s="10">
        <v>14290</v>
      </c>
      <c r="AT125" s="10" t="s">
        <v>503</v>
      </c>
      <c r="AU125" s="10" t="s">
        <v>834</v>
      </c>
      <c r="AV125" s="36" t="s">
        <v>943</v>
      </c>
      <c r="AW125" s="1">
        <v>46199</v>
      </c>
    </row>
    <row r="126" spans="1:49" x14ac:dyDescent="0.25">
      <c r="A126" s="9" t="s">
        <v>877</v>
      </c>
      <c r="B126" s="10" t="s">
        <v>891</v>
      </c>
      <c r="C126" s="10">
        <v>0</v>
      </c>
      <c r="D126" s="10" t="s">
        <v>91</v>
      </c>
      <c r="E126" s="10"/>
      <c r="F126" s="10"/>
      <c r="G126" s="10"/>
      <c r="H126" s="10" t="s">
        <v>52</v>
      </c>
      <c r="I126" s="10">
        <v>8</v>
      </c>
      <c r="J126" s="10" t="s">
        <v>905</v>
      </c>
      <c r="K126" s="10" t="s">
        <v>42</v>
      </c>
      <c r="L126" s="10">
        <f>Table1[[#This Row],[ENR]]-Table1[[#This Row],[CREDIT]]</f>
        <v>-1180.9700000000012</v>
      </c>
      <c r="M126" s="36">
        <v>80000</v>
      </c>
      <c r="N126" s="26">
        <v>78819.03</v>
      </c>
      <c r="O126" s="38">
        <v>55688.9</v>
      </c>
      <c r="P126" s="25">
        <v>23130.13</v>
      </c>
      <c r="Q126" s="25">
        <v>18015.189999999999</v>
      </c>
      <c r="R126" s="10">
        <v>23130.13</v>
      </c>
      <c r="S126" s="39">
        <v>11108.78</v>
      </c>
      <c r="T126" s="10" t="s">
        <v>44</v>
      </c>
      <c r="U126" s="10" t="s">
        <v>45</v>
      </c>
      <c r="V126" s="10">
        <v>0</v>
      </c>
      <c r="W126" s="25">
        <f>Table1[[#This Row],[STAB]]-Table1[[#This Row],[AMOUNT]]</f>
        <v>11108.78</v>
      </c>
      <c r="X126" s="10">
        <v>0</v>
      </c>
      <c r="Y126" s="10" t="s">
        <v>79</v>
      </c>
      <c r="Z126" s="10">
        <v>0</v>
      </c>
      <c r="AA126" s="10" t="s">
        <v>113</v>
      </c>
      <c r="AB126" s="36" t="s">
        <v>375</v>
      </c>
      <c r="AC126" s="10"/>
      <c r="AD126" s="9" t="s">
        <v>919</v>
      </c>
      <c r="AE126" s="10" t="s">
        <v>931</v>
      </c>
      <c r="AF126" s="10" t="s">
        <v>273</v>
      </c>
      <c r="AG126" s="10" t="s">
        <v>323</v>
      </c>
      <c r="AH126" s="10" t="s">
        <v>352</v>
      </c>
      <c r="AI126" s="10" t="s">
        <v>363</v>
      </c>
      <c r="AJ126" s="10">
        <v>802913252</v>
      </c>
      <c r="AK126" s="10" t="s">
        <v>104</v>
      </c>
      <c r="AL126" s="10"/>
      <c r="AM126" s="10"/>
      <c r="AN126" s="11" t="s">
        <v>390</v>
      </c>
      <c r="AO126" s="10" t="s">
        <v>398</v>
      </c>
      <c r="AP126" s="10" t="s">
        <v>968</v>
      </c>
      <c r="AQ126" s="10" t="s">
        <v>959</v>
      </c>
      <c r="AR126" s="2">
        <v>45479</v>
      </c>
      <c r="AS126" s="10">
        <v>4215.6899999999996</v>
      </c>
      <c r="AT126" s="10" t="s">
        <v>937</v>
      </c>
      <c r="AU126" s="10" t="s">
        <v>834</v>
      </c>
      <c r="AV126" s="36" t="s">
        <v>950</v>
      </c>
      <c r="AW126" s="1">
        <v>46199</v>
      </c>
    </row>
    <row r="127" spans="1:49" x14ac:dyDescent="0.25">
      <c r="A127" s="9" t="s">
        <v>871</v>
      </c>
      <c r="B127" s="10" t="s">
        <v>885</v>
      </c>
      <c r="C127" s="10">
        <v>0</v>
      </c>
      <c r="D127" s="10" t="s">
        <v>91</v>
      </c>
      <c r="E127" s="10"/>
      <c r="F127" s="10"/>
      <c r="G127" s="10"/>
      <c r="H127" s="10" t="s">
        <v>52</v>
      </c>
      <c r="I127" s="10">
        <v>8</v>
      </c>
      <c r="J127" s="10" t="s">
        <v>899</v>
      </c>
      <c r="K127" s="10" t="s">
        <v>42</v>
      </c>
      <c r="L127" s="10">
        <f>Table1[[#This Row],[ENR]]-Table1[[#This Row],[CREDIT]]</f>
        <v>7769.2700000000041</v>
      </c>
      <c r="M127" s="36">
        <v>70000</v>
      </c>
      <c r="N127" s="26">
        <v>77769.27</v>
      </c>
      <c r="O127" s="38" t="s">
        <v>43</v>
      </c>
      <c r="P127" s="25">
        <v>77769.27</v>
      </c>
      <c r="Q127" s="25">
        <v>69834.42</v>
      </c>
      <c r="R127" s="10">
        <v>19600</v>
      </c>
      <c r="S127" s="39">
        <v>6920</v>
      </c>
      <c r="T127" s="10" t="s">
        <v>44</v>
      </c>
      <c r="U127" s="10" t="s">
        <v>45</v>
      </c>
      <c r="V127" s="10">
        <v>0</v>
      </c>
      <c r="W127" s="25">
        <f>Table1[[#This Row],[STAB]]-Table1[[#This Row],[AMOUNT]]</f>
        <v>6920</v>
      </c>
      <c r="X127" s="10">
        <v>0</v>
      </c>
      <c r="Y127" s="10" t="s">
        <v>79</v>
      </c>
      <c r="Z127" s="10">
        <v>0</v>
      </c>
      <c r="AA127" s="10" t="s">
        <v>113</v>
      </c>
      <c r="AB127" s="10" t="s">
        <v>133</v>
      </c>
      <c r="AC127" s="10"/>
      <c r="AD127" s="9" t="s">
        <v>913</v>
      </c>
      <c r="AE127" s="10" t="s">
        <v>926</v>
      </c>
      <c r="AF127" s="10" t="s">
        <v>278</v>
      </c>
      <c r="AG127" s="10" t="s">
        <v>54</v>
      </c>
      <c r="AH127" s="10" t="s">
        <v>86</v>
      </c>
      <c r="AI127" s="10" t="s">
        <v>369</v>
      </c>
      <c r="AJ127" s="10">
        <v>802823180</v>
      </c>
      <c r="AK127" s="10" t="s">
        <v>105</v>
      </c>
      <c r="AL127" s="10"/>
      <c r="AM127" s="10"/>
      <c r="AN127" s="11" t="s">
        <v>390</v>
      </c>
      <c r="AO127" s="10" t="s">
        <v>392</v>
      </c>
      <c r="AP127" s="10" t="s">
        <v>4551</v>
      </c>
      <c r="AQ127" s="10" t="s">
        <v>4535</v>
      </c>
      <c r="AR127" s="2">
        <v>46140</v>
      </c>
      <c r="AS127" s="10">
        <v>7070</v>
      </c>
      <c r="AT127" s="10" t="s">
        <v>503</v>
      </c>
      <c r="AU127" s="10" t="s">
        <v>834</v>
      </c>
      <c r="AV127" s="36" t="s">
        <v>944</v>
      </c>
      <c r="AW127" s="1">
        <v>46199</v>
      </c>
    </row>
    <row r="128" spans="1:49" x14ac:dyDescent="0.25">
      <c r="A128" s="9" t="s">
        <v>1814</v>
      </c>
      <c r="B128" s="10" t="s">
        <v>1838</v>
      </c>
      <c r="C128" s="10">
        <v>0</v>
      </c>
      <c r="D128" s="10" t="s">
        <v>91</v>
      </c>
      <c r="E128" s="10"/>
      <c r="F128" s="10" t="s">
        <v>112</v>
      </c>
      <c r="G128" s="10" t="e">
        <v>#N/A</v>
      </c>
      <c r="H128" s="10" t="s">
        <v>52</v>
      </c>
      <c r="I128" s="10">
        <v>8</v>
      </c>
      <c r="J128" s="10" t="s">
        <v>1862</v>
      </c>
      <c r="K128" s="10" t="s">
        <v>42</v>
      </c>
      <c r="L128" s="10">
        <f>Table1[[#This Row],[ENR]]-Table1[[#This Row],[CREDIT]]</f>
        <v>5994.9100000000035</v>
      </c>
      <c r="M128" s="36">
        <v>62000</v>
      </c>
      <c r="N128" s="26">
        <v>67994.91</v>
      </c>
      <c r="O128" s="38" t="s">
        <v>43</v>
      </c>
      <c r="P128" s="25">
        <v>67994.91</v>
      </c>
      <c r="Q128" s="25">
        <v>59324.61</v>
      </c>
      <c r="R128" s="10">
        <v>17920</v>
      </c>
      <c r="S128" s="39">
        <v>6640</v>
      </c>
      <c r="T128" s="10" t="s">
        <v>57</v>
      </c>
      <c r="U128" s="10" t="s">
        <v>13</v>
      </c>
      <c r="V128" s="10">
        <v>17920</v>
      </c>
      <c r="W128" s="25">
        <f>Table1[[#This Row],[STAB]]-Table1[[#This Row],[AMOUNT]]</f>
        <v>-11280</v>
      </c>
      <c r="X128" s="10">
        <v>0</v>
      </c>
      <c r="Y128" s="10" t="s">
        <v>388</v>
      </c>
      <c r="Z128" s="10" t="s">
        <v>963</v>
      </c>
      <c r="AA128" s="10" t="s">
        <v>113</v>
      </c>
      <c r="AB128" s="10" t="s">
        <v>133</v>
      </c>
      <c r="AC128" s="10"/>
      <c r="AD128" s="9" t="s">
        <v>1886</v>
      </c>
      <c r="AE128" s="10" t="s">
        <v>1910</v>
      </c>
      <c r="AF128" s="10" t="s">
        <v>283</v>
      </c>
      <c r="AG128" s="10" t="s">
        <v>53</v>
      </c>
      <c r="AH128" s="10" t="s">
        <v>356</v>
      </c>
      <c r="AI128" s="10" t="s">
        <v>2962</v>
      </c>
      <c r="AJ128" s="10">
        <v>801601134</v>
      </c>
      <c r="AK128" s="10" t="s">
        <v>104</v>
      </c>
      <c r="AL128" s="10"/>
      <c r="AM128" s="10"/>
      <c r="AN128" s="11" t="s">
        <v>390</v>
      </c>
      <c r="AO128" s="10"/>
      <c r="AP128" s="10"/>
      <c r="AQ128" s="10"/>
      <c r="AR128" s="2">
        <v>46146</v>
      </c>
      <c r="AS128" s="10">
        <v>22880</v>
      </c>
      <c r="AT128" s="10" t="s">
        <v>294</v>
      </c>
      <c r="AU128" s="10" t="s">
        <v>1741</v>
      </c>
      <c r="AV128" s="36" t="s">
        <v>1936</v>
      </c>
      <c r="AW128" s="1">
        <v>46199</v>
      </c>
    </row>
    <row r="129" spans="1:49" x14ac:dyDescent="0.25">
      <c r="A129" s="9" t="s">
        <v>869</v>
      </c>
      <c r="B129" s="10" t="s">
        <v>883</v>
      </c>
      <c r="C129" s="10">
        <v>0</v>
      </c>
      <c r="D129" s="10" t="s">
        <v>91</v>
      </c>
      <c r="E129" s="10"/>
      <c r="F129" s="10"/>
      <c r="G129" s="10"/>
      <c r="H129" s="10" t="s">
        <v>84</v>
      </c>
      <c r="I129" s="10">
        <v>8</v>
      </c>
      <c r="J129" s="10" t="s">
        <v>897</v>
      </c>
      <c r="K129" s="10" t="s">
        <v>42</v>
      </c>
      <c r="L129" s="10">
        <f>Table1[[#This Row],[ENR]]-Table1[[#This Row],[CREDIT]]</f>
        <v>2498.0999999999985</v>
      </c>
      <c r="M129" s="36">
        <v>63000</v>
      </c>
      <c r="N129" s="26">
        <v>65498.1</v>
      </c>
      <c r="O129" s="38" t="s">
        <v>43</v>
      </c>
      <c r="P129" s="25">
        <v>65498.1</v>
      </c>
      <c r="Q129" s="25">
        <v>60363.58</v>
      </c>
      <c r="R129" s="10">
        <v>17400</v>
      </c>
      <c r="S129" s="39">
        <v>9440</v>
      </c>
      <c r="T129" s="10" t="s">
        <v>44</v>
      </c>
      <c r="U129" s="10" t="s">
        <v>45</v>
      </c>
      <c r="V129" s="10">
        <v>0</v>
      </c>
      <c r="W129" s="25">
        <f>Table1[[#This Row],[STAB]]-Table1[[#This Row],[AMOUNT]]</f>
        <v>9440</v>
      </c>
      <c r="X129" s="10">
        <v>0</v>
      </c>
      <c r="Y129" s="10" t="s">
        <v>79</v>
      </c>
      <c r="Z129" s="10" t="s">
        <v>403</v>
      </c>
      <c r="AA129" s="10" t="s">
        <v>113</v>
      </c>
      <c r="AB129" s="36" t="s">
        <v>132</v>
      </c>
      <c r="AC129" s="10"/>
      <c r="AD129" s="9" t="s">
        <v>911</v>
      </c>
      <c r="AE129" s="10" t="s">
        <v>924</v>
      </c>
      <c r="AF129" s="10" t="s">
        <v>273</v>
      </c>
      <c r="AG129" s="10" t="s">
        <v>323</v>
      </c>
      <c r="AH129" s="10" t="s">
        <v>352</v>
      </c>
      <c r="AI129" s="10" t="s">
        <v>363</v>
      </c>
      <c r="AJ129" s="10">
        <v>802913252</v>
      </c>
      <c r="AK129" s="10" t="s">
        <v>104</v>
      </c>
      <c r="AL129" s="10"/>
      <c r="AM129" s="10"/>
      <c r="AN129" s="11" t="s">
        <v>46</v>
      </c>
      <c r="AO129" s="10"/>
      <c r="AP129" s="10"/>
      <c r="AQ129" s="10"/>
      <c r="AR129" s="2">
        <v>45524</v>
      </c>
      <c r="AS129" s="10">
        <v>5340</v>
      </c>
      <c r="AT129" s="10" t="s">
        <v>938</v>
      </c>
      <c r="AU129" s="10" t="s">
        <v>834</v>
      </c>
      <c r="AV129" s="36" t="s">
        <v>942</v>
      </c>
      <c r="AW129" s="1">
        <v>46199</v>
      </c>
    </row>
    <row r="130" spans="1:49" x14ac:dyDescent="0.25">
      <c r="A130" s="9" t="s">
        <v>1813</v>
      </c>
      <c r="B130" s="10" t="s">
        <v>1837</v>
      </c>
      <c r="C130" s="10">
        <v>0</v>
      </c>
      <c r="D130" s="10" t="s">
        <v>91</v>
      </c>
      <c r="E130" s="10"/>
      <c r="F130" s="10"/>
      <c r="G130" s="10"/>
      <c r="H130" s="10" t="s">
        <v>52</v>
      </c>
      <c r="I130" s="10">
        <v>8</v>
      </c>
      <c r="J130" s="10" t="s">
        <v>1861</v>
      </c>
      <c r="K130" s="10" t="s">
        <v>42</v>
      </c>
      <c r="L130" s="10">
        <f>Table1[[#This Row],[ENR]]-Table1[[#This Row],[CREDIT]]</f>
        <v>290.9800000000032</v>
      </c>
      <c r="M130" s="36">
        <v>60000</v>
      </c>
      <c r="N130" s="26">
        <v>60290.98</v>
      </c>
      <c r="O130" s="38" t="s">
        <v>43</v>
      </c>
      <c r="P130" s="25">
        <v>60290.98</v>
      </c>
      <c r="Q130" s="25">
        <v>53026.81</v>
      </c>
      <c r="R130" s="10">
        <v>10440</v>
      </c>
      <c r="S130" s="39">
        <v>4170</v>
      </c>
      <c r="T130" s="10" t="s">
        <v>57</v>
      </c>
      <c r="U130" s="10" t="s">
        <v>13</v>
      </c>
      <c r="V130" s="10">
        <v>10440</v>
      </c>
      <c r="W130" s="25">
        <f>Table1[[#This Row],[STAB]]-Table1[[#This Row],[AMOUNT]]</f>
        <v>-6270</v>
      </c>
      <c r="X130" s="10" t="s">
        <v>1989</v>
      </c>
      <c r="Y130" s="10" t="s">
        <v>402</v>
      </c>
      <c r="Z130" s="10" t="s">
        <v>963</v>
      </c>
      <c r="AA130" s="10" t="s">
        <v>113</v>
      </c>
      <c r="AB130" s="41" t="s">
        <v>376</v>
      </c>
      <c r="AC130" s="10"/>
      <c r="AD130" s="9" t="s">
        <v>1885</v>
      </c>
      <c r="AE130" s="10" t="s">
        <v>1909</v>
      </c>
      <c r="AF130" s="10" t="s">
        <v>685</v>
      </c>
      <c r="AG130" s="10" t="s">
        <v>54</v>
      </c>
      <c r="AH130" s="10" t="s">
        <v>1398</v>
      </c>
      <c r="AI130" s="10" t="s">
        <v>162</v>
      </c>
      <c r="AJ130" s="10">
        <v>801772794</v>
      </c>
      <c r="AK130" s="10" t="s">
        <v>361</v>
      </c>
      <c r="AL130" s="10"/>
      <c r="AM130" s="10"/>
      <c r="AN130" s="11" t="s">
        <v>390</v>
      </c>
      <c r="AO130" s="10"/>
      <c r="AP130" s="10"/>
      <c r="AQ130" s="10"/>
      <c r="AR130" s="2">
        <v>46146</v>
      </c>
      <c r="AS130" s="10">
        <v>8530</v>
      </c>
      <c r="AT130" s="10" t="s">
        <v>503</v>
      </c>
      <c r="AU130" s="10" t="s">
        <v>1741</v>
      </c>
      <c r="AV130" s="36" t="s">
        <v>1935</v>
      </c>
      <c r="AW130" s="1">
        <v>46199</v>
      </c>
    </row>
    <row r="131" spans="1:49" x14ac:dyDescent="0.25">
      <c r="A131" s="9" t="s">
        <v>868</v>
      </c>
      <c r="B131" s="10" t="s">
        <v>882</v>
      </c>
      <c r="C131" s="10">
        <v>0</v>
      </c>
      <c r="D131" s="10" t="s">
        <v>95</v>
      </c>
      <c r="E131" s="10"/>
      <c r="F131" s="10" t="s">
        <v>112</v>
      </c>
      <c r="G131" s="10" t="s">
        <v>4945</v>
      </c>
      <c r="H131" s="10" t="s">
        <v>52</v>
      </c>
      <c r="I131" s="10">
        <v>8</v>
      </c>
      <c r="J131" s="10" t="s">
        <v>896</v>
      </c>
      <c r="K131" s="10" t="s">
        <v>42</v>
      </c>
      <c r="L131" s="10">
        <f>Table1[[#This Row],[ENR]]-Table1[[#This Row],[CREDIT]]</f>
        <v>5408.93</v>
      </c>
      <c r="M131" s="36">
        <v>52000</v>
      </c>
      <c r="N131" s="26">
        <v>57408.93</v>
      </c>
      <c r="O131" s="38" t="s">
        <v>43</v>
      </c>
      <c r="P131" s="25">
        <v>57408.93</v>
      </c>
      <c r="Q131" s="25">
        <v>52000</v>
      </c>
      <c r="R131" s="10">
        <v>13490</v>
      </c>
      <c r="S131" s="39">
        <v>2600</v>
      </c>
      <c r="T131" s="10" t="s">
        <v>44</v>
      </c>
      <c r="U131" s="10" t="s">
        <v>45</v>
      </c>
      <c r="V131" s="10">
        <v>0</v>
      </c>
      <c r="W131" s="25">
        <f>Table1[[#This Row],[STAB]]-Table1[[#This Row],[AMOUNT]]</f>
        <v>2600</v>
      </c>
      <c r="X131" s="10">
        <v>0</v>
      </c>
      <c r="Y131" s="10" t="s">
        <v>79</v>
      </c>
      <c r="Z131" s="10">
        <v>0</v>
      </c>
      <c r="AA131" s="10" t="s">
        <v>113</v>
      </c>
      <c r="AB131" s="36" t="s">
        <v>374</v>
      </c>
      <c r="AC131" s="10"/>
      <c r="AD131" s="9" t="s">
        <v>910</v>
      </c>
      <c r="AE131" s="10" t="s">
        <v>923</v>
      </c>
      <c r="AF131" s="10" t="s">
        <v>273</v>
      </c>
      <c r="AG131" s="10" t="s">
        <v>323</v>
      </c>
      <c r="AH131" s="10" t="s">
        <v>352</v>
      </c>
      <c r="AI131" s="10" t="s">
        <v>363</v>
      </c>
      <c r="AJ131" s="10">
        <v>802913252</v>
      </c>
      <c r="AK131" s="10" t="s">
        <v>104</v>
      </c>
      <c r="AL131" s="10"/>
      <c r="AM131" s="10"/>
      <c r="AN131" s="11" t="s">
        <v>46</v>
      </c>
      <c r="AO131" s="10"/>
      <c r="AP131" s="10"/>
      <c r="AQ131" s="10"/>
      <c r="AR131" s="2">
        <v>46145</v>
      </c>
      <c r="AS131" s="10">
        <v>799</v>
      </c>
      <c r="AT131" s="10" t="s">
        <v>937</v>
      </c>
      <c r="AU131" s="10" t="s">
        <v>834</v>
      </c>
      <c r="AV131" s="36" t="s">
        <v>941</v>
      </c>
      <c r="AW131" s="1">
        <v>46199</v>
      </c>
    </row>
    <row r="132" spans="1:49" x14ac:dyDescent="0.25">
      <c r="A132" s="9" t="s">
        <v>867</v>
      </c>
      <c r="B132" s="10" t="s">
        <v>881</v>
      </c>
      <c r="C132" s="10">
        <v>0</v>
      </c>
      <c r="D132" s="10" t="s">
        <v>91</v>
      </c>
      <c r="E132" s="10"/>
      <c r="F132" s="10"/>
      <c r="G132" s="10"/>
      <c r="H132" s="10" t="s">
        <v>52</v>
      </c>
      <c r="I132" s="10">
        <v>8</v>
      </c>
      <c r="J132" s="10" t="s">
        <v>895</v>
      </c>
      <c r="K132" s="10" t="s">
        <v>42</v>
      </c>
      <c r="L132" s="10">
        <f>Table1[[#This Row],[ENR]]-Table1[[#This Row],[CREDIT]]</f>
        <v>5614.1100000000006</v>
      </c>
      <c r="M132" s="36">
        <v>50000</v>
      </c>
      <c r="N132" s="26">
        <v>55614.11</v>
      </c>
      <c r="O132" s="38">
        <v>3818.49</v>
      </c>
      <c r="P132" s="25">
        <v>51795.62</v>
      </c>
      <c r="Q132" s="25">
        <v>44696.71</v>
      </c>
      <c r="R132" s="10">
        <v>14470</v>
      </c>
      <c r="S132" s="39">
        <v>4980</v>
      </c>
      <c r="T132" s="10" t="s">
        <v>57</v>
      </c>
      <c r="U132" s="10" t="s">
        <v>13</v>
      </c>
      <c r="V132" s="10">
        <v>51795.62</v>
      </c>
      <c r="W132" s="25">
        <f>Table1[[#This Row],[STAB]]-Table1[[#This Row],[AMOUNT]]</f>
        <v>-46815.62</v>
      </c>
      <c r="X132" s="10" t="s">
        <v>4535</v>
      </c>
      <c r="Y132" s="10" t="s">
        <v>402</v>
      </c>
      <c r="Z132" s="10" t="s">
        <v>403</v>
      </c>
      <c r="AA132" s="10" t="s">
        <v>113</v>
      </c>
      <c r="AB132" s="36" t="s">
        <v>375</v>
      </c>
      <c r="AC132" s="10"/>
      <c r="AD132" s="9" t="s">
        <v>909</v>
      </c>
      <c r="AE132" s="10" t="s">
        <v>922</v>
      </c>
      <c r="AF132" s="10" t="s">
        <v>687</v>
      </c>
      <c r="AG132" s="10" t="s">
        <v>53</v>
      </c>
      <c r="AH132" s="10" t="s">
        <v>83</v>
      </c>
      <c r="AI132" s="10" t="s">
        <v>728</v>
      </c>
      <c r="AJ132" s="10">
        <v>802349062</v>
      </c>
      <c r="AK132" s="10" t="s">
        <v>104</v>
      </c>
      <c r="AL132" s="10"/>
      <c r="AM132" s="10"/>
      <c r="AN132" s="11" t="s">
        <v>390</v>
      </c>
      <c r="AO132" s="10"/>
      <c r="AP132" s="10"/>
      <c r="AQ132" s="10"/>
      <c r="AR132" s="2">
        <v>45490</v>
      </c>
      <c r="AS132" s="10">
        <v>27810.3</v>
      </c>
      <c r="AT132" s="10" t="s">
        <v>503</v>
      </c>
      <c r="AU132" s="10" t="s">
        <v>834</v>
      </c>
      <c r="AV132" s="36" t="s">
        <v>940</v>
      </c>
      <c r="AW132" s="1">
        <v>46199</v>
      </c>
    </row>
    <row r="133" spans="1:49" x14ac:dyDescent="0.25">
      <c r="A133" s="9" t="s">
        <v>1812</v>
      </c>
      <c r="B133" s="10" t="s">
        <v>1836</v>
      </c>
      <c r="C133" s="10">
        <v>0</v>
      </c>
      <c r="D133" s="10" t="s">
        <v>91</v>
      </c>
      <c r="E133" s="10"/>
      <c r="F133" s="10"/>
      <c r="G133" s="10"/>
      <c r="H133" s="10" t="s">
        <v>52</v>
      </c>
      <c r="I133" s="10">
        <v>8</v>
      </c>
      <c r="J133" s="10" t="s">
        <v>1860</v>
      </c>
      <c r="K133" s="10" t="s">
        <v>42</v>
      </c>
      <c r="L133" s="10">
        <f>Table1[[#This Row],[ENR]]-Table1[[#This Row],[CREDIT]]</f>
        <v>4747.5199999999968</v>
      </c>
      <c r="M133" s="36">
        <v>50000</v>
      </c>
      <c r="N133" s="26">
        <v>54747.519999999997</v>
      </c>
      <c r="O133" s="38" t="s">
        <v>43</v>
      </c>
      <c r="P133" s="25">
        <v>54747.519999999997</v>
      </c>
      <c r="Q133" s="25">
        <v>48566.400000000001</v>
      </c>
      <c r="R133" s="10">
        <v>15500</v>
      </c>
      <c r="S133" s="39">
        <v>3936</v>
      </c>
      <c r="T133" s="10" t="s">
        <v>57</v>
      </c>
      <c r="U133" s="10" t="s">
        <v>13</v>
      </c>
      <c r="V133" s="10">
        <v>54747.519999999997</v>
      </c>
      <c r="W133" s="25">
        <f>Table1[[#This Row],[STAB]]-Table1[[#This Row],[AMOUNT]]</f>
        <v>-50811.519999999997</v>
      </c>
      <c r="X133" s="10" t="s">
        <v>4535</v>
      </c>
      <c r="Y133" s="10" t="s">
        <v>396</v>
      </c>
      <c r="Z133" s="10" t="s">
        <v>403</v>
      </c>
      <c r="AA133" s="10" t="s">
        <v>113</v>
      </c>
      <c r="AB133" s="36" t="s">
        <v>375</v>
      </c>
      <c r="AC133" s="10"/>
      <c r="AD133" s="9" t="s">
        <v>1884</v>
      </c>
      <c r="AE133" s="10" t="s">
        <v>1908</v>
      </c>
      <c r="AF133" s="10" t="s">
        <v>111</v>
      </c>
      <c r="AG133" s="10" t="s">
        <v>80</v>
      </c>
      <c r="AH133" s="10" t="s">
        <v>1957</v>
      </c>
      <c r="AI133" s="10" t="s">
        <v>82</v>
      </c>
      <c r="AJ133" s="10">
        <v>801723195</v>
      </c>
      <c r="AK133" s="10" t="s">
        <v>105</v>
      </c>
      <c r="AL133" s="10"/>
      <c r="AM133" s="10"/>
      <c r="AN133" s="11" t="s">
        <v>390</v>
      </c>
      <c r="AO133" s="10"/>
      <c r="AP133" s="10"/>
      <c r="AQ133" s="10"/>
      <c r="AR133" s="2">
        <v>45604</v>
      </c>
      <c r="AS133" s="10">
        <v>45577.88</v>
      </c>
      <c r="AT133" s="10" t="s">
        <v>503</v>
      </c>
      <c r="AU133" s="10" t="s">
        <v>1741</v>
      </c>
      <c r="AV133" s="36" t="s">
        <v>1934</v>
      </c>
      <c r="AW133" s="1">
        <v>46199</v>
      </c>
    </row>
    <row r="134" spans="1:49" x14ac:dyDescent="0.25">
      <c r="A134" s="9" t="s">
        <v>1811</v>
      </c>
      <c r="B134" s="10" t="s">
        <v>1835</v>
      </c>
      <c r="C134" s="10">
        <v>0</v>
      </c>
      <c r="D134" s="10" t="s">
        <v>91</v>
      </c>
      <c r="E134" s="10"/>
      <c r="F134" s="10"/>
      <c r="G134" s="10"/>
      <c r="H134" s="10" t="s">
        <v>52</v>
      </c>
      <c r="I134" s="10">
        <v>8</v>
      </c>
      <c r="J134" s="10" t="s">
        <v>1859</v>
      </c>
      <c r="K134" s="10" t="s">
        <v>42</v>
      </c>
      <c r="L134" s="10">
        <f>Table1[[#This Row],[ENR]]-Table1[[#This Row],[CREDIT]]</f>
        <v>6420.0299999999988</v>
      </c>
      <c r="M134" s="36">
        <v>45900</v>
      </c>
      <c r="N134" s="26">
        <v>52320.03</v>
      </c>
      <c r="O134" s="38" t="s">
        <v>43</v>
      </c>
      <c r="P134" s="25">
        <v>52320.03</v>
      </c>
      <c r="Q134" s="25">
        <v>44456.5</v>
      </c>
      <c r="R134" s="10">
        <v>18170</v>
      </c>
      <c r="S134" s="39">
        <v>9510</v>
      </c>
      <c r="T134" s="10" t="s">
        <v>44</v>
      </c>
      <c r="U134" s="10" t="s">
        <v>45</v>
      </c>
      <c r="V134" s="10">
        <v>0</v>
      </c>
      <c r="W134" s="25">
        <f>Table1[[#This Row],[STAB]]-Table1[[#This Row],[AMOUNT]]</f>
        <v>9510</v>
      </c>
      <c r="X134" s="10">
        <v>0</v>
      </c>
      <c r="Y134" s="10" t="s">
        <v>79</v>
      </c>
      <c r="Z134" s="10" t="s">
        <v>963</v>
      </c>
      <c r="AA134" s="10" t="s">
        <v>113</v>
      </c>
      <c r="AB134" s="10" t="s">
        <v>133</v>
      </c>
      <c r="AC134" s="10"/>
      <c r="AD134" s="9" t="s">
        <v>1883</v>
      </c>
      <c r="AE134" s="10" t="s">
        <v>1907</v>
      </c>
      <c r="AF134" s="10" t="s">
        <v>1103</v>
      </c>
      <c r="AG134" s="10" t="s">
        <v>1362</v>
      </c>
      <c r="AH134" s="10" t="s">
        <v>1366</v>
      </c>
      <c r="AI134" s="10" t="s">
        <v>82</v>
      </c>
      <c r="AJ134" s="10">
        <v>801723195</v>
      </c>
      <c r="AK134" s="10" t="s">
        <v>105</v>
      </c>
      <c r="AL134" s="10"/>
      <c r="AM134" s="10"/>
      <c r="AN134" s="11" t="s">
        <v>46</v>
      </c>
      <c r="AO134" s="10"/>
      <c r="AP134" s="10"/>
      <c r="AQ134" s="10"/>
      <c r="AR134" s="2">
        <v>46143</v>
      </c>
      <c r="AS134" s="10">
        <v>2300</v>
      </c>
      <c r="AT134" s="10" t="s">
        <v>936</v>
      </c>
      <c r="AU134" s="10" t="s">
        <v>1741</v>
      </c>
      <c r="AV134" s="36" t="s">
        <v>1933</v>
      </c>
      <c r="AW134" s="1">
        <v>46199</v>
      </c>
    </row>
    <row r="135" spans="1:49" x14ac:dyDescent="0.25">
      <c r="A135" s="9" t="s">
        <v>866</v>
      </c>
      <c r="B135" s="10" t="s">
        <v>880</v>
      </c>
      <c r="C135" s="10">
        <v>0</v>
      </c>
      <c r="D135" s="10" t="s">
        <v>91</v>
      </c>
      <c r="E135" s="10"/>
      <c r="F135" s="10"/>
      <c r="G135" s="10"/>
      <c r="H135" s="10" t="s">
        <v>52</v>
      </c>
      <c r="I135" s="10">
        <v>8</v>
      </c>
      <c r="J135" s="10" t="s">
        <v>894</v>
      </c>
      <c r="K135" s="10" t="s">
        <v>42</v>
      </c>
      <c r="L135" s="10">
        <f>Table1[[#This Row],[ENR]]-Table1[[#This Row],[CREDIT]]</f>
        <v>6098.9000000000015</v>
      </c>
      <c r="M135" s="36">
        <v>45000</v>
      </c>
      <c r="N135" s="26">
        <v>51098.9</v>
      </c>
      <c r="O135" s="38">
        <v>2800.07</v>
      </c>
      <c r="P135" s="25">
        <v>48298.83</v>
      </c>
      <c r="Q135" s="25">
        <v>42021.55</v>
      </c>
      <c r="R135" s="10">
        <v>18460</v>
      </c>
      <c r="S135" s="39">
        <v>7470</v>
      </c>
      <c r="T135" s="10" t="s">
        <v>44</v>
      </c>
      <c r="U135" s="10" t="s">
        <v>45</v>
      </c>
      <c r="V135" s="10">
        <v>0</v>
      </c>
      <c r="W135" s="25">
        <f>Table1[[#This Row],[STAB]]-Table1[[#This Row],[AMOUNT]]</f>
        <v>7470</v>
      </c>
      <c r="X135" s="10">
        <v>0</v>
      </c>
      <c r="Y135" s="10" t="s">
        <v>79</v>
      </c>
      <c r="Z135" s="10">
        <v>0</v>
      </c>
      <c r="AA135" s="10" t="s">
        <v>113</v>
      </c>
      <c r="AB135" s="41" t="s">
        <v>376</v>
      </c>
      <c r="AC135" s="10"/>
      <c r="AD135" s="9" t="s">
        <v>908</v>
      </c>
      <c r="AE135" s="10" t="s">
        <v>908</v>
      </c>
      <c r="AF135" s="10" t="s">
        <v>275</v>
      </c>
      <c r="AG135" s="10" t="s">
        <v>80</v>
      </c>
      <c r="AH135" s="10" t="s">
        <v>87</v>
      </c>
      <c r="AI135" s="10" t="s">
        <v>368</v>
      </c>
      <c r="AJ135" s="10">
        <v>802823175</v>
      </c>
      <c r="AK135" s="10" t="s">
        <v>105</v>
      </c>
      <c r="AL135" s="10"/>
      <c r="AM135" s="10"/>
      <c r="AN135" s="11" t="s">
        <v>390</v>
      </c>
      <c r="AO135" s="10" t="s">
        <v>398</v>
      </c>
      <c r="AP135" s="10" t="s">
        <v>4578</v>
      </c>
      <c r="AQ135" s="10" t="s">
        <v>4566</v>
      </c>
      <c r="AR135" s="2">
        <v>46139</v>
      </c>
      <c r="AS135" s="10">
        <v>8000</v>
      </c>
      <c r="AT135" s="10" t="s">
        <v>936</v>
      </c>
      <c r="AU135" s="10" t="s">
        <v>834</v>
      </c>
      <c r="AV135" s="36" t="s">
        <v>939</v>
      </c>
      <c r="AW135" s="1">
        <v>46199</v>
      </c>
    </row>
    <row r="136" spans="1:49" x14ac:dyDescent="0.25">
      <c r="A136" s="9" t="s">
        <v>997</v>
      </c>
      <c r="B136" s="10" t="s">
        <v>1023</v>
      </c>
      <c r="C136" s="10">
        <v>0</v>
      </c>
      <c r="D136" s="10" t="s">
        <v>91</v>
      </c>
      <c r="E136" s="10"/>
      <c r="F136" s="10"/>
      <c r="G136" s="10"/>
      <c r="H136" s="10" t="s">
        <v>52</v>
      </c>
      <c r="I136" s="10">
        <v>10</v>
      </c>
      <c r="J136" s="10" t="s">
        <v>1049</v>
      </c>
      <c r="K136" s="10" t="s">
        <v>42</v>
      </c>
      <c r="L136" s="10">
        <f>Table1[[#This Row],[ENR]]-Table1[[#This Row],[CREDIT]]</f>
        <v>-280809.19</v>
      </c>
      <c r="M136" s="36">
        <v>500000</v>
      </c>
      <c r="N136" s="26">
        <v>219190.81</v>
      </c>
      <c r="O136" s="38">
        <v>153976.72</v>
      </c>
      <c r="P136" s="25">
        <v>65214.09</v>
      </c>
      <c r="Q136" s="25">
        <v>52265.74</v>
      </c>
      <c r="R136" s="10">
        <v>65214.09</v>
      </c>
      <c r="S136" s="39">
        <v>33102.07</v>
      </c>
      <c r="T136" s="10" t="s">
        <v>44</v>
      </c>
      <c r="U136" s="10" t="s">
        <v>45</v>
      </c>
      <c r="V136" s="10">
        <v>0</v>
      </c>
      <c r="W136" s="25">
        <f>Table1[[#This Row],[STAB]]-Table1[[#This Row],[AMOUNT]]</f>
        <v>33102.07</v>
      </c>
      <c r="X136" s="10">
        <v>0</v>
      </c>
      <c r="Y136" s="10" t="s">
        <v>79</v>
      </c>
      <c r="Z136" s="10">
        <v>0</v>
      </c>
      <c r="AA136" s="10" t="s">
        <v>162</v>
      </c>
      <c r="AB136" s="10" t="s">
        <v>735</v>
      </c>
      <c r="AC136" s="10"/>
      <c r="AD136" s="9" t="s">
        <v>1075</v>
      </c>
      <c r="AE136" s="10" t="s">
        <v>1101</v>
      </c>
      <c r="AF136" s="10" t="s">
        <v>272</v>
      </c>
      <c r="AG136" s="10" t="s">
        <v>54</v>
      </c>
      <c r="AH136" s="10" t="s">
        <v>523</v>
      </c>
      <c r="AI136" s="10" t="s">
        <v>371</v>
      </c>
      <c r="AJ136" s="10">
        <v>802835406</v>
      </c>
      <c r="AK136" s="10" t="s">
        <v>362</v>
      </c>
      <c r="AL136" s="10"/>
      <c r="AM136" s="10"/>
      <c r="AN136" s="11" t="s">
        <v>390</v>
      </c>
      <c r="AO136" s="10" t="s">
        <v>531</v>
      </c>
      <c r="AP136" s="10" t="s">
        <v>4613</v>
      </c>
      <c r="AQ136" s="10" t="s">
        <v>4591</v>
      </c>
      <c r="AR136" s="2">
        <v>45765</v>
      </c>
      <c r="AS136" s="10">
        <v>3425.3</v>
      </c>
      <c r="AT136" s="10" t="s">
        <v>48</v>
      </c>
      <c r="AU136" s="10" t="s">
        <v>1105</v>
      </c>
      <c r="AV136" s="36" t="s">
        <v>1131</v>
      </c>
      <c r="AW136" s="1">
        <v>46201</v>
      </c>
    </row>
    <row r="137" spans="1:49" x14ac:dyDescent="0.25">
      <c r="A137" s="9" t="s">
        <v>996</v>
      </c>
      <c r="B137" s="10" t="s">
        <v>1022</v>
      </c>
      <c r="C137" s="10">
        <v>0</v>
      </c>
      <c r="D137" s="10" t="s">
        <v>91</v>
      </c>
      <c r="E137" s="10"/>
      <c r="F137" s="10"/>
      <c r="G137" s="10"/>
      <c r="H137" s="10" t="s">
        <v>52</v>
      </c>
      <c r="I137" s="10">
        <v>10</v>
      </c>
      <c r="J137" s="10" t="s">
        <v>1048</v>
      </c>
      <c r="K137" s="10" t="s">
        <v>42</v>
      </c>
      <c r="L137" s="10">
        <f>Table1[[#This Row],[ENR]]-Table1[[#This Row],[CREDIT]]</f>
        <v>3842.5</v>
      </c>
      <c r="M137" s="36">
        <v>130000</v>
      </c>
      <c r="N137" s="26">
        <v>133842.5</v>
      </c>
      <c r="O137" s="38">
        <v>62619.72</v>
      </c>
      <c r="P137" s="25">
        <v>71222.78</v>
      </c>
      <c r="Q137" s="25">
        <v>62927.14</v>
      </c>
      <c r="R137" s="10">
        <v>21600</v>
      </c>
      <c r="S137" s="39">
        <v>7940</v>
      </c>
      <c r="T137" s="10" t="s">
        <v>44</v>
      </c>
      <c r="U137" s="10" t="s">
        <v>45</v>
      </c>
      <c r="V137" s="10">
        <v>0</v>
      </c>
      <c r="W137" s="25">
        <f>Table1[[#This Row],[STAB]]-Table1[[#This Row],[AMOUNT]]</f>
        <v>7940</v>
      </c>
      <c r="X137" s="10">
        <v>0</v>
      </c>
      <c r="Y137" s="10" t="s">
        <v>79</v>
      </c>
      <c r="Z137" s="10">
        <v>0</v>
      </c>
      <c r="AA137" s="10" t="s">
        <v>162</v>
      </c>
      <c r="AB137" s="10" t="s">
        <v>735</v>
      </c>
      <c r="AC137" s="10"/>
      <c r="AD137" s="9" t="s">
        <v>1074</v>
      </c>
      <c r="AE137" s="10" t="s">
        <v>1100</v>
      </c>
      <c r="AF137" s="10" t="s">
        <v>272</v>
      </c>
      <c r="AG137" s="10" t="s">
        <v>54</v>
      </c>
      <c r="AH137" s="10" t="s">
        <v>114</v>
      </c>
      <c r="AI137" s="10" t="s">
        <v>726</v>
      </c>
      <c r="AJ137" s="10">
        <v>801772792</v>
      </c>
      <c r="AK137" s="10" t="s">
        <v>105</v>
      </c>
      <c r="AL137" s="10"/>
      <c r="AM137" s="10"/>
      <c r="AN137" s="11" t="s">
        <v>390</v>
      </c>
      <c r="AO137" s="10" t="s">
        <v>398</v>
      </c>
      <c r="AP137" s="10" t="s">
        <v>4552</v>
      </c>
      <c r="AQ137" s="10" t="s">
        <v>4535</v>
      </c>
      <c r="AR137" s="2">
        <v>45681</v>
      </c>
      <c r="AS137" s="10">
        <v>13920</v>
      </c>
      <c r="AT137" s="10" t="s">
        <v>48</v>
      </c>
      <c r="AU137" s="10" t="s">
        <v>1105</v>
      </c>
      <c r="AV137" s="36" t="s">
        <v>1130</v>
      </c>
      <c r="AW137" s="1">
        <v>46201</v>
      </c>
    </row>
    <row r="138" spans="1:49" x14ac:dyDescent="0.25">
      <c r="A138" s="9" t="s">
        <v>2758</v>
      </c>
      <c r="B138" s="10" t="s">
        <v>2792</v>
      </c>
      <c r="C138" s="10">
        <v>0</v>
      </c>
      <c r="D138" s="10" t="s">
        <v>91</v>
      </c>
      <c r="E138" s="10"/>
      <c r="F138" s="10"/>
      <c r="G138" s="10"/>
      <c r="H138" s="10" t="s">
        <v>52</v>
      </c>
      <c r="I138" s="10">
        <v>11</v>
      </c>
      <c r="J138" s="10" t="s">
        <v>2826</v>
      </c>
      <c r="K138" s="10" t="s">
        <v>42</v>
      </c>
      <c r="L138" s="10">
        <f>Table1[[#This Row],[ENR]]-Table1[[#This Row],[CREDIT]]</f>
        <v>25462.400000000023</v>
      </c>
      <c r="M138" s="36">
        <v>580000</v>
      </c>
      <c r="N138" s="26">
        <v>605462.4</v>
      </c>
      <c r="O138" s="38">
        <v>242072.17</v>
      </c>
      <c r="P138" s="25">
        <v>363390.23</v>
      </c>
      <c r="Q138" s="25">
        <v>331524.26</v>
      </c>
      <c r="R138" s="10">
        <v>108900</v>
      </c>
      <c r="S138" s="39">
        <v>43960</v>
      </c>
      <c r="T138" s="10" t="s">
        <v>57</v>
      </c>
      <c r="U138" s="10" t="s">
        <v>13</v>
      </c>
      <c r="V138" s="10">
        <v>358000</v>
      </c>
      <c r="W138" s="25">
        <f>Table1[[#This Row],[STAB]]-Table1[[#This Row],[AMOUNT]]</f>
        <v>-314040</v>
      </c>
      <c r="X138" s="10" t="s">
        <v>4601</v>
      </c>
      <c r="Y138" s="10" t="s">
        <v>402</v>
      </c>
      <c r="Z138" s="10" t="s">
        <v>962</v>
      </c>
      <c r="AA138" s="10" t="s">
        <v>162</v>
      </c>
      <c r="AB138" s="36" t="s">
        <v>736</v>
      </c>
      <c r="AC138" s="10"/>
      <c r="AD138" s="9" t="s">
        <v>2860</v>
      </c>
      <c r="AE138" s="10" t="s">
        <v>2894</v>
      </c>
      <c r="AF138" s="10" t="s">
        <v>864</v>
      </c>
      <c r="AG138" s="10" t="s">
        <v>54</v>
      </c>
      <c r="AH138" s="10" t="s">
        <v>1398</v>
      </c>
      <c r="AI138" s="10" t="s">
        <v>162</v>
      </c>
      <c r="AJ138" s="10">
        <v>801772794</v>
      </c>
      <c r="AK138" s="10" t="s">
        <v>361</v>
      </c>
      <c r="AL138" s="10"/>
      <c r="AM138" s="10"/>
      <c r="AN138" s="11" t="s">
        <v>390</v>
      </c>
      <c r="AO138" s="10"/>
      <c r="AP138" s="10"/>
      <c r="AQ138" s="10"/>
      <c r="AR138" s="2">
        <v>45625</v>
      </c>
      <c r="AS138" s="10">
        <v>27500</v>
      </c>
      <c r="AT138" s="10" t="s">
        <v>292</v>
      </c>
      <c r="AU138" s="10" t="s">
        <v>2622</v>
      </c>
      <c r="AV138" s="36" t="s">
        <v>2928</v>
      </c>
      <c r="AW138" s="1">
        <v>46202</v>
      </c>
    </row>
    <row r="139" spans="1:49" x14ac:dyDescent="0.25">
      <c r="A139" s="9" t="s">
        <v>2775</v>
      </c>
      <c r="B139" s="10" t="s">
        <v>2809</v>
      </c>
      <c r="C139" s="10">
        <v>0</v>
      </c>
      <c r="D139" s="10" t="s">
        <v>91</v>
      </c>
      <c r="E139" s="10"/>
      <c r="F139" s="10"/>
      <c r="G139" s="10"/>
      <c r="H139" s="10" t="s">
        <v>52</v>
      </c>
      <c r="I139" s="10">
        <v>11</v>
      </c>
      <c r="J139" s="10" t="s">
        <v>2843</v>
      </c>
      <c r="K139" s="10" t="s">
        <v>42</v>
      </c>
      <c r="L139" s="10">
        <f>Table1[[#This Row],[ENR]]-Table1[[#This Row],[CREDIT]]</f>
        <v>38847.150000000023</v>
      </c>
      <c r="M139" s="36">
        <v>500000</v>
      </c>
      <c r="N139" s="26">
        <v>538847.15</v>
      </c>
      <c r="O139" s="38">
        <v>92843.69</v>
      </c>
      <c r="P139" s="25">
        <v>446003.46</v>
      </c>
      <c r="Q139" s="25">
        <v>403823.1</v>
      </c>
      <c r="R139" s="10">
        <v>121000</v>
      </c>
      <c r="S139" s="39">
        <v>47279.97</v>
      </c>
      <c r="T139" s="10" t="s">
        <v>57</v>
      </c>
      <c r="U139" s="10" t="s">
        <v>14</v>
      </c>
      <c r="V139" s="25">
        <v>47280</v>
      </c>
      <c r="W139" s="25">
        <f>Table1[[#This Row],[STAB]]-Table1[[#This Row],[AMOUNT]]</f>
        <v>-2.9999999998835847E-2</v>
      </c>
      <c r="X139" s="10" t="s">
        <v>4923</v>
      </c>
      <c r="Y139" s="10" t="s">
        <v>402</v>
      </c>
      <c r="Z139" s="10" t="s">
        <v>403</v>
      </c>
      <c r="AA139" s="10" t="s">
        <v>162</v>
      </c>
      <c r="AB139" s="36" t="s">
        <v>733</v>
      </c>
      <c r="AC139" s="10"/>
      <c r="AD139" s="9" t="s">
        <v>2877</v>
      </c>
      <c r="AE139" s="10" t="s">
        <v>2910</v>
      </c>
      <c r="AF139" s="10" t="s">
        <v>146</v>
      </c>
      <c r="AG139" s="10" t="s">
        <v>54</v>
      </c>
      <c r="AH139" s="10" t="s">
        <v>4529</v>
      </c>
      <c r="AI139" s="10" t="s">
        <v>365</v>
      </c>
      <c r="AJ139" s="10">
        <v>802824019</v>
      </c>
      <c r="AK139" s="10" t="s">
        <v>360</v>
      </c>
      <c r="AL139" s="10"/>
      <c r="AM139" s="10"/>
      <c r="AN139" s="11" t="s">
        <v>390</v>
      </c>
      <c r="AO139" s="10" t="s">
        <v>398</v>
      </c>
      <c r="AP139" s="10" t="s">
        <v>4648</v>
      </c>
      <c r="AQ139" s="10" t="s">
        <v>4601</v>
      </c>
      <c r="AR139" s="2">
        <v>45892</v>
      </c>
      <c r="AS139" s="10">
        <v>85226.32</v>
      </c>
      <c r="AT139" s="10" t="s">
        <v>832</v>
      </c>
      <c r="AU139" s="10" t="s">
        <v>2622</v>
      </c>
      <c r="AV139" s="36" t="s">
        <v>2945</v>
      </c>
      <c r="AW139" s="1">
        <v>46202</v>
      </c>
    </row>
    <row r="140" spans="1:49" x14ac:dyDescent="0.25">
      <c r="A140" s="40" t="s">
        <v>764</v>
      </c>
      <c r="B140" s="11" t="s">
        <v>780</v>
      </c>
      <c r="C140" s="10">
        <v>0</v>
      </c>
      <c r="D140" s="10" t="s">
        <v>91</v>
      </c>
      <c r="E140" s="11"/>
      <c r="F140" s="11"/>
      <c r="G140" s="11"/>
      <c r="H140" s="10" t="s">
        <v>52</v>
      </c>
      <c r="I140" s="11">
        <v>11</v>
      </c>
      <c r="J140" s="11" t="s">
        <v>796</v>
      </c>
      <c r="K140" s="11" t="s">
        <v>42</v>
      </c>
      <c r="L140" s="11">
        <f>Table1[[#This Row],[ENR]]-Table1[[#This Row],[CREDIT]]</f>
        <v>35858.270000000019</v>
      </c>
      <c r="M140" s="41">
        <v>480000</v>
      </c>
      <c r="N140" s="42">
        <v>515858.27</v>
      </c>
      <c r="O140" s="43" t="s">
        <v>43</v>
      </c>
      <c r="P140" s="44">
        <v>515858.27</v>
      </c>
      <c r="Q140" s="44">
        <v>479999.86</v>
      </c>
      <c r="R140" s="11">
        <v>136710</v>
      </c>
      <c r="S140" s="45">
        <v>91910</v>
      </c>
      <c r="T140" s="10" t="s">
        <v>44</v>
      </c>
      <c r="U140" s="10" t="s">
        <v>45</v>
      </c>
      <c r="V140" s="10">
        <v>0</v>
      </c>
      <c r="W140" s="44">
        <f>Table1[[#This Row],[STAB]]-Table1[[#This Row],[AMOUNT]]</f>
        <v>91910</v>
      </c>
      <c r="X140" s="10">
        <v>0</v>
      </c>
      <c r="Y140" s="10" t="s">
        <v>79</v>
      </c>
      <c r="Z140" s="10" t="s">
        <v>403</v>
      </c>
      <c r="AA140" s="10" t="s">
        <v>162</v>
      </c>
      <c r="AB140" s="36" t="s">
        <v>733</v>
      </c>
      <c r="AC140" s="11"/>
      <c r="AD140" s="40" t="s">
        <v>813</v>
      </c>
      <c r="AE140" s="11" t="s">
        <v>830</v>
      </c>
      <c r="AF140" s="11" t="s">
        <v>85</v>
      </c>
      <c r="AG140" s="11" t="s">
        <v>54</v>
      </c>
      <c r="AH140" s="10" t="s">
        <v>89</v>
      </c>
      <c r="AI140" s="10" t="s">
        <v>106</v>
      </c>
      <c r="AJ140" s="10">
        <v>802370852</v>
      </c>
      <c r="AK140" s="10" t="s">
        <v>105</v>
      </c>
      <c r="AL140" s="11"/>
      <c r="AM140" s="11"/>
      <c r="AN140" s="11" t="s">
        <v>390</v>
      </c>
      <c r="AO140" s="11" t="s">
        <v>392</v>
      </c>
      <c r="AP140" s="11" t="s">
        <v>4985</v>
      </c>
      <c r="AQ140" s="11" t="s">
        <v>4923</v>
      </c>
      <c r="AR140" s="46">
        <v>45959</v>
      </c>
      <c r="AS140" s="11">
        <v>100000</v>
      </c>
      <c r="AT140" s="11" t="s">
        <v>157</v>
      </c>
      <c r="AU140" s="10" t="s">
        <v>834</v>
      </c>
      <c r="AV140" s="41" t="s">
        <v>850</v>
      </c>
      <c r="AW140" s="47">
        <v>46202</v>
      </c>
    </row>
    <row r="141" spans="1:49" x14ac:dyDescent="0.25">
      <c r="A141" s="9" t="s">
        <v>749</v>
      </c>
      <c r="B141" s="10" t="s">
        <v>429</v>
      </c>
      <c r="C141" s="10">
        <v>0</v>
      </c>
      <c r="D141" s="10" t="s">
        <v>91</v>
      </c>
      <c r="E141" s="10">
        <v>1</v>
      </c>
      <c r="F141" s="10"/>
      <c r="G141" s="10"/>
      <c r="H141" s="10" t="s">
        <v>52</v>
      </c>
      <c r="I141" s="10">
        <v>11</v>
      </c>
      <c r="J141" s="10" t="s">
        <v>447</v>
      </c>
      <c r="K141" s="10" t="s">
        <v>42</v>
      </c>
      <c r="L141" s="10">
        <f>Table1[[#This Row],[ENR]]-Table1[[#This Row],[CREDIT]]</f>
        <v>-21594.239999999991</v>
      </c>
      <c r="M141" s="36">
        <v>500000</v>
      </c>
      <c r="N141" s="26">
        <v>478405.76</v>
      </c>
      <c r="O141" s="38" t="s">
        <v>43</v>
      </c>
      <c r="P141" s="25">
        <v>478405.76</v>
      </c>
      <c r="Q141" s="25">
        <v>435845.16</v>
      </c>
      <c r="R141" s="10">
        <v>92140</v>
      </c>
      <c r="S141" s="39">
        <v>29340</v>
      </c>
      <c r="T141" s="10" t="s">
        <v>44</v>
      </c>
      <c r="U141" s="10" t="s">
        <v>45</v>
      </c>
      <c r="V141" s="10">
        <v>0</v>
      </c>
      <c r="W141" s="25">
        <f>Table1[[#This Row],[STAB]]-Table1[[#This Row],[AMOUNT]]</f>
        <v>29340</v>
      </c>
      <c r="X141" s="10">
        <v>0</v>
      </c>
      <c r="Y141" s="10" t="s">
        <v>79</v>
      </c>
      <c r="Z141" s="10" t="s">
        <v>963</v>
      </c>
      <c r="AA141" s="10" t="s">
        <v>162</v>
      </c>
      <c r="AB141" s="10" t="s">
        <v>735</v>
      </c>
      <c r="AC141" s="10"/>
      <c r="AD141" s="9" t="s">
        <v>798</v>
      </c>
      <c r="AE141" s="10" t="s">
        <v>815</v>
      </c>
      <c r="AF141" s="10" t="s">
        <v>111</v>
      </c>
      <c r="AG141" s="10" t="s">
        <v>53</v>
      </c>
      <c r="AH141" s="10" t="s">
        <v>92</v>
      </c>
      <c r="AI141" s="10" t="s">
        <v>113</v>
      </c>
      <c r="AJ141" s="10">
        <v>802388289</v>
      </c>
      <c r="AK141" s="10" t="s">
        <v>104</v>
      </c>
      <c r="AL141" s="10"/>
      <c r="AM141" s="10"/>
      <c r="AN141" s="11" t="s">
        <v>390</v>
      </c>
      <c r="AO141" s="10" t="s">
        <v>531</v>
      </c>
      <c r="AP141" s="10" t="s">
        <v>2001</v>
      </c>
      <c r="AQ141" s="10" t="s">
        <v>1989</v>
      </c>
      <c r="AR141" s="2">
        <v>46141</v>
      </c>
      <c r="AS141" s="10">
        <v>22033.11</v>
      </c>
      <c r="AT141" s="10" t="s">
        <v>832</v>
      </c>
      <c r="AU141" s="10" t="s">
        <v>834</v>
      </c>
      <c r="AV141" s="36" t="s">
        <v>835</v>
      </c>
      <c r="AW141" s="1">
        <v>46202</v>
      </c>
    </row>
    <row r="142" spans="1:49" x14ac:dyDescent="0.25">
      <c r="A142" s="9" t="s">
        <v>1157</v>
      </c>
      <c r="B142" s="10" t="s">
        <v>1194</v>
      </c>
      <c r="C142" s="10">
        <v>0</v>
      </c>
      <c r="D142" s="10" t="s">
        <v>91</v>
      </c>
      <c r="E142" s="10"/>
      <c r="F142" s="10"/>
      <c r="G142" s="10" t="s">
        <v>4962</v>
      </c>
      <c r="H142" s="10" t="s">
        <v>52</v>
      </c>
      <c r="I142" s="10">
        <v>11</v>
      </c>
      <c r="J142" s="10" t="s">
        <v>1231</v>
      </c>
      <c r="K142" s="10" t="s">
        <v>42</v>
      </c>
      <c r="L142" s="10">
        <f>Table1[[#This Row],[ENR]]-Table1[[#This Row],[CREDIT]]</f>
        <v>69897.87</v>
      </c>
      <c r="M142" s="36">
        <v>350000</v>
      </c>
      <c r="N142" s="26">
        <v>419897.87</v>
      </c>
      <c r="O142" s="38">
        <v>202031.45</v>
      </c>
      <c r="P142" s="25">
        <v>217866.42</v>
      </c>
      <c r="Q142" s="25">
        <v>202584.95999999999</v>
      </c>
      <c r="R142" s="10">
        <v>64350</v>
      </c>
      <c r="S142" s="39">
        <v>36530</v>
      </c>
      <c r="T142" s="10" t="s">
        <v>57</v>
      </c>
      <c r="U142" s="10" t="s">
        <v>13</v>
      </c>
      <c r="V142" s="25">
        <v>217866.42</v>
      </c>
      <c r="W142" s="25">
        <f>Table1[[#This Row],[STAB]]-Table1[[#This Row],[AMOUNT]]</f>
        <v>-181336.42</v>
      </c>
      <c r="X142" s="10" t="s">
        <v>4566</v>
      </c>
      <c r="Y142" s="10" t="s">
        <v>402</v>
      </c>
      <c r="Z142" s="10" t="s">
        <v>403</v>
      </c>
      <c r="AA142" s="10" t="s">
        <v>162</v>
      </c>
      <c r="AB142" s="10" t="s">
        <v>735</v>
      </c>
      <c r="AC142" s="10"/>
      <c r="AD142" s="9" t="s">
        <v>1268</v>
      </c>
      <c r="AE142" s="10" t="s">
        <v>1305</v>
      </c>
      <c r="AF142" s="10" t="s">
        <v>274</v>
      </c>
      <c r="AG142" s="10" t="s">
        <v>53</v>
      </c>
      <c r="AH142" s="10" t="s">
        <v>55</v>
      </c>
      <c r="AI142" s="10" t="s">
        <v>365</v>
      </c>
      <c r="AJ142" s="10">
        <v>802824019</v>
      </c>
      <c r="AK142" s="10" t="s">
        <v>360</v>
      </c>
      <c r="AL142" s="10"/>
      <c r="AM142" s="10"/>
      <c r="AN142" s="11" t="s">
        <v>390</v>
      </c>
      <c r="AO142" s="10"/>
      <c r="AP142" s="10"/>
      <c r="AQ142" s="10"/>
      <c r="AR142" s="2">
        <v>45939</v>
      </c>
      <c r="AS142" s="10">
        <v>54400</v>
      </c>
      <c r="AT142" s="10" t="s">
        <v>157</v>
      </c>
      <c r="AU142" s="10" t="s">
        <v>1105</v>
      </c>
      <c r="AV142" s="36" t="s">
        <v>1347</v>
      </c>
      <c r="AW142" s="1">
        <v>46202</v>
      </c>
    </row>
    <row r="143" spans="1:49" x14ac:dyDescent="0.25">
      <c r="A143" s="9" t="s">
        <v>765</v>
      </c>
      <c r="B143" s="10" t="s">
        <v>781</v>
      </c>
      <c r="C143" s="10">
        <v>0</v>
      </c>
      <c r="D143" s="10" t="s">
        <v>91</v>
      </c>
      <c r="E143" s="10"/>
      <c r="F143" s="10"/>
      <c r="G143" s="10"/>
      <c r="H143" s="10" t="s">
        <v>52</v>
      </c>
      <c r="I143" s="10">
        <v>11</v>
      </c>
      <c r="J143" s="10" t="s">
        <v>797</v>
      </c>
      <c r="K143" s="10" t="s">
        <v>42</v>
      </c>
      <c r="L143" s="10">
        <f>Table1[[#This Row],[ENR]]-Table1[[#This Row],[CREDIT]]</f>
        <v>-46282.539999999979</v>
      </c>
      <c r="M143" s="36">
        <v>460000</v>
      </c>
      <c r="N143" s="26">
        <v>413717.46</v>
      </c>
      <c r="O143" s="38" t="s">
        <v>43</v>
      </c>
      <c r="P143" s="25">
        <v>413717.46</v>
      </c>
      <c r="Q143" s="25">
        <v>374822.29</v>
      </c>
      <c r="R143" s="10">
        <v>61530</v>
      </c>
      <c r="S143" s="39">
        <v>23830</v>
      </c>
      <c r="T143" s="10" t="s">
        <v>57</v>
      </c>
      <c r="U143" s="10" t="s">
        <v>13</v>
      </c>
      <c r="V143" s="10">
        <v>61550</v>
      </c>
      <c r="W143" s="25">
        <f>Table1[[#This Row],[STAB]]-Table1[[#This Row],[AMOUNT]]</f>
        <v>-37720</v>
      </c>
      <c r="X143" s="10" t="s">
        <v>4619</v>
      </c>
      <c r="Y143" s="10" t="s">
        <v>402</v>
      </c>
      <c r="Z143" s="10" t="s">
        <v>1968</v>
      </c>
      <c r="AA143" s="10" t="s">
        <v>162</v>
      </c>
      <c r="AB143" s="36" t="s">
        <v>734</v>
      </c>
      <c r="AC143" s="10"/>
      <c r="AD143" s="9" t="s">
        <v>814</v>
      </c>
      <c r="AE143" s="10" t="s">
        <v>831</v>
      </c>
      <c r="AF143" s="10" t="s">
        <v>146</v>
      </c>
      <c r="AG143" s="10" t="s">
        <v>54</v>
      </c>
      <c r="AH143" s="10" t="s">
        <v>358</v>
      </c>
      <c r="AI143" s="10" t="s">
        <v>365</v>
      </c>
      <c r="AJ143" s="10">
        <v>802824019</v>
      </c>
      <c r="AK143" s="10" t="s">
        <v>360</v>
      </c>
      <c r="AL143" s="10"/>
      <c r="AM143" s="10"/>
      <c r="AN143" s="11" t="s">
        <v>390</v>
      </c>
      <c r="AO143" s="10"/>
      <c r="AP143" s="10"/>
      <c r="AQ143" s="10"/>
      <c r="AR143" s="2">
        <v>45483</v>
      </c>
      <c r="AS143" s="10">
        <v>24780</v>
      </c>
      <c r="AT143" s="10" t="s">
        <v>157</v>
      </c>
      <c r="AU143" s="10" t="s">
        <v>834</v>
      </c>
      <c r="AV143" s="36" t="s">
        <v>851</v>
      </c>
      <c r="AW143" s="1">
        <v>46202</v>
      </c>
    </row>
    <row r="144" spans="1:49" x14ac:dyDescent="0.25">
      <c r="A144" s="9" t="s">
        <v>2750</v>
      </c>
      <c r="B144" s="10" t="s">
        <v>2784</v>
      </c>
      <c r="C144" s="10">
        <v>0</v>
      </c>
      <c r="D144" s="10" t="s">
        <v>91</v>
      </c>
      <c r="E144" s="10"/>
      <c r="F144" s="10" t="s">
        <v>112</v>
      </c>
      <c r="G144" s="10" t="s">
        <v>4969</v>
      </c>
      <c r="H144" s="10" t="s">
        <v>52</v>
      </c>
      <c r="I144" s="10">
        <v>11</v>
      </c>
      <c r="J144" s="10" t="s">
        <v>2818</v>
      </c>
      <c r="K144" s="10" t="s">
        <v>42</v>
      </c>
      <c r="L144" s="10">
        <f>Table1[[#This Row],[ENR]]-Table1[[#This Row],[CREDIT]]</f>
        <v>102805.78000000003</v>
      </c>
      <c r="M144" s="36">
        <v>280000</v>
      </c>
      <c r="N144" s="26">
        <v>382805.78</v>
      </c>
      <c r="O144" s="38">
        <v>89576.54</v>
      </c>
      <c r="P144" s="25">
        <v>293229.24</v>
      </c>
      <c r="Q144" s="25">
        <v>267775.77</v>
      </c>
      <c r="R144" s="10">
        <v>62980</v>
      </c>
      <c r="S144" s="39">
        <v>18420</v>
      </c>
      <c r="T144" s="10" t="s">
        <v>57</v>
      </c>
      <c r="U144" s="10" t="s">
        <v>14</v>
      </c>
      <c r="V144" s="10">
        <v>0</v>
      </c>
      <c r="W144" s="25">
        <f>Table1[[#This Row],[STAB]]-Table1[[#This Row],[AMOUNT]]</f>
        <v>18420</v>
      </c>
      <c r="X144" s="10" t="s">
        <v>4923</v>
      </c>
      <c r="Y144" s="10" t="s">
        <v>402</v>
      </c>
      <c r="Z144" s="10">
        <v>0</v>
      </c>
      <c r="AA144" s="10" t="s">
        <v>162</v>
      </c>
      <c r="AB144" s="10" t="s">
        <v>735</v>
      </c>
      <c r="AC144" s="10"/>
      <c r="AD144" s="9" t="s">
        <v>2852</v>
      </c>
      <c r="AE144" s="10" t="s">
        <v>2886</v>
      </c>
      <c r="AF144" s="10" t="s">
        <v>1319</v>
      </c>
      <c r="AG144" s="10" t="s">
        <v>54</v>
      </c>
      <c r="AH144" s="10" t="s">
        <v>93</v>
      </c>
      <c r="AI144" s="10" t="s">
        <v>364</v>
      </c>
      <c r="AJ144" s="10">
        <v>802663344</v>
      </c>
      <c r="AK144" s="10" t="s">
        <v>105</v>
      </c>
      <c r="AL144" s="10"/>
      <c r="AM144" s="10"/>
      <c r="AN144" s="11" t="s">
        <v>390</v>
      </c>
      <c r="AO144" s="10" t="s">
        <v>392</v>
      </c>
      <c r="AP144" s="10" t="s">
        <v>4549</v>
      </c>
      <c r="AQ144" s="10" t="s">
        <v>4535</v>
      </c>
      <c r="AR144" s="2">
        <v>45873</v>
      </c>
      <c r="AS144" s="10">
        <v>21000</v>
      </c>
      <c r="AT144" s="10" t="s">
        <v>937</v>
      </c>
      <c r="AU144" s="10" t="s">
        <v>2622</v>
      </c>
      <c r="AV144" s="36" t="s">
        <v>2920</v>
      </c>
      <c r="AW144" s="1">
        <v>46202</v>
      </c>
    </row>
    <row r="145" spans="1:49" x14ac:dyDescent="0.25">
      <c r="A145" s="9" t="s">
        <v>1144</v>
      </c>
      <c r="B145" s="10" t="s">
        <v>1181</v>
      </c>
      <c r="C145" s="10">
        <v>0</v>
      </c>
      <c r="D145" s="10" t="s">
        <v>91</v>
      </c>
      <c r="E145" s="10"/>
      <c r="F145" s="10"/>
      <c r="G145" s="10"/>
      <c r="H145" s="10" t="s">
        <v>52</v>
      </c>
      <c r="I145" s="10">
        <v>11</v>
      </c>
      <c r="J145" s="10" t="s">
        <v>1218</v>
      </c>
      <c r="K145" s="10" t="s">
        <v>42</v>
      </c>
      <c r="L145" s="10">
        <f>Table1[[#This Row],[ENR]]-Table1[[#This Row],[CREDIT]]</f>
        <v>164927.33000000002</v>
      </c>
      <c r="M145" s="36">
        <v>190000</v>
      </c>
      <c r="N145" s="26">
        <v>354927.33</v>
      </c>
      <c r="O145" s="38">
        <v>157912.76</v>
      </c>
      <c r="P145" s="25">
        <v>197014.57</v>
      </c>
      <c r="Q145" s="25">
        <v>180484.34</v>
      </c>
      <c r="R145" s="10">
        <v>77790</v>
      </c>
      <c r="S145" s="39">
        <v>41738.980000000003</v>
      </c>
      <c r="T145" s="10" t="s">
        <v>57</v>
      </c>
      <c r="U145" s="10" t="s">
        <v>13</v>
      </c>
      <c r="V145" s="10">
        <v>197014.57</v>
      </c>
      <c r="W145" s="25">
        <f>Table1[[#This Row],[STAB]]-Table1[[#This Row],[AMOUNT]]</f>
        <v>-155275.59</v>
      </c>
      <c r="X145" s="10" t="s">
        <v>4566</v>
      </c>
      <c r="Y145" s="10" t="s">
        <v>396</v>
      </c>
      <c r="Z145" s="10" t="s">
        <v>403</v>
      </c>
      <c r="AA145" s="10" t="s">
        <v>162</v>
      </c>
      <c r="AB145" s="10" t="s">
        <v>735</v>
      </c>
      <c r="AC145" s="10"/>
      <c r="AD145" s="9" t="s">
        <v>1255</v>
      </c>
      <c r="AE145" s="10" t="s">
        <v>1292</v>
      </c>
      <c r="AF145" s="10" t="s">
        <v>286</v>
      </c>
      <c r="AG145" s="10" t="s">
        <v>54</v>
      </c>
      <c r="AH145" s="10" t="s">
        <v>86</v>
      </c>
      <c r="AI145" s="10" t="s">
        <v>369</v>
      </c>
      <c r="AJ145" s="10">
        <v>802823180</v>
      </c>
      <c r="AK145" s="10" t="s">
        <v>105</v>
      </c>
      <c r="AL145" s="10"/>
      <c r="AM145" s="10"/>
      <c r="AN145" s="11" t="s">
        <v>390</v>
      </c>
      <c r="AO145" s="10"/>
      <c r="AP145" s="10"/>
      <c r="AQ145" s="10"/>
      <c r="AR145" s="2">
        <v>46167</v>
      </c>
      <c r="AS145" s="10">
        <v>2851.02</v>
      </c>
      <c r="AT145" s="10" t="s">
        <v>157</v>
      </c>
      <c r="AU145" s="10" t="s">
        <v>1105</v>
      </c>
      <c r="AV145" s="36" t="s">
        <v>1334</v>
      </c>
      <c r="AW145" s="1">
        <v>46202</v>
      </c>
    </row>
    <row r="146" spans="1:49" x14ac:dyDescent="0.25">
      <c r="A146" s="9" t="s">
        <v>2752</v>
      </c>
      <c r="B146" s="10" t="s">
        <v>2786</v>
      </c>
      <c r="C146" s="10">
        <v>0</v>
      </c>
      <c r="D146" s="10" t="s">
        <v>91</v>
      </c>
      <c r="E146" s="10"/>
      <c r="F146" s="10"/>
      <c r="G146" s="10"/>
      <c r="H146" s="10" t="s">
        <v>52</v>
      </c>
      <c r="I146" s="10">
        <v>11</v>
      </c>
      <c r="J146" s="10" t="s">
        <v>2820</v>
      </c>
      <c r="K146" s="10" t="s">
        <v>42</v>
      </c>
      <c r="L146" s="10">
        <f>Table1[[#This Row],[ENR]]-Table1[[#This Row],[CREDIT]]</f>
        <v>8188.25</v>
      </c>
      <c r="M146" s="36">
        <v>340000</v>
      </c>
      <c r="N146" s="26">
        <v>348188.25</v>
      </c>
      <c r="O146" s="38">
        <v>278460.74</v>
      </c>
      <c r="P146" s="25">
        <v>69727.509999999995</v>
      </c>
      <c r="Q146" s="25">
        <v>53006.9</v>
      </c>
      <c r="R146" s="10">
        <v>41980</v>
      </c>
      <c r="S146" s="39">
        <v>18270</v>
      </c>
      <c r="T146" s="10" t="s">
        <v>44</v>
      </c>
      <c r="U146" s="10" t="s">
        <v>45</v>
      </c>
      <c r="V146" s="10">
        <v>0</v>
      </c>
      <c r="W146" s="25">
        <f>Table1[[#This Row],[STAB]]-Table1[[#This Row],[AMOUNT]]</f>
        <v>18270</v>
      </c>
      <c r="X146" s="10">
        <v>0</v>
      </c>
      <c r="Y146" s="10" t="s">
        <v>79</v>
      </c>
      <c r="Z146" s="10">
        <v>0</v>
      </c>
      <c r="AA146" s="10" t="s">
        <v>162</v>
      </c>
      <c r="AB146" s="36" t="s">
        <v>734</v>
      </c>
      <c r="AC146" s="10"/>
      <c r="AD146" s="9" t="s">
        <v>2854</v>
      </c>
      <c r="AE146" s="10" t="s">
        <v>2888</v>
      </c>
      <c r="AF146" s="10" t="s">
        <v>687</v>
      </c>
      <c r="AG146" s="10" t="s">
        <v>53</v>
      </c>
      <c r="AH146" s="10" t="s">
        <v>83</v>
      </c>
      <c r="AI146" s="10" t="s">
        <v>728</v>
      </c>
      <c r="AJ146" s="10">
        <v>802349062</v>
      </c>
      <c r="AK146" s="10" t="s">
        <v>104</v>
      </c>
      <c r="AL146" s="10"/>
      <c r="AM146" s="10"/>
      <c r="AN146" s="11" t="s">
        <v>390</v>
      </c>
      <c r="AO146" s="10" t="s">
        <v>392</v>
      </c>
      <c r="AP146" s="10" t="s">
        <v>4608</v>
      </c>
      <c r="AQ146" s="10" t="s">
        <v>4591</v>
      </c>
      <c r="AR146" s="2">
        <v>46007</v>
      </c>
      <c r="AS146" s="10">
        <v>80800.87</v>
      </c>
      <c r="AT146" s="10" t="s">
        <v>48</v>
      </c>
      <c r="AU146" s="10" t="s">
        <v>2622</v>
      </c>
      <c r="AV146" s="36" t="s">
        <v>2922</v>
      </c>
      <c r="AW146" s="1">
        <v>46202</v>
      </c>
    </row>
    <row r="147" spans="1:49" x14ac:dyDescent="0.25">
      <c r="A147" s="9" t="s">
        <v>1167</v>
      </c>
      <c r="B147" s="10" t="s">
        <v>1204</v>
      </c>
      <c r="C147" s="10">
        <v>0</v>
      </c>
      <c r="D147" s="10" t="s">
        <v>91</v>
      </c>
      <c r="E147" s="10"/>
      <c r="F147" s="10"/>
      <c r="G147" s="10"/>
      <c r="H147" s="10" t="s">
        <v>52</v>
      </c>
      <c r="I147" s="10">
        <v>11</v>
      </c>
      <c r="J147" s="10" t="s">
        <v>1241</v>
      </c>
      <c r="K147" s="10" t="s">
        <v>42</v>
      </c>
      <c r="L147" s="10">
        <f>Table1[[#This Row],[ENR]]-Table1[[#This Row],[CREDIT]]</f>
        <v>-2045.2999999999884</v>
      </c>
      <c r="M147" s="36">
        <v>300000</v>
      </c>
      <c r="N147" s="26">
        <v>297954.7</v>
      </c>
      <c r="O147" s="38" t="s">
        <v>43</v>
      </c>
      <c r="P147" s="25">
        <v>297954.7</v>
      </c>
      <c r="Q147" s="25">
        <v>279545.14</v>
      </c>
      <c r="R147" s="10">
        <v>45970</v>
      </c>
      <c r="S147" s="39">
        <v>17960</v>
      </c>
      <c r="T147" s="10" t="s">
        <v>57</v>
      </c>
      <c r="U147" s="10" t="s">
        <v>13</v>
      </c>
      <c r="V147" s="10">
        <v>47000</v>
      </c>
      <c r="W147" s="25">
        <f>Table1[[#This Row],[STAB]]-Table1[[#This Row],[AMOUNT]]</f>
        <v>-29040</v>
      </c>
      <c r="X147" s="10" t="s">
        <v>4601</v>
      </c>
      <c r="Y147" s="10" t="s">
        <v>396</v>
      </c>
      <c r="Z147" s="10" t="s">
        <v>962</v>
      </c>
      <c r="AA147" s="10" t="s">
        <v>162</v>
      </c>
      <c r="AB147" s="36" t="s">
        <v>736</v>
      </c>
      <c r="AC147" s="10"/>
      <c r="AD147" s="9" t="s">
        <v>1278</v>
      </c>
      <c r="AE147" s="10" t="s">
        <v>1315</v>
      </c>
      <c r="AF147" s="10" t="s">
        <v>1319</v>
      </c>
      <c r="AG147" s="10" t="s">
        <v>54</v>
      </c>
      <c r="AH147" s="10" t="s">
        <v>93</v>
      </c>
      <c r="AI147" s="10" t="s">
        <v>364</v>
      </c>
      <c r="AJ147" s="10">
        <v>802663344</v>
      </c>
      <c r="AK147" s="10" t="s">
        <v>105</v>
      </c>
      <c r="AL147" s="10"/>
      <c r="AM147" s="10"/>
      <c r="AN147" s="11" t="s">
        <v>390</v>
      </c>
      <c r="AO147" s="10"/>
      <c r="AP147" s="10"/>
      <c r="AQ147" s="10"/>
      <c r="AR147" s="2">
        <v>46099</v>
      </c>
      <c r="AS147" s="10">
        <v>100000</v>
      </c>
      <c r="AT147" s="10" t="s">
        <v>832</v>
      </c>
      <c r="AU147" s="10" t="s">
        <v>1105</v>
      </c>
      <c r="AV147" s="36" t="s">
        <v>1357</v>
      </c>
      <c r="AW147" s="1">
        <v>46202</v>
      </c>
    </row>
    <row r="148" spans="1:49" x14ac:dyDescent="0.25">
      <c r="A148" s="9" t="s">
        <v>2781</v>
      </c>
      <c r="B148" s="10" t="s">
        <v>2815</v>
      </c>
      <c r="C148" s="10">
        <v>0</v>
      </c>
      <c r="D148" s="10" t="s">
        <v>91</v>
      </c>
      <c r="E148" s="10"/>
      <c r="F148" s="10"/>
      <c r="G148" s="10"/>
      <c r="H148" s="10" t="s">
        <v>52</v>
      </c>
      <c r="I148" s="10">
        <v>11</v>
      </c>
      <c r="J148" s="10" t="s">
        <v>2849</v>
      </c>
      <c r="K148" s="10" t="s">
        <v>42</v>
      </c>
      <c r="L148" s="10">
        <f>Table1[[#This Row],[ENR]]-Table1[[#This Row],[CREDIT]]</f>
        <v>17687.080000000016</v>
      </c>
      <c r="M148" s="36">
        <v>280000</v>
      </c>
      <c r="N148" s="26">
        <v>297687.08</v>
      </c>
      <c r="O148" s="38">
        <v>62489.29</v>
      </c>
      <c r="P148" s="25">
        <v>235197.79</v>
      </c>
      <c r="Q148" s="25">
        <v>216243.56</v>
      </c>
      <c r="R148" s="10">
        <v>52830</v>
      </c>
      <c r="S148" s="39">
        <v>28720</v>
      </c>
      <c r="T148" s="10" t="s">
        <v>57</v>
      </c>
      <c r="U148" s="10" t="s">
        <v>13</v>
      </c>
      <c r="V148" s="10">
        <v>235197.79</v>
      </c>
      <c r="W148" s="25">
        <f>Table1[[#This Row],[STAB]]-Table1[[#This Row],[AMOUNT]]</f>
        <v>-206477.79</v>
      </c>
      <c r="X148" s="10" t="s">
        <v>4591</v>
      </c>
      <c r="Y148" s="10" t="s">
        <v>402</v>
      </c>
      <c r="Z148" s="10" t="s">
        <v>403</v>
      </c>
      <c r="AA148" s="10" t="s">
        <v>162</v>
      </c>
      <c r="AB148" s="36" t="s">
        <v>733</v>
      </c>
      <c r="AC148" s="10"/>
      <c r="AD148" s="9" t="s">
        <v>2883</v>
      </c>
      <c r="AE148" s="10" t="s">
        <v>2916</v>
      </c>
      <c r="AF148" s="10" t="s">
        <v>111</v>
      </c>
      <c r="AG148" s="10" t="s">
        <v>53</v>
      </c>
      <c r="AH148" s="10" t="s">
        <v>92</v>
      </c>
      <c r="AI148" s="10" t="s">
        <v>113</v>
      </c>
      <c r="AJ148" s="10">
        <v>802388289</v>
      </c>
      <c r="AK148" s="10" t="s">
        <v>104</v>
      </c>
      <c r="AL148" s="10"/>
      <c r="AM148" s="10"/>
      <c r="AN148" s="11" t="s">
        <v>390</v>
      </c>
      <c r="AO148" s="10"/>
      <c r="AP148" s="10"/>
      <c r="AQ148" s="10"/>
      <c r="AR148" s="2">
        <v>46108</v>
      </c>
      <c r="AS148" s="10">
        <v>25000</v>
      </c>
      <c r="AT148" s="10" t="s">
        <v>96</v>
      </c>
      <c r="AU148" s="10" t="s">
        <v>2622</v>
      </c>
      <c r="AV148" s="36" t="s">
        <v>2951</v>
      </c>
      <c r="AW148" s="1">
        <v>46202</v>
      </c>
    </row>
    <row r="149" spans="1:49" x14ac:dyDescent="0.25">
      <c r="A149" s="9" t="s">
        <v>1139</v>
      </c>
      <c r="B149" s="10" t="s">
        <v>1176</v>
      </c>
      <c r="C149" s="10">
        <v>0</v>
      </c>
      <c r="D149" s="10" t="s">
        <v>95</v>
      </c>
      <c r="E149" s="10">
        <v>1</v>
      </c>
      <c r="F149" s="10" t="s">
        <v>112</v>
      </c>
      <c r="G149" s="10" t="s">
        <v>737</v>
      </c>
      <c r="H149" s="10" t="s">
        <v>52</v>
      </c>
      <c r="I149" s="10">
        <v>11</v>
      </c>
      <c r="J149" s="10" t="s">
        <v>1213</v>
      </c>
      <c r="K149" s="10" t="s">
        <v>624</v>
      </c>
      <c r="L149" s="10">
        <f>Table1[[#This Row],[ENR]]-Table1[[#This Row],[CREDIT]]</f>
        <v>-239220.8</v>
      </c>
      <c r="M149" s="36">
        <v>520000</v>
      </c>
      <c r="N149" s="26">
        <v>280779.2</v>
      </c>
      <c r="O149" s="38" t="s">
        <v>43</v>
      </c>
      <c r="P149" s="25">
        <v>280779.2</v>
      </c>
      <c r="Q149" s="25">
        <v>267715.53000000003</v>
      </c>
      <c r="R149" s="10">
        <v>218830</v>
      </c>
      <c r="S149" s="39">
        <v>202500</v>
      </c>
      <c r="T149" s="10" t="s">
        <v>44</v>
      </c>
      <c r="U149" s="10" t="s">
        <v>45</v>
      </c>
      <c r="V149" s="10">
        <v>0</v>
      </c>
      <c r="W149" s="25">
        <f>Table1[[#This Row],[STAB]]-Table1[[#This Row],[AMOUNT]]</f>
        <v>202500</v>
      </c>
      <c r="X149" s="10">
        <v>0</v>
      </c>
      <c r="Y149" s="10" t="s">
        <v>79</v>
      </c>
      <c r="Z149" s="10">
        <v>0</v>
      </c>
      <c r="AA149" s="10" t="s">
        <v>162</v>
      </c>
      <c r="AB149" s="36" t="s">
        <v>734</v>
      </c>
      <c r="AC149" s="10"/>
      <c r="AD149" s="9" t="s">
        <v>1250</v>
      </c>
      <c r="AE149" s="10" t="s">
        <v>1287</v>
      </c>
      <c r="AF149" s="10" t="s">
        <v>687</v>
      </c>
      <c r="AG149" s="10" t="s">
        <v>53</v>
      </c>
      <c r="AH149" s="10" t="s">
        <v>83</v>
      </c>
      <c r="AI149" s="10" t="s">
        <v>728</v>
      </c>
      <c r="AJ149" s="10">
        <v>802349062</v>
      </c>
      <c r="AK149" s="10" t="s">
        <v>104</v>
      </c>
      <c r="AL149" s="10"/>
      <c r="AM149" s="10"/>
      <c r="AN149" s="11" t="s">
        <v>46</v>
      </c>
      <c r="AO149" s="10"/>
      <c r="AP149" s="10"/>
      <c r="AQ149" s="10"/>
      <c r="AR149" s="2">
        <v>46065</v>
      </c>
      <c r="AS149" s="10">
        <v>50000</v>
      </c>
      <c r="AT149" s="10" t="s">
        <v>1322</v>
      </c>
      <c r="AU149" s="10" t="s">
        <v>1105</v>
      </c>
      <c r="AV149" s="36" t="s">
        <v>1329</v>
      </c>
      <c r="AW149" s="1">
        <v>46202</v>
      </c>
    </row>
    <row r="150" spans="1:49" x14ac:dyDescent="0.25">
      <c r="A150" s="9" t="s">
        <v>2764</v>
      </c>
      <c r="B150" s="10" t="s">
        <v>2798</v>
      </c>
      <c r="C150" s="10">
        <v>0</v>
      </c>
      <c r="D150" s="10" t="s">
        <v>91</v>
      </c>
      <c r="E150" s="10"/>
      <c r="F150" s="10"/>
      <c r="G150" s="10"/>
      <c r="H150" s="10" t="s">
        <v>52</v>
      </c>
      <c r="I150" s="10">
        <v>11</v>
      </c>
      <c r="J150" s="10" t="s">
        <v>2832</v>
      </c>
      <c r="K150" s="10" t="s">
        <v>42</v>
      </c>
      <c r="L150" s="10">
        <f>Table1[[#This Row],[ENR]]-Table1[[#This Row],[CREDIT]]</f>
        <v>17450.539999999979</v>
      </c>
      <c r="M150" s="36">
        <v>260000</v>
      </c>
      <c r="N150" s="26">
        <v>277450.53999999998</v>
      </c>
      <c r="O150" s="38" t="s">
        <v>43</v>
      </c>
      <c r="P150" s="25">
        <v>277450.53999999998</v>
      </c>
      <c r="Q150" s="25">
        <v>259850</v>
      </c>
      <c r="R150" s="10">
        <v>46590</v>
      </c>
      <c r="S150" s="39">
        <v>13000</v>
      </c>
      <c r="T150" s="10" t="s">
        <v>44</v>
      </c>
      <c r="U150" s="10" t="s">
        <v>45</v>
      </c>
      <c r="V150" s="10">
        <v>0</v>
      </c>
      <c r="W150" s="25">
        <f>Table1[[#This Row],[STAB]]-Table1[[#This Row],[AMOUNT]]</f>
        <v>13000</v>
      </c>
      <c r="X150" s="10">
        <v>0</v>
      </c>
      <c r="Y150" s="10" t="s">
        <v>79</v>
      </c>
      <c r="Z150" s="10">
        <v>0</v>
      </c>
      <c r="AA150" s="10" t="s">
        <v>162</v>
      </c>
      <c r="AB150" s="10" t="s">
        <v>735</v>
      </c>
      <c r="AC150" s="10"/>
      <c r="AD150" s="9" t="s">
        <v>2866</v>
      </c>
      <c r="AE150" s="10" t="s">
        <v>2900</v>
      </c>
      <c r="AF150" s="10" t="s">
        <v>284</v>
      </c>
      <c r="AG150" s="10" t="s">
        <v>324</v>
      </c>
      <c r="AH150" s="10" t="s">
        <v>355</v>
      </c>
      <c r="AI150" s="10" t="s">
        <v>372</v>
      </c>
      <c r="AJ150" s="10">
        <v>801597759</v>
      </c>
      <c r="AK150" s="10" t="s">
        <v>362</v>
      </c>
      <c r="AL150" s="10"/>
      <c r="AM150" s="10"/>
      <c r="AN150" s="11" t="s">
        <v>390</v>
      </c>
      <c r="AO150" s="10" t="s">
        <v>398</v>
      </c>
      <c r="AP150" s="10" t="s">
        <v>4546</v>
      </c>
      <c r="AQ150" s="10" t="s">
        <v>4535</v>
      </c>
      <c r="AR150" s="2">
        <v>45747</v>
      </c>
      <c r="AS150" s="10">
        <v>40000</v>
      </c>
      <c r="AT150" s="10" t="s">
        <v>48</v>
      </c>
      <c r="AU150" s="10" t="s">
        <v>2622</v>
      </c>
      <c r="AV150" s="36" t="s">
        <v>2934</v>
      </c>
      <c r="AW150" s="1">
        <v>46202</v>
      </c>
    </row>
    <row r="151" spans="1:49" x14ac:dyDescent="0.25">
      <c r="A151" s="9" t="s">
        <v>1153</v>
      </c>
      <c r="B151" s="10" t="s">
        <v>1190</v>
      </c>
      <c r="C151" s="10">
        <v>0</v>
      </c>
      <c r="D151" s="10" t="s">
        <v>91</v>
      </c>
      <c r="E151" s="10"/>
      <c r="F151" s="10"/>
      <c r="G151" s="10"/>
      <c r="H151" s="10" t="s">
        <v>52</v>
      </c>
      <c r="I151" s="10">
        <v>11</v>
      </c>
      <c r="J151" s="10" t="s">
        <v>1227</v>
      </c>
      <c r="K151" s="10" t="s">
        <v>42</v>
      </c>
      <c r="L151" s="10">
        <f>Table1[[#This Row],[ENR]]-Table1[[#This Row],[CREDIT]]</f>
        <v>15918.070000000007</v>
      </c>
      <c r="M151" s="36">
        <v>260000</v>
      </c>
      <c r="N151" s="26">
        <v>275918.07</v>
      </c>
      <c r="O151" s="38">
        <v>222413.32</v>
      </c>
      <c r="P151" s="25">
        <v>53504.75</v>
      </c>
      <c r="Q151" s="25">
        <v>26476.29</v>
      </c>
      <c r="R151" s="10">
        <v>53420</v>
      </c>
      <c r="S151" s="39">
        <v>34690</v>
      </c>
      <c r="T151" s="10" t="s">
        <v>44</v>
      </c>
      <c r="U151" s="10" t="s">
        <v>45</v>
      </c>
      <c r="V151" s="10">
        <v>0</v>
      </c>
      <c r="W151" s="25">
        <f>Table1[[#This Row],[STAB]]-Table1[[#This Row],[AMOUNT]]</f>
        <v>34690</v>
      </c>
      <c r="X151" s="10">
        <v>0</v>
      </c>
      <c r="Y151" s="10" t="s">
        <v>79</v>
      </c>
      <c r="Z151" s="10">
        <v>0</v>
      </c>
      <c r="AA151" s="10" t="s">
        <v>162</v>
      </c>
      <c r="AB151" s="10" t="s">
        <v>735</v>
      </c>
      <c r="AC151" s="10"/>
      <c r="AD151" s="9" t="s">
        <v>1264</v>
      </c>
      <c r="AE151" s="10" t="s">
        <v>1301</v>
      </c>
      <c r="AF151" s="10" t="s">
        <v>276</v>
      </c>
      <c r="AG151" s="10" t="s">
        <v>324</v>
      </c>
      <c r="AH151" s="10" t="s">
        <v>354</v>
      </c>
      <c r="AI151" s="10" t="s">
        <v>367</v>
      </c>
      <c r="AJ151" s="10">
        <v>801436997</v>
      </c>
      <c r="AK151" s="10" t="s">
        <v>104</v>
      </c>
      <c r="AL151" s="10"/>
      <c r="AM151" s="10"/>
      <c r="AN151" s="11" t="s">
        <v>390</v>
      </c>
      <c r="AO151" s="10" t="s">
        <v>531</v>
      </c>
      <c r="AP151" s="10" t="s">
        <v>4539</v>
      </c>
      <c r="AQ151" s="10" t="s">
        <v>4535</v>
      </c>
      <c r="AR151" s="2">
        <v>46122</v>
      </c>
      <c r="AS151" s="10">
        <v>14823.05</v>
      </c>
      <c r="AT151" s="10" t="s">
        <v>48</v>
      </c>
      <c r="AU151" s="10" t="s">
        <v>1105</v>
      </c>
      <c r="AV151" s="36" t="s">
        <v>1343</v>
      </c>
      <c r="AW151" s="1">
        <v>46202</v>
      </c>
    </row>
    <row r="152" spans="1:49" x14ac:dyDescent="0.25">
      <c r="A152" s="9" t="s">
        <v>1161</v>
      </c>
      <c r="B152" s="10" t="s">
        <v>1198</v>
      </c>
      <c r="C152" s="10">
        <v>0</v>
      </c>
      <c r="D152" s="10" t="s">
        <v>91</v>
      </c>
      <c r="E152" s="10"/>
      <c r="F152" s="10"/>
      <c r="G152" s="10"/>
      <c r="H152" s="10" t="s">
        <v>52</v>
      </c>
      <c r="I152" s="10">
        <v>11</v>
      </c>
      <c r="J152" s="10" t="s">
        <v>1235</v>
      </c>
      <c r="K152" s="10" t="s">
        <v>42</v>
      </c>
      <c r="L152" s="10">
        <f>Table1[[#This Row],[ENR]]-Table1[[#This Row],[CREDIT]]</f>
        <v>205831.37</v>
      </c>
      <c r="M152" s="36">
        <v>70000</v>
      </c>
      <c r="N152" s="26">
        <v>275831.37</v>
      </c>
      <c r="O152" s="38">
        <v>245836.03</v>
      </c>
      <c r="P152" s="25">
        <v>29995.34</v>
      </c>
      <c r="Q152" s="25">
        <v>26874.93</v>
      </c>
      <c r="R152" s="10">
        <v>29995.34</v>
      </c>
      <c r="S152" s="39">
        <v>13952.17</v>
      </c>
      <c r="T152" s="10" t="s">
        <v>57</v>
      </c>
      <c r="U152" s="10" t="s">
        <v>14</v>
      </c>
      <c r="V152" s="25">
        <v>14000</v>
      </c>
      <c r="W152" s="25">
        <f>Table1[[#This Row],[STAB]]-Table1[[#This Row],[AMOUNT]]</f>
        <v>-47.829999999999927</v>
      </c>
      <c r="X152" s="10" t="s">
        <v>2004</v>
      </c>
      <c r="Y152" s="10" t="s">
        <v>396</v>
      </c>
      <c r="Z152" s="10" t="s">
        <v>403</v>
      </c>
      <c r="AA152" s="10" t="s">
        <v>162</v>
      </c>
      <c r="AB152" s="36" t="s">
        <v>736</v>
      </c>
      <c r="AC152" s="10"/>
      <c r="AD152" s="9" t="s">
        <v>1272</v>
      </c>
      <c r="AE152" s="10" t="s">
        <v>1309</v>
      </c>
      <c r="AF152" s="10" t="s">
        <v>686</v>
      </c>
      <c r="AG152" s="10" t="s">
        <v>324</v>
      </c>
      <c r="AH152" s="10" t="s">
        <v>1361</v>
      </c>
      <c r="AI152" s="10" t="s">
        <v>1404</v>
      </c>
      <c r="AJ152" s="10">
        <v>802852449</v>
      </c>
      <c r="AK152" s="10" t="s">
        <v>104</v>
      </c>
      <c r="AL152" s="10"/>
      <c r="AM152" s="10"/>
      <c r="AN152" s="11" t="s">
        <v>390</v>
      </c>
      <c r="AO152" s="10" t="s">
        <v>392</v>
      </c>
      <c r="AP152" s="10" t="s">
        <v>2958</v>
      </c>
      <c r="AQ152" s="10" t="s">
        <v>2004</v>
      </c>
      <c r="AR152" s="2">
        <v>45492</v>
      </c>
      <c r="AS152" s="10">
        <v>765.49</v>
      </c>
      <c r="AT152" s="10" t="s">
        <v>157</v>
      </c>
      <c r="AU152" s="10" t="s">
        <v>1105</v>
      </c>
      <c r="AV152" s="36" t="s">
        <v>1351</v>
      </c>
      <c r="AW152" s="1">
        <v>46202</v>
      </c>
    </row>
    <row r="153" spans="1:49" x14ac:dyDescent="0.25">
      <c r="A153" s="9" t="s">
        <v>2780</v>
      </c>
      <c r="B153" s="10" t="s">
        <v>2814</v>
      </c>
      <c r="C153" s="10">
        <v>0</v>
      </c>
      <c r="D153" s="10" t="s">
        <v>91</v>
      </c>
      <c r="E153" s="10"/>
      <c r="F153" s="10"/>
      <c r="G153" s="10"/>
      <c r="H153" s="10" t="s">
        <v>52</v>
      </c>
      <c r="I153" s="10">
        <v>11</v>
      </c>
      <c r="J153" s="10" t="s">
        <v>2848</v>
      </c>
      <c r="K153" s="10" t="s">
        <v>42</v>
      </c>
      <c r="L153" s="10">
        <f>Table1[[#This Row],[ENR]]-Table1[[#This Row],[CREDIT]]</f>
        <v>2338.039999999979</v>
      </c>
      <c r="M153" s="36">
        <v>270000</v>
      </c>
      <c r="N153" s="26">
        <v>272338.03999999998</v>
      </c>
      <c r="O153" s="38">
        <v>74701.509999999995</v>
      </c>
      <c r="P153" s="25">
        <v>197636.53</v>
      </c>
      <c r="Q153" s="25">
        <v>183857.78</v>
      </c>
      <c r="R153" s="10">
        <v>52580</v>
      </c>
      <c r="S153" s="39">
        <v>26059</v>
      </c>
      <c r="T153" s="10" t="s">
        <v>57</v>
      </c>
      <c r="U153" s="10" t="s">
        <v>13</v>
      </c>
      <c r="V153" s="10">
        <v>110200</v>
      </c>
      <c r="W153" s="25">
        <f>Table1[[#This Row],[STAB]]-Table1[[#This Row],[AMOUNT]]</f>
        <v>-84141</v>
      </c>
      <c r="X153" s="10" t="s">
        <v>4535</v>
      </c>
      <c r="Y153" s="10" t="s">
        <v>402</v>
      </c>
      <c r="Z153" s="10" t="s">
        <v>403</v>
      </c>
      <c r="AA153" s="10" t="s">
        <v>162</v>
      </c>
      <c r="AB153" s="36" t="s">
        <v>734</v>
      </c>
      <c r="AC153" s="10"/>
      <c r="AD153" s="9" t="s">
        <v>2882</v>
      </c>
      <c r="AE153" s="10" t="s">
        <v>2915</v>
      </c>
      <c r="AF153" s="10" t="s">
        <v>273</v>
      </c>
      <c r="AG153" s="10" t="s">
        <v>323</v>
      </c>
      <c r="AH153" s="10" t="s">
        <v>352</v>
      </c>
      <c r="AI153" s="10" t="s">
        <v>363</v>
      </c>
      <c r="AJ153" s="10">
        <v>802913252</v>
      </c>
      <c r="AK153" s="10" t="s">
        <v>104</v>
      </c>
      <c r="AL153" s="10"/>
      <c r="AM153" s="10"/>
      <c r="AN153" s="11" t="s">
        <v>390</v>
      </c>
      <c r="AO153" s="10"/>
      <c r="AP153" s="10"/>
      <c r="AQ153" s="10"/>
      <c r="AR153" s="2" t="s">
        <v>43</v>
      </c>
      <c r="AS153" s="10">
        <v>0</v>
      </c>
      <c r="AT153" s="10" t="s">
        <v>832</v>
      </c>
      <c r="AU153" s="10" t="s">
        <v>2622</v>
      </c>
      <c r="AV153" s="36" t="s">
        <v>2950</v>
      </c>
      <c r="AW153" s="1">
        <v>46202</v>
      </c>
    </row>
    <row r="154" spans="1:49" x14ac:dyDescent="0.25">
      <c r="A154" s="9" t="s">
        <v>1168</v>
      </c>
      <c r="B154" s="10" t="s">
        <v>1205</v>
      </c>
      <c r="C154" s="10">
        <v>0</v>
      </c>
      <c r="D154" s="10" t="s">
        <v>91</v>
      </c>
      <c r="E154" s="10"/>
      <c r="F154" s="10"/>
      <c r="G154" s="10"/>
      <c r="H154" s="10" t="s">
        <v>52</v>
      </c>
      <c r="I154" s="10">
        <v>11</v>
      </c>
      <c r="J154" s="10" t="s">
        <v>1242</v>
      </c>
      <c r="K154" s="10" t="s">
        <v>42</v>
      </c>
      <c r="L154" s="10">
        <f>Table1[[#This Row],[ENR]]-Table1[[#This Row],[CREDIT]]</f>
        <v>-35968.929999999993</v>
      </c>
      <c r="M154" s="36">
        <v>300000</v>
      </c>
      <c r="N154" s="26">
        <v>264031.07</v>
      </c>
      <c r="O154" s="38">
        <v>79943.429999999993</v>
      </c>
      <c r="P154" s="25">
        <v>184087.64</v>
      </c>
      <c r="Q154" s="25">
        <v>173046.32</v>
      </c>
      <c r="R154" s="10">
        <v>45690</v>
      </c>
      <c r="S154" s="39">
        <v>22829</v>
      </c>
      <c r="T154" s="10" t="s">
        <v>57</v>
      </c>
      <c r="U154" s="10" t="s">
        <v>14</v>
      </c>
      <c r="V154" s="25">
        <v>23004</v>
      </c>
      <c r="W154" s="25">
        <f>Table1[[#This Row],[STAB]]-Table1[[#This Row],[AMOUNT]]</f>
        <v>-175</v>
      </c>
      <c r="X154" s="10" t="s">
        <v>4535</v>
      </c>
      <c r="Y154" s="10" t="s">
        <v>402</v>
      </c>
      <c r="Z154" s="10" t="s">
        <v>963</v>
      </c>
      <c r="AA154" s="10" t="s">
        <v>162</v>
      </c>
      <c r="AB154" s="36" t="s">
        <v>733</v>
      </c>
      <c r="AC154" s="10"/>
      <c r="AD154" s="9" t="s">
        <v>1279</v>
      </c>
      <c r="AE154" s="10" t="s">
        <v>1316</v>
      </c>
      <c r="AF154" s="10" t="s">
        <v>687</v>
      </c>
      <c r="AG154" s="10" t="s">
        <v>53</v>
      </c>
      <c r="AH154" s="10" t="s">
        <v>83</v>
      </c>
      <c r="AI154" s="10" t="s">
        <v>728</v>
      </c>
      <c r="AJ154" s="10">
        <v>802349062</v>
      </c>
      <c r="AK154" s="10" t="s">
        <v>104</v>
      </c>
      <c r="AL154" s="10"/>
      <c r="AM154" s="10"/>
      <c r="AN154" s="11" t="s">
        <v>390</v>
      </c>
      <c r="AO154" s="10"/>
      <c r="AP154" s="10"/>
      <c r="AQ154" s="10"/>
      <c r="AR154" s="2">
        <v>46174</v>
      </c>
      <c r="AS154" s="10">
        <v>14501</v>
      </c>
      <c r="AT154" s="10" t="s">
        <v>832</v>
      </c>
      <c r="AU154" s="10" t="s">
        <v>1105</v>
      </c>
      <c r="AV154" s="36" t="s">
        <v>1358</v>
      </c>
      <c r="AW154" s="1">
        <v>46202</v>
      </c>
    </row>
    <row r="155" spans="1:49" x14ac:dyDescent="0.25">
      <c r="A155" s="9" t="s">
        <v>2760</v>
      </c>
      <c r="B155" s="10" t="s">
        <v>2794</v>
      </c>
      <c r="C155" s="10">
        <v>0</v>
      </c>
      <c r="D155" s="10" t="s">
        <v>91</v>
      </c>
      <c r="E155" s="10"/>
      <c r="F155" s="10"/>
      <c r="G155" s="10"/>
      <c r="H155" s="10" t="s">
        <v>52</v>
      </c>
      <c r="I155" s="10">
        <v>11</v>
      </c>
      <c r="J155" s="10" t="s">
        <v>2828</v>
      </c>
      <c r="K155" s="10" t="s">
        <v>42</v>
      </c>
      <c r="L155" s="10">
        <f>Table1[[#This Row],[ENR]]-Table1[[#This Row],[CREDIT]]</f>
        <v>16151.929999999993</v>
      </c>
      <c r="M155" s="36">
        <v>240000</v>
      </c>
      <c r="N155" s="26">
        <v>256151.93</v>
      </c>
      <c r="O155" s="38">
        <v>11312.48</v>
      </c>
      <c r="P155" s="25">
        <v>244839.45</v>
      </c>
      <c r="Q155" s="25">
        <v>228644.37</v>
      </c>
      <c r="R155" s="10">
        <v>63060</v>
      </c>
      <c r="S155" s="39">
        <v>21900</v>
      </c>
      <c r="T155" s="10" t="s">
        <v>44</v>
      </c>
      <c r="U155" s="10" t="s">
        <v>45</v>
      </c>
      <c r="V155" s="10">
        <v>0</v>
      </c>
      <c r="W155" s="25">
        <f>Table1[[#This Row],[STAB]]-Table1[[#This Row],[AMOUNT]]</f>
        <v>21900</v>
      </c>
      <c r="X155" s="10">
        <v>0</v>
      </c>
      <c r="Y155" s="10" t="s">
        <v>79</v>
      </c>
      <c r="Z155" s="10">
        <v>0</v>
      </c>
      <c r="AA155" s="10" t="s">
        <v>162</v>
      </c>
      <c r="AB155" s="36" t="s">
        <v>736</v>
      </c>
      <c r="AC155" s="10"/>
      <c r="AD155" s="9" t="s">
        <v>2862</v>
      </c>
      <c r="AE155" s="10" t="s">
        <v>2896</v>
      </c>
      <c r="AF155" s="10" t="s">
        <v>284</v>
      </c>
      <c r="AG155" s="10" t="s">
        <v>324</v>
      </c>
      <c r="AH155" s="10" t="s">
        <v>355</v>
      </c>
      <c r="AI155" s="10" t="s">
        <v>372</v>
      </c>
      <c r="AJ155" s="10">
        <v>801597759</v>
      </c>
      <c r="AK155" s="10" t="s">
        <v>362</v>
      </c>
      <c r="AL155" s="10"/>
      <c r="AM155" s="10"/>
      <c r="AN155" s="11" t="s">
        <v>390</v>
      </c>
      <c r="AO155" s="10" t="s">
        <v>398</v>
      </c>
      <c r="AP155" s="10" t="s">
        <v>4547</v>
      </c>
      <c r="AQ155" s="10" t="s">
        <v>4535</v>
      </c>
      <c r="AR155" s="2">
        <v>45747</v>
      </c>
      <c r="AS155" s="10">
        <v>30000</v>
      </c>
      <c r="AT155" s="10" t="s">
        <v>157</v>
      </c>
      <c r="AU155" s="10" t="s">
        <v>2622</v>
      </c>
      <c r="AV155" s="36" t="s">
        <v>2930</v>
      </c>
      <c r="AW155" s="1">
        <v>46202</v>
      </c>
    </row>
    <row r="156" spans="1:49" x14ac:dyDescent="0.25">
      <c r="A156" s="9" t="s">
        <v>1160</v>
      </c>
      <c r="B156" s="10" t="s">
        <v>1197</v>
      </c>
      <c r="C156" s="10">
        <v>0</v>
      </c>
      <c r="D156" s="10" t="s">
        <v>91</v>
      </c>
      <c r="E156" s="10"/>
      <c r="F156" s="10"/>
      <c r="G156" s="10"/>
      <c r="H156" s="10" t="s">
        <v>52</v>
      </c>
      <c r="I156" s="10">
        <v>11</v>
      </c>
      <c r="J156" s="10" t="s">
        <v>1234</v>
      </c>
      <c r="K156" s="10" t="s">
        <v>42</v>
      </c>
      <c r="L156" s="10">
        <f>Table1[[#This Row],[ENR]]-Table1[[#This Row],[CREDIT]]</f>
        <v>58431.44</v>
      </c>
      <c r="M156" s="36">
        <v>180000</v>
      </c>
      <c r="N156" s="26">
        <v>238431.44</v>
      </c>
      <c r="O156" s="38">
        <v>219964.59</v>
      </c>
      <c r="P156" s="25">
        <v>18466.849999999999</v>
      </c>
      <c r="Q156" s="25">
        <v>15927.16</v>
      </c>
      <c r="R156" s="10">
        <v>18466.849999999999</v>
      </c>
      <c r="S156" s="39">
        <v>8413.93</v>
      </c>
      <c r="T156" s="10" t="s">
        <v>57</v>
      </c>
      <c r="U156" s="10" t="s">
        <v>14</v>
      </c>
      <c r="V156" s="25">
        <v>8500</v>
      </c>
      <c r="W156" s="25">
        <f>Table1[[#This Row],[STAB]]-Table1[[#This Row],[AMOUNT]]</f>
        <v>-86.069999999999709</v>
      </c>
      <c r="X156" s="10" t="s">
        <v>4619</v>
      </c>
      <c r="Y156" s="10" t="s">
        <v>402</v>
      </c>
      <c r="Z156" s="10" t="s">
        <v>1968</v>
      </c>
      <c r="AA156" s="10" t="s">
        <v>162</v>
      </c>
      <c r="AB156" s="10" t="s">
        <v>735</v>
      </c>
      <c r="AC156" s="10"/>
      <c r="AD156" s="9" t="s">
        <v>1271</v>
      </c>
      <c r="AE156" s="10" t="s">
        <v>1308</v>
      </c>
      <c r="AF156" s="10" t="s">
        <v>686</v>
      </c>
      <c r="AG156" s="10" t="s">
        <v>324</v>
      </c>
      <c r="AH156" s="10" t="s">
        <v>1361</v>
      </c>
      <c r="AI156" s="10" t="s">
        <v>1404</v>
      </c>
      <c r="AJ156" s="10">
        <v>802852449</v>
      </c>
      <c r="AK156" s="10" t="s">
        <v>104</v>
      </c>
      <c r="AL156" s="10"/>
      <c r="AM156" s="10"/>
      <c r="AN156" s="11" t="s">
        <v>390</v>
      </c>
      <c r="AO156" s="10" t="s">
        <v>394</v>
      </c>
      <c r="AP156" s="10" t="s">
        <v>1973</v>
      </c>
      <c r="AQ156" s="10" t="s">
        <v>1961</v>
      </c>
      <c r="AR156" s="2">
        <v>45479</v>
      </c>
      <c r="AS156" s="10">
        <v>8567</v>
      </c>
      <c r="AT156" s="10" t="s">
        <v>157</v>
      </c>
      <c r="AU156" s="10" t="s">
        <v>1105</v>
      </c>
      <c r="AV156" s="36" t="s">
        <v>1350</v>
      </c>
      <c r="AW156" s="1">
        <v>46202</v>
      </c>
    </row>
    <row r="157" spans="1:49" x14ac:dyDescent="0.25">
      <c r="A157" s="9" t="s">
        <v>2749</v>
      </c>
      <c r="B157" s="10" t="s">
        <v>2783</v>
      </c>
      <c r="C157" s="10">
        <v>0</v>
      </c>
      <c r="D157" s="10" t="s">
        <v>91</v>
      </c>
      <c r="E157" s="10"/>
      <c r="F157" s="10"/>
      <c r="G157" s="10"/>
      <c r="H157" s="10" t="s">
        <v>52</v>
      </c>
      <c r="I157" s="10">
        <v>11</v>
      </c>
      <c r="J157" s="10" t="s">
        <v>2817</v>
      </c>
      <c r="K157" s="10" t="s">
        <v>42</v>
      </c>
      <c r="L157" s="10">
        <f>Table1[[#This Row],[ENR]]-Table1[[#This Row],[CREDIT]]</f>
        <v>12209.160000000003</v>
      </c>
      <c r="M157" s="36">
        <v>220000</v>
      </c>
      <c r="N157" s="26">
        <v>232209.16</v>
      </c>
      <c r="O157" s="38">
        <v>28574.51</v>
      </c>
      <c r="P157" s="25">
        <v>203634.65</v>
      </c>
      <c r="Q157" s="25">
        <v>182993.55</v>
      </c>
      <c r="R157" s="10">
        <v>46470</v>
      </c>
      <c r="S157" s="39">
        <v>20880</v>
      </c>
      <c r="T157" s="10" t="s">
        <v>57</v>
      </c>
      <c r="U157" s="10" t="s">
        <v>14</v>
      </c>
      <c r="V157" s="25">
        <v>21000</v>
      </c>
      <c r="W157" s="25">
        <f>Table1[[#This Row],[STAB]]-Table1[[#This Row],[AMOUNT]]</f>
        <v>-120</v>
      </c>
      <c r="X157" s="10" t="s">
        <v>4619</v>
      </c>
      <c r="Y157" s="10" t="s">
        <v>396</v>
      </c>
      <c r="Z157" s="10" t="s">
        <v>403</v>
      </c>
      <c r="AA157" s="10" t="s">
        <v>162</v>
      </c>
      <c r="AB157" s="36" t="s">
        <v>733</v>
      </c>
      <c r="AC157" s="10"/>
      <c r="AD157" s="9" t="s">
        <v>2851</v>
      </c>
      <c r="AE157" s="10" t="s">
        <v>2885</v>
      </c>
      <c r="AF157" s="10" t="s">
        <v>498</v>
      </c>
      <c r="AG157" s="10" t="s">
        <v>53</v>
      </c>
      <c r="AH157" s="10" t="s">
        <v>90</v>
      </c>
      <c r="AI157" s="10" t="s">
        <v>162</v>
      </c>
      <c r="AJ157" s="10">
        <v>801772794</v>
      </c>
      <c r="AK157" s="10" t="s">
        <v>361</v>
      </c>
      <c r="AL157" s="10"/>
      <c r="AM157" s="10"/>
      <c r="AN157" s="11" t="s">
        <v>390</v>
      </c>
      <c r="AO157" s="10" t="s">
        <v>398</v>
      </c>
      <c r="AP157" s="10" t="s">
        <v>4553</v>
      </c>
      <c r="AQ157" s="10" t="s">
        <v>4535</v>
      </c>
      <c r="AR157" s="2">
        <v>45959</v>
      </c>
      <c r="AS157" s="10">
        <v>600</v>
      </c>
      <c r="AT157" s="10" t="s">
        <v>937</v>
      </c>
      <c r="AU157" s="10" t="s">
        <v>2622</v>
      </c>
      <c r="AV157" s="36" t="s">
        <v>2919</v>
      </c>
      <c r="AW157" s="1">
        <v>46202</v>
      </c>
    </row>
    <row r="158" spans="1:49" x14ac:dyDescent="0.25">
      <c r="A158" s="9" t="s">
        <v>2776</v>
      </c>
      <c r="B158" s="10" t="s">
        <v>2810</v>
      </c>
      <c r="C158" s="10">
        <v>0</v>
      </c>
      <c r="D158" s="10" t="s">
        <v>91</v>
      </c>
      <c r="E158" s="10"/>
      <c r="F158" s="10"/>
      <c r="G158" s="10"/>
      <c r="H158" s="10" t="s">
        <v>52</v>
      </c>
      <c r="I158" s="10">
        <v>11</v>
      </c>
      <c r="J158" s="10" t="s">
        <v>2844</v>
      </c>
      <c r="K158" s="10" t="s">
        <v>42</v>
      </c>
      <c r="L158" s="10">
        <f>Table1[[#This Row],[ENR]]-Table1[[#This Row],[CREDIT]]</f>
        <v>24941.359999999986</v>
      </c>
      <c r="M158" s="36">
        <v>200000</v>
      </c>
      <c r="N158" s="26">
        <v>224941.36</v>
      </c>
      <c r="O158" s="38" t="s">
        <v>43</v>
      </c>
      <c r="P158" s="25">
        <v>224941.36</v>
      </c>
      <c r="Q158" s="25">
        <v>200167.2</v>
      </c>
      <c r="R158" s="10">
        <v>67330</v>
      </c>
      <c r="S158" s="39">
        <v>36930</v>
      </c>
      <c r="T158" s="10" t="s">
        <v>57</v>
      </c>
      <c r="U158" s="10" t="s">
        <v>14</v>
      </c>
      <c r="V158" s="25">
        <v>36941.360000000001</v>
      </c>
      <c r="W158" s="25">
        <f>Table1[[#This Row],[STAB]]-Table1[[#This Row],[AMOUNT]]</f>
        <v>-11.360000000000582</v>
      </c>
      <c r="X158" s="10" t="s">
        <v>4601</v>
      </c>
      <c r="Y158" s="10" t="s">
        <v>396</v>
      </c>
      <c r="Z158" s="10" t="s">
        <v>962</v>
      </c>
      <c r="AA158" s="10" t="s">
        <v>162</v>
      </c>
      <c r="AB158" s="36" t="s">
        <v>734</v>
      </c>
      <c r="AC158" s="10"/>
      <c r="AD158" s="9" t="s">
        <v>2878</v>
      </c>
      <c r="AE158" s="10" t="s">
        <v>2911</v>
      </c>
      <c r="AF158" s="10" t="s">
        <v>286</v>
      </c>
      <c r="AG158" s="10" t="s">
        <v>54</v>
      </c>
      <c r="AH158" s="10" t="s">
        <v>58</v>
      </c>
      <c r="AI158" s="10" t="s">
        <v>133</v>
      </c>
      <c r="AJ158" s="10">
        <v>802555024</v>
      </c>
      <c r="AK158" s="10" t="s">
        <v>362</v>
      </c>
      <c r="AL158" s="10"/>
      <c r="AM158" s="10"/>
      <c r="AN158" s="11" t="s">
        <v>390</v>
      </c>
      <c r="AO158" s="10" t="s">
        <v>392</v>
      </c>
      <c r="AP158" s="10" t="s">
        <v>4563</v>
      </c>
      <c r="AQ158" s="10" t="s">
        <v>4535</v>
      </c>
      <c r="AR158" s="2">
        <v>45991</v>
      </c>
      <c r="AS158" s="10">
        <v>3400</v>
      </c>
      <c r="AT158" s="10" t="s">
        <v>937</v>
      </c>
      <c r="AU158" s="10" t="s">
        <v>2622</v>
      </c>
      <c r="AV158" s="36" t="s">
        <v>2946</v>
      </c>
      <c r="AW158" s="1">
        <v>46202</v>
      </c>
    </row>
    <row r="159" spans="1:49" x14ac:dyDescent="0.25">
      <c r="A159" s="9" t="s">
        <v>1164</v>
      </c>
      <c r="B159" s="10" t="s">
        <v>1201</v>
      </c>
      <c r="C159" s="10">
        <v>0</v>
      </c>
      <c r="D159" s="10" t="s">
        <v>91</v>
      </c>
      <c r="E159" s="10"/>
      <c r="F159" s="10"/>
      <c r="G159" s="10"/>
      <c r="H159" s="10" t="s">
        <v>52</v>
      </c>
      <c r="I159" s="10">
        <v>11</v>
      </c>
      <c r="J159" s="10" t="s">
        <v>1238</v>
      </c>
      <c r="K159" s="10" t="s">
        <v>42</v>
      </c>
      <c r="L159" s="10">
        <f>Table1[[#This Row],[ENR]]-Table1[[#This Row],[CREDIT]]</f>
        <v>-15994.220000000001</v>
      </c>
      <c r="M159" s="36">
        <v>240000</v>
      </c>
      <c r="N159" s="26">
        <v>224005.78</v>
      </c>
      <c r="O159" s="38">
        <v>138947.70000000001</v>
      </c>
      <c r="P159" s="25">
        <v>85058.08</v>
      </c>
      <c r="Q159" s="25">
        <v>72079.67</v>
      </c>
      <c r="R159" s="10">
        <v>34770</v>
      </c>
      <c r="S159" s="39">
        <v>16750</v>
      </c>
      <c r="T159" s="10" t="s">
        <v>57</v>
      </c>
      <c r="U159" s="10" t="s">
        <v>13</v>
      </c>
      <c r="V159" s="25">
        <v>85058.08</v>
      </c>
      <c r="W159" s="25">
        <f>Table1[[#This Row],[STAB]]-Table1[[#This Row],[AMOUNT]]</f>
        <v>-68308.08</v>
      </c>
      <c r="X159" s="10">
        <v>0</v>
      </c>
      <c r="Y159" s="10" t="s">
        <v>388</v>
      </c>
      <c r="Z159" s="10" t="s">
        <v>403</v>
      </c>
      <c r="AA159" s="10" t="s">
        <v>162</v>
      </c>
      <c r="AB159" s="36" t="s">
        <v>733</v>
      </c>
      <c r="AC159" s="10"/>
      <c r="AD159" s="9" t="s">
        <v>1275</v>
      </c>
      <c r="AE159" s="10" t="s">
        <v>1312</v>
      </c>
      <c r="AF159" s="10" t="s">
        <v>272</v>
      </c>
      <c r="AG159" s="10" t="s">
        <v>54</v>
      </c>
      <c r="AH159" s="10" t="s">
        <v>114</v>
      </c>
      <c r="AI159" s="10" t="s">
        <v>726</v>
      </c>
      <c r="AJ159" s="10">
        <v>801772792</v>
      </c>
      <c r="AK159" s="10" t="s">
        <v>105</v>
      </c>
      <c r="AL159" s="10"/>
      <c r="AM159" s="10"/>
      <c r="AN159" s="11" t="s">
        <v>390</v>
      </c>
      <c r="AO159" s="10"/>
      <c r="AP159" s="10"/>
      <c r="AQ159" s="10"/>
      <c r="AR159" s="2">
        <v>45990</v>
      </c>
      <c r="AS159" s="10">
        <v>47019.96</v>
      </c>
      <c r="AT159" s="10" t="s">
        <v>937</v>
      </c>
      <c r="AU159" s="10" t="s">
        <v>1105</v>
      </c>
      <c r="AV159" s="36" t="s">
        <v>1354</v>
      </c>
      <c r="AW159" s="1">
        <v>46202</v>
      </c>
    </row>
    <row r="160" spans="1:49" x14ac:dyDescent="0.25">
      <c r="A160" s="9" t="s">
        <v>2771</v>
      </c>
      <c r="B160" s="10" t="s">
        <v>2805</v>
      </c>
      <c r="C160" s="10">
        <v>0</v>
      </c>
      <c r="D160" s="10" t="s">
        <v>91</v>
      </c>
      <c r="E160" s="10"/>
      <c r="F160" s="10"/>
      <c r="G160" s="10"/>
      <c r="H160" s="10" t="s">
        <v>52</v>
      </c>
      <c r="I160" s="10">
        <v>11</v>
      </c>
      <c r="J160" s="10" t="s">
        <v>2839</v>
      </c>
      <c r="K160" s="10" t="s">
        <v>42</v>
      </c>
      <c r="L160" s="10">
        <f>Table1[[#This Row],[ENR]]-Table1[[#This Row],[CREDIT]]</f>
        <v>13741.76999999999</v>
      </c>
      <c r="M160" s="36">
        <v>200000</v>
      </c>
      <c r="N160" s="26">
        <v>213741.77</v>
      </c>
      <c r="O160" s="38" t="s">
        <v>43</v>
      </c>
      <c r="P160" s="25">
        <v>213741.77</v>
      </c>
      <c r="Q160" s="25">
        <v>199988.22</v>
      </c>
      <c r="R160" s="10">
        <v>36470</v>
      </c>
      <c r="S160" s="39">
        <v>10000</v>
      </c>
      <c r="T160" s="10" t="s">
        <v>57</v>
      </c>
      <c r="U160" s="10" t="s">
        <v>14</v>
      </c>
      <c r="V160" s="25">
        <v>10000</v>
      </c>
      <c r="W160" s="25">
        <f>Table1[[#This Row],[STAB]]-Table1[[#This Row],[AMOUNT]]</f>
        <v>0</v>
      </c>
      <c r="X160" s="10" t="s">
        <v>4923</v>
      </c>
      <c r="Y160" s="10" t="s">
        <v>402</v>
      </c>
      <c r="Z160" s="10" t="s">
        <v>403</v>
      </c>
      <c r="AA160" s="10" t="s">
        <v>162</v>
      </c>
      <c r="AB160" s="10" t="s">
        <v>735</v>
      </c>
      <c r="AC160" s="10"/>
      <c r="AD160" s="9" t="s">
        <v>2873</v>
      </c>
      <c r="AE160" s="10" t="s">
        <v>2907</v>
      </c>
      <c r="AF160" s="10" t="s">
        <v>686</v>
      </c>
      <c r="AG160" s="10" t="s">
        <v>324</v>
      </c>
      <c r="AH160" s="10" t="s">
        <v>1956</v>
      </c>
      <c r="AI160" s="10" t="s">
        <v>370</v>
      </c>
      <c r="AJ160" s="10">
        <v>801448854</v>
      </c>
      <c r="AK160" s="10" t="s">
        <v>105</v>
      </c>
      <c r="AL160" s="10"/>
      <c r="AM160" s="10"/>
      <c r="AN160" s="11" t="s">
        <v>390</v>
      </c>
      <c r="AO160" s="10" t="s">
        <v>392</v>
      </c>
      <c r="AP160" s="10" t="s">
        <v>4639</v>
      </c>
      <c r="AQ160" s="10" t="s">
        <v>4601</v>
      </c>
      <c r="AR160" s="2">
        <v>46111</v>
      </c>
      <c r="AS160" s="10">
        <v>199987</v>
      </c>
      <c r="AT160" s="10" t="s">
        <v>157</v>
      </c>
      <c r="AU160" s="10" t="s">
        <v>2622</v>
      </c>
      <c r="AV160" s="36" t="s">
        <v>2941</v>
      </c>
      <c r="AW160" s="1">
        <v>46202</v>
      </c>
    </row>
    <row r="161" spans="1:49" x14ac:dyDescent="0.25">
      <c r="A161" s="9" t="s">
        <v>1156</v>
      </c>
      <c r="B161" s="10" t="s">
        <v>1193</v>
      </c>
      <c r="C161" s="10">
        <v>0</v>
      </c>
      <c r="D161" s="10" t="s">
        <v>95</v>
      </c>
      <c r="E161" s="10">
        <v>1</v>
      </c>
      <c r="F161" s="10" t="s">
        <v>112</v>
      </c>
      <c r="G161" s="10" t="s">
        <v>737</v>
      </c>
      <c r="H161" s="10" t="s">
        <v>52</v>
      </c>
      <c r="I161" s="10">
        <v>11</v>
      </c>
      <c r="J161" s="10" t="s">
        <v>1230</v>
      </c>
      <c r="K161" s="10" t="s">
        <v>42</v>
      </c>
      <c r="L161" s="10">
        <f>Table1[[#This Row],[ENR]]-Table1[[#This Row],[CREDIT]]</f>
        <v>-4575.0499999999884</v>
      </c>
      <c r="M161" s="36">
        <v>210000</v>
      </c>
      <c r="N161" s="26">
        <v>205424.95</v>
      </c>
      <c r="O161" s="38" t="s">
        <v>43</v>
      </c>
      <c r="P161" s="25">
        <v>205424.95</v>
      </c>
      <c r="Q161" s="25">
        <v>192236.85</v>
      </c>
      <c r="R161" s="10">
        <v>176310</v>
      </c>
      <c r="S161" s="39">
        <v>162998</v>
      </c>
      <c r="T161" s="10" t="s">
        <v>44</v>
      </c>
      <c r="U161" s="10" t="s">
        <v>45</v>
      </c>
      <c r="V161" s="10">
        <v>0</v>
      </c>
      <c r="W161" s="25">
        <f>Table1[[#This Row],[STAB]]-Table1[[#This Row],[AMOUNT]]</f>
        <v>162998</v>
      </c>
      <c r="X161" s="10">
        <v>0</v>
      </c>
      <c r="Y161" s="10" t="s">
        <v>79</v>
      </c>
      <c r="Z161" s="10">
        <v>0</v>
      </c>
      <c r="AA161" s="10" t="s">
        <v>162</v>
      </c>
      <c r="AB161" s="36" t="s">
        <v>734</v>
      </c>
      <c r="AC161" s="10"/>
      <c r="AD161" s="9" t="s">
        <v>1267</v>
      </c>
      <c r="AE161" s="10" t="s">
        <v>1304</v>
      </c>
      <c r="AF161" s="10" t="s">
        <v>111</v>
      </c>
      <c r="AG161" s="10" t="s">
        <v>53</v>
      </c>
      <c r="AH161" s="10" t="s">
        <v>92</v>
      </c>
      <c r="AI161" s="10" t="s">
        <v>113</v>
      </c>
      <c r="AJ161" s="10">
        <v>802388289</v>
      </c>
      <c r="AK161" s="10" t="s">
        <v>104</v>
      </c>
      <c r="AL161" s="10"/>
      <c r="AM161" s="10"/>
      <c r="AN161" s="11" t="s">
        <v>46</v>
      </c>
      <c r="AO161" s="10"/>
      <c r="AP161" s="10"/>
      <c r="AQ161" s="10"/>
      <c r="AR161" s="2">
        <v>45440</v>
      </c>
      <c r="AS161" s="10">
        <v>10000</v>
      </c>
      <c r="AT161" s="10" t="s">
        <v>48</v>
      </c>
      <c r="AU161" s="10" t="s">
        <v>1105</v>
      </c>
      <c r="AV161" s="36" t="s">
        <v>1346</v>
      </c>
      <c r="AW161" s="1">
        <v>46202</v>
      </c>
    </row>
    <row r="162" spans="1:49" x14ac:dyDescent="0.25">
      <c r="A162" s="9" t="s">
        <v>1151</v>
      </c>
      <c r="B162" s="10" t="s">
        <v>1188</v>
      </c>
      <c r="C162" s="10">
        <v>0</v>
      </c>
      <c r="D162" s="10" t="s">
        <v>91</v>
      </c>
      <c r="E162" s="10"/>
      <c r="F162" s="10"/>
      <c r="G162" s="10"/>
      <c r="H162" s="10" t="s">
        <v>52</v>
      </c>
      <c r="I162" s="10">
        <v>11</v>
      </c>
      <c r="J162" s="10" t="s">
        <v>1225</v>
      </c>
      <c r="K162" s="10" t="s">
        <v>42</v>
      </c>
      <c r="L162" s="10">
        <f>Table1[[#This Row],[ENR]]-Table1[[#This Row],[CREDIT]]</f>
        <v>-5433.7900000000081</v>
      </c>
      <c r="M162" s="36">
        <v>210000</v>
      </c>
      <c r="N162" s="26">
        <v>204566.21</v>
      </c>
      <c r="O162" s="38" t="s">
        <v>43</v>
      </c>
      <c r="P162" s="25">
        <v>204566.21</v>
      </c>
      <c r="Q162" s="25">
        <v>185775.56</v>
      </c>
      <c r="R162" s="10">
        <v>30340</v>
      </c>
      <c r="S162" s="39">
        <v>10910</v>
      </c>
      <c r="T162" s="10" t="s">
        <v>44</v>
      </c>
      <c r="U162" s="10" t="s">
        <v>45</v>
      </c>
      <c r="V162" s="10">
        <v>0</v>
      </c>
      <c r="W162" s="25">
        <f>Table1[[#This Row],[STAB]]-Table1[[#This Row],[AMOUNT]]</f>
        <v>10910</v>
      </c>
      <c r="X162" s="10">
        <v>0</v>
      </c>
      <c r="Y162" s="10" t="s">
        <v>79</v>
      </c>
      <c r="Z162" s="10">
        <v>0</v>
      </c>
      <c r="AA162" s="10" t="s">
        <v>162</v>
      </c>
      <c r="AB162" s="36" t="s">
        <v>733</v>
      </c>
      <c r="AC162" s="10"/>
      <c r="AD162" s="9" t="s">
        <v>1262</v>
      </c>
      <c r="AE162" s="10" t="s">
        <v>1299</v>
      </c>
      <c r="AF162" s="10" t="s">
        <v>276</v>
      </c>
      <c r="AG162" s="10" t="s">
        <v>324</v>
      </c>
      <c r="AH162" s="10" t="s">
        <v>354</v>
      </c>
      <c r="AI162" s="10" t="s">
        <v>367</v>
      </c>
      <c r="AJ162" s="10">
        <v>801436997</v>
      </c>
      <c r="AK162" s="10" t="s">
        <v>104</v>
      </c>
      <c r="AL162" s="10"/>
      <c r="AM162" s="10"/>
      <c r="AN162" s="11" t="s">
        <v>390</v>
      </c>
      <c r="AO162" s="10" t="s">
        <v>398</v>
      </c>
      <c r="AP162" s="10" t="s">
        <v>4537</v>
      </c>
      <c r="AQ162" s="10" t="s">
        <v>4535</v>
      </c>
      <c r="AR162" s="2">
        <v>45625</v>
      </c>
      <c r="AS162" s="10">
        <v>10180</v>
      </c>
      <c r="AT162" s="10" t="s">
        <v>157</v>
      </c>
      <c r="AU162" s="10" t="s">
        <v>1105</v>
      </c>
      <c r="AV162" s="36" t="s">
        <v>1341</v>
      </c>
      <c r="AW162" s="1">
        <v>46202</v>
      </c>
    </row>
    <row r="163" spans="1:49" x14ac:dyDescent="0.25">
      <c r="A163" s="9" t="s">
        <v>2759</v>
      </c>
      <c r="B163" s="10" t="s">
        <v>2793</v>
      </c>
      <c r="C163" s="10">
        <v>0</v>
      </c>
      <c r="D163" s="10" t="s">
        <v>91</v>
      </c>
      <c r="E163" s="10"/>
      <c r="F163" s="10"/>
      <c r="G163" s="10"/>
      <c r="H163" s="10" t="s">
        <v>84</v>
      </c>
      <c r="I163" s="10">
        <v>11</v>
      </c>
      <c r="J163" s="10" t="s">
        <v>2827</v>
      </c>
      <c r="K163" s="10" t="s">
        <v>42</v>
      </c>
      <c r="L163" s="10">
        <f>Table1[[#This Row],[ENR]]-Table1[[#This Row],[CREDIT]]</f>
        <v>7921.1900000000023</v>
      </c>
      <c r="M163" s="36">
        <v>190000</v>
      </c>
      <c r="N163" s="26">
        <v>197921.19</v>
      </c>
      <c r="O163" s="38" t="s">
        <v>43</v>
      </c>
      <c r="P163" s="25">
        <v>197921.19</v>
      </c>
      <c r="Q163" s="25">
        <v>180688.74</v>
      </c>
      <c r="R163" s="10">
        <v>53510</v>
      </c>
      <c r="S163" s="39">
        <v>27720</v>
      </c>
      <c r="T163" s="10" t="s">
        <v>44</v>
      </c>
      <c r="U163" s="10" t="s">
        <v>45</v>
      </c>
      <c r="V163" s="10">
        <v>0</v>
      </c>
      <c r="W163" s="25">
        <f>Table1[[#This Row],[STAB]]-Table1[[#This Row],[AMOUNT]]</f>
        <v>27720</v>
      </c>
      <c r="X163" s="10">
        <v>0</v>
      </c>
      <c r="Y163" s="10" t="s">
        <v>79</v>
      </c>
      <c r="Z163" s="10">
        <v>0</v>
      </c>
      <c r="AA163" s="10" t="s">
        <v>162</v>
      </c>
      <c r="AB163" s="36" t="s">
        <v>733</v>
      </c>
      <c r="AC163" s="10"/>
      <c r="AD163" s="9" t="s">
        <v>2861</v>
      </c>
      <c r="AE163" s="10" t="s">
        <v>2895</v>
      </c>
      <c r="AF163" s="10" t="s">
        <v>272</v>
      </c>
      <c r="AG163" s="10" t="s">
        <v>54</v>
      </c>
      <c r="AH163" s="10" t="s">
        <v>114</v>
      </c>
      <c r="AI163" s="10" t="s">
        <v>726</v>
      </c>
      <c r="AJ163" s="10">
        <v>801772792</v>
      </c>
      <c r="AK163" s="10" t="s">
        <v>105</v>
      </c>
      <c r="AL163" s="10"/>
      <c r="AM163" s="10"/>
      <c r="AN163" s="11" t="s">
        <v>390</v>
      </c>
      <c r="AO163" s="10" t="s">
        <v>392</v>
      </c>
      <c r="AP163" s="10" t="s">
        <v>4604</v>
      </c>
      <c r="AQ163" s="10" t="s">
        <v>4591</v>
      </c>
      <c r="AR163" s="2">
        <v>46182</v>
      </c>
      <c r="AS163" s="10">
        <v>12000</v>
      </c>
      <c r="AT163" s="10" t="s">
        <v>157</v>
      </c>
      <c r="AU163" s="10" t="s">
        <v>2622</v>
      </c>
      <c r="AV163" s="36" t="s">
        <v>2929</v>
      </c>
      <c r="AW163" s="1">
        <v>46202</v>
      </c>
    </row>
    <row r="164" spans="1:49" x14ac:dyDescent="0.25">
      <c r="A164" s="9" t="s">
        <v>2778</v>
      </c>
      <c r="B164" s="10" t="s">
        <v>2812</v>
      </c>
      <c r="C164" s="10">
        <v>0</v>
      </c>
      <c r="D164" s="10" t="s">
        <v>91</v>
      </c>
      <c r="E164" s="10"/>
      <c r="F164" s="10"/>
      <c r="G164" s="10"/>
      <c r="H164" s="10" t="s">
        <v>52</v>
      </c>
      <c r="I164" s="10">
        <v>11</v>
      </c>
      <c r="J164" s="10" t="s">
        <v>2846</v>
      </c>
      <c r="K164" s="10" t="s">
        <v>42</v>
      </c>
      <c r="L164" s="10">
        <f>Table1[[#This Row],[ENR]]-Table1[[#This Row],[CREDIT]]</f>
        <v>11512.779999999999</v>
      </c>
      <c r="M164" s="36">
        <v>170000</v>
      </c>
      <c r="N164" s="26">
        <v>181512.78</v>
      </c>
      <c r="O164" s="38" t="s">
        <v>43</v>
      </c>
      <c r="P164" s="25">
        <v>181512.78</v>
      </c>
      <c r="Q164" s="25">
        <v>162321.89000000001</v>
      </c>
      <c r="R164" s="10">
        <v>43510</v>
      </c>
      <c r="S164" s="39">
        <v>15470</v>
      </c>
      <c r="T164" s="10" t="s">
        <v>57</v>
      </c>
      <c r="U164" s="10" t="s">
        <v>14</v>
      </c>
      <c r="V164" s="25">
        <v>15500</v>
      </c>
      <c r="W164" s="25">
        <f>Table1[[#This Row],[STAB]]-Table1[[#This Row],[AMOUNT]]</f>
        <v>-30</v>
      </c>
      <c r="X164" s="10" t="s">
        <v>4619</v>
      </c>
      <c r="Y164" s="10" t="s">
        <v>402</v>
      </c>
      <c r="Z164" s="10" t="s">
        <v>403</v>
      </c>
      <c r="AA164" s="10" t="s">
        <v>162</v>
      </c>
      <c r="AB164" s="36" t="s">
        <v>736</v>
      </c>
      <c r="AC164" s="10"/>
      <c r="AD164" s="9" t="s">
        <v>2880</v>
      </c>
      <c r="AE164" s="10" t="s">
        <v>2913</v>
      </c>
      <c r="AF164" s="10" t="s">
        <v>283</v>
      </c>
      <c r="AG164" s="10" t="s">
        <v>53</v>
      </c>
      <c r="AH164" s="10" t="s">
        <v>356</v>
      </c>
      <c r="AI164" s="10" t="s">
        <v>2962</v>
      </c>
      <c r="AJ164" s="10">
        <v>801601134</v>
      </c>
      <c r="AK164" s="10" t="s">
        <v>104</v>
      </c>
      <c r="AL164" s="10"/>
      <c r="AM164" s="10"/>
      <c r="AN164" s="11" t="s">
        <v>390</v>
      </c>
      <c r="AO164" s="10"/>
      <c r="AP164" s="10"/>
      <c r="AQ164" s="10"/>
      <c r="AR164" s="2">
        <v>45411</v>
      </c>
      <c r="AS164" s="10">
        <v>61500</v>
      </c>
      <c r="AT164" s="10" t="s">
        <v>832</v>
      </c>
      <c r="AU164" s="10" t="s">
        <v>2622</v>
      </c>
      <c r="AV164" s="36" t="s">
        <v>2948</v>
      </c>
      <c r="AW164" s="1">
        <v>46202</v>
      </c>
    </row>
    <row r="165" spans="1:49" x14ac:dyDescent="0.25">
      <c r="A165" s="9" t="s">
        <v>1143</v>
      </c>
      <c r="B165" s="10" t="s">
        <v>1180</v>
      </c>
      <c r="C165" s="10">
        <v>0</v>
      </c>
      <c r="D165" s="10" t="s">
        <v>95</v>
      </c>
      <c r="E165" s="10">
        <v>1</v>
      </c>
      <c r="F165" s="10" t="s">
        <v>112</v>
      </c>
      <c r="G165" s="10" t="s">
        <v>737</v>
      </c>
      <c r="H165" s="10" t="s">
        <v>52</v>
      </c>
      <c r="I165" s="10">
        <v>11</v>
      </c>
      <c r="J165" s="10" t="s">
        <v>1217</v>
      </c>
      <c r="K165" s="10" t="s">
        <v>244</v>
      </c>
      <c r="L165" s="10">
        <f>Table1[[#This Row],[ENR]]-Table1[[#This Row],[CREDIT]]</f>
        <v>-129843.66</v>
      </c>
      <c r="M165" s="36">
        <v>300000</v>
      </c>
      <c r="N165" s="26">
        <v>170156.34</v>
      </c>
      <c r="O165" s="38" t="s">
        <v>43</v>
      </c>
      <c r="P165" s="25">
        <v>170156.34</v>
      </c>
      <c r="Q165" s="25">
        <v>155219.01999999999</v>
      </c>
      <c r="R165" s="10">
        <v>24240</v>
      </c>
      <c r="S165" s="39">
        <v>9250</v>
      </c>
      <c r="T165" s="10" t="s">
        <v>44</v>
      </c>
      <c r="U165" s="10" t="s">
        <v>45</v>
      </c>
      <c r="V165" s="10">
        <v>0</v>
      </c>
      <c r="W165" s="25">
        <f>Table1[[#This Row],[STAB]]-Table1[[#This Row],[AMOUNT]]</f>
        <v>9250</v>
      </c>
      <c r="X165" s="10">
        <v>0</v>
      </c>
      <c r="Y165" s="10" t="s">
        <v>79</v>
      </c>
      <c r="Z165" s="10">
        <v>0</v>
      </c>
      <c r="AA165" s="10" t="s">
        <v>162</v>
      </c>
      <c r="AB165" s="36" t="s">
        <v>736</v>
      </c>
      <c r="AC165" s="10"/>
      <c r="AD165" s="9" t="s">
        <v>1254</v>
      </c>
      <c r="AE165" s="10" t="s">
        <v>1291</v>
      </c>
      <c r="AF165" s="10" t="s">
        <v>686</v>
      </c>
      <c r="AG165" s="10" t="s">
        <v>324</v>
      </c>
      <c r="AH165" s="10" t="s">
        <v>722</v>
      </c>
      <c r="AI165" s="10" t="s">
        <v>370</v>
      </c>
      <c r="AJ165" s="10">
        <v>801448854</v>
      </c>
      <c r="AK165" s="10" t="s">
        <v>105</v>
      </c>
      <c r="AL165" s="10"/>
      <c r="AM165" s="10"/>
      <c r="AN165" s="11" t="s">
        <v>46</v>
      </c>
      <c r="AO165" s="10"/>
      <c r="AP165" s="10"/>
      <c r="AQ165" s="10"/>
      <c r="AR165" s="2">
        <v>45885</v>
      </c>
      <c r="AS165" s="10">
        <v>20020.03</v>
      </c>
      <c r="AT165" s="10" t="s">
        <v>157</v>
      </c>
      <c r="AU165" s="10" t="s">
        <v>1105</v>
      </c>
      <c r="AV165" s="36" t="s">
        <v>1333</v>
      </c>
      <c r="AW165" s="1">
        <v>46202</v>
      </c>
    </row>
    <row r="166" spans="1:49" x14ac:dyDescent="0.25">
      <c r="A166" s="9" t="s">
        <v>2773</v>
      </c>
      <c r="B166" s="10" t="s">
        <v>2807</v>
      </c>
      <c r="C166" s="10">
        <v>0</v>
      </c>
      <c r="D166" s="10" t="s">
        <v>91</v>
      </c>
      <c r="E166" s="10"/>
      <c r="F166" s="10"/>
      <c r="G166" s="10"/>
      <c r="H166" s="10" t="s">
        <v>52</v>
      </c>
      <c r="I166" s="10">
        <v>11</v>
      </c>
      <c r="J166" s="10" t="s">
        <v>2841</v>
      </c>
      <c r="K166" s="10" t="s">
        <v>42</v>
      </c>
      <c r="L166" s="10">
        <f>Table1[[#This Row],[ENR]]-Table1[[#This Row],[CREDIT]]</f>
        <v>16582.260000000009</v>
      </c>
      <c r="M166" s="36">
        <v>150000</v>
      </c>
      <c r="N166" s="26">
        <v>166582.26</v>
      </c>
      <c r="O166" s="38" t="s">
        <v>43</v>
      </c>
      <c r="P166" s="25">
        <v>166582.26</v>
      </c>
      <c r="Q166" s="25">
        <v>148388.57</v>
      </c>
      <c r="R166" s="10">
        <v>41100</v>
      </c>
      <c r="S166" s="39">
        <v>17320</v>
      </c>
      <c r="T166" s="10" t="s">
        <v>44</v>
      </c>
      <c r="U166" s="10" t="s">
        <v>45</v>
      </c>
      <c r="V166" s="10">
        <v>0</v>
      </c>
      <c r="W166" s="25">
        <f>Table1[[#This Row],[STAB]]-Table1[[#This Row],[AMOUNT]]</f>
        <v>17320</v>
      </c>
      <c r="X166" s="10">
        <v>0</v>
      </c>
      <c r="Y166" s="10" t="s">
        <v>79</v>
      </c>
      <c r="Z166" s="10">
        <v>0</v>
      </c>
      <c r="AA166" s="10" t="s">
        <v>162</v>
      </c>
      <c r="AB166" s="36" t="s">
        <v>734</v>
      </c>
      <c r="AC166" s="10"/>
      <c r="AD166" s="9" t="s">
        <v>2875</v>
      </c>
      <c r="AE166" s="10" t="s">
        <v>826</v>
      </c>
      <c r="AF166" s="10" t="s">
        <v>111</v>
      </c>
      <c r="AG166" s="10" t="s">
        <v>80</v>
      </c>
      <c r="AH166" s="10" t="s">
        <v>1957</v>
      </c>
      <c r="AI166" s="10" t="s">
        <v>82</v>
      </c>
      <c r="AJ166" s="10">
        <v>801723195</v>
      </c>
      <c r="AK166" s="10" t="s">
        <v>105</v>
      </c>
      <c r="AL166" s="10"/>
      <c r="AM166" s="10"/>
      <c r="AN166" s="11" t="s">
        <v>390</v>
      </c>
      <c r="AO166" s="10" t="s">
        <v>398</v>
      </c>
      <c r="AP166" s="10" t="s">
        <v>4559</v>
      </c>
      <c r="AQ166" s="10" t="s">
        <v>4535</v>
      </c>
      <c r="AR166" s="2">
        <v>46141</v>
      </c>
      <c r="AS166" s="10">
        <v>48000</v>
      </c>
      <c r="AT166" s="10" t="s">
        <v>157</v>
      </c>
      <c r="AU166" s="10" t="s">
        <v>2622</v>
      </c>
      <c r="AV166" s="36" t="s">
        <v>2943</v>
      </c>
      <c r="AW166" s="1">
        <v>46202</v>
      </c>
    </row>
    <row r="167" spans="1:49" x14ac:dyDescent="0.25">
      <c r="A167" s="9" t="s">
        <v>2765</v>
      </c>
      <c r="B167" s="10" t="s">
        <v>2799</v>
      </c>
      <c r="C167" s="10">
        <v>0</v>
      </c>
      <c r="D167" s="10" t="s">
        <v>91</v>
      </c>
      <c r="E167" s="10"/>
      <c r="F167" s="10" t="s">
        <v>112</v>
      </c>
      <c r="G167" s="10" t="s">
        <v>4963</v>
      </c>
      <c r="H167" s="10" t="s">
        <v>52</v>
      </c>
      <c r="I167" s="10">
        <v>11</v>
      </c>
      <c r="J167" s="10" t="s">
        <v>2833</v>
      </c>
      <c r="K167" s="10" t="s">
        <v>42</v>
      </c>
      <c r="L167" s="10">
        <f>Table1[[#This Row],[ENR]]-Table1[[#This Row],[CREDIT]]</f>
        <v>13788.910000000003</v>
      </c>
      <c r="M167" s="36">
        <v>130000</v>
      </c>
      <c r="N167" s="26">
        <v>143788.91</v>
      </c>
      <c r="O167" s="38" t="s">
        <v>43</v>
      </c>
      <c r="P167" s="25">
        <v>143788.91</v>
      </c>
      <c r="Q167" s="25">
        <v>128126.18</v>
      </c>
      <c r="R167" s="10">
        <v>36840</v>
      </c>
      <c r="S167" s="39">
        <v>14970</v>
      </c>
      <c r="T167" s="10" t="s">
        <v>57</v>
      </c>
      <c r="U167" s="10" t="s">
        <v>14</v>
      </c>
      <c r="V167" s="10">
        <v>14971</v>
      </c>
      <c r="W167" s="25">
        <f>Table1[[#This Row],[STAB]]-Table1[[#This Row],[AMOUNT]]</f>
        <v>-1</v>
      </c>
      <c r="X167" s="10" t="s">
        <v>4601</v>
      </c>
      <c r="Y167" s="10" t="s">
        <v>396</v>
      </c>
      <c r="Z167" s="10">
        <v>0</v>
      </c>
      <c r="AA167" s="10" t="s">
        <v>162</v>
      </c>
      <c r="AB167" s="36" t="s">
        <v>734</v>
      </c>
      <c r="AC167" s="10"/>
      <c r="AD167" s="9" t="s">
        <v>2867</v>
      </c>
      <c r="AE167" s="10" t="s">
        <v>2901</v>
      </c>
      <c r="AF167" s="10" t="s">
        <v>2619</v>
      </c>
      <c r="AG167" s="10" t="s">
        <v>53</v>
      </c>
      <c r="AH167" s="10" t="s">
        <v>55</v>
      </c>
      <c r="AI167" s="10" t="s">
        <v>365</v>
      </c>
      <c r="AJ167" s="10">
        <v>802824019</v>
      </c>
      <c r="AK167" s="10" t="s">
        <v>360</v>
      </c>
      <c r="AL167" s="10"/>
      <c r="AM167" s="10"/>
      <c r="AN167" s="11" t="s">
        <v>390</v>
      </c>
      <c r="AO167" s="10" t="s">
        <v>398</v>
      </c>
      <c r="AP167" s="10" t="s">
        <v>4573</v>
      </c>
      <c r="AQ167" s="10" t="s">
        <v>4566</v>
      </c>
      <c r="AR167" s="2">
        <v>46064</v>
      </c>
      <c r="AS167" s="10">
        <v>1</v>
      </c>
      <c r="AT167" s="10" t="s">
        <v>157</v>
      </c>
      <c r="AU167" s="10" t="s">
        <v>2622</v>
      </c>
      <c r="AV167" s="36" t="s">
        <v>2935</v>
      </c>
      <c r="AW167" s="1">
        <v>46202</v>
      </c>
    </row>
    <row r="168" spans="1:49" x14ac:dyDescent="0.25">
      <c r="A168" s="9" t="s">
        <v>2756</v>
      </c>
      <c r="B168" s="10" t="s">
        <v>2790</v>
      </c>
      <c r="C168" s="10">
        <v>0</v>
      </c>
      <c r="D168" s="10" t="s">
        <v>91</v>
      </c>
      <c r="E168" s="10"/>
      <c r="F168" s="10"/>
      <c r="G168" s="10"/>
      <c r="H168" s="10" t="s">
        <v>52</v>
      </c>
      <c r="I168" s="10">
        <v>11</v>
      </c>
      <c r="J168" s="10" t="s">
        <v>2824</v>
      </c>
      <c r="K168" s="10" t="s">
        <v>624</v>
      </c>
      <c r="L168" s="10">
        <f>Table1[[#This Row],[ENR]]-Table1[[#This Row],[CREDIT]]</f>
        <v>-6717.640000000014</v>
      </c>
      <c r="M168" s="36">
        <v>150000</v>
      </c>
      <c r="N168" s="26">
        <v>143282.35999999999</v>
      </c>
      <c r="O168" s="38" t="s">
        <v>43</v>
      </c>
      <c r="P168" s="25">
        <v>143282.35999999999</v>
      </c>
      <c r="Q168" s="25">
        <v>126987</v>
      </c>
      <c r="R168" s="10">
        <v>28690</v>
      </c>
      <c r="S168" s="39">
        <v>16530</v>
      </c>
      <c r="T168" s="10" t="s">
        <v>44</v>
      </c>
      <c r="U168" s="10" t="s">
        <v>45</v>
      </c>
      <c r="V168" s="10">
        <v>0</v>
      </c>
      <c r="W168" s="25">
        <f>Table1[[#This Row],[STAB]]-Table1[[#This Row],[AMOUNT]]</f>
        <v>16530</v>
      </c>
      <c r="X168" s="10">
        <v>0</v>
      </c>
      <c r="Y168" s="10" t="s">
        <v>79</v>
      </c>
      <c r="Z168" s="10">
        <v>0</v>
      </c>
      <c r="AA168" s="10" t="s">
        <v>162</v>
      </c>
      <c r="AB168" s="36" t="s">
        <v>736</v>
      </c>
      <c r="AC168" s="10"/>
      <c r="AD168" s="9" t="s">
        <v>2858</v>
      </c>
      <c r="AE168" s="10" t="s">
        <v>2892</v>
      </c>
      <c r="AF168" s="10" t="s">
        <v>498</v>
      </c>
      <c r="AG168" s="10" t="s">
        <v>53</v>
      </c>
      <c r="AH168" s="10" t="s">
        <v>90</v>
      </c>
      <c r="AI168" s="10" t="s">
        <v>162</v>
      </c>
      <c r="AJ168" s="10">
        <v>801772794</v>
      </c>
      <c r="AK168" s="10" t="s">
        <v>361</v>
      </c>
      <c r="AL168" s="10"/>
      <c r="AM168" s="10"/>
      <c r="AN168" s="11" t="s">
        <v>390</v>
      </c>
      <c r="AO168" s="10" t="s">
        <v>394</v>
      </c>
      <c r="AP168" s="10" t="s">
        <v>4617</v>
      </c>
      <c r="AQ168" s="10" t="s">
        <v>4591</v>
      </c>
      <c r="AR168" s="2">
        <v>45539</v>
      </c>
      <c r="AS168" s="10">
        <v>10000</v>
      </c>
      <c r="AT168" s="10" t="s">
        <v>157</v>
      </c>
      <c r="AU168" s="10" t="s">
        <v>2622</v>
      </c>
      <c r="AV168" s="36" t="s">
        <v>2926</v>
      </c>
      <c r="AW168" s="1">
        <v>46202</v>
      </c>
    </row>
    <row r="169" spans="1:49" x14ac:dyDescent="0.25">
      <c r="A169" s="9" t="s">
        <v>1146</v>
      </c>
      <c r="B169" s="10" t="s">
        <v>1183</v>
      </c>
      <c r="C169" s="10">
        <v>0</v>
      </c>
      <c r="D169" s="10" t="s">
        <v>91</v>
      </c>
      <c r="E169" s="10"/>
      <c r="F169" s="10"/>
      <c r="G169" s="10"/>
      <c r="H169" s="10" t="s">
        <v>52</v>
      </c>
      <c r="I169" s="10">
        <v>11</v>
      </c>
      <c r="J169" s="10" t="s">
        <v>1220</v>
      </c>
      <c r="K169" s="10" t="s">
        <v>42</v>
      </c>
      <c r="L169" s="10">
        <f>Table1[[#This Row],[ENR]]-Table1[[#This Row],[CREDIT]]</f>
        <v>13187.01999999999</v>
      </c>
      <c r="M169" s="36">
        <v>130000</v>
      </c>
      <c r="N169" s="26">
        <v>143187.01999999999</v>
      </c>
      <c r="O169" s="38" t="s">
        <v>43</v>
      </c>
      <c r="P169" s="25">
        <v>143187.01999999999</v>
      </c>
      <c r="Q169" s="25">
        <v>129638.31</v>
      </c>
      <c r="R169" s="10">
        <v>34210</v>
      </c>
      <c r="S169" s="39">
        <v>13270</v>
      </c>
      <c r="T169" s="10" t="s">
        <v>57</v>
      </c>
      <c r="U169" s="10" t="s">
        <v>13</v>
      </c>
      <c r="V169" s="10">
        <v>143187.01999999999</v>
      </c>
      <c r="W169" s="25">
        <f>Table1[[#This Row],[STAB]]-Table1[[#This Row],[AMOUNT]]</f>
        <v>-129917.01999999999</v>
      </c>
      <c r="X169" s="10" t="s">
        <v>1989</v>
      </c>
      <c r="Y169" s="10" t="s">
        <v>402</v>
      </c>
      <c r="Z169" s="10" t="s">
        <v>403</v>
      </c>
      <c r="AA169" s="10" t="s">
        <v>162</v>
      </c>
      <c r="AB169" s="36" t="s">
        <v>734</v>
      </c>
      <c r="AC169" s="10"/>
      <c r="AD169" s="9" t="s">
        <v>1257</v>
      </c>
      <c r="AE169" s="10" t="s">
        <v>1294</v>
      </c>
      <c r="AF169" s="10" t="s">
        <v>278</v>
      </c>
      <c r="AG169" s="10" t="s">
        <v>54</v>
      </c>
      <c r="AH169" s="10" t="s">
        <v>86</v>
      </c>
      <c r="AI169" s="10" t="s">
        <v>368</v>
      </c>
      <c r="AJ169" s="10">
        <v>802823175</v>
      </c>
      <c r="AK169" s="10" t="s">
        <v>105</v>
      </c>
      <c r="AL169" s="10"/>
      <c r="AM169" s="10"/>
      <c r="AN169" s="11" t="s">
        <v>390</v>
      </c>
      <c r="AO169" s="10"/>
      <c r="AP169" s="10"/>
      <c r="AQ169" s="10"/>
      <c r="AR169" s="2">
        <v>46112</v>
      </c>
      <c r="AS169" s="10">
        <v>12700</v>
      </c>
      <c r="AT169" s="10" t="s">
        <v>157</v>
      </c>
      <c r="AU169" s="10" t="s">
        <v>1105</v>
      </c>
      <c r="AV169" s="36" t="s">
        <v>1336</v>
      </c>
      <c r="AW169" s="1">
        <v>46202</v>
      </c>
    </row>
    <row r="170" spans="1:49" x14ac:dyDescent="0.25">
      <c r="A170" s="9" t="s">
        <v>2761</v>
      </c>
      <c r="B170" s="10" t="s">
        <v>2795</v>
      </c>
      <c r="C170" s="10">
        <v>0</v>
      </c>
      <c r="D170" s="10" t="s">
        <v>91</v>
      </c>
      <c r="E170" s="10"/>
      <c r="F170" s="10"/>
      <c r="G170" s="10"/>
      <c r="H170" s="10" t="s">
        <v>52</v>
      </c>
      <c r="I170" s="10">
        <v>11</v>
      </c>
      <c r="J170" s="10" t="s">
        <v>2829</v>
      </c>
      <c r="K170" s="10" t="s">
        <v>42</v>
      </c>
      <c r="L170" s="10">
        <f>Table1[[#This Row],[ENR]]-Table1[[#This Row],[CREDIT]]</f>
        <v>12188.829999999987</v>
      </c>
      <c r="M170" s="36">
        <v>130000</v>
      </c>
      <c r="N170" s="26">
        <v>142188.82999999999</v>
      </c>
      <c r="O170" s="38" t="s">
        <v>43</v>
      </c>
      <c r="P170" s="25">
        <v>142188.82999999999</v>
      </c>
      <c r="Q170" s="25">
        <v>127449.25</v>
      </c>
      <c r="R170" s="10">
        <v>34430</v>
      </c>
      <c r="S170" s="39">
        <v>13949</v>
      </c>
      <c r="T170" s="10" t="s">
        <v>44</v>
      </c>
      <c r="U170" s="10" t="s">
        <v>45</v>
      </c>
      <c r="V170" s="10">
        <v>0</v>
      </c>
      <c r="W170" s="25">
        <f>Table1[[#This Row],[STAB]]-Table1[[#This Row],[AMOUNT]]</f>
        <v>13949</v>
      </c>
      <c r="X170" s="10">
        <v>0</v>
      </c>
      <c r="Y170" s="10" t="s">
        <v>79</v>
      </c>
      <c r="Z170" s="10">
        <v>0</v>
      </c>
      <c r="AA170" s="10" t="s">
        <v>162</v>
      </c>
      <c r="AB170" s="36" t="s">
        <v>733</v>
      </c>
      <c r="AC170" s="10"/>
      <c r="AD170" s="9" t="s">
        <v>2863</v>
      </c>
      <c r="AE170" s="10" t="s">
        <v>2897</v>
      </c>
      <c r="AF170" s="10" t="s">
        <v>281</v>
      </c>
      <c r="AG170" s="10" t="s">
        <v>54</v>
      </c>
      <c r="AH170" s="10" t="s">
        <v>724</v>
      </c>
      <c r="AI170" s="10" t="s">
        <v>365</v>
      </c>
      <c r="AJ170" s="10">
        <v>802824019</v>
      </c>
      <c r="AK170" s="10" t="s">
        <v>360</v>
      </c>
      <c r="AL170" s="10"/>
      <c r="AM170" s="10"/>
      <c r="AN170" s="11" t="s">
        <v>46</v>
      </c>
      <c r="AO170" s="10"/>
      <c r="AP170" s="10"/>
      <c r="AQ170" s="10"/>
      <c r="AR170" s="2">
        <v>45694</v>
      </c>
      <c r="AS170" s="10">
        <v>24260</v>
      </c>
      <c r="AT170" s="10" t="s">
        <v>157</v>
      </c>
      <c r="AU170" s="10" t="s">
        <v>2622</v>
      </c>
      <c r="AV170" s="36" t="s">
        <v>2931</v>
      </c>
      <c r="AW170" s="1">
        <v>46202</v>
      </c>
    </row>
    <row r="171" spans="1:49" x14ac:dyDescent="0.25">
      <c r="A171" s="9" t="s">
        <v>1163</v>
      </c>
      <c r="B171" s="10" t="s">
        <v>1200</v>
      </c>
      <c r="C171" s="10" t="s">
        <v>97</v>
      </c>
      <c r="D171" s="10" t="s">
        <v>95</v>
      </c>
      <c r="E171" s="10">
        <v>1</v>
      </c>
      <c r="F171" s="10" t="s">
        <v>112</v>
      </c>
      <c r="G171" s="10" t="s">
        <v>737</v>
      </c>
      <c r="H171" s="10" t="s">
        <v>52</v>
      </c>
      <c r="I171" s="10">
        <v>11</v>
      </c>
      <c r="J171" s="10" t="s">
        <v>1237</v>
      </c>
      <c r="K171" s="10" t="s">
        <v>42</v>
      </c>
      <c r="L171" s="10">
        <f>Table1[[#This Row],[ENR]]-Table1[[#This Row],[CREDIT]]</f>
        <v>18539.390000000014</v>
      </c>
      <c r="M171" s="36">
        <v>120000</v>
      </c>
      <c r="N171" s="26">
        <v>138539.39000000001</v>
      </c>
      <c r="O171" s="38">
        <v>9253.67</v>
      </c>
      <c r="P171" s="25">
        <v>129285.72</v>
      </c>
      <c r="Q171" s="25">
        <v>116279.71</v>
      </c>
      <c r="R171" s="10">
        <v>33200</v>
      </c>
      <c r="S171" s="39">
        <v>9510</v>
      </c>
      <c r="T171" s="10" t="s">
        <v>44</v>
      </c>
      <c r="U171" s="10" t="s">
        <v>45</v>
      </c>
      <c r="V171" s="10">
        <v>0</v>
      </c>
      <c r="W171" s="25">
        <f>Table1[[#This Row],[STAB]]-Table1[[#This Row],[AMOUNT]]</f>
        <v>9510</v>
      </c>
      <c r="X171" s="10">
        <v>0</v>
      </c>
      <c r="Y171" s="10" t="s">
        <v>79</v>
      </c>
      <c r="Z171" s="10">
        <v>0</v>
      </c>
      <c r="AA171" s="10" t="s">
        <v>162</v>
      </c>
      <c r="AB171" s="36" t="s">
        <v>734</v>
      </c>
      <c r="AC171" s="10"/>
      <c r="AD171" s="9" t="s">
        <v>1274</v>
      </c>
      <c r="AE171" s="10" t="s">
        <v>1311</v>
      </c>
      <c r="AF171" s="10" t="s">
        <v>864</v>
      </c>
      <c r="AG171" s="10" t="s">
        <v>54</v>
      </c>
      <c r="AH171" s="10" t="s">
        <v>1398</v>
      </c>
      <c r="AI171" s="10" t="s">
        <v>162</v>
      </c>
      <c r="AJ171" s="10">
        <v>801772794</v>
      </c>
      <c r="AK171" s="10" t="s">
        <v>361</v>
      </c>
      <c r="AL171" s="10"/>
      <c r="AM171" s="10"/>
      <c r="AN171" s="11" t="s">
        <v>46</v>
      </c>
      <c r="AO171" s="10"/>
      <c r="AP171" s="10"/>
      <c r="AQ171" s="10"/>
      <c r="AR171" s="2" t="s">
        <v>43</v>
      </c>
      <c r="AS171" s="10">
        <v>0</v>
      </c>
      <c r="AT171" s="10" t="s">
        <v>48</v>
      </c>
      <c r="AU171" s="10" t="s">
        <v>1105</v>
      </c>
      <c r="AV171" s="36" t="s">
        <v>1353</v>
      </c>
      <c r="AW171" s="1">
        <v>46202</v>
      </c>
    </row>
    <row r="172" spans="1:49" x14ac:dyDescent="0.25">
      <c r="A172" s="9" t="s">
        <v>1150</v>
      </c>
      <c r="B172" s="10" t="s">
        <v>1187</v>
      </c>
      <c r="C172" s="10">
        <v>0</v>
      </c>
      <c r="D172" s="10" t="s">
        <v>91</v>
      </c>
      <c r="E172" s="10"/>
      <c r="F172" s="10" t="s">
        <v>112</v>
      </c>
      <c r="G172" s="10" t="s">
        <v>4964</v>
      </c>
      <c r="H172" s="10" t="s">
        <v>52</v>
      </c>
      <c r="I172" s="10">
        <v>11</v>
      </c>
      <c r="J172" s="10" t="s">
        <v>1224</v>
      </c>
      <c r="K172" s="10" t="s">
        <v>42</v>
      </c>
      <c r="L172" s="10">
        <f>Table1[[#This Row],[ENR]]-Table1[[#This Row],[CREDIT]]</f>
        <v>11947.51999999999</v>
      </c>
      <c r="M172" s="36">
        <v>120000</v>
      </c>
      <c r="N172" s="26">
        <v>131947.51999999999</v>
      </c>
      <c r="O172" s="38">
        <v>108571.34</v>
      </c>
      <c r="P172" s="25">
        <v>23376.18</v>
      </c>
      <c r="Q172" s="25">
        <v>9017.4</v>
      </c>
      <c r="R172" s="10">
        <v>23376.18</v>
      </c>
      <c r="S172" s="39">
        <v>6762.47</v>
      </c>
      <c r="T172" s="10" t="s">
        <v>57</v>
      </c>
      <c r="U172" s="10" t="s">
        <v>14</v>
      </c>
      <c r="V172" s="25">
        <v>7100</v>
      </c>
      <c r="W172" s="25">
        <f>Table1[[#This Row],[STAB]]-Table1[[#This Row],[AMOUNT]]</f>
        <v>-337.52999999999975</v>
      </c>
      <c r="X172" s="10" t="s">
        <v>4619</v>
      </c>
      <c r="Y172" s="10" t="s">
        <v>402</v>
      </c>
      <c r="Z172" s="10" t="s">
        <v>403</v>
      </c>
      <c r="AA172" s="10" t="s">
        <v>162</v>
      </c>
      <c r="AB172" s="36" t="s">
        <v>733</v>
      </c>
      <c r="AC172" s="10"/>
      <c r="AD172" s="9" t="s">
        <v>1261</v>
      </c>
      <c r="AE172" s="10" t="s">
        <v>1298</v>
      </c>
      <c r="AF172" s="10" t="s">
        <v>383</v>
      </c>
      <c r="AG172" s="10" t="s">
        <v>53</v>
      </c>
      <c r="AH172" s="10" t="s">
        <v>55</v>
      </c>
      <c r="AI172" s="10" t="s">
        <v>365</v>
      </c>
      <c r="AJ172" s="10">
        <v>802824019</v>
      </c>
      <c r="AK172" s="10" t="s">
        <v>360</v>
      </c>
      <c r="AL172" s="10"/>
      <c r="AM172" s="10"/>
      <c r="AN172" s="11" t="s">
        <v>390</v>
      </c>
      <c r="AO172" s="10" t="s">
        <v>392</v>
      </c>
      <c r="AP172" s="10" t="s">
        <v>4605</v>
      </c>
      <c r="AQ172" s="10" t="s">
        <v>4591</v>
      </c>
      <c r="AR172" s="2">
        <v>46123</v>
      </c>
      <c r="AS172" s="10">
        <v>17331</v>
      </c>
      <c r="AT172" s="10" t="s">
        <v>157</v>
      </c>
      <c r="AU172" s="10" t="s">
        <v>1105</v>
      </c>
      <c r="AV172" s="36" t="s">
        <v>1340</v>
      </c>
      <c r="AW172" s="1">
        <v>46202</v>
      </c>
    </row>
    <row r="173" spans="1:49" x14ac:dyDescent="0.25">
      <c r="A173" s="9" t="s">
        <v>1165</v>
      </c>
      <c r="B173" s="10" t="s">
        <v>1202</v>
      </c>
      <c r="C173" s="10">
        <v>0</v>
      </c>
      <c r="D173" s="10" t="s">
        <v>91</v>
      </c>
      <c r="E173" s="10"/>
      <c r="F173" s="10"/>
      <c r="G173" s="10"/>
      <c r="H173" s="10" t="s">
        <v>52</v>
      </c>
      <c r="I173" s="10">
        <v>11</v>
      </c>
      <c r="J173" s="10" t="s">
        <v>1239</v>
      </c>
      <c r="K173" s="10" t="s">
        <v>42</v>
      </c>
      <c r="L173" s="10">
        <f>Table1[[#This Row],[ENR]]-Table1[[#This Row],[CREDIT]]</f>
        <v>7857.0200000000041</v>
      </c>
      <c r="M173" s="36">
        <v>120000</v>
      </c>
      <c r="N173" s="26">
        <v>127857.02</v>
      </c>
      <c r="O173" s="38" t="s">
        <v>43</v>
      </c>
      <c r="P173" s="25">
        <v>127857.02</v>
      </c>
      <c r="Q173" s="25">
        <v>119956.72</v>
      </c>
      <c r="R173" s="10">
        <v>21940</v>
      </c>
      <c r="S173" s="39">
        <v>6000</v>
      </c>
      <c r="T173" s="10" t="s">
        <v>57</v>
      </c>
      <c r="U173" s="10" t="s">
        <v>14</v>
      </c>
      <c r="V173" s="25">
        <v>6000</v>
      </c>
      <c r="W173" s="25">
        <f>Table1[[#This Row],[STAB]]-Table1[[#This Row],[AMOUNT]]</f>
        <v>0</v>
      </c>
      <c r="X173" s="10" t="s">
        <v>4619</v>
      </c>
      <c r="Y173" s="10" t="s">
        <v>402</v>
      </c>
      <c r="Z173" s="10" t="s">
        <v>403</v>
      </c>
      <c r="AA173" s="10" t="s">
        <v>162</v>
      </c>
      <c r="AB173" s="36" t="s">
        <v>736</v>
      </c>
      <c r="AC173" s="10"/>
      <c r="AD173" s="9" t="s">
        <v>1276</v>
      </c>
      <c r="AE173" s="10" t="s">
        <v>1313</v>
      </c>
      <c r="AF173" s="10" t="s">
        <v>85</v>
      </c>
      <c r="AG173" s="10" t="s">
        <v>54</v>
      </c>
      <c r="AH173" s="10" t="s">
        <v>89</v>
      </c>
      <c r="AI173" s="10" t="s">
        <v>106</v>
      </c>
      <c r="AJ173" s="10">
        <v>802370852</v>
      </c>
      <c r="AK173" s="10" t="s">
        <v>105</v>
      </c>
      <c r="AL173" s="10"/>
      <c r="AM173" s="10"/>
      <c r="AN173" s="11" t="s">
        <v>390</v>
      </c>
      <c r="AO173" s="10" t="s">
        <v>398</v>
      </c>
      <c r="AP173" s="10" t="s">
        <v>4569</v>
      </c>
      <c r="AQ173" s="10" t="s">
        <v>4566</v>
      </c>
      <c r="AR173" s="2">
        <v>45960</v>
      </c>
      <c r="AS173" s="10">
        <v>119478.8</v>
      </c>
      <c r="AT173" s="10" t="s">
        <v>937</v>
      </c>
      <c r="AU173" s="10" t="s">
        <v>1105</v>
      </c>
      <c r="AV173" s="36" t="s">
        <v>1355</v>
      </c>
      <c r="AW173" s="1">
        <v>46202</v>
      </c>
    </row>
    <row r="174" spans="1:49" x14ac:dyDescent="0.25">
      <c r="A174" s="9" t="s">
        <v>1158</v>
      </c>
      <c r="B174" s="10" t="s">
        <v>1195</v>
      </c>
      <c r="C174" s="10">
        <v>0</v>
      </c>
      <c r="D174" s="10" t="s">
        <v>91</v>
      </c>
      <c r="E174" s="10"/>
      <c r="F174" s="10"/>
      <c r="G174" s="10"/>
      <c r="H174" s="10" t="s">
        <v>52</v>
      </c>
      <c r="I174" s="10">
        <v>11</v>
      </c>
      <c r="J174" s="10" t="s">
        <v>1232</v>
      </c>
      <c r="K174" s="10" t="s">
        <v>244</v>
      </c>
      <c r="L174" s="10">
        <f>Table1[[#This Row],[ENR]]-Table1[[#This Row],[CREDIT]]</f>
        <v>-63671.619999999995</v>
      </c>
      <c r="M174" s="36">
        <v>190000</v>
      </c>
      <c r="N174" s="26">
        <v>126328.38</v>
      </c>
      <c r="O174" s="38" t="s">
        <v>43</v>
      </c>
      <c r="P174" s="25">
        <v>126328.38</v>
      </c>
      <c r="Q174" s="25">
        <v>114598.84</v>
      </c>
      <c r="R174" s="10">
        <v>18090</v>
      </c>
      <c r="S174" s="39">
        <v>6970</v>
      </c>
      <c r="T174" s="10" t="s">
        <v>57</v>
      </c>
      <c r="U174" s="10" t="s">
        <v>14</v>
      </c>
      <c r="V174" s="25">
        <v>7000</v>
      </c>
      <c r="W174" s="25">
        <f>Table1[[#This Row],[STAB]]-Table1[[#This Row],[AMOUNT]]</f>
        <v>-30</v>
      </c>
      <c r="X174" s="10" t="s">
        <v>4619</v>
      </c>
      <c r="Y174" s="10" t="s">
        <v>402</v>
      </c>
      <c r="Z174" s="10" t="s">
        <v>403</v>
      </c>
      <c r="AA174" s="10" t="s">
        <v>162</v>
      </c>
      <c r="AB174" s="10" t="s">
        <v>735</v>
      </c>
      <c r="AC174" s="10"/>
      <c r="AD174" s="9" t="s">
        <v>1269</v>
      </c>
      <c r="AE174" s="10" t="s">
        <v>1306</v>
      </c>
      <c r="AF174" s="10" t="s">
        <v>686</v>
      </c>
      <c r="AG174" s="10" t="s">
        <v>324</v>
      </c>
      <c r="AH174" s="10" t="s">
        <v>722</v>
      </c>
      <c r="AI174" s="10" t="s">
        <v>370</v>
      </c>
      <c r="AJ174" s="10">
        <v>801448854</v>
      </c>
      <c r="AK174" s="10" t="s">
        <v>105</v>
      </c>
      <c r="AL174" s="10"/>
      <c r="AM174" s="10"/>
      <c r="AN174" s="11" t="s">
        <v>390</v>
      </c>
      <c r="AO174" s="10"/>
      <c r="AP174" s="10"/>
      <c r="AQ174" s="10"/>
      <c r="AR174" s="2">
        <v>46092</v>
      </c>
      <c r="AS174" s="10">
        <v>3600</v>
      </c>
      <c r="AT174" s="10" t="s">
        <v>689</v>
      </c>
      <c r="AU174" s="10" t="s">
        <v>1105</v>
      </c>
      <c r="AV174" s="36" t="s">
        <v>1348</v>
      </c>
      <c r="AW174" s="1">
        <v>46202</v>
      </c>
    </row>
    <row r="175" spans="1:49" x14ac:dyDescent="0.25">
      <c r="A175" s="9" t="s">
        <v>2782</v>
      </c>
      <c r="B175" s="10" t="s">
        <v>2816</v>
      </c>
      <c r="C175" s="10">
        <v>0</v>
      </c>
      <c r="D175" s="10" t="s">
        <v>91</v>
      </c>
      <c r="E175" s="10"/>
      <c r="F175" s="10"/>
      <c r="G175" s="10"/>
      <c r="H175" s="10" t="s">
        <v>52</v>
      </c>
      <c r="I175" s="10">
        <v>11</v>
      </c>
      <c r="J175" s="10" t="s">
        <v>2850</v>
      </c>
      <c r="K175" s="10" t="s">
        <v>42</v>
      </c>
      <c r="L175" s="10">
        <f>Table1[[#This Row],[ENR]]-Table1[[#This Row],[CREDIT]]</f>
        <v>6118.6300000000047</v>
      </c>
      <c r="M175" s="36">
        <v>120000</v>
      </c>
      <c r="N175" s="26">
        <v>126118.63</v>
      </c>
      <c r="O175" s="38" t="s">
        <v>43</v>
      </c>
      <c r="P175" s="25">
        <v>126118.63</v>
      </c>
      <c r="Q175" s="25">
        <v>108469.79</v>
      </c>
      <c r="R175" s="10">
        <v>30380</v>
      </c>
      <c r="S175" s="39">
        <v>10050</v>
      </c>
      <c r="T175" s="10" t="s">
        <v>57</v>
      </c>
      <c r="U175" s="10" t="s">
        <v>14</v>
      </c>
      <c r="V175" s="25">
        <v>11354.49</v>
      </c>
      <c r="W175" s="25">
        <f>Table1[[#This Row],[STAB]]-Table1[[#This Row],[AMOUNT]]</f>
        <v>-1304.4899999999998</v>
      </c>
      <c r="X175" s="10" t="s">
        <v>4591</v>
      </c>
      <c r="Y175" s="10" t="s">
        <v>402</v>
      </c>
      <c r="Z175" s="10" t="s">
        <v>403</v>
      </c>
      <c r="AA175" s="10" t="s">
        <v>162</v>
      </c>
      <c r="AB175" s="10" t="s">
        <v>735</v>
      </c>
      <c r="AC175" s="10"/>
      <c r="AD175" s="9" t="s">
        <v>2884</v>
      </c>
      <c r="AE175" s="10" t="s">
        <v>2917</v>
      </c>
      <c r="AF175" s="10" t="s">
        <v>111</v>
      </c>
      <c r="AG175" s="10" t="s">
        <v>53</v>
      </c>
      <c r="AH175" s="10" t="s">
        <v>1957</v>
      </c>
      <c r="AI175" s="10" t="s">
        <v>82</v>
      </c>
      <c r="AJ175" s="10">
        <v>801723195</v>
      </c>
      <c r="AK175" s="10" t="s">
        <v>105</v>
      </c>
      <c r="AL175" s="10"/>
      <c r="AM175" s="10"/>
      <c r="AN175" s="11" t="s">
        <v>390</v>
      </c>
      <c r="AO175" s="10"/>
      <c r="AP175" s="10"/>
      <c r="AQ175" s="10"/>
      <c r="AR175" s="2">
        <v>46149</v>
      </c>
      <c r="AS175" s="10">
        <v>12400</v>
      </c>
      <c r="AT175" s="10" t="s">
        <v>1930</v>
      </c>
      <c r="AU175" s="10" t="s">
        <v>2622</v>
      </c>
      <c r="AV175" s="36" t="s">
        <v>2952</v>
      </c>
      <c r="AW175" s="1">
        <v>46202</v>
      </c>
    </row>
    <row r="176" spans="1:49" x14ac:dyDescent="0.25">
      <c r="A176" s="9" t="s">
        <v>2754</v>
      </c>
      <c r="B176" s="10" t="s">
        <v>2788</v>
      </c>
      <c r="C176" s="10">
        <v>0</v>
      </c>
      <c r="D176" s="10" t="s">
        <v>91</v>
      </c>
      <c r="E176" s="10"/>
      <c r="F176" s="10"/>
      <c r="G176" s="10"/>
      <c r="H176" s="10" t="s">
        <v>52</v>
      </c>
      <c r="I176" s="10">
        <v>11</v>
      </c>
      <c r="J176" s="10" t="s">
        <v>2822</v>
      </c>
      <c r="K176" s="10" t="s">
        <v>624</v>
      </c>
      <c r="L176" s="10">
        <f>Table1[[#This Row],[ENR]]-Table1[[#This Row],[CREDIT]]</f>
        <v>-85552.84</v>
      </c>
      <c r="M176" s="36">
        <v>210000</v>
      </c>
      <c r="N176" s="26">
        <v>124447.16</v>
      </c>
      <c r="O176" s="38" t="s">
        <v>43</v>
      </c>
      <c r="P176" s="25">
        <v>124447.16</v>
      </c>
      <c r="Q176" s="25">
        <v>118863.94</v>
      </c>
      <c r="R176" s="10">
        <v>13440</v>
      </c>
      <c r="S176" s="39">
        <v>6740</v>
      </c>
      <c r="T176" s="10" t="s">
        <v>57</v>
      </c>
      <c r="U176" s="10" t="s">
        <v>13</v>
      </c>
      <c r="V176" s="10">
        <v>13440</v>
      </c>
      <c r="W176" s="25">
        <f>Table1[[#This Row],[STAB]]-Table1[[#This Row],[AMOUNT]]</f>
        <v>-6700</v>
      </c>
      <c r="X176" s="10" t="s">
        <v>4535</v>
      </c>
      <c r="Y176" s="10" t="s">
        <v>396</v>
      </c>
      <c r="Z176" s="10" t="s">
        <v>403</v>
      </c>
      <c r="AA176" s="10" t="s">
        <v>162</v>
      </c>
      <c r="AB176" s="36" t="s">
        <v>734</v>
      </c>
      <c r="AC176" s="10"/>
      <c r="AD176" s="9" t="s">
        <v>2856</v>
      </c>
      <c r="AE176" s="10" t="s">
        <v>2890</v>
      </c>
      <c r="AF176" s="10" t="s">
        <v>498</v>
      </c>
      <c r="AG176" s="10" t="s">
        <v>53</v>
      </c>
      <c r="AH176" s="10" t="s">
        <v>90</v>
      </c>
      <c r="AI176" s="10" t="s">
        <v>162</v>
      </c>
      <c r="AJ176" s="10">
        <v>801772794</v>
      </c>
      <c r="AK176" s="10" t="s">
        <v>361</v>
      </c>
      <c r="AL176" s="10"/>
      <c r="AM176" s="10"/>
      <c r="AN176" s="11" t="s">
        <v>390</v>
      </c>
      <c r="AO176" s="10"/>
      <c r="AP176" s="10"/>
      <c r="AQ176" s="10"/>
      <c r="AR176" s="2">
        <v>45986</v>
      </c>
      <c r="AS176" s="10">
        <v>12736.33</v>
      </c>
      <c r="AT176" s="10" t="s">
        <v>938</v>
      </c>
      <c r="AU176" s="10" t="s">
        <v>2622</v>
      </c>
      <c r="AV176" s="36" t="s">
        <v>2924</v>
      </c>
      <c r="AW176" s="1">
        <v>46202</v>
      </c>
    </row>
    <row r="177" spans="1:49" x14ac:dyDescent="0.25">
      <c r="A177" s="9" t="s">
        <v>1137</v>
      </c>
      <c r="B177" s="10" t="s">
        <v>1174</v>
      </c>
      <c r="C177" s="10">
        <v>0</v>
      </c>
      <c r="D177" s="10" t="s">
        <v>91</v>
      </c>
      <c r="E177" s="10"/>
      <c r="F177" s="10"/>
      <c r="G177" s="10"/>
      <c r="H177" s="10" t="s">
        <v>52</v>
      </c>
      <c r="I177" s="10">
        <v>11</v>
      </c>
      <c r="J177" s="10" t="s">
        <v>1211</v>
      </c>
      <c r="K177" s="10" t="s">
        <v>42</v>
      </c>
      <c r="L177" s="10">
        <f>Table1[[#This Row],[ENR]]-Table1[[#This Row],[CREDIT]]</f>
        <v>-15772.14</v>
      </c>
      <c r="M177" s="36">
        <v>140000</v>
      </c>
      <c r="N177" s="26">
        <v>124227.86</v>
      </c>
      <c r="O177" s="38" t="s">
        <v>43</v>
      </c>
      <c r="P177" s="25">
        <v>124227.86</v>
      </c>
      <c r="Q177" s="25">
        <v>113989.02</v>
      </c>
      <c r="R177" s="10">
        <v>17610</v>
      </c>
      <c r="S177" s="39">
        <v>6660</v>
      </c>
      <c r="T177" s="10" t="s">
        <v>57</v>
      </c>
      <c r="U177" s="10" t="s">
        <v>14</v>
      </c>
      <c r="V177" s="25">
        <v>6665</v>
      </c>
      <c r="W177" s="25">
        <f>Table1[[#This Row],[STAB]]-Table1[[#This Row],[AMOUNT]]</f>
        <v>-5</v>
      </c>
      <c r="X177" s="10" t="s">
        <v>4923</v>
      </c>
      <c r="Y177" s="10" t="s">
        <v>402</v>
      </c>
      <c r="Z177" s="10" t="s">
        <v>1968</v>
      </c>
      <c r="AA177" s="10" t="s">
        <v>162</v>
      </c>
      <c r="AB177" s="10" t="s">
        <v>735</v>
      </c>
      <c r="AC177" s="10"/>
      <c r="AD177" s="9" t="s">
        <v>1248</v>
      </c>
      <c r="AE177" s="10" t="s">
        <v>1285</v>
      </c>
      <c r="AF177" s="10" t="s">
        <v>281</v>
      </c>
      <c r="AG177" s="10" t="s">
        <v>80</v>
      </c>
      <c r="AH177" s="10" t="s">
        <v>2000</v>
      </c>
      <c r="AI177" s="10" t="s">
        <v>82</v>
      </c>
      <c r="AJ177" s="10">
        <v>801723195</v>
      </c>
      <c r="AK177" s="10" t="s">
        <v>105</v>
      </c>
      <c r="AL177" s="10"/>
      <c r="AM177" s="10"/>
      <c r="AN177" s="11" t="s">
        <v>390</v>
      </c>
      <c r="AO177" s="10" t="s">
        <v>398</v>
      </c>
      <c r="AP177" s="10" t="s">
        <v>4628</v>
      </c>
      <c r="AQ177" s="10" t="s">
        <v>4619</v>
      </c>
      <c r="AR177" s="2">
        <v>45583</v>
      </c>
      <c r="AS177" s="10">
        <v>6780</v>
      </c>
      <c r="AT177" s="10" t="s">
        <v>938</v>
      </c>
      <c r="AU177" s="10" t="s">
        <v>1105</v>
      </c>
      <c r="AV177" s="36" t="s">
        <v>1327</v>
      </c>
      <c r="AW177" s="1">
        <v>46202</v>
      </c>
    </row>
    <row r="178" spans="1:49" x14ac:dyDescent="0.25">
      <c r="A178" s="40" t="s">
        <v>2753</v>
      </c>
      <c r="B178" s="11" t="s">
        <v>2787</v>
      </c>
      <c r="C178" s="10">
        <v>0</v>
      </c>
      <c r="D178" s="10" t="s">
        <v>91</v>
      </c>
      <c r="E178" s="11"/>
      <c r="F178" s="11"/>
      <c r="G178" s="11"/>
      <c r="H178" s="10" t="s">
        <v>52</v>
      </c>
      <c r="I178" s="11">
        <v>11</v>
      </c>
      <c r="J178" s="11" t="s">
        <v>2821</v>
      </c>
      <c r="K178" s="11" t="s">
        <v>42</v>
      </c>
      <c r="L178" s="11">
        <f>Table1[[#This Row],[ENR]]-Table1[[#This Row],[CREDIT]]</f>
        <v>-6650.0299999999988</v>
      </c>
      <c r="M178" s="41">
        <v>125000</v>
      </c>
      <c r="N178" s="42">
        <v>118349.97</v>
      </c>
      <c r="O178" s="43" t="s">
        <v>43</v>
      </c>
      <c r="P178" s="44">
        <v>118349.97</v>
      </c>
      <c r="Q178" s="44">
        <v>107795.75</v>
      </c>
      <c r="R178" s="11">
        <v>28110</v>
      </c>
      <c r="S178" s="45">
        <v>12920</v>
      </c>
      <c r="T178" s="10" t="s">
        <v>57</v>
      </c>
      <c r="U178" s="10" t="s">
        <v>13</v>
      </c>
      <c r="V178" s="10">
        <v>50000</v>
      </c>
      <c r="W178" s="44">
        <f>Table1[[#This Row],[STAB]]-Table1[[#This Row],[AMOUNT]]</f>
        <v>-37080</v>
      </c>
      <c r="X178" s="10" t="s">
        <v>4591</v>
      </c>
      <c r="Y178" s="10" t="s">
        <v>402</v>
      </c>
      <c r="Z178" s="10" t="s">
        <v>403</v>
      </c>
      <c r="AA178" s="10" t="s">
        <v>162</v>
      </c>
      <c r="AB178" s="36" t="s">
        <v>733</v>
      </c>
      <c r="AC178" s="11"/>
      <c r="AD178" s="40" t="s">
        <v>2855</v>
      </c>
      <c r="AE178" s="11" t="s">
        <v>2889</v>
      </c>
      <c r="AF178" s="11" t="s">
        <v>280</v>
      </c>
      <c r="AG178" s="11" t="s">
        <v>54</v>
      </c>
      <c r="AH178" s="10" t="s">
        <v>523</v>
      </c>
      <c r="AI178" s="10" t="s">
        <v>371</v>
      </c>
      <c r="AJ178" s="11">
        <v>802835406</v>
      </c>
      <c r="AK178" s="11" t="s">
        <v>362</v>
      </c>
      <c r="AL178" s="11"/>
      <c r="AM178" s="11"/>
      <c r="AN178" s="11" t="s">
        <v>390</v>
      </c>
      <c r="AO178" s="11" t="s">
        <v>392</v>
      </c>
      <c r="AP178" s="11" t="s">
        <v>4564</v>
      </c>
      <c r="AQ178" s="11" t="s">
        <v>4535</v>
      </c>
      <c r="AR178" s="46">
        <v>45669</v>
      </c>
      <c r="AS178" s="11">
        <v>2888.62</v>
      </c>
      <c r="AT178" s="11" t="s">
        <v>288</v>
      </c>
      <c r="AU178" s="10" t="s">
        <v>2622</v>
      </c>
      <c r="AV178" s="41" t="s">
        <v>2923</v>
      </c>
      <c r="AW178" s="47">
        <v>46202</v>
      </c>
    </row>
    <row r="179" spans="1:49" x14ac:dyDescent="0.25">
      <c r="A179" s="9" t="s">
        <v>1136</v>
      </c>
      <c r="B179" s="10" t="s">
        <v>768</v>
      </c>
      <c r="C179" s="10">
        <v>0</v>
      </c>
      <c r="D179" s="10" t="s">
        <v>91</v>
      </c>
      <c r="E179" s="10"/>
      <c r="F179" s="10"/>
      <c r="G179" s="10"/>
      <c r="H179" s="10" t="s">
        <v>52</v>
      </c>
      <c r="I179" s="10">
        <v>11</v>
      </c>
      <c r="J179" s="10" t="s">
        <v>784</v>
      </c>
      <c r="K179" s="10" t="s">
        <v>42</v>
      </c>
      <c r="L179" s="10">
        <f>Table1[[#This Row],[ENR]]-Table1[[#This Row],[CREDIT]]</f>
        <v>-303045.37</v>
      </c>
      <c r="M179" s="36">
        <v>420000</v>
      </c>
      <c r="N179" s="26">
        <v>116954.63</v>
      </c>
      <c r="O179" s="38" t="s">
        <v>43</v>
      </c>
      <c r="P179" s="25">
        <v>116954.63</v>
      </c>
      <c r="Q179" s="25">
        <v>106396.82</v>
      </c>
      <c r="R179" s="10">
        <v>17830</v>
      </c>
      <c r="S179" s="39">
        <v>6120</v>
      </c>
      <c r="T179" s="10" t="s">
        <v>57</v>
      </c>
      <c r="U179" s="10" t="s">
        <v>13</v>
      </c>
      <c r="V179" s="10">
        <v>17830</v>
      </c>
      <c r="W179" s="25">
        <f>Table1[[#This Row],[STAB]]-Table1[[#This Row],[AMOUNT]]</f>
        <v>-11710</v>
      </c>
      <c r="X179" s="10" t="s">
        <v>4530</v>
      </c>
      <c r="Y179" s="10" t="s">
        <v>402</v>
      </c>
      <c r="Z179" s="10" t="s">
        <v>403</v>
      </c>
      <c r="AA179" s="10" t="s">
        <v>162</v>
      </c>
      <c r="AB179" s="36" t="s">
        <v>736</v>
      </c>
      <c r="AC179" s="10"/>
      <c r="AD179" s="9" t="s">
        <v>801</v>
      </c>
      <c r="AE179" s="10" t="s">
        <v>818</v>
      </c>
      <c r="AF179" s="10" t="s">
        <v>278</v>
      </c>
      <c r="AG179" s="10" t="s">
        <v>54</v>
      </c>
      <c r="AH179" s="10" t="s">
        <v>86</v>
      </c>
      <c r="AI179" s="10" t="s">
        <v>368</v>
      </c>
      <c r="AJ179" s="10">
        <v>802823175</v>
      </c>
      <c r="AK179" s="10" t="s">
        <v>105</v>
      </c>
      <c r="AL179" s="10"/>
      <c r="AM179" s="10"/>
      <c r="AN179" s="11" t="s">
        <v>390</v>
      </c>
      <c r="AO179" s="10" t="s">
        <v>392</v>
      </c>
      <c r="AP179" s="10" t="s">
        <v>1975</v>
      </c>
      <c r="AQ179" s="10" t="s">
        <v>1961</v>
      </c>
      <c r="AR179" s="2">
        <v>45879</v>
      </c>
      <c r="AS179" s="10">
        <v>14170</v>
      </c>
      <c r="AT179" s="10" t="s">
        <v>48</v>
      </c>
      <c r="AU179" s="10" t="s">
        <v>1105</v>
      </c>
      <c r="AV179" s="36" t="s">
        <v>1326</v>
      </c>
      <c r="AW179" s="1">
        <v>46202</v>
      </c>
    </row>
    <row r="180" spans="1:49" x14ac:dyDescent="0.25">
      <c r="A180" s="9" t="s">
        <v>2779</v>
      </c>
      <c r="B180" s="10" t="s">
        <v>2813</v>
      </c>
      <c r="C180" s="10">
        <v>0</v>
      </c>
      <c r="D180" s="10" t="s">
        <v>91</v>
      </c>
      <c r="E180" s="10"/>
      <c r="F180" s="10"/>
      <c r="G180" s="10"/>
      <c r="H180" s="10" t="s">
        <v>52</v>
      </c>
      <c r="I180" s="10">
        <v>11</v>
      </c>
      <c r="J180" s="10" t="s">
        <v>2847</v>
      </c>
      <c r="K180" s="10" t="s">
        <v>42</v>
      </c>
      <c r="L180" s="10">
        <f>Table1[[#This Row],[ENR]]-Table1[[#This Row],[CREDIT]]</f>
        <v>5172.1499999999942</v>
      </c>
      <c r="M180" s="36">
        <v>110000</v>
      </c>
      <c r="N180" s="26">
        <v>115172.15</v>
      </c>
      <c r="O180" s="38" t="s">
        <v>43</v>
      </c>
      <c r="P180" s="25">
        <v>115172.15</v>
      </c>
      <c r="Q180" s="25">
        <v>102716.53</v>
      </c>
      <c r="R180" s="10">
        <v>23810</v>
      </c>
      <c r="S180" s="39">
        <v>7500</v>
      </c>
      <c r="T180" s="10" t="s">
        <v>57</v>
      </c>
      <c r="U180" s="10" t="s">
        <v>13</v>
      </c>
      <c r="V180" s="10">
        <v>23810</v>
      </c>
      <c r="W180" s="25">
        <f>Table1[[#This Row],[STAB]]-Table1[[#This Row],[AMOUNT]]</f>
        <v>-16310</v>
      </c>
      <c r="X180" s="10" t="s">
        <v>2004</v>
      </c>
      <c r="Y180" s="10" t="s">
        <v>402</v>
      </c>
      <c r="Z180" s="10" t="s">
        <v>403</v>
      </c>
      <c r="AA180" s="10" t="s">
        <v>162</v>
      </c>
      <c r="AB180" s="36" t="s">
        <v>734</v>
      </c>
      <c r="AC180" s="10"/>
      <c r="AD180" s="9" t="s">
        <v>2881</v>
      </c>
      <c r="AE180" s="10" t="s">
        <v>2914</v>
      </c>
      <c r="AF180" s="10" t="s">
        <v>276</v>
      </c>
      <c r="AG180" s="10" t="s">
        <v>324</v>
      </c>
      <c r="AH180" s="10" t="s">
        <v>354</v>
      </c>
      <c r="AI180" s="10" t="s">
        <v>367</v>
      </c>
      <c r="AJ180" s="10">
        <v>801436997</v>
      </c>
      <c r="AK180" s="10" t="s">
        <v>104</v>
      </c>
      <c r="AL180" s="10"/>
      <c r="AM180" s="10"/>
      <c r="AN180" s="11" t="s">
        <v>390</v>
      </c>
      <c r="AO180" s="10"/>
      <c r="AP180" s="10"/>
      <c r="AQ180" s="10"/>
      <c r="AR180" s="2">
        <v>45636</v>
      </c>
      <c r="AS180" s="10">
        <v>12600</v>
      </c>
      <c r="AT180" s="10" t="s">
        <v>503</v>
      </c>
      <c r="AU180" s="10" t="s">
        <v>2622</v>
      </c>
      <c r="AV180" s="36" t="s">
        <v>2949</v>
      </c>
      <c r="AW180" s="1">
        <v>46202</v>
      </c>
    </row>
    <row r="181" spans="1:49" x14ac:dyDescent="0.25">
      <c r="A181" s="9" t="s">
        <v>1133</v>
      </c>
      <c r="B181" s="10" t="s">
        <v>1171</v>
      </c>
      <c r="C181" s="10">
        <v>0</v>
      </c>
      <c r="D181" s="10" t="s">
        <v>91</v>
      </c>
      <c r="E181" s="10"/>
      <c r="F181" s="10"/>
      <c r="G181" s="10"/>
      <c r="H181" s="10" t="s">
        <v>52</v>
      </c>
      <c r="I181" s="10">
        <v>11</v>
      </c>
      <c r="J181" s="10" t="s">
        <v>1208</v>
      </c>
      <c r="K181" s="10" t="s">
        <v>42</v>
      </c>
      <c r="L181" s="10">
        <f>Table1[[#This Row],[ENR]]-Table1[[#This Row],[CREDIT]]</f>
        <v>-135140.10999999999</v>
      </c>
      <c r="M181" s="36">
        <v>250000</v>
      </c>
      <c r="N181" s="26">
        <v>114859.89</v>
      </c>
      <c r="O181" s="38" t="s">
        <v>43</v>
      </c>
      <c r="P181" s="25">
        <v>114859.89</v>
      </c>
      <c r="Q181" s="25">
        <v>99865.44</v>
      </c>
      <c r="R181" s="10">
        <v>24740</v>
      </c>
      <c r="S181" s="39">
        <v>5000</v>
      </c>
      <c r="T181" s="10" t="s">
        <v>44</v>
      </c>
      <c r="U181" s="10" t="s">
        <v>45</v>
      </c>
      <c r="V181" s="10">
        <v>0</v>
      </c>
      <c r="W181" s="25">
        <f>Table1[[#This Row],[STAB]]-Table1[[#This Row],[AMOUNT]]</f>
        <v>5000</v>
      </c>
      <c r="X181" s="10">
        <v>0</v>
      </c>
      <c r="Y181" s="10" t="s">
        <v>79</v>
      </c>
      <c r="Z181" s="10" t="s">
        <v>963</v>
      </c>
      <c r="AA181" s="10" t="s">
        <v>162</v>
      </c>
      <c r="AB181" s="36" t="s">
        <v>733</v>
      </c>
      <c r="AC181" s="10"/>
      <c r="AD181" s="9" t="s">
        <v>1245</v>
      </c>
      <c r="AE181" s="10" t="s">
        <v>1282</v>
      </c>
      <c r="AF181" s="10" t="s">
        <v>146</v>
      </c>
      <c r="AG181" s="10" t="s">
        <v>54</v>
      </c>
      <c r="AH181" s="10" t="s">
        <v>1400</v>
      </c>
      <c r="AI181" s="10" t="s">
        <v>373</v>
      </c>
      <c r="AJ181" s="10">
        <v>801174030</v>
      </c>
      <c r="AK181" s="10" t="s">
        <v>359</v>
      </c>
      <c r="AL181" s="10"/>
      <c r="AM181" s="10"/>
      <c r="AN181" s="11" t="s">
        <v>390</v>
      </c>
      <c r="AO181" s="10" t="s">
        <v>531</v>
      </c>
      <c r="AP181" s="10" t="s">
        <v>4642</v>
      </c>
      <c r="AQ181" s="10" t="s">
        <v>4601</v>
      </c>
      <c r="AR181" s="2">
        <v>46102</v>
      </c>
      <c r="AS181" s="10">
        <v>4500</v>
      </c>
      <c r="AT181" s="10" t="s">
        <v>48</v>
      </c>
      <c r="AU181" s="10" t="s">
        <v>1105</v>
      </c>
      <c r="AV181" s="36" t="s">
        <v>1323</v>
      </c>
      <c r="AW181" s="1">
        <v>46202</v>
      </c>
    </row>
    <row r="182" spans="1:49" x14ac:dyDescent="0.25">
      <c r="A182" s="9" t="s">
        <v>1135</v>
      </c>
      <c r="B182" s="10" t="s">
        <v>1173</v>
      </c>
      <c r="C182" s="10">
        <v>0</v>
      </c>
      <c r="D182" s="10" t="s">
        <v>91</v>
      </c>
      <c r="E182" s="10"/>
      <c r="F182" s="10"/>
      <c r="G182" s="10"/>
      <c r="H182" s="10" t="s">
        <v>52</v>
      </c>
      <c r="I182" s="10">
        <v>11</v>
      </c>
      <c r="J182" s="10" t="s">
        <v>1210</v>
      </c>
      <c r="K182" s="10" t="s">
        <v>42</v>
      </c>
      <c r="L182" s="10">
        <f>Table1[[#This Row],[ENR]]-Table1[[#This Row],[CREDIT]]</f>
        <v>-36257.360000000001</v>
      </c>
      <c r="M182" s="36">
        <v>150000</v>
      </c>
      <c r="N182" s="26">
        <v>113742.64</v>
      </c>
      <c r="O182" s="38" t="s">
        <v>43</v>
      </c>
      <c r="P182" s="25">
        <v>113742.64</v>
      </c>
      <c r="Q182" s="25">
        <v>106722.94</v>
      </c>
      <c r="R182" s="10">
        <v>17690</v>
      </c>
      <c r="S182" s="39">
        <v>9760</v>
      </c>
      <c r="T182" s="10" t="s">
        <v>57</v>
      </c>
      <c r="U182" s="10" t="s">
        <v>14</v>
      </c>
      <c r="V182" s="25">
        <v>9760</v>
      </c>
      <c r="W182" s="25">
        <f>Table1[[#This Row],[STAB]]-Table1[[#This Row],[AMOUNT]]</f>
        <v>0</v>
      </c>
      <c r="X182" s="10" t="s">
        <v>4535</v>
      </c>
      <c r="Y182" s="10" t="s">
        <v>396</v>
      </c>
      <c r="Z182" s="10" t="s">
        <v>403</v>
      </c>
      <c r="AA182" s="10" t="s">
        <v>162</v>
      </c>
      <c r="AB182" s="10" t="s">
        <v>735</v>
      </c>
      <c r="AC182" s="10"/>
      <c r="AD182" s="9" t="s">
        <v>1247</v>
      </c>
      <c r="AE182" s="10" t="s">
        <v>1284</v>
      </c>
      <c r="AF182" s="10" t="s">
        <v>1319</v>
      </c>
      <c r="AG182" s="10" t="s">
        <v>54</v>
      </c>
      <c r="AH182" s="10" t="s">
        <v>93</v>
      </c>
      <c r="AI182" s="10" t="s">
        <v>364</v>
      </c>
      <c r="AJ182" s="10">
        <v>802663344</v>
      </c>
      <c r="AK182" s="10" t="s">
        <v>105</v>
      </c>
      <c r="AL182" s="10"/>
      <c r="AM182" s="10"/>
      <c r="AN182" s="11" t="s">
        <v>390</v>
      </c>
      <c r="AO182" s="10" t="s">
        <v>392</v>
      </c>
      <c r="AP182" s="10" t="s">
        <v>1995</v>
      </c>
      <c r="AQ182" s="10" t="s">
        <v>1989</v>
      </c>
      <c r="AR182" s="2">
        <v>45626</v>
      </c>
      <c r="AS182" s="10">
        <v>37968.379999999997</v>
      </c>
      <c r="AT182" s="10" t="s">
        <v>157</v>
      </c>
      <c r="AU182" s="10" t="s">
        <v>1105</v>
      </c>
      <c r="AV182" s="36" t="s">
        <v>1325</v>
      </c>
      <c r="AW182" s="1">
        <v>46202</v>
      </c>
    </row>
    <row r="183" spans="1:49" x14ac:dyDescent="0.25">
      <c r="A183" s="40" t="s">
        <v>2762</v>
      </c>
      <c r="B183" s="57" t="s">
        <v>2796</v>
      </c>
      <c r="C183" s="10">
        <v>0</v>
      </c>
      <c r="D183" s="10" t="s">
        <v>1993</v>
      </c>
      <c r="E183" s="11"/>
      <c r="F183" s="11"/>
      <c r="G183" s="11"/>
      <c r="H183" s="10" t="s">
        <v>52</v>
      </c>
      <c r="I183" s="11">
        <v>11</v>
      </c>
      <c r="J183" s="11" t="s">
        <v>2830</v>
      </c>
      <c r="K183" s="11" t="s">
        <v>42</v>
      </c>
      <c r="L183" s="11">
        <f>Table1[[#This Row],[ENR]]-Table1[[#This Row],[CREDIT]]</f>
        <v>9407.0599999999977</v>
      </c>
      <c r="M183" s="41">
        <v>100000</v>
      </c>
      <c r="N183" s="42">
        <v>109407.06</v>
      </c>
      <c r="O183" s="43" t="s">
        <v>43</v>
      </c>
      <c r="P183" s="44">
        <v>109407.06</v>
      </c>
      <c r="Q183" s="44">
        <v>98666</v>
      </c>
      <c r="R183" s="11">
        <v>25770</v>
      </c>
      <c r="S183" s="45">
        <v>10940</v>
      </c>
      <c r="T183" s="10" t="s">
        <v>57</v>
      </c>
      <c r="U183" s="10" t="s">
        <v>13</v>
      </c>
      <c r="V183" s="10">
        <v>109407.06</v>
      </c>
      <c r="W183" s="44">
        <f>Table1[[#This Row],[STAB]]-Table1[[#This Row],[AMOUNT]]</f>
        <v>-98467.06</v>
      </c>
      <c r="X183" s="10" t="s">
        <v>2004</v>
      </c>
      <c r="Y183" s="10" t="s">
        <v>402</v>
      </c>
      <c r="Z183" s="10" t="s">
        <v>403</v>
      </c>
      <c r="AA183" s="10" t="s">
        <v>162</v>
      </c>
      <c r="AB183" s="10" t="s">
        <v>162</v>
      </c>
      <c r="AC183" s="11"/>
      <c r="AD183" s="40" t="s">
        <v>2864</v>
      </c>
      <c r="AE183" s="11" t="s">
        <v>2898</v>
      </c>
      <c r="AF183" s="11" t="s">
        <v>687</v>
      </c>
      <c r="AG183" s="11" t="s">
        <v>53</v>
      </c>
      <c r="AH183" s="11" t="s">
        <v>83</v>
      </c>
      <c r="AI183" s="10" t="s">
        <v>728</v>
      </c>
      <c r="AJ183" s="10">
        <v>802349062</v>
      </c>
      <c r="AK183" s="10" t="s">
        <v>104</v>
      </c>
      <c r="AL183" s="11"/>
      <c r="AM183" s="11"/>
      <c r="AN183" s="11" t="s">
        <v>390</v>
      </c>
      <c r="AO183" s="11"/>
      <c r="AP183" s="11"/>
      <c r="AQ183" s="11"/>
      <c r="AR183" s="46">
        <v>45944</v>
      </c>
      <c r="AS183" s="11">
        <v>6532</v>
      </c>
      <c r="AT183" s="11" t="s">
        <v>938</v>
      </c>
      <c r="AU183" s="10" t="s">
        <v>2622</v>
      </c>
      <c r="AV183" s="41" t="s">
        <v>2932</v>
      </c>
      <c r="AW183" s="47">
        <v>46202</v>
      </c>
    </row>
    <row r="184" spans="1:49" x14ac:dyDescent="0.25">
      <c r="A184" s="9" t="s">
        <v>1138</v>
      </c>
      <c r="B184" s="10" t="s">
        <v>1175</v>
      </c>
      <c r="C184" s="10">
        <v>0</v>
      </c>
      <c r="D184" s="10" t="s">
        <v>91</v>
      </c>
      <c r="E184" s="10"/>
      <c r="F184" s="10"/>
      <c r="G184" s="10"/>
      <c r="H184" s="10" t="s">
        <v>52</v>
      </c>
      <c r="I184" s="10">
        <v>11</v>
      </c>
      <c r="J184" s="10" t="s">
        <v>1212</v>
      </c>
      <c r="K184" s="10" t="s">
        <v>42</v>
      </c>
      <c r="L184" s="10">
        <f>Table1[[#This Row],[ENR]]-Table1[[#This Row],[CREDIT]]</f>
        <v>4222.0800000000017</v>
      </c>
      <c r="M184" s="36">
        <v>105000</v>
      </c>
      <c r="N184" s="26">
        <v>109222.08</v>
      </c>
      <c r="O184" s="38" t="s">
        <v>43</v>
      </c>
      <c r="P184" s="25">
        <v>109222.08</v>
      </c>
      <c r="Q184" s="25">
        <v>98251.78</v>
      </c>
      <c r="R184" s="10">
        <v>20750</v>
      </c>
      <c r="S184" s="39">
        <v>5290</v>
      </c>
      <c r="T184" s="10" t="s">
        <v>57</v>
      </c>
      <c r="U184" s="10" t="s">
        <v>13</v>
      </c>
      <c r="V184" s="10">
        <v>20750</v>
      </c>
      <c r="W184" s="25">
        <f>Table1[[#This Row],[STAB]]-Table1[[#This Row],[AMOUNT]]</f>
        <v>-15460</v>
      </c>
      <c r="X184" s="10" t="s">
        <v>4601</v>
      </c>
      <c r="Y184" s="10" t="s">
        <v>396</v>
      </c>
      <c r="Z184" s="10" t="s">
        <v>403</v>
      </c>
      <c r="AA184" s="10" t="s">
        <v>162</v>
      </c>
      <c r="AB184" s="36" t="s">
        <v>734</v>
      </c>
      <c r="AC184" s="10"/>
      <c r="AD184" s="9" t="s">
        <v>1249</v>
      </c>
      <c r="AE184" s="10" t="s">
        <v>1286</v>
      </c>
      <c r="AF184" s="10" t="s">
        <v>500</v>
      </c>
      <c r="AG184" s="10" t="s">
        <v>324</v>
      </c>
      <c r="AH184" s="10" t="s">
        <v>1956</v>
      </c>
      <c r="AI184" s="10" t="s">
        <v>1403</v>
      </c>
      <c r="AJ184" s="10">
        <v>802631601</v>
      </c>
      <c r="AK184" s="10" t="s">
        <v>362</v>
      </c>
      <c r="AL184" s="10"/>
      <c r="AM184" s="10"/>
      <c r="AN184" s="11" t="s">
        <v>390</v>
      </c>
      <c r="AO184" s="10" t="s">
        <v>394</v>
      </c>
      <c r="AP184" s="10" t="s">
        <v>4636</v>
      </c>
      <c r="AQ184" s="10" t="s">
        <v>4601</v>
      </c>
      <c r="AR184" s="2">
        <v>46146</v>
      </c>
      <c r="AS184" s="10">
        <v>27990</v>
      </c>
      <c r="AT184" s="10" t="s">
        <v>937</v>
      </c>
      <c r="AU184" s="10" t="s">
        <v>1105</v>
      </c>
      <c r="AV184" s="36" t="s">
        <v>1328</v>
      </c>
      <c r="AW184" s="1">
        <v>46202</v>
      </c>
    </row>
    <row r="185" spans="1:49" x14ac:dyDescent="0.25">
      <c r="A185" s="9" t="s">
        <v>1170</v>
      </c>
      <c r="B185" s="10" t="s">
        <v>1207</v>
      </c>
      <c r="C185" s="10">
        <v>0</v>
      </c>
      <c r="D185" s="10" t="s">
        <v>91</v>
      </c>
      <c r="E185" s="10"/>
      <c r="F185" s="10"/>
      <c r="G185" s="10"/>
      <c r="H185" s="10" t="s">
        <v>52</v>
      </c>
      <c r="I185" s="10">
        <v>11</v>
      </c>
      <c r="J185" s="10" t="s">
        <v>1244</v>
      </c>
      <c r="K185" s="10" t="s">
        <v>42</v>
      </c>
      <c r="L185" s="10">
        <f>Table1[[#This Row],[ENR]]-Table1[[#This Row],[CREDIT]]</f>
        <v>7305.4600000000064</v>
      </c>
      <c r="M185" s="36">
        <v>100000</v>
      </c>
      <c r="N185" s="26">
        <v>107305.46</v>
      </c>
      <c r="O185" s="38">
        <v>5971.86</v>
      </c>
      <c r="P185" s="25">
        <v>101333.6</v>
      </c>
      <c r="Q185" s="25">
        <v>93604.85</v>
      </c>
      <c r="R185" s="10">
        <v>28670</v>
      </c>
      <c r="S185" s="39">
        <v>10210</v>
      </c>
      <c r="T185" s="10" t="s">
        <v>57</v>
      </c>
      <c r="U185" s="10" t="s">
        <v>13</v>
      </c>
      <c r="V185" s="10">
        <v>28670</v>
      </c>
      <c r="W185" s="25">
        <f>Table1[[#This Row],[STAB]]-Table1[[#This Row],[AMOUNT]]</f>
        <v>-18460</v>
      </c>
      <c r="X185" s="10">
        <v>0</v>
      </c>
      <c r="Y185" s="10" t="s">
        <v>388</v>
      </c>
      <c r="Z185" s="10" t="s">
        <v>403</v>
      </c>
      <c r="AA185" s="10" t="s">
        <v>162</v>
      </c>
      <c r="AB185" s="36" t="s">
        <v>736</v>
      </c>
      <c r="AC185" s="10"/>
      <c r="AD185" s="9" t="s">
        <v>1281</v>
      </c>
      <c r="AE185" s="10" t="s">
        <v>1318</v>
      </c>
      <c r="AF185" s="10" t="s">
        <v>272</v>
      </c>
      <c r="AG185" s="10" t="s">
        <v>54</v>
      </c>
      <c r="AH185" s="10" t="s">
        <v>114</v>
      </c>
      <c r="AI185" s="10" t="s">
        <v>726</v>
      </c>
      <c r="AJ185" s="10">
        <v>801772792</v>
      </c>
      <c r="AK185" s="10" t="s">
        <v>105</v>
      </c>
      <c r="AL185" s="10"/>
      <c r="AM185" s="10"/>
      <c r="AN185" s="11" t="s">
        <v>390</v>
      </c>
      <c r="AO185" s="10"/>
      <c r="AP185" s="10"/>
      <c r="AQ185" s="10"/>
      <c r="AR185" s="2">
        <v>45717</v>
      </c>
      <c r="AS185" s="10">
        <v>13533.85</v>
      </c>
      <c r="AT185" s="10" t="s">
        <v>48</v>
      </c>
      <c r="AU185" s="10" t="s">
        <v>1105</v>
      </c>
      <c r="AV185" s="36" t="s">
        <v>1360</v>
      </c>
      <c r="AW185" s="1">
        <v>46202</v>
      </c>
    </row>
    <row r="186" spans="1:49" x14ac:dyDescent="0.25">
      <c r="A186" s="9" t="s">
        <v>2763</v>
      </c>
      <c r="B186" s="10" t="s">
        <v>2797</v>
      </c>
      <c r="C186" s="10" t="s">
        <v>97</v>
      </c>
      <c r="D186" s="10" t="s">
        <v>95</v>
      </c>
      <c r="E186" s="10">
        <v>1</v>
      </c>
      <c r="F186" s="10" t="s">
        <v>112</v>
      </c>
      <c r="G186" s="10" t="s">
        <v>4963</v>
      </c>
      <c r="H186" s="10" t="s">
        <v>84</v>
      </c>
      <c r="I186" s="10">
        <v>11</v>
      </c>
      <c r="J186" s="10" t="s">
        <v>2831</v>
      </c>
      <c r="K186" s="10" t="s">
        <v>42</v>
      </c>
      <c r="L186" s="10">
        <f>Table1[[#This Row],[ENR]]-Table1[[#This Row],[CREDIT]]</f>
        <v>5433.820000000007</v>
      </c>
      <c r="M186" s="36">
        <v>100000</v>
      </c>
      <c r="N186" s="26">
        <v>105433.82</v>
      </c>
      <c r="O186" s="38" t="s">
        <v>43</v>
      </c>
      <c r="P186" s="25">
        <v>105433.82</v>
      </c>
      <c r="Q186" s="25">
        <v>99107.36</v>
      </c>
      <c r="R186" s="10">
        <v>27080</v>
      </c>
      <c r="S186" s="39">
        <v>15250</v>
      </c>
      <c r="T186" s="10" t="s">
        <v>57</v>
      </c>
      <c r="U186" s="10" t="s">
        <v>14</v>
      </c>
      <c r="V186" s="10">
        <v>16000</v>
      </c>
      <c r="W186" s="25">
        <f>Table1[[#This Row],[STAB]]-Table1[[#This Row],[AMOUNT]]</f>
        <v>-750</v>
      </c>
      <c r="X186" s="10" t="s">
        <v>4601</v>
      </c>
      <c r="Y186" s="10" t="s">
        <v>402</v>
      </c>
      <c r="Z186" s="10">
        <v>0</v>
      </c>
      <c r="AA186" s="10" t="s">
        <v>162</v>
      </c>
      <c r="AB186" s="36" t="s">
        <v>736</v>
      </c>
      <c r="AC186" s="10"/>
      <c r="AD186" s="9" t="s">
        <v>2865</v>
      </c>
      <c r="AE186" s="10" t="s">
        <v>2899</v>
      </c>
      <c r="AF186" s="10" t="s">
        <v>2918</v>
      </c>
      <c r="AG186" s="10" t="s">
        <v>53</v>
      </c>
      <c r="AH186" s="10" t="s">
        <v>116</v>
      </c>
      <c r="AI186" s="10" t="s">
        <v>2961</v>
      </c>
      <c r="AJ186" s="10">
        <v>845041675</v>
      </c>
      <c r="AK186" s="10" t="s">
        <v>104</v>
      </c>
      <c r="AL186" s="10"/>
      <c r="AM186" s="10"/>
      <c r="AN186" s="11" t="s">
        <v>390</v>
      </c>
      <c r="AO186" s="10"/>
      <c r="AP186" s="10"/>
      <c r="AQ186" s="10"/>
      <c r="AR186" s="2">
        <v>46181</v>
      </c>
      <c r="AS186" s="10">
        <v>11000</v>
      </c>
      <c r="AT186" s="10" t="s">
        <v>157</v>
      </c>
      <c r="AU186" s="10" t="s">
        <v>2622</v>
      </c>
      <c r="AV186" s="36" t="s">
        <v>2933</v>
      </c>
      <c r="AW186" s="1">
        <v>46202</v>
      </c>
    </row>
    <row r="187" spans="1:49" x14ac:dyDescent="0.25">
      <c r="A187" s="9" t="s">
        <v>1166</v>
      </c>
      <c r="B187" s="10" t="s">
        <v>1203</v>
      </c>
      <c r="C187" s="10">
        <v>0</v>
      </c>
      <c r="D187" s="10" t="s">
        <v>91</v>
      </c>
      <c r="E187" s="10"/>
      <c r="F187" s="10"/>
      <c r="G187" s="10"/>
      <c r="H187" s="10" t="s">
        <v>52</v>
      </c>
      <c r="I187" s="10">
        <v>11</v>
      </c>
      <c r="J187" s="10" t="s">
        <v>1240</v>
      </c>
      <c r="K187" s="10" t="s">
        <v>42</v>
      </c>
      <c r="L187" s="10">
        <f>Table1[[#This Row],[ENR]]-Table1[[#This Row],[CREDIT]]</f>
        <v>4579.25</v>
      </c>
      <c r="M187" s="36">
        <v>100000</v>
      </c>
      <c r="N187" s="26">
        <v>104579.25</v>
      </c>
      <c r="O187" s="38" t="s">
        <v>43</v>
      </c>
      <c r="P187" s="25">
        <v>104579.25</v>
      </c>
      <c r="Q187" s="25">
        <v>93284.31</v>
      </c>
      <c r="R187" s="10">
        <v>23780</v>
      </c>
      <c r="S187" s="39">
        <v>9050</v>
      </c>
      <c r="T187" s="10" t="s">
        <v>44</v>
      </c>
      <c r="U187" s="10" t="s">
        <v>45</v>
      </c>
      <c r="V187" s="10">
        <v>0</v>
      </c>
      <c r="W187" s="25">
        <f>Table1[[#This Row],[STAB]]-Table1[[#This Row],[AMOUNT]]</f>
        <v>9050</v>
      </c>
      <c r="X187" s="10">
        <v>0</v>
      </c>
      <c r="Y187" s="10" t="s">
        <v>79</v>
      </c>
      <c r="Z187" s="10">
        <v>0</v>
      </c>
      <c r="AA187" s="10" t="s">
        <v>162</v>
      </c>
      <c r="AB187" s="36" t="s">
        <v>733</v>
      </c>
      <c r="AC187" s="10"/>
      <c r="AD187" s="9" t="s">
        <v>1277</v>
      </c>
      <c r="AE187" s="10" t="s">
        <v>1314</v>
      </c>
      <c r="AF187" s="10" t="s">
        <v>277</v>
      </c>
      <c r="AG187" s="10" t="s">
        <v>53</v>
      </c>
      <c r="AH187" s="10" t="s">
        <v>1364</v>
      </c>
      <c r="AI187" s="10" t="s">
        <v>1405</v>
      </c>
      <c r="AJ187" s="10">
        <v>802175739</v>
      </c>
      <c r="AK187" s="10" t="s">
        <v>104</v>
      </c>
      <c r="AL187" s="10"/>
      <c r="AM187" s="10"/>
      <c r="AN187" s="11" t="s">
        <v>46</v>
      </c>
      <c r="AO187" s="10"/>
      <c r="AP187" s="10"/>
      <c r="AQ187" s="10"/>
      <c r="AR187" s="2" t="s">
        <v>43</v>
      </c>
      <c r="AS187" s="10">
        <v>0</v>
      </c>
      <c r="AT187" s="10" t="s">
        <v>832</v>
      </c>
      <c r="AU187" s="10" t="s">
        <v>1105</v>
      </c>
      <c r="AV187" s="36" t="s">
        <v>1356</v>
      </c>
      <c r="AW187" s="1">
        <v>46202</v>
      </c>
    </row>
    <row r="188" spans="1:49" x14ac:dyDescent="0.25">
      <c r="A188" s="9" t="s">
        <v>1149</v>
      </c>
      <c r="B188" s="10" t="s">
        <v>1186</v>
      </c>
      <c r="C188" s="10">
        <v>0</v>
      </c>
      <c r="D188" s="10" t="s">
        <v>91</v>
      </c>
      <c r="E188" s="10"/>
      <c r="F188" s="10"/>
      <c r="G188" s="10"/>
      <c r="H188" s="10" t="s">
        <v>52</v>
      </c>
      <c r="I188" s="10">
        <v>11</v>
      </c>
      <c r="J188" s="10" t="s">
        <v>1223</v>
      </c>
      <c r="K188" s="10" t="s">
        <v>42</v>
      </c>
      <c r="L188" s="10">
        <f>Table1[[#This Row],[ENR]]-Table1[[#This Row],[CREDIT]]</f>
        <v>-185758.72</v>
      </c>
      <c r="M188" s="36">
        <v>290000</v>
      </c>
      <c r="N188" s="26">
        <v>104241.28</v>
      </c>
      <c r="O188" s="38">
        <v>9732.25</v>
      </c>
      <c r="P188" s="25">
        <v>94509.03</v>
      </c>
      <c r="Q188" s="25">
        <v>83601.41</v>
      </c>
      <c r="R188" s="10">
        <v>36800</v>
      </c>
      <c r="S188" s="39">
        <v>18550</v>
      </c>
      <c r="T188" s="10" t="s">
        <v>44</v>
      </c>
      <c r="U188" s="10" t="s">
        <v>45</v>
      </c>
      <c r="V188" s="10">
        <v>0</v>
      </c>
      <c r="W188" s="25">
        <f>Table1[[#This Row],[STAB]]-Table1[[#This Row],[AMOUNT]]</f>
        <v>18550</v>
      </c>
      <c r="X188" s="10">
        <v>0</v>
      </c>
      <c r="Y188" s="10" t="s">
        <v>79</v>
      </c>
      <c r="Z188" s="10">
        <v>0</v>
      </c>
      <c r="AA188" s="10" t="s">
        <v>162</v>
      </c>
      <c r="AB188" s="36" t="s">
        <v>734</v>
      </c>
      <c r="AC188" s="10"/>
      <c r="AD188" s="9" t="s">
        <v>1260</v>
      </c>
      <c r="AE188" s="10" t="s">
        <v>1297</v>
      </c>
      <c r="AF188" s="10" t="s">
        <v>276</v>
      </c>
      <c r="AG188" s="10" t="s">
        <v>324</v>
      </c>
      <c r="AH188" s="10" t="s">
        <v>354</v>
      </c>
      <c r="AI188" s="10" t="s">
        <v>367</v>
      </c>
      <c r="AJ188" s="10">
        <v>801436997</v>
      </c>
      <c r="AK188" s="10" t="s">
        <v>104</v>
      </c>
      <c r="AL188" s="10"/>
      <c r="AM188" s="10"/>
      <c r="AN188" s="11" t="s">
        <v>390</v>
      </c>
      <c r="AO188" s="10" t="s">
        <v>398</v>
      </c>
      <c r="AP188" s="10" t="s">
        <v>4561</v>
      </c>
      <c r="AQ188" s="10" t="s">
        <v>4535</v>
      </c>
      <c r="AR188" s="2">
        <v>45472</v>
      </c>
      <c r="AS188" s="10">
        <v>20035.169999999998</v>
      </c>
      <c r="AT188" s="10" t="s">
        <v>157</v>
      </c>
      <c r="AU188" s="10" t="s">
        <v>1105</v>
      </c>
      <c r="AV188" s="36" t="s">
        <v>1339</v>
      </c>
      <c r="AW188" s="1">
        <v>46202</v>
      </c>
    </row>
    <row r="189" spans="1:49" x14ac:dyDescent="0.25">
      <c r="A189" s="9" t="s">
        <v>1154</v>
      </c>
      <c r="B189" s="10" t="s">
        <v>1191</v>
      </c>
      <c r="C189" s="10" t="s">
        <v>97</v>
      </c>
      <c r="D189" s="10" t="s">
        <v>95</v>
      </c>
      <c r="E189" s="10">
        <v>1</v>
      </c>
      <c r="F189" s="10" t="s">
        <v>112</v>
      </c>
      <c r="G189" s="10" t="s">
        <v>737</v>
      </c>
      <c r="H189" s="10" t="s">
        <v>84</v>
      </c>
      <c r="I189" s="10">
        <v>11</v>
      </c>
      <c r="J189" s="10" t="s">
        <v>1228</v>
      </c>
      <c r="K189" s="10" t="s">
        <v>42</v>
      </c>
      <c r="L189" s="10">
        <f>Table1[[#This Row],[ENR]]-Table1[[#This Row],[CREDIT]]</f>
        <v>2551.0800000000017</v>
      </c>
      <c r="M189" s="36">
        <v>100000</v>
      </c>
      <c r="N189" s="26">
        <v>102551.08</v>
      </c>
      <c r="O189" s="38">
        <v>43125.03</v>
      </c>
      <c r="P189" s="25">
        <v>59426.05</v>
      </c>
      <c r="Q189" s="25">
        <v>54397.39</v>
      </c>
      <c r="R189" s="10">
        <v>25250</v>
      </c>
      <c r="S189" s="39">
        <v>12710</v>
      </c>
      <c r="T189" s="10" t="s">
        <v>44</v>
      </c>
      <c r="U189" s="10" t="s">
        <v>45</v>
      </c>
      <c r="V189" s="10">
        <v>0</v>
      </c>
      <c r="W189" s="25">
        <f>Table1[[#This Row],[STAB]]-Table1[[#This Row],[AMOUNT]]</f>
        <v>12710</v>
      </c>
      <c r="X189" s="10">
        <v>0</v>
      </c>
      <c r="Y189" s="10" t="s">
        <v>79</v>
      </c>
      <c r="Z189" s="10">
        <v>0</v>
      </c>
      <c r="AA189" s="10" t="s">
        <v>162</v>
      </c>
      <c r="AB189" s="36" t="s">
        <v>736</v>
      </c>
      <c r="AC189" s="10"/>
      <c r="AD189" s="9" t="s">
        <v>1265</v>
      </c>
      <c r="AE189" s="10" t="s">
        <v>1302</v>
      </c>
      <c r="AF189" s="10" t="s">
        <v>1321</v>
      </c>
      <c r="AG189" s="10" t="s">
        <v>324</v>
      </c>
      <c r="AH189" s="10" t="s">
        <v>1361</v>
      </c>
      <c r="AI189" s="10" t="s">
        <v>1404</v>
      </c>
      <c r="AJ189" s="10">
        <v>802852449</v>
      </c>
      <c r="AK189" s="10" t="s">
        <v>104</v>
      </c>
      <c r="AL189" s="10"/>
      <c r="AM189" s="10"/>
      <c r="AN189" s="11" t="s">
        <v>46</v>
      </c>
      <c r="AO189" s="10"/>
      <c r="AP189" s="10"/>
      <c r="AQ189" s="10"/>
      <c r="AR189" s="2">
        <v>45472</v>
      </c>
      <c r="AS189" s="10">
        <v>15010</v>
      </c>
      <c r="AT189" s="10" t="s">
        <v>157</v>
      </c>
      <c r="AU189" s="10" t="s">
        <v>1105</v>
      </c>
      <c r="AV189" s="36" t="s">
        <v>1344</v>
      </c>
      <c r="AW189" s="1">
        <v>46202</v>
      </c>
    </row>
    <row r="190" spans="1:49" x14ac:dyDescent="0.25">
      <c r="A190" s="9" t="s">
        <v>2769</v>
      </c>
      <c r="B190" s="10" t="s">
        <v>2803</v>
      </c>
      <c r="C190" s="10">
        <v>0</v>
      </c>
      <c r="D190" s="10" t="s">
        <v>91</v>
      </c>
      <c r="E190" s="10"/>
      <c r="F190" s="10"/>
      <c r="G190" s="10"/>
      <c r="H190" s="10" t="s">
        <v>52</v>
      </c>
      <c r="I190" s="10">
        <v>11</v>
      </c>
      <c r="J190" s="10" t="s">
        <v>2837</v>
      </c>
      <c r="K190" s="10" t="s">
        <v>42</v>
      </c>
      <c r="L190" s="10">
        <f>Table1[[#This Row],[ENR]]-Table1[[#This Row],[CREDIT]]</f>
        <v>11062.61</v>
      </c>
      <c r="M190" s="36">
        <v>90000</v>
      </c>
      <c r="N190" s="26">
        <v>101062.61</v>
      </c>
      <c r="O190" s="38" t="s">
        <v>43</v>
      </c>
      <c r="P190" s="25">
        <v>101062.61</v>
      </c>
      <c r="Q190" s="25">
        <v>90050.2</v>
      </c>
      <c r="R190" s="10">
        <v>26030</v>
      </c>
      <c r="S190" s="39">
        <v>4928.49</v>
      </c>
      <c r="T190" s="10" t="s">
        <v>44</v>
      </c>
      <c r="U190" s="10" t="s">
        <v>45</v>
      </c>
      <c r="V190" s="10">
        <v>0</v>
      </c>
      <c r="W190" s="25">
        <f>Table1[[#This Row],[STAB]]-Table1[[#This Row],[AMOUNT]]</f>
        <v>4928.49</v>
      </c>
      <c r="X190" s="10">
        <v>0</v>
      </c>
      <c r="Y190" s="10" t="s">
        <v>79</v>
      </c>
      <c r="Z190" s="10">
        <v>0</v>
      </c>
      <c r="AA190" s="10" t="s">
        <v>162</v>
      </c>
      <c r="AB190" s="36" t="s">
        <v>733</v>
      </c>
      <c r="AC190" s="10"/>
      <c r="AD190" s="9" t="s">
        <v>2871</v>
      </c>
      <c r="AE190" s="10" t="s">
        <v>2905</v>
      </c>
      <c r="AF190" s="10" t="s">
        <v>281</v>
      </c>
      <c r="AG190" s="10" t="s">
        <v>54</v>
      </c>
      <c r="AH190" s="10" t="s">
        <v>724</v>
      </c>
      <c r="AI190" s="10" t="s">
        <v>365</v>
      </c>
      <c r="AJ190" s="10">
        <v>802824019</v>
      </c>
      <c r="AK190" s="10" t="s">
        <v>360</v>
      </c>
      <c r="AL190" s="10"/>
      <c r="AM190" s="10"/>
      <c r="AN190" s="11" t="s">
        <v>390</v>
      </c>
      <c r="AO190" s="10" t="s">
        <v>398</v>
      </c>
      <c r="AP190" s="10" t="s">
        <v>4577</v>
      </c>
      <c r="AQ190" s="10" t="s">
        <v>4566</v>
      </c>
      <c r="AR190" s="2">
        <v>46121</v>
      </c>
      <c r="AS190" s="10">
        <v>13600</v>
      </c>
      <c r="AT190" s="10" t="s">
        <v>157</v>
      </c>
      <c r="AU190" s="10" t="s">
        <v>2622</v>
      </c>
      <c r="AV190" s="36" t="s">
        <v>2939</v>
      </c>
      <c r="AW190" s="1">
        <v>46202</v>
      </c>
    </row>
    <row r="191" spans="1:49" x14ac:dyDescent="0.25">
      <c r="A191" s="9" t="s">
        <v>1155</v>
      </c>
      <c r="B191" s="10" t="s">
        <v>1192</v>
      </c>
      <c r="C191" s="10" t="s">
        <v>97</v>
      </c>
      <c r="D191" s="10" t="s">
        <v>95</v>
      </c>
      <c r="E191" s="10">
        <v>1</v>
      </c>
      <c r="F191" s="10" t="s">
        <v>112</v>
      </c>
      <c r="G191" s="10" t="s">
        <v>737</v>
      </c>
      <c r="H191" s="10" t="s">
        <v>84</v>
      </c>
      <c r="I191" s="10">
        <v>11</v>
      </c>
      <c r="J191" s="10" t="s">
        <v>1229</v>
      </c>
      <c r="K191" s="10" t="s">
        <v>42</v>
      </c>
      <c r="L191" s="10">
        <f>Table1[[#This Row],[ENR]]-Table1[[#This Row],[CREDIT]]</f>
        <v>-882.89999999999418</v>
      </c>
      <c r="M191" s="36">
        <v>100000</v>
      </c>
      <c r="N191" s="26">
        <v>99117.1</v>
      </c>
      <c r="O191" s="38">
        <v>76879.13</v>
      </c>
      <c r="P191" s="25">
        <v>22237.97</v>
      </c>
      <c r="Q191" s="25">
        <v>18863.96</v>
      </c>
      <c r="R191" s="10">
        <v>22230</v>
      </c>
      <c r="S191" s="39">
        <v>10930.48</v>
      </c>
      <c r="T191" s="10" t="s">
        <v>44</v>
      </c>
      <c r="U191" s="10" t="s">
        <v>45</v>
      </c>
      <c r="V191" s="10">
        <v>0</v>
      </c>
      <c r="W191" s="25">
        <f>Table1[[#This Row],[STAB]]-Table1[[#This Row],[AMOUNT]]</f>
        <v>10930.48</v>
      </c>
      <c r="X191" s="10">
        <v>0</v>
      </c>
      <c r="Y191" s="10" t="s">
        <v>79</v>
      </c>
      <c r="Z191" s="10">
        <v>0</v>
      </c>
      <c r="AA191" s="10" t="s">
        <v>162</v>
      </c>
      <c r="AB191" s="36" t="s">
        <v>735</v>
      </c>
      <c r="AC191" s="10"/>
      <c r="AD191" s="9" t="s">
        <v>1266</v>
      </c>
      <c r="AE191" s="10" t="s">
        <v>1303</v>
      </c>
      <c r="AF191" s="10" t="s">
        <v>498</v>
      </c>
      <c r="AG191" s="10" t="s">
        <v>53</v>
      </c>
      <c r="AH191" s="10" t="s">
        <v>90</v>
      </c>
      <c r="AI191" s="10" t="s">
        <v>162</v>
      </c>
      <c r="AJ191" s="10">
        <v>801772794</v>
      </c>
      <c r="AK191" s="10" t="s">
        <v>361</v>
      </c>
      <c r="AL191" s="10"/>
      <c r="AM191" s="10"/>
      <c r="AN191" s="11" t="s">
        <v>390</v>
      </c>
      <c r="AO191" s="10" t="s">
        <v>392</v>
      </c>
      <c r="AP191" s="10" t="s">
        <v>1809</v>
      </c>
      <c r="AQ191" s="10" t="s">
        <v>1401</v>
      </c>
      <c r="AR191" s="2">
        <v>46064</v>
      </c>
      <c r="AS191" s="10">
        <v>9750</v>
      </c>
      <c r="AT191" s="10" t="s">
        <v>157</v>
      </c>
      <c r="AU191" s="10" t="s">
        <v>1105</v>
      </c>
      <c r="AV191" s="36" t="s">
        <v>1345</v>
      </c>
      <c r="AW191" s="1">
        <v>46202</v>
      </c>
    </row>
    <row r="192" spans="1:49" x14ac:dyDescent="0.25">
      <c r="A192" s="9" t="s">
        <v>1147</v>
      </c>
      <c r="B192" s="10" t="s">
        <v>1184</v>
      </c>
      <c r="C192" s="10">
        <v>0</v>
      </c>
      <c r="D192" s="10" t="s">
        <v>91</v>
      </c>
      <c r="E192" s="10"/>
      <c r="F192" s="10"/>
      <c r="G192" s="10"/>
      <c r="H192" s="10" t="s">
        <v>52</v>
      </c>
      <c r="I192" s="10">
        <v>11</v>
      </c>
      <c r="J192" s="10" t="s">
        <v>1221</v>
      </c>
      <c r="K192" s="10" t="s">
        <v>624</v>
      </c>
      <c r="L192" s="10">
        <f>Table1[[#This Row],[ENR]]-Table1[[#This Row],[CREDIT]]</f>
        <v>-202137.96000000002</v>
      </c>
      <c r="M192" s="36">
        <v>300000</v>
      </c>
      <c r="N192" s="26">
        <v>97862.04</v>
      </c>
      <c r="O192" s="38" t="s">
        <v>43</v>
      </c>
      <c r="P192" s="25">
        <v>97862.04</v>
      </c>
      <c r="Q192" s="25">
        <v>93504.3</v>
      </c>
      <c r="R192" s="10">
        <v>11940</v>
      </c>
      <c r="S192" s="39">
        <v>6750</v>
      </c>
      <c r="T192" s="10" t="s">
        <v>57</v>
      </c>
      <c r="U192" s="10" t="s">
        <v>13</v>
      </c>
      <c r="V192" s="10">
        <v>20000</v>
      </c>
      <c r="W192" s="25">
        <f>Table1[[#This Row],[STAB]]-Table1[[#This Row],[AMOUNT]]</f>
        <v>-13250</v>
      </c>
      <c r="X192" s="10" t="s">
        <v>4535</v>
      </c>
      <c r="Y192" s="10" t="s">
        <v>402</v>
      </c>
      <c r="Z192" s="10" t="s">
        <v>1968</v>
      </c>
      <c r="AA192" s="10" t="s">
        <v>162</v>
      </c>
      <c r="AB192" s="10" t="s">
        <v>735</v>
      </c>
      <c r="AC192" s="10"/>
      <c r="AD192" s="9" t="s">
        <v>1258</v>
      </c>
      <c r="AE192" s="10" t="s">
        <v>1295</v>
      </c>
      <c r="AF192" s="10" t="s">
        <v>686</v>
      </c>
      <c r="AG192" s="10" t="s">
        <v>324</v>
      </c>
      <c r="AH192" s="10" t="s">
        <v>722</v>
      </c>
      <c r="AI192" s="10" t="s">
        <v>370</v>
      </c>
      <c r="AJ192" s="10">
        <v>801448854</v>
      </c>
      <c r="AK192" s="10" t="s">
        <v>105</v>
      </c>
      <c r="AL192" s="10"/>
      <c r="AM192" s="10"/>
      <c r="AN192" s="11" t="s">
        <v>390</v>
      </c>
      <c r="AO192" s="10" t="s">
        <v>392</v>
      </c>
      <c r="AP192" s="10" t="s">
        <v>1969</v>
      </c>
      <c r="AQ192" s="10" t="s">
        <v>1961</v>
      </c>
      <c r="AR192" s="2">
        <v>46120</v>
      </c>
      <c r="AS192" s="10">
        <v>10087</v>
      </c>
      <c r="AT192" s="10" t="s">
        <v>157</v>
      </c>
      <c r="AU192" s="10" t="s">
        <v>1105</v>
      </c>
      <c r="AV192" s="36" t="s">
        <v>1337</v>
      </c>
      <c r="AW192" s="1">
        <v>46202</v>
      </c>
    </row>
    <row r="193" spans="1:49" x14ac:dyDescent="0.25">
      <c r="A193" s="9" t="s">
        <v>2766</v>
      </c>
      <c r="B193" s="10" t="s">
        <v>2800</v>
      </c>
      <c r="C193" s="10">
        <v>0</v>
      </c>
      <c r="D193" s="10" t="s">
        <v>91</v>
      </c>
      <c r="E193" s="10"/>
      <c r="F193" s="10"/>
      <c r="G193" s="10"/>
      <c r="H193" s="10" t="s">
        <v>52</v>
      </c>
      <c r="I193" s="10">
        <v>11</v>
      </c>
      <c r="J193" s="10" t="s">
        <v>2834</v>
      </c>
      <c r="K193" s="10" t="s">
        <v>42</v>
      </c>
      <c r="L193" s="10">
        <f>Table1[[#This Row],[ENR]]-Table1[[#This Row],[CREDIT]]</f>
        <v>7290.7799999999988</v>
      </c>
      <c r="M193" s="36">
        <v>90000</v>
      </c>
      <c r="N193" s="26">
        <v>97290.78</v>
      </c>
      <c r="O193" s="38" t="s">
        <v>43</v>
      </c>
      <c r="P193" s="25">
        <v>97290.78</v>
      </c>
      <c r="Q193" s="25">
        <v>86580.6</v>
      </c>
      <c r="R193" s="10">
        <v>26150</v>
      </c>
      <c r="S193" s="39">
        <v>14659.01</v>
      </c>
      <c r="T193" s="10" t="s">
        <v>44</v>
      </c>
      <c r="U193" s="10" t="s">
        <v>45</v>
      </c>
      <c r="V193" s="10">
        <v>0</v>
      </c>
      <c r="W193" s="25">
        <f>Table1[[#This Row],[STAB]]-Table1[[#This Row],[AMOUNT]]</f>
        <v>14659.01</v>
      </c>
      <c r="X193" s="10">
        <v>0</v>
      </c>
      <c r="Y193" s="10" t="s">
        <v>79</v>
      </c>
      <c r="Z193" s="10">
        <v>0</v>
      </c>
      <c r="AA193" s="10" t="s">
        <v>162</v>
      </c>
      <c r="AB193" s="36" t="s">
        <v>734</v>
      </c>
      <c r="AC193" s="10"/>
      <c r="AD193" s="9" t="s">
        <v>2868</v>
      </c>
      <c r="AE193" s="10" t="s">
        <v>2902</v>
      </c>
      <c r="AF193" s="10" t="s">
        <v>283</v>
      </c>
      <c r="AG193" s="10" t="s">
        <v>53</v>
      </c>
      <c r="AH193" s="10" t="s">
        <v>116</v>
      </c>
      <c r="AI193" s="10" t="s">
        <v>2961</v>
      </c>
      <c r="AJ193" s="10">
        <v>845041675</v>
      </c>
      <c r="AK193" s="10" t="s">
        <v>104</v>
      </c>
      <c r="AL193" s="10"/>
      <c r="AM193" s="10"/>
      <c r="AN193" s="11" t="s">
        <v>46</v>
      </c>
      <c r="AO193" s="10"/>
      <c r="AP193" s="10"/>
      <c r="AQ193" s="10"/>
      <c r="AR193" s="2">
        <v>46092</v>
      </c>
      <c r="AS193" s="10">
        <v>24270</v>
      </c>
      <c r="AT193" s="10" t="s">
        <v>157</v>
      </c>
      <c r="AU193" s="10" t="s">
        <v>2622</v>
      </c>
      <c r="AV193" s="36" t="s">
        <v>2936</v>
      </c>
      <c r="AW193" s="1">
        <v>46202</v>
      </c>
    </row>
    <row r="194" spans="1:49" x14ac:dyDescent="0.25">
      <c r="A194" s="9" t="s">
        <v>2768</v>
      </c>
      <c r="B194" s="10" t="s">
        <v>2802</v>
      </c>
      <c r="C194" s="10">
        <v>0</v>
      </c>
      <c r="D194" s="10" t="s">
        <v>91</v>
      </c>
      <c r="E194" s="10"/>
      <c r="F194" s="10"/>
      <c r="G194" s="10"/>
      <c r="H194" s="10" t="s">
        <v>52</v>
      </c>
      <c r="I194" s="10">
        <v>11</v>
      </c>
      <c r="J194" s="10" t="s">
        <v>2836</v>
      </c>
      <c r="K194" s="10" t="s">
        <v>42</v>
      </c>
      <c r="L194" s="10">
        <f>Table1[[#This Row],[ENR]]-Table1[[#This Row],[CREDIT]]</f>
        <v>2716.0899999999965</v>
      </c>
      <c r="M194" s="36">
        <v>90000</v>
      </c>
      <c r="N194" s="26">
        <v>92716.09</v>
      </c>
      <c r="O194" s="38" t="s">
        <v>43</v>
      </c>
      <c r="P194" s="25">
        <v>92716.09</v>
      </c>
      <c r="Q194" s="25">
        <v>82860.740000000005</v>
      </c>
      <c r="R194" s="10">
        <v>17590</v>
      </c>
      <c r="S194" s="39">
        <v>5490</v>
      </c>
      <c r="T194" s="10" t="s">
        <v>57</v>
      </c>
      <c r="U194" s="10" t="s">
        <v>13</v>
      </c>
      <c r="V194" s="10">
        <v>17590</v>
      </c>
      <c r="W194" s="25">
        <f>Table1[[#This Row],[STAB]]-Table1[[#This Row],[AMOUNT]]</f>
        <v>-12100</v>
      </c>
      <c r="X194" s="10" t="s">
        <v>4535</v>
      </c>
      <c r="Y194" s="10" t="s">
        <v>402</v>
      </c>
      <c r="Z194" s="10" t="s">
        <v>403</v>
      </c>
      <c r="AA194" s="10" t="s">
        <v>162</v>
      </c>
      <c r="AB194" s="10" t="s">
        <v>735</v>
      </c>
      <c r="AC194" s="10"/>
      <c r="AD194" s="9" t="s">
        <v>2870</v>
      </c>
      <c r="AE194" s="10" t="s">
        <v>2904</v>
      </c>
      <c r="AF194" s="10" t="s">
        <v>286</v>
      </c>
      <c r="AG194" s="10" t="s">
        <v>54</v>
      </c>
      <c r="AH194" s="10" t="s">
        <v>58</v>
      </c>
      <c r="AI194" s="10" t="s">
        <v>133</v>
      </c>
      <c r="AJ194" s="10">
        <v>802555024</v>
      </c>
      <c r="AK194" s="10" t="s">
        <v>362</v>
      </c>
      <c r="AL194" s="10"/>
      <c r="AM194" s="10"/>
      <c r="AN194" s="11" t="s">
        <v>390</v>
      </c>
      <c r="AO194" s="10"/>
      <c r="AP194" s="10"/>
      <c r="AQ194" s="10"/>
      <c r="AR194" s="2">
        <v>46055</v>
      </c>
      <c r="AS194" s="10">
        <v>40500</v>
      </c>
      <c r="AT194" s="10" t="s">
        <v>157</v>
      </c>
      <c r="AU194" s="10" t="s">
        <v>2622</v>
      </c>
      <c r="AV194" s="36" t="s">
        <v>2938</v>
      </c>
      <c r="AW194" s="1">
        <v>46202</v>
      </c>
    </row>
    <row r="195" spans="1:49" x14ac:dyDescent="0.25">
      <c r="A195" s="9" t="s">
        <v>2767</v>
      </c>
      <c r="B195" s="10" t="s">
        <v>2801</v>
      </c>
      <c r="C195" s="10">
        <v>0</v>
      </c>
      <c r="D195" s="10" t="s">
        <v>91</v>
      </c>
      <c r="E195" s="10"/>
      <c r="F195" s="10"/>
      <c r="G195" s="10"/>
      <c r="H195" s="10" t="s">
        <v>52</v>
      </c>
      <c r="I195" s="10">
        <v>11</v>
      </c>
      <c r="J195" s="10" t="s">
        <v>2835</v>
      </c>
      <c r="K195" s="10" t="s">
        <v>42</v>
      </c>
      <c r="L195" s="10">
        <f>Table1[[#This Row],[ENR]]-Table1[[#This Row],[CREDIT]]</f>
        <v>8734.8000000000029</v>
      </c>
      <c r="M195" s="36">
        <v>80000</v>
      </c>
      <c r="N195" s="26">
        <v>88734.8</v>
      </c>
      <c r="O195" s="38" t="s">
        <v>43</v>
      </c>
      <c r="P195" s="25">
        <v>88734.8</v>
      </c>
      <c r="Q195" s="25">
        <v>78384.05</v>
      </c>
      <c r="R195" s="10">
        <v>23380</v>
      </c>
      <c r="S195" s="39">
        <v>9510</v>
      </c>
      <c r="T195" s="10" t="s">
        <v>57</v>
      </c>
      <c r="U195" s="10" t="s">
        <v>13</v>
      </c>
      <c r="V195" s="10">
        <v>23380</v>
      </c>
      <c r="W195" s="25">
        <f>Table1[[#This Row],[STAB]]-Table1[[#This Row],[AMOUNT]]</f>
        <v>-13870</v>
      </c>
      <c r="X195" s="10" t="s">
        <v>4535</v>
      </c>
      <c r="Y195" s="10" t="s">
        <v>402</v>
      </c>
      <c r="Z195" s="10" t="s">
        <v>403</v>
      </c>
      <c r="AA195" s="10" t="s">
        <v>162</v>
      </c>
      <c r="AB195" s="10" t="s">
        <v>735</v>
      </c>
      <c r="AC195" s="10"/>
      <c r="AD195" s="9" t="s">
        <v>2869</v>
      </c>
      <c r="AE195" s="10" t="s">
        <v>2903</v>
      </c>
      <c r="AF195" s="10" t="s">
        <v>287</v>
      </c>
      <c r="AG195" s="10" t="s">
        <v>324</v>
      </c>
      <c r="AH195" s="10" t="s">
        <v>56</v>
      </c>
      <c r="AI195" s="10" t="s">
        <v>370</v>
      </c>
      <c r="AJ195" s="10">
        <v>801448854</v>
      </c>
      <c r="AK195" s="10" t="s">
        <v>105</v>
      </c>
      <c r="AL195" s="10"/>
      <c r="AM195" s="10"/>
      <c r="AN195" s="11" t="s">
        <v>390</v>
      </c>
      <c r="AO195" s="10"/>
      <c r="AP195" s="10"/>
      <c r="AQ195" s="10"/>
      <c r="AR195" s="2">
        <v>45458</v>
      </c>
      <c r="AS195" s="10">
        <v>1170</v>
      </c>
      <c r="AT195" s="10" t="s">
        <v>157</v>
      </c>
      <c r="AU195" s="10" t="s">
        <v>2622</v>
      </c>
      <c r="AV195" s="36" t="s">
        <v>2937</v>
      </c>
      <c r="AW195" s="1">
        <v>46202</v>
      </c>
    </row>
    <row r="196" spans="1:49" x14ac:dyDescent="0.25">
      <c r="A196" s="9" t="s">
        <v>2777</v>
      </c>
      <c r="B196" s="10" t="s">
        <v>2811</v>
      </c>
      <c r="C196" s="10">
        <v>0</v>
      </c>
      <c r="D196" s="10" t="s">
        <v>91</v>
      </c>
      <c r="E196" s="10"/>
      <c r="F196" s="10"/>
      <c r="G196" s="10"/>
      <c r="H196" s="10" t="s">
        <v>52</v>
      </c>
      <c r="I196" s="10">
        <v>11</v>
      </c>
      <c r="J196" s="10" t="s">
        <v>2845</v>
      </c>
      <c r="K196" s="10" t="s">
        <v>244</v>
      </c>
      <c r="L196" s="10">
        <f>Table1[[#This Row],[ENR]]-Table1[[#This Row],[CREDIT]]</f>
        <v>-313527.07</v>
      </c>
      <c r="M196" s="36">
        <v>400000</v>
      </c>
      <c r="N196" s="26">
        <v>86472.93</v>
      </c>
      <c r="O196" s="38" t="s">
        <v>43</v>
      </c>
      <c r="P196" s="25">
        <v>86472.93</v>
      </c>
      <c r="Q196" s="25">
        <v>82698.25</v>
      </c>
      <c r="R196" s="10">
        <v>10990</v>
      </c>
      <c r="S196" s="39">
        <v>6439</v>
      </c>
      <c r="T196" s="10" t="s">
        <v>57</v>
      </c>
      <c r="U196" s="10" t="s">
        <v>14</v>
      </c>
      <c r="V196" s="25">
        <v>6500</v>
      </c>
      <c r="W196" s="25">
        <f>Table1[[#This Row],[STAB]]-Table1[[#This Row],[AMOUNT]]</f>
        <v>-61</v>
      </c>
      <c r="X196" s="10" t="s">
        <v>4923</v>
      </c>
      <c r="Y196" s="10" t="s">
        <v>396</v>
      </c>
      <c r="Z196" s="10" t="s">
        <v>1968</v>
      </c>
      <c r="AA196" s="10" t="s">
        <v>162</v>
      </c>
      <c r="AB196" s="36" t="s">
        <v>733</v>
      </c>
      <c r="AC196" s="10"/>
      <c r="AD196" s="9" t="s">
        <v>2879</v>
      </c>
      <c r="AE196" s="10" t="s">
        <v>2912</v>
      </c>
      <c r="AF196" s="10" t="s">
        <v>281</v>
      </c>
      <c r="AG196" s="10" t="s">
        <v>54</v>
      </c>
      <c r="AH196" s="10" t="s">
        <v>58</v>
      </c>
      <c r="AI196" s="10" t="s">
        <v>133</v>
      </c>
      <c r="AJ196" s="10">
        <v>802555024</v>
      </c>
      <c r="AK196" s="10" t="s">
        <v>362</v>
      </c>
      <c r="AL196" s="10"/>
      <c r="AM196" s="10"/>
      <c r="AN196" s="11" t="s">
        <v>390</v>
      </c>
      <c r="AO196" s="10" t="s">
        <v>531</v>
      </c>
      <c r="AP196" s="10" t="s">
        <v>4975</v>
      </c>
      <c r="AQ196" s="10" t="s">
        <v>4923</v>
      </c>
      <c r="AR196" s="2">
        <v>46157</v>
      </c>
      <c r="AS196" s="10">
        <v>9811</v>
      </c>
      <c r="AT196" s="10" t="s">
        <v>832</v>
      </c>
      <c r="AU196" s="10" t="s">
        <v>2622</v>
      </c>
      <c r="AV196" s="36" t="s">
        <v>2947</v>
      </c>
      <c r="AW196" s="1">
        <v>46202</v>
      </c>
    </row>
    <row r="197" spans="1:49" x14ac:dyDescent="0.25">
      <c r="A197" s="9" t="s">
        <v>2751</v>
      </c>
      <c r="B197" s="10" t="s">
        <v>2785</v>
      </c>
      <c r="C197" s="10">
        <v>0</v>
      </c>
      <c r="D197" s="10" t="s">
        <v>91</v>
      </c>
      <c r="E197" s="10"/>
      <c r="F197" s="10"/>
      <c r="G197" s="10"/>
      <c r="H197" s="10" t="s">
        <v>52</v>
      </c>
      <c r="I197" s="10">
        <v>11</v>
      </c>
      <c r="J197" s="10" t="s">
        <v>2819</v>
      </c>
      <c r="K197" s="10" t="s">
        <v>42</v>
      </c>
      <c r="L197" s="10">
        <f>Table1[[#This Row],[ENR]]-Table1[[#This Row],[CREDIT]]</f>
        <v>-13858.580000000002</v>
      </c>
      <c r="M197" s="36">
        <v>100000</v>
      </c>
      <c r="N197" s="26">
        <v>86141.42</v>
      </c>
      <c r="O197" s="38" t="s">
        <v>43</v>
      </c>
      <c r="P197" s="25">
        <v>86141.42</v>
      </c>
      <c r="Q197" s="25">
        <v>73894.210000000006</v>
      </c>
      <c r="R197" s="10">
        <v>16900</v>
      </c>
      <c r="S197" s="39">
        <v>8250</v>
      </c>
      <c r="T197" s="10" t="s">
        <v>57</v>
      </c>
      <c r="U197" s="10" t="s">
        <v>13</v>
      </c>
      <c r="V197" s="10">
        <v>16900</v>
      </c>
      <c r="W197" s="25">
        <f>Table1[[#This Row],[STAB]]-Table1[[#This Row],[AMOUNT]]</f>
        <v>-8650</v>
      </c>
      <c r="X197" s="10" t="s">
        <v>4601</v>
      </c>
      <c r="Y197" s="10" t="s">
        <v>402</v>
      </c>
      <c r="Z197" s="10" t="s">
        <v>403</v>
      </c>
      <c r="AA197" s="10" t="s">
        <v>162</v>
      </c>
      <c r="AB197" s="10" t="s">
        <v>735</v>
      </c>
      <c r="AC197" s="10"/>
      <c r="AD197" s="9" t="s">
        <v>2853</v>
      </c>
      <c r="AE197" s="10" t="s">
        <v>2887</v>
      </c>
      <c r="AF197" s="10" t="s">
        <v>286</v>
      </c>
      <c r="AG197" s="10" t="s">
        <v>54</v>
      </c>
      <c r="AH197" s="10" t="s">
        <v>58</v>
      </c>
      <c r="AI197" s="10" t="s">
        <v>133</v>
      </c>
      <c r="AJ197" s="10">
        <v>802555024</v>
      </c>
      <c r="AK197" s="10" t="s">
        <v>362</v>
      </c>
      <c r="AL197" s="10"/>
      <c r="AM197" s="10"/>
      <c r="AN197" s="11" t="s">
        <v>390</v>
      </c>
      <c r="AO197" s="10"/>
      <c r="AP197" s="10"/>
      <c r="AQ197" s="10"/>
      <c r="AR197" s="2">
        <v>45600</v>
      </c>
      <c r="AS197" s="10">
        <v>567</v>
      </c>
      <c r="AT197" s="10" t="s">
        <v>937</v>
      </c>
      <c r="AU197" s="10" t="s">
        <v>2622</v>
      </c>
      <c r="AV197" s="36" t="s">
        <v>2921</v>
      </c>
      <c r="AW197" s="1">
        <v>46202</v>
      </c>
    </row>
    <row r="198" spans="1:49" x14ac:dyDescent="0.25">
      <c r="A198" s="9" t="s">
        <v>1159</v>
      </c>
      <c r="B198" s="10" t="s">
        <v>1196</v>
      </c>
      <c r="C198" s="10">
        <v>0</v>
      </c>
      <c r="D198" s="10" t="s">
        <v>91</v>
      </c>
      <c r="E198" s="10"/>
      <c r="F198" s="10"/>
      <c r="G198" s="10"/>
      <c r="H198" s="10" t="s">
        <v>52</v>
      </c>
      <c r="I198" s="10">
        <v>11</v>
      </c>
      <c r="J198" s="10" t="s">
        <v>1233</v>
      </c>
      <c r="K198" s="10" t="s">
        <v>42</v>
      </c>
      <c r="L198" s="10">
        <f>Table1[[#This Row],[ENR]]-Table1[[#This Row],[CREDIT]]</f>
        <v>4622.1199999999953</v>
      </c>
      <c r="M198" s="36">
        <v>80000</v>
      </c>
      <c r="N198" s="26">
        <v>84622.12</v>
      </c>
      <c r="O198" s="38">
        <v>16518.14</v>
      </c>
      <c r="P198" s="25">
        <v>68103.98</v>
      </c>
      <c r="Q198" s="25">
        <v>60713.26</v>
      </c>
      <c r="R198" s="10">
        <v>15950</v>
      </c>
      <c r="S198" s="39">
        <v>5960</v>
      </c>
      <c r="T198" s="10" t="s">
        <v>57</v>
      </c>
      <c r="U198" s="10" t="s">
        <v>13</v>
      </c>
      <c r="V198" s="10">
        <v>15950</v>
      </c>
      <c r="W198" s="25">
        <f>Table1[[#This Row],[STAB]]-Table1[[#This Row],[AMOUNT]]</f>
        <v>-9990</v>
      </c>
      <c r="X198" s="10" t="s">
        <v>2004</v>
      </c>
      <c r="Y198" s="10" t="s">
        <v>402</v>
      </c>
      <c r="Z198" s="10" t="s">
        <v>403</v>
      </c>
      <c r="AA198" s="10" t="s">
        <v>162</v>
      </c>
      <c r="AB198" s="36" t="s">
        <v>733</v>
      </c>
      <c r="AC198" s="10"/>
      <c r="AD198" s="9" t="s">
        <v>1270</v>
      </c>
      <c r="AE198" s="10" t="s">
        <v>1307</v>
      </c>
      <c r="AF198" s="10" t="s">
        <v>275</v>
      </c>
      <c r="AG198" s="10" t="s">
        <v>80</v>
      </c>
      <c r="AH198" s="10" t="s">
        <v>1999</v>
      </c>
      <c r="AI198" s="10" t="s">
        <v>368</v>
      </c>
      <c r="AJ198" s="10">
        <v>802823175</v>
      </c>
      <c r="AK198" s="10" t="s">
        <v>105</v>
      </c>
      <c r="AL198" s="10"/>
      <c r="AM198" s="10"/>
      <c r="AN198" s="11" t="s">
        <v>390</v>
      </c>
      <c r="AO198" s="10" t="s">
        <v>392</v>
      </c>
      <c r="AP198" s="10" t="s">
        <v>2005</v>
      </c>
      <c r="AQ198" s="10" t="s">
        <v>2004</v>
      </c>
      <c r="AR198" s="2">
        <v>45458</v>
      </c>
      <c r="AS198" s="10">
        <v>15010.39</v>
      </c>
      <c r="AT198" s="10" t="s">
        <v>157</v>
      </c>
      <c r="AU198" s="10" t="s">
        <v>1105</v>
      </c>
      <c r="AV198" s="36" t="s">
        <v>1349</v>
      </c>
      <c r="AW198" s="1">
        <v>46202</v>
      </c>
    </row>
    <row r="199" spans="1:49" x14ac:dyDescent="0.25">
      <c r="A199" s="9" t="s">
        <v>2755</v>
      </c>
      <c r="B199" s="10" t="s">
        <v>2789</v>
      </c>
      <c r="C199" s="10">
        <v>0</v>
      </c>
      <c r="D199" s="10" t="s">
        <v>91</v>
      </c>
      <c r="E199" s="10"/>
      <c r="F199" s="10"/>
      <c r="G199" s="10"/>
      <c r="H199" s="10" t="s">
        <v>52</v>
      </c>
      <c r="I199" s="10">
        <v>11</v>
      </c>
      <c r="J199" s="10" t="s">
        <v>2823</v>
      </c>
      <c r="K199" s="10" t="s">
        <v>42</v>
      </c>
      <c r="L199" s="10">
        <f>Table1[[#This Row],[ENR]]-Table1[[#This Row],[CREDIT]]</f>
        <v>-29449.570000000007</v>
      </c>
      <c r="M199" s="36">
        <v>110000</v>
      </c>
      <c r="N199" s="26">
        <v>80550.429999999993</v>
      </c>
      <c r="O199" s="38">
        <v>27517.02</v>
      </c>
      <c r="P199" s="25">
        <v>53033.41</v>
      </c>
      <c r="Q199" s="25">
        <v>48641</v>
      </c>
      <c r="R199" s="10">
        <v>8860</v>
      </c>
      <c r="S199" s="39">
        <v>4490</v>
      </c>
      <c r="T199" s="10" t="s">
        <v>57</v>
      </c>
      <c r="U199" s="10" t="s">
        <v>14</v>
      </c>
      <c r="V199" s="25">
        <v>4500</v>
      </c>
      <c r="W199" s="25">
        <f>Table1[[#This Row],[STAB]]-Table1[[#This Row],[AMOUNT]]</f>
        <v>-10</v>
      </c>
      <c r="X199" s="10" t="s">
        <v>4619</v>
      </c>
      <c r="Y199" s="10" t="s">
        <v>402</v>
      </c>
      <c r="Z199" s="10" t="s">
        <v>403</v>
      </c>
      <c r="AA199" s="10" t="s">
        <v>162</v>
      </c>
      <c r="AB199" s="36" t="s">
        <v>736</v>
      </c>
      <c r="AC199" s="10"/>
      <c r="AD199" s="9" t="s">
        <v>2857</v>
      </c>
      <c r="AE199" s="10" t="s">
        <v>2891</v>
      </c>
      <c r="AF199" s="10" t="s">
        <v>276</v>
      </c>
      <c r="AG199" s="10" t="s">
        <v>324</v>
      </c>
      <c r="AH199" s="10" t="s">
        <v>354</v>
      </c>
      <c r="AI199" s="10" t="s">
        <v>367</v>
      </c>
      <c r="AJ199" s="10">
        <v>801436997</v>
      </c>
      <c r="AK199" s="10" t="s">
        <v>104</v>
      </c>
      <c r="AL199" s="10"/>
      <c r="AM199" s="10"/>
      <c r="AN199" s="11" t="s">
        <v>390</v>
      </c>
      <c r="AO199" s="10" t="s">
        <v>398</v>
      </c>
      <c r="AP199" s="10" t="s">
        <v>4597</v>
      </c>
      <c r="AQ199" s="10" t="s">
        <v>4591</v>
      </c>
      <c r="AR199" s="2" t="s">
        <v>43</v>
      </c>
      <c r="AS199" s="10">
        <v>0</v>
      </c>
      <c r="AT199" s="10" t="s">
        <v>938</v>
      </c>
      <c r="AU199" s="10" t="s">
        <v>2622</v>
      </c>
      <c r="AV199" s="36" t="s">
        <v>2925</v>
      </c>
      <c r="AW199" s="1">
        <v>46202</v>
      </c>
    </row>
    <row r="200" spans="1:49" x14ac:dyDescent="0.25">
      <c r="A200" s="9" t="s">
        <v>1162</v>
      </c>
      <c r="B200" s="10" t="s">
        <v>1199</v>
      </c>
      <c r="C200" s="10">
        <v>0</v>
      </c>
      <c r="D200" s="10" t="s">
        <v>91</v>
      </c>
      <c r="E200" s="10"/>
      <c r="F200" s="10"/>
      <c r="G200" s="10"/>
      <c r="H200" s="10" t="s">
        <v>52</v>
      </c>
      <c r="I200" s="10">
        <v>11</v>
      </c>
      <c r="J200" s="10" t="s">
        <v>1236</v>
      </c>
      <c r="K200" s="10" t="s">
        <v>42</v>
      </c>
      <c r="L200" s="10">
        <f>Table1[[#This Row],[ENR]]-Table1[[#This Row],[CREDIT]]</f>
        <v>10424.770000000004</v>
      </c>
      <c r="M200" s="36">
        <v>70000</v>
      </c>
      <c r="N200" s="26">
        <v>80424.77</v>
      </c>
      <c r="O200" s="38" t="s">
        <v>43</v>
      </c>
      <c r="P200" s="25">
        <v>80424.77</v>
      </c>
      <c r="Q200" s="25">
        <v>69064.960000000006</v>
      </c>
      <c r="R200" s="10">
        <v>28120</v>
      </c>
      <c r="S200" s="39">
        <v>11190</v>
      </c>
      <c r="T200" s="10" t="s">
        <v>57</v>
      </c>
      <c r="U200" s="10" t="s">
        <v>14</v>
      </c>
      <c r="V200" s="25">
        <v>11200</v>
      </c>
      <c r="W200" s="25">
        <f>Table1[[#This Row],[STAB]]-Table1[[#This Row],[AMOUNT]]</f>
        <v>-10</v>
      </c>
      <c r="X200" s="10" t="s">
        <v>4591</v>
      </c>
      <c r="Y200" s="10" t="s">
        <v>402</v>
      </c>
      <c r="Z200" s="10" t="s">
        <v>1968</v>
      </c>
      <c r="AA200" s="10" t="s">
        <v>162</v>
      </c>
      <c r="AB200" s="10" t="s">
        <v>735</v>
      </c>
      <c r="AC200" s="10"/>
      <c r="AD200" s="9" t="s">
        <v>1273</v>
      </c>
      <c r="AE200" s="10" t="s">
        <v>1310</v>
      </c>
      <c r="AF200" s="10" t="s">
        <v>146</v>
      </c>
      <c r="AG200" s="10" t="s">
        <v>54</v>
      </c>
      <c r="AH200" s="10" t="s">
        <v>1400</v>
      </c>
      <c r="AI200" s="10" t="s">
        <v>373</v>
      </c>
      <c r="AJ200" s="10">
        <v>801174030</v>
      </c>
      <c r="AK200" s="10" t="s">
        <v>359</v>
      </c>
      <c r="AL200" s="10"/>
      <c r="AM200" s="10"/>
      <c r="AN200" s="11" t="s">
        <v>390</v>
      </c>
      <c r="AO200" s="10"/>
      <c r="AP200" s="10"/>
      <c r="AQ200" s="10"/>
      <c r="AR200" s="2">
        <v>46134</v>
      </c>
      <c r="AS200" s="10">
        <v>29966</v>
      </c>
      <c r="AT200" s="10" t="s">
        <v>157</v>
      </c>
      <c r="AU200" s="10" t="s">
        <v>1105</v>
      </c>
      <c r="AV200" s="36" t="s">
        <v>1352</v>
      </c>
      <c r="AW200" s="1">
        <v>46202</v>
      </c>
    </row>
    <row r="201" spans="1:49" x14ac:dyDescent="0.25">
      <c r="A201" s="9" t="s">
        <v>2774</v>
      </c>
      <c r="B201" s="10" t="s">
        <v>2808</v>
      </c>
      <c r="C201" s="10">
        <v>0</v>
      </c>
      <c r="D201" s="10" t="s">
        <v>91</v>
      </c>
      <c r="E201" s="10"/>
      <c r="F201" s="10"/>
      <c r="G201" s="10"/>
      <c r="H201" s="10" t="s">
        <v>52</v>
      </c>
      <c r="I201" s="10">
        <v>11</v>
      </c>
      <c r="J201" s="10" t="s">
        <v>2842</v>
      </c>
      <c r="K201" s="10" t="s">
        <v>42</v>
      </c>
      <c r="L201" s="10">
        <f>Table1[[#This Row],[ENR]]-Table1[[#This Row],[CREDIT]]</f>
        <v>8816.6499999999942</v>
      </c>
      <c r="M201" s="36">
        <v>70000</v>
      </c>
      <c r="N201" s="26">
        <v>78816.649999999994</v>
      </c>
      <c r="O201" s="38" t="s">
        <v>43</v>
      </c>
      <c r="P201" s="25">
        <v>78816.649999999994</v>
      </c>
      <c r="Q201" s="25">
        <v>69982.38</v>
      </c>
      <c r="R201" s="10">
        <v>20810</v>
      </c>
      <c r="S201" s="39">
        <v>8060</v>
      </c>
      <c r="T201" s="10" t="s">
        <v>44</v>
      </c>
      <c r="U201" s="10" t="s">
        <v>45</v>
      </c>
      <c r="V201" s="10">
        <v>0</v>
      </c>
      <c r="W201" s="25">
        <f>Table1[[#This Row],[STAB]]-Table1[[#This Row],[AMOUNT]]</f>
        <v>8060</v>
      </c>
      <c r="X201" s="10">
        <v>0</v>
      </c>
      <c r="Y201" s="10" t="s">
        <v>79</v>
      </c>
      <c r="Z201" s="10">
        <v>0</v>
      </c>
      <c r="AA201" s="10" t="s">
        <v>162</v>
      </c>
      <c r="AB201" s="36" t="s">
        <v>734</v>
      </c>
      <c r="AC201" s="10"/>
      <c r="AD201" s="9" t="s">
        <v>2876</v>
      </c>
      <c r="AE201" s="10" t="s">
        <v>2909</v>
      </c>
      <c r="AF201" s="10" t="s">
        <v>281</v>
      </c>
      <c r="AG201" s="10" t="s">
        <v>54</v>
      </c>
      <c r="AH201" s="10" t="s">
        <v>724</v>
      </c>
      <c r="AI201" s="10" t="s">
        <v>365</v>
      </c>
      <c r="AJ201" s="10">
        <v>802824019</v>
      </c>
      <c r="AK201" s="10" t="s">
        <v>360</v>
      </c>
      <c r="AL201" s="10"/>
      <c r="AM201" s="10"/>
      <c r="AN201" s="11" t="s">
        <v>390</v>
      </c>
      <c r="AO201" s="10" t="s">
        <v>394</v>
      </c>
      <c r="AP201" s="10" t="s">
        <v>4570</v>
      </c>
      <c r="AQ201" s="10" t="s">
        <v>4566</v>
      </c>
      <c r="AR201" s="2" t="s">
        <v>43</v>
      </c>
      <c r="AS201" s="10">
        <v>0</v>
      </c>
      <c r="AT201" s="10" t="s">
        <v>48</v>
      </c>
      <c r="AU201" s="10" t="s">
        <v>2622</v>
      </c>
      <c r="AV201" s="36" t="s">
        <v>2944</v>
      </c>
      <c r="AW201" s="1">
        <v>46202</v>
      </c>
    </row>
    <row r="202" spans="1:49" x14ac:dyDescent="0.25">
      <c r="A202" s="9" t="s">
        <v>1140</v>
      </c>
      <c r="B202" s="10" t="s">
        <v>1177</v>
      </c>
      <c r="C202" s="10">
        <v>0</v>
      </c>
      <c r="D202" s="10" t="s">
        <v>91</v>
      </c>
      <c r="E202" s="10"/>
      <c r="F202" s="10"/>
      <c r="G202" s="10"/>
      <c r="H202" s="10" t="s">
        <v>52</v>
      </c>
      <c r="I202" s="10">
        <v>11</v>
      </c>
      <c r="J202" s="10" t="s">
        <v>1214</v>
      </c>
      <c r="K202" s="10" t="s">
        <v>42</v>
      </c>
      <c r="L202" s="10">
        <f>Table1[[#This Row],[ENR]]-Table1[[#This Row],[CREDIT]]</f>
        <v>-13567.970000000001</v>
      </c>
      <c r="M202" s="36">
        <v>90000</v>
      </c>
      <c r="N202" s="26">
        <v>76432.03</v>
      </c>
      <c r="O202" s="38">
        <v>53286.66</v>
      </c>
      <c r="P202" s="25">
        <v>23145.37</v>
      </c>
      <c r="Q202" s="25">
        <v>18652.759999999998</v>
      </c>
      <c r="R202" s="10">
        <v>15570</v>
      </c>
      <c r="S202" s="39">
        <v>8130</v>
      </c>
      <c r="T202" s="10" t="s">
        <v>57</v>
      </c>
      <c r="U202" s="10" t="s">
        <v>13</v>
      </c>
      <c r="V202" s="10">
        <v>15600</v>
      </c>
      <c r="W202" s="25">
        <f>Table1[[#This Row],[STAB]]-Table1[[#This Row],[AMOUNT]]</f>
        <v>-7470</v>
      </c>
      <c r="X202" s="10" t="s">
        <v>4566</v>
      </c>
      <c r="Y202" s="10" t="s">
        <v>402</v>
      </c>
      <c r="Z202" s="10" t="s">
        <v>403</v>
      </c>
      <c r="AA202" s="10" t="s">
        <v>162</v>
      </c>
      <c r="AB202" s="36" t="s">
        <v>734</v>
      </c>
      <c r="AC202" s="10"/>
      <c r="AD202" s="9" t="s">
        <v>1251</v>
      </c>
      <c r="AE202" s="10" t="s">
        <v>1288</v>
      </c>
      <c r="AF202" s="10" t="s">
        <v>283</v>
      </c>
      <c r="AG202" s="10" t="s">
        <v>53</v>
      </c>
      <c r="AH202" s="10" t="s">
        <v>356</v>
      </c>
      <c r="AI202" s="10" t="s">
        <v>2962</v>
      </c>
      <c r="AJ202" s="10">
        <v>801601134</v>
      </c>
      <c r="AK202" s="10" t="s">
        <v>104</v>
      </c>
      <c r="AL202" s="10"/>
      <c r="AM202" s="10"/>
      <c r="AN202" s="11" t="s">
        <v>390</v>
      </c>
      <c r="AO202" s="10"/>
      <c r="AP202" s="10"/>
      <c r="AQ202" s="10"/>
      <c r="AR202" s="2" t="s">
        <v>43</v>
      </c>
      <c r="AS202" s="10">
        <v>0</v>
      </c>
      <c r="AT202" s="10" t="s">
        <v>48</v>
      </c>
      <c r="AU202" s="10" t="s">
        <v>1105</v>
      </c>
      <c r="AV202" s="36" t="s">
        <v>1330</v>
      </c>
      <c r="AW202" s="1">
        <v>46202</v>
      </c>
    </row>
    <row r="203" spans="1:49" x14ac:dyDescent="0.25">
      <c r="A203" s="9" t="s">
        <v>2772</v>
      </c>
      <c r="B203" s="10" t="s">
        <v>2806</v>
      </c>
      <c r="C203" s="10">
        <v>0</v>
      </c>
      <c r="D203" s="10" t="s">
        <v>91</v>
      </c>
      <c r="E203" s="10"/>
      <c r="F203" s="10"/>
      <c r="G203" s="10"/>
      <c r="H203" s="10" t="s">
        <v>52</v>
      </c>
      <c r="I203" s="10">
        <v>11</v>
      </c>
      <c r="J203" s="10" t="s">
        <v>2840</v>
      </c>
      <c r="K203" s="10" t="s">
        <v>42</v>
      </c>
      <c r="L203" s="10">
        <f>Table1[[#This Row],[ENR]]-Table1[[#This Row],[CREDIT]]</f>
        <v>-44050.14</v>
      </c>
      <c r="M203" s="36">
        <v>120000</v>
      </c>
      <c r="N203" s="26">
        <v>75949.86</v>
      </c>
      <c r="O203" s="38" t="s">
        <v>43</v>
      </c>
      <c r="P203" s="25">
        <v>75949.86</v>
      </c>
      <c r="Q203" s="25">
        <v>67682.23</v>
      </c>
      <c r="R203" s="10">
        <v>26990</v>
      </c>
      <c r="S203" s="39">
        <v>19710</v>
      </c>
      <c r="T203" s="10" t="s">
        <v>57</v>
      </c>
      <c r="U203" s="10" t="s">
        <v>13</v>
      </c>
      <c r="V203" s="10">
        <v>75949.86</v>
      </c>
      <c r="W203" s="25">
        <f>Table1[[#This Row],[STAB]]-Table1[[#This Row],[AMOUNT]]</f>
        <v>-56239.86</v>
      </c>
      <c r="X203" s="10" t="s">
        <v>4530</v>
      </c>
      <c r="Y203" s="10" t="s">
        <v>402</v>
      </c>
      <c r="Z203" s="10" t="s">
        <v>403</v>
      </c>
      <c r="AA203" s="10" t="s">
        <v>162</v>
      </c>
      <c r="AB203" s="10" t="s">
        <v>735</v>
      </c>
      <c r="AC203" s="10"/>
      <c r="AD203" s="9" t="s">
        <v>2874</v>
      </c>
      <c r="AE203" s="10" t="s">
        <v>2908</v>
      </c>
      <c r="AF203" s="10" t="s">
        <v>285</v>
      </c>
      <c r="AG203" s="10" t="s">
        <v>54</v>
      </c>
      <c r="AH203" s="10" t="s">
        <v>98</v>
      </c>
      <c r="AI203" s="10" t="s">
        <v>727</v>
      </c>
      <c r="AJ203" s="10">
        <v>802898520</v>
      </c>
      <c r="AK203" s="10" t="s">
        <v>104</v>
      </c>
      <c r="AL203" s="10"/>
      <c r="AM203" s="10"/>
      <c r="AN203" s="11" t="s">
        <v>390</v>
      </c>
      <c r="AO203" s="10"/>
      <c r="AP203" s="10"/>
      <c r="AQ203" s="10"/>
      <c r="AR203" s="2" t="s">
        <v>43</v>
      </c>
      <c r="AS203" s="10">
        <v>0</v>
      </c>
      <c r="AT203" s="10" t="s">
        <v>157</v>
      </c>
      <c r="AU203" s="10" t="s">
        <v>2622</v>
      </c>
      <c r="AV203" s="36" t="s">
        <v>2942</v>
      </c>
      <c r="AW203" s="1">
        <v>46202</v>
      </c>
    </row>
    <row r="204" spans="1:49" x14ac:dyDescent="0.25">
      <c r="A204" s="9" t="s">
        <v>1152</v>
      </c>
      <c r="B204" s="10" t="s">
        <v>1189</v>
      </c>
      <c r="C204" s="10">
        <v>0</v>
      </c>
      <c r="D204" s="10" t="s">
        <v>91</v>
      </c>
      <c r="E204" s="10"/>
      <c r="F204" s="10"/>
      <c r="G204" s="10"/>
      <c r="H204" s="10" t="s">
        <v>52</v>
      </c>
      <c r="I204" s="10">
        <v>11</v>
      </c>
      <c r="J204" s="10" t="s">
        <v>1226</v>
      </c>
      <c r="K204" s="10" t="s">
        <v>42</v>
      </c>
      <c r="L204" s="10">
        <f>Table1[[#This Row],[ENR]]-Table1[[#This Row],[CREDIT]]</f>
        <v>5611.0800000000017</v>
      </c>
      <c r="M204" s="36">
        <v>70000</v>
      </c>
      <c r="N204" s="26">
        <v>75611.08</v>
      </c>
      <c r="O204" s="38" t="s">
        <v>43</v>
      </c>
      <c r="P204" s="25">
        <v>75611.08</v>
      </c>
      <c r="Q204" s="25">
        <v>69498.320000000007</v>
      </c>
      <c r="R204" s="10">
        <v>20250</v>
      </c>
      <c r="S204" s="39">
        <v>12430</v>
      </c>
      <c r="T204" s="10" t="s">
        <v>57</v>
      </c>
      <c r="U204" s="10" t="s">
        <v>13</v>
      </c>
      <c r="V204" s="10">
        <v>20250</v>
      </c>
      <c r="W204" s="25">
        <f>Table1[[#This Row],[STAB]]-Table1[[#This Row],[AMOUNT]]</f>
        <v>-7820</v>
      </c>
      <c r="X204" s="10" t="s">
        <v>4535</v>
      </c>
      <c r="Y204" s="10" t="s">
        <v>402</v>
      </c>
      <c r="Z204" s="10" t="s">
        <v>403</v>
      </c>
      <c r="AA204" s="10" t="s">
        <v>162</v>
      </c>
      <c r="AB204" s="36" t="s">
        <v>733</v>
      </c>
      <c r="AC204" s="10"/>
      <c r="AD204" s="9" t="s">
        <v>1263</v>
      </c>
      <c r="AE204" s="10" t="s">
        <v>1300</v>
      </c>
      <c r="AF204" s="10" t="s">
        <v>280</v>
      </c>
      <c r="AG204" s="10" t="s">
        <v>54</v>
      </c>
      <c r="AH204" s="10" t="s">
        <v>280</v>
      </c>
      <c r="AI204" s="10" t="s">
        <v>365</v>
      </c>
      <c r="AJ204" s="10">
        <v>802824019</v>
      </c>
      <c r="AK204" s="10" t="s">
        <v>360</v>
      </c>
      <c r="AL204" s="10"/>
      <c r="AM204" s="10"/>
      <c r="AN204" s="11" t="s">
        <v>390</v>
      </c>
      <c r="AO204" s="10"/>
      <c r="AP204" s="10"/>
      <c r="AQ204" s="10"/>
      <c r="AR204" s="2">
        <v>45910</v>
      </c>
      <c r="AS204" s="10">
        <v>2</v>
      </c>
      <c r="AT204" s="10" t="s">
        <v>157</v>
      </c>
      <c r="AU204" s="10" t="s">
        <v>1105</v>
      </c>
      <c r="AV204" s="36" t="s">
        <v>1342</v>
      </c>
      <c r="AW204" s="1">
        <v>46202</v>
      </c>
    </row>
    <row r="205" spans="1:49" x14ac:dyDescent="0.25">
      <c r="A205" s="9" t="s">
        <v>1145</v>
      </c>
      <c r="B205" s="10" t="s">
        <v>1182</v>
      </c>
      <c r="C205" s="10">
        <v>0</v>
      </c>
      <c r="D205" s="10" t="s">
        <v>91</v>
      </c>
      <c r="E205" s="10"/>
      <c r="F205" s="10"/>
      <c r="G205" s="10"/>
      <c r="H205" s="10" t="s">
        <v>84</v>
      </c>
      <c r="I205" s="10">
        <v>11</v>
      </c>
      <c r="J205" s="10" t="s">
        <v>1219</v>
      </c>
      <c r="K205" s="10" t="s">
        <v>42</v>
      </c>
      <c r="L205" s="10">
        <f>Table1[[#This Row],[ENR]]-Table1[[#This Row],[CREDIT]]</f>
        <v>4916.3899999999994</v>
      </c>
      <c r="M205" s="36">
        <v>70000</v>
      </c>
      <c r="N205" s="26">
        <v>74916.39</v>
      </c>
      <c r="O205" s="38" t="s">
        <v>43</v>
      </c>
      <c r="P205" s="25">
        <v>74916.39</v>
      </c>
      <c r="Q205" s="25">
        <v>67508</v>
      </c>
      <c r="R205" s="10">
        <v>22000</v>
      </c>
      <c r="S205" s="39">
        <v>14440</v>
      </c>
      <c r="T205" s="10" t="s">
        <v>44</v>
      </c>
      <c r="U205" s="10" t="s">
        <v>45</v>
      </c>
      <c r="V205" s="10">
        <v>0</v>
      </c>
      <c r="W205" s="25">
        <f>Table1[[#This Row],[STAB]]-Table1[[#This Row],[AMOUNT]]</f>
        <v>14440</v>
      </c>
      <c r="X205" s="10">
        <v>0</v>
      </c>
      <c r="Y205" s="10" t="s">
        <v>79</v>
      </c>
      <c r="Z205" s="10">
        <v>0</v>
      </c>
      <c r="AA205" s="10" t="s">
        <v>162</v>
      </c>
      <c r="AB205" s="36" t="s">
        <v>736</v>
      </c>
      <c r="AC205" s="10"/>
      <c r="AD205" s="9" t="s">
        <v>1256</v>
      </c>
      <c r="AE205" s="10" t="s">
        <v>1293</v>
      </c>
      <c r="AF205" s="10" t="s">
        <v>1319</v>
      </c>
      <c r="AG205" s="10" t="s">
        <v>54</v>
      </c>
      <c r="AH205" s="10" t="s">
        <v>93</v>
      </c>
      <c r="AI205" s="10" t="s">
        <v>364</v>
      </c>
      <c r="AJ205" s="10">
        <v>802663344</v>
      </c>
      <c r="AK205" s="10" t="s">
        <v>105</v>
      </c>
      <c r="AL205" s="10"/>
      <c r="AM205" s="10"/>
      <c r="AN205" s="11" t="s">
        <v>390</v>
      </c>
      <c r="AO205" s="10" t="s">
        <v>392</v>
      </c>
      <c r="AP205" s="10" t="s">
        <v>1974</v>
      </c>
      <c r="AQ205" s="10" t="s">
        <v>1961</v>
      </c>
      <c r="AR205" s="2">
        <v>45635</v>
      </c>
      <c r="AS205" s="10">
        <v>4500</v>
      </c>
      <c r="AT205" s="10" t="s">
        <v>157</v>
      </c>
      <c r="AU205" s="10" t="s">
        <v>1105</v>
      </c>
      <c r="AV205" s="36" t="s">
        <v>1335</v>
      </c>
      <c r="AW205" s="1">
        <v>46202</v>
      </c>
    </row>
    <row r="206" spans="1:49" x14ac:dyDescent="0.25">
      <c r="A206" s="9" t="s">
        <v>1142</v>
      </c>
      <c r="B206" s="10" t="s">
        <v>1179</v>
      </c>
      <c r="C206" s="10">
        <v>0</v>
      </c>
      <c r="D206" s="10" t="s">
        <v>91</v>
      </c>
      <c r="E206" s="10"/>
      <c r="F206" s="10"/>
      <c r="G206" s="10"/>
      <c r="H206" s="10" t="s">
        <v>52</v>
      </c>
      <c r="I206" s="10">
        <v>11</v>
      </c>
      <c r="J206" s="10" t="s">
        <v>1216</v>
      </c>
      <c r="K206" s="10" t="s">
        <v>42</v>
      </c>
      <c r="L206" s="10">
        <f>Table1[[#This Row],[ENR]]-Table1[[#This Row],[CREDIT]]</f>
        <v>-5237.820000000007</v>
      </c>
      <c r="M206" s="36">
        <v>80000</v>
      </c>
      <c r="N206" s="26">
        <v>74762.179999999993</v>
      </c>
      <c r="O206" s="38">
        <v>58810.13</v>
      </c>
      <c r="P206" s="25">
        <v>15952.05</v>
      </c>
      <c r="Q206" s="25">
        <v>12486.13</v>
      </c>
      <c r="R206" s="10">
        <v>15952.05</v>
      </c>
      <c r="S206" s="39">
        <v>5320.55</v>
      </c>
      <c r="T206" s="10" t="s">
        <v>44</v>
      </c>
      <c r="U206" s="10" t="s">
        <v>45</v>
      </c>
      <c r="V206" s="10">
        <v>0</v>
      </c>
      <c r="W206" s="25">
        <f>Table1[[#This Row],[STAB]]-Table1[[#This Row],[AMOUNT]]</f>
        <v>5320.55</v>
      </c>
      <c r="X206" s="10">
        <v>0</v>
      </c>
      <c r="Y206" s="10" t="s">
        <v>79</v>
      </c>
      <c r="Z206" s="10">
        <v>0</v>
      </c>
      <c r="AA206" s="10" t="s">
        <v>162</v>
      </c>
      <c r="AB206" s="10" t="s">
        <v>735</v>
      </c>
      <c r="AC206" s="10"/>
      <c r="AD206" s="9" t="s">
        <v>1253</v>
      </c>
      <c r="AE206" s="10" t="s">
        <v>1290</v>
      </c>
      <c r="AF206" s="10" t="s">
        <v>498</v>
      </c>
      <c r="AG206" s="10" t="s">
        <v>53</v>
      </c>
      <c r="AH206" s="10" t="s">
        <v>90</v>
      </c>
      <c r="AI206" s="10" t="s">
        <v>162</v>
      </c>
      <c r="AJ206" s="10">
        <v>801772794</v>
      </c>
      <c r="AK206" s="10" t="s">
        <v>361</v>
      </c>
      <c r="AL206" s="10"/>
      <c r="AM206" s="10"/>
      <c r="AN206" s="11" t="s">
        <v>390</v>
      </c>
      <c r="AO206" s="10" t="s">
        <v>394</v>
      </c>
      <c r="AP206" s="10" t="s">
        <v>2002</v>
      </c>
      <c r="AQ206" s="10" t="s">
        <v>1989</v>
      </c>
      <c r="AR206" s="2">
        <v>45990</v>
      </c>
      <c r="AS206" s="10">
        <v>51138.76</v>
      </c>
      <c r="AT206" s="10" t="s">
        <v>48</v>
      </c>
      <c r="AU206" s="10" t="s">
        <v>1105</v>
      </c>
      <c r="AV206" s="36" t="s">
        <v>1332</v>
      </c>
      <c r="AW206" s="1">
        <v>46202</v>
      </c>
    </row>
    <row r="207" spans="1:49" x14ac:dyDescent="0.25">
      <c r="A207" s="9" t="s">
        <v>1169</v>
      </c>
      <c r="B207" s="10" t="s">
        <v>1206</v>
      </c>
      <c r="C207" s="10">
        <v>0</v>
      </c>
      <c r="D207" s="10" t="s">
        <v>91</v>
      </c>
      <c r="E207" s="10"/>
      <c r="F207" s="10"/>
      <c r="G207" s="10"/>
      <c r="H207" s="10" t="s">
        <v>52</v>
      </c>
      <c r="I207" s="10">
        <v>11</v>
      </c>
      <c r="J207" s="10" t="s">
        <v>1243</v>
      </c>
      <c r="K207" s="10" t="s">
        <v>42</v>
      </c>
      <c r="L207" s="10">
        <f>Table1[[#This Row],[ENR]]-Table1[[#This Row],[CREDIT]]</f>
        <v>-83326.03</v>
      </c>
      <c r="M207" s="36">
        <v>150000</v>
      </c>
      <c r="N207" s="26">
        <v>66673.97</v>
      </c>
      <c r="O207" s="38" t="s">
        <v>43</v>
      </c>
      <c r="P207" s="25">
        <v>66673.97</v>
      </c>
      <c r="Q207" s="25">
        <v>58355.59</v>
      </c>
      <c r="R207" s="10">
        <v>11930</v>
      </c>
      <c r="S207" s="39">
        <v>3285.44</v>
      </c>
      <c r="T207" s="10" t="s">
        <v>57</v>
      </c>
      <c r="U207" s="10" t="s">
        <v>14</v>
      </c>
      <c r="V207" s="25">
        <v>3500</v>
      </c>
      <c r="W207" s="25">
        <f>Table1[[#This Row],[STAB]]-Table1[[#This Row],[AMOUNT]]</f>
        <v>-214.55999999999995</v>
      </c>
      <c r="X207" s="10" t="s">
        <v>4619</v>
      </c>
      <c r="Y207" s="10" t="s">
        <v>402</v>
      </c>
      <c r="Z207" s="10" t="s">
        <v>403</v>
      </c>
      <c r="AA207" s="10" t="s">
        <v>162</v>
      </c>
      <c r="AB207" s="36" t="s">
        <v>733</v>
      </c>
      <c r="AC207" s="10"/>
      <c r="AD207" s="9" t="s">
        <v>1280</v>
      </c>
      <c r="AE207" s="10" t="s">
        <v>1317</v>
      </c>
      <c r="AF207" s="10" t="s">
        <v>687</v>
      </c>
      <c r="AG207" s="10" t="s">
        <v>53</v>
      </c>
      <c r="AH207" s="10" t="s">
        <v>83</v>
      </c>
      <c r="AI207" s="10" t="s">
        <v>728</v>
      </c>
      <c r="AJ207" s="10">
        <v>802349062</v>
      </c>
      <c r="AK207" s="10" t="s">
        <v>104</v>
      </c>
      <c r="AL207" s="10"/>
      <c r="AM207" s="10"/>
      <c r="AN207" s="11" t="s">
        <v>390</v>
      </c>
      <c r="AO207" s="10"/>
      <c r="AP207" s="10"/>
      <c r="AQ207" s="10"/>
      <c r="AR207" s="2">
        <v>46031</v>
      </c>
      <c r="AS207" s="10">
        <v>265.37</v>
      </c>
      <c r="AT207" s="10" t="s">
        <v>503</v>
      </c>
      <c r="AU207" s="10" t="s">
        <v>1105</v>
      </c>
      <c r="AV207" s="36" t="s">
        <v>1359</v>
      </c>
      <c r="AW207" s="1">
        <v>46202</v>
      </c>
    </row>
    <row r="208" spans="1:49" x14ac:dyDescent="0.25">
      <c r="A208" s="9" t="s">
        <v>1141</v>
      </c>
      <c r="B208" s="10" t="s">
        <v>1178</v>
      </c>
      <c r="C208" s="10">
        <v>0</v>
      </c>
      <c r="D208" s="10" t="s">
        <v>91</v>
      </c>
      <c r="E208" s="10"/>
      <c r="F208" s="10"/>
      <c r="G208" s="10"/>
      <c r="H208" s="10" t="s">
        <v>52</v>
      </c>
      <c r="I208" s="10">
        <v>11</v>
      </c>
      <c r="J208" s="10" t="s">
        <v>1215</v>
      </c>
      <c r="K208" s="10" t="s">
        <v>42</v>
      </c>
      <c r="L208" s="10">
        <f>Table1[[#This Row],[ENR]]-Table1[[#This Row],[CREDIT]]</f>
        <v>-116179.16</v>
      </c>
      <c r="M208" s="36">
        <v>180000</v>
      </c>
      <c r="N208" s="26">
        <v>63820.84</v>
      </c>
      <c r="O208" s="38">
        <v>46174.49</v>
      </c>
      <c r="P208" s="25">
        <v>17646.349999999999</v>
      </c>
      <c r="Q208" s="25">
        <v>13941.86</v>
      </c>
      <c r="R208" s="10">
        <v>17130</v>
      </c>
      <c r="S208" s="39">
        <v>8440</v>
      </c>
      <c r="T208" s="10" t="s">
        <v>57</v>
      </c>
      <c r="U208" s="10" t="s">
        <v>13</v>
      </c>
      <c r="V208" s="10">
        <v>17646.349999999999</v>
      </c>
      <c r="W208" s="25">
        <f>Table1[[#This Row],[STAB]]-Table1[[#This Row],[AMOUNT]]</f>
        <v>-9206.3499999999985</v>
      </c>
      <c r="X208" s="10" t="s">
        <v>4619</v>
      </c>
      <c r="Y208" s="10" t="s">
        <v>396</v>
      </c>
      <c r="Z208" s="10" t="s">
        <v>403</v>
      </c>
      <c r="AA208" s="10" t="s">
        <v>162</v>
      </c>
      <c r="AB208" s="36" t="s">
        <v>733</v>
      </c>
      <c r="AC208" s="10"/>
      <c r="AD208" s="9" t="s">
        <v>1252</v>
      </c>
      <c r="AE208" s="10" t="s">
        <v>1289</v>
      </c>
      <c r="AF208" s="10" t="s">
        <v>285</v>
      </c>
      <c r="AG208" s="10" t="s">
        <v>54</v>
      </c>
      <c r="AH208" s="10" t="s">
        <v>94</v>
      </c>
      <c r="AI208" s="10" t="s">
        <v>725</v>
      </c>
      <c r="AJ208" s="10">
        <v>802794852</v>
      </c>
      <c r="AK208" s="10" t="s">
        <v>104</v>
      </c>
      <c r="AL208" s="10"/>
      <c r="AM208" s="10"/>
      <c r="AN208" s="11" t="s">
        <v>390</v>
      </c>
      <c r="AO208" s="10" t="s">
        <v>392</v>
      </c>
      <c r="AP208" s="10" t="s">
        <v>1963</v>
      </c>
      <c r="AQ208" s="10" t="s">
        <v>1961</v>
      </c>
      <c r="AR208" s="2">
        <v>46147</v>
      </c>
      <c r="AS208" s="10">
        <v>15230</v>
      </c>
      <c r="AT208" s="10" t="s">
        <v>48</v>
      </c>
      <c r="AU208" s="10" t="s">
        <v>1105</v>
      </c>
      <c r="AV208" s="36" t="s">
        <v>1331</v>
      </c>
      <c r="AW208" s="1">
        <v>46202</v>
      </c>
    </row>
    <row r="209" spans="1:49" x14ac:dyDescent="0.25">
      <c r="A209" s="9" t="s">
        <v>2757</v>
      </c>
      <c r="B209" s="10" t="s">
        <v>2791</v>
      </c>
      <c r="C209" s="10">
        <v>0</v>
      </c>
      <c r="D209" s="10" t="s">
        <v>91</v>
      </c>
      <c r="E209" s="10"/>
      <c r="F209" s="10"/>
      <c r="G209" s="10"/>
      <c r="H209" s="10" t="s">
        <v>52</v>
      </c>
      <c r="I209" s="10">
        <v>11</v>
      </c>
      <c r="J209" s="10" t="s">
        <v>2825</v>
      </c>
      <c r="K209" s="10" t="s">
        <v>460</v>
      </c>
      <c r="L209" s="10">
        <f>Table1[[#This Row],[ENR]]-Table1[[#This Row],[CREDIT]]</f>
        <v>-67316.800000000003</v>
      </c>
      <c r="M209" s="36">
        <v>130000</v>
      </c>
      <c r="N209" s="26">
        <v>62683.199999999997</v>
      </c>
      <c r="O209" s="38" t="s">
        <v>43</v>
      </c>
      <c r="P209" s="25">
        <v>62683.199999999997</v>
      </c>
      <c r="Q209" s="25">
        <v>57189.79</v>
      </c>
      <c r="R209" s="10">
        <v>8930</v>
      </c>
      <c r="S209" s="39">
        <v>3410</v>
      </c>
      <c r="T209" s="10" t="s">
        <v>57</v>
      </c>
      <c r="U209" s="10" t="s">
        <v>13</v>
      </c>
      <c r="V209" s="10">
        <v>23000</v>
      </c>
      <c r="W209" s="25">
        <f>Table1[[#This Row],[STAB]]-Table1[[#This Row],[AMOUNT]]</f>
        <v>-19590</v>
      </c>
      <c r="X209" s="10" t="s">
        <v>4619</v>
      </c>
      <c r="Y209" s="10" t="s">
        <v>402</v>
      </c>
      <c r="Z209" s="10" t="s">
        <v>403</v>
      </c>
      <c r="AA209" s="10" t="s">
        <v>162</v>
      </c>
      <c r="AB209" s="36" t="s">
        <v>734</v>
      </c>
      <c r="AC209" s="10"/>
      <c r="AD209" s="9" t="s">
        <v>2859</v>
      </c>
      <c r="AE209" s="10" t="s">
        <v>2893</v>
      </c>
      <c r="AF209" s="10" t="s">
        <v>273</v>
      </c>
      <c r="AG209" s="10" t="s">
        <v>80</v>
      </c>
      <c r="AH209" s="10" t="s">
        <v>115</v>
      </c>
      <c r="AI209" s="10" t="s">
        <v>368</v>
      </c>
      <c r="AJ209" s="10">
        <v>802823175</v>
      </c>
      <c r="AK209" s="10" t="s">
        <v>105</v>
      </c>
      <c r="AL209" s="10"/>
      <c r="AM209" s="10"/>
      <c r="AN209" s="11" t="s">
        <v>390</v>
      </c>
      <c r="AO209" s="10"/>
      <c r="AP209" s="10"/>
      <c r="AQ209" s="10"/>
      <c r="AR209" s="2">
        <v>45819</v>
      </c>
      <c r="AS209" s="10">
        <v>650</v>
      </c>
      <c r="AT209" s="10" t="s">
        <v>157</v>
      </c>
      <c r="AU209" s="10" t="s">
        <v>2622</v>
      </c>
      <c r="AV209" s="36" t="s">
        <v>2927</v>
      </c>
      <c r="AW209" s="1">
        <v>46202</v>
      </c>
    </row>
    <row r="210" spans="1:49" x14ac:dyDescent="0.25">
      <c r="A210" s="9" t="s">
        <v>2770</v>
      </c>
      <c r="B210" s="10" t="s">
        <v>2804</v>
      </c>
      <c r="C210" s="10">
        <v>0</v>
      </c>
      <c r="D210" s="10" t="s">
        <v>91</v>
      </c>
      <c r="E210" s="10"/>
      <c r="F210" s="10"/>
      <c r="G210" s="10"/>
      <c r="H210" s="10" t="s">
        <v>52</v>
      </c>
      <c r="I210" s="10">
        <v>11</v>
      </c>
      <c r="J210" s="10" t="s">
        <v>2838</v>
      </c>
      <c r="K210" s="10" t="s">
        <v>42</v>
      </c>
      <c r="L210" s="10">
        <f>Table1[[#This Row],[ENR]]-Table1[[#This Row],[CREDIT]]</f>
        <v>667.58999999999651</v>
      </c>
      <c r="M210" s="36">
        <v>60000</v>
      </c>
      <c r="N210" s="26">
        <v>60667.59</v>
      </c>
      <c r="O210" s="38">
        <v>4170.68</v>
      </c>
      <c r="P210" s="25">
        <v>56496.91</v>
      </c>
      <c r="Q210" s="25">
        <v>48582.01</v>
      </c>
      <c r="R210" s="10">
        <v>13270</v>
      </c>
      <c r="S210" s="39">
        <v>5750</v>
      </c>
      <c r="T210" s="10" t="s">
        <v>57</v>
      </c>
      <c r="U210" s="10" t="s">
        <v>13</v>
      </c>
      <c r="V210" s="10">
        <v>13270</v>
      </c>
      <c r="W210" s="25">
        <f>Table1[[#This Row],[STAB]]-Table1[[#This Row],[AMOUNT]]</f>
        <v>-7520</v>
      </c>
      <c r="X210" s="10" t="s">
        <v>4591</v>
      </c>
      <c r="Y210" s="10" t="s">
        <v>402</v>
      </c>
      <c r="Z210" s="10" t="s">
        <v>403</v>
      </c>
      <c r="AA210" s="10" t="s">
        <v>162</v>
      </c>
      <c r="AB210" s="10" t="s">
        <v>735</v>
      </c>
      <c r="AC210" s="10"/>
      <c r="AD210" s="9" t="s">
        <v>2872</v>
      </c>
      <c r="AE210" s="10" t="s">
        <v>2906</v>
      </c>
      <c r="AF210" s="10" t="s">
        <v>272</v>
      </c>
      <c r="AG210" s="10" t="s">
        <v>54</v>
      </c>
      <c r="AH210" s="10" t="s">
        <v>114</v>
      </c>
      <c r="AI210" s="10" t="s">
        <v>726</v>
      </c>
      <c r="AJ210" s="10">
        <v>801772792</v>
      </c>
      <c r="AK210" s="10" t="s">
        <v>105</v>
      </c>
      <c r="AL210" s="10"/>
      <c r="AM210" s="10"/>
      <c r="AN210" s="11" t="s">
        <v>390</v>
      </c>
      <c r="AO210" s="10"/>
      <c r="AP210" s="10"/>
      <c r="AQ210" s="10"/>
      <c r="AR210" s="2">
        <v>45958</v>
      </c>
      <c r="AS210" s="10">
        <v>12000</v>
      </c>
      <c r="AT210" s="10" t="s">
        <v>157</v>
      </c>
      <c r="AU210" s="10" t="s">
        <v>2622</v>
      </c>
      <c r="AV210" s="36" t="s">
        <v>2940</v>
      </c>
      <c r="AW210" s="1">
        <v>46202</v>
      </c>
    </row>
    <row r="211" spans="1:49" x14ac:dyDescent="0.25">
      <c r="A211" s="9" t="s">
        <v>1134</v>
      </c>
      <c r="B211" s="10" t="s">
        <v>1172</v>
      </c>
      <c r="C211" s="10">
        <v>0</v>
      </c>
      <c r="D211" s="10" t="s">
        <v>91</v>
      </c>
      <c r="E211" s="10"/>
      <c r="F211" s="10"/>
      <c r="G211" s="10"/>
      <c r="H211" s="10" t="s">
        <v>52</v>
      </c>
      <c r="I211" s="10">
        <v>11</v>
      </c>
      <c r="J211" s="10" t="s">
        <v>1209</v>
      </c>
      <c r="K211" s="10" t="s">
        <v>42</v>
      </c>
      <c r="L211" s="10">
        <f>Table1[[#This Row],[ENR]]-Table1[[#This Row],[CREDIT]]</f>
        <v>4264.3499999999985</v>
      </c>
      <c r="M211" s="36">
        <v>50000</v>
      </c>
      <c r="N211" s="26">
        <v>54264.35</v>
      </c>
      <c r="O211" s="38" t="s">
        <v>43</v>
      </c>
      <c r="P211" s="25">
        <v>54264.35</v>
      </c>
      <c r="Q211" s="25">
        <v>49014</v>
      </c>
      <c r="R211" s="10">
        <v>14090</v>
      </c>
      <c r="S211" s="39">
        <v>2460</v>
      </c>
      <c r="T211" s="10" t="s">
        <v>57</v>
      </c>
      <c r="U211" s="10" t="s">
        <v>14</v>
      </c>
      <c r="V211" s="25">
        <v>2500</v>
      </c>
      <c r="W211" s="25">
        <f>Table1[[#This Row],[STAB]]-Table1[[#This Row],[AMOUNT]]</f>
        <v>-40</v>
      </c>
      <c r="X211" s="10" t="s">
        <v>4566</v>
      </c>
      <c r="Y211" s="10" t="s">
        <v>402</v>
      </c>
      <c r="Z211" s="10" t="s">
        <v>403</v>
      </c>
      <c r="AA211" s="10" t="s">
        <v>162</v>
      </c>
      <c r="AB211" s="36" t="s">
        <v>734</v>
      </c>
      <c r="AC211" s="10"/>
      <c r="AD211" s="9" t="s">
        <v>1246</v>
      </c>
      <c r="AE211" s="10" t="s">
        <v>1283</v>
      </c>
      <c r="AF211" s="10" t="s">
        <v>1319</v>
      </c>
      <c r="AG211" s="10" t="s">
        <v>54</v>
      </c>
      <c r="AH211" s="10" t="s">
        <v>93</v>
      </c>
      <c r="AI211" s="10" t="s">
        <v>364</v>
      </c>
      <c r="AJ211" s="10">
        <v>802663344</v>
      </c>
      <c r="AK211" s="10" t="s">
        <v>105</v>
      </c>
      <c r="AL211" s="10"/>
      <c r="AM211" s="10"/>
      <c r="AN211" s="11" t="s">
        <v>390</v>
      </c>
      <c r="AO211" s="10"/>
      <c r="AP211" s="10"/>
      <c r="AQ211" s="10"/>
      <c r="AR211" s="2">
        <v>45557</v>
      </c>
      <c r="AS211" s="10">
        <v>24040</v>
      </c>
      <c r="AT211" s="10" t="s">
        <v>48</v>
      </c>
      <c r="AU211" s="10" t="s">
        <v>1105</v>
      </c>
      <c r="AV211" s="36" t="s">
        <v>1324</v>
      </c>
      <c r="AW211" s="1">
        <v>46202</v>
      </c>
    </row>
    <row r="212" spans="1:49" x14ac:dyDescent="0.25">
      <c r="A212" s="9" t="s">
        <v>1148</v>
      </c>
      <c r="B212" s="10" t="s">
        <v>1185</v>
      </c>
      <c r="C212" s="10">
        <v>0</v>
      </c>
      <c r="D212" s="10" t="s">
        <v>91</v>
      </c>
      <c r="E212" s="10"/>
      <c r="F212" s="10"/>
      <c r="G212" s="10"/>
      <c r="H212" s="10" t="s">
        <v>52</v>
      </c>
      <c r="I212" s="10">
        <v>11</v>
      </c>
      <c r="J212" s="10" t="s">
        <v>1222</v>
      </c>
      <c r="K212" s="10" t="s">
        <v>42</v>
      </c>
      <c r="L212" s="10">
        <f>Table1[[#This Row],[ENR]]-Table1[[#This Row],[CREDIT]]</f>
        <v>-8670.43</v>
      </c>
      <c r="M212" s="36">
        <v>60000</v>
      </c>
      <c r="N212" s="26">
        <v>51329.57</v>
      </c>
      <c r="O212" s="38">
        <v>10976.37</v>
      </c>
      <c r="P212" s="25">
        <v>40353.199999999997</v>
      </c>
      <c r="Q212" s="25">
        <v>35491.82</v>
      </c>
      <c r="R212" s="10">
        <v>13690</v>
      </c>
      <c r="S212" s="39">
        <v>5500</v>
      </c>
      <c r="T212" s="10" t="s">
        <v>57</v>
      </c>
      <c r="U212" s="10" t="s">
        <v>13</v>
      </c>
      <c r="V212" s="10">
        <v>18690</v>
      </c>
      <c r="W212" s="25">
        <f>Table1[[#This Row],[STAB]]-Table1[[#This Row],[AMOUNT]]</f>
        <v>-13190</v>
      </c>
      <c r="X212" s="10" t="s">
        <v>4566</v>
      </c>
      <c r="Y212" s="10" t="s">
        <v>402</v>
      </c>
      <c r="Z212" s="10" t="s">
        <v>403</v>
      </c>
      <c r="AA212" s="10" t="s">
        <v>162</v>
      </c>
      <c r="AB212" s="36" t="s">
        <v>736</v>
      </c>
      <c r="AC212" s="10"/>
      <c r="AD212" s="9" t="s">
        <v>1259</v>
      </c>
      <c r="AE212" s="10" t="s">
        <v>1296</v>
      </c>
      <c r="AF212" s="10" t="s">
        <v>1320</v>
      </c>
      <c r="AG212" s="10" t="s">
        <v>1363</v>
      </c>
      <c r="AH212" s="10" t="s">
        <v>1367</v>
      </c>
      <c r="AI212" s="10" t="s">
        <v>365</v>
      </c>
      <c r="AJ212" s="10">
        <v>802824019</v>
      </c>
      <c r="AK212" s="10" t="s">
        <v>360</v>
      </c>
      <c r="AL212" s="10"/>
      <c r="AM212" s="10"/>
      <c r="AN212" s="11" t="s">
        <v>390</v>
      </c>
      <c r="AO212" s="10"/>
      <c r="AP212" s="10"/>
      <c r="AQ212" s="10"/>
      <c r="AR212" s="2">
        <v>45966</v>
      </c>
      <c r="AS212" s="10">
        <v>2000</v>
      </c>
      <c r="AT212" s="10" t="s">
        <v>157</v>
      </c>
      <c r="AU212" s="10" t="s">
        <v>1105</v>
      </c>
      <c r="AV212" s="36" t="s">
        <v>1338</v>
      </c>
      <c r="AW212" s="1">
        <v>46202</v>
      </c>
    </row>
    <row r="213" spans="1:49" x14ac:dyDescent="0.25">
      <c r="A213" s="9" t="s">
        <v>756</v>
      </c>
      <c r="B213" s="10" t="s">
        <v>772</v>
      </c>
      <c r="C213" s="10" t="s">
        <v>97</v>
      </c>
      <c r="D213" s="10" t="s">
        <v>95</v>
      </c>
      <c r="E213" s="10">
        <v>1</v>
      </c>
      <c r="F213" s="10" t="s">
        <v>112</v>
      </c>
      <c r="G213" s="10" t="s">
        <v>4945</v>
      </c>
      <c r="H213" s="10" t="s">
        <v>52</v>
      </c>
      <c r="I213" s="10">
        <v>12</v>
      </c>
      <c r="J213" s="10" t="s">
        <v>788</v>
      </c>
      <c r="K213" s="10" t="s">
        <v>42</v>
      </c>
      <c r="L213" s="10">
        <f>Table1[[#This Row],[ENR]]-Table1[[#This Row],[CREDIT]]</f>
        <v>102980.80000000005</v>
      </c>
      <c r="M213" s="36">
        <v>1000000</v>
      </c>
      <c r="N213" s="26">
        <v>1102980.8</v>
      </c>
      <c r="O213" s="38" t="s">
        <v>43</v>
      </c>
      <c r="P213" s="25">
        <v>1102980.8</v>
      </c>
      <c r="Q213" s="25">
        <v>999319.59</v>
      </c>
      <c r="R213" s="10">
        <v>251460</v>
      </c>
      <c r="S213" s="39">
        <v>44659.18</v>
      </c>
      <c r="T213" s="10" t="s">
        <v>44</v>
      </c>
      <c r="U213" s="10" t="s">
        <v>45</v>
      </c>
      <c r="V213" s="10">
        <v>0</v>
      </c>
      <c r="W213" s="25">
        <f>Table1[[#This Row],[STAB]]-Table1[[#This Row],[AMOUNT]]</f>
        <v>44659.18</v>
      </c>
      <c r="X213" s="10">
        <v>0</v>
      </c>
      <c r="Y213" s="10" t="s">
        <v>79</v>
      </c>
      <c r="Z213" s="10">
        <v>0</v>
      </c>
      <c r="AA213" s="10" t="s">
        <v>113</v>
      </c>
      <c r="AB213" s="36" t="s">
        <v>113</v>
      </c>
      <c r="AC213" s="10"/>
      <c r="AD213" s="9" t="s">
        <v>805</v>
      </c>
      <c r="AE213" s="10" t="s">
        <v>822</v>
      </c>
      <c r="AF213" s="10" t="s">
        <v>283</v>
      </c>
      <c r="AG213" s="10" t="s">
        <v>53</v>
      </c>
      <c r="AH213" s="10" t="s">
        <v>356</v>
      </c>
      <c r="AI213" s="10" t="s">
        <v>2962</v>
      </c>
      <c r="AJ213" s="10">
        <v>801601134</v>
      </c>
      <c r="AK213" s="10" t="s">
        <v>104</v>
      </c>
      <c r="AL213" s="10"/>
      <c r="AM213" s="10"/>
      <c r="AN213" s="11" t="s">
        <v>46</v>
      </c>
      <c r="AO213" s="10"/>
      <c r="AP213" s="10"/>
      <c r="AQ213" s="10"/>
      <c r="AR213" s="2">
        <v>45839</v>
      </c>
      <c r="AS213" s="10">
        <v>99999</v>
      </c>
      <c r="AT213" s="10" t="s">
        <v>47</v>
      </c>
      <c r="AU213" s="10" t="s">
        <v>834</v>
      </c>
      <c r="AV213" s="36" t="s">
        <v>842</v>
      </c>
      <c r="AW213" s="1">
        <v>46203</v>
      </c>
    </row>
    <row r="214" spans="1:49" x14ac:dyDescent="0.25">
      <c r="A214" s="9" t="s">
        <v>760</v>
      </c>
      <c r="B214" s="10" t="s">
        <v>776</v>
      </c>
      <c r="C214" s="10">
        <v>0</v>
      </c>
      <c r="D214" s="10" t="s">
        <v>91</v>
      </c>
      <c r="E214" s="10"/>
      <c r="F214" s="10"/>
      <c r="G214" s="10"/>
      <c r="H214" s="10" t="s">
        <v>52</v>
      </c>
      <c r="I214" s="10">
        <v>12</v>
      </c>
      <c r="J214" s="10" t="s">
        <v>792</v>
      </c>
      <c r="K214" s="10" t="s">
        <v>42</v>
      </c>
      <c r="L214" s="10">
        <f>Table1[[#This Row],[ENR]]-Table1[[#This Row],[CREDIT]]</f>
        <v>34070.300000000047</v>
      </c>
      <c r="M214" s="36">
        <v>750000</v>
      </c>
      <c r="N214" s="26">
        <v>784070.3</v>
      </c>
      <c r="O214" s="38" t="s">
        <v>43</v>
      </c>
      <c r="P214" s="25">
        <v>784070.3</v>
      </c>
      <c r="Q214" s="25">
        <v>708282.74</v>
      </c>
      <c r="R214" s="10">
        <v>144600</v>
      </c>
      <c r="S214" s="39">
        <v>42269.69</v>
      </c>
      <c r="T214" s="10" t="s">
        <v>44</v>
      </c>
      <c r="U214" s="10" t="s">
        <v>45</v>
      </c>
      <c r="V214" s="10">
        <v>0</v>
      </c>
      <c r="W214" s="25">
        <f>Table1[[#This Row],[STAB]]-Table1[[#This Row],[AMOUNT]]</f>
        <v>42269.69</v>
      </c>
      <c r="X214" s="10">
        <v>0</v>
      </c>
      <c r="Y214" s="10" t="s">
        <v>79</v>
      </c>
      <c r="Z214" s="10" t="s">
        <v>963</v>
      </c>
      <c r="AA214" s="10" t="s">
        <v>113</v>
      </c>
      <c r="AB214" s="36" t="s">
        <v>131</v>
      </c>
      <c r="AC214" s="10"/>
      <c r="AD214" s="9" t="s">
        <v>809</v>
      </c>
      <c r="AE214" s="10" t="s">
        <v>826</v>
      </c>
      <c r="AF214" s="10" t="s">
        <v>280</v>
      </c>
      <c r="AG214" s="10" t="s">
        <v>54</v>
      </c>
      <c r="AH214" s="10" t="s">
        <v>280</v>
      </c>
      <c r="AI214" s="10" t="s">
        <v>365</v>
      </c>
      <c r="AJ214" s="10">
        <v>802824019</v>
      </c>
      <c r="AK214" s="10" t="s">
        <v>360</v>
      </c>
      <c r="AL214" s="10"/>
      <c r="AM214" s="10"/>
      <c r="AN214" s="11" t="s">
        <v>390</v>
      </c>
      <c r="AO214" s="10" t="s">
        <v>392</v>
      </c>
      <c r="AP214" s="10" t="s">
        <v>4984</v>
      </c>
      <c r="AQ214" s="10" t="s">
        <v>4923</v>
      </c>
      <c r="AR214" s="2">
        <v>46149</v>
      </c>
      <c r="AS214" s="10">
        <v>4710</v>
      </c>
      <c r="AT214" s="10" t="s">
        <v>47</v>
      </c>
      <c r="AU214" s="10" t="s">
        <v>834</v>
      </c>
      <c r="AV214" s="36" t="s">
        <v>846</v>
      </c>
      <c r="AW214" s="1">
        <v>46203</v>
      </c>
    </row>
    <row r="215" spans="1:49" x14ac:dyDescent="0.25">
      <c r="A215" s="9" t="s">
        <v>761</v>
      </c>
      <c r="B215" s="10" t="s">
        <v>777</v>
      </c>
      <c r="C215" s="10">
        <v>0</v>
      </c>
      <c r="D215" s="10" t="s">
        <v>91</v>
      </c>
      <c r="E215" s="10"/>
      <c r="F215" s="10"/>
      <c r="G215" s="10"/>
      <c r="H215" s="10" t="s">
        <v>52</v>
      </c>
      <c r="I215" s="10">
        <v>12</v>
      </c>
      <c r="J215" s="10" t="s">
        <v>793</v>
      </c>
      <c r="K215" s="10" t="s">
        <v>42</v>
      </c>
      <c r="L215" s="10">
        <f>Table1[[#This Row],[ENR]]-Table1[[#This Row],[CREDIT]]</f>
        <v>28868.109999999986</v>
      </c>
      <c r="M215" s="36">
        <v>540000</v>
      </c>
      <c r="N215" s="26">
        <v>568868.11</v>
      </c>
      <c r="O215" s="38" t="s">
        <v>43</v>
      </c>
      <c r="P215" s="25">
        <v>568868.11</v>
      </c>
      <c r="Q215" s="25">
        <v>490933.99</v>
      </c>
      <c r="R215" s="10">
        <v>181850</v>
      </c>
      <c r="S215" s="39">
        <v>79970</v>
      </c>
      <c r="T215" s="10" t="s">
        <v>57</v>
      </c>
      <c r="U215" s="10" t="s">
        <v>14</v>
      </c>
      <c r="V215" s="25">
        <v>121855.18</v>
      </c>
      <c r="W215" s="25">
        <f>Table1[[#This Row],[STAB]]-Table1[[#This Row],[AMOUNT]]</f>
        <v>-41885.179999999993</v>
      </c>
      <c r="X215" s="10" t="s">
        <v>4535</v>
      </c>
      <c r="Y215" s="10" t="s">
        <v>402</v>
      </c>
      <c r="Z215" s="10" t="s">
        <v>403</v>
      </c>
      <c r="AA215" s="10" t="s">
        <v>113</v>
      </c>
      <c r="AB215" s="10" t="s">
        <v>133</v>
      </c>
      <c r="AC215" s="10"/>
      <c r="AD215" s="9" t="s">
        <v>810</v>
      </c>
      <c r="AE215" s="10" t="s">
        <v>827</v>
      </c>
      <c r="AF215" s="10" t="s">
        <v>273</v>
      </c>
      <c r="AG215" s="10" t="s">
        <v>323</v>
      </c>
      <c r="AH215" s="10" t="s">
        <v>525</v>
      </c>
      <c r="AI215" s="10" t="s">
        <v>363</v>
      </c>
      <c r="AJ215" s="10">
        <v>802913252</v>
      </c>
      <c r="AK215" s="10" t="s">
        <v>104</v>
      </c>
      <c r="AL215" s="10"/>
      <c r="AM215" s="10"/>
      <c r="AN215" s="11" t="s">
        <v>390</v>
      </c>
      <c r="AO215" s="10" t="s">
        <v>394</v>
      </c>
      <c r="AP215" s="10" t="s">
        <v>4542</v>
      </c>
      <c r="AQ215" s="10" t="s">
        <v>4535</v>
      </c>
      <c r="AR215" s="2">
        <v>46156</v>
      </c>
      <c r="AS215" s="10">
        <v>570</v>
      </c>
      <c r="AT215" s="10" t="s">
        <v>833</v>
      </c>
      <c r="AU215" s="10" t="s">
        <v>834</v>
      </c>
      <c r="AV215" s="36" t="s">
        <v>847</v>
      </c>
      <c r="AW215" s="1">
        <v>46203</v>
      </c>
    </row>
    <row r="216" spans="1:49" x14ac:dyDescent="0.25">
      <c r="A216" s="9" t="s">
        <v>757</v>
      </c>
      <c r="B216" s="10" t="s">
        <v>773</v>
      </c>
      <c r="C216" s="10">
        <v>0</v>
      </c>
      <c r="D216" s="10" t="s">
        <v>91</v>
      </c>
      <c r="E216" s="10"/>
      <c r="F216" s="10"/>
      <c r="G216" s="10"/>
      <c r="H216" s="10" t="s">
        <v>52</v>
      </c>
      <c r="I216" s="10">
        <v>12</v>
      </c>
      <c r="J216" s="10" t="s">
        <v>789</v>
      </c>
      <c r="K216" s="10" t="s">
        <v>42</v>
      </c>
      <c r="L216" s="10">
        <f>Table1[[#This Row],[ENR]]-Table1[[#This Row],[CREDIT]]</f>
        <v>61062.380000000005</v>
      </c>
      <c r="M216" s="36">
        <v>500000</v>
      </c>
      <c r="N216" s="26">
        <v>561062.38</v>
      </c>
      <c r="O216" s="38" t="s">
        <v>43</v>
      </c>
      <c r="P216" s="25">
        <v>561062.38</v>
      </c>
      <c r="Q216" s="25">
        <v>499346.93</v>
      </c>
      <c r="R216" s="10">
        <v>166730</v>
      </c>
      <c r="S216" s="39">
        <v>95000</v>
      </c>
      <c r="T216" s="10" t="s">
        <v>44</v>
      </c>
      <c r="U216" s="10" t="s">
        <v>45</v>
      </c>
      <c r="V216" s="10">
        <v>0</v>
      </c>
      <c r="W216" s="25">
        <f>Table1[[#This Row],[STAB]]-Table1[[#This Row],[AMOUNT]]</f>
        <v>95000</v>
      </c>
      <c r="X216" s="10">
        <v>0</v>
      </c>
      <c r="Y216" s="10" t="s">
        <v>79</v>
      </c>
      <c r="Z216" s="10" t="s">
        <v>963</v>
      </c>
      <c r="AA216" s="10" t="s">
        <v>113</v>
      </c>
      <c r="AB216" s="36" t="s">
        <v>375</v>
      </c>
      <c r="AC216" s="10"/>
      <c r="AD216" s="9" t="s">
        <v>806</v>
      </c>
      <c r="AE216" s="10" t="s">
        <v>823</v>
      </c>
      <c r="AF216" s="10" t="s">
        <v>285</v>
      </c>
      <c r="AG216" s="10" t="s">
        <v>54</v>
      </c>
      <c r="AH216" s="10" t="s">
        <v>98</v>
      </c>
      <c r="AI216" s="10" t="s">
        <v>727</v>
      </c>
      <c r="AJ216" s="10">
        <v>802898520</v>
      </c>
      <c r="AK216" s="10" t="s">
        <v>104</v>
      </c>
      <c r="AL216" s="10"/>
      <c r="AM216" s="10"/>
      <c r="AN216" s="11" t="s">
        <v>390</v>
      </c>
      <c r="AO216" s="10" t="s">
        <v>398</v>
      </c>
      <c r="AP216" s="10" t="s">
        <v>4607</v>
      </c>
      <c r="AQ216" s="10" t="s">
        <v>4591</v>
      </c>
      <c r="AR216" s="2">
        <v>45567</v>
      </c>
      <c r="AS216" s="10">
        <v>46700</v>
      </c>
      <c r="AT216" s="10" t="s">
        <v>47</v>
      </c>
      <c r="AU216" s="10" t="s">
        <v>834</v>
      </c>
      <c r="AV216" s="36" t="s">
        <v>843</v>
      </c>
      <c r="AW216" s="1">
        <v>46203</v>
      </c>
    </row>
    <row r="217" spans="1:49" x14ac:dyDescent="0.25">
      <c r="A217" s="9" t="s">
        <v>762</v>
      </c>
      <c r="B217" s="10" t="s">
        <v>778</v>
      </c>
      <c r="C217" s="10" t="s">
        <v>97</v>
      </c>
      <c r="D217" s="10" t="s">
        <v>95</v>
      </c>
      <c r="E217" s="10">
        <v>1</v>
      </c>
      <c r="F217" s="10" t="s">
        <v>112</v>
      </c>
      <c r="G217" s="10" t="s">
        <v>4945</v>
      </c>
      <c r="H217" s="10" t="s">
        <v>52</v>
      </c>
      <c r="I217" s="10">
        <v>12</v>
      </c>
      <c r="J217" s="10" t="s">
        <v>794</v>
      </c>
      <c r="K217" s="10" t="s">
        <v>42</v>
      </c>
      <c r="L217" s="10">
        <f>Table1[[#This Row],[ENR]]-Table1[[#This Row],[CREDIT]]</f>
        <v>16496.560000000056</v>
      </c>
      <c r="M217" s="36">
        <v>520000</v>
      </c>
      <c r="N217" s="26">
        <v>536496.56000000006</v>
      </c>
      <c r="O217" s="38">
        <v>448112.46</v>
      </c>
      <c r="P217" s="25">
        <v>88384.1</v>
      </c>
      <c r="Q217" s="25">
        <v>64943.71</v>
      </c>
      <c r="R217" s="10">
        <v>88200</v>
      </c>
      <c r="S217" s="39">
        <v>42210</v>
      </c>
      <c r="T217" s="10" t="s">
        <v>57</v>
      </c>
      <c r="U217" s="10" t="s">
        <v>13</v>
      </c>
      <c r="V217" s="10">
        <v>88200</v>
      </c>
      <c r="W217" s="25">
        <f>Table1[[#This Row],[STAB]]-Table1[[#This Row],[AMOUNT]]</f>
        <v>-45990</v>
      </c>
      <c r="X217" s="10" t="s">
        <v>959</v>
      </c>
      <c r="Y217" s="10" t="s">
        <v>402</v>
      </c>
      <c r="Z217" s="10">
        <v>0</v>
      </c>
      <c r="AA217" s="10" t="s">
        <v>113</v>
      </c>
      <c r="AB217" s="36" t="s">
        <v>376</v>
      </c>
      <c r="AC217" s="10"/>
      <c r="AD217" s="9" t="s">
        <v>811</v>
      </c>
      <c r="AE217" s="10" t="s">
        <v>828</v>
      </c>
      <c r="AF217" s="10" t="s">
        <v>276</v>
      </c>
      <c r="AG217" s="10" t="s">
        <v>324</v>
      </c>
      <c r="AH217" s="10" t="s">
        <v>353</v>
      </c>
      <c r="AI217" s="10" t="s">
        <v>365</v>
      </c>
      <c r="AJ217" s="10">
        <v>802824019</v>
      </c>
      <c r="AK217" s="10" t="s">
        <v>360</v>
      </c>
      <c r="AL217" s="10"/>
      <c r="AM217" s="10"/>
      <c r="AN217" s="11" t="s">
        <v>390</v>
      </c>
      <c r="AO217" s="10"/>
      <c r="AP217" s="10"/>
      <c r="AQ217" s="10"/>
      <c r="AR217" s="2">
        <v>46002</v>
      </c>
      <c r="AS217" s="10">
        <v>75000</v>
      </c>
      <c r="AT217" s="10" t="s">
        <v>291</v>
      </c>
      <c r="AU217" s="10" t="s">
        <v>834</v>
      </c>
      <c r="AV217" s="36" t="s">
        <v>848</v>
      </c>
      <c r="AW217" s="1">
        <v>46203</v>
      </c>
    </row>
    <row r="218" spans="1:49" x14ac:dyDescent="0.25">
      <c r="A218" s="9" t="s">
        <v>751</v>
      </c>
      <c r="B218" s="10" t="s">
        <v>767</v>
      </c>
      <c r="C218" s="10">
        <v>0</v>
      </c>
      <c r="D218" s="10" t="s">
        <v>91</v>
      </c>
      <c r="E218" s="10"/>
      <c r="F218" s="10"/>
      <c r="G218" s="10"/>
      <c r="H218" s="10" t="s">
        <v>84</v>
      </c>
      <c r="I218" s="10">
        <v>12</v>
      </c>
      <c r="J218" s="10" t="s">
        <v>783</v>
      </c>
      <c r="K218" s="10" t="s">
        <v>42</v>
      </c>
      <c r="L218" s="10">
        <f>Table1[[#This Row],[ENR]]-Table1[[#This Row],[CREDIT]]</f>
        <v>13061.340000000026</v>
      </c>
      <c r="M218" s="36">
        <v>500000</v>
      </c>
      <c r="N218" s="26">
        <v>513061.34</v>
      </c>
      <c r="O218" s="38">
        <v>298980.78999999998</v>
      </c>
      <c r="P218" s="25">
        <v>214080.55</v>
      </c>
      <c r="Q218" s="25">
        <v>198439.87</v>
      </c>
      <c r="R218" s="10">
        <v>80090</v>
      </c>
      <c r="S218" s="39">
        <v>42560</v>
      </c>
      <c r="T218" s="10" t="s">
        <v>57</v>
      </c>
      <c r="U218" s="10" t="s">
        <v>13</v>
      </c>
      <c r="V218" s="10">
        <v>214080.55</v>
      </c>
      <c r="W218" s="25">
        <f>Table1[[#This Row],[STAB]]-Table1[[#This Row],[AMOUNT]]</f>
        <v>-171520.55</v>
      </c>
      <c r="X218" s="10" t="s">
        <v>1989</v>
      </c>
      <c r="Y218" s="10" t="s">
        <v>402</v>
      </c>
      <c r="Z218" s="10" t="s">
        <v>403</v>
      </c>
      <c r="AA218" s="10" t="s">
        <v>113</v>
      </c>
      <c r="AB218" s="36" t="s">
        <v>132</v>
      </c>
      <c r="AC218" s="10"/>
      <c r="AD218" s="9" t="s">
        <v>800</v>
      </c>
      <c r="AE218" s="10" t="s">
        <v>817</v>
      </c>
      <c r="AF218" s="10" t="s">
        <v>281</v>
      </c>
      <c r="AG218" s="10" t="s">
        <v>54</v>
      </c>
      <c r="AH218" s="10" t="s">
        <v>724</v>
      </c>
      <c r="AI218" s="10" t="s">
        <v>365</v>
      </c>
      <c r="AJ218" s="10">
        <v>802824019</v>
      </c>
      <c r="AK218" s="10" t="s">
        <v>360</v>
      </c>
      <c r="AL218" s="10"/>
      <c r="AM218" s="10"/>
      <c r="AN218" s="11" t="s">
        <v>390</v>
      </c>
      <c r="AO218" s="10" t="s">
        <v>392</v>
      </c>
      <c r="AP218" s="10" t="s">
        <v>1996</v>
      </c>
      <c r="AQ218" s="10" t="s">
        <v>1989</v>
      </c>
      <c r="AR218" s="2">
        <v>46181</v>
      </c>
      <c r="AS218" s="10">
        <v>8200</v>
      </c>
      <c r="AT218" s="10" t="s">
        <v>47</v>
      </c>
      <c r="AU218" s="10" t="s">
        <v>834</v>
      </c>
      <c r="AV218" s="36" t="s">
        <v>837</v>
      </c>
      <c r="AW218" s="1">
        <v>46203</v>
      </c>
    </row>
    <row r="219" spans="1:49" x14ac:dyDescent="0.25">
      <c r="A219" s="9" t="s">
        <v>1457</v>
      </c>
      <c r="B219" s="10" t="s">
        <v>1521</v>
      </c>
      <c r="C219" s="10">
        <v>0</v>
      </c>
      <c r="D219" s="10" t="s">
        <v>91</v>
      </c>
      <c r="E219" s="10"/>
      <c r="F219" s="10"/>
      <c r="G219" s="10"/>
      <c r="H219" s="10" t="s">
        <v>52</v>
      </c>
      <c r="I219" s="10">
        <v>12</v>
      </c>
      <c r="J219" s="10" t="s">
        <v>1585</v>
      </c>
      <c r="K219" s="10" t="s">
        <v>42</v>
      </c>
      <c r="L219" s="10">
        <f>Table1[[#This Row],[ENR]]-Table1[[#This Row],[CREDIT]]</f>
        <v>22315.369999999995</v>
      </c>
      <c r="M219" s="36">
        <v>480000</v>
      </c>
      <c r="N219" s="26">
        <v>502315.37</v>
      </c>
      <c r="O219" s="38" t="s">
        <v>43</v>
      </c>
      <c r="P219" s="25">
        <v>502315.37</v>
      </c>
      <c r="Q219" s="25">
        <v>478322.5</v>
      </c>
      <c r="R219" s="10">
        <v>115260</v>
      </c>
      <c r="S219" s="39">
        <v>67610</v>
      </c>
      <c r="T219" s="10" t="s">
        <v>57</v>
      </c>
      <c r="U219" s="10" t="s">
        <v>13</v>
      </c>
      <c r="V219" s="10">
        <v>502315.37</v>
      </c>
      <c r="W219" s="25">
        <f>Table1[[#This Row],[STAB]]-Table1[[#This Row],[AMOUNT]]</f>
        <v>-434705.37</v>
      </c>
      <c r="X219" s="10" t="s">
        <v>4591</v>
      </c>
      <c r="Y219" s="10" t="s">
        <v>402</v>
      </c>
      <c r="Z219" s="10" t="s">
        <v>5577</v>
      </c>
      <c r="AA219" s="10" t="s">
        <v>113</v>
      </c>
      <c r="AB219" s="36" t="s">
        <v>375</v>
      </c>
      <c r="AC219" s="10"/>
      <c r="AD219" s="9" t="s">
        <v>1649</v>
      </c>
      <c r="AE219" s="10" t="s">
        <v>1712</v>
      </c>
      <c r="AF219" s="10" t="s">
        <v>273</v>
      </c>
      <c r="AG219" s="10" t="s">
        <v>54</v>
      </c>
      <c r="AH219" s="10" t="s">
        <v>99</v>
      </c>
      <c r="AI219" s="10" t="s">
        <v>363</v>
      </c>
      <c r="AJ219" s="10">
        <v>802913252</v>
      </c>
      <c r="AK219" s="10" t="s">
        <v>104</v>
      </c>
      <c r="AL219" s="10"/>
      <c r="AM219" s="10"/>
      <c r="AN219" s="11" t="s">
        <v>390</v>
      </c>
      <c r="AO219" s="10"/>
      <c r="AP219" s="10"/>
      <c r="AQ219" s="10"/>
      <c r="AR219" s="2">
        <v>46050</v>
      </c>
      <c r="AS219" s="10">
        <v>88420</v>
      </c>
      <c r="AT219" s="10" t="s">
        <v>47</v>
      </c>
      <c r="AU219" s="10" t="s">
        <v>1741</v>
      </c>
      <c r="AV219" s="36" t="s">
        <v>1784</v>
      </c>
      <c r="AW219" s="1">
        <v>46203</v>
      </c>
    </row>
    <row r="220" spans="1:49" x14ac:dyDescent="0.25">
      <c r="A220" s="9" t="s">
        <v>1426</v>
      </c>
      <c r="B220" s="10" t="s">
        <v>1493</v>
      </c>
      <c r="C220" s="10">
        <v>0</v>
      </c>
      <c r="D220" s="10" t="s">
        <v>91</v>
      </c>
      <c r="E220" s="10"/>
      <c r="F220" s="10" t="s">
        <v>112</v>
      </c>
      <c r="G220" s="10" t="s">
        <v>4961</v>
      </c>
      <c r="H220" s="10" t="s">
        <v>52</v>
      </c>
      <c r="I220" s="10">
        <v>12</v>
      </c>
      <c r="J220" s="10" t="s">
        <v>1557</v>
      </c>
      <c r="K220" s="10" t="s">
        <v>42</v>
      </c>
      <c r="L220" s="10">
        <f>Table1[[#This Row],[ENR]]-Table1[[#This Row],[CREDIT]]</f>
        <v>306626.02</v>
      </c>
      <c r="M220" s="36">
        <v>190000</v>
      </c>
      <c r="N220" s="26">
        <v>496626.02</v>
      </c>
      <c r="O220" s="38">
        <v>273886.5</v>
      </c>
      <c r="P220" s="25">
        <v>222739.52</v>
      </c>
      <c r="Q220" s="25">
        <v>207510.63</v>
      </c>
      <c r="R220" s="10">
        <v>104340</v>
      </c>
      <c r="S220" s="39">
        <v>29880</v>
      </c>
      <c r="T220" s="10" t="s">
        <v>44</v>
      </c>
      <c r="U220" s="10" t="s">
        <v>45</v>
      </c>
      <c r="V220" s="10">
        <v>0</v>
      </c>
      <c r="W220" s="25">
        <f>Table1[[#This Row],[STAB]]-Table1[[#This Row],[AMOUNT]]</f>
        <v>29880</v>
      </c>
      <c r="X220" s="10">
        <v>0</v>
      </c>
      <c r="Y220" s="10" t="s">
        <v>79</v>
      </c>
      <c r="Z220" s="10">
        <v>0</v>
      </c>
      <c r="AA220" s="10" t="s">
        <v>113</v>
      </c>
      <c r="AB220" s="36" t="s">
        <v>132</v>
      </c>
      <c r="AC220" s="10"/>
      <c r="AD220" s="9" t="s">
        <v>1621</v>
      </c>
      <c r="AE220" s="10" t="s">
        <v>1684</v>
      </c>
      <c r="AF220" s="10" t="s">
        <v>85</v>
      </c>
      <c r="AG220" s="10" t="s">
        <v>54</v>
      </c>
      <c r="AH220" s="10" t="s">
        <v>89</v>
      </c>
      <c r="AI220" s="10" t="s">
        <v>106</v>
      </c>
      <c r="AJ220" s="10">
        <v>802370852</v>
      </c>
      <c r="AK220" s="10" t="s">
        <v>105</v>
      </c>
      <c r="AL220" s="10"/>
      <c r="AM220" s="10"/>
      <c r="AN220" s="11" t="s">
        <v>390</v>
      </c>
      <c r="AO220" s="10" t="s">
        <v>398</v>
      </c>
      <c r="AP220" s="10" t="s">
        <v>2007</v>
      </c>
      <c r="AQ220" s="10" t="s">
        <v>2004</v>
      </c>
      <c r="AR220" s="2">
        <v>46133</v>
      </c>
      <c r="AS220" s="10">
        <v>31000</v>
      </c>
      <c r="AT220" s="10" t="s">
        <v>47</v>
      </c>
      <c r="AU220" s="10" t="s">
        <v>1741</v>
      </c>
      <c r="AV220" s="36" t="s">
        <v>1753</v>
      </c>
      <c r="AW220" s="1">
        <v>46203</v>
      </c>
    </row>
    <row r="221" spans="1:49" x14ac:dyDescent="0.25">
      <c r="A221" s="9" t="s">
        <v>1421</v>
      </c>
      <c r="B221" s="10" t="s">
        <v>1488</v>
      </c>
      <c r="C221" s="10">
        <v>0</v>
      </c>
      <c r="D221" s="10" t="s">
        <v>91</v>
      </c>
      <c r="E221" s="10"/>
      <c r="F221" s="10"/>
      <c r="G221" s="10"/>
      <c r="H221" s="10" t="s">
        <v>52</v>
      </c>
      <c r="I221" s="10">
        <v>12</v>
      </c>
      <c r="J221" s="10" t="s">
        <v>1552</v>
      </c>
      <c r="K221" s="10" t="s">
        <v>42</v>
      </c>
      <c r="L221" s="10">
        <f>Table1[[#This Row],[ENR]]-Table1[[#This Row],[CREDIT]]</f>
        <v>-26564.429999999993</v>
      </c>
      <c r="M221" s="36">
        <v>500000</v>
      </c>
      <c r="N221" s="26">
        <v>473435.57</v>
      </c>
      <c r="O221" s="38">
        <v>140613.85999999999</v>
      </c>
      <c r="P221" s="25">
        <v>332821.71000000002</v>
      </c>
      <c r="Q221" s="25">
        <v>296270.55</v>
      </c>
      <c r="R221" s="10">
        <v>72470</v>
      </c>
      <c r="S221" s="39">
        <v>30860</v>
      </c>
      <c r="T221" s="10" t="s">
        <v>44</v>
      </c>
      <c r="U221" s="10" t="s">
        <v>45</v>
      </c>
      <c r="V221" s="10">
        <v>0</v>
      </c>
      <c r="W221" s="25">
        <f>Table1[[#This Row],[STAB]]-Table1[[#This Row],[AMOUNT]]</f>
        <v>30860</v>
      </c>
      <c r="X221" s="10">
        <v>0</v>
      </c>
      <c r="Y221" s="10" t="s">
        <v>79</v>
      </c>
      <c r="Z221" s="10" t="s">
        <v>963</v>
      </c>
      <c r="AA221" s="10" t="s">
        <v>113</v>
      </c>
      <c r="AB221" s="41" t="s">
        <v>376</v>
      </c>
      <c r="AC221" s="10"/>
      <c r="AD221" s="9" t="s">
        <v>1616</v>
      </c>
      <c r="AE221" s="10" t="s">
        <v>1679</v>
      </c>
      <c r="AF221" s="10" t="s">
        <v>281</v>
      </c>
      <c r="AG221" s="10" t="s">
        <v>54</v>
      </c>
      <c r="AH221" s="10" t="s">
        <v>58</v>
      </c>
      <c r="AI221" s="10" t="s">
        <v>133</v>
      </c>
      <c r="AJ221" s="10">
        <v>802555024</v>
      </c>
      <c r="AK221" s="10" t="s">
        <v>362</v>
      </c>
      <c r="AL221" s="10"/>
      <c r="AM221" s="10"/>
      <c r="AN221" s="11" t="s">
        <v>390</v>
      </c>
      <c r="AO221" s="10" t="s">
        <v>392</v>
      </c>
      <c r="AP221" s="10" t="s">
        <v>4606</v>
      </c>
      <c r="AQ221" s="10" t="s">
        <v>4591</v>
      </c>
      <c r="AR221" s="2">
        <v>46146</v>
      </c>
      <c r="AS221" s="10">
        <v>73830</v>
      </c>
      <c r="AT221" s="10" t="s">
        <v>47</v>
      </c>
      <c r="AU221" s="10" t="s">
        <v>1741</v>
      </c>
      <c r="AV221" s="36" t="s">
        <v>1748</v>
      </c>
      <c r="AW221" s="1">
        <v>46203</v>
      </c>
    </row>
    <row r="222" spans="1:49" x14ac:dyDescent="0.25">
      <c r="A222" s="9" t="s">
        <v>3334</v>
      </c>
      <c r="B222" s="10" t="s">
        <v>3377</v>
      </c>
      <c r="C222" s="10" t="s">
        <v>97</v>
      </c>
      <c r="D222" s="10" t="s">
        <v>91</v>
      </c>
      <c r="E222" s="10"/>
      <c r="F222" s="10"/>
      <c r="G222" s="10"/>
      <c r="H222" s="10" t="s">
        <v>52</v>
      </c>
      <c r="I222" s="10">
        <v>12</v>
      </c>
      <c r="J222" s="10" t="s">
        <v>3420</v>
      </c>
      <c r="K222" s="10" t="s">
        <v>42</v>
      </c>
      <c r="L222" s="10">
        <f>Table1[[#This Row],[ENR]]-Table1[[#This Row],[CREDIT]]</f>
        <v>38772.640000000014</v>
      </c>
      <c r="M222" s="36">
        <v>430000</v>
      </c>
      <c r="N222" s="26">
        <v>468772.64</v>
      </c>
      <c r="O222" s="38" t="s">
        <v>43</v>
      </c>
      <c r="P222" s="25">
        <v>468772.64</v>
      </c>
      <c r="Q222" s="25">
        <v>429743.55</v>
      </c>
      <c r="R222" s="10">
        <v>103630</v>
      </c>
      <c r="S222" s="39">
        <v>41200</v>
      </c>
      <c r="T222" s="10" t="s">
        <v>44</v>
      </c>
      <c r="U222" s="10" t="s">
        <v>45</v>
      </c>
      <c r="V222" s="10">
        <v>0</v>
      </c>
      <c r="W222" s="25">
        <f>Table1[[#This Row],[STAB]]-Table1[[#This Row],[AMOUNT]]</f>
        <v>41200</v>
      </c>
      <c r="X222" s="10">
        <v>0</v>
      </c>
      <c r="Y222" s="10" t="s">
        <v>79</v>
      </c>
      <c r="Z222" s="10">
        <v>0</v>
      </c>
      <c r="AA222" s="10" t="s">
        <v>113</v>
      </c>
      <c r="AB222" s="10" t="s">
        <v>133</v>
      </c>
      <c r="AC222" s="10"/>
      <c r="AD222" s="9" t="s">
        <v>3463</v>
      </c>
      <c r="AE222" s="10" t="s">
        <v>3506</v>
      </c>
      <c r="AF222" s="10" t="s">
        <v>1319</v>
      </c>
      <c r="AG222" s="10" t="s">
        <v>54</v>
      </c>
      <c r="AH222" s="10" t="s">
        <v>93</v>
      </c>
      <c r="AI222" s="10" t="s">
        <v>364</v>
      </c>
      <c r="AJ222" s="10">
        <v>802663344</v>
      </c>
      <c r="AK222" s="10" t="s">
        <v>105</v>
      </c>
      <c r="AL222" s="10"/>
      <c r="AM222" s="10"/>
      <c r="AN222" s="11" t="s">
        <v>390</v>
      </c>
      <c r="AO222" s="10" t="s">
        <v>398</v>
      </c>
      <c r="AP222" s="10" t="s">
        <v>4644</v>
      </c>
      <c r="AQ222" s="10" t="s">
        <v>4601</v>
      </c>
      <c r="AR222" s="2">
        <v>46058</v>
      </c>
      <c r="AS222" s="10">
        <v>11785.31</v>
      </c>
      <c r="AT222" s="10" t="s">
        <v>47</v>
      </c>
      <c r="AU222" s="10" t="s">
        <v>3266</v>
      </c>
      <c r="AV222" s="36" t="s">
        <v>3550</v>
      </c>
      <c r="AW222" s="1">
        <v>46203</v>
      </c>
    </row>
    <row r="223" spans="1:49" x14ac:dyDescent="0.25">
      <c r="A223" s="9" t="s">
        <v>754</v>
      </c>
      <c r="B223" s="10" t="s">
        <v>770</v>
      </c>
      <c r="C223" s="10">
        <v>0</v>
      </c>
      <c r="D223" s="10" t="s">
        <v>91</v>
      </c>
      <c r="E223" s="10"/>
      <c r="F223" s="10"/>
      <c r="G223" s="10" t="s">
        <v>4946</v>
      </c>
      <c r="H223" s="10" t="s">
        <v>52</v>
      </c>
      <c r="I223" s="10">
        <v>12</v>
      </c>
      <c r="J223" s="10" t="s">
        <v>786</v>
      </c>
      <c r="K223" s="10" t="s">
        <v>42</v>
      </c>
      <c r="L223" s="10">
        <f>Table1[[#This Row],[ENR]]-Table1[[#This Row],[CREDIT]]</f>
        <v>45136.119999999995</v>
      </c>
      <c r="M223" s="36">
        <v>420000</v>
      </c>
      <c r="N223" s="26">
        <v>465136.12</v>
      </c>
      <c r="O223" s="38" t="s">
        <v>43</v>
      </c>
      <c r="P223" s="25">
        <v>465136.12</v>
      </c>
      <c r="Q223" s="25">
        <v>417938.62</v>
      </c>
      <c r="R223" s="10">
        <v>128950</v>
      </c>
      <c r="S223" s="39">
        <v>88790</v>
      </c>
      <c r="T223" s="10" t="s">
        <v>57</v>
      </c>
      <c r="U223" s="10" t="s">
        <v>13</v>
      </c>
      <c r="V223" s="10">
        <v>465136.12</v>
      </c>
      <c r="W223" s="25">
        <f>Table1[[#This Row],[STAB]]-Table1[[#This Row],[AMOUNT]]</f>
        <v>-376346.12</v>
      </c>
      <c r="X223" s="10" t="s">
        <v>4601</v>
      </c>
      <c r="Y223" s="10" t="s">
        <v>402</v>
      </c>
      <c r="Z223" s="10" t="s">
        <v>403</v>
      </c>
      <c r="AA223" s="10" t="s">
        <v>113</v>
      </c>
      <c r="AB223" s="36" t="s">
        <v>374</v>
      </c>
      <c r="AC223" s="10"/>
      <c r="AD223" s="9" t="s">
        <v>803</v>
      </c>
      <c r="AE223" s="10" t="s">
        <v>820</v>
      </c>
      <c r="AF223" s="10" t="s">
        <v>383</v>
      </c>
      <c r="AG223" s="10" t="s">
        <v>53</v>
      </c>
      <c r="AH223" s="10" t="s">
        <v>55</v>
      </c>
      <c r="AI223" s="10" t="s">
        <v>365</v>
      </c>
      <c r="AJ223" s="10">
        <v>802824019</v>
      </c>
      <c r="AK223" s="10" t="s">
        <v>360</v>
      </c>
      <c r="AL223" s="10"/>
      <c r="AM223" s="10"/>
      <c r="AN223" s="11" t="s">
        <v>390</v>
      </c>
      <c r="AO223" s="10" t="s">
        <v>398</v>
      </c>
      <c r="AP223" s="10" t="s">
        <v>2006</v>
      </c>
      <c r="AQ223" s="10" t="s">
        <v>2004</v>
      </c>
      <c r="AR223" s="2">
        <v>45562</v>
      </c>
      <c r="AS223" s="10">
        <v>44955</v>
      </c>
      <c r="AT223" s="10" t="s">
        <v>47</v>
      </c>
      <c r="AU223" s="10" t="s">
        <v>834</v>
      </c>
      <c r="AV223" s="36" t="s">
        <v>840</v>
      </c>
      <c r="AW223" s="1">
        <v>46203</v>
      </c>
    </row>
    <row r="224" spans="1:49" x14ac:dyDescent="0.25">
      <c r="A224" s="9" t="s">
        <v>3329</v>
      </c>
      <c r="B224" s="10" t="s">
        <v>3372</v>
      </c>
      <c r="C224" s="10">
        <v>0</v>
      </c>
      <c r="D224" s="10" t="s">
        <v>91</v>
      </c>
      <c r="E224" s="10"/>
      <c r="F224" s="10"/>
      <c r="G224" s="10"/>
      <c r="H224" s="10" t="s">
        <v>52</v>
      </c>
      <c r="I224" s="10">
        <v>12</v>
      </c>
      <c r="J224" s="10" t="s">
        <v>3415</v>
      </c>
      <c r="K224" s="10" t="s">
        <v>42</v>
      </c>
      <c r="L224" s="10">
        <f>Table1[[#This Row],[ENR]]-Table1[[#This Row],[CREDIT]]</f>
        <v>8764.6199999999953</v>
      </c>
      <c r="M224" s="36">
        <v>420000</v>
      </c>
      <c r="N224" s="26">
        <v>428764.62</v>
      </c>
      <c r="O224" s="38">
        <v>181765.89</v>
      </c>
      <c r="P224" s="25">
        <v>246998.73</v>
      </c>
      <c r="Q224" s="25">
        <v>222928.46</v>
      </c>
      <c r="R224" s="10">
        <v>62350</v>
      </c>
      <c r="S224" s="39">
        <v>21830</v>
      </c>
      <c r="T224" s="10" t="s">
        <v>44</v>
      </c>
      <c r="U224" s="10" t="s">
        <v>45</v>
      </c>
      <c r="V224" s="10">
        <v>0</v>
      </c>
      <c r="W224" s="25">
        <f>Table1[[#This Row],[STAB]]-Table1[[#This Row],[AMOUNT]]</f>
        <v>21830</v>
      </c>
      <c r="X224" s="10">
        <v>0</v>
      </c>
      <c r="Y224" s="10" t="s">
        <v>79</v>
      </c>
      <c r="Z224" s="10" t="s">
        <v>963</v>
      </c>
      <c r="AA224" s="10" t="s">
        <v>113</v>
      </c>
      <c r="AB224" s="36" t="s">
        <v>131</v>
      </c>
      <c r="AC224" s="10"/>
      <c r="AD224" s="9" t="s">
        <v>3458</v>
      </c>
      <c r="AE224" s="10" t="s">
        <v>3501</v>
      </c>
      <c r="AF224" s="10" t="s">
        <v>1319</v>
      </c>
      <c r="AG224" s="10" t="s">
        <v>54</v>
      </c>
      <c r="AH224" s="10" t="s">
        <v>59</v>
      </c>
      <c r="AI224" s="10" t="s">
        <v>956</v>
      </c>
      <c r="AJ224" s="10">
        <v>802551967</v>
      </c>
      <c r="AK224" s="10" t="s">
        <v>362</v>
      </c>
      <c r="AL224" s="10"/>
      <c r="AM224" s="10"/>
      <c r="AN224" s="11" t="s">
        <v>390</v>
      </c>
      <c r="AO224" s="10" t="s">
        <v>392</v>
      </c>
      <c r="AP224" s="10" t="s">
        <v>4933</v>
      </c>
      <c r="AQ224" s="10" t="s">
        <v>4923</v>
      </c>
      <c r="AR224" s="2">
        <v>45991</v>
      </c>
      <c r="AS224" s="10">
        <v>19380</v>
      </c>
      <c r="AT224" s="10" t="s">
        <v>47</v>
      </c>
      <c r="AU224" s="10" t="s">
        <v>3266</v>
      </c>
      <c r="AV224" s="36" t="s">
        <v>3545</v>
      </c>
      <c r="AW224" s="1">
        <v>46203</v>
      </c>
    </row>
    <row r="225" spans="1:49" x14ac:dyDescent="0.25">
      <c r="A225" s="9" t="s">
        <v>758</v>
      </c>
      <c r="B225" s="10" t="s">
        <v>774</v>
      </c>
      <c r="C225" s="10">
        <v>0</v>
      </c>
      <c r="D225" s="10" t="s">
        <v>91</v>
      </c>
      <c r="E225" s="10"/>
      <c r="F225" s="10"/>
      <c r="G225" s="10"/>
      <c r="H225" s="10" t="s">
        <v>52</v>
      </c>
      <c r="I225" s="10">
        <v>12</v>
      </c>
      <c r="J225" s="10" t="s">
        <v>790</v>
      </c>
      <c r="K225" s="10" t="s">
        <v>42</v>
      </c>
      <c r="L225" s="10">
        <f>Table1[[#This Row],[ENR]]-Table1[[#This Row],[CREDIT]]</f>
        <v>392843.64</v>
      </c>
      <c r="M225" s="36">
        <v>20000</v>
      </c>
      <c r="N225" s="26">
        <v>412843.64</v>
      </c>
      <c r="O225" s="38" t="s">
        <v>43</v>
      </c>
      <c r="P225" s="25">
        <v>412843.64</v>
      </c>
      <c r="Q225" s="25">
        <v>387351</v>
      </c>
      <c r="R225" s="10">
        <v>399740</v>
      </c>
      <c r="S225" s="39">
        <v>368360</v>
      </c>
      <c r="T225" s="10" t="s">
        <v>44</v>
      </c>
      <c r="U225" s="10" t="s">
        <v>45</v>
      </c>
      <c r="V225" s="10">
        <v>0</v>
      </c>
      <c r="W225" s="25">
        <f>Table1[[#This Row],[STAB]]-Table1[[#This Row],[AMOUNT]]</f>
        <v>368360</v>
      </c>
      <c r="X225" s="10">
        <v>0</v>
      </c>
      <c r="Y225" s="10" t="s">
        <v>79</v>
      </c>
      <c r="Z225" s="10">
        <v>0</v>
      </c>
      <c r="AA225" s="10" t="s">
        <v>113</v>
      </c>
      <c r="AB225" s="41" t="s">
        <v>376</v>
      </c>
      <c r="AC225" s="10"/>
      <c r="AD225" s="9" t="s">
        <v>807</v>
      </c>
      <c r="AE225" s="10" t="s">
        <v>824</v>
      </c>
      <c r="AF225" s="10" t="s">
        <v>272</v>
      </c>
      <c r="AG225" s="10" t="s">
        <v>54</v>
      </c>
      <c r="AH225" s="10" t="s">
        <v>357</v>
      </c>
      <c r="AI225" s="10" t="s">
        <v>1960</v>
      </c>
      <c r="AJ225" s="10">
        <v>801264672</v>
      </c>
      <c r="AK225" s="10" t="s">
        <v>1959</v>
      </c>
      <c r="AL225" s="10"/>
      <c r="AM225" s="10"/>
      <c r="AN225" s="11" t="s">
        <v>390</v>
      </c>
      <c r="AO225" s="10" t="s">
        <v>398</v>
      </c>
      <c r="AP225" s="10" t="s">
        <v>4598</v>
      </c>
      <c r="AQ225" s="10" t="s">
        <v>4591</v>
      </c>
      <c r="AR225" s="2">
        <v>45626</v>
      </c>
      <c r="AS225" s="10">
        <v>12470</v>
      </c>
      <c r="AT225" s="10" t="s">
        <v>47</v>
      </c>
      <c r="AU225" s="10" t="s">
        <v>834</v>
      </c>
      <c r="AV225" s="36" t="s">
        <v>844</v>
      </c>
      <c r="AW225" s="1">
        <v>46203</v>
      </c>
    </row>
    <row r="226" spans="1:49" x14ac:dyDescent="0.25">
      <c r="A226" s="9" t="s">
        <v>753</v>
      </c>
      <c r="B226" s="10" t="s">
        <v>769</v>
      </c>
      <c r="C226" s="10">
        <v>0</v>
      </c>
      <c r="D226" s="10" t="s">
        <v>91</v>
      </c>
      <c r="E226" s="10"/>
      <c r="F226" s="10"/>
      <c r="G226" s="10"/>
      <c r="H226" s="10" t="s">
        <v>52</v>
      </c>
      <c r="I226" s="10">
        <v>12</v>
      </c>
      <c r="J226" s="10" t="s">
        <v>785</v>
      </c>
      <c r="K226" s="10" t="s">
        <v>42</v>
      </c>
      <c r="L226" s="10">
        <f>Table1[[#This Row],[ENR]]-Table1[[#This Row],[CREDIT]]</f>
        <v>160462.66999999998</v>
      </c>
      <c r="M226" s="36">
        <v>240000</v>
      </c>
      <c r="N226" s="26">
        <v>400462.67</v>
      </c>
      <c r="O226" s="38" t="s">
        <v>43</v>
      </c>
      <c r="P226" s="25">
        <v>400462.67</v>
      </c>
      <c r="Q226" s="25">
        <v>354572.42</v>
      </c>
      <c r="R226" s="10">
        <v>226170</v>
      </c>
      <c r="S226" s="39">
        <v>180060</v>
      </c>
      <c r="T226" s="10" t="s">
        <v>57</v>
      </c>
      <c r="U226" s="10" t="s">
        <v>13</v>
      </c>
      <c r="V226" s="10">
        <v>226309</v>
      </c>
      <c r="W226" s="25">
        <f>Table1[[#This Row],[STAB]]-Table1[[#This Row],[AMOUNT]]</f>
        <v>-46249</v>
      </c>
      <c r="X226" s="10" t="s">
        <v>4923</v>
      </c>
      <c r="Y226" s="10" t="s">
        <v>402</v>
      </c>
      <c r="Z226" s="10" t="s">
        <v>403</v>
      </c>
      <c r="AA226" s="10" t="s">
        <v>113</v>
      </c>
      <c r="AB226" s="36" t="s">
        <v>375</v>
      </c>
      <c r="AC226" s="10"/>
      <c r="AD226" s="9" t="s">
        <v>802</v>
      </c>
      <c r="AE226" s="10" t="s">
        <v>819</v>
      </c>
      <c r="AF226" s="10" t="s">
        <v>85</v>
      </c>
      <c r="AG226" s="10" t="s">
        <v>54</v>
      </c>
      <c r="AH226" s="10" t="s">
        <v>89</v>
      </c>
      <c r="AI226" s="10" t="s">
        <v>106</v>
      </c>
      <c r="AJ226" s="10">
        <v>802370852</v>
      </c>
      <c r="AK226" s="10" t="s">
        <v>105</v>
      </c>
      <c r="AL226" s="10"/>
      <c r="AM226" s="10"/>
      <c r="AN226" s="11" t="s">
        <v>390</v>
      </c>
      <c r="AO226" s="10" t="s">
        <v>394</v>
      </c>
      <c r="AP226" s="10" t="s">
        <v>4548</v>
      </c>
      <c r="AQ226" s="10" t="s">
        <v>4535</v>
      </c>
      <c r="AR226" s="2">
        <v>45788</v>
      </c>
      <c r="AS226" s="10">
        <v>41460</v>
      </c>
      <c r="AT226" s="10" t="s">
        <v>47</v>
      </c>
      <c r="AU226" s="10" t="s">
        <v>834</v>
      </c>
      <c r="AV226" s="36" t="s">
        <v>839</v>
      </c>
      <c r="AW226" s="1">
        <v>46203</v>
      </c>
    </row>
    <row r="227" spans="1:49" x14ac:dyDescent="0.25">
      <c r="A227" s="9" t="s">
        <v>3333</v>
      </c>
      <c r="B227" s="10" t="s">
        <v>3376</v>
      </c>
      <c r="C227" s="10">
        <v>0</v>
      </c>
      <c r="D227" s="10" t="s">
        <v>91</v>
      </c>
      <c r="E227" s="10"/>
      <c r="F227" s="10"/>
      <c r="G227" s="10"/>
      <c r="H227" s="10" t="s">
        <v>52</v>
      </c>
      <c r="I227" s="10">
        <v>12</v>
      </c>
      <c r="J227" s="10" t="s">
        <v>3419</v>
      </c>
      <c r="K227" s="10" t="s">
        <v>42</v>
      </c>
      <c r="L227" s="10">
        <f>Table1[[#This Row],[ENR]]-Table1[[#This Row],[CREDIT]]</f>
        <v>18979.359999999986</v>
      </c>
      <c r="M227" s="36">
        <v>380000</v>
      </c>
      <c r="N227" s="26">
        <v>398979.36</v>
      </c>
      <c r="O227" s="38">
        <v>329970.83</v>
      </c>
      <c r="P227" s="25">
        <v>69008.53</v>
      </c>
      <c r="Q227" s="25">
        <v>46088.83</v>
      </c>
      <c r="R227" s="10">
        <v>69008.53</v>
      </c>
      <c r="S227" s="39">
        <v>32142.67</v>
      </c>
      <c r="T227" s="10" t="s">
        <v>44</v>
      </c>
      <c r="U227" s="10" t="s">
        <v>45</v>
      </c>
      <c r="V227" s="10">
        <v>0</v>
      </c>
      <c r="W227" s="25">
        <f>Table1[[#This Row],[STAB]]-Table1[[#This Row],[AMOUNT]]</f>
        <v>32142.67</v>
      </c>
      <c r="X227" s="10">
        <v>0</v>
      </c>
      <c r="Y227" s="10" t="s">
        <v>79</v>
      </c>
      <c r="Z227" s="10">
        <v>0</v>
      </c>
      <c r="AA227" s="10" t="s">
        <v>113</v>
      </c>
      <c r="AB227" s="41" t="s">
        <v>376</v>
      </c>
      <c r="AC227" s="10"/>
      <c r="AD227" s="9" t="s">
        <v>3462</v>
      </c>
      <c r="AE227" s="10" t="s">
        <v>3505</v>
      </c>
      <c r="AF227" s="10" t="s">
        <v>278</v>
      </c>
      <c r="AG227" s="10" t="s">
        <v>54</v>
      </c>
      <c r="AH227" s="10" t="s">
        <v>723</v>
      </c>
      <c r="AI227" s="10" t="s">
        <v>369</v>
      </c>
      <c r="AJ227" s="10">
        <v>802823180</v>
      </c>
      <c r="AK227" s="10" t="s">
        <v>105</v>
      </c>
      <c r="AL227" s="10"/>
      <c r="AM227" s="10"/>
      <c r="AN227" s="11" t="s">
        <v>46</v>
      </c>
      <c r="AO227" s="10"/>
      <c r="AP227" s="10"/>
      <c r="AQ227" s="10"/>
      <c r="AR227" s="2">
        <v>45472</v>
      </c>
      <c r="AS227" s="10">
        <v>502.25</v>
      </c>
      <c r="AT227" s="10" t="s">
        <v>47</v>
      </c>
      <c r="AU227" s="10" t="s">
        <v>3266</v>
      </c>
      <c r="AV227" s="36" t="s">
        <v>3549</v>
      </c>
      <c r="AW227" s="1">
        <v>46203</v>
      </c>
    </row>
    <row r="228" spans="1:49" x14ac:dyDescent="0.25">
      <c r="A228" s="9" t="s">
        <v>755</v>
      </c>
      <c r="B228" s="10" t="s">
        <v>771</v>
      </c>
      <c r="C228" s="10">
        <v>0</v>
      </c>
      <c r="D228" s="10" t="s">
        <v>91</v>
      </c>
      <c r="E228" s="10"/>
      <c r="F228" s="10" t="s">
        <v>112</v>
      </c>
      <c r="G228" s="10" t="s">
        <v>4960</v>
      </c>
      <c r="H228" s="10" t="s">
        <v>52</v>
      </c>
      <c r="I228" s="10">
        <v>12</v>
      </c>
      <c r="J228" s="10" t="s">
        <v>787</v>
      </c>
      <c r="K228" s="10" t="s">
        <v>42</v>
      </c>
      <c r="L228" s="10">
        <f>Table1[[#This Row],[ENR]]-Table1[[#This Row],[CREDIT]]</f>
        <v>41609.19</v>
      </c>
      <c r="M228" s="36">
        <v>350000</v>
      </c>
      <c r="N228" s="26">
        <v>391609.19</v>
      </c>
      <c r="O228" s="38">
        <v>99244.72</v>
      </c>
      <c r="P228" s="25">
        <v>292364.46999999997</v>
      </c>
      <c r="Q228" s="25">
        <v>278189.69</v>
      </c>
      <c r="R228" s="10">
        <v>70470</v>
      </c>
      <c r="S228" s="39">
        <v>42250</v>
      </c>
      <c r="T228" s="10" t="s">
        <v>57</v>
      </c>
      <c r="U228" s="10" t="s">
        <v>13</v>
      </c>
      <c r="V228" s="10">
        <v>292364.46999999997</v>
      </c>
      <c r="W228" s="25">
        <f>Table1[[#This Row],[STAB]]-Table1[[#This Row],[AMOUNT]]</f>
        <v>-250114.46999999997</v>
      </c>
      <c r="X228" s="10" t="s">
        <v>959</v>
      </c>
      <c r="Y228" s="10" t="s">
        <v>402</v>
      </c>
      <c r="Z228" s="10" t="s">
        <v>962</v>
      </c>
      <c r="AA228" s="10" t="s">
        <v>113</v>
      </c>
      <c r="AB228" s="10" t="s">
        <v>133</v>
      </c>
      <c r="AC228" s="10"/>
      <c r="AD228" s="9" t="s">
        <v>804</v>
      </c>
      <c r="AE228" s="10" t="s">
        <v>821</v>
      </c>
      <c r="AF228" s="10" t="s">
        <v>285</v>
      </c>
      <c r="AG228" s="10" t="s">
        <v>54</v>
      </c>
      <c r="AH228" s="10" t="s">
        <v>98</v>
      </c>
      <c r="AI228" s="10" t="s">
        <v>727</v>
      </c>
      <c r="AJ228" s="10">
        <v>802898520</v>
      </c>
      <c r="AK228" s="10" t="s">
        <v>104</v>
      </c>
      <c r="AL228" s="10"/>
      <c r="AM228" s="10"/>
      <c r="AN228" s="11" t="s">
        <v>390</v>
      </c>
      <c r="AO228" s="10" t="s">
        <v>394</v>
      </c>
      <c r="AP228" s="10" t="s">
        <v>1132</v>
      </c>
      <c r="AQ228" s="10" t="s">
        <v>959</v>
      </c>
      <c r="AR228" s="2">
        <v>45594</v>
      </c>
      <c r="AS228" s="10">
        <v>80000</v>
      </c>
      <c r="AT228" s="10" t="s">
        <v>47</v>
      </c>
      <c r="AU228" s="10" t="s">
        <v>834</v>
      </c>
      <c r="AV228" s="36" t="s">
        <v>841</v>
      </c>
      <c r="AW228" s="1">
        <v>46203</v>
      </c>
    </row>
    <row r="229" spans="1:49" x14ac:dyDescent="0.25">
      <c r="A229" s="9" t="s">
        <v>1446</v>
      </c>
      <c r="B229" s="10" t="s">
        <v>1512</v>
      </c>
      <c r="C229" s="10">
        <v>0</v>
      </c>
      <c r="D229" s="10" t="s">
        <v>91</v>
      </c>
      <c r="E229" s="10"/>
      <c r="F229" s="10"/>
      <c r="G229" s="10"/>
      <c r="H229" s="10" t="s">
        <v>52</v>
      </c>
      <c r="I229" s="10">
        <v>12</v>
      </c>
      <c r="J229" s="10" t="s">
        <v>1576</v>
      </c>
      <c r="K229" s="10" t="s">
        <v>42</v>
      </c>
      <c r="L229" s="10">
        <f>Table1[[#This Row],[ENR]]-Table1[[#This Row],[CREDIT]]</f>
        <v>359249.94</v>
      </c>
      <c r="M229" s="36">
        <v>20000</v>
      </c>
      <c r="N229" s="26">
        <v>379249.94</v>
      </c>
      <c r="O229" s="38">
        <v>334280.49</v>
      </c>
      <c r="P229" s="25">
        <v>44969.45</v>
      </c>
      <c r="Q229" s="25">
        <v>28274.52</v>
      </c>
      <c r="R229" s="10">
        <v>44969.45</v>
      </c>
      <c r="S229" s="39">
        <v>22303.51</v>
      </c>
      <c r="T229" s="10" t="s">
        <v>57</v>
      </c>
      <c r="U229" s="10" t="s">
        <v>14</v>
      </c>
      <c r="V229" s="25">
        <v>22400</v>
      </c>
      <c r="W229" s="25">
        <f>Table1[[#This Row],[STAB]]-Table1[[#This Row],[AMOUNT]]</f>
        <v>-96.490000000001601</v>
      </c>
      <c r="X229" s="10" t="s">
        <v>4591</v>
      </c>
      <c r="Y229" s="10" t="s">
        <v>402</v>
      </c>
      <c r="Z229" s="10" t="s">
        <v>403</v>
      </c>
      <c r="AA229" s="10" t="s">
        <v>113</v>
      </c>
      <c r="AB229" s="36" t="s">
        <v>131</v>
      </c>
      <c r="AC229" s="10"/>
      <c r="AD229" s="9" t="s">
        <v>1640</v>
      </c>
      <c r="AE229" s="10" t="s">
        <v>1703</v>
      </c>
      <c r="AF229" s="10" t="s">
        <v>275</v>
      </c>
      <c r="AG229" s="10" t="s">
        <v>80</v>
      </c>
      <c r="AH229" s="10" t="s">
        <v>87</v>
      </c>
      <c r="AI229" s="10" t="s">
        <v>368</v>
      </c>
      <c r="AJ229" s="10">
        <v>802823175</v>
      </c>
      <c r="AK229" s="10" t="s">
        <v>105</v>
      </c>
      <c r="AL229" s="10"/>
      <c r="AM229" s="10"/>
      <c r="AN229" s="11" t="s">
        <v>390</v>
      </c>
      <c r="AO229" s="10" t="s">
        <v>392</v>
      </c>
      <c r="AP229" s="10" t="s">
        <v>4585</v>
      </c>
      <c r="AQ229" s="10" t="s">
        <v>4566</v>
      </c>
      <c r="AR229" s="2">
        <v>46082</v>
      </c>
      <c r="AS229" s="10">
        <v>350000</v>
      </c>
      <c r="AT229" s="10" t="s">
        <v>47</v>
      </c>
      <c r="AU229" s="10" t="s">
        <v>1741</v>
      </c>
      <c r="AV229" s="36" t="s">
        <v>1773</v>
      </c>
      <c r="AW229" s="1">
        <v>46203</v>
      </c>
    </row>
    <row r="230" spans="1:49" x14ac:dyDescent="0.25">
      <c r="A230" s="9" t="s">
        <v>1434</v>
      </c>
      <c r="B230" s="10" t="s">
        <v>1500</v>
      </c>
      <c r="C230" s="10">
        <v>0</v>
      </c>
      <c r="D230" s="10" t="s">
        <v>91</v>
      </c>
      <c r="E230" s="10"/>
      <c r="F230" s="10"/>
      <c r="G230" s="10"/>
      <c r="H230" s="10" t="s">
        <v>52</v>
      </c>
      <c r="I230" s="10">
        <v>12</v>
      </c>
      <c r="J230" s="10" t="s">
        <v>1564</v>
      </c>
      <c r="K230" s="10" t="s">
        <v>42</v>
      </c>
      <c r="L230" s="10">
        <f>Table1[[#This Row],[ENR]]-Table1[[#This Row],[CREDIT]]</f>
        <v>77216.140000000014</v>
      </c>
      <c r="M230" s="36">
        <v>295000</v>
      </c>
      <c r="N230" s="26">
        <v>372216.14</v>
      </c>
      <c r="O230" s="38">
        <v>29293.49</v>
      </c>
      <c r="P230" s="25">
        <v>342922.65</v>
      </c>
      <c r="Q230" s="25">
        <v>314430.3</v>
      </c>
      <c r="R230" s="10">
        <v>84820</v>
      </c>
      <c r="S230" s="39">
        <v>29430</v>
      </c>
      <c r="T230" s="10" t="s">
        <v>44</v>
      </c>
      <c r="U230" s="10" t="s">
        <v>45</v>
      </c>
      <c r="V230" s="10">
        <v>0</v>
      </c>
      <c r="W230" s="25">
        <f>Table1[[#This Row],[STAB]]-Table1[[#This Row],[AMOUNT]]</f>
        <v>29430</v>
      </c>
      <c r="X230" s="10">
        <v>0</v>
      </c>
      <c r="Y230" s="10" t="s">
        <v>79</v>
      </c>
      <c r="Z230" s="10">
        <v>0</v>
      </c>
      <c r="AA230" s="10" t="s">
        <v>113</v>
      </c>
      <c r="AB230" s="36" t="s">
        <v>374</v>
      </c>
      <c r="AC230" s="10"/>
      <c r="AD230" s="9" t="s">
        <v>1628</v>
      </c>
      <c r="AE230" s="10" t="s">
        <v>1691</v>
      </c>
      <c r="AF230" s="10" t="s">
        <v>278</v>
      </c>
      <c r="AG230" s="10" t="s">
        <v>54</v>
      </c>
      <c r="AH230" s="10" t="s">
        <v>358</v>
      </c>
      <c r="AI230" s="10" t="s">
        <v>369</v>
      </c>
      <c r="AJ230" s="10">
        <v>802823180</v>
      </c>
      <c r="AK230" s="10" t="s">
        <v>105</v>
      </c>
      <c r="AL230" s="10"/>
      <c r="AM230" s="10"/>
      <c r="AN230" s="11" t="s">
        <v>46</v>
      </c>
      <c r="AO230" s="10"/>
      <c r="AP230" s="10"/>
      <c r="AQ230" s="10"/>
      <c r="AR230" s="2">
        <v>46141</v>
      </c>
      <c r="AS230" s="10">
        <v>8110</v>
      </c>
      <c r="AT230" s="10" t="s">
        <v>47</v>
      </c>
      <c r="AU230" s="10" t="s">
        <v>1741</v>
      </c>
      <c r="AV230" s="36" t="s">
        <v>1761</v>
      </c>
      <c r="AW230" s="1">
        <v>46203</v>
      </c>
    </row>
    <row r="231" spans="1:49" x14ac:dyDescent="0.25">
      <c r="A231" s="9" t="s">
        <v>3335</v>
      </c>
      <c r="B231" s="10" t="s">
        <v>3378</v>
      </c>
      <c r="C231" s="10">
        <v>0</v>
      </c>
      <c r="D231" s="10" t="s">
        <v>91</v>
      </c>
      <c r="E231" s="10"/>
      <c r="F231" s="10"/>
      <c r="G231" s="10"/>
      <c r="H231" s="10" t="s">
        <v>52</v>
      </c>
      <c r="I231" s="10">
        <v>12</v>
      </c>
      <c r="J231" s="10" t="s">
        <v>3421</v>
      </c>
      <c r="K231" s="10" t="s">
        <v>42</v>
      </c>
      <c r="L231" s="10">
        <f>Table1[[#This Row],[ENR]]-Table1[[#This Row],[CREDIT]]</f>
        <v>35829.270000000019</v>
      </c>
      <c r="M231" s="36">
        <v>330000</v>
      </c>
      <c r="N231" s="26">
        <v>365829.27</v>
      </c>
      <c r="O231" s="38" t="s">
        <v>43</v>
      </c>
      <c r="P231" s="25">
        <v>365829.27</v>
      </c>
      <c r="Q231" s="25">
        <v>327215.49</v>
      </c>
      <c r="R231" s="10">
        <v>92580</v>
      </c>
      <c r="S231" s="39">
        <v>44470</v>
      </c>
      <c r="T231" s="10" t="s">
        <v>57</v>
      </c>
      <c r="U231" s="10" t="s">
        <v>14</v>
      </c>
      <c r="V231" s="25">
        <v>45000</v>
      </c>
      <c r="W231" s="25">
        <f>Table1[[#This Row],[STAB]]-Table1[[#This Row],[AMOUNT]]</f>
        <v>-530</v>
      </c>
      <c r="X231" s="10" t="s">
        <v>4936</v>
      </c>
      <c r="Y231" s="10" t="s">
        <v>402</v>
      </c>
      <c r="Z231" s="10" t="s">
        <v>403</v>
      </c>
      <c r="AA231" s="10" t="s">
        <v>113</v>
      </c>
      <c r="AB231" s="36" t="s">
        <v>374</v>
      </c>
      <c r="AC231" s="10"/>
      <c r="AD231" s="9" t="s">
        <v>3464</v>
      </c>
      <c r="AE231" s="10" t="s">
        <v>3507</v>
      </c>
      <c r="AF231" s="10" t="s">
        <v>500</v>
      </c>
      <c r="AG231" s="10" t="s">
        <v>54</v>
      </c>
      <c r="AH231" s="10" t="s">
        <v>99</v>
      </c>
      <c r="AI231" s="10" t="s">
        <v>363</v>
      </c>
      <c r="AJ231" s="10">
        <v>802913252</v>
      </c>
      <c r="AK231" s="10" t="s">
        <v>104</v>
      </c>
      <c r="AL231" s="10"/>
      <c r="AM231" s="10"/>
      <c r="AN231" s="11" t="s">
        <v>390</v>
      </c>
      <c r="AO231" s="10" t="s">
        <v>394</v>
      </c>
      <c r="AP231" s="10" t="s">
        <v>4986</v>
      </c>
      <c r="AQ231" s="10" t="s">
        <v>4923</v>
      </c>
      <c r="AR231" s="2" t="s">
        <v>43</v>
      </c>
      <c r="AS231" s="10">
        <v>0</v>
      </c>
      <c r="AT231" s="10" t="s">
        <v>47</v>
      </c>
      <c r="AU231" s="10" t="s">
        <v>3266</v>
      </c>
      <c r="AV231" s="36" t="s">
        <v>3551</v>
      </c>
      <c r="AW231" s="1">
        <v>46203</v>
      </c>
    </row>
    <row r="232" spans="1:49" x14ac:dyDescent="0.25">
      <c r="A232" s="9" t="s">
        <v>3337</v>
      </c>
      <c r="B232" s="10" t="s">
        <v>3380</v>
      </c>
      <c r="C232" s="10">
        <v>0</v>
      </c>
      <c r="D232" s="10" t="s">
        <v>91</v>
      </c>
      <c r="E232" s="10"/>
      <c r="F232" s="10"/>
      <c r="G232" s="10"/>
      <c r="H232" s="10" t="s">
        <v>52</v>
      </c>
      <c r="I232" s="10">
        <v>12</v>
      </c>
      <c r="J232" s="10" t="s">
        <v>3423</v>
      </c>
      <c r="K232" s="10" t="s">
        <v>42</v>
      </c>
      <c r="L232" s="10">
        <f>Table1[[#This Row],[ENR]]-Table1[[#This Row],[CREDIT]]</f>
        <v>24225.380000000005</v>
      </c>
      <c r="M232" s="36">
        <v>340000</v>
      </c>
      <c r="N232" s="26">
        <v>364225.38</v>
      </c>
      <c r="O232" s="38" t="s">
        <v>43</v>
      </c>
      <c r="P232" s="25">
        <v>364225.38</v>
      </c>
      <c r="Q232" s="25">
        <v>339939.97</v>
      </c>
      <c r="R232" s="10">
        <v>94670</v>
      </c>
      <c r="S232" s="39">
        <v>62480</v>
      </c>
      <c r="T232" s="10" t="s">
        <v>44</v>
      </c>
      <c r="U232" s="10" t="s">
        <v>45</v>
      </c>
      <c r="V232" s="10">
        <v>0</v>
      </c>
      <c r="W232" s="25">
        <f>Table1[[#This Row],[STAB]]-Table1[[#This Row],[AMOUNT]]</f>
        <v>62480</v>
      </c>
      <c r="X232" s="10">
        <v>0</v>
      </c>
      <c r="Y232" s="10" t="s">
        <v>79</v>
      </c>
      <c r="Z232" s="10" t="s">
        <v>403</v>
      </c>
      <c r="AA232" s="10" t="s">
        <v>113</v>
      </c>
      <c r="AB232" s="36" t="s">
        <v>131</v>
      </c>
      <c r="AC232" s="10"/>
      <c r="AD232" s="9" t="s">
        <v>3466</v>
      </c>
      <c r="AE232" s="10" t="s">
        <v>3509</v>
      </c>
      <c r="AF232" s="10" t="s">
        <v>275</v>
      </c>
      <c r="AG232" s="10" t="s">
        <v>80</v>
      </c>
      <c r="AH232" s="10" t="s">
        <v>87</v>
      </c>
      <c r="AI232" s="10" t="s">
        <v>368</v>
      </c>
      <c r="AJ232" s="10">
        <v>802823175</v>
      </c>
      <c r="AK232" s="10" t="s">
        <v>105</v>
      </c>
      <c r="AL232" s="10"/>
      <c r="AM232" s="10"/>
      <c r="AN232" s="11" t="s">
        <v>46</v>
      </c>
      <c r="AO232" s="10"/>
      <c r="AP232" s="10"/>
      <c r="AQ232" s="10"/>
      <c r="AR232" s="2" t="s">
        <v>43</v>
      </c>
      <c r="AS232" s="10">
        <v>0</v>
      </c>
      <c r="AT232" s="10" t="s">
        <v>47</v>
      </c>
      <c r="AU232" s="10" t="s">
        <v>3266</v>
      </c>
      <c r="AV232" s="36" t="s">
        <v>3553</v>
      </c>
      <c r="AW232" s="1">
        <v>46203</v>
      </c>
    </row>
    <row r="233" spans="1:49" x14ac:dyDescent="0.25">
      <c r="A233" s="9" t="s">
        <v>3330</v>
      </c>
      <c r="B233" s="10" t="s">
        <v>3373</v>
      </c>
      <c r="C233" s="10">
        <v>0</v>
      </c>
      <c r="D233" s="10" t="s">
        <v>91</v>
      </c>
      <c r="E233" s="10"/>
      <c r="F233" s="10"/>
      <c r="G233" s="10"/>
      <c r="H233" s="10" t="s">
        <v>52</v>
      </c>
      <c r="I233" s="10">
        <v>12</v>
      </c>
      <c r="J233" s="10" t="s">
        <v>3416</v>
      </c>
      <c r="K233" s="10" t="s">
        <v>42</v>
      </c>
      <c r="L233" s="10">
        <f>Table1[[#This Row],[ENR]]-Table1[[#This Row],[CREDIT]]</f>
        <v>-17649.119999999995</v>
      </c>
      <c r="M233" s="36">
        <v>380000</v>
      </c>
      <c r="N233" s="26">
        <v>362350.88</v>
      </c>
      <c r="O233" s="38" t="s">
        <v>43</v>
      </c>
      <c r="P233" s="25">
        <v>362350.88</v>
      </c>
      <c r="Q233" s="25">
        <v>337941.2</v>
      </c>
      <c r="R233" s="10">
        <v>57370</v>
      </c>
      <c r="S233" s="39">
        <v>17480</v>
      </c>
      <c r="T233" s="10" t="s">
        <v>44</v>
      </c>
      <c r="U233" s="10" t="s">
        <v>45</v>
      </c>
      <c r="V233" s="10">
        <v>0</v>
      </c>
      <c r="W233" s="25">
        <f>Table1[[#This Row],[STAB]]-Table1[[#This Row],[AMOUNT]]</f>
        <v>17480</v>
      </c>
      <c r="X233" s="10">
        <v>0</v>
      </c>
      <c r="Y233" s="10" t="s">
        <v>79</v>
      </c>
      <c r="Z233" s="10">
        <v>0</v>
      </c>
      <c r="AA233" s="10" t="s">
        <v>113</v>
      </c>
      <c r="AB233" s="36" t="s">
        <v>375</v>
      </c>
      <c r="AC233" s="10"/>
      <c r="AD233" s="9" t="s">
        <v>3459</v>
      </c>
      <c r="AE233" s="10" t="s">
        <v>3502</v>
      </c>
      <c r="AF233" s="10" t="s">
        <v>280</v>
      </c>
      <c r="AG233" s="10" t="s">
        <v>54</v>
      </c>
      <c r="AH233" s="10" t="s">
        <v>280</v>
      </c>
      <c r="AI233" s="10" t="s">
        <v>365</v>
      </c>
      <c r="AJ233" s="10">
        <v>802824019</v>
      </c>
      <c r="AK233" s="10" t="s">
        <v>360</v>
      </c>
      <c r="AL233" s="10"/>
      <c r="AM233" s="10"/>
      <c r="AN233" s="11" t="s">
        <v>46</v>
      </c>
      <c r="AO233" s="10"/>
      <c r="AP233" s="10"/>
      <c r="AQ233" s="10"/>
      <c r="AR233" s="2">
        <v>46083</v>
      </c>
      <c r="AS233" s="10">
        <v>9499.16</v>
      </c>
      <c r="AT233" s="10" t="s">
        <v>47</v>
      </c>
      <c r="AU233" s="10" t="s">
        <v>3266</v>
      </c>
      <c r="AV233" s="36" t="s">
        <v>3546</v>
      </c>
      <c r="AW233" s="1">
        <v>46203</v>
      </c>
    </row>
    <row r="234" spans="1:49" x14ac:dyDescent="0.25">
      <c r="A234" s="9" t="s">
        <v>763</v>
      </c>
      <c r="B234" s="10" t="s">
        <v>779</v>
      </c>
      <c r="C234" s="10" t="s">
        <v>97</v>
      </c>
      <c r="D234" s="10" t="s">
        <v>95</v>
      </c>
      <c r="E234" s="10">
        <v>1</v>
      </c>
      <c r="F234" s="10" t="s">
        <v>112</v>
      </c>
      <c r="G234" s="10" t="s">
        <v>4945</v>
      </c>
      <c r="H234" s="10" t="s">
        <v>52</v>
      </c>
      <c r="I234" s="10">
        <v>12</v>
      </c>
      <c r="J234" s="10" t="s">
        <v>795</v>
      </c>
      <c r="K234" s="10" t="s">
        <v>42</v>
      </c>
      <c r="L234" s="10">
        <f>Table1[[#This Row],[ENR]]-Table1[[#This Row],[CREDIT]]</f>
        <v>-150338.69</v>
      </c>
      <c r="M234" s="36">
        <v>500000</v>
      </c>
      <c r="N234" s="26">
        <v>349661.31</v>
      </c>
      <c r="O234" s="38" t="s">
        <v>43</v>
      </c>
      <c r="P234" s="25">
        <v>349661.31</v>
      </c>
      <c r="Q234" s="25">
        <v>311579.55</v>
      </c>
      <c r="R234" s="10">
        <v>57240</v>
      </c>
      <c r="S234" s="39">
        <v>18210</v>
      </c>
      <c r="T234" s="10" t="s">
        <v>44</v>
      </c>
      <c r="U234" s="10" t="s">
        <v>45</v>
      </c>
      <c r="V234" s="10">
        <v>0</v>
      </c>
      <c r="W234" s="25">
        <f>Table1[[#This Row],[STAB]]-Table1[[#This Row],[AMOUNT]]</f>
        <v>18210</v>
      </c>
      <c r="X234" s="10">
        <v>0</v>
      </c>
      <c r="Y234" s="10" t="s">
        <v>79</v>
      </c>
      <c r="Z234" s="10">
        <v>0</v>
      </c>
      <c r="AA234" s="10" t="s">
        <v>113</v>
      </c>
      <c r="AB234" s="36" t="s">
        <v>131</v>
      </c>
      <c r="AC234" s="10"/>
      <c r="AD234" s="9" t="s">
        <v>812</v>
      </c>
      <c r="AE234" s="10" t="s">
        <v>829</v>
      </c>
      <c r="AF234" s="10" t="s">
        <v>284</v>
      </c>
      <c r="AG234" s="10" t="s">
        <v>324</v>
      </c>
      <c r="AH234" s="10" t="s">
        <v>355</v>
      </c>
      <c r="AI234" s="10" t="s">
        <v>372</v>
      </c>
      <c r="AJ234" s="10">
        <v>801597759</v>
      </c>
      <c r="AK234" s="10" t="s">
        <v>362</v>
      </c>
      <c r="AL234" s="10"/>
      <c r="AM234" s="10"/>
      <c r="AN234" s="11" t="s">
        <v>390</v>
      </c>
      <c r="AO234" s="10" t="s">
        <v>398</v>
      </c>
      <c r="AP234" s="10" t="s">
        <v>1414</v>
      </c>
      <c r="AQ234" s="10" t="s">
        <v>1401</v>
      </c>
      <c r="AR234" s="2">
        <v>46011</v>
      </c>
      <c r="AS234" s="10">
        <v>508209.42</v>
      </c>
      <c r="AT234" s="10" t="s">
        <v>96</v>
      </c>
      <c r="AU234" s="10" t="s">
        <v>834</v>
      </c>
      <c r="AV234" s="36" t="s">
        <v>849</v>
      </c>
      <c r="AW234" s="1">
        <v>46203</v>
      </c>
    </row>
    <row r="235" spans="1:49" x14ac:dyDescent="0.25">
      <c r="A235" s="9" t="s">
        <v>752</v>
      </c>
      <c r="B235" s="10" t="s">
        <v>768</v>
      </c>
      <c r="C235" s="10">
        <v>0</v>
      </c>
      <c r="D235" s="10" t="s">
        <v>91</v>
      </c>
      <c r="E235" s="10"/>
      <c r="F235" s="10"/>
      <c r="G235" s="10"/>
      <c r="H235" s="10" t="s">
        <v>52</v>
      </c>
      <c r="I235" s="10">
        <v>12</v>
      </c>
      <c r="J235" s="10" t="s">
        <v>784</v>
      </c>
      <c r="K235" s="10" t="s">
        <v>42</v>
      </c>
      <c r="L235" s="10">
        <f>Table1[[#This Row],[ENR]]-Table1[[#This Row],[CREDIT]]</f>
        <v>-78832.820000000007</v>
      </c>
      <c r="M235" s="36">
        <v>420000</v>
      </c>
      <c r="N235" s="26">
        <v>341167.18</v>
      </c>
      <c r="O235" s="38" t="s">
        <v>43</v>
      </c>
      <c r="P235" s="25">
        <v>341167.18</v>
      </c>
      <c r="Q235" s="25">
        <v>311929.08</v>
      </c>
      <c r="R235" s="10">
        <v>49630</v>
      </c>
      <c r="S235" s="39">
        <v>18160</v>
      </c>
      <c r="T235" s="10" t="s">
        <v>57</v>
      </c>
      <c r="U235" s="10" t="s">
        <v>14</v>
      </c>
      <c r="V235" s="25">
        <v>18200</v>
      </c>
      <c r="W235" s="25">
        <f>Table1[[#This Row],[STAB]]-Table1[[#This Row],[AMOUNT]]</f>
        <v>-40</v>
      </c>
      <c r="X235" s="10" t="s">
        <v>4601</v>
      </c>
      <c r="Y235" s="10" t="s">
        <v>402</v>
      </c>
      <c r="Z235" s="10" t="s">
        <v>403</v>
      </c>
      <c r="AA235" s="10" t="s">
        <v>113</v>
      </c>
      <c r="AB235" s="36" t="s">
        <v>374</v>
      </c>
      <c r="AC235" s="10"/>
      <c r="AD235" s="9" t="s">
        <v>801</v>
      </c>
      <c r="AE235" s="10" t="s">
        <v>818</v>
      </c>
      <c r="AF235" s="10" t="s">
        <v>278</v>
      </c>
      <c r="AG235" s="10" t="s">
        <v>54</v>
      </c>
      <c r="AH235" s="10" t="s">
        <v>86</v>
      </c>
      <c r="AI235" s="10" t="s">
        <v>368</v>
      </c>
      <c r="AJ235" s="10">
        <v>802823175</v>
      </c>
      <c r="AK235" s="10" t="s">
        <v>105</v>
      </c>
      <c r="AL235" s="10"/>
      <c r="AM235" s="10"/>
      <c r="AN235" s="11" t="s">
        <v>390</v>
      </c>
      <c r="AO235" s="10" t="s">
        <v>392</v>
      </c>
      <c r="AP235" s="10" t="s">
        <v>1975</v>
      </c>
      <c r="AQ235" s="10" t="s">
        <v>1961</v>
      </c>
      <c r="AR235" s="2">
        <v>45902</v>
      </c>
      <c r="AS235" s="10">
        <v>35000</v>
      </c>
      <c r="AT235" s="10" t="s">
        <v>47</v>
      </c>
      <c r="AU235" s="10" t="s">
        <v>834</v>
      </c>
      <c r="AV235" s="36" t="s">
        <v>838</v>
      </c>
      <c r="AW235" s="1">
        <v>46203</v>
      </c>
    </row>
    <row r="236" spans="1:49" x14ac:dyDescent="0.25">
      <c r="A236" s="9" t="s">
        <v>3336</v>
      </c>
      <c r="B236" s="10" t="s">
        <v>3379</v>
      </c>
      <c r="C236" s="10">
        <v>0</v>
      </c>
      <c r="D236" s="10" t="s">
        <v>91</v>
      </c>
      <c r="E236" s="10"/>
      <c r="F236" s="10"/>
      <c r="G236" s="10"/>
      <c r="H236" s="10" t="s">
        <v>52</v>
      </c>
      <c r="I236" s="10">
        <v>12</v>
      </c>
      <c r="J236" s="10" t="s">
        <v>3422</v>
      </c>
      <c r="K236" s="10" t="s">
        <v>42</v>
      </c>
      <c r="L236" s="10">
        <f>Table1[[#This Row],[ENR]]-Table1[[#This Row],[CREDIT]]</f>
        <v>-8983.3300000000163</v>
      </c>
      <c r="M236" s="36">
        <v>350000</v>
      </c>
      <c r="N236" s="26">
        <v>341016.67</v>
      </c>
      <c r="O236" s="38">
        <v>271271.62</v>
      </c>
      <c r="P236" s="25">
        <v>69745.05</v>
      </c>
      <c r="Q236" s="25">
        <v>54146.04</v>
      </c>
      <c r="R236" s="10">
        <v>39820</v>
      </c>
      <c r="S236" s="39">
        <v>14400</v>
      </c>
      <c r="T236" s="10" t="s">
        <v>57</v>
      </c>
      <c r="U236" s="10" t="s">
        <v>13</v>
      </c>
      <c r="V236" s="10">
        <v>40000</v>
      </c>
      <c r="W236" s="25">
        <f>Table1[[#This Row],[STAB]]-Table1[[#This Row],[AMOUNT]]</f>
        <v>-25600</v>
      </c>
      <c r="X236" s="10" t="s">
        <v>4601</v>
      </c>
      <c r="Y236" s="10" t="s">
        <v>402</v>
      </c>
      <c r="Z236" s="10" t="s">
        <v>403</v>
      </c>
      <c r="AA236" s="10" t="s">
        <v>113</v>
      </c>
      <c r="AB236" s="36" t="s">
        <v>132</v>
      </c>
      <c r="AC236" s="10"/>
      <c r="AD236" s="9" t="s">
        <v>3465</v>
      </c>
      <c r="AE236" s="10" t="s">
        <v>3508</v>
      </c>
      <c r="AF236" s="10" t="s">
        <v>147</v>
      </c>
      <c r="AG236" s="10" t="s">
        <v>148</v>
      </c>
      <c r="AH236" s="10" t="s">
        <v>60</v>
      </c>
      <c r="AI236" s="10" t="s">
        <v>366</v>
      </c>
      <c r="AJ236" s="10">
        <v>802789320</v>
      </c>
      <c r="AK236" s="10" t="s">
        <v>104</v>
      </c>
      <c r="AL236" s="10"/>
      <c r="AM236" s="10"/>
      <c r="AN236" s="11" t="s">
        <v>390</v>
      </c>
      <c r="AO236" s="10" t="s">
        <v>392</v>
      </c>
      <c r="AP236" s="10" t="s">
        <v>4630</v>
      </c>
      <c r="AQ236" s="10" t="s">
        <v>4601</v>
      </c>
      <c r="AR236" s="2">
        <v>46051</v>
      </c>
      <c r="AS236" s="10">
        <v>68912</v>
      </c>
      <c r="AT236" s="10" t="s">
        <v>47</v>
      </c>
      <c r="AU236" s="10" t="s">
        <v>3266</v>
      </c>
      <c r="AV236" s="36" t="s">
        <v>3552</v>
      </c>
      <c r="AW236" s="1">
        <v>46203</v>
      </c>
    </row>
    <row r="237" spans="1:49" x14ac:dyDescent="0.25">
      <c r="A237" s="9" t="s">
        <v>3332</v>
      </c>
      <c r="B237" s="10" t="s">
        <v>3375</v>
      </c>
      <c r="C237" s="10">
        <v>0</v>
      </c>
      <c r="D237" s="10" t="s">
        <v>91</v>
      </c>
      <c r="E237" s="10"/>
      <c r="F237" s="10"/>
      <c r="G237" s="10"/>
      <c r="H237" s="10" t="s">
        <v>52</v>
      </c>
      <c r="I237" s="10">
        <v>12</v>
      </c>
      <c r="J237" s="10" t="s">
        <v>3418</v>
      </c>
      <c r="K237" s="10" t="s">
        <v>42</v>
      </c>
      <c r="L237" s="10">
        <f>Table1[[#This Row],[ENR]]-Table1[[#This Row],[CREDIT]]</f>
        <v>53429.859999999986</v>
      </c>
      <c r="M237" s="36">
        <v>283000</v>
      </c>
      <c r="N237" s="26">
        <v>336429.86</v>
      </c>
      <c r="O237" s="38" t="s">
        <v>43</v>
      </c>
      <c r="P237" s="25">
        <v>336429.86</v>
      </c>
      <c r="Q237" s="25">
        <v>310900.19</v>
      </c>
      <c r="R237" s="10">
        <v>95790</v>
      </c>
      <c r="S237" s="39">
        <v>42060</v>
      </c>
      <c r="T237" s="10" t="s">
        <v>57</v>
      </c>
      <c r="U237" s="10" t="s">
        <v>13</v>
      </c>
      <c r="V237" s="10">
        <v>336429.86</v>
      </c>
      <c r="W237" s="25">
        <f>Table1[[#This Row],[STAB]]-Table1[[#This Row],[AMOUNT]]</f>
        <v>-294369.86</v>
      </c>
      <c r="X237" s="10" t="s">
        <v>4601</v>
      </c>
      <c r="Y237" s="10" t="s">
        <v>402</v>
      </c>
      <c r="Z237" s="10" t="s">
        <v>403</v>
      </c>
      <c r="AA237" s="10" t="s">
        <v>113</v>
      </c>
      <c r="AB237" s="36" t="s">
        <v>374</v>
      </c>
      <c r="AC237" s="10"/>
      <c r="AD237" s="9" t="s">
        <v>3461</v>
      </c>
      <c r="AE237" s="10" t="s">
        <v>3504</v>
      </c>
      <c r="AF237" s="10" t="s">
        <v>501</v>
      </c>
      <c r="AG237" s="10" t="s">
        <v>53</v>
      </c>
      <c r="AH237" s="10" t="s">
        <v>116</v>
      </c>
      <c r="AI237" s="10" t="s">
        <v>2961</v>
      </c>
      <c r="AJ237" s="10">
        <v>845041675</v>
      </c>
      <c r="AK237" s="10" t="s">
        <v>104</v>
      </c>
      <c r="AL237" s="10"/>
      <c r="AM237" s="10"/>
      <c r="AN237" s="11" t="s">
        <v>390</v>
      </c>
      <c r="AO237" s="10"/>
      <c r="AP237" s="10"/>
      <c r="AQ237" s="10"/>
      <c r="AR237" s="2">
        <v>45496</v>
      </c>
      <c r="AS237" s="10">
        <v>49999.92</v>
      </c>
      <c r="AT237" s="10" t="s">
        <v>47</v>
      </c>
      <c r="AU237" s="10" t="s">
        <v>3266</v>
      </c>
      <c r="AV237" s="36" t="s">
        <v>3548</v>
      </c>
      <c r="AW237" s="1">
        <v>46203</v>
      </c>
    </row>
    <row r="238" spans="1:49" x14ac:dyDescent="0.25">
      <c r="A238" s="9" t="s">
        <v>3331</v>
      </c>
      <c r="B238" s="10" t="s">
        <v>3374</v>
      </c>
      <c r="C238" s="10">
        <v>0</v>
      </c>
      <c r="D238" s="10" t="s">
        <v>91</v>
      </c>
      <c r="E238" s="10"/>
      <c r="F238" s="10"/>
      <c r="G238" s="10"/>
      <c r="H238" s="10" t="s">
        <v>52</v>
      </c>
      <c r="I238" s="10">
        <v>12</v>
      </c>
      <c r="J238" s="10" t="s">
        <v>3417</v>
      </c>
      <c r="K238" s="10" t="s">
        <v>42</v>
      </c>
      <c r="L238" s="10">
        <f>Table1[[#This Row],[ENR]]-Table1[[#This Row],[CREDIT]]</f>
        <v>29965.299999999988</v>
      </c>
      <c r="M238" s="36">
        <v>300000</v>
      </c>
      <c r="N238" s="26">
        <v>329965.3</v>
      </c>
      <c r="O238" s="38" t="s">
        <v>43</v>
      </c>
      <c r="P238" s="25">
        <v>329965.3</v>
      </c>
      <c r="Q238" s="25">
        <v>297765</v>
      </c>
      <c r="R238" s="10">
        <v>78780</v>
      </c>
      <c r="S238" s="39">
        <v>34570</v>
      </c>
      <c r="T238" s="10" t="s">
        <v>57</v>
      </c>
      <c r="U238" s="10" t="s">
        <v>13</v>
      </c>
      <c r="V238" s="10">
        <v>78780</v>
      </c>
      <c r="W238" s="25">
        <f>Table1[[#This Row],[STAB]]-Table1[[#This Row],[AMOUNT]]</f>
        <v>-44210</v>
      </c>
      <c r="X238" s="10" t="s">
        <v>4591</v>
      </c>
      <c r="Y238" s="10" t="s">
        <v>402</v>
      </c>
      <c r="Z238" s="10" t="s">
        <v>963</v>
      </c>
      <c r="AA238" s="10" t="s">
        <v>113</v>
      </c>
      <c r="AB238" s="36" t="s">
        <v>132</v>
      </c>
      <c r="AC238" s="10"/>
      <c r="AD238" s="9" t="s">
        <v>3460</v>
      </c>
      <c r="AE238" s="10" t="s">
        <v>3503</v>
      </c>
      <c r="AF238" s="10" t="s">
        <v>283</v>
      </c>
      <c r="AG238" s="10" t="s">
        <v>53</v>
      </c>
      <c r="AH238" s="10" t="s">
        <v>356</v>
      </c>
      <c r="AI238" s="10" t="s">
        <v>2962</v>
      </c>
      <c r="AJ238" s="10">
        <v>801601134</v>
      </c>
      <c r="AK238" s="10" t="s">
        <v>104</v>
      </c>
      <c r="AL238" s="10"/>
      <c r="AM238" s="10"/>
      <c r="AN238" s="11" t="s">
        <v>390</v>
      </c>
      <c r="AO238" s="10"/>
      <c r="AP238" s="10"/>
      <c r="AQ238" s="10"/>
      <c r="AR238" s="2">
        <v>46149</v>
      </c>
      <c r="AS238" s="10">
        <v>99999</v>
      </c>
      <c r="AT238" s="10" t="s">
        <v>47</v>
      </c>
      <c r="AU238" s="10" t="s">
        <v>3266</v>
      </c>
      <c r="AV238" s="36" t="s">
        <v>3547</v>
      </c>
      <c r="AW238" s="1">
        <v>46203</v>
      </c>
    </row>
    <row r="239" spans="1:49" x14ac:dyDescent="0.25">
      <c r="A239" s="9" t="s">
        <v>1469</v>
      </c>
      <c r="B239" s="10" t="s">
        <v>1533</v>
      </c>
      <c r="C239" s="10">
        <v>0</v>
      </c>
      <c r="D239" s="10" t="s">
        <v>91</v>
      </c>
      <c r="E239" s="10"/>
      <c r="F239" s="10"/>
      <c r="G239" s="10"/>
      <c r="H239" s="10" t="s">
        <v>52</v>
      </c>
      <c r="I239" s="10">
        <v>12</v>
      </c>
      <c r="J239" s="10" t="s">
        <v>1597</v>
      </c>
      <c r="K239" s="10" t="s">
        <v>42</v>
      </c>
      <c r="L239" s="10">
        <f>Table1[[#This Row],[ENR]]-Table1[[#This Row],[CREDIT]]</f>
        <v>5352.460000000021</v>
      </c>
      <c r="M239" s="36">
        <v>310000</v>
      </c>
      <c r="N239" s="26">
        <v>315352.46000000002</v>
      </c>
      <c r="O239" s="38" t="s">
        <v>43</v>
      </c>
      <c r="P239" s="25">
        <v>315352.46000000002</v>
      </c>
      <c r="Q239" s="25">
        <v>288919.88</v>
      </c>
      <c r="R239" s="10">
        <v>57860</v>
      </c>
      <c r="S239" s="39">
        <v>23743.19</v>
      </c>
      <c r="T239" s="10" t="s">
        <v>57</v>
      </c>
      <c r="U239" s="10" t="s">
        <v>13</v>
      </c>
      <c r="V239" s="10">
        <v>315352.46000000002</v>
      </c>
      <c r="W239" s="25">
        <f>Table1[[#This Row],[STAB]]-Table1[[#This Row],[AMOUNT]]</f>
        <v>-291609.27</v>
      </c>
      <c r="X239" s="10" t="s">
        <v>4923</v>
      </c>
      <c r="Y239" s="10" t="s">
        <v>402</v>
      </c>
      <c r="Z239" s="10" t="s">
        <v>403</v>
      </c>
      <c r="AA239" s="10" t="s">
        <v>113</v>
      </c>
      <c r="AB239" s="36" t="s">
        <v>132</v>
      </c>
      <c r="AC239" s="10"/>
      <c r="AD239" s="9" t="s">
        <v>1661</v>
      </c>
      <c r="AE239" s="10" t="s">
        <v>1724</v>
      </c>
      <c r="AF239" s="10" t="s">
        <v>85</v>
      </c>
      <c r="AG239" s="10" t="s">
        <v>54</v>
      </c>
      <c r="AH239" s="10" t="s">
        <v>89</v>
      </c>
      <c r="AI239" s="10" t="s">
        <v>106</v>
      </c>
      <c r="AJ239" s="10">
        <v>802370852</v>
      </c>
      <c r="AK239" s="10" t="s">
        <v>105</v>
      </c>
      <c r="AL239" s="10"/>
      <c r="AM239" s="10"/>
      <c r="AN239" s="11" t="s">
        <v>390</v>
      </c>
      <c r="AO239" s="10" t="s">
        <v>392</v>
      </c>
      <c r="AP239" s="10" t="s">
        <v>4941</v>
      </c>
      <c r="AQ239" s="10" t="s">
        <v>4923</v>
      </c>
      <c r="AR239" s="2">
        <v>45534</v>
      </c>
      <c r="AS239" s="10">
        <v>51168.65</v>
      </c>
      <c r="AT239" s="10" t="s">
        <v>47</v>
      </c>
      <c r="AU239" s="10" t="s">
        <v>1741</v>
      </c>
      <c r="AV239" s="36" t="s">
        <v>1796</v>
      </c>
      <c r="AW239" s="1">
        <v>46203</v>
      </c>
    </row>
    <row r="240" spans="1:49" x14ac:dyDescent="0.25">
      <c r="A240" s="9" t="s">
        <v>1417</v>
      </c>
      <c r="B240" s="10" t="s">
        <v>1484</v>
      </c>
      <c r="C240" s="10">
        <v>0</v>
      </c>
      <c r="D240" s="10" t="s">
        <v>91</v>
      </c>
      <c r="E240" s="10"/>
      <c r="F240" s="10"/>
      <c r="G240" s="10"/>
      <c r="H240" s="10" t="s">
        <v>52</v>
      </c>
      <c r="I240" s="10">
        <v>12</v>
      </c>
      <c r="J240" s="10" t="s">
        <v>1548</v>
      </c>
      <c r="K240" s="10" t="s">
        <v>42</v>
      </c>
      <c r="L240" s="10">
        <f>Table1[[#This Row],[ENR]]-Table1[[#This Row],[CREDIT]]</f>
        <v>102193.40999999997</v>
      </c>
      <c r="M240" s="36">
        <v>210000</v>
      </c>
      <c r="N240" s="26">
        <v>312193.40999999997</v>
      </c>
      <c r="O240" s="38">
        <v>104109.02</v>
      </c>
      <c r="P240" s="25">
        <v>208084.39</v>
      </c>
      <c r="Q240" s="25">
        <v>185166.66</v>
      </c>
      <c r="R240" s="10">
        <v>49670</v>
      </c>
      <c r="S240" s="39">
        <v>18440</v>
      </c>
      <c r="T240" s="10" t="s">
        <v>57</v>
      </c>
      <c r="U240" s="10" t="s">
        <v>14</v>
      </c>
      <c r="V240" s="25">
        <v>20000</v>
      </c>
      <c r="W240" s="25">
        <f>Table1[[#This Row],[STAB]]-Table1[[#This Row],[AMOUNT]]</f>
        <v>-1560</v>
      </c>
      <c r="X240" s="10" t="s">
        <v>4619</v>
      </c>
      <c r="Y240" s="10" t="s">
        <v>396</v>
      </c>
      <c r="Z240" s="10" t="s">
        <v>403</v>
      </c>
      <c r="AA240" s="10" t="s">
        <v>113</v>
      </c>
      <c r="AB240" s="10" t="s">
        <v>133</v>
      </c>
      <c r="AC240" s="10"/>
      <c r="AD240" s="9" t="s">
        <v>1612</v>
      </c>
      <c r="AE240" s="10" t="s">
        <v>1675</v>
      </c>
      <c r="AF240" s="10" t="s">
        <v>275</v>
      </c>
      <c r="AG240" s="10" t="s">
        <v>80</v>
      </c>
      <c r="AH240" s="10" t="s">
        <v>87</v>
      </c>
      <c r="AI240" s="10" t="s">
        <v>368</v>
      </c>
      <c r="AJ240" s="10">
        <v>802823175</v>
      </c>
      <c r="AK240" s="10" t="s">
        <v>105</v>
      </c>
      <c r="AL240" s="10"/>
      <c r="AM240" s="10"/>
      <c r="AN240" s="11" t="s">
        <v>390</v>
      </c>
      <c r="AO240" s="10" t="s">
        <v>394</v>
      </c>
      <c r="AP240" s="10" t="s">
        <v>4627</v>
      </c>
      <c r="AQ240" s="10" t="s">
        <v>4619</v>
      </c>
      <c r="AR240" s="2">
        <v>45473</v>
      </c>
      <c r="AS240" s="10">
        <v>15050</v>
      </c>
      <c r="AT240" s="10" t="s">
        <v>47</v>
      </c>
      <c r="AU240" s="10" t="s">
        <v>1741</v>
      </c>
      <c r="AV240" s="36" t="s">
        <v>1744</v>
      </c>
      <c r="AW240" s="1">
        <v>46203</v>
      </c>
    </row>
    <row r="241" spans="1:49" x14ac:dyDescent="0.25">
      <c r="A241" s="9" t="s">
        <v>750</v>
      </c>
      <c r="B241" s="10" t="s">
        <v>766</v>
      </c>
      <c r="C241" s="10">
        <v>0</v>
      </c>
      <c r="D241" s="10" t="s">
        <v>91</v>
      </c>
      <c r="E241" s="10"/>
      <c r="F241" s="10" t="s">
        <v>112</v>
      </c>
      <c r="G241" s="10" t="s">
        <v>4947</v>
      </c>
      <c r="H241" s="10" t="s">
        <v>52</v>
      </c>
      <c r="I241" s="10">
        <v>12</v>
      </c>
      <c r="J241" s="10" t="s">
        <v>782</v>
      </c>
      <c r="K241" s="10" t="s">
        <v>42</v>
      </c>
      <c r="L241" s="10">
        <f>Table1[[#This Row],[ENR]]-Table1[[#This Row],[CREDIT]]</f>
        <v>99430.400000000023</v>
      </c>
      <c r="M241" s="36">
        <v>210000</v>
      </c>
      <c r="N241" s="26">
        <v>309430.40000000002</v>
      </c>
      <c r="O241" s="38">
        <v>69125.87</v>
      </c>
      <c r="P241" s="25">
        <v>240304.53</v>
      </c>
      <c r="Q241" s="25">
        <v>218889.16</v>
      </c>
      <c r="R241" s="10">
        <v>80030</v>
      </c>
      <c r="S241" s="39">
        <v>19500</v>
      </c>
      <c r="T241" s="10" t="s">
        <v>57</v>
      </c>
      <c r="U241" s="10" t="s">
        <v>14</v>
      </c>
      <c r="V241" s="25">
        <v>19500</v>
      </c>
      <c r="W241" s="25">
        <f>Table1[[#This Row],[STAB]]-Table1[[#This Row],[AMOUNT]]</f>
        <v>0</v>
      </c>
      <c r="X241" s="10" t="s">
        <v>4923</v>
      </c>
      <c r="Y241" s="10" t="s">
        <v>396</v>
      </c>
      <c r="Z241" s="10" t="s">
        <v>403</v>
      </c>
      <c r="AA241" s="10" t="s">
        <v>113</v>
      </c>
      <c r="AB241" s="36" t="s">
        <v>132</v>
      </c>
      <c r="AC241" s="10"/>
      <c r="AD241" s="9" t="s">
        <v>799</v>
      </c>
      <c r="AE241" s="10" t="s">
        <v>816</v>
      </c>
      <c r="AF241" s="10" t="s">
        <v>499</v>
      </c>
      <c r="AG241" s="10" t="s">
        <v>53</v>
      </c>
      <c r="AH241" s="10" t="s">
        <v>55</v>
      </c>
      <c r="AI241" s="10" t="s">
        <v>365</v>
      </c>
      <c r="AJ241" s="10">
        <v>802824019</v>
      </c>
      <c r="AK241" s="10" t="s">
        <v>360</v>
      </c>
      <c r="AL241" s="10"/>
      <c r="AM241" s="10"/>
      <c r="AN241" s="11" t="s">
        <v>390</v>
      </c>
      <c r="AO241" s="10" t="s">
        <v>392</v>
      </c>
      <c r="AP241" s="10" t="s">
        <v>4980</v>
      </c>
      <c r="AQ241" s="10" t="s">
        <v>4923</v>
      </c>
      <c r="AR241" s="2">
        <v>45475</v>
      </c>
      <c r="AS241" s="10">
        <v>28080</v>
      </c>
      <c r="AT241" s="10" t="s">
        <v>47</v>
      </c>
      <c r="AU241" s="10" t="s">
        <v>834</v>
      </c>
      <c r="AV241" s="36" t="s">
        <v>836</v>
      </c>
      <c r="AW241" s="1">
        <v>46203</v>
      </c>
    </row>
    <row r="242" spans="1:49" x14ac:dyDescent="0.25">
      <c r="A242" s="9" t="s">
        <v>1454</v>
      </c>
      <c r="B242" s="10" t="s">
        <v>1518</v>
      </c>
      <c r="C242" s="10">
        <v>0</v>
      </c>
      <c r="D242" s="10" t="s">
        <v>91</v>
      </c>
      <c r="E242" s="10"/>
      <c r="F242" s="10"/>
      <c r="G242" s="10"/>
      <c r="H242" s="10" t="s">
        <v>52</v>
      </c>
      <c r="I242" s="10">
        <v>12</v>
      </c>
      <c r="J242" s="10" t="s">
        <v>1582</v>
      </c>
      <c r="K242" s="10" t="s">
        <v>42</v>
      </c>
      <c r="L242" s="10">
        <f>Table1[[#This Row],[ENR]]-Table1[[#This Row],[CREDIT]]</f>
        <v>281529.21000000002</v>
      </c>
      <c r="M242" s="36">
        <v>20000</v>
      </c>
      <c r="N242" s="26">
        <v>301529.21000000002</v>
      </c>
      <c r="O242" s="38">
        <v>136750.26999999999</v>
      </c>
      <c r="P242" s="25">
        <v>164778.94</v>
      </c>
      <c r="Q242" s="25">
        <v>151627.59</v>
      </c>
      <c r="R242" s="10">
        <v>60120</v>
      </c>
      <c r="S242" s="39">
        <v>20770</v>
      </c>
      <c r="T242" s="10" t="s">
        <v>57</v>
      </c>
      <c r="U242" s="10" t="s">
        <v>14</v>
      </c>
      <c r="V242" s="25">
        <v>21000</v>
      </c>
      <c r="W242" s="25">
        <f>Table1[[#This Row],[STAB]]-Table1[[#This Row],[AMOUNT]]</f>
        <v>-230</v>
      </c>
      <c r="X242" s="10" t="s">
        <v>4530</v>
      </c>
      <c r="Y242" s="10" t="s">
        <v>396</v>
      </c>
      <c r="Z242" s="10" t="s">
        <v>403</v>
      </c>
      <c r="AA242" s="10" t="s">
        <v>113</v>
      </c>
      <c r="AB242" s="10" t="s">
        <v>133</v>
      </c>
      <c r="AC242" s="10"/>
      <c r="AD242" s="9" t="s">
        <v>1646</v>
      </c>
      <c r="AE242" s="10" t="s">
        <v>1709</v>
      </c>
      <c r="AF242" s="10" t="s">
        <v>281</v>
      </c>
      <c r="AG242" s="10" t="s">
        <v>54</v>
      </c>
      <c r="AH242" s="10" t="s">
        <v>58</v>
      </c>
      <c r="AI242" s="10" t="s">
        <v>133</v>
      </c>
      <c r="AJ242" s="10">
        <v>802555024</v>
      </c>
      <c r="AK242" s="10" t="s">
        <v>362</v>
      </c>
      <c r="AL242" s="10"/>
      <c r="AM242" s="10"/>
      <c r="AN242" s="11" t="s">
        <v>390</v>
      </c>
      <c r="AO242" s="10"/>
      <c r="AP242" s="10"/>
      <c r="AQ242" s="10"/>
      <c r="AR242" s="2">
        <v>45626</v>
      </c>
      <c r="AS242" s="10">
        <v>106101</v>
      </c>
      <c r="AT242" s="10" t="s">
        <v>47</v>
      </c>
      <c r="AU242" s="10" t="s">
        <v>1741</v>
      </c>
      <c r="AV242" s="36" t="s">
        <v>1781</v>
      </c>
      <c r="AW242" s="1">
        <v>46203</v>
      </c>
    </row>
    <row r="243" spans="1:49" x14ac:dyDescent="0.25">
      <c r="A243" s="9" t="s">
        <v>759</v>
      </c>
      <c r="B243" s="10" t="s">
        <v>775</v>
      </c>
      <c r="C243" s="10">
        <v>0</v>
      </c>
      <c r="D243" s="10" t="s">
        <v>91</v>
      </c>
      <c r="E243" s="10"/>
      <c r="F243" s="10"/>
      <c r="G243" s="10"/>
      <c r="H243" s="10" t="s">
        <v>52</v>
      </c>
      <c r="I243" s="10">
        <v>12</v>
      </c>
      <c r="J243" s="10" t="s">
        <v>791</v>
      </c>
      <c r="K243" s="10" t="s">
        <v>42</v>
      </c>
      <c r="L243" s="10">
        <f>Table1[[#This Row],[ENR]]-Table1[[#This Row],[CREDIT]]</f>
        <v>20292.489999999991</v>
      </c>
      <c r="M243" s="36">
        <v>280000</v>
      </c>
      <c r="N243" s="26">
        <v>300292.49</v>
      </c>
      <c r="O243" s="38">
        <v>138612.13</v>
      </c>
      <c r="P243" s="25">
        <v>161680.35999999999</v>
      </c>
      <c r="Q243" s="25">
        <v>140463.5</v>
      </c>
      <c r="R243" s="10">
        <v>55840</v>
      </c>
      <c r="S243" s="39">
        <v>27980</v>
      </c>
      <c r="T243" s="10" t="s">
        <v>44</v>
      </c>
      <c r="U243" s="10" t="s">
        <v>45</v>
      </c>
      <c r="V243" s="10">
        <v>0</v>
      </c>
      <c r="W243" s="25">
        <f>Table1[[#This Row],[STAB]]-Table1[[#This Row],[AMOUNT]]</f>
        <v>27980</v>
      </c>
      <c r="X243" s="10">
        <v>0</v>
      </c>
      <c r="Y243" s="10" t="s">
        <v>79</v>
      </c>
      <c r="Z243" s="10">
        <v>0</v>
      </c>
      <c r="AA243" s="10" t="s">
        <v>113</v>
      </c>
      <c r="AB243" s="36" t="s">
        <v>132</v>
      </c>
      <c r="AC243" s="10"/>
      <c r="AD243" s="9" t="s">
        <v>808</v>
      </c>
      <c r="AE243" s="10" t="s">
        <v>825</v>
      </c>
      <c r="AF243" s="10" t="s">
        <v>687</v>
      </c>
      <c r="AG243" s="10" t="s">
        <v>53</v>
      </c>
      <c r="AH243" s="10" t="s">
        <v>83</v>
      </c>
      <c r="AI243" s="10" t="s">
        <v>728</v>
      </c>
      <c r="AJ243" s="10">
        <v>802349062</v>
      </c>
      <c r="AK243" s="10" t="s">
        <v>104</v>
      </c>
      <c r="AL243" s="10"/>
      <c r="AM243" s="10"/>
      <c r="AN243" s="11" t="s">
        <v>390</v>
      </c>
      <c r="AO243" s="10" t="s">
        <v>531</v>
      </c>
      <c r="AP243" s="10" t="s">
        <v>4588</v>
      </c>
      <c r="AQ243" s="10" t="s">
        <v>4566</v>
      </c>
      <c r="AR243" s="2">
        <v>45622</v>
      </c>
      <c r="AS243" s="10">
        <v>13780</v>
      </c>
      <c r="AT243" s="10" t="s">
        <v>47</v>
      </c>
      <c r="AU243" s="10" t="s">
        <v>834</v>
      </c>
      <c r="AV243" s="36" t="s">
        <v>845</v>
      </c>
      <c r="AW243" s="1">
        <v>46203</v>
      </c>
    </row>
    <row r="244" spans="1:49" x14ac:dyDescent="0.25">
      <c r="A244" s="9" t="s">
        <v>2035</v>
      </c>
      <c r="B244" s="10" t="s">
        <v>579</v>
      </c>
      <c r="C244" s="10">
        <v>0</v>
      </c>
      <c r="D244" s="10" t="s">
        <v>95</v>
      </c>
      <c r="E244" s="10">
        <v>1</v>
      </c>
      <c r="F244" s="10" t="s">
        <v>112</v>
      </c>
      <c r="G244" s="10" t="s">
        <v>4945</v>
      </c>
      <c r="H244" s="10" t="s">
        <v>52</v>
      </c>
      <c r="I244" s="10">
        <v>12</v>
      </c>
      <c r="J244" s="10" t="s">
        <v>609</v>
      </c>
      <c r="K244" s="10" t="s">
        <v>42</v>
      </c>
      <c r="L244" s="10">
        <f>Table1[[#This Row],[ENR]]-Table1[[#This Row],[CREDIT]]</f>
        <v>99390.18</v>
      </c>
      <c r="M244" s="36">
        <v>190000</v>
      </c>
      <c r="N244" s="26">
        <v>289390.18</v>
      </c>
      <c r="O244" s="38">
        <v>188418.79</v>
      </c>
      <c r="P244" s="25">
        <v>100971.39</v>
      </c>
      <c r="Q244" s="25">
        <v>86199.93</v>
      </c>
      <c r="R244" s="10">
        <v>49110</v>
      </c>
      <c r="S244" s="39">
        <v>22820</v>
      </c>
      <c r="T244" s="10" t="s">
        <v>44</v>
      </c>
      <c r="U244" s="10" t="s">
        <v>45</v>
      </c>
      <c r="V244" s="10">
        <v>0</v>
      </c>
      <c r="W244" s="25">
        <f>Table1[[#This Row],[STAB]]-Table1[[#This Row],[AMOUNT]]</f>
        <v>22820</v>
      </c>
      <c r="X244" s="10">
        <v>0</v>
      </c>
      <c r="Y244" s="10" t="s">
        <v>79</v>
      </c>
      <c r="Z244" s="10">
        <v>0</v>
      </c>
      <c r="AA244" s="10" t="s">
        <v>113</v>
      </c>
      <c r="AB244" s="36" t="s">
        <v>132</v>
      </c>
      <c r="AC244" s="10"/>
      <c r="AD244" s="9" t="s">
        <v>640</v>
      </c>
      <c r="AE244" s="10" t="s">
        <v>670</v>
      </c>
      <c r="AF244" s="10" t="s">
        <v>281</v>
      </c>
      <c r="AG244" s="10" t="s">
        <v>54</v>
      </c>
      <c r="AH244" s="10" t="s">
        <v>724</v>
      </c>
      <c r="AI244" s="10" t="s">
        <v>365</v>
      </c>
      <c r="AJ244" s="10">
        <v>802824019</v>
      </c>
      <c r="AK244" s="10" t="s">
        <v>360</v>
      </c>
      <c r="AL244" s="10"/>
      <c r="AM244" s="10"/>
      <c r="AN244" s="11" t="s">
        <v>46</v>
      </c>
      <c r="AO244" s="10"/>
      <c r="AP244" s="10"/>
      <c r="AQ244" s="10"/>
      <c r="AR244" s="2">
        <v>46116</v>
      </c>
      <c r="AS244" s="10">
        <v>42580</v>
      </c>
      <c r="AT244" s="10" t="s">
        <v>47</v>
      </c>
      <c r="AU244" s="10" t="s">
        <v>2622</v>
      </c>
      <c r="AV244" s="36" t="s">
        <v>2648</v>
      </c>
      <c r="AW244" s="1">
        <v>46203</v>
      </c>
    </row>
    <row r="245" spans="1:49" x14ac:dyDescent="0.25">
      <c r="A245" s="9" t="s">
        <v>1445</v>
      </c>
      <c r="B245" s="10" t="s">
        <v>1511</v>
      </c>
      <c r="C245" s="10">
        <v>0</v>
      </c>
      <c r="D245" s="10" t="s">
        <v>91</v>
      </c>
      <c r="E245" s="10"/>
      <c r="F245" s="10"/>
      <c r="G245" s="10"/>
      <c r="H245" s="10" t="s">
        <v>52</v>
      </c>
      <c r="I245" s="10">
        <v>12</v>
      </c>
      <c r="J245" s="10" t="s">
        <v>1575</v>
      </c>
      <c r="K245" s="10" t="s">
        <v>42</v>
      </c>
      <c r="L245" s="10">
        <f>Table1[[#This Row],[ENR]]-Table1[[#This Row],[CREDIT]]</f>
        <v>21511.380000000005</v>
      </c>
      <c r="M245" s="36">
        <v>260000</v>
      </c>
      <c r="N245" s="26">
        <v>281511.38</v>
      </c>
      <c r="O245" s="38" t="s">
        <v>43</v>
      </c>
      <c r="P245" s="25">
        <v>281511.38</v>
      </c>
      <c r="Q245" s="25">
        <v>259182</v>
      </c>
      <c r="R245" s="10">
        <v>82470</v>
      </c>
      <c r="S245" s="39">
        <v>58110</v>
      </c>
      <c r="T245" s="10" t="s">
        <v>57</v>
      </c>
      <c r="U245" s="10" t="s">
        <v>13</v>
      </c>
      <c r="V245" s="10">
        <v>82470</v>
      </c>
      <c r="W245" s="25">
        <f>Table1[[#This Row],[STAB]]-Table1[[#This Row],[AMOUNT]]</f>
        <v>-24360</v>
      </c>
      <c r="X245" s="10" t="s">
        <v>4566</v>
      </c>
      <c r="Y245" s="10" t="s">
        <v>402</v>
      </c>
      <c r="Z245" s="10" t="s">
        <v>403</v>
      </c>
      <c r="AA245" s="10" t="s">
        <v>113</v>
      </c>
      <c r="AB245" s="10" t="s">
        <v>133</v>
      </c>
      <c r="AC245" s="10"/>
      <c r="AD245" s="9" t="s">
        <v>1639</v>
      </c>
      <c r="AE245" s="10" t="s">
        <v>1702</v>
      </c>
      <c r="AF245" s="10" t="s">
        <v>146</v>
      </c>
      <c r="AG245" s="10" t="s">
        <v>54</v>
      </c>
      <c r="AH245" s="10" t="s">
        <v>1400</v>
      </c>
      <c r="AI245" s="10" t="s">
        <v>373</v>
      </c>
      <c r="AJ245" s="10">
        <v>801174030</v>
      </c>
      <c r="AK245" s="10" t="s">
        <v>359</v>
      </c>
      <c r="AL245" s="10"/>
      <c r="AM245" s="10"/>
      <c r="AN245" s="11" t="s">
        <v>390</v>
      </c>
      <c r="AO245" s="10"/>
      <c r="AP245" s="10"/>
      <c r="AQ245" s="10"/>
      <c r="AR245" s="2">
        <v>45448</v>
      </c>
      <c r="AS245" s="10">
        <v>22720</v>
      </c>
      <c r="AT245" s="10" t="s">
        <v>47</v>
      </c>
      <c r="AU245" s="10" t="s">
        <v>1741</v>
      </c>
      <c r="AV245" s="36" t="s">
        <v>1772</v>
      </c>
      <c r="AW245" s="1">
        <v>46203</v>
      </c>
    </row>
    <row r="246" spans="1:49" x14ac:dyDescent="0.25">
      <c r="A246" s="9" t="s">
        <v>1424</v>
      </c>
      <c r="B246" s="10" t="s">
        <v>1491</v>
      </c>
      <c r="C246" s="10">
        <v>0</v>
      </c>
      <c r="D246" s="10" t="s">
        <v>91</v>
      </c>
      <c r="E246" s="10"/>
      <c r="F246" s="10"/>
      <c r="G246" s="10"/>
      <c r="H246" s="10" t="s">
        <v>52</v>
      </c>
      <c r="I246" s="10">
        <v>12</v>
      </c>
      <c r="J246" s="10" t="s">
        <v>1555</v>
      </c>
      <c r="K246" s="10" t="s">
        <v>42</v>
      </c>
      <c r="L246" s="10">
        <f>Table1[[#This Row],[ENR]]-Table1[[#This Row],[CREDIT]]</f>
        <v>171129.71999999997</v>
      </c>
      <c r="M246" s="36">
        <v>110000</v>
      </c>
      <c r="N246" s="26">
        <v>281129.71999999997</v>
      </c>
      <c r="O246" s="38">
        <v>243792.45</v>
      </c>
      <c r="P246" s="25">
        <v>37337.269999999997</v>
      </c>
      <c r="Q246" s="25">
        <v>29100.69</v>
      </c>
      <c r="R246" s="10">
        <v>37337.269999999997</v>
      </c>
      <c r="S246" s="39">
        <v>17862.77</v>
      </c>
      <c r="T246" s="10" t="s">
        <v>57</v>
      </c>
      <c r="U246" s="10" t="s">
        <v>14</v>
      </c>
      <c r="V246" s="25">
        <v>17900</v>
      </c>
      <c r="W246" s="25">
        <f>Table1[[#This Row],[STAB]]-Table1[[#This Row],[AMOUNT]]</f>
        <v>-37.229999999999563</v>
      </c>
      <c r="X246" s="10" t="s">
        <v>4535</v>
      </c>
      <c r="Y246" s="10" t="s">
        <v>402</v>
      </c>
      <c r="Z246" s="10" t="s">
        <v>403</v>
      </c>
      <c r="AA246" s="10" t="s">
        <v>113</v>
      </c>
      <c r="AB246" s="36" t="s">
        <v>131</v>
      </c>
      <c r="AC246" s="10"/>
      <c r="AD246" s="9" t="s">
        <v>1619</v>
      </c>
      <c r="AE246" s="10" t="s">
        <v>1682</v>
      </c>
      <c r="AF246" s="10" t="s">
        <v>283</v>
      </c>
      <c r="AG246" s="10" t="s">
        <v>53</v>
      </c>
      <c r="AH246" s="10" t="s">
        <v>356</v>
      </c>
      <c r="AI246" s="10" t="s">
        <v>2962</v>
      </c>
      <c r="AJ246" s="10">
        <v>801601134</v>
      </c>
      <c r="AK246" s="10" t="s">
        <v>104</v>
      </c>
      <c r="AL246" s="10"/>
      <c r="AM246" s="10"/>
      <c r="AN246" s="11" t="s">
        <v>390</v>
      </c>
      <c r="AO246" s="10"/>
      <c r="AP246" s="10"/>
      <c r="AQ246" s="10"/>
      <c r="AR246" s="2">
        <v>45455</v>
      </c>
      <c r="AS246" s="10">
        <v>36708.68</v>
      </c>
      <c r="AT246" s="10" t="s">
        <v>47</v>
      </c>
      <c r="AU246" s="10" t="s">
        <v>1741</v>
      </c>
      <c r="AV246" s="36" t="s">
        <v>1751</v>
      </c>
      <c r="AW246" s="1">
        <v>46203</v>
      </c>
    </row>
    <row r="247" spans="1:49" x14ac:dyDescent="0.25">
      <c r="A247" s="9" t="s">
        <v>1468</v>
      </c>
      <c r="B247" s="10" t="s">
        <v>1532</v>
      </c>
      <c r="C247" s="10">
        <v>0</v>
      </c>
      <c r="D247" s="10" t="s">
        <v>91</v>
      </c>
      <c r="E247" s="10"/>
      <c r="F247" s="10"/>
      <c r="G247" s="10"/>
      <c r="H247" s="10" t="s">
        <v>52</v>
      </c>
      <c r="I247" s="10">
        <v>12</v>
      </c>
      <c r="J247" s="10" t="s">
        <v>1596</v>
      </c>
      <c r="K247" s="10" t="s">
        <v>42</v>
      </c>
      <c r="L247" s="10">
        <f>Table1[[#This Row],[ENR]]-Table1[[#This Row],[CREDIT]]</f>
        <v>-32023.330000000016</v>
      </c>
      <c r="M247" s="36">
        <v>310000</v>
      </c>
      <c r="N247" s="26">
        <v>277976.67</v>
      </c>
      <c r="O247" s="38" t="s">
        <v>43</v>
      </c>
      <c r="P247" s="25">
        <v>277976.67</v>
      </c>
      <c r="Q247" s="25">
        <v>254836.41</v>
      </c>
      <c r="R247" s="10">
        <v>50640</v>
      </c>
      <c r="S247" s="39">
        <v>24965.39</v>
      </c>
      <c r="T247" s="10" t="s">
        <v>44</v>
      </c>
      <c r="U247" s="10" t="s">
        <v>45</v>
      </c>
      <c r="V247" s="10">
        <v>0</v>
      </c>
      <c r="W247" s="25">
        <f>Table1[[#This Row],[STAB]]-Table1[[#This Row],[AMOUNT]]</f>
        <v>24965.39</v>
      </c>
      <c r="X247" s="10">
        <v>0</v>
      </c>
      <c r="Y247" s="10" t="s">
        <v>79</v>
      </c>
      <c r="Z247" s="10">
        <v>0</v>
      </c>
      <c r="AA247" s="10" t="s">
        <v>113</v>
      </c>
      <c r="AB247" s="36" t="s">
        <v>375</v>
      </c>
      <c r="AC247" s="10"/>
      <c r="AD247" s="9" t="s">
        <v>1660</v>
      </c>
      <c r="AE247" s="10" t="s">
        <v>1723</v>
      </c>
      <c r="AF247" s="10" t="s">
        <v>282</v>
      </c>
      <c r="AG247" s="10" t="s">
        <v>54</v>
      </c>
      <c r="AH247" s="10" t="s">
        <v>1398</v>
      </c>
      <c r="AI247" s="10" t="s">
        <v>162</v>
      </c>
      <c r="AJ247" s="10">
        <v>801772794</v>
      </c>
      <c r="AK247" s="10" t="s">
        <v>361</v>
      </c>
      <c r="AL247" s="10"/>
      <c r="AM247" s="10"/>
      <c r="AN247" s="11" t="s">
        <v>46</v>
      </c>
      <c r="AO247" s="10"/>
      <c r="AP247" s="10"/>
      <c r="AQ247" s="10"/>
      <c r="AR247" s="2">
        <v>46181</v>
      </c>
      <c r="AS247" s="10">
        <v>369.61</v>
      </c>
      <c r="AT247" s="10" t="s">
        <v>47</v>
      </c>
      <c r="AU247" s="10" t="s">
        <v>1741</v>
      </c>
      <c r="AV247" s="36" t="s">
        <v>1795</v>
      </c>
      <c r="AW247" s="1">
        <v>46203</v>
      </c>
    </row>
    <row r="248" spans="1:49" x14ac:dyDescent="0.25">
      <c r="A248" s="9" t="s">
        <v>1422</v>
      </c>
      <c r="B248" s="10" t="s">
        <v>1489</v>
      </c>
      <c r="C248" s="10">
        <v>0</v>
      </c>
      <c r="D248" s="10" t="s">
        <v>91</v>
      </c>
      <c r="E248" s="10"/>
      <c r="F248" s="10"/>
      <c r="G248" s="10"/>
      <c r="H248" s="10" t="s">
        <v>52</v>
      </c>
      <c r="I248" s="10">
        <v>12</v>
      </c>
      <c r="J248" s="10" t="s">
        <v>1553</v>
      </c>
      <c r="K248" s="10" t="s">
        <v>42</v>
      </c>
      <c r="L248" s="10">
        <f>Table1[[#This Row],[ENR]]-Table1[[#This Row],[CREDIT]]</f>
        <v>17417.130000000005</v>
      </c>
      <c r="M248" s="36">
        <v>260000</v>
      </c>
      <c r="N248" s="26">
        <v>277417.13</v>
      </c>
      <c r="O248" s="38" t="s">
        <v>43</v>
      </c>
      <c r="P248" s="25">
        <v>277417.13</v>
      </c>
      <c r="Q248" s="25">
        <v>252194.63</v>
      </c>
      <c r="R248" s="10">
        <v>59900</v>
      </c>
      <c r="S248" s="39">
        <v>28013.39</v>
      </c>
      <c r="T248" s="10" t="s">
        <v>44</v>
      </c>
      <c r="U248" s="10" t="s">
        <v>45</v>
      </c>
      <c r="V248" s="10">
        <v>0</v>
      </c>
      <c r="W248" s="25">
        <f>Table1[[#This Row],[STAB]]-Table1[[#This Row],[AMOUNT]]</f>
        <v>28013.39</v>
      </c>
      <c r="X248" s="10">
        <v>0</v>
      </c>
      <c r="Y248" s="10" t="s">
        <v>79</v>
      </c>
      <c r="Z248" s="10">
        <v>0</v>
      </c>
      <c r="AA248" s="10" t="s">
        <v>113</v>
      </c>
      <c r="AB248" s="41" t="s">
        <v>376</v>
      </c>
      <c r="AC248" s="10"/>
      <c r="AD248" s="9" t="s">
        <v>1617</v>
      </c>
      <c r="AE248" s="10" t="s">
        <v>1680</v>
      </c>
      <c r="AF248" s="10" t="s">
        <v>281</v>
      </c>
      <c r="AG248" s="10" t="s">
        <v>54</v>
      </c>
      <c r="AH248" s="10" t="s">
        <v>58</v>
      </c>
      <c r="AI248" s="10" t="s">
        <v>133</v>
      </c>
      <c r="AJ248" s="10">
        <v>802555024</v>
      </c>
      <c r="AK248" s="10" t="s">
        <v>362</v>
      </c>
      <c r="AL248" s="10"/>
      <c r="AM248" s="10"/>
      <c r="AN248" s="11" t="s">
        <v>390</v>
      </c>
      <c r="AO248" s="10" t="s">
        <v>392</v>
      </c>
      <c r="AP248" s="10" t="s">
        <v>4533</v>
      </c>
      <c r="AQ248" s="10" t="s">
        <v>4530</v>
      </c>
      <c r="AR248" s="2">
        <v>45470</v>
      </c>
      <c r="AS248" s="10">
        <v>10386</v>
      </c>
      <c r="AT248" s="10" t="s">
        <v>47</v>
      </c>
      <c r="AU248" s="10" t="s">
        <v>1741</v>
      </c>
      <c r="AV248" s="36" t="s">
        <v>1749</v>
      </c>
      <c r="AW248" s="1">
        <v>46203</v>
      </c>
    </row>
    <row r="249" spans="1:49" x14ac:dyDescent="0.25">
      <c r="A249" s="9" t="s">
        <v>1432</v>
      </c>
      <c r="B249" s="10" t="s">
        <v>1499</v>
      </c>
      <c r="C249" s="10">
        <v>0</v>
      </c>
      <c r="D249" s="10" t="s">
        <v>91</v>
      </c>
      <c r="E249" s="10"/>
      <c r="F249" s="10"/>
      <c r="G249" s="10"/>
      <c r="H249" s="10" t="s">
        <v>52</v>
      </c>
      <c r="I249" s="10">
        <v>12</v>
      </c>
      <c r="J249" s="10" t="s">
        <v>1563</v>
      </c>
      <c r="K249" s="10" t="s">
        <v>42</v>
      </c>
      <c r="L249" s="10">
        <f>Table1[[#This Row],[ENR]]-Table1[[#This Row],[CREDIT]]</f>
        <v>-76474.109999999986</v>
      </c>
      <c r="M249" s="36">
        <v>350000</v>
      </c>
      <c r="N249" s="26">
        <v>273525.89</v>
      </c>
      <c r="O249" s="38">
        <v>29059.61</v>
      </c>
      <c r="P249" s="25">
        <v>244466.28</v>
      </c>
      <c r="Q249" s="25">
        <v>217413.74</v>
      </c>
      <c r="R249" s="10">
        <v>70260</v>
      </c>
      <c r="S249" s="39">
        <v>39230</v>
      </c>
      <c r="T249" s="10" t="s">
        <v>44</v>
      </c>
      <c r="U249" s="10" t="s">
        <v>45</v>
      </c>
      <c r="V249" s="10">
        <v>0</v>
      </c>
      <c r="W249" s="25">
        <f>Table1[[#This Row],[STAB]]-Table1[[#This Row],[AMOUNT]]</f>
        <v>39230</v>
      </c>
      <c r="X249" s="10">
        <v>0</v>
      </c>
      <c r="Y249" s="10" t="s">
        <v>79</v>
      </c>
      <c r="Z249" s="10">
        <v>0</v>
      </c>
      <c r="AA249" s="10" t="s">
        <v>113</v>
      </c>
      <c r="AB249" s="41" t="s">
        <v>376</v>
      </c>
      <c r="AC249" s="10"/>
      <c r="AD249" s="9" t="s">
        <v>1627</v>
      </c>
      <c r="AE249" s="10" t="s">
        <v>1690</v>
      </c>
      <c r="AF249" s="10" t="s">
        <v>281</v>
      </c>
      <c r="AG249" s="10" t="s">
        <v>54</v>
      </c>
      <c r="AH249" s="10" t="s">
        <v>58</v>
      </c>
      <c r="AI249" s="10" t="s">
        <v>133</v>
      </c>
      <c r="AJ249" s="10">
        <v>802555024</v>
      </c>
      <c r="AK249" s="10" t="s">
        <v>362</v>
      </c>
      <c r="AL249" s="10"/>
      <c r="AM249" s="10"/>
      <c r="AN249" s="11" t="s">
        <v>390</v>
      </c>
      <c r="AO249" s="10" t="s">
        <v>531</v>
      </c>
      <c r="AP249" s="10" t="s">
        <v>4583</v>
      </c>
      <c r="AQ249" s="10" t="s">
        <v>4566</v>
      </c>
      <c r="AR249" s="2">
        <v>46127</v>
      </c>
      <c r="AS249" s="10">
        <v>94590</v>
      </c>
      <c r="AT249" s="10" t="s">
        <v>47</v>
      </c>
      <c r="AU249" s="10" t="s">
        <v>1741</v>
      </c>
      <c r="AV249" s="36" t="s">
        <v>1759</v>
      </c>
      <c r="AW249" s="1">
        <v>46203</v>
      </c>
    </row>
    <row r="250" spans="1:49" x14ac:dyDescent="0.25">
      <c r="A250" s="40" t="s">
        <v>1425</v>
      </c>
      <c r="B250" s="11" t="s">
        <v>1492</v>
      </c>
      <c r="C250" s="10">
        <v>0</v>
      </c>
      <c r="D250" s="10" t="s">
        <v>91</v>
      </c>
      <c r="E250" s="11"/>
      <c r="F250" s="11"/>
      <c r="G250" s="11"/>
      <c r="H250" s="10" t="s">
        <v>52</v>
      </c>
      <c r="I250" s="11">
        <v>12</v>
      </c>
      <c r="J250" s="11" t="s">
        <v>1556</v>
      </c>
      <c r="K250" s="11" t="s">
        <v>42</v>
      </c>
      <c r="L250" s="11">
        <f>Table1[[#This Row],[ENR]]-Table1[[#This Row],[CREDIT]]</f>
        <v>-27485.799999999988</v>
      </c>
      <c r="M250" s="41">
        <v>300000</v>
      </c>
      <c r="N250" s="42">
        <v>272514.2</v>
      </c>
      <c r="O250" s="43" t="s">
        <v>43</v>
      </c>
      <c r="P250" s="44">
        <v>272514.2</v>
      </c>
      <c r="Q250" s="44">
        <v>247252.63</v>
      </c>
      <c r="R250" s="11">
        <v>41090</v>
      </c>
      <c r="S250" s="45">
        <v>15824.98</v>
      </c>
      <c r="T250" s="10" t="s">
        <v>57</v>
      </c>
      <c r="U250" s="10" t="s">
        <v>13</v>
      </c>
      <c r="V250" s="10">
        <v>272514.2</v>
      </c>
      <c r="W250" s="44">
        <f>Table1[[#This Row],[STAB]]-Table1[[#This Row],[AMOUNT]]</f>
        <v>-256689.22</v>
      </c>
      <c r="X250" s="10" t="s">
        <v>2004</v>
      </c>
      <c r="Y250" s="10" t="s">
        <v>402</v>
      </c>
      <c r="Z250" s="10" t="s">
        <v>962</v>
      </c>
      <c r="AA250" s="10" t="s">
        <v>113</v>
      </c>
      <c r="AB250" s="36" t="s">
        <v>375</v>
      </c>
      <c r="AC250" s="11"/>
      <c r="AD250" s="9" t="s">
        <v>1620</v>
      </c>
      <c r="AE250" s="11" t="s">
        <v>1683</v>
      </c>
      <c r="AF250" s="11" t="s">
        <v>686</v>
      </c>
      <c r="AG250" s="11" t="s">
        <v>324</v>
      </c>
      <c r="AH250" s="10" t="s">
        <v>1361</v>
      </c>
      <c r="AI250" s="10" t="s">
        <v>1404</v>
      </c>
      <c r="AJ250" s="11">
        <v>802852449</v>
      </c>
      <c r="AK250" s="11" t="s">
        <v>104</v>
      </c>
      <c r="AL250" s="11"/>
      <c r="AM250" s="11"/>
      <c r="AN250" s="11" t="s">
        <v>390</v>
      </c>
      <c r="AO250" s="11" t="s">
        <v>398</v>
      </c>
      <c r="AP250" s="11" t="s">
        <v>1985</v>
      </c>
      <c r="AQ250" s="11" t="s">
        <v>1961</v>
      </c>
      <c r="AR250" s="46">
        <v>45592</v>
      </c>
      <c r="AS250" s="11">
        <v>50150</v>
      </c>
      <c r="AT250" s="11" t="s">
        <v>47</v>
      </c>
      <c r="AU250" s="10" t="s">
        <v>1741</v>
      </c>
      <c r="AV250" s="41" t="s">
        <v>1752</v>
      </c>
      <c r="AW250" s="47">
        <v>46203</v>
      </c>
    </row>
    <row r="251" spans="1:49" x14ac:dyDescent="0.25">
      <c r="A251" s="9" t="s">
        <v>2094</v>
      </c>
      <c r="B251" s="10" t="s">
        <v>2218</v>
      </c>
      <c r="C251" s="10">
        <v>0</v>
      </c>
      <c r="D251" s="10" t="s">
        <v>91</v>
      </c>
      <c r="E251" s="10"/>
      <c r="F251" s="10"/>
      <c r="G251" s="10"/>
      <c r="H251" s="10" t="s">
        <v>52</v>
      </c>
      <c r="I251" s="10">
        <v>12</v>
      </c>
      <c r="J251" s="10" t="s">
        <v>2340</v>
      </c>
      <c r="K251" s="10" t="s">
        <v>42</v>
      </c>
      <c r="L251" s="10">
        <f>Table1[[#This Row],[ENR]]-Table1[[#This Row],[CREDIT]]</f>
        <v>-28793.630000000005</v>
      </c>
      <c r="M251" s="36">
        <v>300000</v>
      </c>
      <c r="N251" s="26">
        <v>271206.37</v>
      </c>
      <c r="O251" s="38">
        <v>217499.48</v>
      </c>
      <c r="P251" s="25">
        <v>53706.89</v>
      </c>
      <c r="Q251" s="25">
        <v>41261.120000000003</v>
      </c>
      <c r="R251" s="10">
        <v>52170</v>
      </c>
      <c r="S251" s="39">
        <v>27830</v>
      </c>
      <c r="T251" s="10" t="s">
        <v>44</v>
      </c>
      <c r="U251" s="10" t="s">
        <v>45</v>
      </c>
      <c r="V251" s="10">
        <v>0</v>
      </c>
      <c r="W251" s="25">
        <f>Table1[[#This Row],[STAB]]-Table1[[#This Row],[AMOUNT]]</f>
        <v>27830</v>
      </c>
      <c r="X251" s="10">
        <v>0</v>
      </c>
      <c r="Y251" s="10" t="s">
        <v>79</v>
      </c>
      <c r="Z251" s="10">
        <v>0</v>
      </c>
      <c r="AA251" s="10" t="s">
        <v>113</v>
      </c>
      <c r="AB251" s="10" t="s">
        <v>133</v>
      </c>
      <c r="AC251" s="10"/>
      <c r="AD251" s="9" t="s">
        <v>2463</v>
      </c>
      <c r="AE251" s="10" t="s">
        <v>2584</v>
      </c>
      <c r="AF251" s="10" t="s">
        <v>276</v>
      </c>
      <c r="AG251" s="10" t="s">
        <v>324</v>
      </c>
      <c r="AH251" s="10" t="s">
        <v>354</v>
      </c>
      <c r="AI251" s="10" t="s">
        <v>367</v>
      </c>
      <c r="AJ251" s="10">
        <v>801436997</v>
      </c>
      <c r="AK251" s="10" t="s">
        <v>104</v>
      </c>
      <c r="AL251" s="10"/>
      <c r="AM251" s="10"/>
      <c r="AN251" s="11" t="s">
        <v>390</v>
      </c>
      <c r="AO251" s="10" t="s">
        <v>392</v>
      </c>
      <c r="AP251" s="10" t="s">
        <v>4645</v>
      </c>
      <c r="AQ251" s="10" t="s">
        <v>4601</v>
      </c>
      <c r="AR251" s="2" t="s">
        <v>43</v>
      </c>
      <c r="AS251" s="10">
        <v>0</v>
      </c>
      <c r="AT251" s="10" t="s">
        <v>47</v>
      </c>
      <c r="AU251" s="10" t="s">
        <v>2622</v>
      </c>
      <c r="AV251" s="36" t="s">
        <v>2707</v>
      </c>
      <c r="AW251" s="1">
        <v>46203</v>
      </c>
    </row>
    <row r="252" spans="1:49" x14ac:dyDescent="0.25">
      <c r="A252" s="9" t="s">
        <v>2034</v>
      </c>
      <c r="B252" s="10" t="s">
        <v>2160</v>
      </c>
      <c r="C252" s="10">
        <v>0</v>
      </c>
      <c r="D252" s="10" t="s">
        <v>91</v>
      </c>
      <c r="E252" s="10"/>
      <c r="F252" s="10"/>
      <c r="G252" s="10"/>
      <c r="H252" s="10" t="s">
        <v>52</v>
      </c>
      <c r="I252" s="10">
        <v>12</v>
      </c>
      <c r="J252" s="10" t="s">
        <v>2283</v>
      </c>
      <c r="K252" s="10" t="s">
        <v>42</v>
      </c>
      <c r="L252" s="10">
        <f>Table1[[#This Row],[ENR]]-Table1[[#This Row],[CREDIT]]</f>
        <v>116664.21000000002</v>
      </c>
      <c r="M252" s="36">
        <v>150000</v>
      </c>
      <c r="N252" s="26">
        <v>266664.21000000002</v>
      </c>
      <c r="O252" s="38">
        <v>222842.29</v>
      </c>
      <c r="P252" s="25">
        <v>43821.919999999998</v>
      </c>
      <c r="Q252" s="25">
        <v>29820.85</v>
      </c>
      <c r="R252" s="10">
        <v>43821.919999999998</v>
      </c>
      <c r="S252" s="39">
        <v>20580.64</v>
      </c>
      <c r="T252" s="10" t="s">
        <v>57</v>
      </c>
      <c r="U252" s="10" t="s">
        <v>13</v>
      </c>
      <c r="V252" s="10">
        <v>43821.919999999998</v>
      </c>
      <c r="W252" s="25">
        <f>Table1[[#This Row],[STAB]]-Table1[[#This Row],[AMOUNT]]</f>
        <v>-23241.279999999999</v>
      </c>
      <c r="X252" s="10" t="s">
        <v>4535</v>
      </c>
      <c r="Y252" s="10" t="s">
        <v>402</v>
      </c>
      <c r="Z252" s="10" t="s">
        <v>403</v>
      </c>
      <c r="AA252" s="10" t="s">
        <v>113</v>
      </c>
      <c r="AB252" s="36" t="s">
        <v>375</v>
      </c>
      <c r="AC252" s="10"/>
      <c r="AD252" s="9" t="s">
        <v>2405</v>
      </c>
      <c r="AE252" s="10" t="s">
        <v>2526</v>
      </c>
      <c r="AF252" s="10" t="s">
        <v>1319</v>
      </c>
      <c r="AG252" s="10" t="s">
        <v>54</v>
      </c>
      <c r="AH252" s="10" t="s">
        <v>93</v>
      </c>
      <c r="AI252" s="10" t="s">
        <v>364</v>
      </c>
      <c r="AJ252" s="10">
        <v>802663344</v>
      </c>
      <c r="AK252" s="10" t="s">
        <v>105</v>
      </c>
      <c r="AL252" s="10"/>
      <c r="AM252" s="10"/>
      <c r="AN252" s="11" t="s">
        <v>390</v>
      </c>
      <c r="AO252" s="10"/>
      <c r="AP252" s="10"/>
      <c r="AQ252" s="10"/>
      <c r="AR252" s="2">
        <v>45534</v>
      </c>
      <c r="AS252" s="10">
        <v>75126.5</v>
      </c>
      <c r="AT252" s="10" t="s">
        <v>47</v>
      </c>
      <c r="AU252" s="10" t="s">
        <v>2622</v>
      </c>
      <c r="AV252" s="36" t="s">
        <v>2647</v>
      </c>
      <c r="AW252" s="1">
        <v>46203</v>
      </c>
    </row>
    <row r="253" spans="1:49" x14ac:dyDescent="0.25">
      <c r="A253" s="9" t="s">
        <v>1447</v>
      </c>
      <c r="B253" s="10" t="s">
        <v>1513</v>
      </c>
      <c r="C253" s="10">
        <v>0</v>
      </c>
      <c r="D253" s="10" t="s">
        <v>91</v>
      </c>
      <c r="E253" s="10"/>
      <c r="F253" s="10"/>
      <c r="G253" s="10"/>
      <c r="H253" s="10" t="s">
        <v>52</v>
      </c>
      <c r="I253" s="10">
        <v>12</v>
      </c>
      <c r="J253" s="10" t="s">
        <v>1577</v>
      </c>
      <c r="K253" s="10" t="s">
        <v>42</v>
      </c>
      <c r="L253" s="10">
        <f>Table1[[#This Row],[ENR]]-Table1[[#This Row],[CREDIT]]</f>
        <v>-24740.830000000016</v>
      </c>
      <c r="M253" s="36">
        <v>290000</v>
      </c>
      <c r="N253" s="26">
        <v>265259.17</v>
      </c>
      <c r="O253" s="38" t="s">
        <v>43</v>
      </c>
      <c r="P253" s="25">
        <v>265259.17</v>
      </c>
      <c r="Q253" s="25">
        <v>247119</v>
      </c>
      <c r="R253" s="10">
        <v>53400</v>
      </c>
      <c r="S253" s="39">
        <v>28960</v>
      </c>
      <c r="T253" s="10" t="s">
        <v>57</v>
      </c>
      <c r="U253" s="10" t="s">
        <v>13</v>
      </c>
      <c r="V253" s="10">
        <v>265259.17</v>
      </c>
      <c r="W253" s="25">
        <f>Table1[[#This Row],[STAB]]-Table1[[#This Row],[AMOUNT]]</f>
        <v>-236299.16999999998</v>
      </c>
      <c r="X253" s="10" t="s">
        <v>4530</v>
      </c>
      <c r="Y253" s="10" t="s">
        <v>402</v>
      </c>
      <c r="Z253" s="10" t="s">
        <v>403</v>
      </c>
      <c r="AA253" s="10" t="s">
        <v>113</v>
      </c>
      <c r="AB253" s="36" t="s">
        <v>374</v>
      </c>
      <c r="AC253" s="10"/>
      <c r="AD253" s="9" t="s">
        <v>1641</v>
      </c>
      <c r="AE253" s="10" t="s">
        <v>1704</v>
      </c>
      <c r="AF253" s="10" t="s">
        <v>285</v>
      </c>
      <c r="AG253" s="10" t="s">
        <v>54</v>
      </c>
      <c r="AH253" s="10" t="s">
        <v>98</v>
      </c>
      <c r="AI253" s="10" t="s">
        <v>727</v>
      </c>
      <c r="AJ253" s="10">
        <v>802898520</v>
      </c>
      <c r="AK253" s="10" t="s">
        <v>104</v>
      </c>
      <c r="AL253" s="10"/>
      <c r="AM253" s="10"/>
      <c r="AN253" s="11" t="s">
        <v>390</v>
      </c>
      <c r="AO253" s="10" t="s">
        <v>398</v>
      </c>
      <c r="AP253" s="10" t="s">
        <v>2008</v>
      </c>
      <c r="AQ253" s="10" t="s">
        <v>2004</v>
      </c>
      <c r="AR253" s="2">
        <v>45749</v>
      </c>
      <c r="AS253" s="10">
        <v>42000</v>
      </c>
      <c r="AT253" s="10" t="s">
        <v>47</v>
      </c>
      <c r="AU253" s="10" t="s">
        <v>1741</v>
      </c>
      <c r="AV253" s="36" t="s">
        <v>1774</v>
      </c>
      <c r="AW253" s="1">
        <v>46203</v>
      </c>
    </row>
    <row r="254" spans="1:49" x14ac:dyDescent="0.25">
      <c r="A254" s="9" t="s">
        <v>1449</v>
      </c>
      <c r="B254" s="10" t="s">
        <v>1515</v>
      </c>
      <c r="C254" s="10">
        <v>0</v>
      </c>
      <c r="D254" s="10" t="s">
        <v>91</v>
      </c>
      <c r="E254" s="10"/>
      <c r="F254" s="10"/>
      <c r="G254" s="10"/>
      <c r="H254" s="10" t="s">
        <v>52</v>
      </c>
      <c r="I254" s="10">
        <v>12</v>
      </c>
      <c r="J254" s="10" t="s">
        <v>1579</v>
      </c>
      <c r="K254" s="10" t="s">
        <v>42</v>
      </c>
      <c r="L254" s="10">
        <f>Table1[[#This Row],[ENR]]-Table1[[#This Row],[CREDIT]]</f>
        <v>-36895.880000000005</v>
      </c>
      <c r="M254" s="36">
        <v>300000</v>
      </c>
      <c r="N254" s="26">
        <v>263104.12</v>
      </c>
      <c r="O254" s="38" t="s">
        <v>43</v>
      </c>
      <c r="P254" s="25">
        <v>263104.12</v>
      </c>
      <c r="Q254" s="25">
        <v>240102.18</v>
      </c>
      <c r="R254" s="10">
        <v>38130</v>
      </c>
      <c r="S254" s="39">
        <v>13560</v>
      </c>
      <c r="T254" s="10" t="s">
        <v>57</v>
      </c>
      <c r="U254" s="10" t="s">
        <v>13</v>
      </c>
      <c r="V254" s="10">
        <v>40000</v>
      </c>
      <c r="W254" s="25">
        <f>Table1[[#This Row],[STAB]]-Table1[[#This Row],[AMOUNT]]</f>
        <v>-26440</v>
      </c>
      <c r="X254" s="10" t="s">
        <v>4591</v>
      </c>
      <c r="Y254" s="10" t="s">
        <v>402</v>
      </c>
      <c r="Z254" s="10" t="s">
        <v>403</v>
      </c>
      <c r="AA254" s="10" t="s">
        <v>113</v>
      </c>
      <c r="AB254" s="10" t="s">
        <v>133</v>
      </c>
      <c r="AC254" s="10"/>
      <c r="AD254" s="9" t="s">
        <v>1643</v>
      </c>
      <c r="AE254" s="10" t="s">
        <v>1706</v>
      </c>
      <c r="AF254" s="10" t="s">
        <v>281</v>
      </c>
      <c r="AG254" s="10" t="s">
        <v>54</v>
      </c>
      <c r="AH254" s="10" t="s">
        <v>724</v>
      </c>
      <c r="AI254" s="10" t="s">
        <v>365</v>
      </c>
      <c r="AJ254" s="10">
        <v>802824019</v>
      </c>
      <c r="AK254" s="10" t="s">
        <v>360</v>
      </c>
      <c r="AL254" s="10"/>
      <c r="AM254" s="10"/>
      <c r="AN254" s="11" t="s">
        <v>390</v>
      </c>
      <c r="AO254" s="10"/>
      <c r="AP254" s="10"/>
      <c r="AQ254" s="10"/>
      <c r="AR254" s="2">
        <v>45904</v>
      </c>
      <c r="AS254" s="10">
        <v>51000</v>
      </c>
      <c r="AT254" s="10" t="s">
        <v>47</v>
      </c>
      <c r="AU254" s="10" t="s">
        <v>1741</v>
      </c>
      <c r="AV254" s="36" t="s">
        <v>1776</v>
      </c>
      <c r="AW254" s="1">
        <v>46203</v>
      </c>
    </row>
    <row r="255" spans="1:49" x14ac:dyDescent="0.25">
      <c r="A255" s="9" t="s">
        <v>1439</v>
      </c>
      <c r="B255" s="10" t="s">
        <v>1505</v>
      </c>
      <c r="C255" s="10">
        <v>0</v>
      </c>
      <c r="D255" s="10" t="s">
        <v>91</v>
      </c>
      <c r="E255" s="10"/>
      <c r="F255" s="10"/>
      <c r="G255" s="10"/>
      <c r="H255" s="10" t="s">
        <v>52</v>
      </c>
      <c r="I255" s="10">
        <v>12</v>
      </c>
      <c r="J255" s="10" t="s">
        <v>1569</v>
      </c>
      <c r="K255" s="10" t="s">
        <v>42</v>
      </c>
      <c r="L255" s="10">
        <f>Table1[[#This Row],[ENR]]-Table1[[#This Row],[CREDIT]]</f>
        <v>15276.959999999992</v>
      </c>
      <c r="M255" s="36">
        <v>240000</v>
      </c>
      <c r="N255" s="26">
        <v>255276.96</v>
      </c>
      <c r="O255" s="38">
        <v>15360.23</v>
      </c>
      <c r="P255" s="25">
        <v>239916.73</v>
      </c>
      <c r="Q255" s="25">
        <v>223983.51</v>
      </c>
      <c r="R255" s="10">
        <v>52440</v>
      </c>
      <c r="S255" s="39">
        <v>28310</v>
      </c>
      <c r="T255" s="10" t="s">
        <v>57</v>
      </c>
      <c r="U255" s="10" t="s">
        <v>13</v>
      </c>
      <c r="V255" s="10">
        <v>239916.73</v>
      </c>
      <c r="W255" s="25">
        <f>Table1[[#This Row],[STAB]]-Table1[[#This Row],[AMOUNT]]</f>
        <v>-211606.73</v>
      </c>
      <c r="X255" s="10" t="s">
        <v>4936</v>
      </c>
      <c r="Y255" s="10" t="s">
        <v>402</v>
      </c>
      <c r="Z255" s="10" t="s">
        <v>403</v>
      </c>
      <c r="AA255" s="10" t="s">
        <v>113</v>
      </c>
      <c r="AB255" s="41" t="s">
        <v>376</v>
      </c>
      <c r="AC255" s="10"/>
      <c r="AD255" s="9" t="s">
        <v>1633</v>
      </c>
      <c r="AE255" s="10" t="s">
        <v>1696</v>
      </c>
      <c r="AF255" s="10" t="s">
        <v>276</v>
      </c>
      <c r="AG255" s="10" t="s">
        <v>324</v>
      </c>
      <c r="AH255" s="10" t="s">
        <v>354</v>
      </c>
      <c r="AI255" s="10" t="s">
        <v>367</v>
      </c>
      <c r="AJ255" s="10">
        <v>801436997</v>
      </c>
      <c r="AK255" s="10" t="s">
        <v>104</v>
      </c>
      <c r="AL255" s="10"/>
      <c r="AM255" s="10"/>
      <c r="AN255" s="11" t="s">
        <v>390</v>
      </c>
      <c r="AO255" s="10" t="s">
        <v>394</v>
      </c>
      <c r="AP255" s="10" t="s">
        <v>4572</v>
      </c>
      <c r="AQ255" s="10" t="s">
        <v>4566</v>
      </c>
      <c r="AR255" s="2">
        <v>45484</v>
      </c>
      <c r="AS255" s="10">
        <v>11700</v>
      </c>
      <c r="AT255" s="10" t="s">
        <v>47</v>
      </c>
      <c r="AU255" s="10" t="s">
        <v>1741</v>
      </c>
      <c r="AV255" s="36" t="s">
        <v>1766</v>
      </c>
      <c r="AW255" s="1">
        <v>46203</v>
      </c>
    </row>
    <row r="256" spans="1:49" x14ac:dyDescent="0.25">
      <c r="A256" s="9" t="s">
        <v>1471</v>
      </c>
      <c r="B256" s="10" t="s">
        <v>1535</v>
      </c>
      <c r="C256" s="10">
        <v>0</v>
      </c>
      <c r="D256" s="10" t="s">
        <v>91</v>
      </c>
      <c r="E256" s="10"/>
      <c r="F256" s="10"/>
      <c r="G256" s="10"/>
      <c r="H256" s="10" t="s">
        <v>52</v>
      </c>
      <c r="I256" s="10">
        <v>12</v>
      </c>
      <c r="J256" s="10" t="s">
        <v>1599</v>
      </c>
      <c r="K256" s="10" t="s">
        <v>42</v>
      </c>
      <c r="L256" s="10">
        <f>Table1[[#This Row],[ENR]]-Table1[[#This Row],[CREDIT]]</f>
        <v>14994.589999999997</v>
      </c>
      <c r="M256" s="36">
        <v>240000</v>
      </c>
      <c r="N256" s="26">
        <v>254994.59</v>
      </c>
      <c r="O256" s="38" t="s">
        <v>43</v>
      </c>
      <c r="P256" s="25">
        <v>254994.59</v>
      </c>
      <c r="Q256" s="25">
        <v>228507.4</v>
      </c>
      <c r="R256" s="10">
        <v>53200</v>
      </c>
      <c r="S256" s="39">
        <v>29170</v>
      </c>
      <c r="T256" s="10" t="s">
        <v>44</v>
      </c>
      <c r="U256" s="10" t="s">
        <v>45</v>
      </c>
      <c r="V256" s="10">
        <v>0</v>
      </c>
      <c r="W256" s="25">
        <f>Table1[[#This Row],[STAB]]-Table1[[#This Row],[AMOUNT]]</f>
        <v>29170</v>
      </c>
      <c r="X256" s="10">
        <v>0</v>
      </c>
      <c r="Y256" s="10" t="s">
        <v>79</v>
      </c>
      <c r="Z256" s="10">
        <v>0</v>
      </c>
      <c r="AA256" s="10" t="s">
        <v>113</v>
      </c>
      <c r="AB256" s="36" t="s">
        <v>374</v>
      </c>
      <c r="AC256" s="10"/>
      <c r="AD256" s="9" t="s">
        <v>1663</v>
      </c>
      <c r="AE256" s="10" t="s">
        <v>1726</v>
      </c>
      <c r="AF256" s="10" t="s">
        <v>85</v>
      </c>
      <c r="AG256" s="10" t="s">
        <v>54</v>
      </c>
      <c r="AH256" s="10" t="s">
        <v>89</v>
      </c>
      <c r="AI256" s="10" t="s">
        <v>106</v>
      </c>
      <c r="AJ256" s="10">
        <v>802370852</v>
      </c>
      <c r="AK256" s="10" t="s">
        <v>105</v>
      </c>
      <c r="AL256" s="10"/>
      <c r="AM256" s="10"/>
      <c r="AN256" s="11" t="s">
        <v>390</v>
      </c>
      <c r="AO256" s="10" t="s">
        <v>531</v>
      </c>
      <c r="AP256" s="10" t="s">
        <v>4932</v>
      </c>
      <c r="AQ256" s="10" t="s">
        <v>4923</v>
      </c>
      <c r="AR256" s="2">
        <v>45629</v>
      </c>
      <c r="AS256" s="10">
        <v>10000</v>
      </c>
      <c r="AT256" s="10" t="s">
        <v>47</v>
      </c>
      <c r="AU256" s="10" t="s">
        <v>1741</v>
      </c>
      <c r="AV256" s="36" t="s">
        <v>1798</v>
      </c>
      <c r="AW256" s="1">
        <v>46203</v>
      </c>
    </row>
    <row r="257" spans="1:49" x14ac:dyDescent="0.25">
      <c r="A257" s="9" t="s">
        <v>1479</v>
      </c>
      <c r="B257" s="10" t="s">
        <v>1543</v>
      </c>
      <c r="C257" s="10">
        <v>0</v>
      </c>
      <c r="D257" s="10" t="s">
        <v>91</v>
      </c>
      <c r="E257" s="10"/>
      <c r="F257" s="10" t="s">
        <v>112</v>
      </c>
      <c r="G257" s="10" t="s">
        <v>4948</v>
      </c>
      <c r="H257" s="10" t="s">
        <v>52</v>
      </c>
      <c r="I257" s="10">
        <v>12</v>
      </c>
      <c r="J257" s="10" t="s">
        <v>1607</v>
      </c>
      <c r="K257" s="10" t="s">
        <v>42</v>
      </c>
      <c r="L257" s="10">
        <f>Table1[[#This Row],[ENR]]-Table1[[#This Row],[CREDIT]]</f>
        <v>9595.3500000000058</v>
      </c>
      <c r="M257" s="36">
        <v>245000</v>
      </c>
      <c r="N257" s="26">
        <v>254595.35</v>
      </c>
      <c r="O257" s="38">
        <v>116758.52</v>
      </c>
      <c r="P257" s="25">
        <v>137836.82999999999</v>
      </c>
      <c r="Q257" s="25">
        <v>116328.33</v>
      </c>
      <c r="R257" s="10">
        <v>56440</v>
      </c>
      <c r="S257" s="39">
        <v>28310</v>
      </c>
      <c r="T257" s="10" t="s">
        <v>57</v>
      </c>
      <c r="U257" s="10" t="s">
        <v>14</v>
      </c>
      <c r="V257" s="25">
        <v>40000</v>
      </c>
      <c r="W257" s="25">
        <f>Table1[[#This Row],[STAB]]-Table1[[#This Row],[AMOUNT]]</f>
        <v>-11690</v>
      </c>
      <c r="X257" s="10" t="s">
        <v>4530</v>
      </c>
      <c r="Y257" s="10" t="s">
        <v>402</v>
      </c>
      <c r="Z257" s="10" t="s">
        <v>403</v>
      </c>
      <c r="AA257" s="10" t="s">
        <v>113</v>
      </c>
      <c r="AB257" s="36" t="s">
        <v>374</v>
      </c>
      <c r="AC257" s="10"/>
      <c r="AD257" s="9" t="s">
        <v>1671</v>
      </c>
      <c r="AE257" s="10" t="s">
        <v>1734</v>
      </c>
      <c r="AF257" s="10" t="s">
        <v>274</v>
      </c>
      <c r="AG257" s="10" t="s">
        <v>53</v>
      </c>
      <c r="AH257" s="10" t="s">
        <v>55</v>
      </c>
      <c r="AI257" s="10" t="s">
        <v>365</v>
      </c>
      <c r="AJ257" s="10">
        <v>802824019</v>
      </c>
      <c r="AK257" s="10" t="s">
        <v>360</v>
      </c>
      <c r="AL257" s="10"/>
      <c r="AM257" s="10"/>
      <c r="AN257" s="11" t="s">
        <v>390</v>
      </c>
      <c r="AO257" s="10"/>
      <c r="AP257" s="10"/>
      <c r="AQ257" s="10"/>
      <c r="AR257" s="2">
        <v>46068</v>
      </c>
      <c r="AS257" s="10">
        <v>46157.93</v>
      </c>
      <c r="AT257" s="10" t="s">
        <v>503</v>
      </c>
      <c r="AU257" s="10" t="s">
        <v>1741</v>
      </c>
      <c r="AV257" s="36" t="s">
        <v>1806</v>
      </c>
      <c r="AW257" s="1">
        <v>46203</v>
      </c>
    </row>
    <row r="258" spans="1:49" x14ac:dyDescent="0.25">
      <c r="A258" s="9" t="s">
        <v>1420</v>
      </c>
      <c r="B258" s="10" t="s">
        <v>1487</v>
      </c>
      <c r="C258" s="10">
        <v>0</v>
      </c>
      <c r="D258" s="10" t="s">
        <v>91</v>
      </c>
      <c r="E258" s="10"/>
      <c r="F258" s="10"/>
      <c r="G258" s="10"/>
      <c r="H258" s="10" t="s">
        <v>52</v>
      </c>
      <c r="I258" s="10">
        <v>12</v>
      </c>
      <c r="J258" s="10" t="s">
        <v>1551</v>
      </c>
      <c r="K258" s="10" t="s">
        <v>42</v>
      </c>
      <c r="L258" s="10">
        <f>Table1[[#This Row],[ENR]]-Table1[[#This Row],[CREDIT]]</f>
        <v>-18339.709999999992</v>
      </c>
      <c r="M258" s="36">
        <v>270000</v>
      </c>
      <c r="N258" s="26">
        <v>251660.29</v>
      </c>
      <c r="O258" s="38" t="s">
        <v>43</v>
      </c>
      <c r="P258" s="25">
        <v>251660.29</v>
      </c>
      <c r="Q258" s="25">
        <v>217374.78</v>
      </c>
      <c r="R258" s="10">
        <v>47950</v>
      </c>
      <c r="S258" s="39">
        <v>19960</v>
      </c>
      <c r="T258" s="10" t="s">
        <v>57</v>
      </c>
      <c r="U258" s="10" t="s">
        <v>13</v>
      </c>
      <c r="V258" s="10">
        <v>47950</v>
      </c>
      <c r="W258" s="25">
        <f>Table1[[#This Row],[STAB]]-Table1[[#This Row],[AMOUNT]]</f>
        <v>-27990</v>
      </c>
      <c r="X258" s="10" t="s">
        <v>4591</v>
      </c>
      <c r="Y258" s="10" t="s">
        <v>402</v>
      </c>
      <c r="Z258" s="10" t="s">
        <v>403</v>
      </c>
      <c r="AA258" s="10" t="s">
        <v>113</v>
      </c>
      <c r="AB258" s="36" t="s">
        <v>132</v>
      </c>
      <c r="AC258" s="10"/>
      <c r="AD258" s="9" t="s">
        <v>1615</v>
      </c>
      <c r="AE258" s="10" t="s">
        <v>1678</v>
      </c>
      <c r="AF258" s="10" t="s">
        <v>111</v>
      </c>
      <c r="AG258" s="10" t="s">
        <v>53</v>
      </c>
      <c r="AH258" s="10" t="s">
        <v>92</v>
      </c>
      <c r="AI258" s="10" t="s">
        <v>113</v>
      </c>
      <c r="AJ258" s="10">
        <v>802388289</v>
      </c>
      <c r="AK258" s="10" t="s">
        <v>104</v>
      </c>
      <c r="AL258" s="10"/>
      <c r="AM258" s="10"/>
      <c r="AN258" s="11" t="s">
        <v>390</v>
      </c>
      <c r="AO258" s="10" t="s">
        <v>394</v>
      </c>
      <c r="AP258" s="10" t="s">
        <v>4556</v>
      </c>
      <c r="AQ258" s="10" t="s">
        <v>4535</v>
      </c>
      <c r="AR258" s="2">
        <v>45962</v>
      </c>
      <c r="AS258" s="10">
        <v>16960</v>
      </c>
      <c r="AT258" s="10" t="s">
        <v>47</v>
      </c>
      <c r="AU258" s="10" t="s">
        <v>1741</v>
      </c>
      <c r="AV258" s="36" t="s">
        <v>1747</v>
      </c>
      <c r="AW258" s="1">
        <v>46203</v>
      </c>
    </row>
    <row r="259" spans="1:49" x14ac:dyDescent="0.25">
      <c r="A259" s="9" t="s">
        <v>2065</v>
      </c>
      <c r="B259" s="10" t="s">
        <v>2189</v>
      </c>
      <c r="C259" s="10">
        <v>0</v>
      </c>
      <c r="D259" s="10" t="s">
        <v>91</v>
      </c>
      <c r="E259" s="10"/>
      <c r="F259" s="10"/>
      <c r="G259" s="10"/>
      <c r="H259" s="10" t="s">
        <v>52</v>
      </c>
      <c r="I259" s="10">
        <v>12</v>
      </c>
      <c r="J259" s="10" t="s">
        <v>2311</v>
      </c>
      <c r="K259" s="10" t="s">
        <v>42</v>
      </c>
      <c r="L259" s="10">
        <f>Table1[[#This Row],[ENR]]-Table1[[#This Row],[CREDIT]]</f>
        <v>129602.79000000001</v>
      </c>
      <c r="M259" s="36">
        <v>120000</v>
      </c>
      <c r="N259" s="26">
        <v>249602.79</v>
      </c>
      <c r="O259" s="38">
        <v>197994.41</v>
      </c>
      <c r="P259" s="25">
        <v>51608.38</v>
      </c>
      <c r="Q259" s="25">
        <v>43840.72</v>
      </c>
      <c r="R259" s="10">
        <v>51608.38</v>
      </c>
      <c r="S259" s="39">
        <v>27286.85</v>
      </c>
      <c r="T259" s="10" t="s">
        <v>57</v>
      </c>
      <c r="U259" s="10" t="s">
        <v>13</v>
      </c>
      <c r="V259" s="10">
        <v>52000</v>
      </c>
      <c r="W259" s="25">
        <f>Table1[[#This Row],[STAB]]-Table1[[#This Row],[AMOUNT]]</f>
        <v>-24713.15</v>
      </c>
      <c r="X259" s="10" t="s">
        <v>4601</v>
      </c>
      <c r="Y259" s="10" t="s">
        <v>402</v>
      </c>
      <c r="Z259" s="10" t="s">
        <v>403</v>
      </c>
      <c r="AA259" s="10" t="s">
        <v>113</v>
      </c>
      <c r="AB259" s="41" t="s">
        <v>376</v>
      </c>
      <c r="AC259" s="10"/>
      <c r="AD259" s="9" t="s">
        <v>2434</v>
      </c>
      <c r="AE259" s="10" t="s">
        <v>2555</v>
      </c>
      <c r="AF259" s="10" t="s">
        <v>285</v>
      </c>
      <c r="AG259" s="10" t="s">
        <v>54</v>
      </c>
      <c r="AH259" s="10" t="s">
        <v>94</v>
      </c>
      <c r="AI259" s="10" t="s">
        <v>725</v>
      </c>
      <c r="AJ259" s="10">
        <v>802794852</v>
      </c>
      <c r="AK259" s="10" t="s">
        <v>104</v>
      </c>
      <c r="AL259" s="10"/>
      <c r="AM259" s="10"/>
      <c r="AN259" s="11" t="s">
        <v>390</v>
      </c>
      <c r="AO259" s="10" t="s">
        <v>392</v>
      </c>
      <c r="AP259" s="10" t="s">
        <v>4540</v>
      </c>
      <c r="AQ259" s="10" t="s">
        <v>4535</v>
      </c>
      <c r="AR259" s="2">
        <v>45466</v>
      </c>
      <c r="AS259" s="10">
        <v>18448.29</v>
      </c>
      <c r="AT259" s="10" t="s">
        <v>47</v>
      </c>
      <c r="AU259" s="10" t="s">
        <v>2622</v>
      </c>
      <c r="AV259" s="36" t="s">
        <v>2678</v>
      </c>
      <c r="AW259" s="1">
        <v>46203</v>
      </c>
    </row>
    <row r="260" spans="1:49" x14ac:dyDescent="0.25">
      <c r="A260" s="9" t="s">
        <v>2048</v>
      </c>
      <c r="B260" s="10" t="s">
        <v>2173</v>
      </c>
      <c r="C260" s="10">
        <v>0</v>
      </c>
      <c r="D260" s="10" t="s">
        <v>91</v>
      </c>
      <c r="E260" s="10"/>
      <c r="F260" s="10"/>
      <c r="G260" s="10"/>
      <c r="H260" s="10" t="s">
        <v>52</v>
      </c>
      <c r="I260" s="10">
        <v>12</v>
      </c>
      <c r="J260" s="10" t="s">
        <v>2295</v>
      </c>
      <c r="K260" s="10" t="s">
        <v>42</v>
      </c>
      <c r="L260" s="10">
        <f>Table1[[#This Row],[ENR]]-Table1[[#This Row],[CREDIT]]</f>
        <v>226557.71</v>
      </c>
      <c r="M260" s="36">
        <v>20000</v>
      </c>
      <c r="N260" s="26">
        <v>246557.71</v>
      </c>
      <c r="O260" s="38">
        <v>106760.27</v>
      </c>
      <c r="P260" s="25">
        <v>139797.44</v>
      </c>
      <c r="Q260" s="25">
        <v>126656.12</v>
      </c>
      <c r="R260" s="10">
        <v>45820</v>
      </c>
      <c r="S260" s="39">
        <v>12350</v>
      </c>
      <c r="T260" s="10" t="s">
        <v>57</v>
      </c>
      <c r="U260" s="10" t="s">
        <v>14</v>
      </c>
      <c r="V260" s="25">
        <v>12500</v>
      </c>
      <c r="W260" s="25">
        <f>Table1[[#This Row],[STAB]]-Table1[[#This Row],[AMOUNT]]</f>
        <v>-150</v>
      </c>
      <c r="X260" s="10" t="s">
        <v>4619</v>
      </c>
      <c r="Y260" s="10" t="s">
        <v>402</v>
      </c>
      <c r="Z260" s="10" t="s">
        <v>403</v>
      </c>
      <c r="AA260" s="10" t="s">
        <v>113</v>
      </c>
      <c r="AB260" s="36" t="s">
        <v>132</v>
      </c>
      <c r="AC260" s="10"/>
      <c r="AD260" s="9" t="s">
        <v>2418</v>
      </c>
      <c r="AE260" s="10" t="s">
        <v>2539</v>
      </c>
      <c r="AF260" s="10" t="s">
        <v>111</v>
      </c>
      <c r="AG260" s="10" t="s">
        <v>53</v>
      </c>
      <c r="AH260" s="10" t="s">
        <v>1957</v>
      </c>
      <c r="AI260" s="10" t="s">
        <v>82</v>
      </c>
      <c r="AJ260" s="10">
        <v>801723195</v>
      </c>
      <c r="AK260" s="10" t="s">
        <v>105</v>
      </c>
      <c r="AL260" s="10"/>
      <c r="AM260" s="10"/>
      <c r="AN260" s="11" t="s">
        <v>390</v>
      </c>
      <c r="AO260" s="10" t="s">
        <v>398</v>
      </c>
      <c r="AP260" s="10" t="s">
        <v>4560</v>
      </c>
      <c r="AQ260" s="10" t="s">
        <v>4535</v>
      </c>
      <c r="AR260" s="2">
        <v>46023</v>
      </c>
      <c r="AS260" s="10">
        <v>10000</v>
      </c>
      <c r="AT260" s="10" t="s">
        <v>47</v>
      </c>
      <c r="AU260" s="10" t="s">
        <v>2622</v>
      </c>
      <c r="AV260" s="36" t="s">
        <v>2661</v>
      </c>
      <c r="AW260" s="1">
        <v>46203</v>
      </c>
    </row>
    <row r="261" spans="1:49" x14ac:dyDescent="0.25">
      <c r="A261" s="9" t="s">
        <v>2019</v>
      </c>
      <c r="B261" s="10" t="s">
        <v>2145</v>
      </c>
      <c r="C261" s="10">
        <v>0</v>
      </c>
      <c r="D261" s="10" t="s">
        <v>91</v>
      </c>
      <c r="E261" s="10"/>
      <c r="F261" s="10"/>
      <c r="G261" s="10"/>
      <c r="H261" s="10" t="s">
        <v>52</v>
      </c>
      <c r="I261" s="10">
        <v>12</v>
      </c>
      <c r="J261" s="10" t="s">
        <v>2268</v>
      </c>
      <c r="K261" s="10" t="s">
        <v>42</v>
      </c>
      <c r="L261" s="10">
        <f>Table1[[#This Row],[ENR]]-Table1[[#This Row],[CREDIT]]</f>
        <v>21574.03</v>
      </c>
      <c r="M261" s="36">
        <v>220000</v>
      </c>
      <c r="N261" s="26">
        <v>241574.03</v>
      </c>
      <c r="O261" s="38" t="s">
        <v>43</v>
      </c>
      <c r="P261" s="25">
        <v>241574.03</v>
      </c>
      <c r="Q261" s="25">
        <v>219785.27</v>
      </c>
      <c r="R261" s="10">
        <v>55760</v>
      </c>
      <c r="S261" s="39">
        <v>22310</v>
      </c>
      <c r="T261" s="10" t="s">
        <v>44</v>
      </c>
      <c r="U261" s="10" t="s">
        <v>45</v>
      </c>
      <c r="V261" s="10">
        <v>0</v>
      </c>
      <c r="W261" s="25">
        <f>Table1[[#This Row],[STAB]]-Table1[[#This Row],[AMOUNT]]</f>
        <v>22310</v>
      </c>
      <c r="X261" s="10">
        <v>0</v>
      </c>
      <c r="Y261" s="10" t="s">
        <v>79</v>
      </c>
      <c r="Z261" s="10">
        <v>0</v>
      </c>
      <c r="AA261" s="10" t="s">
        <v>113</v>
      </c>
      <c r="AB261" s="36" t="s">
        <v>375</v>
      </c>
      <c r="AC261" s="10"/>
      <c r="AD261" s="9" t="s">
        <v>2390</v>
      </c>
      <c r="AE261" s="10" t="s">
        <v>2511</v>
      </c>
      <c r="AF261" s="10" t="s">
        <v>272</v>
      </c>
      <c r="AG261" s="10" t="s">
        <v>54</v>
      </c>
      <c r="AH261" s="10" t="s">
        <v>357</v>
      </c>
      <c r="AI261" s="10" t="s">
        <v>1960</v>
      </c>
      <c r="AJ261" s="10">
        <v>801264672</v>
      </c>
      <c r="AK261" s="10" t="s">
        <v>1959</v>
      </c>
      <c r="AL261" s="10"/>
      <c r="AM261" s="10"/>
      <c r="AN261" s="11" t="s">
        <v>390</v>
      </c>
      <c r="AO261" s="10" t="s">
        <v>392</v>
      </c>
      <c r="AP261" s="10" t="s">
        <v>4590</v>
      </c>
      <c r="AQ261" s="10" t="s">
        <v>4566</v>
      </c>
      <c r="AR261" s="2">
        <v>46102</v>
      </c>
      <c r="AS261" s="10">
        <v>19660</v>
      </c>
      <c r="AT261" s="10" t="s">
        <v>47</v>
      </c>
      <c r="AU261" s="10" t="s">
        <v>2622</v>
      </c>
      <c r="AV261" s="36" t="s">
        <v>2632</v>
      </c>
      <c r="AW261" s="1">
        <v>46203</v>
      </c>
    </row>
    <row r="262" spans="1:49" x14ac:dyDescent="0.25">
      <c r="A262" s="9" t="s">
        <v>1442</v>
      </c>
      <c r="B262" s="10" t="s">
        <v>1508</v>
      </c>
      <c r="C262" s="10">
        <v>0</v>
      </c>
      <c r="D262" s="10" t="s">
        <v>91</v>
      </c>
      <c r="E262" s="10"/>
      <c r="F262" s="10" t="s">
        <v>112</v>
      </c>
      <c r="G262" s="10" t="s">
        <v>4944</v>
      </c>
      <c r="H262" s="10" t="s">
        <v>52</v>
      </c>
      <c r="I262" s="10">
        <v>12</v>
      </c>
      <c r="J262" s="10" t="s">
        <v>1572</v>
      </c>
      <c r="K262" s="10" t="s">
        <v>42</v>
      </c>
      <c r="L262" s="10">
        <f>Table1[[#This Row],[ENR]]-Table1[[#This Row],[CREDIT]]</f>
        <v>10803.029999999999</v>
      </c>
      <c r="M262" s="36">
        <v>230000</v>
      </c>
      <c r="N262" s="26">
        <v>240803.03</v>
      </c>
      <c r="O262" s="38">
        <v>202008.11</v>
      </c>
      <c r="P262" s="25">
        <v>38794.92</v>
      </c>
      <c r="Q262" s="25">
        <v>30478.880000000001</v>
      </c>
      <c r="R262" s="10">
        <v>38430</v>
      </c>
      <c r="S262" s="39">
        <v>17060</v>
      </c>
      <c r="T262" s="10" t="s">
        <v>57</v>
      </c>
      <c r="U262" s="10" t="s">
        <v>13</v>
      </c>
      <c r="V262" s="10">
        <v>38794.92</v>
      </c>
      <c r="W262" s="25">
        <f>Table1[[#This Row],[STAB]]-Table1[[#This Row],[AMOUNT]]</f>
        <v>-21734.92</v>
      </c>
      <c r="X262" s="10" t="s">
        <v>1401</v>
      </c>
      <c r="Y262" s="10" t="s">
        <v>402</v>
      </c>
      <c r="Z262" s="10" t="s">
        <v>4272</v>
      </c>
      <c r="AA262" s="10" t="s">
        <v>113</v>
      </c>
      <c r="AB262" s="36" t="s">
        <v>131</v>
      </c>
      <c r="AC262" s="10"/>
      <c r="AD262" s="9" t="s">
        <v>1636</v>
      </c>
      <c r="AE262" s="10" t="s">
        <v>1699</v>
      </c>
      <c r="AF262" s="10" t="s">
        <v>287</v>
      </c>
      <c r="AG262" s="10" t="s">
        <v>324</v>
      </c>
      <c r="AH262" s="10" t="s">
        <v>56</v>
      </c>
      <c r="AI262" s="10" t="s">
        <v>370</v>
      </c>
      <c r="AJ262" s="10">
        <v>801448854</v>
      </c>
      <c r="AK262" s="10" t="s">
        <v>105</v>
      </c>
      <c r="AL262" s="10"/>
      <c r="AM262" s="10"/>
      <c r="AN262" s="11" t="s">
        <v>390</v>
      </c>
      <c r="AO262" s="10"/>
      <c r="AP262" s="10"/>
      <c r="AQ262" s="10"/>
      <c r="AR262" s="2">
        <v>45508</v>
      </c>
      <c r="AS262" s="10">
        <v>2200</v>
      </c>
      <c r="AT262" s="10" t="s">
        <v>47</v>
      </c>
      <c r="AU262" s="10" t="s">
        <v>1741</v>
      </c>
      <c r="AV262" s="36" t="s">
        <v>1769</v>
      </c>
      <c r="AW262" s="1">
        <v>46203</v>
      </c>
    </row>
    <row r="263" spans="1:49" x14ac:dyDescent="0.25">
      <c r="A263" s="9" t="s">
        <v>2047</v>
      </c>
      <c r="B263" s="10" t="s">
        <v>2172</v>
      </c>
      <c r="C263" s="10">
        <v>0</v>
      </c>
      <c r="D263" s="10" t="s">
        <v>91</v>
      </c>
      <c r="E263" s="10"/>
      <c r="F263" s="10"/>
      <c r="G263" s="10"/>
      <c r="H263" s="10" t="s">
        <v>52</v>
      </c>
      <c r="I263" s="10">
        <v>12</v>
      </c>
      <c r="J263" s="10" t="s">
        <v>2294</v>
      </c>
      <c r="K263" s="10" t="s">
        <v>42</v>
      </c>
      <c r="L263" s="10">
        <f>Table1[[#This Row],[ENR]]-Table1[[#This Row],[CREDIT]]</f>
        <v>20012.109999999986</v>
      </c>
      <c r="M263" s="36">
        <v>220000</v>
      </c>
      <c r="N263" s="26">
        <v>240012.11</v>
      </c>
      <c r="O263" s="38" t="s">
        <v>43</v>
      </c>
      <c r="P263" s="25">
        <v>240012.11</v>
      </c>
      <c r="Q263" s="25">
        <v>217095.33</v>
      </c>
      <c r="R263" s="10">
        <v>56430</v>
      </c>
      <c r="S263" s="39">
        <v>22140</v>
      </c>
      <c r="T263" s="10" t="s">
        <v>57</v>
      </c>
      <c r="U263" s="10" t="s">
        <v>13</v>
      </c>
      <c r="V263" s="10">
        <v>240012.11</v>
      </c>
      <c r="W263" s="25">
        <f>Table1[[#This Row],[STAB]]-Table1[[#This Row],[AMOUNT]]</f>
        <v>-217872.11</v>
      </c>
      <c r="X263" s="10" t="s">
        <v>4535</v>
      </c>
      <c r="Y263" s="10" t="s">
        <v>402</v>
      </c>
      <c r="Z263" s="10" t="s">
        <v>403</v>
      </c>
      <c r="AA263" s="10" t="s">
        <v>113</v>
      </c>
      <c r="AB263" s="41" t="s">
        <v>376</v>
      </c>
      <c r="AC263" s="10"/>
      <c r="AD263" s="9" t="s">
        <v>2417</v>
      </c>
      <c r="AE263" s="10" t="s">
        <v>2538</v>
      </c>
      <c r="AF263" s="10" t="s">
        <v>278</v>
      </c>
      <c r="AG263" s="10" t="s">
        <v>54</v>
      </c>
      <c r="AH263" s="10" t="s">
        <v>723</v>
      </c>
      <c r="AI263" s="10" t="s">
        <v>369</v>
      </c>
      <c r="AJ263" s="10">
        <v>802823180</v>
      </c>
      <c r="AK263" s="10" t="s">
        <v>105</v>
      </c>
      <c r="AL263" s="10"/>
      <c r="AM263" s="10"/>
      <c r="AN263" s="11" t="s">
        <v>390</v>
      </c>
      <c r="AO263" s="10"/>
      <c r="AP263" s="10"/>
      <c r="AQ263" s="10"/>
      <c r="AR263" s="2">
        <v>45846</v>
      </c>
      <c r="AS263" s="10">
        <v>5550</v>
      </c>
      <c r="AT263" s="10" t="s">
        <v>47</v>
      </c>
      <c r="AU263" s="10" t="s">
        <v>2622</v>
      </c>
      <c r="AV263" s="36" t="s">
        <v>2660</v>
      </c>
      <c r="AW263" s="1">
        <v>46203</v>
      </c>
    </row>
    <row r="264" spans="1:49" x14ac:dyDescent="0.25">
      <c r="A264" s="9" t="s">
        <v>2083</v>
      </c>
      <c r="B264" s="10" t="s">
        <v>2207</v>
      </c>
      <c r="C264" s="10">
        <v>0</v>
      </c>
      <c r="D264" s="10" t="s">
        <v>91</v>
      </c>
      <c r="E264" s="10"/>
      <c r="F264" s="10"/>
      <c r="G264" s="10"/>
      <c r="H264" s="10" t="s">
        <v>52</v>
      </c>
      <c r="I264" s="10">
        <v>12</v>
      </c>
      <c r="J264" s="10" t="s">
        <v>2329</v>
      </c>
      <c r="K264" s="10" t="s">
        <v>42</v>
      </c>
      <c r="L264" s="10">
        <f>Table1[[#This Row],[ENR]]-Table1[[#This Row],[CREDIT]]</f>
        <v>18591.339999999997</v>
      </c>
      <c r="M264" s="36">
        <v>220000</v>
      </c>
      <c r="N264" s="26">
        <v>238591.34</v>
      </c>
      <c r="O264" s="38">
        <v>132201.59</v>
      </c>
      <c r="P264" s="25">
        <v>106389.75</v>
      </c>
      <c r="Q264" s="25">
        <v>94288.27</v>
      </c>
      <c r="R264" s="10">
        <v>55850</v>
      </c>
      <c r="S264" s="39">
        <v>23810</v>
      </c>
      <c r="T264" s="10" t="s">
        <v>44</v>
      </c>
      <c r="U264" s="10" t="s">
        <v>45</v>
      </c>
      <c r="V264" s="10">
        <v>0</v>
      </c>
      <c r="W264" s="25">
        <f>Table1[[#This Row],[STAB]]-Table1[[#This Row],[AMOUNT]]</f>
        <v>23810</v>
      </c>
      <c r="X264" s="10">
        <v>0</v>
      </c>
      <c r="Y264" s="10" t="s">
        <v>79</v>
      </c>
      <c r="Z264" s="10" t="s">
        <v>963</v>
      </c>
      <c r="AA264" s="10" t="s">
        <v>113</v>
      </c>
      <c r="AB264" s="36" t="s">
        <v>131</v>
      </c>
      <c r="AC264" s="10"/>
      <c r="AD264" s="9" t="s">
        <v>2452</v>
      </c>
      <c r="AE264" s="10" t="s">
        <v>2573</v>
      </c>
      <c r="AF264" s="10" t="s">
        <v>283</v>
      </c>
      <c r="AG264" s="10" t="s">
        <v>53</v>
      </c>
      <c r="AH264" s="10" t="s">
        <v>356</v>
      </c>
      <c r="AI264" s="10" t="s">
        <v>2962</v>
      </c>
      <c r="AJ264" s="10">
        <v>801601134</v>
      </c>
      <c r="AK264" s="10" t="s">
        <v>104</v>
      </c>
      <c r="AL264" s="10"/>
      <c r="AM264" s="10"/>
      <c r="AN264" s="11" t="s">
        <v>46</v>
      </c>
      <c r="AO264" s="10"/>
      <c r="AP264" s="10"/>
      <c r="AQ264" s="10"/>
      <c r="AR264" s="2">
        <v>45486</v>
      </c>
      <c r="AS264" s="10">
        <v>597</v>
      </c>
      <c r="AT264" s="10" t="s">
        <v>47</v>
      </c>
      <c r="AU264" s="10" t="s">
        <v>2622</v>
      </c>
      <c r="AV264" s="36" t="s">
        <v>2696</v>
      </c>
      <c r="AW264" s="1">
        <v>46203</v>
      </c>
    </row>
    <row r="265" spans="1:49" x14ac:dyDescent="0.25">
      <c r="A265" s="9" t="s">
        <v>2018</v>
      </c>
      <c r="B265" s="10" t="s">
        <v>2144</v>
      </c>
      <c r="C265" s="10">
        <v>0</v>
      </c>
      <c r="D265" s="10" t="s">
        <v>91</v>
      </c>
      <c r="E265" s="10"/>
      <c r="F265" s="10"/>
      <c r="G265" s="10"/>
      <c r="H265" s="10" t="s">
        <v>52</v>
      </c>
      <c r="I265" s="10">
        <v>12</v>
      </c>
      <c r="J265" s="10" t="s">
        <v>2267</v>
      </c>
      <c r="K265" s="10" t="s">
        <v>42</v>
      </c>
      <c r="L265" s="10">
        <f>Table1[[#This Row],[ENR]]-Table1[[#This Row],[CREDIT]]</f>
        <v>14747.899999999994</v>
      </c>
      <c r="M265" s="36">
        <v>220000</v>
      </c>
      <c r="N265" s="26">
        <v>234747.9</v>
      </c>
      <c r="O265" s="38" t="s">
        <v>43</v>
      </c>
      <c r="P265" s="25">
        <v>234747.9</v>
      </c>
      <c r="Q265" s="25">
        <v>207918</v>
      </c>
      <c r="R265" s="10">
        <v>60970</v>
      </c>
      <c r="S265" s="39">
        <v>28900</v>
      </c>
      <c r="T265" s="10" t="s">
        <v>57</v>
      </c>
      <c r="U265" s="10" t="s">
        <v>14</v>
      </c>
      <c r="V265" s="25">
        <v>29000</v>
      </c>
      <c r="W265" s="25">
        <f>Table1[[#This Row],[STAB]]-Table1[[#This Row],[AMOUNT]]</f>
        <v>-100</v>
      </c>
      <c r="X265" s="10" t="s">
        <v>4923</v>
      </c>
      <c r="Y265" s="10" t="s">
        <v>402</v>
      </c>
      <c r="Z265" s="10" t="s">
        <v>403</v>
      </c>
      <c r="AA265" s="10" t="s">
        <v>113</v>
      </c>
      <c r="AB265" s="36" t="s">
        <v>132</v>
      </c>
      <c r="AC265" s="10"/>
      <c r="AD265" s="9" t="s">
        <v>2389</v>
      </c>
      <c r="AE265" s="10" t="s">
        <v>2510</v>
      </c>
      <c r="AF265" s="10" t="s">
        <v>685</v>
      </c>
      <c r="AG265" s="10" t="s">
        <v>54</v>
      </c>
      <c r="AH265" s="10" t="s">
        <v>1398</v>
      </c>
      <c r="AI265" s="10" t="s">
        <v>162</v>
      </c>
      <c r="AJ265" s="10">
        <v>801772794</v>
      </c>
      <c r="AK265" s="10" t="s">
        <v>361</v>
      </c>
      <c r="AL265" s="10"/>
      <c r="AM265" s="10"/>
      <c r="AN265" s="11" t="s">
        <v>390</v>
      </c>
      <c r="AO265" s="10"/>
      <c r="AP265" s="10"/>
      <c r="AQ265" s="10"/>
      <c r="AR265" s="2">
        <v>45474</v>
      </c>
      <c r="AS265" s="10">
        <v>112589.38</v>
      </c>
      <c r="AT265" s="10" t="s">
        <v>47</v>
      </c>
      <c r="AU265" s="10" t="s">
        <v>2622</v>
      </c>
      <c r="AV265" s="36" t="s">
        <v>2631</v>
      </c>
      <c r="AW265" s="1">
        <v>46203</v>
      </c>
    </row>
    <row r="266" spans="1:49" x14ac:dyDescent="0.25">
      <c r="A266" s="9" t="s">
        <v>2037</v>
      </c>
      <c r="B266" s="10" t="s">
        <v>2162</v>
      </c>
      <c r="C266" s="10">
        <v>0</v>
      </c>
      <c r="D266" s="10" t="s">
        <v>95</v>
      </c>
      <c r="E266" s="10">
        <v>1</v>
      </c>
      <c r="F266" s="10" t="s">
        <v>112</v>
      </c>
      <c r="G266" s="10" t="s">
        <v>4945</v>
      </c>
      <c r="H266" s="10" t="s">
        <v>52</v>
      </c>
      <c r="I266" s="10">
        <v>12</v>
      </c>
      <c r="J266" s="10" t="s">
        <v>2285</v>
      </c>
      <c r="K266" s="10" t="s">
        <v>42</v>
      </c>
      <c r="L266" s="10">
        <f>Table1[[#This Row],[ENR]]-Table1[[#This Row],[CREDIT]]</f>
        <v>9083.7300000000105</v>
      </c>
      <c r="M266" s="36">
        <v>220000</v>
      </c>
      <c r="N266" s="26">
        <v>229083.73</v>
      </c>
      <c r="O266" s="38" t="s">
        <v>43</v>
      </c>
      <c r="P266" s="25">
        <v>229083.73</v>
      </c>
      <c r="Q266" s="25">
        <v>217268.19</v>
      </c>
      <c r="R266" s="10">
        <v>55520</v>
      </c>
      <c r="S266" s="39">
        <v>34190</v>
      </c>
      <c r="T266" s="10" t="s">
        <v>44</v>
      </c>
      <c r="U266" s="10" t="s">
        <v>45</v>
      </c>
      <c r="V266" s="10">
        <v>0</v>
      </c>
      <c r="W266" s="25">
        <f>Table1[[#This Row],[STAB]]-Table1[[#This Row],[AMOUNT]]</f>
        <v>34190</v>
      </c>
      <c r="X266" s="10">
        <v>0</v>
      </c>
      <c r="Y266" s="10" t="s">
        <v>79</v>
      </c>
      <c r="Z266" s="10">
        <v>0</v>
      </c>
      <c r="AA266" s="10" t="s">
        <v>113</v>
      </c>
      <c r="AB266" s="36" t="s">
        <v>131</v>
      </c>
      <c r="AC266" s="10"/>
      <c r="AD266" s="9" t="s">
        <v>2407</v>
      </c>
      <c r="AE266" s="10" t="s">
        <v>2528</v>
      </c>
      <c r="AF266" s="10" t="s">
        <v>283</v>
      </c>
      <c r="AG266" s="10" t="s">
        <v>53</v>
      </c>
      <c r="AH266" s="10" t="s">
        <v>356</v>
      </c>
      <c r="AI266" s="10" t="s">
        <v>2962</v>
      </c>
      <c r="AJ266" s="10">
        <v>801601134</v>
      </c>
      <c r="AK266" s="10" t="s">
        <v>104</v>
      </c>
      <c r="AL266" s="10"/>
      <c r="AM266" s="10"/>
      <c r="AN266" s="11" t="s">
        <v>46</v>
      </c>
      <c r="AO266" s="10"/>
      <c r="AP266" s="10"/>
      <c r="AQ266" s="10"/>
      <c r="AR266" s="2">
        <v>45625</v>
      </c>
      <c r="AS266" s="10">
        <v>68696.34</v>
      </c>
      <c r="AT266" s="10" t="s">
        <v>47</v>
      </c>
      <c r="AU266" s="10" t="s">
        <v>2622</v>
      </c>
      <c r="AV266" s="36" t="s">
        <v>2650</v>
      </c>
      <c r="AW266" s="1">
        <v>46203</v>
      </c>
    </row>
    <row r="267" spans="1:49" x14ac:dyDescent="0.25">
      <c r="A267" s="9" t="s">
        <v>2032</v>
      </c>
      <c r="B267" s="10" t="s">
        <v>2158</v>
      </c>
      <c r="C267" s="10">
        <v>0</v>
      </c>
      <c r="D267" s="10" t="s">
        <v>91</v>
      </c>
      <c r="E267" s="10"/>
      <c r="F267" s="10"/>
      <c r="G267" s="10"/>
      <c r="H267" s="10" t="s">
        <v>52</v>
      </c>
      <c r="I267" s="10">
        <v>12</v>
      </c>
      <c r="J267" s="10" t="s">
        <v>2281</v>
      </c>
      <c r="K267" s="10" t="s">
        <v>42</v>
      </c>
      <c r="L267" s="10">
        <f>Table1[[#This Row],[ENR]]-Table1[[#This Row],[CREDIT]]</f>
        <v>46794.22</v>
      </c>
      <c r="M267" s="36">
        <v>180000</v>
      </c>
      <c r="N267" s="26">
        <v>226794.22</v>
      </c>
      <c r="O267" s="38">
        <v>9132.01</v>
      </c>
      <c r="P267" s="25">
        <v>217662.21</v>
      </c>
      <c r="Q267" s="25">
        <v>198529.61</v>
      </c>
      <c r="R267" s="10">
        <v>83780</v>
      </c>
      <c r="S267" s="39">
        <v>37160</v>
      </c>
      <c r="T267" s="10" t="s">
        <v>44</v>
      </c>
      <c r="U267" s="10" t="s">
        <v>45</v>
      </c>
      <c r="V267" s="10">
        <v>0</v>
      </c>
      <c r="W267" s="25">
        <f>Table1[[#This Row],[STAB]]-Table1[[#This Row],[AMOUNT]]</f>
        <v>37160</v>
      </c>
      <c r="X267" s="10">
        <v>0</v>
      </c>
      <c r="Y267" s="10" t="s">
        <v>79</v>
      </c>
      <c r="Z267" s="10">
        <v>0</v>
      </c>
      <c r="AA267" s="10" t="s">
        <v>113</v>
      </c>
      <c r="AB267" s="10" t="s">
        <v>133</v>
      </c>
      <c r="AC267" s="10"/>
      <c r="AD267" s="9" t="s">
        <v>2403</v>
      </c>
      <c r="AE267" s="10" t="s">
        <v>2524</v>
      </c>
      <c r="AF267" s="10" t="s">
        <v>685</v>
      </c>
      <c r="AG267" s="10" t="s">
        <v>54</v>
      </c>
      <c r="AH267" s="10" t="s">
        <v>1398</v>
      </c>
      <c r="AI267" s="10" t="s">
        <v>162</v>
      </c>
      <c r="AJ267" s="10">
        <v>801772794</v>
      </c>
      <c r="AK267" s="10" t="s">
        <v>361</v>
      </c>
      <c r="AL267" s="10"/>
      <c r="AM267" s="10"/>
      <c r="AN267" s="11" t="s">
        <v>46</v>
      </c>
      <c r="AO267" s="10"/>
      <c r="AP267" s="10"/>
      <c r="AQ267" s="10"/>
      <c r="AR267" s="2">
        <v>45973</v>
      </c>
      <c r="AS267" s="10">
        <v>1</v>
      </c>
      <c r="AT267" s="10" t="s">
        <v>47</v>
      </c>
      <c r="AU267" s="10" t="s">
        <v>2622</v>
      </c>
      <c r="AV267" s="36" t="s">
        <v>2645</v>
      </c>
      <c r="AW267" s="1">
        <v>46203</v>
      </c>
    </row>
    <row r="268" spans="1:49" x14ac:dyDescent="0.25">
      <c r="A268" s="9" t="s">
        <v>2030</v>
      </c>
      <c r="B268" s="10" t="s">
        <v>2156</v>
      </c>
      <c r="C268" s="10">
        <v>0</v>
      </c>
      <c r="D268" s="10" t="s">
        <v>91</v>
      </c>
      <c r="E268" s="10"/>
      <c r="F268" s="10"/>
      <c r="G268" s="10"/>
      <c r="H268" s="10" t="s">
        <v>52</v>
      </c>
      <c r="I268" s="10">
        <v>12</v>
      </c>
      <c r="J268" s="10" t="s">
        <v>2279</v>
      </c>
      <c r="K268" s="10" t="s">
        <v>42</v>
      </c>
      <c r="L268" s="10">
        <f>Table1[[#This Row],[ENR]]-Table1[[#This Row],[CREDIT]]</f>
        <v>44886.09</v>
      </c>
      <c r="M268" s="36">
        <v>180000</v>
      </c>
      <c r="N268" s="26">
        <v>224886.09</v>
      </c>
      <c r="O268" s="38">
        <v>127074.46</v>
      </c>
      <c r="P268" s="25">
        <v>97811.63</v>
      </c>
      <c r="Q268" s="25">
        <v>83739.88</v>
      </c>
      <c r="R268" s="10">
        <v>40260</v>
      </c>
      <c r="S268" s="39">
        <v>21440</v>
      </c>
      <c r="T268" s="10" t="s">
        <v>57</v>
      </c>
      <c r="U268" s="10" t="s">
        <v>13</v>
      </c>
      <c r="V268" s="10">
        <v>55000</v>
      </c>
      <c r="W268" s="25">
        <f>Table1[[#This Row],[STAB]]-Table1[[#This Row],[AMOUNT]]</f>
        <v>-33560</v>
      </c>
      <c r="X268" s="10" t="s">
        <v>4619</v>
      </c>
      <c r="Y268" s="10" t="s">
        <v>402</v>
      </c>
      <c r="Z268" s="10" t="s">
        <v>403</v>
      </c>
      <c r="AA268" s="10" t="s">
        <v>113</v>
      </c>
      <c r="AB268" s="36" t="s">
        <v>375</v>
      </c>
      <c r="AC268" s="10"/>
      <c r="AD268" s="9" t="s">
        <v>2401</v>
      </c>
      <c r="AE268" s="10" t="s">
        <v>2522</v>
      </c>
      <c r="AF268" s="10" t="s">
        <v>864</v>
      </c>
      <c r="AG268" s="10" t="s">
        <v>54</v>
      </c>
      <c r="AH268" s="10" t="s">
        <v>1398</v>
      </c>
      <c r="AI268" s="10" t="s">
        <v>162</v>
      </c>
      <c r="AJ268" s="10">
        <v>801772794</v>
      </c>
      <c r="AK268" s="10" t="s">
        <v>361</v>
      </c>
      <c r="AL268" s="10"/>
      <c r="AM268" s="10"/>
      <c r="AN268" s="11" t="s">
        <v>390</v>
      </c>
      <c r="AO268" s="10"/>
      <c r="AP268" s="10"/>
      <c r="AQ268" s="10"/>
      <c r="AR268" s="2">
        <v>45540</v>
      </c>
      <c r="AS268" s="10">
        <v>52480.19</v>
      </c>
      <c r="AT268" s="10" t="s">
        <v>47</v>
      </c>
      <c r="AU268" s="10" t="s">
        <v>2622</v>
      </c>
      <c r="AV268" s="36" t="s">
        <v>2643</v>
      </c>
      <c r="AW268" s="1">
        <v>46203</v>
      </c>
    </row>
    <row r="269" spans="1:49" x14ac:dyDescent="0.25">
      <c r="A269" s="9" t="s">
        <v>2053</v>
      </c>
      <c r="B269" s="10" t="s">
        <v>2178</v>
      </c>
      <c r="C269" s="10">
        <v>0</v>
      </c>
      <c r="D269" s="10" t="s">
        <v>91</v>
      </c>
      <c r="E269" s="10"/>
      <c r="F269" s="10"/>
      <c r="G269" s="10"/>
      <c r="H269" s="10" t="s">
        <v>84</v>
      </c>
      <c r="I269" s="10">
        <v>12</v>
      </c>
      <c r="J269" s="10" t="s">
        <v>2300</v>
      </c>
      <c r="K269" s="10" t="s">
        <v>42</v>
      </c>
      <c r="L269" s="10">
        <f>Table1[[#This Row],[ENR]]-Table1[[#This Row],[CREDIT]]</f>
        <v>10755.869999999995</v>
      </c>
      <c r="M269" s="36">
        <v>210000</v>
      </c>
      <c r="N269" s="26">
        <v>220755.87</v>
      </c>
      <c r="O269" s="38" t="s">
        <v>43</v>
      </c>
      <c r="P269" s="25">
        <v>220755.87</v>
      </c>
      <c r="Q269" s="25">
        <v>209090.52</v>
      </c>
      <c r="R269" s="10">
        <v>53910</v>
      </c>
      <c r="S269" s="39">
        <v>31290</v>
      </c>
      <c r="T269" s="10" t="s">
        <v>57</v>
      </c>
      <c r="U269" s="10" t="s">
        <v>13</v>
      </c>
      <c r="V269" s="10">
        <v>220300</v>
      </c>
      <c r="W269" s="25">
        <f>Table1[[#This Row],[STAB]]-Table1[[#This Row],[AMOUNT]]</f>
        <v>-189010</v>
      </c>
      <c r="X269" s="10" t="s">
        <v>4591</v>
      </c>
      <c r="Y269" s="10" t="s">
        <v>402</v>
      </c>
      <c r="Z269" s="10" t="s">
        <v>403</v>
      </c>
      <c r="AA269" s="10" t="s">
        <v>113</v>
      </c>
      <c r="AB269" s="36" t="s">
        <v>374</v>
      </c>
      <c r="AC269" s="10"/>
      <c r="AD269" s="9" t="s">
        <v>2423</v>
      </c>
      <c r="AE269" s="10" t="s">
        <v>2544</v>
      </c>
      <c r="AF269" s="10" t="s">
        <v>285</v>
      </c>
      <c r="AG269" s="10" t="s">
        <v>54</v>
      </c>
      <c r="AH269" s="10" t="s">
        <v>98</v>
      </c>
      <c r="AI269" s="10" t="s">
        <v>727</v>
      </c>
      <c r="AJ269" s="10">
        <v>802898520</v>
      </c>
      <c r="AK269" s="10" t="s">
        <v>104</v>
      </c>
      <c r="AL269" s="10"/>
      <c r="AM269" s="10"/>
      <c r="AN269" s="11" t="s">
        <v>390</v>
      </c>
      <c r="AO269" s="10" t="s">
        <v>398</v>
      </c>
      <c r="AP269" s="10" t="s">
        <v>4589</v>
      </c>
      <c r="AQ269" s="10" t="s">
        <v>4566</v>
      </c>
      <c r="AR269" s="2">
        <v>45485</v>
      </c>
      <c r="AS269" s="10">
        <v>20595</v>
      </c>
      <c r="AT269" s="10" t="s">
        <v>47</v>
      </c>
      <c r="AU269" s="10" t="s">
        <v>2622</v>
      </c>
      <c r="AV269" s="36" t="s">
        <v>2666</v>
      </c>
      <c r="AW269" s="1">
        <v>46203</v>
      </c>
    </row>
    <row r="270" spans="1:49" x14ac:dyDescent="0.25">
      <c r="A270" s="9" t="s">
        <v>2044</v>
      </c>
      <c r="B270" s="10" t="s">
        <v>2169</v>
      </c>
      <c r="C270" s="10">
        <v>0</v>
      </c>
      <c r="D270" s="10" t="s">
        <v>91</v>
      </c>
      <c r="E270" s="10"/>
      <c r="F270" s="10"/>
      <c r="G270" s="10"/>
      <c r="H270" s="10" t="s">
        <v>52</v>
      </c>
      <c r="I270" s="10">
        <v>12</v>
      </c>
      <c r="J270" s="10" t="s">
        <v>2291</v>
      </c>
      <c r="K270" s="10" t="s">
        <v>42</v>
      </c>
      <c r="L270" s="10">
        <f>Table1[[#This Row],[ENR]]-Table1[[#This Row],[CREDIT]]</f>
        <v>402.91000000000349</v>
      </c>
      <c r="M270" s="36">
        <v>220000</v>
      </c>
      <c r="N270" s="26">
        <v>220402.91</v>
      </c>
      <c r="O270" s="38">
        <v>37008.46</v>
      </c>
      <c r="P270" s="25">
        <v>183394.45</v>
      </c>
      <c r="Q270" s="25">
        <v>160594.47</v>
      </c>
      <c r="R270" s="10">
        <v>59980</v>
      </c>
      <c r="S270" s="39">
        <v>31600</v>
      </c>
      <c r="T270" s="10" t="s">
        <v>44</v>
      </c>
      <c r="U270" s="10" t="s">
        <v>45</v>
      </c>
      <c r="V270" s="10">
        <v>0</v>
      </c>
      <c r="W270" s="25">
        <f>Table1[[#This Row],[STAB]]-Table1[[#This Row],[AMOUNT]]</f>
        <v>31600</v>
      </c>
      <c r="X270" s="10">
        <v>0</v>
      </c>
      <c r="Y270" s="10" t="s">
        <v>79</v>
      </c>
      <c r="Z270" s="10" t="s">
        <v>963</v>
      </c>
      <c r="AA270" s="10" t="s">
        <v>113</v>
      </c>
      <c r="AB270" s="41" t="s">
        <v>376</v>
      </c>
      <c r="AC270" s="10"/>
      <c r="AD270" s="9" t="s">
        <v>2414</v>
      </c>
      <c r="AE270" s="10" t="s">
        <v>2535</v>
      </c>
      <c r="AF270" s="10" t="s">
        <v>272</v>
      </c>
      <c r="AG270" s="10" t="s">
        <v>54</v>
      </c>
      <c r="AH270" s="10" t="s">
        <v>357</v>
      </c>
      <c r="AI270" s="10" t="s">
        <v>1960</v>
      </c>
      <c r="AJ270" s="10">
        <v>801264672</v>
      </c>
      <c r="AK270" s="10" t="s">
        <v>1959</v>
      </c>
      <c r="AL270" s="10"/>
      <c r="AM270" s="10"/>
      <c r="AN270" s="11" t="s">
        <v>46</v>
      </c>
      <c r="AO270" s="10"/>
      <c r="AP270" s="10"/>
      <c r="AQ270" s="10"/>
      <c r="AR270" s="2">
        <v>45537</v>
      </c>
      <c r="AS270" s="10">
        <v>43422</v>
      </c>
      <c r="AT270" s="10" t="s">
        <v>47</v>
      </c>
      <c r="AU270" s="10" t="s">
        <v>2622</v>
      </c>
      <c r="AV270" s="36" t="s">
        <v>2657</v>
      </c>
      <c r="AW270" s="1">
        <v>46203</v>
      </c>
    </row>
    <row r="271" spans="1:49" x14ac:dyDescent="0.25">
      <c r="A271" s="9" t="s">
        <v>2039</v>
      </c>
      <c r="B271" s="10" t="s">
        <v>2164</v>
      </c>
      <c r="C271" s="10">
        <v>0</v>
      </c>
      <c r="D271" s="10" t="s">
        <v>91</v>
      </c>
      <c r="E271" s="10"/>
      <c r="F271" s="10"/>
      <c r="G271" s="10"/>
      <c r="H271" s="10" t="s">
        <v>52</v>
      </c>
      <c r="I271" s="10">
        <v>12</v>
      </c>
      <c r="J271" s="10" t="s">
        <v>2287</v>
      </c>
      <c r="K271" s="10" t="s">
        <v>42</v>
      </c>
      <c r="L271" s="10">
        <f>Table1[[#This Row],[ENR]]-Table1[[#This Row],[CREDIT]]</f>
        <v>19403.350000000006</v>
      </c>
      <c r="M271" s="36">
        <v>200000</v>
      </c>
      <c r="N271" s="26">
        <v>219403.35</v>
      </c>
      <c r="O271" s="38" t="s">
        <v>43</v>
      </c>
      <c r="P271" s="25">
        <v>219403.35</v>
      </c>
      <c r="Q271" s="25">
        <v>198776.08</v>
      </c>
      <c r="R271" s="10">
        <v>66560</v>
      </c>
      <c r="S271" s="39">
        <v>46180</v>
      </c>
      <c r="T271" s="10" t="s">
        <v>57</v>
      </c>
      <c r="U271" s="10" t="s">
        <v>13</v>
      </c>
      <c r="V271" s="10">
        <v>219403.35</v>
      </c>
      <c r="W271" s="25">
        <f>Table1[[#This Row],[STAB]]-Table1[[#This Row],[AMOUNT]]</f>
        <v>-173223.35</v>
      </c>
      <c r="X271" s="10" t="s">
        <v>4601</v>
      </c>
      <c r="Y271" s="10" t="s">
        <v>402</v>
      </c>
      <c r="Z271" s="10" t="s">
        <v>1967</v>
      </c>
      <c r="AA271" s="10" t="s">
        <v>113</v>
      </c>
      <c r="AB271" s="36" t="s">
        <v>374</v>
      </c>
      <c r="AC271" s="10"/>
      <c r="AD271" s="9" t="s">
        <v>2409</v>
      </c>
      <c r="AE271" s="10" t="s">
        <v>2530</v>
      </c>
      <c r="AF271" s="10" t="s">
        <v>276</v>
      </c>
      <c r="AG271" s="10" t="s">
        <v>324</v>
      </c>
      <c r="AH271" s="10" t="s">
        <v>354</v>
      </c>
      <c r="AI271" s="10" t="s">
        <v>367</v>
      </c>
      <c r="AJ271" s="10">
        <v>801436997</v>
      </c>
      <c r="AK271" s="10" t="s">
        <v>104</v>
      </c>
      <c r="AL271" s="10"/>
      <c r="AM271" s="10"/>
      <c r="AN271" s="11" t="s">
        <v>390</v>
      </c>
      <c r="AO271" s="10" t="s">
        <v>531</v>
      </c>
      <c r="AP271" s="10" t="s">
        <v>4599</v>
      </c>
      <c r="AQ271" s="10" t="s">
        <v>4591</v>
      </c>
      <c r="AR271" s="2">
        <v>46181</v>
      </c>
      <c r="AS271" s="10">
        <v>10000</v>
      </c>
      <c r="AT271" s="10" t="s">
        <v>47</v>
      </c>
      <c r="AU271" s="10" t="s">
        <v>2622</v>
      </c>
      <c r="AV271" s="36" t="s">
        <v>2652</v>
      </c>
      <c r="AW271" s="1">
        <v>46203</v>
      </c>
    </row>
    <row r="272" spans="1:49" x14ac:dyDescent="0.25">
      <c r="A272" s="9" t="s">
        <v>2024</v>
      </c>
      <c r="B272" s="10" t="s">
        <v>2150</v>
      </c>
      <c r="C272" s="10">
        <v>0</v>
      </c>
      <c r="D272" s="10" t="s">
        <v>91</v>
      </c>
      <c r="E272" s="10"/>
      <c r="F272" s="10"/>
      <c r="G272" s="10"/>
      <c r="H272" s="10" t="s">
        <v>84</v>
      </c>
      <c r="I272" s="10">
        <v>12</v>
      </c>
      <c r="J272" s="10" t="s">
        <v>2273</v>
      </c>
      <c r="K272" s="10" t="s">
        <v>42</v>
      </c>
      <c r="L272" s="10">
        <f>Table1[[#This Row],[ENR]]-Table1[[#This Row],[CREDIT]]</f>
        <v>-191015.33</v>
      </c>
      <c r="M272" s="36">
        <v>410000</v>
      </c>
      <c r="N272" s="26">
        <v>218984.67</v>
      </c>
      <c r="O272" s="38" t="s">
        <v>43</v>
      </c>
      <c r="P272" s="25">
        <v>218984.67</v>
      </c>
      <c r="Q272" s="25">
        <v>206797.12</v>
      </c>
      <c r="R272" s="10">
        <v>48160</v>
      </c>
      <c r="S272" s="39">
        <v>36000</v>
      </c>
      <c r="T272" s="10" t="s">
        <v>57</v>
      </c>
      <c r="U272" s="10" t="s">
        <v>14</v>
      </c>
      <c r="V272" s="25">
        <v>36110</v>
      </c>
      <c r="W272" s="25">
        <f>Table1[[#This Row],[STAB]]-Table1[[#This Row],[AMOUNT]]</f>
        <v>-110</v>
      </c>
      <c r="X272" s="10" t="s">
        <v>4936</v>
      </c>
      <c r="Y272" s="10" t="s">
        <v>402</v>
      </c>
      <c r="Z272" s="10" t="s">
        <v>964</v>
      </c>
      <c r="AA272" s="10" t="s">
        <v>113</v>
      </c>
      <c r="AB272" s="41" t="s">
        <v>376</v>
      </c>
      <c r="AC272" s="10"/>
      <c r="AD272" s="9" t="s">
        <v>2395</v>
      </c>
      <c r="AE272" s="10" t="s">
        <v>2516</v>
      </c>
      <c r="AF272" s="10" t="s">
        <v>275</v>
      </c>
      <c r="AG272" s="10" t="s">
        <v>80</v>
      </c>
      <c r="AH272" s="10" t="s">
        <v>87</v>
      </c>
      <c r="AI272" s="10" t="s">
        <v>368</v>
      </c>
      <c r="AJ272" s="10">
        <v>802823175</v>
      </c>
      <c r="AK272" s="10" t="s">
        <v>105</v>
      </c>
      <c r="AL272" s="10"/>
      <c r="AM272" s="10"/>
      <c r="AN272" s="11" t="s">
        <v>390</v>
      </c>
      <c r="AO272" s="10" t="s">
        <v>398</v>
      </c>
      <c r="AP272" s="10" t="s">
        <v>4565</v>
      </c>
      <c r="AQ272" s="10" t="s">
        <v>4535</v>
      </c>
      <c r="AR272" s="2">
        <v>46182</v>
      </c>
      <c r="AS272" s="10">
        <v>40000</v>
      </c>
      <c r="AT272" s="10" t="s">
        <v>47</v>
      </c>
      <c r="AU272" s="10" t="s">
        <v>2622</v>
      </c>
      <c r="AV272" s="36" t="s">
        <v>2637</v>
      </c>
      <c r="AW272" s="1">
        <v>46203</v>
      </c>
    </row>
    <row r="273" spans="1:49" x14ac:dyDescent="0.25">
      <c r="A273" s="9" t="s">
        <v>2050</v>
      </c>
      <c r="B273" s="10" t="s">
        <v>2175</v>
      </c>
      <c r="C273" s="10">
        <v>0</v>
      </c>
      <c r="D273" s="10" t="s">
        <v>91</v>
      </c>
      <c r="E273" s="10"/>
      <c r="F273" s="10"/>
      <c r="G273" s="10"/>
      <c r="H273" s="10" t="s">
        <v>52</v>
      </c>
      <c r="I273" s="10">
        <v>12</v>
      </c>
      <c r="J273" s="10" t="s">
        <v>2297</v>
      </c>
      <c r="K273" s="10" t="s">
        <v>42</v>
      </c>
      <c r="L273" s="10">
        <f>Table1[[#This Row],[ENR]]-Table1[[#This Row],[CREDIT]]</f>
        <v>97122.510000000009</v>
      </c>
      <c r="M273" s="36">
        <v>120000</v>
      </c>
      <c r="N273" s="26">
        <v>217122.51</v>
      </c>
      <c r="O273" s="38">
        <v>110919.35</v>
      </c>
      <c r="P273" s="25">
        <v>106203.16</v>
      </c>
      <c r="Q273" s="25">
        <v>99028.24</v>
      </c>
      <c r="R273" s="10">
        <v>73280</v>
      </c>
      <c r="S273" s="39">
        <v>32090</v>
      </c>
      <c r="T273" s="10" t="s">
        <v>57</v>
      </c>
      <c r="U273" s="10" t="s">
        <v>14</v>
      </c>
      <c r="V273" s="25">
        <v>32100</v>
      </c>
      <c r="W273" s="25">
        <f>Table1[[#This Row],[STAB]]-Table1[[#This Row],[AMOUNT]]</f>
        <v>-10</v>
      </c>
      <c r="X273" s="10" t="s">
        <v>4591</v>
      </c>
      <c r="Y273" s="10" t="s">
        <v>396</v>
      </c>
      <c r="Z273" s="10" t="s">
        <v>403</v>
      </c>
      <c r="AA273" s="10" t="s">
        <v>113</v>
      </c>
      <c r="AB273" s="36" t="s">
        <v>374</v>
      </c>
      <c r="AC273" s="10"/>
      <c r="AD273" s="9" t="s">
        <v>2420</v>
      </c>
      <c r="AE273" s="10" t="s">
        <v>2541</v>
      </c>
      <c r="AF273" s="10" t="s">
        <v>276</v>
      </c>
      <c r="AG273" s="10" t="s">
        <v>324</v>
      </c>
      <c r="AH273" s="10" t="s">
        <v>354</v>
      </c>
      <c r="AI273" s="10" t="s">
        <v>367</v>
      </c>
      <c r="AJ273" s="10">
        <v>801436997</v>
      </c>
      <c r="AK273" s="10" t="s">
        <v>104</v>
      </c>
      <c r="AL273" s="10"/>
      <c r="AM273" s="10"/>
      <c r="AN273" s="11" t="s">
        <v>390</v>
      </c>
      <c r="AO273" s="10" t="s">
        <v>394</v>
      </c>
      <c r="AP273" s="10" t="s">
        <v>4592</v>
      </c>
      <c r="AQ273" s="10" t="s">
        <v>4591</v>
      </c>
      <c r="AR273" s="2">
        <v>45471</v>
      </c>
      <c r="AS273" s="10">
        <v>9021</v>
      </c>
      <c r="AT273" s="10" t="s">
        <v>47</v>
      </c>
      <c r="AU273" s="10" t="s">
        <v>2622</v>
      </c>
      <c r="AV273" s="36" t="s">
        <v>2663</v>
      </c>
      <c r="AW273" s="1">
        <v>46203</v>
      </c>
    </row>
    <row r="274" spans="1:49" x14ac:dyDescent="0.25">
      <c r="A274" s="40" t="s">
        <v>2105</v>
      </c>
      <c r="B274" s="11" t="s">
        <v>568</v>
      </c>
      <c r="C274" s="10">
        <v>0</v>
      </c>
      <c r="D274" s="10" t="s">
        <v>91</v>
      </c>
      <c r="E274" s="11"/>
      <c r="F274" s="11"/>
      <c r="G274" s="11"/>
      <c r="H274" s="10" t="s">
        <v>52</v>
      </c>
      <c r="I274" s="11">
        <v>12</v>
      </c>
      <c r="J274" s="11" t="s">
        <v>598</v>
      </c>
      <c r="K274" s="11" t="s">
        <v>42</v>
      </c>
      <c r="L274" s="11">
        <f>Table1[[#This Row],[ENR]]-Table1[[#This Row],[CREDIT]]</f>
        <v>-113908.53</v>
      </c>
      <c r="M274" s="41">
        <v>330000</v>
      </c>
      <c r="N274" s="42">
        <v>216091.47</v>
      </c>
      <c r="O274" s="43">
        <v>138306.75</v>
      </c>
      <c r="P274" s="44">
        <v>77784.72</v>
      </c>
      <c r="Q274" s="44">
        <v>66125.16</v>
      </c>
      <c r="R274" s="11">
        <v>77784.72</v>
      </c>
      <c r="S274" s="45">
        <v>36434.120000000003</v>
      </c>
      <c r="T274" s="10" t="s">
        <v>44</v>
      </c>
      <c r="U274" s="10" t="s">
        <v>45</v>
      </c>
      <c r="V274" s="10">
        <v>0</v>
      </c>
      <c r="W274" s="44">
        <f>Table1[[#This Row],[STAB]]-Table1[[#This Row],[AMOUNT]]</f>
        <v>36434.120000000003</v>
      </c>
      <c r="X274" s="10">
        <v>0</v>
      </c>
      <c r="Y274" s="10" t="s">
        <v>79</v>
      </c>
      <c r="Z274" s="10">
        <v>0</v>
      </c>
      <c r="AA274" s="10" t="s">
        <v>113</v>
      </c>
      <c r="AB274" s="36" t="s">
        <v>375</v>
      </c>
      <c r="AC274" s="11"/>
      <c r="AD274" s="40" t="s">
        <v>629</v>
      </c>
      <c r="AE274" s="11" t="s">
        <v>659</v>
      </c>
      <c r="AF274" s="11" t="s">
        <v>498</v>
      </c>
      <c r="AG274" s="11" t="s">
        <v>53</v>
      </c>
      <c r="AH274" s="11" t="s">
        <v>90</v>
      </c>
      <c r="AI274" s="10" t="s">
        <v>162</v>
      </c>
      <c r="AJ274" s="11">
        <v>801772794</v>
      </c>
      <c r="AK274" s="11" t="s">
        <v>361</v>
      </c>
      <c r="AL274" s="11"/>
      <c r="AM274" s="11"/>
      <c r="AN274" s="11" t="s">
        <v>390</v>
      </c>
      <c r="AO274" s="11" t="s">
        <v>398</v>
      </c>
      <c r="AP274" s="11" t="s">
        <v>4641</v>
      </c>
      <c r="AQ274" s="11" t="s">
        <v>4601</v>
      </c>
      <c r="AR274" s="46">
        <v>46100</v>
      </c>
      <c r="AS274" s="11">
        <v>36608</v>
      </c>
      <c r="AT274" s="11" t="s">
        <v>47</v>
      </c>
      <c r="AU274" s="10" t="s">
        <v>2622</v>
      </c>
      <c r="AV274" s="41" t="s">
        <v>2718</v>
      </c>
      <c r="AW274" s="47">
        <v>46203</v>
      </c>
    </row>
    <row r="275" spans="1:49" x14ac:dyDescent="0.25">
      <c r="A275" s="40" t="s">
        <v>2015</v>
      </c>
      <c r="B275" s="11" t="s">
        <v>2141</v>
      </c>
      <c r="C275" s="10">
        <v>0</v>
      </c>
      <c r="D275" s="11" t="s">
        <v>91</v>
      </c>
      <c r="E275" s="11"/>
      <c r="F275" s="11"/>
      <c r="G275" s="11"/>
      <c r="H275" s="10" t="s">
        <v>52</v>
      </c>
      <c r="I275" s="11">
        <v>12</v>
      </c>
      <c r="J275" s="11" t="s">
        <v>2264</v>
      </c>
      <c r="K275" s="11" t="s">
        <v>42</v>
      </c>
      <c r="L275" s="11">
        <f>Table1[[#This Row],[ENR]]-Table1[[#This Row],[CREDIT]]</f>
        <v>21944.679999999993</v>
      </c>
      <c r="M275" s="41">
        <v>190000</v>
      </c>
      <c r="N275" s="42">
        <v>211944.68</v>
      </c>
      <c r="O275" s="43" t="s">
        <v>43</v>
      </c>
      <c r="P275" s="44">
        <v>211944.68</v>
      </c>
      <c r="Q275" s="44">
        <v>188096.87</v>
      </c>
      <c r="R275" s="11">
        <v>64180</v>
      </c>
      <c r="S275" s="45">
        <v>35430</v>
      </c>
      <c r="T275" s="10" t="s">
        <v>57</v>
      </c>
      <c r="U275" s="10" t="s">
        <v>14</v>
      </c>
      <c r="V275" s="25">
        <v>36000</v>
      </c>
      <c r="W275" s="44">
        <f>Table1[[#This Row],[STAB]]-Table1[[#This Row],[AMOUNT]]</f>
        <v>-570</v>
      </c>
      <c r="X275" s="11" t="s">
        <v>4619</v>
      </c>
      <c r="Y275" s="11" t="s">
        <v>402</v>
      </c>
      <c r="Z275" s="10" t="s">
        <v>403</v>
      </c>
      <c r="AA275" s="10" t="s">
        <v>113</v>
      </c>
      <c r="AB275" s="10" t="s">
        <v>133</v>
      </c>
      <c r="AC275" s="11"/>
      <c r="AD275" s="40" t="s">
        <v>2386</v>
      </c>
      <c r="AE275" s="11" t="s">
        <v>2507</v>
      </c>
      <c r="AF275" s="11" t="s">
        <v>686</v>
      </c>
      <c r="AG275" s="11" t="s">
        <v>324</v>
      </c>
      <c r="AH275" s="11" t="s">
        <v>722</v>
      </c>
      <c r="AI275" s="10" t="s">
        <v>370</v>
      </c>
      <c r="AJ275" s="10">
        <v>801448854</v>
      </c>
      <c r="AK275" s="10" t="s">
        <v>105</v>
      </c>
      <c r="AL275" s="11"/>
      <c r="AM275" s="11"/>
      <c r="AN275" s="11" t="s">
        <v>390</v>
      </c>
      <c r="AO275" s="11" t="s">
        <v>398</v>
      </c>
      <c r="AP275" s="11" t="s">
        <v>4603</v>
      </c>
      <c r="AQ275" s="11" t="s">
        <v>4591</v>
      </c>
      <c r="AR275" s="46">
        <v>45626</v>
      </c>
      <c r="AS275" s="11">
        <v>38480</v>
      </c>
      <c r="AT275" s="11" t="s">
        <v>47</v>
      </c>
      <c r="AU275" s="11" t="s">
        <v>2622</v>
      </c>
      <c r="AV275" s="41" t="s">
        <v>2628</v>
      </c>
      <c r="AW275" s="47">
        <v>46203</v>
      </c>
    </row>
    <row r="276" spans="1:49" x14ac:dyDescent="0.25">
      <c r="A276" s="40" t="s">
        <v>1460</v>
      </c>
      <c r="B276" s="11" t="s">
        <v>1524</v>
      </c>
      <c r="C276" s="10">
        <v>0</v>
      </c>
      <c r="D276" s="11" t="s">
        <v>91</v>
      </c>
      <c r="E276" s="11"/>
      <c r="F276" s="11"/>
      <c r="G276" s="11"/>
      <c r="H276" s="10" t="s">
        <v>52</v>
      </c>
      <c r="I276" s="11">
        <v>12</v>
      </c>
      <c r="J276" s="11" t="s">
        <v>1588</v>
      </c>
      <c r="K276" s="11" t="s">
        <v>42</v>
      </c>
      <c r="L276" s="11">
        <f>Table1[[#This Row],[ENR]]-Table1[[#This Row],[CREDIT]]</f>
        <v>119026.72</v>
      </c>
      <c r="M276" s="41">
        <v>90000</v>
      </c>
      <c r="N276" s="42">
        <v>209026.72</v>
      </c>
      <c r="O276" s="43">
        <v>180688.99</v>
      </c>
      <c r="P276" s="44">
        <v>28337.73</v>
      </c>
      <c r="Q276" s="44">
        <v>16829.46</v>
      </c>
      <c r="R276" s="11">
        <v>28337.73</v>
      </c>
      <c r="S276" s="45">
        <v>16002.65</v>
      </c>
      <c r="T276" s="11" t="s">
        <v>44</v>
      </c>
      <c r="U276" s="11" t="s">
        <v>45</v>
      </c>
      <c r="V276" s="11">
        <v>0</v>
      </c>
      <c r="W276" s="44">
        <f>Table1[[#This Row],[STAB]]-Table1[[#This Row],[AMOUNT]]</f>
        <v>16002.65</v>
      </c>
      <c r="X276" s="11">
        <v>0</v>
      </c>
      <c r="Y276" s="11" t="s">
        <v>79</v>
      </c>
      <c r="Z276" s="11">
        <v>0</v>
      </c>
      <c r="AA276" s="10" t="s">
        <v>113</v>
      </c>
      <c r="AB276" s="36" t="s">
        <v>131</v>
      </c>
      <c r="AC276" s="11"/>
      <c r="AD276" s="40" t="s">
        <v>1652</v>
      </c>
      <c r="AE276" s="11" t="s">
        <v>1715</v>
      </c>
      <c r="AF276" s="11" t="s">
        <v>281</v>
      </c>
      <c r="AG276" s="11" t="s">
        <v>54</v>
      </c>
      <c r="AH276" s="11" t="s">
        <v>724</v>
      </c>
      <c r="AI276" s="10" t="s">
        <v>365</v>
      </c>
      <c r="AJ276" s="10">
        <v>802824019</v>
      </c>
      <c r="AK276" s="10" t="s">
        <v>360</v>
      </c>
      <c r="AL276" s="11"/>
      <c r="AM276" s="11"/>
      <c r="AN276" s="11" t="s">
        <v>390</v>
      </c>
      <c r="AO276" s="11" t="s">
        <v>398</v>
      </c>
      <c r="AP276" s="11" t="s">
        <v>4576</v>
      </c>
      <c r="AQ276" s="11" t="s">
        <v>4566</v>
      </c>
      <c r="AR276" s="46">
        <v>45618</v>
      </c>
      <c r="AS276" s="11">
        <v>4000</v>
      </c>
      <c r="AT276" s="11" t="s">
        <v>47</v>
      </c>
      <c r="AU276" s="11" t="s">
        <v>1741</v>
      </c>
      <c r="AV276" s="41" t="s">
        <v>1787</v>
      </c>
      <c r="AW276" s="47">
        <v>46203</v>
      </c>
    </row>
    <row r="277" spans="1:49" x14ac:dyDescent="0.25">
      <c r="A277" s="55" t="s">
        <v>1981</v>
      </c>
      <c r="B277" s="11" t="s">
        <v>1982</v>
      </c>
      <c r="C277" s="10">
        <v>0</v>
      </c>
      <c r="D277" s="11" t="s">
        <v>1993</v>
      </c>
      <c r="E277" s="11"/>
      <c r="F277" s="11"/>
      <c r="G277" s="11"/>
      <c r="H277" s="10" t="s">
        <v>52</v>
      </c>
      <c r="I277" s="11">
        <v>12</v>
      </c>
      <c r="J277" s="11">
        <v>9700423838</v>
      </c>
      <c r="K277" s="11"/>
      <c r="L277" s="11">
        <f>Table1[[#This Row],[ENR]]-Table1[[#This Row],[CREDIT]]</f>
        <v>208602.26</v>
      </c>
      <c r="M277" s="41"/>
      <c r="N277" s="42">
        <v>208602.26</v>
      </c>
      <c r="O277" s="43"/>
      <c r="P277" s="44"/>
      <c r="Q277" s="44"/>
      <c r="R277" s="11"/>
      <c r="S277" s="45"/>
      <c r="T277" s="10" t="s">
        <v>57</v>
      </c>
      <c r="U277" s="10" t="s">
        <v>13</v>
      </c>
      <c r="V277" s="11">
        <v>467524</v>
      </c>
      <c r="W277" s="44">
        <f>Table1[[#This Row],[STAB]]-Table1[[#This Row],[AMOUNT]]</f>
        <v>-467524</v>
      </c>
      <c r="X277" s="11">
        <v>0</v>
      </c>
      <c r="Y277" s="11" t="s">
        <v>388</v>
      </c>
      <c r="Z277" s="10" t="s">
        <v>403</v>
      </c>
      <c r="AA277" s="10" t="s">
        <v>113</v>
      </c>
      <c r="AB277" s="10" t="s">
        <v>113</v>
      </c>
      <c r="AC277" s="11"/>
      <c r="AD277" s="40" t="s">
        <v>1983</v>
      </c>
      <c r="AE277" s="11"/>
      <c r="AF277" s="11" t="s">
        <v>147</v>
      </c>
      <c r="AG277" s="11" t="s">
        <v>148</v>
      </c>
      <c r="AH277" s="11" t="s">
        <v>60</v>
      </c>
      <c r="AI277" s="10" t="s">
        <v>366</v>
      </c>
      <c r="AJ277" s="11">
        <v>802789320</v>
      </c>
      <c r="AK277" s="11" t="s">
        <v>104</v>
      </c>
      <c r="AL277" s="11"/>
      <c r="AM277" s="11"/>
      <c r="AN277" s="11" t="s">
        <v>390</v>
      </c>
      <c r="AO277" s="11"/>
      <c r="AP277" s="11"/>
      <c r="AQ277" s="11"/>
      <c r="AR277" s="46"/>
      <c r="AS277" s="11"/>
      <c r="AT277" s="11"/>
      <c r="AU277" s="11" t="s">
        <v>2748</v>
      </c>
      <c r="AV277" s="41"/>
      <c r="AW277" s="47"/>
    </row>
    <row r="278" spans="1:49" x14ac:dyDescent="0.25">
      <c r="A278" s="9" t="s">
        <v>2058</v>
      </c>
      <c r="B278" s="10" t="s">
        <v>2182</v>
      </c>
      <c r="C278" s="10">
        <v>0</v>
      </c>
      <c r="D278" s="10" t="s">
        <v>91</v>
      </c>
      <c r="E278" s="10"/>
      <c r="F278" s="10"/>
      <c r="G278" s="10"/>
      <c r="H278" s="10" t="s">
        <v>52</v>
      </c>
      <c r="I278" s="10">
        <v>12</v>
      </c>
      <c r="J278" s="10" t="s">
        <v>2304</v>
      </c>
      <c r="K278" s="10" t="s">
        <v>42</v>
      </c>
      <c r="L278" s="10">
        <f>Table1[[#This Row],[ENR]]-Table1[[#This Row],[CREDIT]]</f>
        <v>18466.790000000008</v>
      </c>
      <c r="M278" s="36">
        <v>190000</v>
      </c>
      <c r="N278" s="26">
        <v>208466.79</v>
      </c>
      <c r="O278" s="38" t="s">
        <v>43</v>
      </c>
      <c r="P278" s="25">
        <v>208466.79</v>
      </c>
      <c r="Q278" s="25">
        <v>188027.97</v>
      </c>
      <c r="R278" s="10">
        <v>49400</v>
      </c>
      <c r="S278" s="39">
        <v>20320</v>
      </c>
      <c r="T278" s="10" t="s">
        <v>57</v>
      </c>
      <c r="U278" s="10" t="s">
        <v>13</v>
      </c>
      <c r="V278" s="10">
        <v>49400</v>
      </c>
      <c r="W278" s="25">
        <f>Table1[[#This Row],[STAB]]-Table1[[#This Row],[AMOUNT]]</f>
        <v>-29080</v>
      </c>
      <c r="X278" s="10" t="s">
        <v>4530</v>
      </c>
      <c r="Y278" s="10" t="s">
        <v>402</v>
      </c>
      <c r="Z278" s="10" t="s">
        <v>403</v>
      </c>
      <c r="AA278" s="10" t="s">
        <v>113</v>
      </c>
      <c r="AB278" s="36" t="s">
        <v>132</v>
      </c>
      <c r="AC278" s="10"/>
      <c r="AD278" s="9" t="s">
        <v>2427</v>
      </c>
      <c r="AE278" s="10" t="s">
        <v>2548</v>
      </c>
      <c r="AF278" s="10" t="s">
        <v>281</v>
      </c>
      <c r="AG278" s="10" t="s">
        <v>54</v>
      </c>
      <c r="AH278" s="10" t="s">
        <v>724</v>
      </c>
      <c r="AI278" s="10" t="s">
        <v>365</v>
      </c>
      <c r="AJ278" s="10">
        <v>802824019</v>
      </c>
      <c r="AK278" s="10" t="s">
        <v>360</v>
      </c>
      <c r="AL278" s="10"/>
      <c r="AM278" s="10"/>
      <c r="AN278" s="11" t="s">
        <v>390</v>
      </c>
      <c r="AO278" s="10" t="s">
        <v>392</v>
      </c>
      <c r="AP278" s="10" t="s">
        <v>4567</v>
      </c>
      <c r="AQ278" s="10" t="s">
        <v>4566</v>
      </c>
      <c r="AR278" s="2">
        <v>45448</v>
      </c>
      <c r="AS278" s="10">
        <v>37000</v>
      </c>
      <c r="AT278" s="10" t="s">
        <v>47</v>
      </c>
      <c r="AU278" s="10" t="s">
        <v>2622</v>
      </c>
      <c r="AV278" s="36" t="s">
        <v>2671</v>
      </c>
      <c r="AW278" s="1">
        <v>46203</v>
      </c>
    </row>
    <row r="279" spans="1:49" x14ac:dyDescent="0.25">
      <c r="A279" s="9" t="s">
        <v>2064</v>
      </c>
      <c r="B279" s="10" t="s">
        <v>2188</v>
      </c>
      <c r="C279" s="10">
        <v>0</v>
      </c>
      <c r="D279" s="10" t="s">
        <v>95</v>
      </c>
      <c r="E279" s="10">
        <v>1</v>
      </c>
      <c r="F279" s="10" t="s">
        <v>112</v>
      </c>
      <c r="G279" s="10" t="s">
        <v>4945</v>
      </c>
      <c r="H279" s="10" t="s">
        <v>52</v>
      </c>
      <c r="I279" s="10">
        <v>12</v>
      </c>
      <c r="J279" s="10" t="s">
        <v>2310</v>
      </c>
      <c r="K279" s="10" t="s">
        <v>42</v>
      </c>
      <c r="L279" s="10">
        <f>Table1[[#This Row],[ENR]]-Table1[[#This Row],[CREDIT]]</f>
        <v>187499.92</v>
      </c>
      <c r="M279" s="36">
        <v>20000</v>
      </c>
      <c r="N279" s="26">
        <v>207499.92</v>
      </c>
      <c r="O279" s="38" t="s">
        <v>43</v>
      </c>
      <c r="P279" s="25">
        <v>207499.92</v>
      </c>
      <c r="Q279" s="25">
        <v>193253.8</v>
      </c>
      <c r="R279" s="10">
        <v>202980</v>
      </c>
      <c r="S279" s="39">
        <v>174930</v>
      </c>
      <c r="T279" s="10" t="s">
        <v>44</v>
      </c>
      <c r="U279" s="10" t="s">
        <v>45</v>
      </c>
      <c r="V279" s="10">
        <v>0</v>
      </c>
      <c r="W279" s="25">
        <f>Table1[[#This Row],[STAB]]-Table1[[#This Row],[AMOUNT]]</f>
        <v>174930</v>
      </c>
      <c r="X279" s="10">
        <v>0</v>
      </c>
      <c r="Y279" s="10" t="s">
        <v>79</v>
      </c>
      <c r="Z279" s="10">
        <v>0</v>
      </c>
      <c r="AA279" s="10" t="s">
        <v>113</v>
      </c>
      <c r="AB279" s="36" t="s">
        <v>131</v>
      </c>
      <c r="AC279" s="10"/>
      <c r="AD279" s="9" t="s">
        <v>2433</v>
      </c>
      <c r="AE279" s="10" t="s">
        <v>2554</v>
      </c>
      <c r="AF279" s="10" t="s">
        <v>275</v>
      </c>
      <c r="AG279" s="10" t="s">
        <v>80</v>
      </c>
      <c r="AH279" s="10" t="s">
        <v>524</v>
      </c>
      <c r="AI279" s="10" t="s">
        <v>82</v>
      </c>
      <c r="AJ279" s="10">
        <v>801723195</v>
      </c>
      <c r="AK279" s="10" t="s">
        <v>105</v>
      </c>
      <c r="AL279" s="10"/>
      <c r="AM279" s="10"/>
      <c r="AN279" s="11" t="s">
        <v>46</v>
      </c>
      <c r="AO279" s="10"/>
      <c r="AP279" s="10"/>
      <c r="AQ279" s="10"/>
      <c r="AR279" s="2">
        <v>45473</v>
      </c>
      <c r="AS279" s="10">
        <v>121862.03</v>
      </c>
      <c r="AT279" s="10" t="s">
        <v>47</v>
      </c>
      <c r="AU279" s="10" t="s">
        <v>2622</v>
      </c>
      <c r="AV279" s="36" t="s">
        <v>2677</v>
      </c>
      <c r="AW279" s="1">
        <v>46203</v>
      </c>
    </row>
    <row r="280" spans="1:49" x14ac:dyDescent="0.25">
      <c r="A280" s="9" t="s">
        <v>2033</v>
      </c>
      <c r="B280" s="10" t="s">
        <v>2159</v>
      </c>
      <c r="C280" s="10">
        <v>0</v>
      </c>
      <c r="D280" s="10" t="s">
        <v>91</v>
      </c>
      <c r="E280" s="10"/>
      <c r="F280" s="10"/>
      <c r="G280" s="10"/>
      <c r="H280" s="10" t="s">
        <v>52</v>
      </c>
      <c r="I280" s="10">
        <v>12</v>
      </c>
      <c r="J280" s="10" t="s">
        <v>2282</v>
      </c>
      <c r="K280" s="10" t="s">
        <v>42</v>
      </c>
      <c r="L280" s="10">
        <f>Table1[[#This Row],[ENR]]-Table1[[#This Row],[CREDIT]]</f>
        <v>-135802.93</v>
      </c>
      <c r="M280" s="36">
        <v>340000</v>
      </c>
      <c r="N280" s="26">
        <v>204197.07</v>
      </c>
      <c r="O280" s="38" t="s">
        <v>43</v>
      </c>
      <c r="P280" s="25">
        <v>204197.07</v>
      </c>
      <c r="Q280" s="25">
        <v>193182.67</v>
      </c>
      <c r="R280" s="10">
        <v>24850</v>
      </c>
      <c r="S280" s="39">
        <v>12430</v>
      </c>
      <c r="T280" s="10" t="s">
        <v>57</v>
      </c>
      <c r="U280" s="10" t="s">
        <v>14</v>
      </c>
      <c r="V280" s="25">
        <v>13000</v>
      </c>
      <c r="W280" s="25">
        <f>Table1[[#This Row],[STAB]]-Table1[[#This Row],[AMOUNT]]</f>
        <v>-570</v>
      </c>
      <c r="X280" s="10" t="s">
        <v>4619</v>
      </c>
      <c r="Y280" s="10" t="s">
        <v>388</v>
      </c>
      <c r="Z280" s="10" t="s">
        <v>964</v>
      </c>
      <c r="AA280" s="10" t="s">
        <v>113</v>
      </c>
      <c r="AB280" s="36" t="s">
        <v>131</v>
      </c>
      <c r="AC280" s="10"/>
      <c r="AD280" s="9" t="s">
        <v>2404</v>
      </c>
      <c r="AE280" s="10" t="s">
        <v>2525</v>
      </c>
      <c r="AF280" s="10" t="s">
        <v>686</v>
      </c>
      <c r="AG280" s="10" t="s">
        <v>324</v>
      </c>
      <c r="AH280" s="10" t="s">
        <v>722</v>
      </c>
      <c r="AI280" s="10" t="s">
        <v>370</v>
      </c>
      <c r="AJ280" s="10">
        <v>801448854</v>
      </c>
      <c r="AK280" s="10" t="s">
        <v>105</v>
      </c>
      <c r="AL280" s="10"/>
      <c r="AM280" s="10"/>
      <c r="AN280" s="11" t="s">
        <v>390</v>
      </c>
      <c r="AO280" s="10" t="s">
        <v>398</v>
      </c>
      <c r="AP280" s="10" t="s">
        <v>4609</v>
      </c>
      <c r="AQ280" s="10" t="s">
        <v>4591</v>
      </c>
      <c r="AR280" s="2">
        <v>46180</v>
      </c>
      <c r="AS280" s="10">
        <v>23750</v>
      </c>
      <c r="AT280" s="10" t="s">
        <v>47</v>
      </c>
      <c r="AU280" s="10" t="s">
        <v>2622</v>
      </c>
      <c r="AV280" s="36" t="s">
        <v>2646</v>
      </c>
      <c r="AW280" s="1">
        <v>46203</v>
      </c>
    </row>
    <row r="281" spans="1:49" x14ac:dyDescent="0.25">
      <c r="A281" s="9" t="s">
        <v>1418</v>
      </c>
      <c r="B281" s="10" t="s">
        <v>1485</v>
      </c>
      <c r="C281" s="10">
        <v>0</v>
      </c>
      <c r="D281" s="10" t="s">
        <v>91</v>
      </c>
      <c r="E281" s="10"/>
      <c r="F281" s="10"/>
      <c r="G281" s="10"/>
      <c r="H281" s="10" t="s">
        <v>52</v>
      </c>
      <c r="I281" s="10">
        <v>12</v>
      </c>
      <c r="J281" s="10" t="s">
        <v>1549</v>
      </c>
      <c r="K281" s="10" t="s">
        <v>42</v>
      </c>
      <c r="L281" s="10">
        <f>Table1[[#This Row],[ENR]]-Table1[[#This Row],[CREDIT]]</f>
        <v>21369.950000000012</v>
      </c>
      <c r="M281" s="36">
        <v>180000</v>
      </c>
      <c r="N281" s="26">
        <v>201369.95</v>
      </c>
      <c r="O281" s="38">
        <v>165872.57</v>
      </c>
      <c r="P281" s="25">
        <v>35497.379999999997</v>
      </c>
      <c r="Q281" s="25">
        <v>12556.43</v>
      </c>
      <c r="R281" s="10">
        <v>35497.379999999997</v>
      </c>
      <c r="S281" s="39">
        <v>24362.02</v>
      </c>
      <c r="T281" s="10" t="s">
        <v>57</v>
      </c>
      <c r="U281" s="10" t="s">
        <v>14</v>
      </c>
      <c r="V281" s="25">
        <v>30000</v>
      </c>
      <c r="W281" s="25">
        <f>Table1[[#This Row],[STAB]]-Table1[[#This Row],[AMOUNT]]</f>
        <v>-5637.98</v>
      </c>
      <c r="X281" s="10" t="s">
        <v>4591</v>
      </c>
      <c r="Y281" s="10" t="s">
        <v>402</v>
      </c>
      <c r="Z281" s="10" t="s">
        <v>403</v>
      </c>
      <c r="AA281" s="10" t="s">
        <v>113</v>
      </c>
      <c r="AB281" s="36" t="s">
        <v>132</v>
      </c>
      <c r="AC281" s="10"/>
      <c r="AD281" s="9" t="s">
        <v>1613</v>
      </c>
      <c r="AE281" s="10" t="s">
        <v>1676</v>
      </c>
      <c r="AF281" s="10" t="s">
        <v>685</v>
      </c>
      <c r="AG281" s="10" t="s">
        <v>54</v>
      </c>
      <c r="AH281" s="10" t="s">
        <v>1398</v>
      </c>
      <c r="AI281" s="10" t="s">
        <v>162</v>
      </c>
      <c r="AJ281" s="10">
        <v>801772794</v>
      </c>
      <c r="AK281" s="10" t="s">
        <v>361</v>
      </c>
      <c r="AL281" s="10"/>
      <c r="AM281" s="10"/>
      <c r="AN281" s="11" t="s">
        <v>390</v>
      </c>
      <c r="AO281" s="10"/>
      <c r="AP281" s="10"/>
      <c r="AQ281" s="10"/>
      <c r="AR281" s="2">
        <v>45534</v>
      </c>
      <c r="AS281" s="10">
        <v>35660</v>
      </c>
      <c r="AT281" s="10" t="s">
        <v>47</v>
      </c>
      <c r="AU281" s="10" t="s">
        <v>1741</v>
      </c>
      <c r="AV281" s="36" t="s">
        <v>1745</v>
      </c>
      <c r="AW281" s="1">
        <v>46203</v>
      </c>
    </row>
    <row r="282" spans="1:49" x14ac:dyDescent="0.25">
      <c r="A282" s="9" t="s">
        <v>2045</v>
      </c>
      <c r="B282" s="10" t="s">
        <v>2170</v>
      </c>
      <c r="C282" s="10">
        <v>0</v>
      </c>
      <c r="D282" s="10" t="s">
        <v>91</v>
      </c>
      <c r="E282" s="10"/>
      <c r="F282" s="10"/>
      <c r="G282" s="10"/>
      <c r="H282" s="10" t="s">
        <v>52</v>
      </c>
      <c r="I282" s="10">
        <v>12</v>
      </c>
      <c r="J282" s="10" t="s">
        <v>2292</v>
      </c>
      <c r="K282" s="10" t="s">
        <v>42</v>
      </c>
      <c r="L282" s="10">
        <f>Table1[[#This Row],[ENR]]-Table1[[#This Row],[CREDIT]]</f>
        <v>-19802.309999999998</v>
      </c>
      <c r="M282" s="36">
        <v>220000</v>
      </c>
      <c r="N282" s="26">
        <v>200197.69</v>
      </c>
      <c r="O282" s="38">
        <v>121675.96</v>
      </c>
      <c r="P282" s="25">
        <v>78521.73</v>
      </c>
      <c r="Q282" s="25">
        <v>72458.720000000001</v>
      </c>
      <c r="R282" s="10">
        <v>49770</v>
      </c>
      <c r="S282" s="39">
        <v>21520</v>
      </c>
      <c r="T282" s="10" t="s">
        <v>44</v>
      </c>
      <c r="U282" s="10" t="s">
        <v>45</v>
      </c>
      <c r="V282" s="10">
        <v>0</v>
      </c>
      <c r="W282" s="25">
        <f>Table1[[#This Row],[STAB]]-Table1[[#This Row],[AMOUNT]]</f>
        <v>21520</v>
      </c>
      <c r="X282" s="10">
        <v>0</v>
      </c>
      <c r="Y282" s="10" t="s">
        <v>79</v>
      </c>
      <c r="Z282" s="10">
        <v>0</v>
      </c>
      <c r="AA282" s="10" t="s">
        <v>113</v>
      </c>
      <c r="AB282" s="36" t="s">
        <v>131</v>
      </c>
      <c r="AC282" s="10"/>
      <c r="AD282" s="9" t="s">
        <v>2415</v>
      </c>
      <c r="AE282" s="10" t="s">
        <v>2536</v>
      </c>
      <c r="AF282" s="10" t="s">
        <v>273</v>
      </c>
      <c r="AG282" s="10" t="s">
        <v>323</v>
      </c>
      <c r="AH282" s="10" t="s">
        <v>4528</v>
      </c>
      <c r="AI282" s="10" t="s">
        <v>363</v>
      </c>
      <c r="AJ282" s="10">
        <v>802913252</v>
      </c>
      <c r="AK282" s="10" t="s">
        <v>104</v>
      </c>
      <c r="AL282" s="10"/>
      <c r="AM282" s="10"/>
      <c r="AN282" s="11" t="s">
        <v>390</v>
      </c>
      <c r="AO282" s="10" t="s">
        <v>392</v>
      </c>
      <c r="AP282" s="10" t="s">
        <v>4974</v>
      </c>
      <c r="AQ282" s="10" t="s">
        <v>4923</v>
      </c>
      <c r="AR282" s="2">
        <v>45931</v>
      </c>
      <c r="AS282" s="10">
        <v>3000</v>
      </c>
      <c r="AT282" s="10" t="s">
        <v>47</v>
      </c>
      <c r="AU282" s="10" t="s">
        <v>2622</v>
      </c>
      <c r="AV282" s="36" t="s">
        <v>2658</v>
      </c>
      <c r="AW282" s="1">
        <v>46203</v>
      </c>
    </row>
    <row r="283" spans="1:49" x14ac:dyDescent="0.25">
      <c r="A283" s="9" t="s">
        <v>2066</v>
      </c>
      <c r="B283" s="10" t="s">
        <v>2190</v>
      </c>
      <c r="C283" s="10">
        <v>0</v>
      </c>
      <c r="D283" s="10" t="s">
        <v>91</v>
      </c>
      <c r="E283" s="10"/>
      <c r="F283" s="10"/>
      <c r="G283" s="10"/>
      <c r="H283" s="10" t="s">
        <v>52</v>
      </c>
      <c r="I283" s="10">
        <v>12</v>
      </c>
      <c r="J283" s="10" t="s">
        <v>2312</v>
      </c>
      <c r="K283" s="10" t="s">
        <v>42</v>
      </c>
      <c r="L283" s="10">
        <f>Table1[[#This Row],[ENR]]-Table1[[#This Row],[CREDIT]]</f>
        <v>-21195.190000000002</v>
      </c>
      <c r="M283" s="36">
        <v>220000</v>
      </c>
      <c r="N283" s="26">
        <v>198804.81</v>
      </c>
      <c r="O283" s="38" t="s">
        <v>43</v>
      </c>
      <c r="P283" s="25">
        <v>198804.81</v>
      </c>
      <c r="Q283" s="25">
        <v>180180.14</v>
      </c>
      <c r="R283" s="10">
        <v>29610</v>
      </c>
      <c r="S283" s="39">
        <v>10700</v>
      </c>
      <c r="T283" s="10" t="s">
        <v>57</v>
      </c>
      <c r="U283" s="10" t="s">
        <v>13</v>
      </c>
      <c r="V283" s="10">
        <v>29610</v>
      </c>
      <c r="W283" s="25">
        <f>Table1[[#This Row],[STAB]]-Table1[[#This Row],[AMOUNT]]</f>
        <v>-18910</v>
      </c>
      <c r="X283" s="10" t="s">
        <v>4566</v>
      </c>
      <c r="Y283" s="10" t="s">
        <v>402</v>
      </c>
      <c r="Z283" s="10" t="s">
        <v>403</v>
      </c>
      <c r="AA283" s="10" t="s">
        <v>113</v>
      </c>
      <c r="AB283" s="36" t="s">
        <v>132</v>
      </c>
      <c r="AC283" s="10"/>
      <c r="AD283" s="9" t="s">
        <v>2435</v>
      </c>
      <c r="AE283" s="10" t="s">
        <v>2556</v>
      </c>
      <c r="AF283" s="10" t="s">
        <v>685</v>
      </c>
      <c r="AG283" s="10" t="s">
        <v>54</v>
      </c>
      <c r="AH283" s="10" t="s">
        <v>1398</v>
      </c>
      <c r="AI283" s="10" t="s">
        <v>162</v>
      </c>
      <c r="AJ283" s="10">
        <v>801772794</v>
      </c>
      <c r="AK283" s="10" t="s">
        <v>361</v>
      </c>
      <c r="AL283" s="10"/>
      <c r="AM283" s="10"/>
      <c r="AN283" s="11" t="s">
        <v>390</v>
      </c>
      <c r="AO283" s="10"/>
      <c r="AP283" s="10"/>
      <c r="AQ283" s="10"/>
      <c r="AR283" s="2">
        <v>45975</v>
      </c>
      <c r="AS283" s="10">
        <v>48332</v>
      </c>
      <c r="AT283" s="10" t="s">
        <v>47</v>
      </c>
      <c r="AU283" s="10" t="s">
        <v>2622</v>
      </c>
      <c r="AV283" s="36" t="s">
        <v>2679</v>
      </c>
      <c r="AW283" s="1">
        <v>46203</v>
      </c>
    </row>
    <row r="284" spans="1:49" x14ac:dyDescent="0.25">
      <c r="A284" s="9" t="s">
        <v>1415</v>
      </c>
      <c r="B284" s="10" t="s">
        <v>1482</v>
      </c>
      <c r="C284" s="10">
        <v>0</v>
      </c>
      <c r="D284" s="10" t="s">
        <v>91</v>
      </c>
      <c r="E284" s="10"/>
      <c r="F284" s="10"/>
      <c r="G284" s="10"/>
      <c r="H284" s="10" t="s">
        <v>52</v>
      </c>
      <c r="I284" s="10">
        <v>12</v>
      </c>
      <c r="J284" s="10" t="s">
        <v>1546</v>
      </c>
      <c r="K284" s="10" t="s">
        <v>42</v>
      </c>
      <c r="L284" s="10">
        <f>Table1[[#This Row],[ENR]]-Table1[[#This Row],[CREDIT]]</f>
        <v>-13870.380000000005</v>
      </c>
      <c r="M284" s="36">
        <v>200000</v>
      </c>
      <c r="N284" s="26">
        <v>186129.62</v>
      </c>
      <c r="O284" s="38">
        <v>47761.599999999999</v>
      </c>
      <c r="P284" s="25">
        <v>138368.01999999999</v>
      </c>
      <c r="Q284" s="25">
        <v>129454.9</v>
      </c>
      <c r="R284" s="10">
        <v>39530</v>
      </c>
      <c r="S284" s="39">
        <v>7300</v>
      </c>
      <c r="T284" s="10" t="s">
        <v>57</v>
      </c>
      <c r="U284" s="10" t="s">
        <v>13</v>
      </c>
      <c r="V284" s="10">
        <v>40000</v>
      </c>
      <c r="W284" s="25">
        <f>Table1[[#This Row],[STAB]]-Table1[[#This Row],[AMOUNT]]</f>
        <v>-32700</v>
      </c>
      <c r="X284" s="10" t="s">
        <v>4530</v>
      </c>
      <c r="Y284" s="10" t="s">
        <v>402</v>
      </c>
      <c r="Z284" s="10" t="s">
        <v>403</v>
      </c>
      <c r="AA284" s="10" t="s">
        <v>113</v>
      </c>
      <c r="AB284" s="36" t="s">
        <v>375</v>
      </c>
      <c r="AC284" s="10"/>
      <c r="AD284" s="9" t="s">
        <v>1610</v>
      </c>
      <c r="AE284" s="10" t="s">
        <v>1673</v>
      </c>
      <c r="AF284" s="10" t="s">
        <v>685</v>
      </c>
      <c r="AG284" s="10" t="s">
        <v>54</v>
      </c>
      <c r="AH284" s="10" t="s">
        <v>1398</v>
      </c>
      <c r="AI284" s="10" t="s">
        <v>162</v>
      </c>
      <c r="AJ284" s="10">
        <v>801772794</v>
      </c>
      <c r="AK284" s="10" t="s">
        <v>361</v>
      </c>
      <c r="AL284" s="10"/>
      <c r="AM284" s="10"/>
      <c r="AN284" s="11" t="s">
        <v>390</v>
      </c>
      <c r="AO284" s="10"/>
      <c r="AP284" s="10"/>
      <c r="AQ284" s="10"/>
      <c r="AR284" s="2">
        <v>45953</v>
      </c>
      <c r="AS284" s="10">
        <v>21006.92</v>
      </c>
      <c r="AT284" s="10" t="s">
        <v>503</v>
      </c>
      <c r="AU284" s="10" t="s">
        <v>1741</v>
      </c>
      <c r="AV284" s="36" t="s">
        <v>1742</v>
      </c>
      <c r="AW284" s="1">
        <v>46203</v>
      </c>
    </row>
    <row r="285" spans="1:49" x14ac:dyDescent="0.25">
      <c r="A285" s="9" t="s">
        <v>2029</v>
      </c>
      <c r="B285" s="10" t="s">
        <v>2155</v>
      </c>
      <c r="C285" s="10">
        <v>0</v>
      </c>
      <c r="D285" s="10" t="s">
        <v>91</v>
      </c>
      <c r="E285" s="10"/>
      <c r="F285" s="10"/>
      <c r="G285" s="10"/>
      <c r="H285" s="10" t="s">
        <v>52</v>
      </c>
      <c r="I285" s="10">
        <v>12</v>
      </c>
      <c r="J285" s="10" t="s">
        <v>2278</v>
      </c>
      <c r="K285" s="10" t="s">
        <v>42</v>
      </c>
      <c r="L285" s="10">
        <f>Table1[[#This Row],[ENR]]-Table1[[#This Row],[CREDIT]]</f>
        <v>4461.3099999999977</v>
      </c>
      <c r="M285" s="36">
        <v>180000</v>
      </c>
      <c r="N285" s="26">
        <v>184461.31</v>
      </c>
      <c r="O285" s="38" t="s">
        <v>43</v>
      </c>
      <c r="P285" s="25">
        <v>184461.31</v>
      </c>
      <c r="Q285" s="25">
        <v>170980.37</v>
      </c>
      <c r="R285" s="10">
        <v>45240</v>
      </c>
      <c r="S285" s="39">
        <v>23890</v>
      </c>
      <c r="T285" s="10" t="s">
        <v>57</v>
      </c>
      <c r="U285" s="10" t="s">
        <v>13</v>
      </c>
      <c r="V285" s="25">
        <v>184461.31</v>
      </c>
      <c r="W285" s="25">
        <f>Table1[[#This Row],[STAB]]-Table1[[#This Row],[AMOUNT]]</f>
        <v>-160571.31</v>
      </c>
      <c r="X285" s="10" t="s">
        <v>4566</v>
      </c>
      <c r="Y285" s="10" t="s">
        <v>402</v>
      </c>
      <c r="Z285" s="10" t="s">
        <v>403</v>
      </c>
      <c r="AA285" s="10" t="s">
        <v>113</v>
      </c>
      <c r="AB285" s="10" t="s">
        <v>133</v>
      </c>
      <c r="AC285" s="10"/>
      <c r="AD285" s="9" t="s">
        <v>2400</v>
      </c>
      <c r="AE285" s="10" t="s">
        <v>2521</v>
      </c>
      <c r="AF285" s="10" t="s">
        <v>272</v>
      </c>
      <c r="AG285" s="10" t="s">
        <v>54</v>
      </c>
      <c r="AH285" s="10" t="s">
        <v>357</v>
      </c>
      <c r="AI285" s="10" t="s">
        <v>1960</v>
      </c>
      <c r="AJ285" s="10">
        <v>801264672</v>
      </c>
      <c r="AK285" s="10" t="s">
        <v>1959</v>
      </c>
      <c r="AL285" s="10"/>
      <c r="AM285" s="10"/>
      <c r="AN285" s="11" t="s">
        <v>390</v>
      </c>
      <c r="AO285" s="10"/>
      <c r="AP285" s="10"/>
      <c r="AQ285" s="10"/>
      <c r="AR285" s="2">
        <v>45502</v>
      </c>
      <c r="AS285" s="10">
        <v>70000</v>
      </c>
      <c r="AT285" s="10" t="s">
        <v>47</v>
      </c>
      <c r="AU285" s="10" t="s">
        <v>2622</v>
      </c>
      <c r="AV285" s="36" t="s">
        <v>2642</v>
      </c>
      <c r="AW285" s="1">
        <v>46203</v>
      </c>
    </row>
    <row r="286" spans="1:49" x14ac:dyDescent="0.25">
      <c r="A286" s="9" t="s">
        <v>2102</v>
      </c>
      <c r="B286" s="10" t="s">
        <v>2226</v>
      </c>
      <c r="C286" s="10">
        <v>0</v>
      </c>
      <c r="D286" s="10" t="s">
        <v>91</v>
      </c>
      <c r="E286" s="10"/>
      <c r="F286" s="10"/>
      <c r="G286" s="10"/>
      <c r="H286" s="10" t="s">
        <v>52</v>
      </c>
      <c r="I286" s="10">
        <v>12</v>
      </c>
      <c r="J286" s="10" t="s">
        <v>2348</v>
      </c>
      <c r="K286" s="10" t="s">
        <v>42</v>
      </c>
      <c r="L286" s="10">
        <f>Table1[[#This Row],[ENR]]-Table1[[#This Row],[CREDIT]]</f>
        <v>-18954.119999999995</v>
      </c>
      <c r="M286" s="36">
        <v>200000</v>
      </c>
      <c r="N286" s="26">
        <v>181045.88</v>
      </c>
      <c r="O286" s="38" t="s">
        <v>43</v>
      </c>
      <c r="P286" s="25">
        <v>181045.88</v>
      </c>
      <c r="Q286" s="25">
        <v>160200</v>
      </c>
      <c r="R286" s="10">
        <v>36470</v>
      </c>
      <c r="S286" s="39">
        <v>19640</v>
      </c>
      <c r="T286" s="10" t="s">
        <v>57</v>
      </c>
      <c r="U286" s="10" t="s">
        <v>13</v>
      </c>
      <c r="V286" s="10">
        <v>181045.88</v>
      </c>
      <c r="W286" s="25">
        <f>Table1[[#This Row],[STAB]]-Table1[[#This Row],[AMOUNT]]</f>
        <v>-161405.88</v>
      </c>
      <c r="X286" s="10" t="s">
        <v>4591</v>
      </c>
      <c r="Y286" s="10" t="s">
        <v>402</v>
      </c>
      <c r="Z286" s="10" t="s">
        <v>403</v>
      </c>
      <c r="AA286" s="10" t="s">
        <v>113</v>
      </c>
      <c r="AB286" s="36" t="s">
        <v>375</v>
      </c>
      <c r="AC286" s="10"/>
      <c r="AD286" s="9" t="s">
        <v>2471</v>
      </c>
      <c r="AE286" s="10" t="s">
        <v>2592</v>
      </c>
      <c r="AF286" s="10" t="s">
        <v>272</v>
      </c>
      <c r="AG286" s="10" t="s">
        <v>54</v>
      </c>
      <c r="AH286" s="10" t="s">
        <v>357</v>
      </c>
      <c r="AI286" s="10" t="s">
        <v>1960</v>
      </c>
      <c r="AJ286" s="10">
        <v>801264672</v>
      </c>
      <c r="AK286" s="10" t="s">
        <v>1959</v>
      </c>
      <c r="AL286" s="10"/>
      <c r="AM286" s="10"/>
      <c r="AN286" s="11" t="s">
        <v>390</v>
      </c>
      <c r="AO286" s="10" t="s">
        <v>392</v>
      </c>
      <c r="AP286" s="10" t="s">
        <v>4612</v>
      </c>
      <c r="AQ286" s="10" t="s">
        <v>4591</v>
      </c>
      <c r="AR286" s="2" t="s">
        <v>43</v>
      </c>
      <c r="AS286" s="10">
        <v>0</v>
      </c>
      <c r="AT286" s="10" t="s">
        <v>47</v>
      </c>
      <c r="AU286" s="10" t="s">
        <v>2622</v>
      </c>
      <c r="AV286" s="36" t="s">
        <v>2715</v>
      </c>
      <c r="AW286" s="1">
        <v>46203</v>
      </c>
    </row>
    <row r="287" spans="1:49" x14ac:dyDescent="0.25">
      <c r="A287" s="9" t="s">
        <v>2070</v>
      </c>
      <c r="B287" s="10" t="s">
        <v>2194</v>
      </c>
      <c r="C287" s="10">
        <v>0</v>
      </c>
      <c r="D287" s="10" t="s">
        <v>91</v>
      </c>
      <c r="E287" s="10"/>
      <c r="F287" s="10"/>
      <c r="G287" s="10"/>
      <c r="H287" s="10" t="s">
        <v>52</v>
      </c>
      <c r="I287" s="10">
        <v>12</v>
      </c>
      <c r="J287" s="10" t="s">
        <v>2316</v>
      </c>
      <c r="K287" s="10" t="s">
        <v>42</v>
      </c>
      <c r="L287" s="10">
        <f>Table1[[#This Row],[ENR]]-Table1[[#This Row],[CREDIT]]</f>
        <v>-9603.929999999993</v>
      </c>
      <c r="M287" s="36">
        <v>190000</v>
      </c>
      <c r="N287" s="26">
        <v>180396.07</v>
      </c>
      <c r="O287" s="38">
        <v>65601.89</v>
      </c>
      <c r="P287" s="25">
        <v>114794.18</v>
      </c>
      <c r="Q287" s="25">
        <v>103792.61</v>
      </c>
      <c r="R287" s="10">
        <v>55550</v>
      </c>
      <c r="S287" s="39">
        <v>23981.46</v>
      </c>
      <c r="T287" s="10" t="s">
        <v>57</v>
      </c>
      <c r="U287" s="10" t="s">
        <v>14</v>
      </c>
      <c r="V287" s="25">
        <v>24090</v>
      </c>
      <c r="W287" s="25">
        <f>Table1[[#This Row],[STAB]]-Table1[[#This Row],[AMOUNT]]</f>
        <v>-108.54000000000087</v>
      </c>
      <c r="X287" s="10" t="s">
        <v>4566</v>
      </c>
      <c r="Y287" s="10" t="s">
        <v>402</v>
      </c>
      <c r="Z287" s="10" t="s">
        <v>403</v>
      </c>
      <c r="AA287" s="10" t="s">
        <v>113</v>
      </c>
      <c r="AB287" s="36" t="s">
        <v>374</v>
      </c>
      <c r="AC287" s="10"/>
      <c r="AD287" s="9" t="s">
        <v>2439</v>
      </c>
      <c r="AE287" s="10" t="s">
        <v>2560</v>
      </c>
      <c r="AF287" s="10" t="s">
        <v>275</v>
      </c>
      <c r="AG287" s="10" t="s">
        <v>80</v>
      </c>
      <c r="AH287" s="10" t="s">
        <v>87</v>
      </c>
      <c r="AI287" s="10" t="s">
        <v>368</v>
      </c>
      <c r="AJ287" s="10">
        <v>802823175</v>
      </c>
      <c r="AK287" s="10" t="s">
        <v>105</v>
      </c>
      <c r="AL287" s="10"/>
      <c r="AM287" s="10"/>
      <c r="AN287" s="11" t="s">
        <v>390</v>
      </c>
      <c r="AO287" s="10"/>
      <c r="AP287" s="10"/>
      <c r="AQ287" s="10"/>
      <c r="AR287" s="2">
        <v>45441</v>
      </c>
      <c r="AS287" s="10">
        <v>13006.77</v>
      </c>
      <c r="AT287" s="10" t="s">
        <v>47</v>
      </c>
      <c r="AU287" s="10" t="s">
        <v>2622</v>
      </c>
      <c r="AV287" s="36" t="s">
        <v>2683</v>
      </c>
      <c r="AW287" s="1">
        <v>46203</v>
      </c>
    </row>
    <row r="288" spans="1:49" x14ac:dyDescent="0.25">
      <c r="A288" s="9" t="s">
        <v>1428</v>
      </c>
      <c r="B288" s="10" t="s">
        <v>1495</v>
      </c>
      <c r="C288" s="10">
        <v>0</v>
      </c>
      <c r="D288" s="10" t="s">
        <v>91</v>
      </c>
      <c r="E288" s="10"/>
      <c r="F288" s="10" t="s">
        <v>112</v>
      </c>
      <c r="G288" s="10" t="s">
        <v>4949</v>
      </c>
      <c r="H288" s="10" t="s">
        <v>52</v>
      </c>
      <c r="I288" s="10">
        <v>12</v>
      </c>
      <c r="J288" s="10" t="s">
        <v>1559</v>
      </c>
      <c r="K288" s="10" t="s">
        <v>42</v>
      </c>
      <c r="L288" s="10">
        <f>Table1[[#This Row],[ENR]]-Table1[[#This Row],[CREDIT]]</f>
        <v>9094.5100000000093</v>
      </c>
      <c r="M288" s="36">
        <v>170000</v>
      </c>
      <c r="N288" s="26">
        <v>179094.51</v>
      </c>
      <c r="O288" s="38">
        <v>65292.639999999999</v>
      </c>
      <c r="P288" s="25">
        <v>113801.87</v>
      </c>
      <c r="Q288" s="25">
        <v>103300.51</v>
      </c>
      <c r="R288" s="10">
        <v>31170</v>
      </c>
      <c r="S288" s="39">
        <v>15510</v>
      </c>
      <c r="T288" s="10" t="s">
        <v>57</v>
      </c>
      <c r="U288" s="10" t="s">
        <v>14</v>
      </c>
      <c r="V288" s="25">
        <v>16500</v>
      </c>
      <c r="W288" s="25">
        <f>Table1[[#This Row],[STAB]]-Table1[[#This Row],[AMOUNT]]</f>
        <v>-990</v>
      </c>
      <c r="X288" s="10" t="s">
        <v>4619</v>
      </c>
      <c r="Y288" s="10" t="s">
        <v>402</v>
      </c>
      <c r="Z288" s="10" t="s">
        <v>1968</v>
      </c>
      <c r="AA288" s="10" t="s">
        <v>113</v>
      </c>
      <c r="AB288" s="10" t="s">
        <v>133</v>
      </c>
      <c r="AC288" s="10"/>
      <c r="AD288" s="9" t="s">
        <v>1623</v>
      </c>
      <c r="AE288" s="10" t="s">
        <v>1686</v>
      </c>
      <c r="AF288" s="10" t="s">
        <v>274</v>
      </c>
      <c r="AG288" s="10" t="s">
        <v>53</v>
      </c>
      <c r="AH288" s="10" t="s">
        <v>55</v>
      </c>
      <c r="AI288" s="10" t="s">
        <v>365</v>
      </c>
      <c r="AJ288" s="10">
        <v>802824019</v>
      </c>
      <c r="AK288" s="10" t="s">
        <v>360</v>
      </c>
      <c r="AL288" s="10"/>
      <c r="AM288" s="10"/>
      <c r="AN288" s="11" t="s">
        <v>390</v>
      </c>
      <c r="AO288" s="10"/>
      <c r="AP288" s="10"/>
      <c r="AQ288" s="10"/>
      <c r="AR288" s="2">
        <v>45625</v>
      </c>
      <c r="AS288" s="10">
        <v>40000</v>
      </c>
      <c r="AT288" s="10" t="s">
        <v>47</v>
      </c>
      <c r="AU288" s="10" t="s">
        <v>1741</v>
      </c>
      <c r="AV288" s="36" t="s">
        <v>1755</v>
      </c>
      <c r="AW288" s="1">
        <v>46203</v>
      </c>
    </row>
    <row r="289" spans="1:49" x14ac:dyDescent="0.25">
      <c r="A289" s="9" t="s">
        <v>2052</v>
      </c>
      <c r="B289" s="10" t="s">
        <v>2177</v>
      </c>
      <c r="C289" s="10">
        <v>0</v>
      </c>
      <c r="D289" s="10" t="s">
        <v>91</v>
      </c>
      <c r="E289" s="10"/>
      <c r="F289" s="10"/>
      <c r="G289" s="10"/>
      <c r="H289" s="10" t="s">
        <v>52</v>
      </c>
      <c r="I289" s="10">
        <v>12</v>
      </c>
      <c r="J289" s="10" t="s">
        <v>2299</v>
      </c>
      <c r="K289" s="10" t="s">
        <v>42</v>
      </c>
      <c r="L289" s="10">
        <f>Table1[[#This Row],[ENR]]-Table1[[#This Row],[CREDIT]]</f>
        <v>96020.799999999988</v>
      </c>
      <c r="M289" s="36">
        <v>80000</v>
      </c>
      <c r="N289" s="26">
        <v>176020.8</v>
      </c>
      <c r="O289" s="38">
        <v>82664.56</v>
      </c>
      <c r="P289" s="25">
        <v>93356.24</v>
      </c>
      <c r="Q289" s="25">
        <v>79216.070000000007</v>
      </c>
      <c r="R289" s="10">
        <v>41560</v>
      </c>
      <c r="S289" s="39">
        <v>19060</v>
      </c>
      <c r="T289" s="10" t="s">
        <v>44</v>
      </c>
      <c r="U289" s="10" t="s">
        <v>45</v>
      </c>
      <c r="V289" s="10">
        <v>0</v>
      </c>
      <c r="W289" s="25">
        <f>Table1[[#This Row],[STAB]]-Table1[[#This Row],[AMOUNT]]</f>
        <v>19060</v>
      </c>
      <c r="X289" s="10">
        <v>0</v>
      </c>
      <c r="Y289" s="10" t="s">
        <v>79</v>
      </c>
      <c r="Z289" s="10">
        <v>0</v>
      </c>
      <c r="AA289" s="10" t="s">
        <v>113</v>
      </c>
      <c r="AB289" s="41" t="s">
        <v>376</v>
      </c>
      <c r="AC289" s="10"/>
      <c r="AD289" s="9" t="s">
        <v>2422</v>
      </c>
      <c r="AE289" s="10" t="s">
        <v>2543</v>
      </c>
      <c r="AF289" s="10" t="s">
        <v>276</v>
      </c>
      <c r="AG289" s="10" t="s">
        <v>324</v>
      </c>
      <c r="AH289" s="10" t="s">
        <v>2955</v>
      </c>
      <c r="AI289" s="10" t="s">
        <v>365</v>
      </c>
      <c r="AJ289" s="10">
        <v>802824019</v>
      </c>
      <c r="AK289" s="10" t="s">
        <v>360</v>
      </c>
      <c r="AL289" s="10"/>
      <c r="AM289" s="10"/>
      <c r="AN289" s="11" t="s">
        <v>46</v>
      </c>
      <c r="AO289" s="10"/>
      <c r="AP289" s="10"/>
      <c r="AQ289" s="10"/>
      <c r="AR289" s="2">
        <v>45627</v>
      </c>
      <c r="AS289" s="10">
        <v>29189.61</v>
      </c>
      <c r="AT289" s="10" t="s">
        <v>47</v>
      </c>
      <c r="AU289" s="10" t="s">
        <v>2622</v>
      </c>
      <c r="AV289" s="36" t="s">
        <v>2665</v>
      </c>
      <c r="AW289" s="1">
        <v>46203</v>
      </c>
    </row>
    <row r="290" spans="1:49" x14ac:dyDescent="0.25">
      <c r="A290" s="9" t="s">
        <v>2038</v>
      </c>
      <c r="B290" s="10" t="s">
        <v>2163</v>
      </c>
      <c r="C290" s="10">
        <v>0</v>
      </c>
      <c r="D290" s="10" t="s">
        <v>91</v>
      </c>
      <c r="E290" s="10"/>
      <c r="F290" s="10"/>
      <c r="G290" s="10"/>
      <c r="H290" s="10" t="s">
        <v>52</v>
      </c>
      <c r="I290" s="10">
        <v>12</v>
      </c>
      <c r="J290" s="10" t="s">
        <v>2286</v>
      </c>
      <c r="K290" s="10" t="s">
        <v>42</v>
      </c>
      <c r="L290" s="10">
        <f>Table1[[#This Row],[ENR]]-Table1[[#This Row],[CREDIT]]</f>
        <v>15412.470000000001</v>
      </c>
      <c r="M290" s="36">
        <v>160000</v>
      </c>
      <c r="N290" s="26">
        <v>175412.47</v>
      </c>
      <c r="O290" s="38" t="s">
        <v>43</v>
      </c>
      <c r="P290" s="25">
        <v>175412.47</v>
      </c>
      <c r="Q290" s="25">
        <v>159928.17000000001</v>
      </c>
      <c r="R290" s="10">
        <v>45730</v>
      </c>
      <c r="S290" s="39">
        <v>8000</v>
      </c>
      <c r="T290" s="10" t="s">
        <v>57</v>
      </c>
      <c r="U290" s="10" t="s">
        <v>13</v>
      </c>
      <c r="V290" s="10">
        <v>175412.47</v>
      </c>
      <c r="W290" s="25">
        <f>Table1[[#This Row],[STAB]]-Table1[[#This Row],[AMOUNT]]</f>
        <v>-167412.47</v>
      </c>
      <c r="X290" s="10" t="s">
        <v>2004</v>
      </c>
      <c r="Y290" s="10" t="s">
        <v>402</v>
      </c>
      <c r="Z290" s="10" t="s">
        <v>403</v>
      </c>
      <c r="AA290" s="10" t="s">
        <v>113</v>
      </c>
      <c r="AB290" s="41" t="s">
        <v>376</v>
      </c>
      <c r="AC290" s="10"/>
      <c r="AD290" s="9" t="s">
        <v>2408</v>
      </c>
      <c r="AE290" s="10" t="s">
        <v>2529</v>
      </c>
      <c r="AF290" s="10" t="s">
        <v>1739</v>
      </c>
      <c r="AG290" s="10" t="s">
        <v>53</v>
      </c>
      <c r="AH290" s="10" t="s">
        <v>1364</v>
      </c>
      <c r="AI290" s="10" t="s">
        <v>1405</v>
      </c>
      <c r="AJ290" s="10">
        <v>802175739</v>
      </c>
      <c r="AK290" s="10" t="s">
        <v>104</v>
      </c>
      <c r="AL290" s="10"/>
      <c r="AM290" s="10"/>
      <c r="AN290" s="11" t="s">
        <v>390</v>
      </c>
      <c r="AO290" s="10"/>
      <c r="AP290" s="10"/>
      <c r="AQ290" s="10"/>
      <c r="AR290" s="2">
        <v>46126</v>
      </c>
      <c r="AS290" s="10">
        <v>34152.949999999997</v>
      </c>
      <c r="AT290" s="10" t="s">
        <v>47</v>
      </c>
      <c r="AU290" s="10" t="s">
        <v>2622</v>
      </c>
      <c r="AV290" s="36" t="s">
        <v>2651</v>
      </c>
      <c r="AW290" s="1">
        <v>46203</v>
      </c>
    </row>
    <row r="291" spans="1:49" x14ac:dyDescent="0.25">
      <c r="A291" s="9" t="s">
        <v>2040</v>
      </c>
      <c r="B291" s="10" t="s">
        <v>2165</v>
      </c>
      <c r="C291" s="10">
        <v>0</v>
      </c>
      <c r="D291" s="10" t="s">
        <v>91</v>
      </c>
      <c r="E291" s="10"/>
      <c r="F291" s="10"/>
      <c r="G291" s="10"/>
      <c r="H291" s="10" t="s">
        <v>52</v>
      </c>
      <c r="I291" s="10">
        <v>12</v>
      </c>
      <c r="J291" s="10" t="s">
        <v>594</v>
      </c>
      <c r="K291" s="10" t="s">
        <v>42</v>
      </c>
      <c r="L291" s="10">
        <f>Table1[[#This Row],[ENR]]-Table1[[#This Row],[CREDIT]]</f>
        <v>12015.850000000006</v>
      </c>
      <c r="M291" s="36">
        <v>160000</v>
      </c>
      <c r="N291" s="26">
        <v>172015.85</v>
      </c>
      <c r="O291" s="38" t="s">
        <v>43</v>
      </c>
      <c r="P291" s="25">
        <v>172015.85</v>
      </c>
      <c r="Q291" s="25">
        <v>159936.22</v>
      </c>
      <c r="R291" s="10">
        <v>45780</v>
      </c>
      <c r="S291" s="39">
        <v>29520</v>
      </c>
      <c r="T291" s="10" t="s">
        <v>44</v>
      </c>
      <c r="U291" s="10" t="s">
        <v>45</v>
      </c>
      <c r="V291" s="10">
        <v>0</v>
      </c>
      <c r="W291" s="25">
        <f>Table1[[#This Row],[STAB]]-Table1[[#This Row],[AMOUNT]]</f>
        <v>29520</v>
      </c>
      <c r="X291" s="10">
        <v>0</v>
      </c>
      <c r="Y291" s="10" t="s">
        <v>79</v>
      </c>
      <c r="Z291" s="10" t="s">
        <v>403</v>
      </c>
      <c r="AA291" s="10" t="s">
        <v>113</v>
      </c>
      <c r="AB291" s="36" t="s">
        <v>374</v>
      </c>
      <c r="AC291" s="10"/>
      <c r="AD291" s="9" t="s">
        <v>2410</v>
      </c>
      <c r="AE291" s="10" t="s">
        <v>2531</v>
      </c>
      <c r="AF291" s="10" t="s">
        <v>275</v>
      </c>
      <c r="AG291" s="10" t="s">
        <v>80</v>
      </c>
      <c r="AH291" s="10" t="s">
        <v>87</v>
      </c>
      <c r="AI291" s="10" t="s">
        <v>368</v>
      </c>
      <c r="AJ291" s="10">
        <v>802823175</v>
      </c>
      <c r="AK291" s="10" t="s">
        <v>105</v>
      </c>
      <c r="AL291" s="10"/>
      <c r="AM291" s="10"/>
      <c r="AN291" s="11" t="s">
        <v>390</v>
      </c>
      <c r="AO291" s="10" t="s">
        <v>398</v>
      </c>
      <c r="AP291" s="10" t="s">
        <v>4595</v>
      </c>
      <c r="AQ291" s="10" t="s">
        <v>4591</v>
      </c>
      <c r="AR291" s="2">
        <v>45748</v>
      </c>
      <c r="AS291" s="10">
        <v>15000</v>
      </c>
      <c r="AT291" s="10" t="s">
        <v>47</v>
      </c>
      <c r="AU291" s="10" t="s">
        <v>2622</v>
      </c>
      <c r="AV291" s="36" t="s">
        <v>2653</v>
      </c>
      <c r="AW291" s="1">
        <v>46203</v>
      </c>
    </row>
    <row r="292" spans="1:49" x14ac:dyDescent="0.25">
      <c r="A292" s="9" t="s">
        <v>2046</v>
      </c>
      <c r="B292" s="10" t="s">
        <v>2171</v>
      </c>
      <c r="C292" s="10">
        <v>0</v>
      </c>
      <c r="D292" s="10" t="s">
        <v>91</v>
      </c>
      <c r="E292" s="10"/>
      <c r="F292" s="10"/>
      <c r="G292" s="10"/>
      <c r="H292" s="10" t="s">
        <v>52</v>
      </c>
      <c r="I292" s="10">
        <v>12</v>
      </c>
      <c r="J292" s="10" t="s">
        <v>2293</v>
      </c>
      <c r="K292" s="10" t="s">
        <v>42</v>
      </c>
      <c r="L292" s="10">
        <f>Table1[[#This Row],[ENR]]-Table1[[#This Row],[CREDIT]]</f>
        <v>6537.7699999999895</v>
      </c>
      <c r="M292" s="36">
        <v>160000</v>
      </c>
      <c r="N292" s="26">
        <v>166537.76999999999</v>
      </c>
      <c r="O292" s="38" t="s">
        <v>43</v>
      </c>
      <c r="P292" s="25">
        <v>166537.76999999999</v>
      </c>
      <c r="Q292" s="25">
        <v>154500</v>
      </c>
      <c r="R292" s="10">
        <v>44850</v>
      </c>
      <c r="S292" s="39">
        <v>23120</v>
      </c>
      <c r="T292" s="10" t="s">
        <v>57</v>
      </c>
      <c r="U292" s="10" t="s">
        <v>13</v>
      </c>
      <c r="V292" s="10">
        <v>166537.76999999999</v>
      </c>
      <c r="W292" s="25">
        <f>Table1[[#This Row],[STAB]]-Table1[[#This Row],[AMOUNT]]</f>
        <v>-143417.76999999999</v>
      </c>
      <c r="X292" s="10" t="s">
        <v>4566</v>
      </c>
      <c r="Y292" s="10" t="s">
        <v>402</v>
      </c>
      <c r="Z292" s="10" t="s">
        <v>403</v>
      </c>
      <c r="AA292" s="10" t="s">
        <v>113</v>
      </c>
      <c r="AB292" s="36" t="s">
        <v>375</v>
      </c>
      <c r="AC292" s="10"/>
      <c r="AD292" s="9" t="s">
        <v>2416</v>
      </c>
      <c r="AE292" s="10" t="s">
        <v>2537</v>
      </c>
      <c r="AF292" s="10" t="s">
        <v>281</v>
      </c>
      <c r="AG292" s="10" t="s">
        <v>54</v>
      </c>
      <c r="AH292" s="10" t="s">
        <v>99</v>
      </c>
      <c r="AI292" s="10" t="s">
        <v>363</v>
      </c>
      <c r="AJ292" s="10">
        <v>802913252</v>
      </c>
      <c r="AK292" s="10" t="s">
        <v>104</v>
      </c>
      <c r="AL292" s="10"/>
      <c r="AM292" s="10"/>
      <c r="AN292" s="11" t="s">
        <v>390</v>
      </c>
      <c r="AO292" s="10" t="s">
        <v>392</v>
      </c>
      <c r="AP292" s="10" t="s">
        <v>4541</v>
      </c>
      <c r="AQ292" s="10" t="s">
        <v>4535</v>
      </c>
      <c r="AR292" s="2">
        <v>46112</v>
      </c>
      <c r="AS292" s="10">
        <v>153000</v>
      </c>
      <c r="AT292" s="10" t="s">
        <v>47</v>
      </c>
      <c r="AU292" s="10" t="s">
        <v>2622</v>
      </c>
      <c r="AV292" s="36" t="s">
        <v>2659</v>
      </c>
      <c r="AW292" s="1">
        <v>46203</v>
      </c>
    </row>
    <row r="293" spans="1:49" x14ac:dyDescent="0.25">
      <c r="A293" s="9" t="s">
        <v>1450</v>
      </c>
      <c r="B293" s="10" t="s">
        <v>588</v>
      </c>
      <c r="C293" s="10">
        <v>0</v>
      </c>
      <c r="D293" s="10" t="s">
        <v>95</v>
      </c>
      <c r="E293" s="10">
        <v>1</v>
      </c>
      <c r="F293" s="10" t="s">
        <v>112</v>
      </c>
      <c r="G293" s="10" t="s">
        <v>4945</v>
      </c>
      <c r="H293" s="10" t="s">
        <v>52</v>
      </c>
      <c r="I293" s="10">
        <v>12</v>
      </c>
      <c r="J293" s="10" t="s">
        <v>618</v>
      </c>
      <c r="K293" s="10" t="s">
        <v>42</v>
      </c>
      <c r="L293" s="10">
        <f>Table1[[#This Row],[ENR]]-Table1[[#This Row],[CREDIT]]</f>
        <v>-133508.06</v>
      </c>
      <c r="M293" s="36">
        <v>300000</v>
      </c>
      <c r="N293" s="26">
        <v>166491.94</v>
      </c>
      <c r="O293" s="38" t="s">
        <v>43</v>
      </c>
      <c r="P293" s="25">
        <v>166491.94</v>
      </c>
      <c r="Q293" s="25">
        <v>148501.5</v>
      </c>
      <c r="R293" s="10">
        <v>34900</v>
      </c>
      <c r="S293" s="39">
        <v>19320</v>
      </c>
      <c r="T293" s="10" t="s">
        <v>44</v>
      </c>
      <c r="U293" s="10" t="s">
        <v>45</v>
      </c>
      <c r="V293" s="10">
        <v>0</v>
      </c>
      <c r="W293" s="25">
        <f>Table1[[#This Row],[STAB]]-Table1[[#This Row],[AMOUNT]]</f>
        <v>19320</v>
      </c>
      <c r="X293" s="10">
        <v>0</v>
      </c>
      <c r="Y293" s="10" t="s">
        <v>79</v>
      </c>
      <c r="Z293" s="10">
        <v>0</v>
      </c>
      <c r="AA293" s="10" t="s">
        <v>113</v>
      </c>
      <c r="AB293" s="36" t="s">
        <v>737</v>
      </c>
      <c r="AC293" s="10"/>
      <c r="AD293" s="9" t="s">
        <v>649</v>
      </c>
      <c r="AE293" s="10" t="s">
        <v>679</v>
      </c>
      <c r="AF293" s="10" t="s">
        <v>498</v>
      </c>
      <c r="AG293" s="10" t="s">
        <v>53</v>
      </c>
      <c r="AH293" s="10" t="s">
        <v>90</v>
      </c>
      <c r="AI293" s="10" t="s">
        <v>162</v>
      </c>
      <c r="AJ293" s="10">
        <v>801772794</v>
      </c>
      <c r="AK293" s="10" t="s">
        <v>361</v>
      </c>
      <c r="AL293" s="10"/>
      <c r="AM293" s="10"/>
      <c r="AN293" s="11" t="s">
        <v>46</v>
      </c>
      <c r="AO293" s="10"/>
      <c r="AP293" s="10"/>
      <c r="AQ293" s="10"/>
      <c r="AR293" s="2">
        <v>45533</v>
      </c>
      <c r="AS293" s="10">
        <v>8597</v>
      </c>
      <c r="AT293" s="10" t="s">
        <v>47</v>
      </c>
      <c r="AU293" s="10" t="s">
        <v>1741</v>
      </c>
      <c r="AV293" s="36" t="s">
        <v>1777</v>
      </c>
      <c r="AW293" s="1">
        <v>46203</v>
      </c>
    </row>
    <row r="294" spans="1:49" x14ac:dyDescent="0.25">
      <c r="A294" s="9" t="s">
        <v>1481</v>
      </c>
      <c r="B294" s="10" t="s">
        <v>1545</v>
      </c>
      <c r="C294" s="10">
        <v>0</v>
      </c>
      <c r="D294" s="10" t="s">
        <v>91</v>
      </c>
      <c r="E294" s="10"/>
      <c r="F294" s="10"/>
      <c r="G294" s="10"/>
      <c r="H294" s="10" t="s">
        <v>52</v>
      </c>
      <c r="I294" s="10">
        <v>12</v>
      </c>
      <c r="J294" s="10" t="s">
        <v>1609</v>
      </c>
      <c r="K294" s="10" t="s">
        <v>42</v>
      </c>
      <c r="L294" s="10">
        <f>Table1[[#This Row],[ENR]]-Table1[[#This Row],[CREDIT]]</f>
        <v>16147.529999999999</v>
      </c>
      <c r="M294" s="36">
        <v>150000</v>
      </c>
      <c r="N294" s="26">
        <v>166147.53</v>
      </c>
      <c r="O294" s="38" t="s">
        <v>43</v>
      </c>
      <c r="P294" s="25">
        <v>166147.53</v>
      </c>
      <c r="Q294" s="25">
        <v>148425.01999999999</v>
      </c>
      <c r="R294" s="10">
        <v>41980</v>
      </c>
      <c r="S294" s="39">
        <v>17270</v>
      </c>
      <c r="T294" s="10" t="s">
        <v>57</v>
      </c>
      <c r="U294" s="10" t="s">
        <v>13</v>
      </c>
      <c r="V294" s="10">
        <v>166147.53</v>
      </c>
      <c r="W294" s="25">
        <f>Table1[[#This Row],[STAB]]-Table1[[#This Row],[AMOUNT]]</f>
        <v>-148877.53</v>
      </c>
      <c r="X294" s="10" t="s">
        <v>4591</v>
      </c>
      <c r="Y294" s="10" t="s">
        <v>402</v>
      </c>
      <c r="Z294" s="10" t="s">
        <v>403</v>
      </c>
      <c r="AA294" s="10" t="s">
        <v>113</v>
      </c>
      <c r="AB294" s="36" t="s">
        <v>375</v>
      </c>
      <c r="AC294" s="10"/>
      <c r="AD294" s="9" t="s">
        <v>1672</v>
      </c>
      <c r="AE294" s="10" t="s">
        <v>1736</v>
      </c>
      <c r="AF294" s="10" t="s">
        <v>281</v>
      </c>
      <c r="AG294" s="10" t="s">
        <v>54</v>
      </c>
      <c r="AH294" s="10" t="s">
        <v>1398</v>
      </c>
      <c r="AI294" s="10" t="s">
        <v>162</v>
      </c>
      <c r="AJ294" s="10">
        <v>801772794</v>
      </c>
      <c r="AK294" s="10" t="s">
        <v>361</v>
      </c>
      <c r="AL294" s="10"/>
      <c r="AM294" s="10"/>
      <c r="AN294" s="11" t="s">
        <v>390</v>
      </c>
      <c r="AO294" s="10"/>
      <c r="AP294" s="10"/>
      <c r="AQ294" s="10"/>
      <c r="AR294" s="2">
        <v>46093</v>
      </c>
      <c r="AS294" s="10">
        <v>18500</v>
      </c>
      <c r="AT294" s="10" t="s">
        <v>1740</v>
      </c>
      <c r="AU294" s="10" t="s">
        <v>1741</v>
      </c>
      <c r="AV294" s="36" t="s">
        <v>1808</v>
      </c>
      <c r="AW294" s="1">
        <v>46203</v>
      </c>
    </row>
    <row r="295" spans="1:49" x14ac:dyDescent="0.25">
      <c r="A295" s="9" t="s">
        <v>2016</v>
      </c>
      <c r="B295" s="10" t="s">
        <v>2142</v>
      </c>
      <c r="C295" s="10">
        <v>0</v>
      </c>
      <c r="D295" s="10" t="s">
        <v>91</v>
      </c>
      <c r="E295" s="10"/>
      <c r="F295" s="10"/>
      <c r="G295" s="10"/>
      <c r="H295" s="10" t="s">
        <v>52</v>
      </c>
      <c r="I295" s="10">
        <v>12</v>
      </c>
      <c r="J295" s="10" t="s">
        <v>2265</v>
      </c>
      <c r="K295" s="10" t="s">
        <v>42</v>
      </c>
      <c r="L295" s="10">
        <f>Table1[[#This Row],[ENR]]-Table1[[#This Row],[CREDIT]]</f>
        <v>42589.94</v>
      </c>
      <c r="M295" s="36">
        <v>120000</v>
      </c>
      <c r="N295" s="26">
        <v>162589.94</v>
      </c>
      <c r="O295" s="38">
        <v>34625.71</v>
      </c>
      <c r="P295" s="25">
        <v>127964.23</v>
      </c>
      <c r="Q295" s="25">
        <v>120738.45</v>
      </c>
      <c r="R295" s="10">
        <v>46030</v>
      </c>
      <c r="S295" s="39">
        <v>29290</v>
      </c>
      <c r="T295" s="10" t="s">
        <v>57</v>
      </c>
      <c r="U295" s="10" t="s">
        <v>14</v>
      </c>
      <c r="V295" s="25">
        <v>29300</v>
      </c>
      <c r="W295" s="25">
        <f>Table1[[#This Row],[STAB]]-Table1[[#This Row],[AMOUNT]]</f>
        <v>-10</v>
      </c>
      <c r="X295" s="10" t="s">
        <v>4591</v>
      </c>
      <c r="Y295" s="10" t="s">
        <v>402</v>
      </c>
      <c r="Z295" s="10" t="s">
        <v>403</v>
      </c>
      <c r="AA295" s="10" t="s">
        <v>113</v>
      </c>
      <c r="AB295" s="10" t="s">
        <v>133</v>
      </c>
      <c r="AC295" s="10"/>
      <c r="AD295" s="9" t="s">
        <v>2387</v>
      </c>
      <c r="AE295" s="10" t="s">
        <v>2508</v>
      </c>
      <c r="AF295" s="10" t="s">
        <v>85</v>
      </c>
      <c r="AG295" s="10" t="s">
        <v>54</v>
      </c>
      <c r="AH295" s="10" t="s">
        <v>93</v>
      </c>
      <c r="AI295" s="10" t="s">
        <v>364</v>
      </c>
      <c r="AJ295" s="10">
        <v>802663344</v>
      </c>
      <c r="AK295" s="10" t="s">
        <v>105</v>
      </c>
      <c r="AL295" s="10"/>
      <c r="AM295" s="10"/>
      <c r="AN295" s="11" t="s">
        <v>390</v>
      </c>
      <c r="AO295" s="10"/>
      <c r="AP295" s="10"/>
      <c r="AQ295" s="10"/>
      <c r="AR295" s="2">
        <v>45484</v>
      </c>
      <c r="AS295" s="10">
        <v>9260</v>
      </c>
      <c r="AT295" s="10" t="s">
        <v>47</v>
      </c>
      <c r="AU295" s="10" t="s">
        <v>2622</v>
      </c>
      <c r="AV295" s="36" t="s">
        <v>2629</v>
      </c>
      <c r="AW295" s="1">
        <v>46203</v>
      </c>
    </row>
    <row r="296" spans="1:49" x14ac:dyDescent="0.25">
      <c r="A296" s="9" t="s">
        <v>2097</v>
      </c>
      <c r="B296" s="10" t="s">
        <v>2221</v>
      </c>
      <c r="C296" s="10">
        <v>0</v>
      </c>
      <c r="D296" s="10" t="s">
        <v>91</v>
      </c>
      <c r="E296" s="10"/>
      <c r="F296" s="10" t="s">
        <v>112</v>
      </c>
      <c r="G296" s="10" t="s">
        <v>4950</v>
      </c>
      <c r="H296" s="10" t="s">
        <v>52</v>
      </c>
      <c r="I296" s="10">
        <v>12</v>
      </c>
      <c r="J296" s="10" t="s">
        <v>2343</v>
      </c>
      <c r="K296" s="10" t="s">
        <v>42</v>
      </c>
      <c r="L296" s="10">
        <f>Table1[[#This Row],[ENR]]-Table1[[#This Row],[CREDIT]]</f>
        <v>6661.7399999999907</v>
      </c>
      <c r="M296" s="36">
        <v>150000</v>
      </c>
      <c r="N296" s="26">
        <v>156661.74</v>
      </c>
      <c r="O296" s="38">
        <v>6578.68</v>
      </c>
      <c r="P296" s="25">
        <v>150083.06</v>
      </c>
      <c r="Q296" s="25">
        <v>135448.9</v>
      </c>
      <c r="R296" s="10">
        <v>40910</v>
      </c>
      <c r="S296" s="39">
        <v>20420</v>
      </c>
      <c r="T296" s="10" t="s">
        <v>57</v>
      </c>
      <c r="U296" s="10" t="s">
        <v>14</v>
      </c>
      <c r="V296" s="25">
        <v>21000</v>
      </c>
      <c r="W296" s="25">
        <f>Table1[[#This Row],[STAB]]-Table1[[#This Row],[AMOUNT]]</f>
        <v>-580</v>
      </c>
      <c r="X296" s="10" t="s">
        <v>4535</v>
      </c>
      <c r="Y296" s="10" t="s">
        <v>402</v>
      </c>
      <c r="Z296" s="10" t="s">
        <v>403</v>
      </c>
      <c r="AA296" s="10" t="s">
        <v>113</v>
      </c>
      <c r="AB296" s="36" t="s">
        <v>132</v>
      </c>
      <c r="AC296" s="10"/>
      <c r="AD296" s="9" t="s">
        <v>2466</v>
      </c>
      <c r="AE296" s="10" t="s">
        <v>2587</v>
      </c>
      <c r="AF296" s="10" t="s">
        <v>383</v>
      </c>
      <c r="AG296" s="10" t="s">
        <v>53</v>
      </c>
      <c r="AH296" s="10" t="s">
        <v>55</v>
      </c>
      <c r="AI296" s="10" t="s">
        <v>365</v>
      </c>
      <c r="AJ296" s="10">
        <v>802824019</v>
      </c>
      <c r="AK296" s="10" t="s">
        <v>360</v>
      </c>
      <c r="AL296" s="10"/>
      <c r="AM296" s="10"/>
      <c r="AN296" s="11" t="s">
        <v>390</v>
      </c>
      <c r="AO296" s="10" t="s">
        <v>531</v>
      </c>
      <c r="AP296" s="10" t="s">
        <v>4543</v>
      </c>
      <c r="AQ296" s="10" t="s">
        <v>4535</v>
      </c>
      <c r="AR296" s="2" t="s">
        <v>43</v>
      </c>
      <c r="AS296" s="10">
        <v>0</v>
      </c>
      <c r="AT296" s="10" t="s">
        <v>47</v>
      </c>
      <c r="AU296" s="10" t="s">
        <v>2622</v>
      </c>
      <c r="AV296" s="36" t="s">
        <v>2710</v>
      </c>
      <c r="AW296" s="1">
        <v>46203</v>
      </c>
    </row>
    <row r="297" spans="1:49" x14ac:dyDescent="0.25">
      <c r="A297" s="9" t="s">
        <v>1467</v>
      </c>
      <c r="B297" s="10" t="s">
        <v>1531</v>
      </c>
      <c r="C297" s="10">
        <v>0</v>
      </c>
      <c r="D297" s="10" t="s">
        <v>91</v>
      </c>
      <c r="E297" s="10"/>
      <c r="F297" s="10"/>
      <c r="G297" s="10"/>
      <c r="H297" s="10" t="s">
        <v>52</v>
      </c>
      <c r="I297" s="10">
        <v>12</v>
      </c>
      <c r="J297" s="10" t="s">
        <v>1595</v>
      </c>
      <c r="K297" s="10" t="s">
        <v>42</v>
      </c>
      <c r="L297" s="10">
        <f>Table1[[#This Row],[ENR]]-Table1[[#This Row],[CREDIT]]</f>
        <v>5928.6000000000058</v>
      </c>
      <c r="M297" s="36">
        <v>150000</v>
      </c>
      <c r="N297" s="26">
        <v>155928.6</v>
      </c>
      <c r="O297" s="38">
        <v>112819.41</v>
      </c>
      <c r="P297" s="25">
        <v>43109.19</v>
      </c>
      <c r="Q297" s="25">
        <v>33528.01</v>
      </c>
      <c r="R297" s="10">
        <v>27590</v>
      </c>
      <c r="S297" s="39">
        <v>13730</v>
      </c>
      <c r="T297" s="10" t="s">
        <v>57</v>
      </c>
      <c r="U297" s="10" t="s">
        <v>13</v>
      </c>
      <c r="V297" s="10">
        <v>43109.19</v>
      </c>
      <c r="W297" s="25">
        <f>Table1[[#This Row],[STAB]]-Table1[[#This Row],[AMOUNT]]</f>
        <v>-29379.190000000002</v>
      </c>
      <c r="X297" s="10">
        <v>0</v>
      </c>
      <c r="Y297" s="10" t="s">
        <v>388</v>
      </c>
      <c r="Z297" s="10" t="s">
        <v>403</v>
      </c>
      <c r="AA297" s="10" t="s">
        <v>113</v>
      </c>
      <c r="AB297" s="41" t="s">
        <v>376</v>
      </c>
      <c r="AC297" s="10"/>
      <c r="AD297" s="9" t="s">
        <v>1659</v>
      </c>
      <c r="AE297" s="10" t="s">
        <v>1722</v>
      </c>
      <c r="AF297" s="10" t="s">
        <v>280</v>
      </c>
      <c r="AG297" s="10" t="s">
        <v>54</v>
      </c>
      <c r="AH297" s="10" t="s">
        <v>280</v>
      </c>
      <c r="AI297" s="10" t="s">
        <v>365</v>
      </c>
      <c r="AJ297" s="10">
        <v>802824019</v>
      </c>
      <c r="AK297" s="10" t="s">
        <v>360</v>
      </c>
      <c r="AL297" s="10"/>
      <c r="AM297" s="10"/>
      <c r="AN297" s="11" t="s">
        <v>390</v>
      </c>
      <c r="AO297" s="10"/>
      <c r="AP297" s="10"/>
      <c r="AQ297" s="10"/>
      <c r="AR297" s="2">
        <v>45470</v>
      </c>
      <c r="AS297" s="10">
        <v>145603.88</v>
      </c>
      <c r="AT297" s="10" t="s">
        <v>47</v>
      </c>
      <c r="AU297" s="10" t="s">
        <v>1741</v>
      </c>
      <c r="AV297" s="36" t="s">
        <v>1794</v>
      </c>
      <c r="AW297" s="1">
        <v>46203</v>
      </c>
    </row>
    <row r="298" spans="1:49" x14ac:dyDescent="0.25">
      <c r="A298" s="9" t="s">
        <v>2085</v>
      </c>
      <c r="B298" s="10" t="s">
        <v>2209</v>
      </c>
      <c r="C298" s="10">
        <v>0</v>
      </c>
      <c r="D298" s="10" t="s">
        <v>91</v>
      </c>
      <c r="E298" s="10">
        <v>1</v>
      </c>
      <c r="F298" s="10"/>
      <c r="G298" s="10"/>
      <c r="H298" s="10" t="s">
        <v>52</v>
      </c>
      <c r="I298" s="10">
        <v>12</v>
      </c>
      <c r="J298" s="10" t="s">
        <v>2331</v>
      </c>
      <c r="K298" s="10" t="s">
        <v>42</v>
      </c>
      <c r="L298" s="10">
        <f>Table1[[#This Row],[ENR]]-Table1[[#This Row],[CREDIT]]</f>
        <v>106057.37</v>
      </c>
      <c r="M298" s="36">
        <v>44000</v>
      </c>
      <c r="N298" s="26">
        <v>150057.37</v>
      </c>
      <c r="O298" s="38" t="s">
        <v>43</v>
      </c>
      <c r="P298" s="25">
        <v>150057.37</v>
      </c>
      <c r="Q298" s="25">
        <v>138686.29999999999</v>
      </c>
      <c r="R298" s="10">
        <v>121150</v>
      </c>
      <c r="S298" s="39">
        <v>97480</v>
      </c>
      <c r="T298" s="10" t="s">
        <v>44</v>
      </c>
      <c r="U298" s="10" t="s">
        <v>45</v>
      </c>
      <c r="V298" s="10">
        <v>0</v>
      </c>
      <c r="W298" s="25">
        <f>Table1[[#This Row],[STAB]]-Table1[[#This Row],[AMOUNT]]</f>
        <v>97480</v>
      </c>
      <c r="X298" s="10">
        <v>0</v>
      </c>
      <c r="Y298" s="10" t="s">
        <v>79</v>
      </c>
      <c r="Z298" s="10">
        <v>0</v>
      </c>
      <c r="AA298" s="10" t="s">
        <v>113</v>
      </c>
      <c r="AB298" s="36" t="s">
        <v>131</v>
      </c>
      <c r="AC298" s="10"/>
      <c r="AD298" s="9" t="s">
        <v>2454</v>
      </c>
      <c r="AE298" s="10" t="s">
        <v>2575</v>
      </c>
      <c r="AF298" s="10" t="s">
        <v>286</v>
      </c>
      <c r="AG298" s="10" t="s">
        <v>54</v>
      </c>
      <c r="AH298" s="10" t="s">
        <v>58</v>
      </c>
      <c r="AI298" s="10" t="s">
        <v>133</v>
      </c>
      <c r="AJ298" s="10">
        <v>802555024</v>
      </c>
      <c r="AK298" s="10" t="s">
        <v>362</v>
      </c>
      <c r="AL298" s="10"/>
      <c r="AM298" s="10"/>
      <c r="AN298" s="11" t="s">
        <v>46</v>
      </c>
      <c r="AO298" s="10"/>
      <c r="AP298" s="10"/>
      <c r="AQ298" s="10"/>
      <c r="AR298" s="2">
        <v>45516</v>
      </c>
      <c r="AS298" s="10">
        <v>1000</v>
      </c>
      <c r="AT298" s="10" t="s">
        <v>47</v>
      </c>
      <c r="AU298" s="10" t="s">
        <v>2622</v>
      </c>
      <c r="AV298" s="36" t="s">
        <v>2698</v>
      </c>
      <c r="AW298" s="1">
        <v>46203</v>
      </c>
    </row>
    <row r="299" spans="1:49" x14ac:dyDescent="0.25">
      <c r="A299" s="9" t="s">
        <v>2071</v>
      </c>
      <c r="B299" s="10" t="s">
        <v>2195</v>
      </c>
      <c r="C299" s="10">
        <v>0</v>
      </c>
      <c r="D299" s="10" t="s">
        <v>91</v>
      </c>
      <c r="E299" s="10">
        <v>1</v>
      </c>
      <c r="F299" s="10"/>
      <c r="G299" s="10"/>
      <c r="H299" s="10" t="s">
        <v>52</v>
      </c>
      <c r="I299" s="10">
        <v>12</v>
      </c>
      <c r="J299" s="10" t="s">
        <v>2317</v>
      </c>
      <c r="K299" s="10" t="s">
        <v>42</v>
      </c>
      <c r="L299" s="10">
        <f>Table1[[#This Row],[ENR]]-Table1[[#This Row],[CREDIT]]</f>
        <v>-30515.119999999995</v>
      </c>
      <c r="M299" s="36">
        <v>180000</v>
      </c>
      <c r="N299" s="26">
        <v>149484.88</v>
      </c>
      <c r="O299" s="38">
        <v>10058.14</v>
      </c>
      <c r="P299" s="25">
        <v>139426.74</v>
      </c>
      <c r="Q299" s="25">
        <v>124472.84</v>
      </c>
      <c r="R299" s="10">
        <v>40670</v>
      </c>
      <c r="S299" s="39">
        <v>18090</v>
      </c>
      <c r="T299" s="10" t="s">
        <v>57</v>
      </c>
      <c r="U299" s="10" t="s">
        <v>13</v>
      </c>
      <c r="V299" s="10">
        <v>40670</v>
      </c>
      <c r="W299" s="25">
        <f>Table1[[#This Row],[STAB]]-Table1[[#This Row],[AMOUNT]]</f>
        <v>-22580</v>
      </c>
      <c r="X299" s="10" t="s">
        <v>4531</v>
      </c>
      <c r="Y299" s="10" t="s">
        <v>402</v>
      </c>
      <c r="Z299" s="10" t="s">
        <v>403</v>
      </c>
      <c r="AA299" s="10" t="s">
        <v>113</v>
      </c>
      <c r="AB299" s="36" t="s">
        <v>131</v>
      </c>
      <c r="AC299" s="10"/>
      <c r="AD299" s="9" t="s">
        <v>2440</v>
      </c>
      <c r="AE299" s="10" t="s">
        <v>2561</v>
      </c>
      <c r="AF299" s="10" t="s">
        <v>281</v>
      </c>
      <c r="AG299" s="10" t="s">
        <v>54</v>
      </c>
      <c r="AH299" s="10" t="s">
        <v>58</v>
      </c>
      <c r="AI299" s="10" t="s">
        <v>133</v>
      </c>
      <c r="AJ299" s="10">
        <v>802555024</v>
      </c>
      <c r="AK299" s="10" t="s">
        <v>362</v>
      </c>
      <c r="AL299" s="10"/>
      <c r="AM299" s="10"/>
      <c r="AN299" s="11" t="s">
        <v>390</v>
      </c>
      <c r="AO299" s="10"/>
      <c r="AP299" s="10"/>
      <c r="AQ299" s="10"/>
      <c r="AR299" s="2">
        <v>45627</v>
      </c>
      <c r="AS299" s="10">
        <v>38689.32</v>
      </c>
      <c r="AT299" s="10" t="s">
        <v>47</v>
      </c>
      <c r="AU299" s="10" t="s">
        <v>2622</v>
      </c>
      <c r="AV299" s="36" t="s">
        <v>2684</v>
      </c>
      <c r="AW299" s="1">
        <v>46203</v>
      </c>
    </row>
    <row r="300" spans="1:49" x14ac:dyDescent="0.25">
      <c r="A300" s="9" t="s">
        <v>1440</v>
      </c>
      <c r="B300" s="10" t="s">
        <v>1506</v>
      </c>
      <c r="C300" s="10">
        <v>0</v>
      </c>
      <c r="D300" s="10" t="s">
        <v>91</v>
      </c>
      <c r="E300" s="10"/>
      <c r="F300" s="10"/>
      <c r="G300" s="10"/>
      <c r="H300" s="10" t="s">
        <v>52</v>
      </c>
      <c r="I300" s="10">
        <v>12</v>
      </c>
      <c r="J300" s="10" t="s">
        <v>1570</v>
      </c>
      <c r="K300" s="10" t="s">
        <v>42</v>
      </c>
      <c r="L300" s="10">
        <f>Table1[[#This Row],[ENR]]-Table1[[#This Row],[CREDIT]]</f>
        <v>8593.4700000000012</v>
      </c>
      <c r="M300" s="36">
        <v>140000</v>
      </c>
      <c r="N300" s="26">
        <v>148593.47</v>
      </c>
      <c r="O300" s="38" t="s">
        <v>43</v>
      </c>
      <c r="P300" s="25">
        <v>148593.47</v>
      </c>
      <c r="Q300" s="25">
        <v>136999</v>
      </c>
      <c r="R300" s="10">
        <v>32020</v>
      </c>
      <c r="S300" s="39">
        <v>16950</v>
      </c>
      <c r="T300" s="10" t="s">
        <v>57</v>
      </c>
      <c r="U300" s="10" t="s">
        <v>13</v>
      </c>
      <c r="V300" s="10">
        <v>148593.47</v>
      </c>
      <c r="W300" s="25">
        <f>Table1[[#This Row],[STAB]]-Table1[[#This Row],[AMOUNT]]</f>
        <v>-131643.47</v>
      </c>
      <c r="X300" s="10">
        <v>0</v>
      </c>
      <c r="Y300" s="10" t="s">
        <v>388</v>
      </c>
      <c r="Z300" s="10" t="s">
        <v>403</v>
      </c>
      <c r="AA300" s="10" t="s">
        <v>113</v>
      </c>
      <c r="AB300" s="41" t="s">
        <v>376</v>
      </c>
      <c r="AC300" s="10"/>
      <c r="AD300" s="9" t="s">
        <v>1634</v>
      </c>
      <c r="AE300" s="10" t="s">
        <v>1697</v>
      </c>
      <c r="AF300" s="10" t="s">
        <v>146</v>
      </c>
      <c r="AG300" s="10" t="s">
        <v>54</v>
      </c>
      <c r="AH300" s="10" t="s">
        <v>1400</v>
      </c>
      <c r="AI300" s="10" t="s">
        <v>373</v>
      </c>
      <c r="AJ300" s="10">
        <v>801174030</v>
      </c>
      <c r="AK300" s="10" t="s">
        <v>359</v>
      </c>
      <c r="AL300" s="10"/>
      <c r="AM300" s="10"/>
      <c r="AN300" s="11" t="s">
        <v>390</v>
      </c>
      <c r="AO300" s="10"/>
      <c r="AP300" s="10"/>
      <c r="AQ300" s="10"/>
      <c r="AR300" s="2">
        <v>45478</v>
      </c>
      <c r="AS300" s="10">
        <v>2770</v>
      </c>
      <c r="AT300" s="10" t="s">
        <v>47</v>
      </c>
      <c r="AU300" s="10" t="s">
        <v>1741</v>
      </c>
      <c r="AV300" s="36" t="s">
        <v>1767</v>
      </c>
      <c r="AW300" s="1">
        <v>46203</v>
      </c>
    </row>
    <row r="301" spans="1:49" x14ac:dyDescent="0.25">
      <c r="A301" s="9" t="s">
        <v>2093</v>
      </c>
      <c r="B301" s="10" t="s">
        <v>2217</v>
      </c>
      <c r="C301" s="10">
        <v>0</v>
      </c>
      <c r="D301" s="10" t="s">
        <v>91</v>
      </c>
      <c r="E301" s="10"/>
      <c r="F301" s="10"/>
      <c r="G301" s="10"/>
      <c r="H301" s="10" t="s">
        <v>52</v>
      </c>
      <c r="I301" s="10">
        <v>12</v>
      </c>
      <c r="J301" s="10" t="s">
        <v>2339</v>
      </c>
      <c r="K301" s="10" t="s">
        <v>42</v>
      </c>
      <c r="L301" s="10">
        <f>Table1[[#This Row],[ENR]]-Table1[[#This Row],[CREDIT]]</f>
        <v>3262.7600000000093</v>
      </c>
      <c r="M301" s="36">
        <v>144000</v>
      </c>
      <c r="N301" s="26">
        <v>147262.76</v>
      </c>
      <c r="O301" s="38">
        <v>60569.05</v>
      </c>
      <c r="P301" s="25">
        <v>86693.71</v>
      </c>
      <c r="Q301" s="25">
        <v>72215.09</v>
      </c>
      <c r="R301" s="10">
        <v>28900</v>
      </c>
      <c r="S301" s="39">
        <v>15490</v>
      </c>
      <c r="T301" s="10" t="s">
        <v>44</v>
      </c>
      <c r="U301" s="10" t="s">
        <v>45</v>
      </c>
      <c r="V301" s="10">
        <v>0</v>
      </c>
      <c r="W301" s="25">
        <f>Table1[[#This Row],[STAB]]-Table1[[#This Row],[AMOUNT]]</f>
        <v>15490</v>
      </c>
      <c r="X301" s="10">
        <v>0</v>
      </c>
      <c r="Y301" s="10" t="s">
        <v>79</v>
      </c>
      <c r="Z301" s="10">
        <v>0</v>
      </c>
      <c r="AA301" s="10" t="s">
        <v>113</v>
      </c>
      <c r="AB301" s="36" t="s">
        <v>132</v>
      </c>
      <c r="AC301" s="10"/>
      <c r="AD301" s="9" t="s">
        <v>2462</v>
      </c>
      <c r="AE301" s="10" t="s">
        <v>2583</v>
      </c>
      <c r="AF301" s="10" t="s">
        <v>278</v>
      </c>
      <c r="AG301" s="10" t="s">
        <v>54</v>
      </c>
      <c r="AH301" s="10" t="s">
        <v>86</v>
      </c>
      <c r="AI301" s="10" t="s">
        <v>369</v>
      </c>
      <c r="AJ301" s="10">
        <v>802823180</v>
      </c>
      <c r="AK301" s="10" t="s">
        <v>105</v>
      </c>
      <c r="AL301" s="10"/>
      <c r="AM301" s="10"/>
      <c r="AN301" s="11" t="s">
        <v>390</v>
      </c>
      <c r="AO301" s="10" t="s">
        <v>394</v>
      </c>
      <c r="AP301" s="10" t="s">
        <v>4544</v>
      </c>
      <c r="AQ301" s="10" t="s">
        <v>4535</v>
      </c>
      <c r="AR301" s="2" t="s">
        <v>43</v>
      </c>
      <c r="AS301" s="10">
        <v>0</v>
      </c>
      <c r="AT301" s="10" t="s">
        <v>47</v>
      </c>
      <c r="AU301" s="10" t="s">
        <v>2622</v>
      </c>
      <c r="AV301" s="36" t="s">
        <v>2706</v>
      </c>
      <c r="AW301" s="1">
        <v>46203</v>
      </c>
    </row>
    <row r="302" spans="1:49" x14ac:dyDescent="0.25">
      <c r="A302" s="9" t="s">
        <v>1461</v>
      </c>
      <c r="B302" s="10" t="s">
        <v>1525</v>
      </c>
      <c r="C302" s="10">
        <v>0</v>
      </c>
      <c r="D302" s="10" t="s">
        <v>91</v>
      </c>
      <c r="E302" s="10"/>
      <c r="F302" s="10"/>
      <c r="G302" s="10"/>
      <c r="H302" s="10" t="s">
        <v>52</v>
      </c>
      <c r="I302" s="10">
        <v>12</v>
      </c>
      <c r="J302" s="10" t="s">
        <v>1589</v>
      </c>
      <c r="K302" s="10" t="s">
        <v>42</v>
      </c>
      <c r="L302" s="10">
        <f>Table1[[#This Row],[ENR]]-Table1[[#This Row],[CREDIT]]</f>
        <v>-12759.809999999998</v>
      </c>
      <c r="M302" s="36">
        <v>160000</v>
      </c>
      <c r="N302" s="26">
        <v>147240.19</v>
      </c>
      <c r="O302" s="38" t="s">
        <v>43</v>
      </c>
      <c r="P302" s="25">
        <v>147240.19</v>
      </c>
      <c r="Q302" s="25">
        <v>131913.71</v>
      </c>
      <c r="R302" s="10">
        <v>23560</v>
      </c>
      <c r="S302" s="39">
        <v>9320</v>
      </c>
      <c r="T302" s="10" t="s">
        <v>57</v>
      </c>
      <c r="U302" s="10" t="s">
        <v>14</v>
      </c>
      <c r="V302" s="25">
        <v>12000</v>
      </c>
      <c r="W302" s="25">
        <f>Table1[[#This Row],[STAB]]-Table1[[#This Row],[AMOUNT]]</f>
        <v>-2680</v>
      </c>
      <c r="X302" s="10" t="s">
        <v>4591</v>
      </c>
      <c r="Y302" s="10" t="s">
        <v>402</v>
      </c>
      <c r="Z302" s="10" t="s">
        <v>403</v>
      </c>
      <c r="AA302" s="10" t="s">
        <v>113</v>
      </c>
      <c r="AB302" s="36" t="s">
        <v>374</v>
      </c>
      <c r="AC302" s="10"/>
      <c r="AD302" s="9" t="s">
        <v>1653</v>
      </c>
      <c r="AE302" s="10" t="s">
        <v>1716</v>
      </c>
      <c r="AF302" s="10" t="s">
        <v>686</v>
      </c>
      <c r="AG302" s="10" t="s">
        <v>324</v>
      </c>
      <c r="AH302" s="10" t="s">
        <v>722</v>
      </c>
      <c r="AI302" s="10" t="s">
        <v>370</v>
      </c>
      <c r="AJ302" s="10">
        <v>801448854</v>
      </c>
      <c r="AK302" s="10" t="s">
        <v>105</v>
      </c>
      <c r="AL302" s="10"/>
      <c r="AM302" s="10"/>
      <c r="AN302" s="11" t="s">
        <v>390</v>
      </c>
      <c r="AO302" s="10" t="s">
        <v>398</v>
      </c>
      <c r="AP302" s="10" t="s">
        <v>1984</v>
      </c>
      <c r="AQ302" s="10" t="s">
        <v>1961</v>
      </c>
      <c r="AR302" s="2">
        <v>45534</v>
      </c>
      <c r="AS302" s="10">
        <v>50978</v>
      </c>
      <c r="AT302" s="10" t="s">
        <v>47</v>
      </c>
      <c r="AU302" s="10" t="s">
        <v>1741</v>
      </c>
      <c r="AV302" s="36" t="s">
        <v>1788</v>
      </c>
      <c r="AW302" s="1">
        <v>46203</v>
      </c>
    </row>
    <row r="303" spans="1:49" x14ac:dyDescent="0.25">
      <c r="A303" s="9" t="s">
        <v>2073</v>
      </c>
      <c r="B303" s="10" t="s">
        <v>2197</v>
      </c>
      <c r="C303" s="10">
        <v>0</v>
      </c>
      <c r="D303" s="10" t="s">
        <v>91</v>
      </c>
      <c r="E303" s="10"/>
      <c r="F303" s="10"/>
      <c r="G303" s="10"/>
      <c r="H303" s="10" t="s">
        <v>52</v>
      </c>
      <c r="I303" s="10">
        <v>12</v>
      </c>
      <c r="J303" s="10" t="s">
        <v>2319</v>
      </c>
      <c r="K303" s="10" t="s">
        <v>42</v>
      </c>
      <c r="L303" s="10">
        <f>Table1[[#This Row],[ENR]]-Table1[[#This Row],[CREDIT]]</f>
        <v>-92871.38</v>
      </c>
      <c r="M303" s="36">
        <v>240000</v>
      </c>
      <c r="N303" s="26">
        <v>147128.62</v>
      </c>
      <c r="O303" s="38" t="s">
        <v>43</v>
      </c>
      <c r="P303" s="25">
        <v>147128.62</v>
      </c>
      <c r="Q303" s="25">
        <v>134230.59</v>
      </c>
      <c r="R303" s="10">
        <v>39660</v>
      </c>
      <c r="S303" s="39">
        <v>18470</v>
      </c>
      <c r="T303" s="10" t="s">
        <v>57</v>
      </c>
      <c r="U303" s="10" t="s">
        <v>13</v>
      </c>
      <c r="V303" s="10">
        <v>39660</v>
      </c>
      <c r="W303" s="25">
        <f>Table1[[#This Row],[STAB]]-Table1[[#This Row],[AMOUNT]]</f>
        <v>-21190</v>
      </c>
      <c r="X303" s="10" t="s">
        <v>4619</v>
      </c>
      <c r="Y303" s="10" t="s">
        <v>396</v>
      </c>
      <c r="Z303" s="10" t="s">
        <v>403</v>
      </c>
      <c r="AA303" s="10" t="s">
        <v>113</v>
      </c>
      <c r="AB303" s="10" t="s">
        <v>133</v>
      </c>
      <c r="AC303" s="10"/>
      <c r="AD303" s="9" t="s">
        <v>2442</v>
      </c>
      <c r="AE303" s="10" t="s">
        <v>2563</v>
      </c>
      <c r="AF303" s="10" t="s">
        <v>85</v>
      </c>
      <c r="AG303" s="10" t="s">
        <v>54</v>
      </c>
      <c r="AH303" s="10" t="s">
        <v>89</v>
      </c>
      <c r="AI303" s="10" t="s">
        <v>106</v>
      </c>
      <c r="AJ303" s="10">
        <v>802370852</v>
      </c>
      <c r="AK303" s="10" t="s">
        <v>105</v>
      </c>
      <c r="AL303" s="10"/>
      <c r="AM303" s="10"/>
      <c r="AN303" s="11" t="s">
        <v>390</v>
      </c>
      <c r="AO303" s="10"/>
      <c r="AP303" s="10"/>
      <c r="AQ303" s="10"/>
      <c r="AR303" s="2">
        <v>45552</v>
      </c>
      <c r="AS303" s="10">
        <v>25000</v>
      </c>
      <c r="AT303" s="10" t="s">
        <v>47</v>
      </c>
      <c r="AU303" s="10" t="s">
        <v>2622</v>
      </c>
      <c r="AV303" s="36" t="s">
        <v>2686</v>
      </c>
      <c r="AW303" s="1">
        <v>46203</v>
      </c>
    </row>
    <row r="304" spans="1:49" x14ac:dyDescent="0.25">
      <c r="A304" s="9" t="s">
        <v>2051</v>
      </c>
      <c r="B304" s="10" t="s">
        <v>2176</v>
      </c>
      <c r="C304" s="10">
        <v>0</v>
      </c>
      <c r="D304" s="10" t="s">
        <v>91</v>
      </c>
      <c r="E304" s="10"/>
      <c r="F304" s="10"/>
      <c r="G304" s="10"/>
      <c r="H304" s="10" t="s">
        <v>52</v>
      </c>
      <c r="I304" s="10">
        <v>12</v>
      </c>
      <c r="J304" s="10" t="s">
        <v>2298</v>
      </c>
      <c r="K304" s="10" t="s">
        <v>42</v>
      </c>
      <c r="L304" s="10">
        <f>Table1[[#This Row],[ENR]]-Table1[[#This Row],[CREDIT]]</f>
        <v>-22886.649999999994</v>
      </c>
      <c r="M304" s="36">
        <v>170000</v>
      </c>
      <c r="N304" s="26">
        <v>147113.35</v>
      </c>
      <c r="O304" s="38" t="s">
        <v>43</v>
      </c>
      <c r="P304" s="25">
        <v>147113.35</v>
      </c>
      <c r="Q304" s="25">
        <v>133022.21</v>
      </c>
      <c r="R304" s="10">
        <v>22250</v>
      </c>
      <c r="S304" s="39">
        <v>7890</v>
      </c>
      <c r="T304" s="10" t="s">
        <v>57</v>
      </c>
      <c r="U304" s="10" t="s">
        <v>13</v>
      </c>
      <c r="V304" s="10">
        <v>22250</v>
      </c>
      <c r="W304" s="25">
        <f>Table1[[#This Row],[STAB]]-Table1[[#This Row],[AMOUNT]]</f>
        <v>-14360</v>
      </c>
      <c r="X304" s="10" t="s">
        <v>4535</v>
      </c>
      <c r="Y304" s="10" t="s">
        <v>402</v>
      </c>
      <c r="Z304" s="10" t="s">
        <v>1968</v>
      </c>
      <c r="AA304" s="10" t="s">
        <v>113</v>
      </c>
      <c r="AB304" s="36" t="s">
        <v>375</v>
      </c>
      <c r="AC304" s="10"/>
      <c r="AD304" s="9" t="s">
        <v>2421</v>
      </c>
      <c r="AE304" s="10" t="s">
        <v>2542</v>
      </c>
      <c r="AF304" s="10" t="s">
        <v>275</v>
      </c>
      <c r="AG304" s="10" t="s">
        <v>80</v>
      </c>
      <c r="AH304" s="10" t="s">
        <v>524</v>
      </c>
      <c r="AI304" s="10" t="s">
        <v>82</v>
      </c>
      <c r="AJ304" s="10">
        <v>801723195</v>
      </c>
      <c r="AK304" s="10" t="s">
        <v>105</v>
      </c>
      <c r="AL304" s="10"/>
      <c r="AM304" s="10"/>
      <c r="AN304" s="11" t="s">
        <v>390</v>
      </c>
      <c r="AO304" s="10"/>
      <c r="AP304" s="10"/>
      <c r="AQ304" s="10"/>
      <c r="AR304" s="2">
        <v>46062</v>
      </c>
      <c r="AS304" s="10">
        <v>9000</v>
      </c>
      <c r="AT304" s="10" t="s">
        <v>47</v>
      </c>
      <c r="AU304" s="10" t="s">
        <v>2622</v>
      </c>
      <c r="AV304" s="36" t="s">
        <v>2664</v>
      </c>
      <c r="AW304" s="1">
        <v>46203</v>
      </c>
    </row>
    <row r="305" spans="1:49" x14ac:dyDescent="0.25">
      <c r="A305" s="9" t="s">
        <v>1419</v>
      </c>
      <c r="B305" s="10" t="s">
        <v>1486</v>
      </c>
      <c r="C305" s="10">
        <v>0</v>
      </c>
      <c r="D305" s="10" t="s">
        <v>91</v>
      </c>
      <c r="E305" s="10"/>
      <c r="F305" s="10"/>
      <c r="G305" s="10"/>
      <c r="H305" s="10" t="s">
        <v>52</v>
      </c>
      <c r="I305" s="10">
        <v>12</v>
      </c>
      <c r="J305" s="10" t="s">
        <v>1550</v>
      </c>
      <c r="K305" s="10" t="s">
        <v>42</v>
      </c>
      <c r="L305" s="10">
        <f>Table1[[#This Row],[ENR]]-Table1[[#This Row],[CREDIT]]</f>
        <v>13093.820000000007</v>
      </c>
      <c r="M305" s="36">
        <v>130000</v>
      </c>
      <c r="N305" s="26">
        <v>143093.82</v>
      </c>
      <c r="O305" s="38">
        <v>8302.24</v>
      </c>
      <c r="P305" s="25">
        <v>134791.57999999999</v>
      </c>
      <c r="Q305" s="25">
        <v>121582.23</v>
      </c>
      <c r="R305" s="10">
        <v>28090</v>
      </c>
      <c r="S305" s="39">
        <v>9060</v>
      </c>
      <c r="T305" s="10" t="s">
        <v>57</v>
      </c>
      <c r="U305" s="10" t="s">
        <v>13</v>
      </c>
      <c r="V305" s="10">
        <v>28090</v>
      </c>
      <c r="W305" s="25">
        <f>Table1[[#This Row],[STAB]]-Table1[[#This Row],[AMOUNT]]</f>
        <v>-19030</v>
      </c>
      <c r="X305" s="10">
        <v>0</v>
      </c>
      <c r="Y305" s="10" t="s">
        <v>388</v>
      </c>
      <c r="Z305" s="10" t="s">
        <v>403</v>
      </c>
      <c r="AA305" s="10" t="s">
        <v>113</v>
      </c>
      <c r="AB305" s="36" t="s">
        <v>375</v>
      </c>
      <c r="AC305" s="10"/>
      <c r="AD305" s="9" t="s">
        <v>1614</v>
      </c>
      <c r="AE305" s="10" t="s">
        <v>1677</v>
      </c>
      <c r="AF305" s="10" t="s">
        <v>685</v>
      </c>
      <c r="AG305" s="10" t="s">
        <v>54</v>
      </c>
      <c r="AH305" s="10" t="s">
        <v>1398</v>
      </c>
      <c r="AI305" s="10" t="s">
        <v>162</v>
      </c>
      <c r="AJ305" s="10">
        <v>801772794</v>
      </c>
      <c r="AK305" s="10" t="s">
        <v>361</v>
      </c>
      <c r="AL305" s="10"/>
      <c r="AM305" s="10"/>
      <c r="AN305" s="11" t="s">
        <v>390</v>
      </c>
      <c r="AO305" s="10"/>
      <c r="AP305" s="10"/>
      <c r="AQ305" s="10"/>
      <c r="AR305" s="2">
        <v>44711</v>
      </c>
      <c r="AS305" s="10">
        <v>11534.77</v>
      </c>
      <c r="AT305" s="10" t="s">
        <v>47</v>
      </c>
      <c r="AU305" s="10" t="s">
        <v>1741</v>
      </c>
      <c r="AV305" s="36" t="s">
        <v>1746</v>
      </c>
      <c r="AW305" s="1">
        <v>46203</v>
      </c>
    </row>
    <row r="306" spans="1:49" x14ac:dyDescent="0.25">
      <c r="A306" s="9" t="s">
        <v>2043</v>
      </c>
      <c r="B306" s="10" t="s">
        <v>2168</v>
      </c>
      <c r="C306" s="10">
        <v>0</v>
      </c>
      <c r="D306" s="10" t="s">
        <v>91</v>
      </c>
      <c r="E306" s="10"/>
      <c r="F306" s="10"/>
      <c r="G306" s="10"/>
      <c r="H306" s="10" t="s">
        <v>52</v>
      </c>
      <c r="I306" s="10">
        <v>12</v>
      </c>
      <c r="J306" s="10" t="s">
        <v>2290</v>
      </c>
      <c r="K306" s="10" t="s">
        <v>42</v>
      </c>
      <c r="L306" s="10">
        <f>Table1[[#This Row],[ENR]]-Table1[[#This Row],[CREDIT]]</f>
        <v>1566.1700000000128</v>
      </c>
      <c r="M306" s="36">
        <v>140000</v>
      </c>
      <c r="N306" s="26">
        <v>141566.17000000001</v>
      </c>
      <c r="O306" s="38" t="s">
        <v>43</v>
      </c>
      <c r="P306" s="25">
        <v>141566.17000000001</v>
      </c>
      <c r="Q306" s="25">
        <v>128303.36</v>
      </c>
      <c r="R306" s="10">
        <v>28810</v>
      </c>
      <c r="S306" s="39">
        <v>13760</v>
      </c>
      <c r="T306" s="10" t="s">
        <v>57</v>
      </c>
      <c r="U306" s="10" t="s">
        <v>13</v>
      </c>
      <c r="V306" s="10">
        <v>141566.17000000001</v>
      </c>
      <c r="W306" s="25">
        <f>Table1[[#This Row],[STAB]]-Table1[[#This Row],[AMOUNT]]</f>
        <v>-127806.17000000001</v>
      </c>
      <c r="X306" s="10" t="s">
        <v>4591</v>
      </c>
      <c r="Y306" s="10" t="s">
        <v>402</v>
      </c>
      <c r="Z306" s="10" t="s">
        <v>403</v>
      </c>
      <c r="AA306" s="10" t="s">
        <v>113</v>
      </c>
      <c r="AB306" s="10" t="s">
        <v>133</v>
      </c>
      <c r="AC306" s="10"/>
      <c r="AD306" s="9" t="s">
        <v>2413</v>
      </c>
      <c r="AE306" s="10" t="s">
        <v>2534</v>
      </c>
      <c r="AF306" s="10" t="s">
        <v>686</v>
      </c>
      <c r="AG306" s="10" t="s">
        <v>324</v>
      </c>
      <c r="AH306" s="10" t="s">
        <v>722</v>
      </c>
      <c r="AI306" s="10" t="s">
        <v>370</v>
      </c>
      <c r="AJ306" s="10">
        <v>801448854</v>
      </c>
      <c r="AK306" s="10" t="s">
        <v>105</v>
      </c>
      <c r="AL306" s="10"/>
      <c r="AM306" s="10"/>
      <c r="AN306" s="11" t="s">
        <v>390</v>
      </c>
      <c r="AO306" s="10"/>
      <c r="AP306" s="10"/>
      <c r="AQ306" s="10"/>
      <c r="AR306" s="2">
        <v>45658</v>
      </c>
      <c r="AS306" s="10">
        <v>129021</v>
      </c>
      <c r="AT306" s="10" t="s">
        <v>47</v>
      </c>
      <c r="AU306" s="10" t="s">
        <v>2622</v>
      </c>
      <c r="AV306" s="36" t="s">
        <v>2656</v>
      </c>
      <c r="AW306" s="1">
        <v>46203</v>
      </c>
    </row>
    <row r="307" spans="1:49" x14ac:dyDescent="0.25">
      <c r="A307" s="9" t="s">
        <v>2054</v>
      </c>
      <c r="B307" s="10" t="s">
        <v>1179</v>
      </c>
      <c r="C307" s="10">
        <v>0</v>
      </c>
      <c r="D307" s="10" t="s">
        <v>91</v>
      </c>
      <c r="E307" s="10"/>
      <c r="F307" s="10"/>
      <c r="G307" s="10"/>
      <c r="H307" s="10" t="s">
        <v>52</v>
      </c>
      <c r="I307" s="10">
        <v>12</v>
      </c>
      <c r="J307" s="10" t="s">
        <v>1216</v>
      </c>
      <c r="K307" s="10" t="s">
        <v>42</v>
      </c>
      <c r="L307" s="10">
        <f>Table1[[#This Row],[ENR]]-Table1[[#This Row],[CREDIT]]</f>
        <v>59404.649999999994</v>
      </c>
      <c r="M307" s="36">
        <v>80000</v>
      </c>
      <c r="N307" s="26">
        <v>139404.65</v>
      </c>
      <c r="O307" s="38">
        <v>121541.01</v>
      </c>
      <c r="P307" s="25">
        <v>17863.64</v>
      </c>
      <c r="Q307" s="25">
        <v>15507.32</v>
      </c>
      <c r="R307" s="10">
        <v>17863.64</v>
      </c>
      <c r="S307" s="39">
        <v>7975.82</v>
      </c>
      <c r="T307" s="10" t="s">
        <v>44</v>
      </c>
      <c r="U307" s="10" t="s">
        <v>45</v>
      </c>
      <c r="V307" s="10">
        <v>0</v>
      </c>
      <c r="W307" s="25">
        <f>Table1[[#This Row],[STAB]]-Table1[[#This Row],[AMOUNT]]</f>
        <v>7975.82</v>
      </c>
      <c r="X307" s="10">
        <v>0</v>
      </c>
      <c r="Y307" s="10" t="s">
        <v>79</v>
      </c>
      <c r="Z307" s="10">
        <v>0</v>
      </c>
      <c r="AA307" s="10" t="s">
        <v>113</v>
      </c>
      <c r="AB307" s="36" t="s">
        <v>374</v>
      </c>
      <c r="AC307" s="10"/>
      <c r="AD307" s="9" t="s">
        <v>1253</v>
      </c>
      <c r="AE307" s="10" t="s">
        <v>1290</v>
      </c>
      <c r="AF307" s="10" t="s">
        <v>498</v>
      </c>
      <c r="AG307" s="10" t="s">
        <v>53</v>
      </c>
      <c r="AH307" s="10" t="s">
        <v>90</v>
      </c>
      <c r="AI307" s="10" t="s">
        <v>162</v>
      </c>
      <c r="AJ307" s="10">
        <v>801772794</v>
      </c>
      <c r="AK307" s="10" t="s">
        <v>361</v>
      </c>
      <c r="AL307" s="10"/>
      <c r="AM307" s="10"/>
      <c r="AN307" s="11" t="s">
        <v>390</v>
      </c>
      <c r="AO307" s="10" t="s">
        <v>392</v>
      </c>
      <c r="AP307" s="10" t="s">
        <v>4647</v>
      </c>
      <c r="AQ307" s="10" t="s">
        <v>4601</v>
      </c>
      <c r="AR307" s="2">
        <v>45991</v>
      </c>
      <c r="AS307" s="10">
        <v>8038.34</v>
      </c>
      <c r="AT307" s="10" t="s">
        <v>47</v>
      </c>
      <c r="AU307" s="10" t="s">
        <v>2622</v>
      </c>
      <c r="AV307" s="36" t="s">
        <v>2667</v>
      </c>
      <c r="AW307" s="1">
        <v>46203</v>
      </c>
    </row>
    <row r="308" spans="1:49" x14ac:dyDescent="0.25">
      <c r="A308" s="9" t="s">
        <v>2023</v>
      </c>
      <c r="B308" s="10" t="s">
        <v>2149</v>
      </c>
      <c r="C308" s="10">
        <v>0</v>
      </c>
      <c r="D308" s="10" t="s">
        <v>91</v>
      </c>
      <c r="E308" s="10"/>
      <c r="F308" s="10"/>
      <c r="G308" s="10"/>
      <c r="H308" s="10" t="s">
        <v>52</v>
      </c>
      <c r="I308" s="10">
        <v>12</v>
      </c>
      <c r="J308" s="10" t="s">
        <v>2272</v>
      </c>
      <c r="K308" s="10" t="s">
        <v>460</v>
      </c>
      <c r="L308" s="10">
        <f>Table1[[#This Row],[ENR]]-Table1[[#This Row],[CREDIT]]</f>
        <v>-361116.36</v>
      </c>
      <c r="M308" s="36">
        <v>500000</v>
      </c>
      <c r="N308" s="26">
        <v>138883.64000000001</v>
      </c>
      <c r="O308" s="38" t="s">
        <v>43</v>
      </c>
      <c r="P308" s="25">
        <v>138883.64000000001</v>
      </c>
      <c r="Q308" s="25">
        <v>126049.68</v>
      </c>
      <c r="R308" s="10">
        <v>19870</v>
      </c>
      <c r="S308" s="39">
        <v>7650</v>
      </c>
      <c r="T308" s="10" t="s">
        <v>44</v>
      </c>
      <c r="U308" s="10" t="s">
        <v>45</v>
      </c>
      <c r="V308" s="10">
        <v>0</v>
      </c>
      <c r="W308" s="25">
        <f>Table1[[#This Row],[STAB]]-Table1[[#This Row],[AMOUNT]]</f>
        <v>7650</v>
      </c>
      <c r="X308" s="10">
        <v>0</v>
      </c>
      <c r="Y308" s="10" t="s">
        <v>79</v>
      </c>
      <c r="Z308" s="10">
        <v>0</v>
      </c>
      <c r="AA308" s="10" t="s">
        <v>113</v>
      </c>
      <c r="AB308" s="41" t="s">
        <v>376</v>
      </c>
      <c r="AC308" s="10"/>
      <c r="AD308" s="9" t="s">
        <v>2394</v>
      </c>
      <c r="AE308" s="10" t="s">
        <v>2515</v>
      </c>
      <c r="AF308" s="10" t="s">
        <v>275</v>
      </c>
      <c r="AG308" s="10" t="s">
        <v>80</v>
      </c>
      <c r="AH308" s="10" t="s">
        <v>2000</v>
      </c>
      <c r="AI308" s="10" t="s">
        <v>82</v>
      </c>
      <c r="AJ308" s="10">
        <v>801723195</v>
      </c>
      <c r="AK308" s="10" t="s">
        <v>105</v>
      </c>
      <c r="AL308" s="10"/>
      <c r="AM308" s="10"/>
      <c r="AN308" s="11" t="s">
        <v>390</v>
      </c>
      <c r="AO308" s="10" t="s">
        <v>398</v>
      </c>
      <c r="AP308" s="10" t="s">
        <v>4596</v>
      </c>
      <c r="AQ308" s="10" t="s">
        <v>4591</v>
      </c>
      <c r="AR308" s="2">
        <v>46109</v>
      </c>
      <c r="AS308" s="10">
        <v>1100</v>
      </c>
      <c r="AT308" s="10" t="s">
        <v>47</v>
      </c>
      <c r="AU308" s="10" t="s">
        <v>2622</v>
      </c>
      <c r="AV308" s="36" t="s">
        <v>2636</v>
      </c>
      <c r="AW308" s="1">
        <v>46203</v>
      </c>
    </row>
    <row r="309" spans="1:49" x14ac:dyDescent="0.25">
      <c r="A309" s="9" t="s">
        <v>1448</v>
      </c>
      <c r="B309" s="10" t="s">
        <v>1514</v>
      </c>
      <c r="C309" s="10">
        <v>0</v>
      </c>
      <c r="D309" s="10" t="s">
        <v>91</v>
      </c>
      <c r="E309" s="10"/>
      <c r="F309" s="10"/>
      <c r="G309" s="10"/>
      <c r="H309" s="10" t="s">
        <v>52</v>
      </c>
      <c r="I309" s="10">
        <v>12</v>
      </c>
      <c r="J309" s="10" t="s">
        <v>1578</v>
      </c>
      <c r="K309" s="10" t="s">
        <v>42</v>
      </c>
      <c r="L309" s="10">
        <f>Table1[[#This Row],[ENR]]-Table1[[#This Row],[CREDIT]]</f>
        <v>-3007.8099999999977</v>
      </c>
      <c r="M309" s="36">
        <v>140000</v>
      </c>
      <c r="N309" s="26">
        <v>136992.19</v>
      </c>
      <c r="O309" s="38">
        <v>119809.55</v>
      </c>
      <c r="P309" s="25">
        <v>17182.64</v>
      </c>
      <c r="Q309" s="25">
        <v>13252.16</v>
      </c>
      <c r="R309" s="10">
        <v>17182.64</v>
      </c>
      <c r="S309" s="39">
        <v>8428.43</v>
      </c>
      <c r="T309" s="10" t="s">
        <v>57</v>
      </c>
      <c r="U309" s="10" t="s">
        <v>13</v>
      </c>
      <c r="V309" s="10">
        <v>17182.64</v>
      </c>
      <c r="W309" s="25">
        <f>Table1[[#This Row],[STAB]]-Table1[[#This Row],[AMOUNT]]</f>
        <v>-8754.2099999999991</v>
      </c>
      <c r="X309" s="10" t="s">
        <v>4591</v>
      </c>
      <c r="Y309" s="10" t="s">
        <v>402</v>
      </c>
      <c r="Z309" s="10" t="s">
        <v>403</v>
      </c>
      <c r="AA309" s="10" t="s">
        <v>113</v>
      </c>
      <c r="AB309" s="10" t="s">
        <v>133</v>
      </c>
      <c r="AC309" s="10"/>
      <c r="AD309" s="9" t="s">
        <v>1642</v>
      </c>
      <c r="AE309" s="10" t="s">
        <v>1705</v>
      </c>
      <c r="AF309" s="10" t="s">
        <v>500</v>
      </c>
      <c r="AG309" s="10" t="s">
        <v>324</v>
      </c>
      <c r="AH309" s="10" t="s">
        <v>1956</v>
      </c>
      <c r="AI309" s="10" t="s">
        <v>1403</v>
      </c>
      <c r="AJ309" s="10">
        <v>802631601</v>
      </c>
      <c r="AK309" s="10" t="s">
        <v>362</v>
      </c>
      <c r="AL309" s="10"/>
      <c r="AM309" s="10"/>
      <c r="AN309" s="11" t="s">
        <v>390</v>
      </c>
      <c r="AO309" s="10"/>
      <c r="AP309" s="10"/>
      <c r="AQ309" s="10"/>
      <c r="AR309" s="2">
        <v>46154</v>
      </c>
      <c r="AS309" s="10">
        <v>1340</v>
      </c>
      <c r="AT309" s="10" t="s">
        <v>47</v>
      </c>
      <c r="AU309" s="10" t="s">
        <v>1741</v>
      </c>
      <c r="AV309" s="36" t="s">
        <v>1775</v>
      </c>
      <c r="AW309" s="1">
        <v>46203</v>
      </c>
    </row>
    <row r="310" spans="1:49" x14ac:dyDescent="0.25">
      <c r="A310" s="9" t="s">
        <v>2104</v>
      </c>
      <c r="B310" s="10" t="s">
        <v>2228</v>
      </c>
      <c r="C310" s="10">
        <v>0</v>
      </c>
      <c r="D310" s="10" t="s">
        <v>91</v>
      </c>
      <c r="E310" s="10"/>
      <c r="F310" s="10"/>
      <c r="G310" s="10"/>
      <c r="H310" s="10" t="s">
        <v>52</v>
      </c>
      <c r="I310" s="10">
        <v>12</v>
      </c>
      <c r="J310" s="10" t="s">
        <v>2350</v>
      </c>
      <c r="K310" s="10" t="s">
        <v>42</v>
      </c>
      <c r="L310" s="10">
        <f>Table1[[#This Row],[ENR]]-Table1[[#This Row],[CREDIT]]</f>
        <v>15838.630000000005</v>
      </c>
      <c r="M310" s="36">
        <v>120000</v>
      </c>
      <c r="N310" s="26">
        <v>135838.63</v>
      </c>
      <c r="O310" s="38" t="s">
        <v>43</v>
      </c>
      <c r="P310" s="25">
        <v>135838.63</v>
      </c>
      <c r="Q310" s="25">
        <v>119957.52</v>
      </c>
      <c r="R310" s="10">
        <v>42230</v>
      </c>
      <c r="S310" s="39">
        <v>22770</v>
      </c>
      <c r="T310" s="10" t="s">
        <v>44</v>
      </c>
      <c r="U310" s="10" t="s">
        <v>45</v>
      </c>
      <c r="V310" s="10">
        <v>0</v>
      </c>
      <c r="W310" s="25">
        <f>Table1[[#This Row],[STAB]]-Table1[[#This Row],[AMOUNT]]</f>
        <v>22770</v>
      </c>
      <c r="X310" s="10">
        <v>0</v>
      </c>
      <c r="Y310" s="10" t="s">
        <v>79</v>
      </c>
      <c r="Z310" s="10">
        <v>0</v>
      </c>
      <c r="AA310" s="10" t="s">
        <v>113</v>
      </c>
      <c r="AB310" s="41" t="s">
        <v>376</v>
      </c>
      <c r="AC310" s="10"/>
      <c r="AD310" s="9" t="s">
        <v>2473</v>
      </c>
      <c r="AE310" s="10" t="s">
        <v>2594</v>
      </c>
      <c r="AF310" s="10" t="s">
        <v>279</v>
      </c>
      <c r="AG310" s="10" t="s">
        <v>324</v>
      </c>
      <c r="AH310" s="10" t="s">
        <v>354</v>
      </c>
      <c r="AI310" s="10" t="s">
        <v>367</v>
      </c>
      <c r="AJ310" s="10">
        <v>801436997</v>
      </c>
      <c r="AK310" s="10" t="s">
        <v>104</v>
      </c>
      <c r="AL310" s="10"/>
      <c r="AM310" s="10"/>
      <c r="AN310" s="11" t="s">
        <v>46</v>
      </c>
      <c r="AO310" s="10"/>
      <c r="AP310" s="10"/>
      <c r="AQ310" s="10"/>
      <c r="AR310" s="2" t="s">
        <v>43</v>
      </c>
      <c r="AS310" s="10">
        <v>0</v>
      </c>
      <c r="AT310" s="10" t="s">
        <v>47</v>
      </c>
      <c r="AU310" s="10" t="s">
        <v>2622</v>
      </c>
      <c r="AV310" s="36" t="s">
        <v>2717</v>
      </c>
      <c r="AW310" s="1">
        <v>46203</v>
      </c>
    </row>
    <row r="311" spans="1:49" x14ac:dyDescent="0.25">
      <c r="A311" s="9" t="s">
        <v>2092</v>
      </c>
      <c r="B311" s="10" t="s">
        <v>2216</v>
      </c>
      <c r="C311" s="10">
        <v>0</v>
      </c>
      <c r="D311" s="10" t="s">
        <v>91</v>
      </c>
      <c r="E311" s="10"/>
      <c r="F311" s="10"/>
      <c r="G311" s="10"/>
      <c r="H311" s="10" t="s">
        <v>52</v>
      </c>
      <c r="I311" s="10">
        <v>12</v>
      </c>
      <c r="J311" s="10" t="s">
        <v>2338</v>
      </c>
      <c r="K311" s="10" t="s">
        <v>42</v>
      </c>
      <c r="L311" s="10">
        <f>Table1[[#This Row],[ENR]]-Table1[[#This Row],[CREDIT]]</f>
        <v>14926.920000000013</v>
      </c>
      <c r="M311" s="36">
        <v>120000</v>
      </c>
      <c r="N311" s="26">
        <v>134926.92000000001</v>
      </c>
      <c r="O311" s="38" t="s">
        <v>43</v>
      </c>
      <c r="P311" s="25">
        <v>134926.92000000001</v>
      </c>
      <c r="Q311" s="25">
        <v>119997</v>
      </c>
      <c r="R311" s="10">
        <v>40450</v>
      </c>
      <c r="S311" s="39">
        <v>20980</v>
      </c>
      <c r="T311" s="10" t="s">
        <v>44</v>
      </c>
      <c r="U311" s="10" t="s">
        <v>45</v>
      </c>
      <c r="V311" s="10">
        <v>0</v>
      </c>
      <c r="W311" s="25">
        <f>Table1[[#This Row],[STAB]]-Table1[[#This Row],[AMOUNT]]</f>
        <v>20980</v>
      </c>
      <c r="X311" s="10">
        <v>0</v>
      </c>
      <c r="Y311" s="10" t="s">
        <v>79</v>
      </c>
      <c r="Z311" s="10">
        <v>0</v>
      </c>
      <c r="AA311" s="10" t="s">
        <v>113</v>
      </c>
      <c r="AB311" s="36" t="s">
        <v>374</v>
      </c>
      <c r="AC311" s="10"/>
      <c r="AD311" s="9" t="s">
        <v>2461</v>
      </c>
      <c r="AE311" s="10" t="s">
        <v>2582</v>
      </c>
      <c r="AF311" s="10" t="s">
        <v>1104</v>
      </c>
      <c r="AG311" s="10" t="s">
        <v>324</v>
      </c>
      <c r="AH311" s="10" t="s">
        <v>1361</v>
      </c>
      <c r="AI311" s="10" t="s">
        <v>1404</v>
      </c>
      <c r="AJ311" s="10">
        <v>802852449</v>
      </c>
      <c r="AK311" s="10" t="s">
        <v>104</v>
      </c>
      <c r="AL311" s="10"/>
      <c r="AM311" s="10"/>
      <c r="AN311" s="11" t="s">
        <v>390</v>
      </c>
      <c r="AO311" s="10" t="s">
        <v>392</v>
      </c>
      <c r="AP311" s="10" t="s">
        <v>4611</v>
      </c>
      <c r="AQ311" s="10" t="s">
        <v>4591</v>
      </c>
      <c r="AR311" s="2">
        <v>46021</v>
      </c>
      <c r="AS311" s="10">
        <v>19724</v>
      </c>
      <c r="AT311" s="10" t="s">
        <v>47</v>
      </c>
      <c r="AU311" s="10" t="s">
        <v>2622</v>
      </c>
      <c r="AV311" s="36" t="s">
        <v>2705</v>
      </c>
      <c r="AW311" s="1">
        <v>46203</v>
      </c>
    </row>
    <row r="312" spans="1:49" x14ac:dyDescent="0.25">
      <c r="A312" s="9" t="s">
        <v>2013</v>
      </c>
      <c r="B312" s="10" t="s">
        <v>2139</v>
      </c>
      <c r="C312" s="10" t="s">
        <v>97</v>
      </c>
      <c r="D312" s="10" t="s">
        <v>95</v>
      </c>
      <c r="E312" s="10">
        <v>1</v>
      </c>
      <c r="F312" s="10" t="s">
        <v>112</v>
      </c>
      <c r="G312" s="10" t="s">
        <v>4947</v>
      </c>
      <c r="H312" s="10" t="s">
        <v>52</v>
      </c>
      <c r="I312" s="10">
        <v>12</v>
      </c>
      <c r="J312" s="10" t="s">
        <v>2262</v>
      </c>
      <c r="K312" s="10" t="s">
        <v>42</v>
      </c>
      <c r="L312" s="10">
        <f>Table1[[#This Row],[ENR]]-Table1[[#This Row],[CREDIT]]</f>
        <v>-45077.619999999995</v>
      </c>
      <c r="M312" s="36">
        <v>180000</v>
      </c>
      <c r="N312" s="26">
        <v>134922.38</v>
      </c>
      <c r="O312" s="38" t="s">
        <v>43</v>
      </c>
      <c r="P312" s="25">
        <v>134922.38</v>
      </c>
      <c r="Q312" s="25">
        <v>121887.29</v>
      </c>
      <c r="R312" s="10">
        <v>20520</v>
      </c>
      <c r="S312" s="39">
        <v>7230</v>
      </c>
      <c r="T312" s="10" t="s">
        <v>57</v>
      </c>
      <c r="U312" s="10" t="s">
        <v>13</v>
      </c>
      <c r="V312" s="10">
        <v>20520</v>
      </c>
      <c r="W312" s="25">
        <f>Table1[[#This Row],[STAB]]-Table1[[#This Row],[AMOUNT]]</f>
        <v>-13290</v>
      </c>
      <c r="X312" s="10" t="s">
        <v>4923</v>
      </c>
      <c r="Y312" s="10" t="s">
        <v>402</v>
      </c>
      <c r="Z312" s="10">
        <v>0</v>
      </c>
      <c r="AA312" s="10" t="s">
        <v>113</v>
      </c>
      <c r="AB312" s="36" t="s">
        <v>375</v>
      </c>
      <c r="AC312" s="10"/>
      <c r="AD312" s="9" t="s">
        <v>2384</v>
      </c>
      <c r="AE312" s="10" t="s">
        <v>2505</v>
      </c>
      <c r="AF312" s="10" t="s">
        <v>275</v>
      </c>
      <c r="AG312" s="10" t="s">
        <v>80</v>
      </c>
      <c r="AH312" s="10" t="s">
        <v>524</v>
      </c>
      <c r="AI312" s="10" t="s">
        <v>82</v>
      </c>
      <c r="AJ312" s="10">
        <v>801723195</v>
      </c>
      <c r="AK312" s="10" t="s">
        <v>105</v>
      </c>
      <c r="AL312" s="10"/>
      <c r="AM312" s="10"/>
      <c r="AN312" s="11" t="s">
        <v>390</v>
      </c>
      <c r="AO312" s="10"/>
      <c r="AP312" s="10"/>
      <c r="AQ312" s="10"/>
      <c r="AR312" s="2">
        <v>45627</v>
      </c>
      <c r="AS312" s="10">
        <v>30000</v>
      </c>
      <c r="AT312" s="10" t="s">
        <v>47</v>
      </c>
      <c r="AU312" s="10" t="s">
        <v>2622</v>
      </c>
      <c r="AV312" s="36" t="s">
        <v>2626</v>
      </c>
      <c r="AW312" s="1">
        <v>46203</v>
      </c>
    </row>
    <row r="313" spans="1:49" x14ac:dyDescent="0.25">
      <c r="A313" s="9" t="s">
        <v>1444</v>
      </c>
      <c r="B313" s="10" t="s">
        <v>1510</v>
      </c>
      <c r="C313" s="10">
        <v>0</v>
      </c>
      <c r="D313" s="10" t="s">
        <v>91</v>
      </c>
      <c r="E313" s="10"/>
      <c r="F313" s="10"/>
      <c r="G313" s="10"/>
      <c r="H313" s="10" t="s">
        <v>52</v>
      </c>
      <c r="I313" s="10">
        <v>12</v>
      </c>
      <c r="J313" s="10" t="s">
        <v>1574</v>
      </c>
      <c r="K313" s="10" t="s">
        <v>42</v>
      </c>
      <c r="L313" s="10">
        <f>Table1[[#This Row],[ENR]]-Table1[[#This Row],[CREDIT]]</f>
        <v>14304.600000000006</v>
      </c>
      <c r="M313" s="36">
        <v>120000</v>
      </c>
      <c r="N313" s="26">
        <v>134304.6</v>
      </c>
      <c r="O313" s="38" t="s">
        <v>43</v>
      </c>
      <c r="P313" s="25">
        <v>134304.6</v>
      </c>
      <c r="Q313" s="25">
        <v>117496</v>
      </c>
      <c r="R313" s="10">
        <v>41520</v>
      </c>
      <c r="S313" s="39">
        <v>22320</v>
      </c>
      <c r="T313" s="10" t="s">
        <v>44</v>
      </c>
      <c r="U313" s="10" t="s">
        <v>45</v>
      </c>
      <c r="V313" s="10">
        <v>0</v>
      </c>
      <c r="W313" s="25">
        <f>Table1[[#This Row],[STAB]]-Table1[[#This Row],[AMOUNT]]</f>
        <v>22320</v>
      </c>
      <c r="X313" s="10">
        <v>0</v>
      </c>
      <c r="Y313" s="10" t="s">
        <v>79</v>
      </c>
      <c r="Z313" s="10">
        <v>0</v>
      </c>
      <c r="AA313" s="10" t="s">
        <v>113</v>
      </c>
      <c r="AB313" s="36" t="s">
        <v>374</v>
      </c>
      <c r="AC313" s="10"/>
      <c r="AD313" s="9" t="s">
        <v>1638</v>
      </c>
      <c r="AE313" s="10" t="s">
        <v>1701</v>
      </c>
      <c r="AF313" s="10" t="s">
        <v>283</v>
      </c>
      <c r="AG313" s="10" t="s">
        <v>53</v>
      </c>
      <c r="AH313" s="10" t="s">
        <v>356</v>
      </c>
      <c r="AI313" s="10" t="s">
        <v>2962</v>
      </c>
      <c r="AJ313" s="10">
        <v>801601134</v>
      </c>
      <c r="AK313" s="10" t="s">
        <v>104</v>
      </c>
      <c r="AL313" s="10"/>
      <c r="AM313" s="10"/>
      <c r="AN313" s="11" t="s">
        <v>46</v>
      </c>
      <c r="AO313" s="10"/>
      <c r="AP313" s="10"/>
      <c r="AQ313" s="10"/>
      <c r="AR313" s="2">
        <v>46146</v>
      </c>
      <c r="AS313" s="10">
        <v>17500</v>
      </c>
      <c r="AT313" s="10" t="s">
        <v>47</v>
      </c>
      <c r="AU313" s="10" t="s">
        <v>1741</v>
      </c>
      <c r="AV313" s="36" t="s">
        <v>1771</v>
      </c>
      <c r="AW313" s="1">
        <v>46203</v>
      </c>
    </row>
    <row r="314" spans="1:49" x14ac:dyDescent="0.25">
      <c r="A314" s="9" t="s">
        <v>1452</v>
      </c>
      <c r="B314" s="10" t="s">
        <v>1178</v>
      </c>
      <c r="C314" s="10">
        <v>0</v>
      </c>
      <c r="D314" s="10" t="s">
        <v>91</v>
      </c>
      <c r="E314" s="10"/>
      <c r="F314" s="10"/>
      <c r="G314" s="10"/>
      <c r="H314" s="10" t="s">
        <v>52</v>
      </c>
      <c r="I314" s="10">
        <v>12</v>
      </c>
      <c r="J314" s="10" t="s">
        <v>1215</v>
      </c>
      <c r="K314" s="10" t="s">
        <v>42</v>
      </c>
      <c r="L314" s="10">
        <f>Table1[[#This Row],[ENR]]-Table1[[#This Row],[CREDIT]]</f>
        <v>-47158.28</v>
      </c>
      <c r="M314" s="36">
        <v>180000</v>
      </c>
      <c r="N314" s="26">
        <v>132841.72</v>
      </c>
      <c r="O314" s="38">
        <v>117443.25</v>
      </c>
      <c r="P314" s="25">
        <v>15398.47</v>
      </c>
      <c r="Q314" s="25">
        <v>11431.49</v>
      </c>
      <c r="R314" s="10">
        <v>15398.47</v>
      </c>
      <c r="S314" s="39">
        <v>14656.51</v>
      </c>
      <c r="T314" s="10" t="s">
        <v>57</v>
      </c>
      <c r="U314" s="10" t="s">
        <v>13</v>
      </c>
      <c r="V314" s="10">
        <v>15398.47</v>
      </c>
      <c r="W314" s="25">
        <f>Table1[[#This Row],[STAB]]-Table1[[#This Row],[AMOUNT]]</f>
        <v>-741.95999999999913</v>
      </c>
      <c r="X314" s="10" t="s">
        <v>4619</v>
      </c>
      <c r="Y314" s="10" t="s">
        <v>402</v>
      </c>
      <c r="Z314" s="10" t="s">
        <v>403</v>
      </c>
      <c r="AA314" s="10" t="s">
        <v>113</v>
      </c>
      <c r="AB314" s="36" t="s">
        <v>132</v>
      </c>
      <c r="AC314" s="10"/>
      <c r="AD314" s="9" t="s">
        <v>1252</v>
      </c>
      <c r="AE314" s="10" t="s">
        <v>1289</v>
      </c>
      <c r="AF314" s="10" t="s">
        <v>285</v>
      </c>
      <c r="AG314" s="10" t="s">
        <v>54</v>
      </c>
      <c r="AH314" s="10" t="s">
        <v>94</v>
      </c>
      <c r="AI314" s="10" t="s">
        <v>725</v>
      </c>
      <c r="AJ314" s="10">
        <v>802794852</v>
      </c>
      <c r="AK314" s="10" t="s">
        <v>104</v>
      </c>
      <c r="AL314" s="10"/>
      <c r="AM314" s="10"/>
      <c r="AN314" s="11" t="s">
        <v>390</v>
      </c>
      <c r="AO314" s="10" t="s">
        <v>392</v>
      </c>
      <c r="AP314" s="10" t="s">
        <v>1963</v>
      </c>
      <c r="AQ314" s="10" t="s">
        <v>1961</v>
      </c>
      <c r="AR314" s="2">
        <v>45461</v>
      </c>
      <c r="AS314" s="10">
        <v>9691.94</v>
      </c>
      <c r="AT314" s="10" t="s">
        <v>47</v>
      </c>
      <c r="AU314" s="10" t="s">
        <v>1741</v>
      </c>
      <c r="AV314" s="36" t="s">
        <v>1779</v>
      </c>
      <c r="AW314" s="1">
        <v>46203</v>
      </c>
    </row>
    <row r="315" spans="1:49" x14ac:dyDescent="0.25">
      <c r="A315" s="9" t="s">
        <v>1456</v>
      </c>
      <c r="B315" s="10" t="s">
        <v>1520</v>
      </c>
      <c r="C315" s="10">
        <v>0</v>
      </c>
      <c r="D315" s="10" t="s">
        <v>91</v>
      </c>
      <c r="E315" s="10"/>
      <c r="F315" s="10"/>
      <c r="G315" s="10"/>
      <c r="H315" s="10" t="s">
        <v>52</v>
      </c>
      <c r="I315" s="10">
        <v>12</v>
      </c>
      <c r="J315" s="10" t="s">
        <v>1584</v>
      </c>
      <c r="K315" s="10" t="s">
        <v>42</v>
      </c>
      <c r="L315" s="10">
        <f>Table1[[#This Row],[ENR]]-Table1[[#This Row],[CREDIT]]</f>
        <v>11594.459999999992</v>
      </c>
      <c r="M315" s="36">
        <v>120000</v>
      </c>
      <c r="N315" s="26">
        <v>131594.46</v>
      </c>
      <c r="O315" s="38" t="s">
        <v>43</v>
      </c>
      <c r="P315" s="25">
        <v>131594.46</v>
      </c>
      <c r="Q315" s="25">
        <v>119315.33</v>
      </c>
      <c r="R315" s="10">
        <v>30780</v>
      </c>
      <c r="S315" s="39">
        <v>11230</v>
      </c>
      <c r="T315" s="10" t="s">
        <v>57</v>
      </c>
      <c r="U315" s="10" t="s">
        <v>13</v>
      </c>
      <c r="V315" s="10">
        <v>30780</v>
      </c>
      <c r="W315" s="25">
        <f>Table1[[#This Row],[STAB]]-Table1[[#This Row],[AMOUNT]]</f>
        <v>-19550</v>
      </c>
      <c r="X315" s="10" t="s">
        <v>4535</v>
      </c>
      <c r="Y315" s="10" t="s">
        <v>402</v>
      </c>
      <c r="Z315" s="10" t="s">
        <v>403</v>
      </c>
      <c r="AA315" s="10" t="s">
        <v>113</v>
      </c>
      <c r="AB315" s="36" t="s">
        <v>131</v>
      </c>
      <c r="AC315" s="10"/>
      <c r="AD315" s="9" t="s">
        <v>1648</v>
      </c>
      <c r="AE315" s="10" t="s">
        <v>1711</v>
      </c>
      <c r="AF315" s="10" t="s">
        <v>687</v>
      </c>
      <c r="AG315" s="10" t="s">
        <v>53</v>
      </c>
      <c r="AH315" s="10" t="s">
        <v>83</v>
      </c>
      <c r="AI315" s="10" t="s">
        <v>728</v>
      </c>
      <c r="AJ315" s="10">
        <v>802349062</v>
      </c>
      <c r="AK315" s="10" t="s">
        <v>104</v>
      </c>
      <c r="AL315" s="10"/>
      <c r="AM315" s="10"/>
      <c r="AN315" s="11" t="s">
        <v>390</v>
      </c>
      <c r="AO315" s="10"/>
      <c r="AP315" s="10"/>
      <c r="AQ315" s="10"/>
      <c r="AR315" s="2">
        <v>45973</v>
      </c>
      <c r="AS315" s="10">
        <v>5000</v>
      </c>
      <c r="AT315" s="10" t="s">
        <v>47</v>
      </c>
      <c r="AU315" s="10" t="s">
        <v>1741</v>
      </c>
      <c r="AV315" s="36" t="s">
        <v>1783</v>
      </c>
      <c r="AW315" s="1">
        <v>46203</v>
      </c>
    </row>
    <row r="316" spans="1:49" x14ac:dyDescent="0.25">
      <c r="A316" s="9" t="s">
        <v>2074</v>
      </c>
      <c r="B316" s="10" t="s">
        <v>2198</v>
      </c>
      <c r="C316" s="10">
        <v>0</v>
      </c>
      <c r="D316" s="10" t="s">
        <v>91</v>
      </c>
      <c r="E316" s="10"/>
      <c r="F316" s="10"/>
      <c r="G316" s="10"/>
      <c r="H316" s="10" t="s">
        <v>52</v>
      </c>
      <c r="I316" s="10">
        <v>12</v>
      </c>
      <c r="J316" s="10" t="s">
        <v>2320</v>
      </c>
      <c r="K316" s="10" t="s">
        <v>42</v>
      </c>
      <c r="L316" s="10">
        <f>Table1[[#This Row],[ENR]]-Table1[[#This Row],[CREDIT]]</f>
        <v>11281.209999999992</v>
      </c>
      <c r="M316" s="36">
        <v>120000</v>
      </c>
      <c r="N316" s="26">
        <v>131281.21</v>
      </c>
      <c r="O316" s="38" t="s">
        <v>43</v>
      </c>
      <c r="P316" s="25">
        <v>131281.21</v>
      </c>
      <c r="Q316" s="25">
        <v>119261.67</v>
      </c>
      <c r="R316" s="10">
        <v>41590</v>
      </c>
      <c r="S316" s="39">
        <v>14520</v>
      </c>
      <c r="T316" s="10" t="s">
        <v>57</v>
      </c>
      <c r="U316" s="10" t="s">
        <v>13</v>
      </c>
      <c r="V316" s="10">
        <v>41590</v>
      </c>
      <c r="W316" s="25">
        <f>Table1[[#This Row],[STAB]]-Table1[[#This Row],[AMOUNT]]</f>
        <v>-27070</v>
      </c>
      <c r="X316" s="10" t="s">
        <v>4601</v>
      </c>
      <c r="Y316" s="10" t="s">
        <v>402</v>
      </c>
      <c r="Z316" s="10" t="s">
        <v>403</v>
      </c>
      <c r="AA316" s="10" t="s">
        <v>113</v>
      </c>
      <c r="AB316" s="10" t="s">
        <v>133</v>
      </c>
      <c r="AC316" s="10"/>
      <c r="AD316" s="9" t="s">
        <v>2443</v>
      </c>
      <c r="AE316" s="10" t="s">
        <v>2564</v>
      </c>
      <c r="AF316" s="10" t="s">
        <v>1319</v>
      </c>
      <c r="AG316" s="10" t="s">
        <v>54</v>
      </c>
      <c r="AH316" s="10" t="s">
        <v>59</v>
      </c>
      <c r="AI316" s="10" t="s">
        <v>956</v>
      </c>
      <c r="AJ316" s="10">
        <v>802551967</v>
      </c>
      <c r="AK316" s="10" t="s">
        <v>362</v>
      </c>
      <c r="AL316" s="10"/>
      <c r="AM316" s="10"/>
      <c r="AN316" s="11" t="s">
        <v>390</v>
      </c>
      <c r="AO316" s="10" t="s">
        <v>392</v>
      </c>
      <c r="AP316" s="10" t="s">
        <v>4568</v>
      </c>
      <c r="AQ316" s="10" t="s">
        <v>4566</v>
      </c>
      <c r="AR316" s="2">
        <v>45603</v>
      </c>
      <c r="AS316" s="10">
        <v>20970</v>
      </c>
      <c r="AT316" s="10" t="s">
        <v>47</v>
      </c>
      <c r="AU316" s="10" t="s">
        <v>2622</v>
      </c>
      <c r="AV316" s="36" t="s">
        <v>2687</v>
      </c>
      <c r="AW316" s="1">
        <v>46203</v>
      </c>
    </row>
    <row r="317" spans="1:49" x14ac:dyDescent="0.25">
      <c r="A317" s="9" t="s">
        <v>2087</v>
      </c>
      <c r="B317" s="10" t="s">
        <v>2211</v>
      </c>
      <c r="C317" s="10">
        <v>0</v>
      </c>
      <c r="D317" s="10" t="s">
        <v>91</v>
      </c>
      <c r="E317" s="10"/>
      <c r="F317" s="10"/>
      <c r="G317" s="10"/>
      <c r="H317" s="10" t="s">
        <v>52</v>
      </c>
      <c r="I317" s="10">
        <v>12</v>
      </c>
      <c r="J317" s="10" t="s">
        <v>2333</v>
      </c>
      <c r="K317" s="10" t="s">
        <v>42</v>
      </c>
      <c r="L317" s="10">
        <f>Table1[[#This Row],[ENR]]-Table1[[#This Row],[CREDIT]]</f>
        <v>4808.8399999999965</v>
      </c>
      <c r="M317" s="36">
        <v>120000</v>
      </c>
      <c r="N317" s="26">
        <v>124808.84</v>
      </c>
      <c r="O317" s="38">
        <v>88327.69</v>
      </c>
      <c r="P317" s="25">
        <v>36481.15</v>
      </c>
      <c r="Q317" s="25">
        <v>29706.67</v>
      </c>
      <c r="R317" s="10">
        <v>20630</v>
      </c>
      <c r="S317" s="39">
        <v>8710</v>
      </c>
      <c r="T317" s="10" t="s">
        <v>57</v>
      </c>
      <c r="U317" s="10" t="s">
        <v>14</v>
      </c>
      <c r="V317" s="25">
        <v>8800</v>
      </c>
      <c r="W317" s="25">
        <f>Table1[[#This Row],[STAB]]-Table1[[#This Row],[AMOUNT]]</f>
        <v>-90</v>
      </c>
      <c r="X317" s="10" t="s">
        <v>4936</v>
      </c>
      <c r="Y317" s="10" t="s">
        <v>402</v>
      </c>
      <c r="Z317" s="10" t="s">
        <v>403</v>
      </c>
      <c r="AA317" s="10" t="s">
        <v>113</v>
      </c>
      <c r="AB317" s="36" t="s">
        <v>132</v>
      </c>
      <c r="AC317" s="10"/>
      <c r="AD317" s="9" t="s">
        <v>2456</v>
      </c>
      <c r="AE317" s="10" t="s">
        <v>2577</v>
      </c>
      <c r="AF317" s="10" t="s">
        <v>276</v>
      </c>
      <c r="AG317" s="10" t="s">
        <v>324</v>
      </c>
      <c r="AH317" s="10" t="s">
        <v>354</v>
      </c>
      <c r="AI317" s="10" t="s">
        <v>367</v>
      </c>
      <c r="AJ317" s="10">
        <v>801436997</v>
      </c>
      <c r="AK317" s="10" t="s">
        <v>104</v>
      </c>
      <c r="AL317" s="10"/>
      <c r="AM317" s="10"/>
      <c r="AN317" s="11" t="s">
        <v>390</v>
      </c>
      <c r="AO317" s="10" t="s">
        <v>531</v>
      </c>
      <c r="AP317" s="10" t="s">
        <v>4925</v>
      </c>
      <c r="AQ317" s="10" t="s">
        <v>4923</v>
      </c>
      <c r="AR317" s="2">
        <v>46030</v>
      </c>
      <c r="AS317" s="10">
        <v>48000</v>
      </c>
      <c r="AT317" s="10" t="s">
        <v>47</v>
      </c>
      <c r="AU317" s="10" t="s">
        <v>2622</v>
      </c>
      <c r="AV317" s="36" t="s">
        <v>2700</v>
      </c>
      <c r="AW317" s="1">
        <v>46203</v>
      </c>
    </row>
    <row r="318" spans="1:49" x14ac:dyDescent="0.25">
      <c r="A318" s="9" t="s">
        <v>2098</v>
      </c>
      <c r="B318" s="10" t="s">
        <v>2222</v>
      </c>
      <c r="C318" s="10">
        <v>0</v>
      </c>
      <c r="D318" s="10" t="s">
        <v>91</v>
      </c>
      <c r="E318" s="10"/>
      <c r="F318" s="10"/>
      <c r="G318" s="10"/>
      <c r="H318" s="10" t="s">
        <v>52</v>
      </c>
      <c r="I318" s="10">
        <v>12</v>
      </c>
      <c r="J318" s="10" t="s">
        <v>2344</v>
      </c>
      <c r="K318" s="10" t="s">
        <v>42</v>
      </c>
      <c r="L318" s="10">
        <f>Table1[[#This Row],[ENR]]-Table1[[#This Row],[CREDIT]]</f>
        <v>3204.6300000000047</v>
      </c>
      <c r="M318" s="36">
        <v>120000</v>
      </c>
      <c r="N318" s="26">
        <v>123204.63</v>
      </c>
      <c r="O318" s="38">
        <v>20934.63</v>
      </c>
      <c r="P318" s="25">
        <v>102270</v>
      </c>
      <c r="Q318" s="25">
        <v>89487.52</v>
      </c>
      <c r="R318" s="10">
        <v>28310</v>
      </c>
      <c r="S318" s="39">
        <v>15290</v>
      </c>
      <c r="T318" s="10" t="s">
        <v>57</v>
      </c>
      <c r="U318" s="10" t="s">
        <v>14</v>
      </c>
      <c r="V318" s="25">
        <v>15500</v>
      </c>
      <c r="W318" s="25">
        <f>Table1[[#This Row],[STAB]]-Table1[[#This Row],[AMOUNT]]</f>
        <v>-210</v>
      </c>
      <c r="X318" s="10" t="s">
        <v>4530</v>
      </c>
      <c r="Y318" s="10" t="s">
        <v>402</v>
      </c>
      <c r="Z318" s="10" t="s">
        <v>403</v>
      </c>
      <c r="AA318" s="10" t="s">
        <v>113</v>
      </c>
      <c r="AB318" s="36" t="s">
        <v>131</v>
      </c>
      <c r="AC318" s="10"/>
      <c r="AD318" s="9" t="s">
        <v>2467</v>
      </c>
      <c r="AE318" s="10" t="s">
        <v>2588</v>
      </c>
      <c r="AF318" s="10" t="s">
        <v>685</v>
      </c>
      <c r="AG318" s="10" t="s">
        <v>54</v>
      </c>
      <c r="AH318" s="10" t="s">
        <v>1398</v>
      </c>
      <c r="AI318" s="10" t="s">
        <v>162</v>
      </c>
      <c r="AJ318" s="10">
        <v>801772794</v>
      </c>
      <c r="AK318" s="10" t="s">
        <v>361</v>
      </c>
      <c r="AL318" s="10"/>
      <c r="AM318" s="10"/>
      <c r="AN318" s="11" t="s">
        <v>390</v>
      </c>
      <c r="AO318" s="10"/>
      <c r="AP318" s="10"/>
      <c r="AQ318" s="10"/>
      <c r="AR318" s="2" t="s">
        <v>43</v>
      </c>
      <c r="AS318" s="10">
        <v>0</v>
      </c>
      <c r="AT318" s="10" t="s">
        <v>47</v>
      </c>
      <c r="AU318" s="10" t="s">
        <v>2622</v>
      </c>
      <c r="AV318" s="36" t="s">
        <v>2711</v>
      </c>
      <c r="AW318" s="1">
        <v>46203</v>
      </c>
    </row>
    <row r="319" spans="1:49" x14ac:dyDescent="0.25">
      <c r="A319" s="9" t="s">
        <v>2042</v>
      </c>
      <c r="B319" s="10" t="s">
        <v>2167</v>
      </c>
      <c r="C319" s="10">
        <v>0</v>
      </c>
      <c r="D319" s="10" t="s">
        <v>91</v>
      </c>
      <c r="E319" s="10"/>
      <c r="F319" s="10"/>
      <c r="G319" s="10"/>
      <c r="H319" s="10" t="s">
        <v>52</v>
      </c>
      <c r="I319" s="10">
        <v>12</v>
      </c>
      <c r="J319" s="10" t="s">
        <v>2289</v>
      </c>
      <c r="K319" s="10" t="s">
        <v>42</v>
      </c>
      <c r="L319" s="10">
        <f>Table1[[#This Row],[ENR]]-Table1[[#This Row],[CREDIT]]</f>
        <v>2744.8399999999965</v>
      </c>
      <c r="M319" s="36">
        <v>120000</v>
      </c>
      <c r="N319" s="26">
        <v>122744.84</v>
      </c>
      <c r="O319" s="38">
        <v>6048.02</v>
      </c>
      <c r="P319" s="25">
        <v>116696.82</v>
      </c>
      <c r="Q319" s="25">
        <v>109783.02</v>
      </c>
      <c r="R319" s="10">
        <v>17400</v>
      </c>
      <c r="S319" s="39">
        <v>6760</v>
      </c>
      <c r="T319" s="10" t="s">
        <v>44</v>
      </c>
      <c r="U319" s="10" t="s">
        <v>45</v>
      </c>
      <c r="V319" s="10">
        <v>0</v>
      </c>
      <c r="W319" s="25">
        <f>Table1[[#This Row],[STAB]]-Table1[[#This Row],[AMOUNT]]</f>
        <v>6760</v>
      </c>
      <c r="X319" s="10">
        <v>0</v>
      </c>
      <c r="Y319" s="10" t="s">
        <v>79</v>
      </c>
      <c r="Z319" s="10">
        <v>0</v>
      </c>
      <c r="AA319" s="10" t="s">
        <v>113</v>
      </c>
      <c r="AB319" s="36" t="s">
        <v>131</v>
      </c>
      <c r="AC319" s="10"/>
      <c r="AD319" s="9" t="s">
        <v>2412</v>
      </c>
      <c r="AE319" s="10" t="s">
        <v>2533</v>
      </c>
      <c r="AF319" s="10" t="s">
        <v>276</v>
      </c>
      <c r="AG319" s="10" t="s">
        <v>324</v>
      </c>
      <c r="AH319" s="10" t="s">
        <v>354</v>
      </c>
      <c r="AI319" s="10" t="s">
        <v>367</v>
      </c>
      <c r="AJ319" s="10">
        <v>801436997</v>
      </c>
      <c r="AK319" s="10" t="s">
        <v>104</v>
      </c>
      <c r="AL319" s="10"/>
      <c r="AM319" s="10"/>
      <c r="AN319" s="11" t="s">
        <v>390</v>
      </c>
      <c r="AO319" s="10" t="s">
        <v>531</v>
      </c>
      <c r="AP319" s="10" t="s">
        <v>4643</v>
      </c>
      <c r="AQ319" s="10" t="s">
        <v>4601</v>
      </c>
      <c r="AR319" s="2">
        <v>45501</v>
      </c>
      <c r="AS319" s="10">
        <v>11074</v>
      </c>
      <c r="AT319" s="10" t="s">
        <v>47</v>
      </c>
      <c r="AU319" s="10" t="s">
        <v>2622</v>
      </c>
      <c r="AV319" s="36" t="s">
        <v>2655</v>
      </c>
      <c r="AW319" s="1">
        <v>46203</v>
      </c>
    </row>
    <row r="320" spans="1:49" x14ac:dyDescent="0.25">
      <c r="A320" s="9" t="s">
        <v>2020</v>
      </c>
      <c r="B320" s="10" t="s">
        <v>2146</v>
      </c>
      <c r="C320" s="10">
        <v>0</v>
      </c>
      <c r="D320" s="10" t="s">
        <v>91</v>
      </c>
      <c r="E320" s="10"/>
      <c r="F320" s="10"/>
      <c r="G320" s="10"/>
      <c r="H320" s="10" t="s">
        <v>52</v>
      </c>
      <c r="I320" s="10">
        <v>12</v>
      </c>
      <c r="J320" s="10" t="s">
        <v>2269</v>
      </c>
      <c r="K320" s="10" t="s">
        <v>42</v>
      </c>
      <c r="L320" s="10">
        <f>Table1[[#This Row],[ENR]]-Table1[[#This Row],[CREDIT]]</f>
        <v>-57651.41</v>
      </c>
      <c r="M320" s="36">
        <v>180000</v>
      </c>
      <c r="N320" s="26">
        <v>122348.59</v>
      </c>
      <c r="O320" s="38" t="s">
        <v>43</v>
      </c>
      <c r="P320" s="25">
        <v>122348.59</v>
      </c>
      <c r="Q320" s="25">
        <v>106566.38</v>
      </c>
      <c r="R320" s="10">
        <v>21150</v>
      </c>
      <c r="S320" s="39">
        <v>6570</v>
      </c>
      <c r="T320" s="10" t="s">
        <v>44</v>
      </c>
      <c r="U320" s="10" t="s">
        <v>45</v>
      </c>
      <c r="V320" s="10">
        <v>0</v>
      </c>
      <c r="W320" s="25">
        <f>Table1[[#This Row],[STAB]]-Table1[[#This Row],[AMOUNT]]</f>
        <v>6570</v>
      </c>
      <c r="X320" s="10">
        <v>0</v>
      </c>
      <c r="Y320" s="10" t="s">
        <v>79</v>
      </c>
      <c r="Z320" s="10" t="s">
        <v>963</v>
      </c>
      <c r="AA320" s="10" t="s">
        <v>113</v>
      </c>
      <c r="AB320" s="36" t="s">
        <v>132</v>
      </c>
      <c r="AC320" s="10"/>
      <c r="AD320" s="9" t="s">
        <v>2391</v>
      </c>
      <c r="AE320" s="10" t="s">
        <v>2512</v>
      </c>
      <c r="AF320" s="10" t="s">
        <v>273</v>
      </c>
      <c r="AG320" s="10" t="s">
        <v>323</v>
      </c>
      <c r="AH320" s="10" t="s">
        <v>4528</v>
      </c>
      <c r="AI320" s="10" t="s">
        <v>363</v>
      </c>
      <c r="AJ320" s="10">
        <v>802913252</v>
      </c>
      <c r="AK320" s="10" t="s">
        <v>104</v>
      </c>
      <c r="AL320" s="10"/>
      <c r="AM320" s="10"/>
      <c r="AN320" s="11" t="s">
        <v>46</v>
      </c>
      <c r="AO320" s="10"/>
      <c r="AP320" s="10"/>
      <c r="AQ320" s="10"/>
      <c r="AR320" s="2">
        <v>45799</v>
      </c>
      <c r="AS320" s="10">
        <v>6000</v>
      </c>
      <c r="AT320" s="10" t="s">
        <v>47</v>
      </c>
      <c r="AU320" s="10" t="s">
        <v>2622</v>
      </c>
      <c r="AV320" s="36" t="s">
        <v>2633</v>
      </c>
      <c r="AW320" s="1">
        <v>46203</v>
      </c>
    </row>
    <row r="321" spans="1:49" x14ac:dyDescent="0.25">
      <c r="A321" s="9" t="s">
        <v>2068</v>
      </c>
      <c r="B321" s="10" t="s">
        <v>2192</v>
      </c>
      <c r="C321" s="10">
        <v>0</v>
      </c>
      <c r="D321" s="10" t="s">
        <v>95</v>
      </c>
      <c r="E321" s="10">
        <v>1</v>
      </c>
      <c r="F321" s="10" t="s">
        <v>112</v>
      </c>
      <c r="G321" s="10" t="s">
        <v>4945</v>
      </c>
      <c r="H321" s="10" t="s">
        <v>52</v>
      </c>
      <c r="I321" s="10">
        <v>12</v>
      </c>
      <c r="J321" s="10" t="s">
        <v>2314</v>
      </c>
      <c r="K321" s="10" t="s">
        <v>42</v>
      </c>
      <c r="L321" s="10">
        <f>Table1[[#This Row],[ENR]]-Table1[[#This Row],[CREDIT]]</f>
        <v>11924.539999999994</v>
      </c>
      <c r="M321" s="36">
        <v>110000</v>
      </c>
      <c r="N321" s="26">
        <v>121924.54</v>
      </c>
      <c r="O321" s="38" t="s">
        <v>43</v>
      </c>
      <c r="P321" s="25">
        <v>121924.54</v>
      </c>
      <c r="Q321" s="25">
        <v>108020</v>
      </c>
      <c r="R321" s="10">
        <v>35520</v>
      </c>
      <c r="S321" s="39">
        <v>17590</v>
      </c>
      <c r="T321" s="10" t="s">
        <v>44</v>
      </c>
      <c r="U321" s="10" t="s">
        <v>45</v>
      </c>
      <c r="V321" s="10">
        <v>0</v>
      </c>
      <c r="W321" s="25">
        <f>Table1[[#This Row],[STAB]]-Table1[[#This Row],[AMOUNT]]</f>
        <v>17590</v>
      </c>
      <c r="X321" s="10">
        <v>0</v>
      </c>
      <c r="Y321" s="10" t="s">
        <v>79</v>
      </c>
      <c r="Z321" s="10">
        <v>0</v>
      </c>
      <c r="AA321" s="10" t="s">
        <v>113</v>
      </c>
      <c r="AB321" s="36" t="s">
        <v>133</v>
      </c>
      <c r="AC321" s="10"/>
      <c r="AD321" s="9" t="s">
        <v>2437</v>
      </c>
      <c r="AE321" s="10" t="s">
        <v>2558</v>
      </c>
      <c r="AF321" s="10" t="s">
        <v>275</v>
      </c>
      <c r="AG321" s="10" t="s">
        <v>80</v>
      </c>
      <c r="AH321" s="10" t="s">
        <v>2000</v>
      </c>
      <c r="AI321" s="10" t="s">
        <v>82</v>
      </c>
      <c r="AJ321" s="10">
        <v>801723195</v>
      </c>
      <c r="AK321" s="10" t="s">
        <v>105</v>
      </c>
      <c r="AL321" s="10"/>
      <c r="AM321" s="10"/>
      <c r="AN321" s="11" t="s">
        <v>390</v>
      </c>
      <c r="AO321" s="10" t="s">
        <v>531</v>
      </c>
      <c r="AP321" s="10" t="s">
        <v>4631</v>
      </c>
      <c r="AQ321" s="10" t="s">
        <v>4601</v>
      </c>
      <c r="AR321" s="2">
        <v>45718</v>
      </c>
      <c r="AS321" s="10">
        <v>78400</v>
      </c>
      <c r="AT321" s="10" t="s">
        <v>47</v>
      </c>
      <c r="AU321" s="10" t="s">
        <v>2622</v>
      </c>
      <c r="AV321" s="36" t="s">
        <v>2681</v>
      </c>
      <c r="AW321" s="1">
        <v>46203</v>
      </c>
    </row>
    <row r="322" spans="1:49" x14ac:dyDescent="0.25">
      <c r="A322" s="9" t="s">
        <v>1441</v>
      </c>
      <c r="B322" s="10" t="s">
        <v>1507</v>
      </c>
      <c r="C322" s="10">
        <v>0</v>
      </c>
      <c r="D322" s="10" t="s">
        <v>91</v>
      </c>
      <c r="E322" s="10"/>
      <c r="F322" s="10"/>
      <c r="G322" s="10" t="s">
        <v>4951</v>
      </c>
      <c r="H322" s="10" t="s">
        <v>52</v>
      </c>
      <c r="I322" s="10">
        <v>12</v>
      </c>
      <c r="J322" s="10" t="s">
        <v>1571</v>
      </c>
      <c r="K322" s="10" t="s">
        <v>42</v>
      </c>
      <c r="L322" s="10">
        <f>Table1[[#This Row],[ENR]]-Table1[[#This Row],[CREDIT]]</f>
        <v>10381.630000000005</v>
      </c>
      <c r="M322" s="36">
        <v>110000</v>
      </c>
      <c r="N322" s="26">
        <v>120381.63</v>
      </c>
      <c r="O322" s="38" t="s">
        <v>43</v>
      </c>
      <c r="P322" s="25">
        <v>120381.63</v>
      </c>
      <c r="Q322" s="25">
        <v>107539.92</v>
      </c>
      <c r="R322" s="10">
        <v>28510</v>
      </c>
      <c r="S322" s="39">
        <v>6429.85</v>
      </c>
      <c r="T322" s="10" t="s">
        <v>57</v>
      </c>
      <c r="U322" s="10" t="s">
        <v>13</v>
      </c>
      <c r="V322" s="10">
        <v>120381.63</v>
      </c>
      <c r="W322" s="25">
        <f>Table1[[#This Row],[STAB]]-Table1[[#This Row],[AMOUNT]]</f>
        <v>-113951.78</v>
      </c>
      <c r="X322" s="10">
        <v>0</v>
      </c>
      <c r="Y322" s="10" t="s">
        <v>388</v>
      </c>
      <c r="Z322" s="10" t="s">
        <v>4272</v>
      </c>
      <c r="AA322" s="10" t="s">
        <v>113</v>
      </c>
      <c r="AB322" s="36" t="s">
        <v>132</v>
      </c>
      <c r="AC322" s="10"/>
      <c r="AD322" s="9" t="s">
        <v>1635</v>
      </c>
      <c r="AE322" s="10" t="s">
        <v>1698</v>
      </c>
      <c r="AF322" s="10" t="s">
        <v>383</v>
      </c>
      <c r="AG322" s="10" t="s">
        <v>53</v>
      </c>
      <c r="AH322" s="10" t="s">
        <v>55</v>
      </c>
      <c r="AI322" s="10" t="s">
        <v>365</v>
      </c>
      <c r="AJ322" s="10">
        <v>802824019</v>
      </c>
      <c r="AK322" s="10" t="s">
        <v>360</v>
      </c>
      <c r="AL322" s="10"/>
      <c r="AM322" s="10"/>
      <c r="AN322" s="11" t="s">
        <v>390</v>
      </c>
      <c r="AO322" s="10"/>
      <c r="AP322" s="10"/>
      <c r="AQ322" s="10"/>
      <c r="AR322" s="2">
        <v>46148</v>
      </c>
      <c r="AS322" s="10">
        <v>509.79</v>
      </c>
      <c r="AT322" s="10" t="s">
        <v>47</v>
      </c>
      <c r="AU322" s="10" t="s">
        <v>1741</v>
      </c>
      <c r="AV322" s="36" t="s">
        <v>1768</v>
      </c>
      <c r="AW322" s="1">
        <v>46203</v>
      </c>
    </row>
    <row r="323" spans="1:49" x14ac:dyDescent="0.25">
      <c r="A323" s="9" t="s">
        <v>2090</v>
      </c>
      <c r="B323" s="10" t="s">
        <v>2214</v>
      </c>
      <c r="C323" s="10">
        <v>0</v>
      </c>
      <c r="D323" s="10" t="s">
        <v>91</v>
      </c>
      <c r="E323" s="10"/>
      <c r="F323" s="10"/>
      <c r="G323" s="10"/>
      <c r="H323" s="10" t="s">
        <v>52</v>
      </c>
      <c r="I323" s="10">
        <v>12</v>
      </c>
      <c r="J323" s="10" t="s">
        <v>2336</v>
      </c>
      <c r="K323" s="10" t="s">
        <v>42</v>
      </c>
      <c r="L323" s="10">
        <f>Table1[[#This Row],[ENR]]-Table1[[#This Row],[CREDIT]]</f>
        <v>-635.92999999999302</v>
      </c>
      <c r="M323" s="36">
        <v>121000</v>
      </c>
      <c r="N323" s="26">
        <v>120364.07</v>
      </c>
      <c r="O323" s="38" t="s">
        <v>43</v>
      </c>
      <c r="P323" s="25">
        <v>120364.07</v>
      </c>
      <c r="Q323" s="25">
        <v>104999</v>
      </c>
      <c r="R323" s="10">
        <v>25620</v>
      </c>
      <c r="S323" s="39">
        <v>14010</v>
      </c>
      <c r="T323" s="10" t="s">
        <v>57</v>
      </c>
      <c r="U323" s="10" t="s">
        <v>14</v>
      </c>
      <c r="V323" s="25">
        <v>14120</v>
      </c>
      <c r="W323" s="25">
        <f>Table1[[#This Row],[STAB]]-Table1[[#This Row],[AMOUNT]]</f>
        <v>-110</v>
      </c>
      <c r="X323" s="10" t="s">
        <v>4936</v>
      </c>
      <c r="Y323" s="10" t="s">
        <v>402</v>
      </c>
      <c r="Z323" s="10" t="s">
        <v>403</v>
      </c>
      <c r="AA323" s="10" t="s">
        <v>113</v>
      </c>
      <c r="AB323" s="36" t="s">
        <v>375</v>
      </c>
      <c r="AC323" s="10"/>
      <c r="AD323" s="9" t="s">
        <v>2459</v>
      </c>
      <c r="AE323" s="10" t="s">
        <v>2580</v>
      </c>
      <c r="AF323" s="10" t="s">
        <v>286</v>
      </c>
      <c r="AG323" s="10" t="s">
        <v>54</v>
      </c>
      <c r="AH323" s="10" t="s">
        <v>723</v>
      </c>
      <c r="AI323" s="10" t="s">
        <v>369</v>
      </c>
      <c r="AJ323" s="10">
        <v>802823180</v>
      </c>
      <c r="AK323" s="10" t="s">
        <v>105</v>
      </c>
      <c r="AL323" s="10"/>
      <c r="AM323" s="10"/>
      <c r="AN323" s="11" t="s">
        <v>390</v>
      </c>
      <c r="AO323" s="10"/>
      <c r="AP323" s="10"/>
      <c r="AQ323" s="10"/>
      <c r="AR323" s="2">
        <v>45626</v>
      </c>
      <c r="AS323" s="10">
        <v>30000</v>
      </c>
      <c r="AT323" s="10" t="s">
        <v>47</v>
      </c>
      <c r="AU323" s="10" t="s">
        <v>2622</v>
      </c>
      <c r="AV323" s="36" t="s">
        <v>2703</v>
      </c>
      <c r="AW323" s="1">
        <v>46203</v>
      </c>
    </row>
    <row r="324" spans="1:49" x14ac:dyDescent="0.25">
      <c r="A324" s="9" t="s">
        <v>2072</v>
      </c>
      <c r="B324" s="10" t="s">
        <v>2196</v>
      </c>
      <c r="C324" s="10">
        <v>0</v>
      </c>
      <c r="D324" s="10" t="s">
        <v>95</v>
      </c>
      <c r="E324" s="10">
        <v>1</v>
      </c>
      <c r="F324" s="10" t="s">
        <v>112</v>
      </c>
      <c r="G324" s="10" t="s">
        <v>4945</v>
      </c>
      <c r="H324" s="10" t="s">
        <v>52</v>
      </c>
      <c r="I324" s="10">
        <v>12</v>
      </c>
      <c r="J324" s="10" t="s">
        <v>2318</v>
      </c>
      <c r="K324" s="10" t="s">
        <v>42</v>
      </c>
      <c r="L324" s="10">
        <f>Table1[[#This Row],[ENR]]-Table1[[#This Row],[CREDIT]]</f>
        <v>100315.03</v>
      </c>
      <c r="M324" s="36">
        <v>20000</v>
      </c>
      <c r="N324" s="26">
        <v>120315.03</v>
      </c>
      <c r="O324" s="38" t="s">
        <v>43</v>
      </c>
      <c r="P324" s="25">
        <v>120315.03</v>
      </c>
      <c r="Q324" s="25">
        <v>111298</v>
      </c>
      <c r="R324" s="10">
        <v>110830</v>
      </c>
      <c r="S324" s="39">
        <v>92690</v>
      </c>
      <c r="T324" s="10" t="s">
        <v>44</v>
      </c>
      <c r="U324" s="10" t="s">
        <v>45</v>
      </c>
      <c r="V324" s="10">
        <v>0</v>
      </c>
      <c r="W324" s="25">
        <f>Table1[[#This Row],[STAB]]-Table1[[#This Row],[AMOUNT]]</f>
        <v>92690</v>
      </c>
      <c r="X324" s="10">
        <v>0</v>
      </c>
      <c r="Y324" s="10" t="s">
        <v>79</v>
      </c>
      <c r="Z324" s="10">
        <v>0</v>
      </c>
      <c r="AA324" s="10" t="s">
        <v>113</v>
      </c>
      <c r="AB324" s="36" t="s">
        <v>374</v>
      </c>
      <c r="AC324" s="10"/>
      <c r="AD324" s="9" t="s">
        <v>2441</v>
      </c>
      <c r="AE324" s="10" t="s">
        <v>2562</v>
      </c>
      <c r="AF324" s="10" t="s">
        <v>685</v>
      </c>
      <c r="AG324" s="10" t="s">
        <v>54</v>
      </c>
      <c r="AH324" s="10" t="s">
        <v>1398</v>
      </c>
      <c r="AI324" s="10" t="s">
        <v>162</v>
      </c>
      <c r="AJ324" s="10">
        <v>801772794</v>
      </c>
      <c r="AK324" s="10" t="s">
        <v>361</v>
      </c>
      <c r="AL324" s="10"/>
      <c r="AM324" s="10"/>
      <c r="AN324" s="11" t="s">
        <v>46</v>
      </c>
      <c r="AO324" s="10"/>
      <c r="AP324" s="10"/>
      <c r="AQ324" s="10"/>
      <c r="AR324" s="2">
        <v>45990</v>
      </c>
      <c r="AS324" s="10">
        <v>600</v>
      </c>
      <c r="AT324" s="10" t="s">
        <v>47</v>
      </c>
      <c r="AU324" s="10" t="s">
        <v>2622</v>
      </c>
      <c r="AV324" s="36" t="s">
        <v>2685</v>
      </c>
      <c r="AW324" s="1">
        <v>46203</v>
      </c>
    </row>
    <row r="325" spans="1:49" x14ac:dyDescent="0.25">
      <c r="A325" s="9" t="s">
        <v>1433</v>
      </c>
      <c r="B325" s="10" t="s">
        <v>573</v>
      </c>
      <c r="C325" s="10">
        <v>0</v>
      </c>
      <c r="D325" s="10" t="s">
        <v>91</v>
      </c>
      <c r="E325" s="10"/>
      <c r="F325" s="10"/>
      <c r="G325" s="10"/>
      <c r="H325" s="10" t="s">
        <v>52</v>
      </c>
      <c r="I325" s="10">
        <v>12</v>
      </c>
      <c r="J325" s="10" t="s">
        <v>603</v>
      </c>
      <c r="K325" s="10" t="s">
        <v>42</v>
      </c>
      <c r="L325" s="10">
        <f>Table1[[#This Row],[ENR]]-Table1[[#This Row],[CREDIT]]</f>
        <v>-40898.699999999997</v>
      </c>
      <c r="M325" s="36">
        <v>160000</v>
      </c>
      <c r="N325" s="26">
        <v>119101.3</v>
      </c>
      <c r="O325" s="38" t="s">
        <v>43</v>
      </c>
      <c r="P325" s="25">
        <v>119101.3</v>
      </c>
      <c r="Q325" s="25">
        <v>106183.66</v>
      </c>
      <c r="R325" s="10">
        <v>19560</v>
      </c>
      <c r="S325" s="39">
        <v>7800</v>
      </c>
      <c r="T325" s="10" t="s">
        <v>57</v>
      </c>
      <c r="U325" s="10" t="s">
        <v>13</v>
      </c>
      <c r="V325" s="10">
        <v>19560</v>
      </c>
      <c r="W325" s="25">
        <f>Table1[[#This Row],[STAB]]-Table1[[#This Row],[AMOUNT]]</f>
        <v>-11760</v>
      </c>
      <c r="X325" s="10" t="s">
        <v>1961</v>
      </c>
      <c r="Y325" s="10" t="s">
        <v>402</v>
      </c>
      <c r="Z325" s="10" t="s">
        <v>403</v>
      </c>
      <c r="AA325" s="10" t="s">
        <v>113</v>
      </c>
      <c r="AB325" s="36" t="s">
        <v>131</v>
      </c>
      <c r="AC325" s="10"/>
      <c r="AD325" s="9" t="s">
        <v>634</v>
      </c>
      <c r="AE325" s="10" t="s">
        <v>664</v>
      </c>
      <c r="AF325" s="10" t="s">
        <v>85</v>
      </c>
      <c r="AG325" s="10" t="s">
        <v>54</v>
      </c>
      <c r="AH325" s="10" t="s">
        <v>89</v>
      </c>
      <c r="AI325" s="10" t="s">
        <v>106</v>
      </c>
      <c r="AJ325" s="10">
        <v>802370852</v>
      </c>
      <c r="AK325" s="10" t="s">
        <v>105</v>
      </c>
      <c r="AL325" s="10"/>
      <c r="AM325" s="10"/>
      <c r="AN325" s="11" t="s">
        <v>390</v>
      </c>
      <c r="AO325" s="10"/>
      <c r="AP325" s="10"/>
      <c r="AQ325" s="10"/>
      <c r="AR325" s="2">
        <v>45969</v>
      </c>
      <c r="AS325" s="10">
        <v>6000</v>
      </c>
      <c r="AT325" s="10" t="s">
        <v>47</v>
      </c>
      <c r="AU325" s="10" t="s">
        <v>1741</v>
      </c>
      <c r="AV325" s="36" t="s">
        <v>1760</v>
      </c>
      <c r="AW325" s="1">
        <v>46203</v>
      </c>
    </row>
    <row r="326" spans="1:49" x14ac:dyDescent="0.25">
      <c r="A326" s="9" t="s">
        <v>2025</v>
      </c>
      <c r="B326" s="10" t="s">
        <v>2151</v>
      </c>
      <c r="C326" s="10">
        <v>0</v>
      </c>
      <c r="D326" s="10" t="s">
        <v>91</v>
      </c>
      <c r="E326" s="10"/>
      <c r="F326" s="10"/>
      <c r="G326" s="10"/>
      <c r="H326" s="10" t="s">
        <v>52</v>
      </c>
      <c r="I326" s="10">
        <v>12</v>
      </c>
      <c r="J326" s="10" t="s">
        <v>2274</v>
      </c>
      <c r="K326" s="10" t="s">
        <v>42</v>
      </c>
      <c r="L326" s="10">
        <f>Table1[[#This Row],[ENR]]-Table1[[#This Row],[CREDIT]]</f>
        <v>8805.0299999999988</v>
      </c>
      <c r="M326" s="36">
        <v>110000</v>
      </c>
      <c r="N326" s="26">
        <v>118805.03</v>
      </c>
      <c r="O326" s="38">
        <v>52027</v>
      </c>
      <c r="P326" s="25">
        <v>66778.03</v>
      </c>
      <c r="Q326" s="25">
        <v>55763.79</v>
      </c>
      <c r="R326" s="10">
        <v>42310</v>
      </c>
      <c r="S326" s="39">
        <v>20900</v>
      </c>
      <c r="T326" s="10" t="s">
        <v>44</v>
      </c>
      <c r="U326" s="10" t="s">
        <v>45</v>
      </c>
      <c r="V326" s="10">
        <v>0</v>
      </c>
      <c r="W326" s="25">
        <f>Table1[[#This Row],[STAB]]-Table1[[#This Row],[AMOUNT]]</f>
        <v>20900</v>
      </c>
      <c r="X326" s="10">
        <v>0</v>
      </c>
      <c r="Y326" s="10" t="s">
        <v>79</v>
      </c>
      <c r="Z326" s="10">
        <v>0</v>
      </c>
      <c r="AA326" s="10" t="s">
        <v>113</v>
      </c>
      <c r="AB326" s="41" t="s">
        <v>376</v>
      </c>
      <c r="AC326" s="10"/>
      <c r="AD326" s="9" t="s">
        <v>2396</v>
      </c>
      <c r="AE326" s="10" t="s">
        <v>2517</v>
      </c>
      <c r="AF326" s="10" t="s">
        <v>85</v>
      </c>
      <c r="AG326" s="10" t="s">
        <v>54</v>
      </c>
      <c r="AH326" s="10" t="s">
        <v>89</v>
      </c>
      <c r="AI326" s="10" t="s">
        <v>106</v>
      </c>
      <c r="AJ326" s="10">
        <v>802370852</v>
      </c>
      <c r="AK326" s="10" t="s">
        <v>105</v>
      </c>
      <c r="AL326" s="10"/>
      <c r="AM326" s="10"/>
      <c r="AN326" s="11" t="s">
        <v>46</v>
      </c>
      <c r="AO326" s="10"/>
      <c r="AP326" s="10"/>
      <c r="AQ326" s="10"/>
      <c r="AR326" s="2">
        <v>46143</v>
      </c>
      <c r="AS326" s="10">
        <v>40000</v>
      </c>
      <c r="AT326" s="10" t="s">
        <v>47</v>
      </c>
      <c r="AU326" s="10" t="s">
        <v>2622</v>
      </c>
      <c r="AV326" s="36" t="s">
        <v>2638</v>
      </c>
      <c r="AW326" s="1">
        <v>46203</v>
      </c>
    </row>
    <row r="327" spans="1:49" x14ac:dyDescent="0.25">
      <c r="A327" s="9" t="s">
        <v>1466</v>
      </c>
      <c r="B327" s="10" t="s">
        <v>1530</v>
      </c>
      <c r="C327" s="10">
        <v>0</v>
      </c>
      <c r="D327" s="10" t="s">
        <v>91</v>
      </c>
      <c r="E327" s="10"/>
      <c r="F327" s="10"/>
      <c r="G327" s="10"/>
      <c r="H327" s="10" t="s">
        <v>52</v>
      </c>
      <c r="I327" s="10">
        <v>12</v>
      </c>
      <c r="J327" s="10" t="s">
        <v>1594</v>
      </c>
      <c r="K327" s="10" t="s">
        <v>42</v>
      </c>
      <c r="L327" s="10">
        <f>Table1[[#This Row],[ENR]]-Table1[[#This Row],[CREDIT]]</f>
        <v>8428.8099999999977</v>
      </c>
      <c r="M327" s="36">
        <v>110000</v>
      </c>
      <c r="N327" s="26">
        <v>118428.81</v>
      </c>
      <c r="O327" s="38" t="s">
        <v>43</v>
      </c>
      <c r="P327" s="25">
        <v>118428.81</v>
      </c>
      <c r="Q327" s="25">
        <v>109999.14</v>
      </c>
      <c r="R327" s="10">
        <v>27170</v>
      </c>
      <c r="S327" s="39">
        <v>5500</v>
      </c>
      <c r="T327" s="10" t="s">
        <v>57</v>
      </c>
      <c r="U327" s="10" t="s">
        <v>14</v>
      </c>
      <c r="V327" s="25">
        <v>6000</v>
      </c>
      <c r="W327" s="25">
        <f>Table1[[#This Row],[STAB]]-Table1[[#This Row],[AMOUNT]]</f>
        <v>-500</v>
      </c>
      <c r="X327" s="10" t="s">
        <v>4535</v>
      </c>
      <c r="Y327" s="10" t="s">
        <v>402</v>
      </c>
      <c r="Z327" s="10" t="s">
        <v>403</v>
      </c>
      <c r="AA327" s="10" t="s">
        <v>113</v>
      </c>
      <c r="AB327" s="36" t="s">
        <v>131</v>
      </c>
      <c r="AC327" s="10"/>
      <c r="AD327" s="9" t="s">
        <v>1658</v>
      </c>
      <c r="AE327" s="10" t="s">
        <v>1721</v>
      </c>
      <c r="AF327" s="10" t="s">
        <v>272</v>
      </c>
      <c r="AG327" s="10" t="s">
        <v>54</v>
      </c>
      <c r="AH327" s="10" t="s">
        <v>357</v>
      </c>
      <c r="AI327" s="10" t="s">
        <v>1960</v>
      </c>
      <c r="AJ327" s="10">
        <v>801264672</v>
      </c>
      <c r="AK327" s="10" t="s">
        <v>1959</v>
      </c>
      <c r="AL327" s="10"/>
      <c r="AM327" s="10"/>
      <c r="AN327" s="11" t="s">
        <v>390</v>
      </c>
      <c r="AO327" s="10"/>
      <c r="AP327" s="10"/>
      <c r="AQ327" s="10"/>
      <c r="AR327" s="2" t="s">
        <v>43</v>
      </c>
      <c r="AS327" s="10">
        <v>0</v>
      </c>
      <c r="AT327" s="10" t="s">
        <v>47</v>
      </c>
      <c r="AU327" s="10" t="s">
        <v>1741</v>
      </c>
      <c r="AV327" s="36" t="s">
        <v>1793</v>
      </c>
      <c r="AW327" s="1">
        <v>46203</v>
      </c>
    </row>
    <row r="328" spans="1:49" x14ac:dyDescent="0.25">
      <c r="A328" s="9" t="s">
        <v>2036</v>
      </c>
      <c r="B328" s="10" t="s">
        <v>2161</v>
      </c>
      <c r="C328" s="10">
        <v>0</v>
      </c>
      <c r="D328" s="10" t="s">
        <v>91</v>
      </c>
      <c r="E328" s="10"/>
      <c r="F328" s="10"/>
      <c r="G328" s="10"/>
      <c r="H328" s="10" t="s">
        <v>52</v>
      </c>
      <c r="I328" s="10">
        <v>12</v>
      </c>
      <c r="J328" s="10" t="s">
        <v>2284</v>
      </c>
      <c r="K328" s="10" t="s">
        <v>42</v>
      </c>
      <c r="L328" s="10">
        <f>Table1[[#This Row],[ENR]]-Table1[[#This Row],[CREDIT]]</f>
        <v>97581.35</v>
      </c>
      <c r="M328" s="36">
        <v>20000</v>
      </c>
      <c r="N328" s="26">
        <v>117581.35</v>
      </c>
      <c r="O328" s="38" t="s">
        <v>43</v>
      </c>
      <c r="P328" s="25">
        <v>117581.35</v>
      </c>
      <c r="Q328" s="25">
        <v>109365</v>
      </c>
      <c r="R328" s="10">
        <v>101970</v>
      </c>
      <c r="S328" s="39">
        <v>90370</v>
      </c>
      <c r="T328" s="10" t="s">
        <v>44</v>
      </c>
      <c r="U328" s="10" t="s">
        <v>45</v>
      </c>
      <c r="V328" s="10">
        <v>0</v>
      </c>
      <c r="W328" s="25">
        <f>Table1[[#This Row],[STAB]]-Table1[[#This Row],[AMOUNT]]</f>
        <v>90370</v>
      </c>
      <c r="X328" s="10">
        <v>0</v>
      </c>
      <c r="Y328" s="10" t="s">
        <v>79</v>
      </c>
      <c r="Z328" s="10">
        <v>0</v>
      </c>
      <c r="AA328" s="10" t="s">
        <v>113</v>
      </c>
      <c r="AB328" s="41" t="s">
        <v>376</v>
      </c>
      <c r="AC328" s="10"/>
      <c r="AD328" s="9" t="s">
        <v>2406</v>
      </c>
      <c r="AE328" s="10" t="s">
        <v>2527</v>
      </c>
      <c r="AF328" s="10" t="s">
        <v>272</v>
      </c>
      <c r="AG328" s="10" t="s">
        <v>54</v>
      </c>
      <c r="AH328" s="10" t="s">
        <v>357</v>
      </c>
      <c r="AI328" s="10" t="s">
        <v>1960</v>
      </c>
      <c r="AJ328" s="10">
        <v>801264672</v>
      </c>
      <c r="AK328" s="10" t="s">
        <v>1959</v>
      </c>
      <c r="AL328" s="10"/>
      <c r="AM328" s="10"/>
      <c r="AN328" s="11" t="s">
        <v>390</v>
      </c>
      <c r="AO328" s="10" t="s">
        <v>398</v>
      </c>
      <c r="AP328" s="10" t="s">
        <v>4602</v>
      </c>
      <c r="AQ328" s="10" t="s">
        <v>4591</v>
      </c>
      <c r="AR328" s="2">
        <v>45673</v>
      </c>
      <c r="AS328" s="10">
        <v>100000</v>
      </c>
      <c r="AT328" s="10" t="s">
        <v>47</v>
      </c>
      <c r="AU328" s="10" t="s">
        <v>2622</v>
      </c>
      <c r="AV328" s="36" t="s">
        <v>2649</v>
      </c>
      <c r="AW328" s="1">
        <v>46203</v>
      </c>
    </row>
    <row r="329" spans="1:49" x14ac:dyDescent="0.25">
      <c r="A329" s="9" t="s">
        <v>2017</v>
      </c>
      <c r="B329" s="10" t="s">
        <v>2143</v>
      </c>
      <c r="C329" s="10">
        <v>0</v>
      </c>
      <c r="D329" s="10" t="s">
        <v>91</v>
      </c>
      <c r="E329" s="10"/>
      <c r="F329" s="10"/>
      <c r="G329" s="10"/>
      <c r="H329" s="10" t="s">
        <v>52</v>
      </c>
      <c r="I329" s="10">
        <v>12</v>
      </c>
      <c r="J329" s="10" t="s">
        <v>2266</v>
      </c>
      <c r="K329" s="10" t="s">
        <v>42</v>
      </c>
      <c r="L329" s="10">
        <f>Table1[[#This Row],[ENR]]-Table1[[#This Row],[CREDIT]]</f>
        <v>5645.2599999999948</v>
      </c>
      <c r="M329" s="36">
        <v>110000</v>
      </c>
      <c r="N329" s="26">
        <v>115645.26</v>
      </c>
      <c r="O329" s="38" t="s">
        <v>43</v>
      </c>
      <c r="P329" s="25">
        <v>115645.26</v>
      </c>
      <c r="Q329" s="25">
        <v>103112.37</v>
      </c>
      <c r="R329" s="10">
        <v>26690</v>
      </c>
      <c r="S329" s="39">
        <v>10360</v>
      </c>
      <c r="T329" s="10" t="s">
        <v>57</v>
      </c>
      <c r="U329" s="10" t="s">
        <v>13</v>
      </c>
      <c r="V329" s="10">
        <v>115645.26</v>
      </c>
      <c r="W329" s="25">
        <f>Table1[[#This Row],[STAB]]-Table1[[#This Row],[AMOUNT]]</f>
        <v>-105285.26</v>
      </c>
      <c r="X329" s="10" t="s">
        <v>4566</v>
      </c>
      <c r="Y329" s="10" t="s">
        <v>402</v>
      </c>
      <c r="Z329" s="10" t="s">
        <v>1968</v>
      </c>
      <c r="AA329" s="10" t="s">
        <v>113</v>
      </c>
      <c r="AB329" s="36" t="s">
        <v>374</v>
      </c>
      <c r="AC329" s="10"/>
      <c r="AD329" s="9" t="s">
        <v>2388</v>
      </c>
      <c r="AE329" s="10" t="s">
        <v>2509</v>
      </c>
      <c r="AF329" s="10" t="s">
        <v>281</v>
      </c>
      <c r="AG329" s="10" t="s">
        <v>54</v>
      </c>
      <c r="AH329" s="10" t="s">
        <v>58</v>
      </c>
      <c r="AI329" s="10" t="s">
        <v>133</v>
      </c>
      <c r="AJ329" s="10">
        <v>802555024</v>
      </c>
      <c r="AK329" s="10" t="s">
        <v>362</v>
      </c>
      <c r="AL329" s="10"/>
      <c r="AM329" s="10"/>
      <c r="AN329" s="11" t="s">
        <v>390</v>
      </c>
      <c r="AO329" s="10" t="s">
        <v>392</v>
      </c>
      <c r="AP329" s="10" t="s">
        <v>4532</v>
      </c>
      <c r="AQ329" s="10" t="s">
        <v>4530</v>
      </c>
      <c r="AR329" s="2">
        <v>45770</v>
      </c>
      <c r="AS329" s="10">
        <v>18790</v>
      </c>
      <c r="AT329" s="10" t="s">
        <v>47</v>
      </c>
      <c r="AU329" s="10" t="s">
        <v>2622</v>
      </c>
      <c r="AV329" s="36" t="s">
        <v>2630</v>
      </c>
      <c r="AW329" s="1">
        <v>46203</v>
      </c>
    </row>
    <row r="330" spans="1:49" x14ac:dyDescent="0.25">
      <c r="A330" s="9" t="s">
        <v>2011</v>
      </c>
      <c r="B330" s="10" t="s">
        <v>2137</v>
      </c>
      <c r="C330" s="10">
        <v>0</v>
      </c>
      <c r="D330" s="10" t="s">
        <v>91</v>
      </c>
      <c r="E330" s="10"/>
      <c r="F330" s="10"/>
      <c r="G330" s="10"/>
      <c r="H330" s="10" t="s">
        <v>84</v>
      </c>
      <c r="I330" s="10">
        <v>12</v>
      </c>
      <c r="J330" s="10" t="s">
        <v>2260</v>
      </c>
      <c r="K330" s="10" t="s">
        <v>42</v>
      </c>
      <c r="L330" s="10">
        <f>Table1[[#This Row],[ENR]]-Table1[[#This Row],[CREDIT]]</f>
        <v>4743.0899999999965</v>
      </c>
      <c r="M330" s="36">
        <v>110000</v>
      </c>
      <c r="N330" s="26">
        <v>114743.09</v>
      </c>
      <c r="O330" s="38">
        <v>7193.57</v>
      </c>
      <c r="P330" s="25">
        <v>107549.52</v>
      </c>
      <c r="Q330" s="25">
        <v>100880.59</v>
      </c>
      <c r="R330" s="10">
        <v>30460</v>
      </c>
      <c r="S330" s="39">
        <v>16740.990000000002</v>
      </c>
      <c r="T330" s="10" t="s">
        <v>57</v>
      </c>
      <c r="U330" s="10" t="s">
        <v>13</v>
      </c>
      <c r="V330" s="10">
        <v>107549.52</v>
      </c>
      <c r="W330" s="25">
        <f>Table1[[#This Row],[STAB]]-Table1[[#This Row],[AMOUNT]]</f>
        <v>-90808.53</v>
      </c>
      <c r="X330" s="10" t="s">
        <v>4601</v>
      </c>
      <c r="Y330" s="10" t="s">
        <v>402</v>
      </c>
      <c r="Z330" s="10" t="s">
        <v>403</v>
      </c>
      <c r="AA330" s="10" t="s">
        <v>113</v>
      </c>
      <c r="AB330" s="36" t="s">
        <v>374</v>
      </c>
      <c r="AC330" s="10"/>
      <c r="AD330" s="9" t="s">
        <v>2382</v>
      </c>
      <c r="AE330" s="10" t="s">
        <v>2503</v>
      </c>
      <c r="AF330" s="10" t="s">
        <v>287</v>
      </c>
      <c r="AG330" s="10" t="s">
        <v>324</v>
      </c>
      <c r="AH330" s="10" t="s">
        <v>56</v>
      </c>
      <c r="AI330" s="10" t="s">
        <v>370</v>
      </c>
      <c r="AJ330" s="10">
        <v>801448854</v>
      </c>
      <c r="AK330" s="10" t="s">
        <v>105</v>
      </c>
      <c r="AL330" s="10"/>
      <c r="AM330" s="10"/>
      <c r="AN330" s="11" t="s">
        <v>390</v>
      </c>
      <c r="AO330" s="10" t="s">
        <v>392</v>
      </c>
      <c r="AP330" s="10" t="s">
        <v>4983</v>
      </c>
      <c r="AQ330" s="10" t="s">
        <v>4601</v>
      </c>
      <c r="AR330" s="2">
        <v>45503</v>
      </c>
      <c r="AS330" s="10">
        <v>60000</v>
      </c>
      <c r="AT330" s="10" t="s">
        <v>47</v>
      </c>
      <c r="AU330" s="10" t="s">
        <v>2622</v>
      </c>
      <c r="AV330" s="36" t="s">
        <v>2624</v>
      </c>
      <c r="AW330" s="1">
        <v>46203</v>
      </c>
    </row>
    <row r="331" spans="1:49" x14ac:dyDescent="0.25">
      <c r="A331" s="9" t="s">
        <v>1431</v>
      </c>
      <c r="B331" s="10" t="s">
        <v>1498</v>
      </c>
      <c r="C331" s="10">
        <v>0</v>
      </c>
      <c r="D331" s="10" t="s">
        <v>95</v>
      </c>
      <c r="E331" s="10">
        <v>1</v>
      </c>
      <c r="F331" s="10" t="s">
        <v>112</v>
      </c>
      <c r="G331" s="10" t="s">
        <v>4945</v>
      </c>
      <c r="H331" s="10" t="s">
        <v>52</v>
      </c>
      <c r="I331" s="10">
        <v>12</v>
      </c>
      <c r="J331" s="10" t="s">
        <v>1562</v>
      </c>
      <c r="K331" s="10" t="s">
        <v>42</v>
      </c>
      <c r="L331" s="10">
        <f>Table1[[#This Row],[ENR]]-Table1[[#This Row],[CREDIT]]</f>
        <v>-105504.49</v>
      </c>
      <c r="M331" s="36">
        <v>220000</v>
      </c>
      <c r="N331" s="26">
        <v>114495.51</v>
      </c>
      <c r="O331" s="38">
        <v>75796.95</v>
      </c>
      <c r="P331" s="25">
        <v>38698.559999999998</v>
      </c>
      <c r="Q331" s="25">
        <v>32895.5</v>
      </c>
      <c r="R331" s="10">
        <v>36190</v>
      </c>
      <c r="S331" s="39">
        <v>14590</v>
      </c>
      <c r="T331" s="10" t="s">
        <v>44</v>
      </c>
      <c r="U331" s="10" t="s">
        <v>45</v>
      </c>
      <c r="V331" s="10">
        <v>0</v>
      </c>
      <c r="W331" s="25">
        <f>Table1[[#This Row],[STAB]]-Table1[[#This Row],[AMOUNT]]</f>
        <v>14590</v>
      </c>
      <c r="X331" s="10">
        <v>0</v>
      </c>
      <c r="Y331" s="10" t="s">
        <v>79</v>
      </c>
      <c r="Z331" s="10">
        <v>0</v>
      </c>
      <c r="AA331" s="10" t="s">
        <v>113</v>
      </c>
      <c r="AB331" s="36" t="s">
        <v>737</v>
      </c>
      <c r="AC331" s="10"/>
      <c r="AD331" s="9" t="s">
        <v>1626</v>
      </c>
      <c r="AE331" s="10" t="s">
        <v>1689</v>
      </c>
      <c r="AF331" s="10" t="s">
        <v>281</v>
      </c>
      <c r="AG331" s="10" t="s">
        <v>54</v>
      </c>
      <c r="AH331" s="10" t="s">
        <v>58</v>
      </c>
      <c r="AI331" s="10" t="s">
        <v>133</v>
      </c>
      <c r="AJ331" s="10">
        <v>802555024</v>
      </c>
      <c r="AK331" s="10" t="s">
        <v>362</v>
      </c>
      <c r="AL331" s="10"/>
      <c r="AM331" s="10"/>
      <c r="AN331" s="11" t="s">
        <v>46</v>
      </c>
      <c r="AO331" s="10"/>
      <c r="AP331" s="10"/>
      <c r="AQ331" s="10"/>
      <c r="AR331" s="2">
        <v>45463</v>
      </c>
      <c r="AS331" s="10">
        <v>5000</v>
      </c>
      <c r="AT331" s="10" t="s">
        <v>47</v>
      </c>
      <c r="AU331" s="10" t="s">
        <v>1741</v>
      </c>
      <c r="AV331" s="36" t="s">
        <v>1758</v>
      </c>
      <c r="AW331" s="1">
        <v>46203</v>
      </c>
    </row>
    <row r="332" spans="1:49" x14ac:dyDescent="0.25">
      <c r="A332" s="9" t="s">
        <v>2062</v>
      </c>
      <c r="B332" s="10" t="s">
        <v>2186</v>
      </c>
      <c r="C332" s="10">
        <v>0</v>
      </c>
      <c r="D332" s="10" t="s">
        <v>91</v>
      </c>
      <c r="E332" s="10"/>
      <c r="F332" s="10"/>
      <c r="G332" s="10"/>
      <c r="H332" s="10" t="s">
        <v>52</v>
      </c>
      <c r="I332" s="10">
        <v>12</v>
      </c>
      <c r="J332" s="10" t="s">
        <v>2308</v>
      </c>
      <c r="K332" s="10" t="s">
        <v>42</v>
      </c>
      <c r="L332" s="10">
        <f>Table1[[#This Row],[ENR]]-Table1[[#This Row],[CREDIT]]</f>
        <v>12079.720000000001</v>
      </c>
      <c r="M332" s="36">
        <v>100000</v>
      </c>
      <c r="N332" s="26">
        <v>112079.72</v>
      </c>
      <c r="O332" s="38">
        <v>28932.65</v>
      </c>
      <c r="P332" s="25">
        <v>83147.070000000007</v>
      </c>
      <c r="Q332" s="25">
        <v>73405.19</v>
      </c>
      <c r="R332" s="10">
        <v>32190</v>
      </c>
      <c r="S332" s="39">
        <v>14750</v>
      </c>
      <c r="T332" s="10" t="s">
        <v>44</v>
      </c>
      <c r="U332" s="10" t="s">
        <v>45</v>
      </c>
      <c r="V332" s="10">
        <v>0</v>
      </c>
      <c r="W332" s="25">
        <f>Table1[[#This Row],[STAB]]-Table1[[#This Row],[AMOUNT]]</f>
        <v>14750</v>
      </c>
      <c r="X332" s="10">
        <v>0</v>
      </c>
      <c r="Y332" s="10" t="s">
        <v>79</v>
      </c>
      <c r="Z332" s="10">
        <v>0</v>
      </c>
      <c r="AA332" s="10" t="s">
        <v>113</v>
      </c>
      <c r="AB332" s="36" t="s">
        <v>375</v>
      </c>
      <c r="AC332" s="10"/>
      <c r="AD332" s="9" t="s">
        <v>2431</v>
      </c>
      <c r="AE332" s="10" t="s">
        <v>2552</v>
      </c>
      <c r="AF332" s="10" t="s">
        <v>146</v>
      </c>
      <c r="AG332" s="10" t="s">
        <v>54</v>
      </c>
      <c r="AH332" s="10" t="s">
        <v>4529</v>
      </c>
      <c r="AI332" s="10" t="s">
        <v>365</v>
      </c>
      <c r="AJ332" s="10">
        <v>802824019</v>
      </c>
      <c r="AK332" s="10" t="s">
        <v>360</v>
      </c>
      <c r="AL332" s="10"/>
      <c r="AM332" s="10"/>
      <c r="AN332" s="11" t="s">
        <v>46</v>
      </c>
      <c r="AO332" s="10"/>
      <c r="AP332" s="10"/>
      <c r="AQ332" s="10"/>
      <c r="AR332" s="2">
        <v>45471</v>
      </c>
      <c r="AS332" s="10">
        <v>48092.93</v>
      </c>
      <c r="AT332" s="10" t="s">
        <v>47</v>
      </c>
      <c r="AU332" s="10" t="s">
        <v>2622</v>
      </c>
      <c r="AV332" s="36" t="s">
        <v>2675</v>
      </c>
      <c r="AW332" s="1">
        <v>46203</v>
      </c>
    </row>
    <row r="333" spans="1:49" x14ac:dyDescent="0.25">
      <c r="A333" s="9" t="s">
        <v>1435</v>
      </c>
      <c r="B333" s="10" t="s">
        <v>1501</v>
      </c>
      <c r="C333" s="10">
        <v>0</v>
      </c>
      <c r="D333" s="10" t="s">
        <v>91</v>
      </c>
      <c r="E333" s="10"/>
      <c r="F333" s="10"/>
      <c r="G333" s="10"/>
      <c r="H333" s="10" t="s">
        <v>52</v>
      </c>
      <c r="I333" s="10">
        <v>12</v>
      </c>
      <c r="J333" s="10" t="s">
        <v>1565</v>
      </c>
      <c r="K333" s="10" t="s">
        <v>42</v>
      </c>
      <c r="L333" s="10">
        <f>Table1[[#This Row],[ENR]]-Table1[[#This Row],[CREDIT]]</f>
        <v>11792.070000000007</v>
      </c>
      <c r="M333" s="36">
        <v>100000</v>
      </c>
      <c r="N333" s="26">
        <v>111792.07</v>
      </c>
      <c r="O333" s="38" t="s">
        <v>43</v>
      </c>
      <c r="P333" s="25">
        <v>111792.07</v>
      </c>
      <c r="Q333" s="25">
        <v>99836.93</v>
      </c>
      <c r="R333" s="10">
        <v>29150</v>
      </c>
      <c r="S333" s="39">
        <v>12360</v>
      </c>
      <c r="T333" s="10" t="s">
        <v>57</v>
      </c>
      <c r="U333" s="10" t="s">
        <v>13</v>
      </c>
      <c r="V333" s="10">
        <v>111792.07</v>
      </c>
      <c r="W333" s="25">
        <f>Table1[[#This Row],[STAB]]-Table1[[#This Row],[AMOUNT]]</f>
        <v>-99432.07</v>
      </c>
      <c r="X333" s="10" t="s">
        <v>1961</v>
      </c>
      <c r="Y333" s="10" t="s">
        <v>402</v>
      </c>
      <c r="Z333" s="10" t="s">
        <v>403</v>
      </c>
      <c r="AA333" s="10" t="s">
        <v>113</v>
      </c>
      <c r="AB333" s="36" t="s">
        <v>131</v>
      </c>
      <c r="AC333" s="10"/>
      <c r="AD333" s="9" t="s">
        <v>1629</v>
      </c>
      <c r="AE333" s="10" t="s">
        <v>1692</v>
      </c>
      <c r="AF333" s="10" t="s">
        <v>285</v>
      </c>
      <c r="AG333" s="10" t="s">
        <v>54</v>
      </c>
      <c r="AH333" s="10" t="s">
        <v>98</v>
      </c>
      <c r="AI333" s="10" t="s">
        <v>727</v>
      </c>
      <c r="AJ333" s="10">
        <v>802898520</v>
      </c>
      <c r="AK333" s="10" t="s">
        <v>104</v>
      </c>
      <c r="AL333" s="10"/>
      <c r="AM333" s="10"/>
      <c r="AN333" s="11" t="s">
        <v>390</v>
      </c>
      <c r="AO333" s="10"/>
      <c r="AP333" s="10"/>
      <c r="AQ333" s="10"/>
      <c r="AR333" s="2">
        <v>45722</v>
      </c>
      <c r="AS333" s="10">
        <v>34300</v>
      </c>
      <c r="AT333" s="10" t="s">
        <v>47</v>
      </c>
      <c r="AU333" s="10" t="s">
        <v>1741</v>
      </c>
      <c r="AV333" s="36" t="s">
        <v>1762</v>
      </c>
      <c r="AW333" s="1">
        <v>46203</v>
      </c>
    </row>
    <row r="334" spans="1:49" x14ac:dyDescent="0.25">
      <c r="A334" s="9" t="s">
        <v>2027</v>
      </c>
      <c r="B334" s="10" t="s">
        <v>2153</v>
      </c>
      <c r="C334" s="10">
        <v>0</v>
      </c>
      <c r="D334" s="10" t="s">
        <v>91</v>
      </c>
      <c r="E334" s="10"/>
      <c r="F334" s="10"/>
      <c r="G334" s="10"/>
      <c r="H334" s="10" t="s">
        <v>52</v>
      </c>
      <c r="I334" s="10">
        <v>12</v>
      </c>
      <c r="J334" s="10" t="s">
        <v>2276</v>
      </c>
      <c r="K334" s="10" t="s">
        <v>42</v>
      </c>
      <c r="L334" s="10">
        <f>Table1[[#This Row],[ENR]]-Table1[[#This Row],[CREDIT]]</f>
        <v>-18335.789999999994</v>
      </c>
      <c r="M334" s="36">
        <v>130000</v>
      </c>
      <c r="N334" s="26">
        <v>111664.21</v>
      </c>
      <c r="O334" s="38">
        <v>3205.82</v>
      </c>
      <c r="P334" s="25">
        <v>108458.39</v>
      </c>
      <c r="Q334" s="25">
        <v>96311.56</v>
      </c>
      <c r="R334" s="10">
        <v>21020</v>
      </c>
      <c r="S334" s="39">
        <v>8710</v>
      </c>
      <c r="T334" s="10" t="s">
        <v>57</v>
      </c>
      <c r="U334" s="10" t="s">
        <v>14</v>
      </c>
      <c r="V334" s="25">
        <v>8800</v>
      </c>
      <c r="W334" s="25">
        <f>Table1[[#This Row],[STAB]]-Table1[[#This Row],[AMOUNT]]</f>
        <v>-90</v>
      </c>
      <c r="X334" s="10" t="s">
        <v>2004</v>
      </c>
      <c r="Y334" s="10" t="s">
        <v>402</v>
      </c>
      <c r="Z334" s="10" t="s">
        <v>403</v>
      </c>
      <c r="AA334" s="10" t="s">
        <v>113</v>
      </c>
      <c r="AB334" s="10" t="s">
        <v>133</v>
      </c>
      <c r="AC334" s="10"/>
      <c r="AD334" s="9" t="s">
        <v>2398</v>
      </c>
      <c r="AE334" s="10" t="s">
        <v>2519</v>
      </c>
      <c r="AF334" s="10" t="s">
        <v>685</v>
      </c>
      <c r="AG334" s="10" t="s">
        <v>54</v>
      </c>
      <c r="AH334" s="10" t="s">
        <v>1398</v>
      </c>
      <c r="AI334" s="10" t="s">
        <v>162</v>
      </c>
      <c r="AJ334" s="10">
        <v>801772794</v>
      </c>
      <c r="AK334" s="10" t="s">
        <v>361</v>
      </c>
      <c r="AL334" s="10"/>
      <c r="AM334" s="10"/>
      <c r="AN334" s="11" t="s">
        <v>390</v>
      </c>
      <c r="AO334" s="10"/>
      <c r="AP334" s="10"/>
      <c r="AQ334" s="10"/>
      <c r="AR334" s="2">
        <v>44804</v>
      </c>
      <c r="AS334" s="10">
        <v>25000</v>
      </c>
      <c r="AT334" s="10" t="s">
        <v>47</v>
      </c>
      <c r="AU334" s="10" t="s">
        <v>2622</v>
      </c>
      <c r="AV334" s="36" t="s">
        <v>2640</v>
      </c>
      <c r="AW334" s="1">
        <v>46203</v>
      </c>
    </row>
    <row r="335" spans="1:49" x14ac:dyDescent="0.25">
      <c r="A335" s="9" t="s">
        <v>2028</v>
      </c>
      <c r="B335" s="10" t="s">
        <v>2154</v>
      </c>
      <c r="C335" s="10">
        <v>0</v>
      </c>
      <c r="D335" s="10" t="s">
        <v>91</v>
      </c>
      <c r="E335" s="10"/>
      <c r="F335" s="10"/>
      <c r="G335" s="10"/>
      <c r="H335" s="10" t="s">
        <v>84</v>
      </c>
      <c r="I335" s="10">
        <v>12</v>
      </c>
      <c r="J335" s="10" t="s">
        <v>2277</v>
      </c>
      <c r="K335" s="10" t="s">
        <v>42</v>
      </c>
      <c r="L335" s="10">
        <f>Table1[[#This Row],[ENR]]-Table1[[#This Row],[CREDIT]]</f>
        <v>10989.199999999997</v>
      </c>
      <c r="M335" s="36">
        <v>100000</v>
      </c>
      <c r="N335" s="26">
        <v>110989.2</v>
      </c>
      <c r="O335" s="38">
        <v>15607.51</v>
      </c>
      <c r="P335" s="25">
        <v>95381.69</v>
      </c>
      <c r="Q335" s="25">
        <v>84095.77</v>
      </c>
      <c r="R335" s="10">
        <v>20960</v>
      </c>
      <c r="S335" s="39">
        <v>10510</v>
      </c>
      <c r="T335" s="10" t="s">
        <v>57</v>
      </c>
      <c r="U335" s="10" t="s">
        <v>14</v>
      </c>
      <c r="V335" s="25">
        <v>10510</v>
      </c>
      <c r="W335" s="25">
        <f>Table1[[#This Row],[STAB]]-Table1[[#This Row],[AMOUNT]]</f>
        <v>0</v>
      </c>
      <c r="X335" s="10" t="s">
        <v>4591</v>
      </c>
      <c r="Y335" s="10" t="s">
        <v>396</v>
      </c>
      <c r="Z335" s="10" t="s">
        <v>403</v>
      </c>
      <c r="AA335" s="10" t="s">
        <v>113</v>
      </c>
      <c r="AB335" s="36" t="s">
        <v>374</v>
      </c>
      <c r="AC335" s="10"/>
      <c r="AD335" s="9" t="s">
        <v>2399</v>
      </c>
      <c r="AE335" s="10" t="s">
        <v>2520</v>
      </c>
      <c r="AF335" s="10" t="s">
        <v>1738</v>
      </c>
      <c r="AG335" s="10" t="s">
        <v>324</v>
      </c>
      <c r="AH335" s="10" t="s">
        <v>1361</v>
      </c>
      <c r="AI335" s="10" t="s">
        <v>1404</v>
      </c>
      <c r="AJ335" s="10">
        <v>802852449</v>
      </c>
      <c r="AK335" s="10" t="s">
        <v>104</v>
      </c>
      <c r="AL335" s="10"/>
      <c r="AM335" s="10"/>
      <c r="AN335" s="11" t="s">
        <v>390</v>
      </c>
      <c r="AO335" s="10" t="s">
        <v>392</v>
      </c>
      <c r="AP335" s="10" t="s">
        <v>4554</v>
      </c>
      <c r="AQ335" s="10" t="s">
        <v>4535</v>
      </c>
      <c r="AR335" s="2">
        <v>45486</v>
      </c>
      <c r="AS335" s="10">
        <v>1000</v>
      </c>
      <c r="AT335" s="10" t="s">
        <v>47</v>
      </c>
      <c r="AU335" s="10" t="s">
        <v>2622</v>
      </c>
      <c r="AV335" s="36" t="s">
        <v>2641</v>
      </c>
      <c r="AW335" s="1">
        <v>46203</v>
      </c>
    </row>
    <row r="336" spans="1:49" x14ac:dyDescent="0.25">
      <c r="A336" s="9" t="s">
        <v>2075</v>
      </c>
      <c r="B336" s="10" t="s">
        <v>2199</v>
      </c>
      <c r="C336" s="10">
        <v>0</v>
      </c>
      <c r="D336" s="10" t="s">
        <v>91</v>
      </c>
      <c r="E336" s="10"/>
      <c r="F336" s="10"/>
      <c r="G336" s="10"/>
      <c r="H336" s="10" t="s">
        <v>52</v>
      </c>
      <c r="I336" s="10">
        <v>12</v>
      </c>
      <c r="J336" s="10" t="s">
        <v>2321</v>
      </c>
      <c r="K336" s="10" t="s">
        <v>42</v>
      </c>
      <c r="L336" s="10">
        <f>Table1[[#This Row],[ENR]]-Table1[[#This Row],[CREDIT]]</f>
        <v>10540.11</v>
      </c>
      <c r="M336" s="36">
        <v>100000</v>
      </c>
      <c r="N336" s="26">
        <v>110540.11</v>
      </c>
      <c r="O336" s="38" t="s">
        <v>43</v>
      </c>
      <c r="P336" s="25">
        <v>110540.11</v>
      </c>
      <c r="Q336" s="25">
        <v>99749.01</v>
      </c>
      <c r="R336" s="10">
        <v>34750</v>
      </c>
      <c r="S336" s="39">
        <v>18330</v>
      </c>
      <c r="T336" s="10" t="s">
        <v>57</v>
      </c>
      <c r="U336" s="10" t="s">
        <v>14</v>
      </c>
      <c r="V336" s="25">
        <v>20000</v>
      </c>
      <c r="W336" s="25">
        <f>Table1[[#This Row],[STAB]]-Table1[[#This Row],[AMOUNT]]</f>
        <v>-1670</v>
      </c>
      <c r="X336" s="10" t="s">
        <v>4619</v>
      </c>
      <c r="Y336" s="10" t="s">
        <v>402</v>
      </c>
      <c r="Z336" s="10" t="s">
        <v>403</v>
      </c>
      <c r="AA336" s="10" t="s">
        <v>113</v>
      </c>
      <c r="AB336" s="36" t="s">
        <v>132</v>
      </c>
      <c r="AC336" s="10"/>
      <c r="AD336" s="9" t="s">
        <v>2444</v>
      </c>
      <c r="AE336" s="10" t="s">
        <v>2565</v>
      </c>
      <c r="AF336" s="10" t="s">
        <v>1737</v>
      </c>
      <c r="AG336" s="10" t="s">
        <v>324</v>
      </c>
      <c r="AH336" s="10" t="s">
        <v>722</v>
      </c>
      <c r="AI336" s="10" t="s">
        <v>370</v>
      </c>
      <c r="AJ336" s="10">
        <v>801448854</v>
      </c>
      <c r="AK336" s="10" t="s">
        <v>105</v>
      </c>
      <c r="AL336" s="10"/>
      <c r="AM336" s="10"/>
      <c r="AN336" s="11" t="s">
        <v>390</v>
      </c>
      <c r="AO336" s="10" t="s">
        <v>531</v>
      </c>
      <c r="AP336" s="10" t="s">
        <v>4586</v>
      </c>
      <c r="AQ336" s="10" t="s">
        <v>4566</v>
      </c>
      <c r="AR336" s="2">
        <v>45472</v>
      </c>
      <c r="AS336" s="10">
        <v>10000</v>
      </c>
      <c r="AT336" s="10" t="s">
        <v>47</v>
      </c>
      <c r="AU336" s="10" t="s">
        <v>2622</v>
      </c>
      <c r="AV336" s="36" t="s">
        <v>2688</v>
      </c>
      <c r="AW336" s="1">
        <v>46203</v>
      </c>
    </row>
    <row r="337" spans="1:49" x14ac:dyDescent="0.25">
      <c r="A337" s="9" t="s">
        <v>2063</v>
      </c>
      <c r="B337" s="10" t="s">
        <v>2187</v>
      </c>
      <c r="C337" s="10">
        <v>0</v>
      </c>
      <c r="D337" s="10" t="s">
        <v>91</v>
      </c>
      <c r="E337" s="10"/>
      <c r="F337" s="10"/>
      <c r="G337" s="10"/>
      <c r="H337" s="10" t="s">
        <v>52</v>
      </c>
      <c r="I337" s="10">
        <v>12</v>
      </c>
      <c r="J337" s="10" t="s">
        <v>2309</v>
      </c>
      <c r="K337" s="10" t="s">
        <v>42</v>
      </c>
      <c r="L337" s="10">
        <f>Table1[[#This Row],[ENR]]-Table1[[#This Row],[CREDIT]]</f>
        <v>10487.839999999997</v>
      </c>
      <c r="M337" s="36">
        <v>100000</v>
      </c>
      <c r="N337" s="26">
        <v>110487.84</v>
      </c>
      <c r="O337" s="38" t="s">
        <v>43</v>
      </c>
      <c r="P337" s="25">
        <v>110487.84</v>
      </c>
      <c r="Q337" s="25">
        <v>99847.21</v>
      </c>
      <c r="R337" s="10">
        <v>31350</v>
      </c>
      <c r="S337" s="39">
        <v>14760</v>
      </c>
      <c r="T337" s="10" t="s">
        <v>44</v>
      </c>
      <c r="U337" s="10" t="s">
        <v>45</v>
      </c>
      <c r="V337" s="10">
        <v>0</v>
      </c>
      <c r="W337" s="25">
        <f>Table1[[#This Row],[STAB]]-Table1[[#This Row],[AMOUNT]]</f>
        <v>14760</v>
      </c>
      <c r="X337" s="10">
        <v>0</v>
      </c>
      <c r="Y337" s="10" t="s">
        <v>79</v>
      </c>
      <c r="Z337" s="10">
        <v>0</v>
      </c>
      <c r="AA337" s="10" t="s">
        <v>113</v>
      </c>
      <c r="AB337" s="36" t="s">
        <v>131</v>
      </c>
      <c r="AC337" s="10"/>
      <c r="AD337" s="9" t="s">
        <v>2432</v>
      </c>
      <c r="AE337" s="10" t="s">
        <v>2553</v>
      </c>
      <c r="AF337" s="10" t="s">
        <v>278</v>
      </c>
      <c r="AG337" s="10" t="s">
        <v>54</v>
      </c>
      <c r="AH337" s="10" t="s">
        <v>723</v>
      </c>
      <c r="AI337" s="10" t="s">
        <v>369</v>
      </c>
      <c r="AJ337" s="10">
        <v>802823180</v>
      </c>
      <c r="AK337" s="10" t="s">
        <v>105</v>
      </c>
      <c r="AL337" s="10"/>
      <c r="AM337" s="10"/>
      <c r="AN337" s="11" t="s">
        <v>46</v>
      </c>
      <c r="AO337" s="10"/>
      <c r="AP337" s="10"/>
      <c r="AQ337" s="10"/>
      <c r="AR337" s="2">
        <v>45626</v>
      </c>
      <c r="AS337" s="10">
        <v>6164.51</v>
      </c>
      <c r="AT337" s="10" t="s">
        <v>47</v>
      </c>
      <c r="AU337" s="10" t="s">
        <v>2622</v>
      </c>
      <c r="AV337" s="36" t="s">
        <v>2676</v>
      </c>
      <c r="AW337" s="1">
        <v>46203</v>
      </c>
    </row>
    <row r="338" spans="1:49" x14ac:dyDescent="0.25">
      <c r="A338" s="9" t="s">
        <v>2077</v>
      </c>
      <c r="B338" s="10" t="s">
        <v>2201</v>
      </c>
      <c r="C338" s="10">
        <v>0</v>
      </c>
      <c r="D338" s="10" t="s">
        <v>95</v>
      </c>
      <c r="E338" s="10">
        <v>1</v>
      </c>
      <c r="F338" s="10" t="s">
        <v>112</v>
      </c>
      <c r="G338" s="10" t="s">
        <v>4945</v>
      </c>
      <c r="H338" s="10" t="s">
        <v>52</v>
      </c>
      <c r="I338" s="10">
        <v>12</v>
      </c>
      <c r="J338" s="10" t="s">
        <v>2323</v>
      </c>
      <c r="K338" s="10" t="s">
        <v>42</v>
      </c>
      <c r="L338" s="10">
        <f>Table1[[#This Row],[ENR]]-Table1[[#This Row],[CREDIT]]</f>
        <v>66034.19</v>
      </c>
      <c r="M338" s="36">
        <v>43000</v>
      </c>
      <c r="N338" s="26">
        <v>109034.19</v>
      </c>
      <c r="O338" s="38" t="s">
        <v>43</v>
      </c>
      <c r="P338" s="25">
        <v>109034.19</v>
      </c>
      <c r="Q338" s="25">
        <v>101310</v>
      </c>
      <c r="R338" s="10">
        <v>72590</v>
      </c>
      <c r="S338" s="39">
        <v>60460</v>
      </c>
      <c r="T338" s="10" t="s">
        <v>44</v>
      </c>
      <c r="U338" s="10" t="s">
        <v>45</v>
      </c>
      <c r="V338" s="10">
        <v>0</v>
      </c>
      <c r="W338" s="25">
        <f>Table1[[#This Row],[STAB]]-Table1[[#This Row],[AMOUNT]]</f>
        <v>60460</v>
      </c>
      <c r="X338" s="10">
        <v>0</v>
      </c>
      <c r="Y338" s="10" t="s">
        <v>79</v>
      </c>
      <c r="Z338" s="10">
        <v>0</v>
      </c>
      <c r="AA338" s="10" t="s">
        <v>113</v>
      </c>
      <c r="AB338" s="36" t="s">
        <v>131</v>
      </c>
      <c r="AC338" s="10"/>
      <c r="AD338" s="9" t="s">
        <v>2446</v>
      </c>
      <c r="AE338" s="10" t="s">
        <v>2567</v>
      </c>
      <c r="AF338" s="10" t="s">
        <v>276</v>
      </c>
      <c r="AG338" s="10" t="s">
        <v>324</v>
      </c>
      <c r="AH338" s="10" t="s">
        <v>354</v>
      </c>
      <c r="AI338" s="10" t="s">
        <v>367</v>
      </c>
      <c r="AJ338" s="10">
        <v>801436997</v>
      </c>
      <c r="AK338" s="10" t="s">
        <v>104</v>
      </c>
      <c r="AL338" s="10"/>
      <c r="AM338" s="10"/>
      <c r="AN338" s="11" t="s">
        <v>46</v>
      </c>
      <c r="AO338" s="10"/>
      <c r="AP338" s="10"/>
      <c r="AQ338" s="10"/>
      <c r="AR338" s="2">
        <v>45930</v>
      </c>
      <c r="AS338" s="10">
        <v>31700</v>
      </c>
      <c r="AT338" s="10" t="s">
        <v>47</v>
      </c>
      <c r="AU338" s="10" t="s">
        <v>2622</v>
      </c>
      <c r="AV338" s="36" t="s">
        <v>2690</v>
      </c>
      <c r="AW338" s="1">
        <v>46203</v>
      </c>
    </row>
    <row r="339" spans="1:49" x14ac:dyDescent="0.25">
      <c r="A339" s="9" t="s">
        <v>2088</v>
      </c>
      <c r="B339" s="10" t="s">
        <v>2212</v>
      </c>
      <c r="C339" s="10">
        <v>0</v>
      </c>
      <c r="D339" s="10" t="s">
        <v>91</v>
      </c>
      <c r="E339" s="10"/>
      <c r="F339" s="10"/>
      <c r="G339" s="10"/>
      <c r="H339" s="10" t="s">
        <v>84</v>
      </c>
      <c r="I339" s="10">
        <v>12</v>
      </c>
      <c r="J339" s="10" t="s">
        <v>2334</v>
      </c>
      <c r="K339" s="10" t="s">
        <v>42</v>
      </c>
      <c r="L339" s="10">
        <f>Table1[[#This Row],[ENR]]-Table1[[#This Row],[CREDIT]]</f>
        <v>-1589.4900000000052</v>
      </c>
      <c r="M339" s="36">
        <v>110000</v>
      </c>
      <c r="N339" s="26">
        <v>108410.51</v>
      </c>
      <c r="O339" s="38">
        <v>14495.89</v>
      </c>
      <c r="P339" s="25">
        <v>93914.62</v>
      </c>
      <c r="Q339" s="25">
        <v>87657.79</v>
      </c>
      <c r="R339" s="10">
        <v>20820</v>
      </c>
      <c r="S339" s="39">
        <v>10990</v>
      </c>
      <c r="T339" s="10" t="s">
        <v>57</v>
      </c>
      <c r="U339" s="10" t="s">
        <v>13</v>
      </c>
      <c r="V339" s="10">
        <v>20820</v>
      </c>
      <c r="W339" s="25">
        <f>Table1[[#This Row],[STAB]]-Table1[[#This Row],[AMOUNT]]</f>
        <v>-9830</v>
      </c>
      <c r="X339" s="10" t="s">
        <v>4591</v>
      </c>
      <c r="Y339" s="10" t="s">
        <v>396</v>
      </c>
      <c r="Z339" s="10" t="s">
        <v>403</v>
      </c>
      <c r="AA339" s="10" t="s">
        <v>113</v>
      </c>
      <c r="AB339" s="36" t="s">
        <v>132</v>
      </c>
      <c r="AC339" s="10"/>
      <c r="AD339" s="9" t="s">
        <v>2457</v>
      </c>
      <c r="AE339" s="10" t="s">
        <v>2578</v>
      </c>
      <c r="AF339" s="10" t="s">
        <v>85</v>
      </c>
      <c r="AG339" s="10" t="s">
        <v>54</v>
      </c>
      <c r="AH339" s="10" t="s">
        <v>93</v>
      </c>
      <c r="AI339" s="10" t="s">
        <v>364</v>
      </c>
      <c r="AJ339" s="10">
        <v>802663344</v>
      </c>
      <c r="AK339" s="10" t="s">
        <v>105</v>
      </c>
      <c r="AL339" s="10"/>
      <c r="AM339" s="10"/>
      <c r="AN339" s="11" t="s">
        <v>390</v>
      </c>
      <c r="AO339" s="10"/>
      <c r="AP339" s="10"/>
      <c r="AQ339" s="10"/>
      <c r="AR339" s="2">
        <v>45534</v>
      </c>
      <c r="AS339" s="10">
        <v>75237.62</v>
      </c>
      <c r="AT339" s="10" t="s">
        <v>47</v>
      </c>
      <c r="AU339" s="10" t="s">
        <v>2622</v>
      </c>
      <c r="AV339" s="36" t="s">
        <v>2701</v>
      </c>
      <c r="AW339" s="1">
        <v>46203</v>
      </c>
    </row>
    <row r="340" spans="1:49" x14ac:dyDescent="0.25">
      <c r="A340" s="9" t="s">
        <v>2103</v>
      </c>
      <c r="B340" s="10" t="s">
        <v>2227</v>
      </c>
      <c r="C340" s="10">
        <v>0</v>
      </c>
      <c r="D340" s="10" t="s">
        <v>91</v>
      </c>
      <c r="E340" s="10"/>
      <c r="F340" s="10"/>
      <c r="G340" s="10"/>
      <c r="H340" s="10" t="s">
        <v>52</v>
      </c>
      <c r="I340" s="10">
        <v>12</v>
      </c>
      <c r="J340" s="10" t="s">
        <v>2349</v>
      </c>
      <c r="K340" s="10" t="s">
        <v>42</v>
      </c>
      <c r="L340" s="10">
        <f>Table1[[#This Row],[ENR]]-Table1[[#This Row],[CREDIT]]</f>
        <v>-3195.4900000000052</v>
      </c>
      <c r="M340" s="36">
        <v>110000</v>
      </c>
      <c r="N340" s="26">
        <v>106804.51</v>
      </c>
      <c r="O340" s="38">
        <v>55891.78</v>
      </c>
      <c r="P340" s="25">
        <v>50912.73</v>
      </c>
      <c r="Q340" s="25">
        <v>46255.33</v>
      </c>
      <c r="R340" s="10">
        <v>15350</v>
      </c>
      <c r="S340" s="39">
        <v>7660</v>
      </c>
      <c r="T340" s="10" t="s">
        <v>57</v>
      </c>
      <c r="U340" s="10" t="s">
        <v>14</v>
      </c>
      <c r="V340" s="25">
        <v>7660</v>
      </c>
      <c r="W340" s="25">
        <f>Table1[[#This Row],[STAB]]-Table1[[#This Row],[AMOUNT]]</f>
        <v>0</v>
      </c>
      <c r="X340" s="10" t="s">
        <v>4601</v>
      </c>
      <c r="Y340" s="10" t="s">
        <v>388</v>
      </c>
      <c r="Z340" s="10" t="s">
        <v>403</v>
      </c>
      <c r="AA340" s="10" t="s">
        <v>113</v>
      </c>
      <c r="AB340" s="10" t="s">
        <v>133</v>
      </c>
      <c r="AC340" s="10"/>
      <c r="AD340" s="9" t="s">
        <v>2472</v>
      </c>
      <c r="AE340" s="10" t="s">
        <v>2593</v>
      </c>
      <c r="AF340" s="10" t="s">
        <v>498</v>
      </c>
      <c r="AG340" s="10" t="s">
        <v>53</v>
      </c>
      <c r="AH340" s="10" t="s">
        <v>90</v>
      </c>
      <c r="AI340" s="10" t="s">
        <v>162</v>
      </c>
      <c r="AJ340" s="10">
        <v>801772794</v>
      </c>
      <c r="AK340" s="10" t="s">
        <v>361</v>
      </c>
      <c r="AL340" s="10"/>
      <c r="AM340" s="10"/>
      <c r="AN340" s="11" t="s">
        <v>390</v>
      </c>
      <c r="AO340" s="10" t="s">
        <v>394</v>
      </c>
      <c r="AP340" s="10" t="s">
        <v>4616</v>
      </c>
      <c r="AQ340" s="10" t="s">
        <v>4591</v>
      </c>
      <c r="AR340" s="2" t="s">
        <v>43</v>
      </c>
      <c r="AS340" s="10">
        <v>0</v>
      </c>
      <c r="AT340" s="10" t="s">
        <v>47</v>
      </c>
      <c r="AU340" s="10" t="s">
        <v>2622</v>
      </c>
      <c r="AV340" s="36" t="s">
        <v>2716</v>
      </c>
      <c r="AW340" s="1">
        <v>46203</v>
      </c>
    </row>
    <row r="341" spans="1:49" x14ac:dyDescent="0.25">
      <c r="A341" s="9" t="s">
        <v>1437</v>
      </c>
      <c r="B341" s="10" t="s">
        <v>1503</v>
      </c>
      <c r="C341" s="10">
        <v>0</v>
      </c>
      <c r="D341" s="10" t="s">
        <v>91</v>
      </c>
      <c r="E341" s="10"/>
      <c r="F341" s="10"/>
      <c r="G341" s="10"/>
      <c r="H341" s="10" t="s">
        <v>52</v>
      </c>
      <c r="I341" s="10">
        <v>12</v>
      </c>
      <c r="J341" s="10" t="s">
        <v>1567</v>
      </c>
      <c r="K341" s="10" t="s">
        <v>42</v>
      </c>
      <c r="L341" s="10">
        <f>Table1[[#This Row],[ENR]]-Table1[[#This Row],[CREDIT]]</f>
        <v>86317.63</v>
      </c>
      <c r="M341" s="36">
        <v>20000</v>
      </c>
      <c r="N341" s="26">
        <v>106317.63</v>
      </c>
      <c r="O341" s="38" t="s">
        <v>43</v>
      </c>
      <c r="P341" s="25">
        <v>106317.63</v>
      </c>
      <c r="Q341" s="25">
        <v>97922.99</v>
      </c>
      <c r="R341" s="10">
        <v>91560</v>
      </c>
      <c r="S341" s="39">
        <v>81060</v>
      </c>
      <c r="T341" s="10" t="s">
        <v>44</v>
      </c>
      <c r="U341" s="10" t="s">
        <v>45</v>
      </c>
      <c r="V341" s="10">
        <v>0</v>
      </c>
      <c r="W341" s="25">
        <f>Table1[[#This Row],[STAB]]-Table1[[#This Row],[AMOUNT]]</f>
        <v>81060</v>
      </c>
      <c r="X341" s="10">
        <v>0</v>
      </c>
      <c r="Y341" s="10" t="s">
        <v>79</v>
      </c>
      <c r="Z341" s="10" t="s">
        <v>403</v>
      </c>
      <c r="AA341" s="10" t="s">
        <v>113</v>
      </c>
      <c r="AB341" s="36" t="s">
        <v>132</v>
      </c>
      <c r="AC341" s="10"/>
      <c r="AD341" s="9" t="s">
        <v>1631</v>
      </c>
      <c r="AE341" s="10" t="s">
        <v>1694</v>
      </c>
      <c r="AF341" s="10" t="s">
        <v>1737</v>
      </c>
      <c r="AG341" s="10" t="s">
        <v>324</v>
      </c>
      <c r="AH341" s="10" t="s">
        <v>722</v>
      </c>
      <c r="AI341" s="10" t="s">
        <v>370</v>
      </c>
      <c r="AJ341" s="10">
        <v>801448854</v>
      </c>
      <c r="AK341" s="10" t="s">
        <v>105</v>
      </c>
      <c r="AL341" s="10"/>
      <c r="AM341" s="10"/>
      <c r="AN341" s="11" t="s">
        <v>390</v>
      </c>
      <c r="AO341" s="10" t="s">
        <v>392</v>
      </c>
      <c r="AP341" s="10" t="s">
        <v>4926</v>
      </c>
      <c r="AQ341" s="10" t="s">
        <v>4923</v>
      </c>
      <c r="AR341" s="2">
        <v>45960</v>
      </c>
      <c r="AS341" s="10">
        <v>99000</v>
      </c>
      <c r="AT341" s="10" t="s">
        <v>47</v>
      </c>
      <c r="AU341" s="10" t="s">
        <v>1741</v>
      </c>
      <c r="AV341" s="36" t="s">
        <v>1764</v>
      </c>
      <c r="AW341" s="1">
        <v>46203</v>
      </c>
    </row>
    <row r="342" spans="1:49" x14ac:dyDescent="0.25">
      <c r="A342" s="9" t="s">
        <v>1473</v>
      </c>
      <c r="B342" s="10" t="s">
        <v>1537</v>
      </c>
      <c r="C342" s="10">
        <v>0</v>
      </c>
      <c r="D342" s="10" t="s">
        <v>91</v>
      </c>
      <c r="E342" s="10"/>
      <c r="F342" s="10"/>
      <c r="G342" s="10"/>
      <c r="H342" s="10" t="s">
        <v>52</v>
      </c>
      <c r="I342" s="10">
        <v>12</v>
      </c>
      <c r="J342" s="10" t="s">
        <v>1601</v>
      </c>
      <c r="K342" s="10" t="s">
        <v>42</v>
      </c>
      <c r="L342" s="10">
        <f>Table1[[#This Row],[ENR]]-Table1[[#This Row],[CREDIT]]</f>
        <v>5930.7799999999988</v>
      </c>
      <c r="M342" s="36">
        <v>100000</v>
      </c>
      <c r="N342" s="26">
        <v>105930.78</v>
      </c>
      <c r="O342" s="38">
        <v>52201.32</v>
      </c>
      <c r="P342" s="25">
        <v>53729.46</v>
      </c>
      <c r="Q342" s="25">
        <v>43545.04</v>
      </c>
      <c r="R342" s="10">
        <v>21580</v>
      </c>
      <c r="S342" s="39">
        <v>10670</v>
      </c>
      <c r="T342" s="10" t="s">
        <v>57</v>
      </c>
      <c r="U342" s="10" t="s">
        <v>13</v>
      </c>
      <c r="V342" s="10">
        <v>53729.46</v>
      </c>
      <c r="W342" s="25">
        <f>Table1[[#This Row],[STAB]]-Table1[[#This Row],[AMOUNT]]</f>
        <v>-43059.46</v>
      </c>
      <c r="X342" s="10" t="s">
        <v>4923</v>
      </c>
      <c r="Y342" s="10" t="s">
        <v>402</v>
      </c>
      <c r="Z342" s="10" t="s">
        <v>403</v>
      </c>
      <c r="AA342" s="10" t="s">
        <v>113</v>
      </c>
      <c r="AB342" s="10" t="s">
        <v>133</v>
      </c>
      <c r="AC342" s="10"/>
      <c r="AD342" s="9" t="s">
        <v>1665</v>
      </c>
      <c r="AE342" s="10" t="s">
        <v>1728</v>
      </c>
      <c r="AF342" s="10" t="s">
        <v>285</v>
      </c>
      <c r="AG342" s="10" t="s">
        <v>54</v>
      </c>
      <c r="AH342" s="10" t="s">
        <v>98</v>
      </c>
      <c r="AI342" s="10" t="s">
        <v>727</v>
      </c>
      <c r="AJ342" s="10">
        <v>802898520</v>
      </c>
      <c r="AK342" s="10" t="s">
        <v>104</v>
      </c>
      <c r="AL342" s="10"/>
      <c r="AM342" s="10"/>
      <c r="AN342" s="11" t="s">
        <v>390</v>
      </c>
      <c r="AO342" s="10" t="s">
        <v>531</v>
      </c>
      <c r="AP342" s="10" t="s">
        <v>4582</v>
      </c>
      <c r="AQ342" s="10" t="s">
        <v>4566</v>
      </c>
      <c r="AR342" s="2">
        <v>45442</v>
      </c>
      <c r="AS342" s="10">
        <v>1226</v>
      </c>
      <c r="AT342" s="10" t="s">
        <v>47</v>
      </c>
      <c r="AU342" s="10" t="s">
        <v>1741</v>
      </c>
      <c r="AV342" s="36" t="s">
        <v>1800</v>
      </c>
      <c r="AW342" s="1">
        <v>46203</v>
      </c>
    </row>
    <row r="343" spans="1:49" x14ac:dyDescent="0.25">
      <c r="A343" s="9" t="s">
        <v>1464</v>
      </c>
      <c r="B343" s="10" t="s">
        <v>1528</v>
      </c>
      <c r="C343" s="10">
        <v>0</v>
      </c>
      <c r="D343" s="10" t="s">
        <v>91</v>
      </c>
      <c r="E343" s="10"/>
      <c r="F343" s="10"/>
      <c r="G343" s="10"/>
      <c r="H343" s="10" t="s">
        <v>52</v>
      </c>
      <c r="I343" s="10">
        <v>12</v>
      </c>
      <c r="J343" s="10" t="s">
        <v>1592</v>
      </c>
      <c r="K343" s="10" t="s">
        <v>42</v>
      </c>
      <c r="L343" s="10">
        <f>Table1[[#This Row],[ENR]]-Table1[[#This Row],[CREDIT]]</f>
        <v>5510.6600000000035</v>
      </c>
      <c r="M343" s="36">
        <v>100000</v>
      </c>
      <c r="N343" s="26">
        <v>105510.66</v>
      </c>
      <c r="O343" s="38" t="s">
        <v>43</v>
      </c>
      <c r="P343" s="25">
        <v>105510.66</v>
      </c>
      <c r="Q343" s="25">
        <v>99369.11</v>
      </c>
      <c r="R343" s="10">
        <v>22580</v>
      </c>
      <c r="S343" s="39">
        <v>10460</v>
      </c>
      <c r="T343" s="10" t="s">
        <v>57</v>
      </c>
      <c r="U343" s="10" t="s">
        <v>14</v>
      </c>
      <c r="V343" s="25">
        <v>11462</v>
      </c>
      <c r="W343" s="25">
        <f>Table1[[#This Row],[STAB]]-Table1[[#This Row],[AMOUNT]]</f>
        <v>-1002</v>
      </c>
      <c r="X343" s="10" t="s">
        <v>4936</v>
      </c>
      <c r="Y343" s="10" t="s">
        <v>396</v>
      </c>
      <c r="Z343" s="10" t="s">
        <v>403</v>
      </c>
      <c r="AA343" s="10" t="s">
        <v>113</v>
      </c>
      <c r="AB343" s="36" t="s">
        <v>131</v>
      </c>
      <c r="AC343" s="10"/>
      <c r="AD343" s="9" t="s">
        <v>1656</v>
      </c>
      <c r="AE343" s="10" t="s">
        <v>1719</v>
      </c>
      <c r="AF343" s="10" t="s">
        <v>1738</v>
      </c>
      <c r="AG343" s="10" t="s">
        <v>324</v>
      </c>
      <c r="AH343" s="10" t="s">
        <v>1361</v>
      </c>
      <c r="AI343" s="10" t="s">
        <v>1404</v>
      </c>
      <c r="AJ343" s="10">
        <v>802852449</v>
      </c>
      <c r="AK343" s="10" t="s">
        <v>104</v>
      </c>
      <c r="AL343" s="10"/>
      <c r="AM343" s="10"/>
      <c r="AN343" s="11" t="s">
        <v>390</v>
      </c>
      <c r="AO343" s="10" t="s">
        <v>531</v>
      </c>
      <c r="AP343" s="10" t="s">
        <v>4562</v>
      </c>
      <c r="AQ343" s="10" t="s">
        <v>4535</v>
      </c>
      <c r="AR343" s="2">
        <v>45442</v>
      </c>
      <c r="AS343" s="10">
        <v>220</v>
      </c>
      <c r="AT343" s="10" t="s">
        <v>47</v>
      </c>
      <c r="AU343" s="10" t="s">
        <v>1741</v>
      </c>
      <c r="AV343" s="36" t="s">
        <v>1791</v>
      </c>
      <c r="AW343" s="1">
        <v>46203</v>
      </c>
    </row>
    <row r="344" spans="1:49" x14ac:dyDescent="0.25">
      <c r="A344" s="9" t="s">
        <v>1463</v>
      </c>
      <c r="B344" s="10" t="s">
        <v>1527</v>
      </c>
      <c r="C344" s="10">
        <v>0</v>
      </c>
      <c r="D344" s="10" t="s">
        <v>91</v>
      </c>
      <c r="E344" s="10"/>
      <c r="F344" s="10"/>
      <c r="G344" s="10"/>
      <c r="H344" s="10" t="s">
        <v>52</v>
      </c>
      <c r="I344" s="10">
        <v>12</v>
      </c>
      <c r="J344" s="10" t="s">
        <v>1591</v>
      </c>
      <c r="K344" s="10" t="s">
        <v>244</v>
      </c>
      <c r="L344" s="10">
        <f>Table1[[#This Row],[ENR]]-Table1[[#This Row],[CREDIT]]</f>
        <v>-35471.320000000007</v>
      </c>
      <c r="M344" s="36">
        <v>140000</v>
      </c>
      <c r="N344" s="26">
        <v>104528.68</v>
      </c>
      <c r="O344" s="38" t="s">
        <v>43</v>
      </c>
      <c r="P344" s="25">
        <v>104528.68</v>
      </c>
      <c r="Q344" s="25">
        <v>94392.85</v>
      </c>
      <c r="R344" s="10">
        <v>15030</v>
      </c>
      <c r="S344" s="39">
        <v>5830</v>
      </c>
      <c r="T344" s="10" t="s">
        <v>57</v>
      </c>
      <c r="U344" s="10" t="s">
        <v>13</v>
      </c>
      <c r="V344" s="10">
        <v>15030</v>
      </c>
      <c r="W344" s="25">
        <f>Table1[[#This Row],[STAB]]-Table1[[#This Row],[AMOUNT]]</f>
        <v>-9200</v>
      </c>
      <c r="X344" s="10" t="s">
        <v>4535</v>
      </c>
      <c r="Y344" s="10" t="s">
        <v>396</v>
      </c>
      <c r="Z344" s="10" t="s">
        <v>403</v>
      </c>
      <c r="AA344" s="10" t="s">
        <v>113</v>
      </c>
      <c r="AB344" s="36" t="s">
        <v>131</v>
      </c>
      <c r="AC344" s="10"/>
      <c r="AD344" s="9" t="s">
        <v>1655</v>
      </c>
      <c r="AE344" s="10" t="s">
        <v>1718</v>
      </c>
      <c r="AF344" s="10" t="s">
        <v>1319</v>
      </c>
      <c r="AG344" s="10" t="s">
        <v>54</v>
      </c>
      <c r="AH344" s="10" t="s">
        <v>93</v>
      </c>
      <c r="AI344" s="10" t="s">
        <v>364</v>
      </c>
      <c r="AJ344" s="10">
        <v>802663344</v>
      </c>
      <c r="AK344" s="10" t="s">
        <v>105</v>
      </c>
      <c r="AL344" s="10"/>
      <c r="AM344" s="10"/>
      <c r="AN344" s="11" t="s">
        <v>390</v>
      </c>
      <c r="AO344" s="10" t="s">
        <v>392</v>
      </c>
      <c r="AP344" s="10" t="s">
        <v>1988</v>
      </c>
      <c r="AQ344" s="10" t="s">
        <v>1989</v>
      </c>
      <c r="AR344" s="2">
        <v>45473</v>
      </c>
      <c r="AS344" s="10">
        <v>4438.8900000000003</v>
      </c>
      <c r="AT344" s="10" t="s">
        <v>47</v>
      </c>
      <c r="AU344" s="10" t="s">
        <v>1741</v>
      </c>
      <c r="AV344" s="36" t="s">
        <v>1790</v>
      </c>
      <c r="AW344" s="1">
        <v>46203</v>
      </c>
    </row>
    <row r="345" spans="1:49" x14ac:dyDescent="0.25">
      <c r="A345" s="9" t="s">
        <v>2031</v>
      </c>
      <c r="B345" s="10" t="s">
        <v>2157</v>
      </c>
      <c r="C345" s="10" t="s">
        <v>97</v>
      </c>
      <c r="D345" s="10" t="s">
        <v>95</v>
      </c>
      <c r="E345" s="10">
        <v>1</v>
      </c>
      <c r="F345" s="10" t="s">
        <v>112</v>
      </c>
      <c r="G345" s="10" t="s">
        <v>4953</v>
      </c>
      <c r="H345" s="10" t="s">
        <v>52</v>
      </c>
      <c r="I345" s="10">
        <v>12</v>
      </c>
      <c r="J345" s="10" t="s">
        <v>2280</v>
      </c>
      <c r="K345" s="10" t="s">
        <v>42</v>
      </c>
      <c r="L345" s="10">
        <f>Table1[[#This Row],[ENR]]-Table1[[#This Row],[CREDIT]]</f>
        <v>5309.6900000000023</v>
      </c>
      <c r="M345" s="36">
        <v>99000</v>
      </c>
      <c r="N345" s="26">
        <v>104309.69</v>
      </c>
      <c r="O345" s="38">
        <v>59108.87</v>
      </c>
      <c r="P345" s="25">
        <v>45200.82</v>
      </c>
      <c r="Q345" s="25">
        <v>39354.46</v>
      </c>
      <c r="R345" s="10">
        <v>33660</v>
      </c>
      <c r="S345" s="39">
        <v>15340</v>
      </c>
      <c r="T345" s="10" t="s">
        <v>44</v>
      </c>
      <c r="U345" s="10" t="s">
        <v>45</v>
      </c>
      <c r="V345" s="10">
        <v>0</v>
      </c>
      <c r="W345" s="25">
        <f>Table1[[#This Row],[STAB]]-Table1[[#This Row],[AMOUNT]]</f>
        <v>15340</v>
      </c>
      <c r="X345" s="10">
        <v>0</v>
      </c>
      <c r="Y345" s="10" t="s">
        <v>79</v>
      </c>
      <c r="Z345" s="10">
        <v>0</v>
      </c>
      <c r="AA345" s="10" t="s">
        <v>113</v>
      </c>
      <c r="AB345" s="36" t="s">
        <v>375</v>
      </c>
      <c r="AC345" s="10"/>
      <c r="AD345" s="9" t="s">
        <v>2402</v>
      </c>
      <c r="AE345" s="10" t="s">
        <v>2523</v>
      </c>
      <c r="AF345" s="10" t="s">
        <v>146</v>
      </c>
      <c r="AG345" s="10" t="s">
        <v>54</v>
      </c>
      <c r="AH345" s="10" t="s">
        <v>4529</v>
      </c>
      <c r="AI345" s="10" t="s">
        <v>365</v>
      </c>
      <c r="AJ345" s="10">
        <v>802824019</v>
      </c>
      <c r="AK345" s="10" t="s">
        <v>360</v>
      </c>
      <c r="AL345" s="10"/>
      <c r="AM345" s="10"/>
      <c r="AN345" s="11" t="s">
        <v>46</v>
      </c>
      <c r="AO345" s="10"/>
      <c r="AP345" s="10"/>
      <c r="AQ345" s="10"/>
      <c r="AR345" s="2">
        <v>46093</v>
      </c>
      <c r="AS345" s="10">
        <v>5</v>
      </c>
      <c r="AT345" s="10" t="s">
        <v>47</v>
      </c>
      <c r="AU345" s="10" t="s">
        <v>2622</v>
      </c>
      <c r="AV345" s="36" t="s">
        <v>2644</v>
      </c>
      <c r="AW345" s="1">
        <v>46203</v>
      </c>
    </row>
    <row r="346" spans="1:49" x14ac:dyDescent="0.25">
      <c r="A346" s="9" t="s">
        <v>2014</v>
      </c>
      <c r="B346" s="10" t="s">
        <v>2140</v>
      </c>
      <c r="C346" s="10">
        <v>0</v>
      </c>
      <c r="D346" s="10" t="s">
        <v>91</v>
      </c>
      <c r="E346" s="10"/>
      <c r="F346" s="10"/>
      <c r="G346" s="10"/>
      <c r="H346" s="10" t="s">
        <v>52</v>
      </c>
      <c r="I346" s="10">
        <v>12</v>
      </c>
      <c r="J346" s="10" t="s">
        <v>2263</v>
      </c>
      <c r="K346" s="10" t="s">
        <v>42</v>
      </c>
      <c r="L346" s="10">
        <f>Table1[[#This Row],[ENR]]-Table1[[#This Row],[CREDIT]]</f>
        <v>-196920.99</v>
      </c>
      <c r="M346" s="36">
        <v>300000</v>
      </c>
      <c r="N346" s="26">
        <v>103079.01</v>
      </c>
      <c r="O346" s="38">
        <v>78469.990000000005</v>
      </c>
      <c r="P346" s="25">
        <v>24609.02</v>
      </c>
      <c r="Q346" s="25">
        <v>17554.32</v>
      </c>
      <c r="R346" s="10">
        <v>23260</v>
      </c>
      <c r="S346" s="39">
        <v>11190</v>
      </c>
      <c r="T346" s="10" t="s">
        <v>57</v>
      </c>
      <c r="U346" s="10" t="s">
        <v>13</v>
      </c>
      <c r="V346" s="10">
        <v>23260</v>
      </c>
      <c r="W346" s="25">
        <f>Table1[[#This Row],[STAB]]-Table1[[#This Row],[AMOUNT]]</f>
        <v>-12070</v>
      </c>
      <c r="X346" s="10" t="s">
        <v>4591</v>
      </c>
      <c r="Y346" s="10" t="s">
        <v>402</v>
      </c>
      <c r="Z346" s="10" t="s">
        <v>963</v>
      </c>
      <c r="AA346" s="10" t="s">
        <v>113</v>
      </c>
      <c r="AB346" s="36" t="s">
        <v>374</v>
      </c>
      <c r="AC346" s="10"/>
      <c r="AD346" s="9" t="s">
        <v>2385</v>
      </c>
      <c r="AE346" s="10" t="s">
        <v>2506</v>
      </c>
      <c r="AF346" s="10" t="s">
        <v>282</v>
      </c>
      <c r="AG346" s="10" t="s">
        <v>54</v>
      </c>
      <c r="AH346" s="10" t="s">
        <v>1398</v>
      </c>
      <c r="AI346" s="10" t="s">
        <v>162</v>
      </c>
      <c r="AJ346" s="10">
        <v>801772794</v>
      </c>
      <c r="AK346" s="10" t="s">
        <v>361</v>
      </c>
      <c r="AL346" s="10"/>
      <c r="AM346" s="10"/>
      <c r="AN346" s="11" t="s">
        <v>390</v>
      </c>
      <c r="AO346" s="10"/>
      <c r="AP346" s="10"/>
      <c r="AQ346" s="10"/>
      <c r="AR346" s="2">
        <v>46122</v>
      </c>
      <c r="AS346" s="10">
        <v>1</v>
      </c>
      <c r="AT346" s="10" t="s">
        <v>47</v>
      </c>
      <c r="AU346" s="10" t="s">
        <v>2622</v>
      </c>
      <c r="AV346" s="36" t="s">
        <v>2627</v>
      </c>
      <c r="AW346" s="1">
        <v>46203</v>
      </c>
    </row>
    <row r="347" spans="1:49" x14ac:dyDescent="0.25">
      <c r="A347" s="9" t="s">
        <v>1470</v>
      </c>
      <c r="B347" s="10" t="s">
        <v>1534</v>
      </c>
      <c r="C347" s="10">
        <v>0</v>
      </c>
      <c r="D347" s="10" t="s">
        <v>91</v>
      </c>
      <c r="E347" s="10"/>
      <c r="F347" s="10"/>
      <c r="G347" s="10"/>
      <c r="H347" s="10" t="s">
        <v>84</v>
      </c>
      <c r="I347" s="10">
        <v>12</v>
      </c>
      <c r="J347" s="10" t="s">
        <v>1598</v>
      </c>
      <c r="K347" s="10" t="s">
        <v>42</v>
      </c>
      <c r="L347" s="10">
        <f>Table1[[#This Row],[ENR]]-Table1[[#This Row],[CREDIT]]</f>
        <v>-18461.78</v>
      </c>
      <c r="M347" s="36">
        <v>120000</v>
      </c>
      <c r="N347" s="26">
        <v>101538.22</v>
      </c>
      <c r="O347" s="38" t="s">
        <v>43</v>
      </c>
      <c r="P347" s="25">
        <v>101538.22</v>
      </c>
      <c r="Q347" s="25">
        <v>95378.11</v>
      </c>
      <c r="R347" s="10">
        <v>13730</v>
      </c>
      <c r="S347" s="39">
        <v>6860</v>
      </c>
      <c r="T347" s="10" t="s">
        <v>57</v>
      </c>
      <c r="U347" s="10" t="s">
        <v>14</v>
      </c>
      <c r="V347" s="25">
        <v>6860</v>
      </c>
      <c r="W347" s="25">
        <f>Table1[[#This Row],[STAB]]-Table1[[#This Row],[AMOUNT]]</f>
        <v>0</v>
      </c>
      <c r="X347" s="10" t="s">
        <v>4591</v>
      </c>
      <c r="Y347" s="10" t="s">
        <v>402</v>
      </c>
      <c r="Z347" s="10" t="s">
        <v>403</v>
      </c>
      <c r="AA347" s="10" t="s">
        <v>113</v>
      </c>
      <c r="AB347" s="36" t="s">
        <v>374</v>
      </c>
      <c r="AC347" s="10"/>
      <c r="AD347" s="9" t="s">
        <v>1662</v>
      </c>
      <c r="AE347" s="10" t="s">
        <v>1725</v>
      </c>
      <c r="AF347" s="10" t="s">
        <v>272</v>
      </c>
      <c r="AG347" s="10" t="s">
        <v>54</v>
      </c>
      <c r="AH347" s="10" t="s">
        <v>357</v>
      </c>
      <c r="AI347" s="10" t="s">
        <v>1960</v>
      </c>
      <c r="AJ347" s="10">
        <v>801264672</v>
      </c>
      <c r="AK347" s="10" t="s">
        <v>1959</v>
      </c>
      <c r="AL347" s="10"/>
      <c r="AM347" s="10"/>
      <c r="AN347" s="11" t="s">
        <v>390</v>
      </c>
      <c r="AO347" s="10" t="s">
        <v>392</v>
      </c>
      <c r="AP347" s="10" t="s">
        <v>4593</v>
      </c>
      <c r="AQ347" s="10" t="s">
        <v>4591</v>
      </c>
      <c r="AR347" s="2">
        <v>45467</v>
      </c>
      <c r="AS347" s="10">
        <v>1941</v>
      </c>
      <c r="AT347" s="10" t="s">
        <v>47</v>
      </c>
      <c r="AU347" s="10" t="s">
        <v>1741</v>
      </c>
      <c r="AV347" s="36" t="s">
        <v>1797</v>
      </c>
      <c r="AW347" s="1">
        <v>46203</v>
      </c>
    </row>
    <row r="348" spans="1:49" x14ac:dyDescent="0.25">
      <c r="A348" s="9" t="s">
        <v>1423</v>
      </c>
      <c r="B348" s="10" t="s">
        <v>1490</v>
      </c>
      <c r="C348" s="10">
        <v>0</v>
      </c>
      <c r="D348" s="10" t="s">
        <v>91</v>
      </c>
      <c r="E348" s="10"/>
      <c r="F348" s="10"/>
      <c r="G348" s="10"/>
      <c r="H348" s="10" t="s">
        <v>52</v>
      </c>
      <c r="I348" s="10">
        <v>12</v>
      </c>
      <c r="J348" s="10" t="s">
        <v>1554</v>
      </c>
      <c r="K348" s="10" t="s">
        <v>244</v>
      </c>
      <c r="L348" s="10">
        <f>Table1[[#This Row],[ENR]]-Table1[[#This Row],[CREDIT]]</f>
        <v>1415.6499999999942</v>
      </c>
      <c r="M348" s="36">
        <v>100000</v>
      </c>
      <c r="N348" s="26">
        <v>101415.65</v>
      </c>
      <c r="O348" s="38">
        <v>85832.51</v>
      </c>
      <c r="P348" s="25">
        <v>15583.14</v>
      </c>
      <c r="Q348" s="25">
        <v>14428.74</v>
      </c>
      <c r="R348" s="10">
        <v>15583.14</v>
      </c>
      <c r="S348" s="39">
        <v>7441.64</v>
      </c>
      <c r="T348" s="10" t="s">
        <v>57</v>
      </c>
      <c r="U348" s="10" t="s">
        <v>14</v>
      </c>
      <c r="V348" s="25">
        <v>7583.14</v>
      </c>
      <c r="W348" s="25">
        <f>Table1[[#This Row],[STAB]]-Table1[[#This Row],[AMOUNT]]</f>
        <v>-141.5</v>
      </c>
      <c r="X348" s="10" t="s">
        <v>4591</v>
      </c>
      <c r="Y348" s="10" t="s">
        <v>402</v>
      </c>
      <c r="Z348" s="10" t="s">
        <v>403</v>
      </c>
      <c r="AA348" s="10" t="s">
        <v>113</v>
      </c>
      <c r="AB348" s="41" t="s">
        <v>376</v>
      </c>
      <c r="AC348" s="10"/>
      <c r="AD348" s="9" t="s">
        <v>1618</v>
      </c>
      <c r="AE348" s="10" t="s">
        <v>1681</v>
      </c>
      <c r="AF348" s="10" t="s">
        <v>685</v>
      </c>
      <c r="AG348" s="10" t="s">
        <v>54</v>
      </c>
      <c r="AH348" s="10" t="s">
        <v>1398</v>
      </c>
      <c r="AI348" s="10" t="s">
        <v>162</v>
      </c>
      <c r="AJ348" s="10">
        <v>801772794</v>
      </c>
      <c r="AK348" s="10" t="s">
        <v>361</v>
      </c>
      <c r="AL348" s="10"/>
      <c r="AM348" s="10"/>
      <c r="AN348" s="11" t="s">
        <v>390</v>
      </c>
      <c r="AO348" s="10"/>
      <c r="AP348" s="10"/>
      <c r="AQ348" s="10"/>
      <c r="AR348" s="2">
        <v>45485</v>
      </c>
      <c r="AS348" s="10">
        <v>8198</v>
      </c>
      <c r="AT348" s="10" t="s">
        <v>47</v>
      </c>
      <c r="AU348" s="10" t="s">
        <v>1741</v>
      </c>
      <c r="AV348" s="36" t="s">
        <v>1750</v>
      </c>
      <c r="AW348" s="1">
        <v>46203</v>
      </c>
    </row>
    <row r="349" spans="1:49" x14ac:dyDescent="0.25">
      <c r="A349" s="9" t="s">
        <v>2079</v>
      </c>
      <c r="B349" s="10" t="s">
        <v>2203</v>
      </c>
      <c r="C349" s="10">
        <v>0</v>
      </c>
      <c r="D349" s="10" t="s">
        <v>91</v>
      </c>
      <c r="E349" s="10"/>
      <c r="F349" s="10"/>
      <c r="G349" s="10"/>
      <c r="H349" s="10" t="s">
        <v>52</v>
      </c>
      <c r="I349" s="10">
        <v>12</v>
      </c>
      <c r="J349" s="10" t="s">
        <v>2325</v>
      </c>
      <c r="K349" s="10" t="s">
        <v>42</v>
      </c>
      <c r="L349" s="10">
        <f>Table1[[#This Row],[ENR]]-Table1[[#This Row],[CREDIT]]</f>
        <v>-639.86000000000058</v>
      </c>
      <c r="M349" s="36">
        <v>102000</v>
      </c>
      <c r="N349" s="26">
        <v>101360.14</v>
      </c>
      <c r="O349" s="38">
        <v>56537.43</v>
      </c>
      <c r="P349" s="25">
        <v>44822.71</v>
      </c>
      <c r="Q349" s="25">
        <v>39715.129999999997</v>
      </c>
      <c r="R349" s="10">
        <v>32780</v>
      </c>
      <c r="S349" s="39">
        <v>14893.98</v>
      </c>
      <c r="T349" s="10" t="s">
        <v>57</v>
      </c>
      <c r="U349" s="10" t="s">
        <v>14</v>
      </c>
      <c r="V349" s="25">
        <v>16000</v>
      </c>
      <c r="W349" s="25">
        <f>Table1[[#This Row],[STAB]]-Table1[[#This Row],[AMOUNT]]</f>
        <v>-1106.0200000000004</v>
      </c>
      <c r="X349" s="10" t="s">
        <v>4591</v>
      </c>
      <c r="Y349" s="10" t="s">
        <v>402</v>
      </c>
      <c r="Z349" s="10" t="s">
        <v>403</v>
      </c>
      <c r="AA349" s="10" t="s">
        <v>113</v>
      </c>
      <c r="AB349" s="41" t="s">
        <v>376</v>
      </c>
      <c r="AC349" s="10"/>
      <c r="AD349" s="9" t="s">
        <v>2448</v>
      </c>
      <c r="AE349" s="10" t="s">
        <v>2569</v>
      </c>
      <c r="AF349" s="10" t="s">
        <v>1738</v>
      </c>
      <c r="AG349" s="10" t="s">
        <v>324</v>
      </c>
      <c r="AH349" s="10" t="s">
        <v>1361</v>
      </c>
      <c r="AI349" s="10" t="s">
        <v>1404</v>
      </c>
      <c r="AJ349" s="10">
        <v>802852449</v>
      </c>
      <c r="AK349" s="10" t="s">
        <v>104</v>
      </c>
      <c r="AL349" s="10"/>
      <c r="AM349" s="10"/>
      <c r="AN349" s="11" t="s">
        <v>390</v>
      </c>
      <c r="AO349" s="10" t="s">
        <v>392</v>
      </c>
      <c r="AP349" s="10" t="s">
        <v>4555</v>
      </c>
      <c r="AQ349" s="10" t="s">
        <v>4535</v>
      </c>
      <c r="AR349" s="2">
        <v>45929</v>
      </c>
      <c r="AS349" s="10">
        <v>159995</v>
      </c>
      <c r="AT349" s="10" t="s">
        <v>47</v>
      </c>
      <c r="AU349" s="10" t="s">
        <v>2622</v>
      </c>
      <c r="AV349" s="36" t="s">
        <v>2692</v>
      </c>
      <c r="AW349" s="1">
        <v>46203</v>
      </c>
    </row>
    <row r="350" spans="1:49" x14ac:dyDescent="0.25">
      <c r="A350" s="9" t="s">
        <v>2056</v>
      </c>
      <c r="B350" s="10" t="s">
        <v>2180</v>
      </c>
      <c r="C350" s="10">
        <v>0</v>
      </c>
      <c r="D350" s="10" t="s">
        <v>91</v>
      </c>
      <c r="E350" s="10"/>
      <c r="F350" s="10"/>
      <c r="G350" s="10"/>
      <c r="H350" s="10" t="s">
        <v>52</v>
      </c>
      <c r="I350" s="10">
        <v>12</v>
      </c>
      <c r="J350" s="10" t="s">
        <v>2302</v>
      </c>
      <c r="K350" s="10" t="s">
        <v>42</v>
      </c>
      <c r="L350" s="10">
        <f>Table1[[#This Row],[ENR]]-Table1[[#This Row],[CREDIT]]</f>
        <v>-54.059999999997672</v>
      </c>
      <c r="M350" s="36">
        <v>100000</v>
      </c>
      <c r="N350" s="26">
        <v>99945.94</v>
      </c>
      <c r="O350" s="38">
        <v>66046.73</v>
      </c>
      <c r="P350" s="25">
        <v>33899.21</v>
      </c>
      <c r="Q350" s="25">
        <v>27108.81</v>
      </c>
      <c r="R350" s="10">
        <v>33899.21</v>
      </c>
      <c r="S350" s="39">
        <v>16837.849999999999</v>
      </c>
      <c r="T350" s="10" t="s">
        <v>44</v>
      </c>
      <c r="U350" s="10" t="s">
        <v>45</v>
      </c>
      <c r="V350" s="10">
        <v>0</v>
      </c>
      <c r="W350" s="25">
        <f>Table1[[#This Row],[STAB]]-Table1[[#This Row],[AMOUNT]]</f>
        <v>16837.849999999999</v>
      </c>
      <c r="X350" s="10">
        <v>0</v>
      </c>
      <c r="Y350" s="10" t="s">
        <v>79</v>
      </c>
      <c r="Z350" s="10">
        <v>0</v>
      </c>
      <c r="AA350" s="10" t="s">
        <v>113</v>
      </c>
      <c r="AB350" s="41" t="s">
        <v>376</v>
      </c>
      <c r="AC350" s="10"/>
      <c r="AD350" s="9" t="s">
        <v>2425</v>
      </c>
      <c r="AE350" s="10" t="s">
        <v>2546</v>
      </c>
      <c r="AF350" s="10" t="s">
        <v>272</v>
      </c>
      <c r="AG350" s="10" t="s">
        <v>54</v>
      </c>
      <c r="AH350" s="10" t="s">
        <v>357</v>
      </c>
      <c r="AI350" s="10" t="s">
        <v>1960</v>
      </c>
      <c r="AJ350" s="10">
        <v>801264672</v>
      </c>
      <c r="AK350" s="10" t="s">
        <v>1959</v>
      </c>
      <c r="AL350" s="10"/>
      <c r="AM350" s="10"/>
      <c r="AN350" s="11" t="s">
        <v>390</v>
      </c>
      <c r="AO350" s="10" t="s">
        <v>392</v>
      </c>
      <c r="AP350" s="10" t="s">
        <v>4632</v>
      </c>
      <c r="AQ350" s="10" t="s">
        <v>4601</v>
      </c>
      <c r="AR350" s="2">
        <v>45471</v>
      </c>
      <c r="AS350" s="10">
        <v>2725</v>
      </c>
      <c r="AT350" s="10" t="s">
        <v>47</v>
      </c>
      <c r="AU350" s="10" t="s">
        <v>2622</v>
      </c>
      <c r="AV350" s="36" t="s">
        <v>2669</v>
      </c>
      <c r="AW350" s="1">
        <v>46203</v>
      </c>
    </row>
    <row r="351" spans="1:49" x14ac:dyDescent="0.25">
      <c r="A351" s="9" t="s">
        <v>2080</v>
      </c>
      <c r="B351" s="10" t="s">
        <v>2204</v>
      </c>
      <c r="C351" s="10">
        <v>0</v>
      </c>
      <c r="D351" s="10" t="s">
        <v>91</v>
      </c>
      <c r="E351" s="10"/>
      <c r="F351" s="10"/>
      <c r="G351" s="10"/>
      <c r="H351" s="10" t="s">
        <v>52</v>
      </c>
      <c r="I351" s="10">
        <v>12</v>
      </c>
      <c r="J351" s="10" t="s">
        <v>2326</v>
      </c>
      <c r="K351" s="10" t="s">
        <v>42</v>
      </c>
      <c r="L351" s="10">
        <f>Table1[[#This Row],[ENR]]-Table1[[#This Row],[CREDIT]]</f>
        <v>6278.4499999999971</v>
      </c>
      <c r="M351" s="36">
        <v>90000</v>
      </c>
      <c r="N351" s="26">
        <v>96278.45</v>
      </c>
      <c r="O351" s="38">
        <v>28953.79</v>
      </c>
      <c r="P351" s="25">
        <v>67324.66</v>
      </c>
      <c r="Q351" s="25">
        <v>60286.93</v>
      </c>
      <c r="R351" s="10">
        <v>29630</v>
      </c>
      <c r="S351" s="39">
        <v>12190</v>
      </c>
      <c r="T351" s="10" t="s">
        <v>44</v>
      </c>
      <c r="U351" s="10" t="s">
        <v>45</v>
      </c>
      <c r="V351" s="10">
        <v>0</v>
      </c>
      <c r="W351" s="25">
        <f>Table1[[#This Row],[STAB]]-Table1[[#This Row],[AMOUNT]]</f>
        <v>12190</v>
      </c>
      <c r="X351" s="10">
        <v>0</v>
      </c>
      <c r="Y351" s="10" t="s">
        <v>79</v>
      </c>
      <c r="Z351" s="10">
        <v>0</v>
      </c>
      <c r="AA351" s="10" t="s">
        <v>113</v>
      </c>
      <c r="AB351" s="36" t="s">
        <v>374</v>
      </c>
      <c r="AC351" s="10"/>
      <c r="AD351" s="9" t="s">
        <v>2449</v>
      </c>
      <c r="AE351" s="10" t="s">
        <v>2570</v>
      </c>
      <c r="AF351" s="10" t="s">
        <v>501</v>
      </c>
      <c r="AG351" s="10" t="s">
        <v>53</v>
      </c>
      <c r="AH351" s="10" t="s">
        <v>116</v>
      </c>
      <c r="AI351" s="10" t="s">
        <v>2961</v>
      </c>
      <c r="AJ351" s="10">
        <v>845041675</v>
      </c>
      <c r="AK351" s="10" t="s">
        <v>104</v>
      </c>
      <c r="AL351" s="10"/>
      <c r="AM351" s="10"/>
      <c r="AN351" s="11" t="s">
        <v>46</v>
      </c>
      <c r="AO351" s="10"/>
      <c r="AP351" s="10"/>
      <c r="AQ351" s="10"/>
      <c r="AR351" s="2">
        <v>45501</v>
      </c>
      <c r="AS351" s="10">
        <v>5586.9</v>
      </c>
      <c r="AT351" s="10" t="s">
        <v>47</v>
      </c>
      <c r="AU351" s="10" t="s">
        <v>2622</v>
      </c>
      <c r="AV351" s="36" t="s">
        <v>2693</v>
      </c>
      <c r="AW351" s="1">
        <v>46203</v>
      </c>
    </row>
    <row r="352" spans="1:49" x14ac:dyDescent="0.25">
      <c r="A352" s="9" t="s">
        <v>2049</v>
      </c>
      <c r="B352" s="10" t="s">
        <v>2174</v>
      </c>
      <c r="C352" s="10">
        <v>0</v>
      </c>
      <c r="D352" s="10" t="s">
        <v>91</v>
      </c>
      <c r="E352" s="10"/>
      <c r="F352" s="10"/>
      <c r="G352" s="10"/>
      <c r="H352" s="10" t="s">
        <v>52</v>
      </c>
      <c r="I352" s="10">
        <v>12</v>
      </c>
      <c r="J352" s="10" t="s">
        <v>2296</v>
      </c>
      <c r="K352" s="10" t="s">
        <v>42</v>
      </c>
      <c r="L352" s="10">
        <f>Table1[[#This Row],[ENR]]-Table1[[#This Row],[CREDIT]]</f>
        <v>11116.490000000005</v>
      </c>
      <c r="M352" s="36">
        <v>85000</v>
      </c>
      <c r="N352" s="26">
        <v>96116.49</v>
      </c>
      <c r="O352" s="38" t="s">
        <v>43</v>
      </c>
      <c r="P352" s="25">
        <v>96116.49</v>
      </c>
      <c r="Q352" s="25">
        <v>84802.67</v>
      </c>
      <c r="R352" s="10">
        <v>29890</v>
      </c>
      <c r="S352" s="39">
        <v>15250</v>
      </c>
      <c r="T352" s="10" t="s">
        <v>44</v>
      </c>
      <c r="U352" s="10" t="s">
        <v>45</v>
      </c>
      <c r="V352" s="10">
        <v>0</v>
      </c>
      <c r="W352" s="25">
        <f>Table1[[#This Row],[STAB]]-Table1[[#This Row],[AMOUNT]]</f>
        <v>15250</v>
      </c>
      <c r="X352" s="10">
        <v>0</v>
      </c>
      <c r="Y352" s="10" t="s">
        <v>79</v>
      </c>
      <c r="Z352" s="10">
        <v>0</v>
      </c>
      <c r="AA352" s="10" t="s">
        <v>113</v>
      </c>
      <c r="AB352" s="36" t="s">
        <v>375</v>
      </c>
      <c r="AC352" s="10"/>
      <c r="AD352" s="9" t="s">
        <v>2419</v>
      </c>
      <c r="AE352" s="10" t="s">
        <v>2540</v>
      </c>
      <c r="AF352" s="10" t="s">
        <v>1738</v>
      </c>
      <c r="AG352" s="10" t="s">
        <v>324</v>
      </c>
      <c r="AH352" s="10" t="s">
        <v>1361</v>
      </c>
      <c r="AI352" s="10" t="s">
        <v>370</v>
      </c>
      <c r="AJ352" s="10">
        <v>801448854</v>
      </c>
      <c r="AK352" s="10" t="s">
        <v>105</v>
      </c>
      <c r="AL352" s="10"/>
      <c r="AM352" s="10"/>
      <c r="AN352" s="11" t="s">
        <v>390</v>
      </c>
      <c r="AO352" s="10" t="s">
        <v>398</v>
      </c>
      <c r="AP352" s="10" t="s">
        <v>4981</v>
      </c>
      <c r="AQ352" s="10" t="s">
        <v>4923</v>
      </c>
      <c r="AR352" s="2">
        <v>45626</v>
      </c>
      <c r="AS352" s="10">
        <v>20731.48</v>
      </c>
      <c r="AT352" s="10" t="s">
        <v>47</v>
      </c>
      <c r="AU352" s="10" t="s">
        <v>2622</v>
      </c>
      <c r="AV352" s="36" t="s">
        <v>2662</v>
      </c>
      <c r="AW352" s="1">
        <v>46203</v>
      </c>
    </row>
    <row r="353" spans="1:49" x14ac:dyDescent="0.25">
      <c r="A353" s="9" t="s">
        <v>1477</v>
      </c>
      <c r="B353" s="10" t="s">
        <v>1541</v>
      </c>
      <c r="C353" s="10">
        <v>0</v>
      </c>
      <c r="D353" s="10" t="s">
        <v>91</v>
      </c>
      <c r="E353" s="10"/>
      <c r="F353" s="10"/>
      <c r="G353" s="10"/>
      <c r="H353" s="10" t="s">
        <v>52</v>
      </c>
      <c r="I353" s="10">
        <v>12</v>
      </c>
      <c r="J353" s="10" t="s">
        <v>1605</v>
      </c>
      <c r="K353" s="10" t="s">
        <v>42</v>
      </c>
      <c r="L353" s="10">
        <f>Table1[[#This Row],[ENR]]-Table1[[#This Row],[CREDIT]]</f>
        <v>-45027.45</v>
      </c>
      <c r="M353" s="36">
        <v>140000</v>
      </c>
      <c r="N353" s="26">
        <v>94972.55</v>
      </c>
      <c r="O353" s="38" t="s">
        <v>43</v>
      </c>
      <c r="P353" s="25">
        <v>94972.55</v>
      </c>
      <c r="Q353" s="25">
        <v>87090.55</v>
      </c>
      <c r="R353" s="10">
        <v>16380</v>
      </c>
      <c r="S353" s="39">
        <v>6590</v>
      </c>
      <c r="T353" s="10" t="s">
        <v>44</v>
      </c>
      <c r="U353" s="10" t="s">
        <v>45</v>
      </c>
      <c r="V353" s="10">
        <v>0</v>
      </c>
      <c r="W353" s="25">
        <f>Table1[[#This Row],[STAB]]-Table1[[#This Row],[AMOUNT]]</f>
        <v>6590</v>
      </c>
      <c r="X353" s="10">
        <v>0</v>
      </c>
      <c r="Y353" s="10" t="s">
        <v>79</v>
      </c>
      <c r="Z353" s="10">
        <v>0</v>
      </c>
      <c r="AA353" s="10" t="s">
        <v>113</v>
      </c>
      <c r="AB353" s="36" t="s">
        <v>375</v>
      </c>
      <c r="AC353" s="10"/>
      <c r="AD353" s="9" t="s">
        <v>1669</v>
      </c>
      <c r="AE353" s="10" t="s">
        <v>1732</v>
      </c>
      <c r="AF353" s="10" t="s">
        <v>498</v>
      </c>
      <c r="AG353" s="10" t="s">
        <v>53</v>
      </c>
      <c r="AH353" s="10" t="s">
        <v>90</v>
      </c>
      <c r="AI353" s="10" t="s">
        <v>162</v>
      </c>
      <c r="AJ353" s="10">
        <v>801772794</v>
      </c>
      <c r="AK353" s="10" t="s">
        <v>361</v>
      </c>
      <c r="AL353" s="10"/>
      <c r="AM353" s="10"/>
      <c r="AN353" s="11" t="s">
        <v>390</v>
      </c>
      <c r="AO353" s="10" t="s">
        <v>392</v>
      </c>
      <c r="AP353" s="10" t="s">
        <v>4550</v>
      </c>
      <c r="AQ353" s="10" t="s">
        <v>1989</v>
      </c>
      <c r="AR353" s="2">
        <v>46110</v>
      </c>
      <c r="AS353" s="10">
        <v>43542</v>
      </c>
      <c r="AT353" s="10" t="s">
        <v>47</v>
      </c>
      <c r="AU353" s="10" t="s">
        <v>1741</v>
      </c>
      <c r="AV353" s="36" t="s">
        <v>1804</v>
      </c>
      <c r="AW353" s="1">
        <v>46203</v>
      </c>
    </row>
    <row r="354" spans="1:49" x14ac:dyDescent="0.25">
      <c r="A354" s="9" t="s">
        <v>2069</v>
      </c>
      <c r="B354" s="10" t="s">
        <v>2193</v>
      </c>
      <c r="C354" s="10">
        <v>0</v>
      </c>
      <c r="D354" s="10" t="s">
        <v>91</v>
      </c>
      <c r="E354" s="10"/>
      <c r="F354" s="10"/>
      <c r="G354" s="10"/>
      <c r="H354" s="10" t="s">
        <v>52</v>
      </c>
      <c r="I354" s="10">
        <v>12</v>
      </c>
      <c r="J354" s="10" t="s">
        <v>2315</v>
      </c>
      <c r="K354" s="10" t="s">
        <v>460</v>
      </c>
      <c r="L354" s="10">
        <f>Table1[[#This Row],[ENR]]-Table1[[#This Row],[CREDIT]]</f>
        <v>-275958.32</v>
      </c>
      <c r="M354" s="36">
        <v>370000</v>
      </c>
      <c r="N354" s="26">
        <v>94041.68</v>
      </c>
      <c r="O354" s="38">
        <v>14768.44</v>
      </c>
      <c r="P354" s="25">
        <v>79273.240000000005</v>
      </c>
      <c r="Q354" s="25">
        <v>71961.899999999994</v>
      </c>
      <c r="R354" s="10">
        <v>37980</v>
      </c>
      <c r="S354" s="39">
        <v>24950</v>
      </c>
      <c r="T354" s="10" t="s">
        <v>44</v>
      </c>
      <c r="U354" s="10" t="s">
        <v>45</v>
      </c>
      <c r="V354" s="10">
        <v>0</v>
      </c>
      <c r="W354" s="25">
        <f>Table1[[#This Row],[STAB]]-Table1[[#This Row],[AMOUNT]]</f>
        <v>24950</v>
      </c>
      <c r="X354" s="10">
        <v>0</v>
      </c>
      <c r="Y354" s="10" t="s">
        <v>79</v>
      </c>
      <c r="Z354" s="10">
        <v>0</v>
      </c>
      <c r="AA354" s="10" t="s">
        <v>113</v>
      </c>
      <c r="AB354" s="10" t="s">
        <v>133</v>
      </c>
      <c r="AC354" s="10"/>
      <c r="AD354" s="9" t="s">
        <v>2438</v>
      </c>
      <c r="AE354" s="10" t="s">
        <v>2559</v>
      </c>
      <c r="AF354" s="10" t="s">
        <v>286</v>
      </c>
      <c r="AG354" s="10" t="s">
        <v>54</v>
      </c>
      <c r="AH354" s="10" t="s">
        <v>723</v>
      </c>
      <c r="AI354" s="10" t="s">
        <v>369</v>
      </c>
      <c r="AJ354" s="10">
        <v>802823180</v>
      </c>
      <c r="AK354" s="10" t="s">
        <v>105</v>
      </c>
      <c r="AL354" s="10"/>
      <c r="AM354" s="10"/>
      <c r="AN354" s="11" t="s">
        <v>46</v>
      </c>
      <c r="AO354" s="10"/>
      <c r="AP354" s="10"/>
      <c r="AQ354" s="10"/>
      <c r="AR354" s="2">
        <v>46000</v>
      </c>
      <c r="AS354" s="10">
        <v>1000</v>
      </c>
      <c r="AT354" s="10" t="s">
        <v>47</v>
      </c>
      <c r="AU354" s="10" t="s">
        <v>2622</v>
      </c>
      <c r="AV354" s="36" t="s">
        <v>2682</v>
      </c>
      <c r="AW354" s="1">
        <v>46203</v>
      </c>
    </row>
    <row r="355" spans="1:49" x14ac:dyDescent="0.25">
      <c r="A355" s="9" t="s">
        <v>1453</v>
      </c>
      <c r="B355" s="10" t="s">
        <v>1517</v>
      </c>
      <c r="C355" s="10">
        <v>0</v>
      </c>
      <c r="D355" s="10" t="s">
        <v>91</v>
      </c>
      <c r="E355" s="10"/>
      <c r="F355" s="10"/>
      <c r="G355" s="10"/>
      <c r="H355" s="10" t="s">
        <v>52</v>
      </c>
      <c r="I355" s="10">
        <v>12</v>
      </c>
      <c r="J355" s="10" t="s">
        <v>1581</v>
      </c>
      <c r="K355" s="10" t="s">
        <v>42</v>
      </c>
      <c r="L355" s="10">
        <f>Table1[[#This Row],[ENR]]-Table1[[#This Row],[CREDIT]]</f>
        <v>3960.8300000000017</v>
      </c>
      <c r="M355" s="36">
        <v>90000</v>
      </c>
      <c r="N355" s="26">
        <v>93960.83</v>
      </c>
      <c r="O355" s="38">
        <v>69633.88</v>
      </c>
      <c r="P355" s="25">
        <v>24326.95</v>
      </c>
      <c r="Q355" s="25">
        <v>18876.82</v>
      </c>
      <c r="R355" s="10">
        <v>13300</v>
      </c>
      <c r="S355" s="39">
        <v>6050</v>
      </c>
      <c r="T355" s="10" t="s">
        <v>57</v>
      </c>
      <c r="U355" s="10" t="s">
        <v>13</v>
      </c>
      <c r="V355" s="10">
        <v>24326.95</v>
      </c>
      <c r="W355" s="25">
        <f>Table1[[#This Row],[STAB]]-Table1[[#This Row],[AMOUNT]]</f>
        <v>-18276.95</v>
      </c>
      <c r="X355" s="10" t="s">
        <v>4566</v>
      </c>
      <c r="Y355" s="10" t="s">
        <v>402</v>
      </c>
      <c r="Z355" s="10" t="s">
        <v>403</v>
      </c>
      <c r="AA355" s="10" t="s">
        <v>113</v>
      </c>
      <c r="AB355" s="41" t="s">
        <v>376</v>
      </c>
      <c r="AC355" s="10"/>
      <c r="AD355" s="9" t="s">
        <v>1645</v>
      </c>
      <c r="AE355" s="10" t="s">
        <v>1708</v>
      </c>
      <c r="AF355" s="10" t="s">
        <v>287</v>
      </c>
      <c r="AG355" s="10" t="s">
        <v>324</v>
      </c>
      <c r="AH355" s="10" t="s">
        <v>56</v>
      </c>
      <c r="AI355" s="10" t="s">
        <v>370</v>
      </c>
      <c r="AJ355" s="10">
        <v>801448854</v>
      </c>
      <c r="AK355" s="10" t="s">
        <v>105</v>
      </c>
      <c r="AL355" s="10"/>
      <c r="AM355" s="10"/>
      <c r="AN355" s="11" t="s">
        <v>390</v>
      </c>
      <c r="AO355" s="10"/>
      <c r="AP355" s="10"/>
      <c r="AQ355" s="10"/>
      <c r="AR355" s="2">
        <v>45665</v>
      </c>
      <c r="AS355" s="10">
        <v>10000</v>
      </c>
      <c r="AT355" s="10" t="s">
        <v>47</v>
      </c>
      <c r="AU355" s="10" t="s">
        <v>1741</v>
      </c>
      <c r="AV355" s="36" t="s">
        <v>1780</v>
      </c>
      <c r="AW355" s="1">
        <v>46203</v>
      </c>
    </row>
    <row r="356" spans="1:49" x14ac:dyDescent="0.25">
      <c r="A356" s="9" t="s">
        <v>2012</v>
      </c>
      <c r="B356" s="10" t="s">
        <v>2138</v>
      </c>
      <c r="C356" s="10">
        <v>0</v>
      </c>
      <c r="D356" s="10" t="s">
        <v>91</v>
      </c>
      <c r="E356" s="10"/>
      <c r="F356" s="10"/>
      <c r="G356" s="10"/>
      <c r="H356" s="10" t="s">
        <v>52</v>
      </c>
      <c r="I356" s="10">
        <v>12</v>
      </c>
      <c r="J356" s="10" t="s">
        <v>2261</v>
      </c>
      <c r="K356" s="10" t="s">
        <v>42</v>
      </c>
      <c r="L356" s="10">
        <f>Table1[[#This Row],[ENR]]-Table1[[#This Row],[CREDIT]]</f>
        <v>-8205.3699999999953</v>
      </c>
      <c r="M356" s="36">
        <v>100000</v>
      </c>
      <c r="N356" s="26">
        <v>91794.63</v>
      </c>
      <c r="O356" s="38" t="s">
        <v>43</v>
      </c>
      <c r="P356" s="25">
        <v>91794.63</v>
      </c>
      <c r="Q356" s="25">
        <v>81395.839999999997</v>
      </c>
      <c r="R356" s="10">
        <v>15590</v>
      </c>
      <c r="S356" s="39">
        <v>6260</v>
      </c>
      <c r="T356" s="10" t="s">
        <v>57</v>
      </c>
      <c r="U356" s="10" t="s">
        <v>14</v>
      </c>
      <c r="V356" s="25">
        <v>6300</v>
      </c>
      <c r="W356" s="25">
        <f>Table1[[#This Row],[STAB]]-Table1[[#This Row],[AMOUNT]]</f>
        <v>-40</v>
      </c>
      <c r="X356" s="10" t="s">
        <v>4619</v>
      </c>
      <c r="Y356" s="10" t="s">
        <v>402</v>
      </c>
      <c r="Z356" s="10" t="s">
        <v>403</v>
      </c>
      <c r="AA356" s="10" t="s">
        <v>113</v>
      </c>
      <c r="AB356" s="36" t="s">
        <v>132</v>
      </c>
      <c r="AC356" s="10"/>
      <c r="AD356" s="9" t="s">
        <v>2383</v>
      </c>
      <c r="AE356" s="10" t="s">
        <v>2504</v>
      </c>
      <c r="AF356" s="10" t="s">
        <v>281</v>
      </c>
      <c r="AG356" s="10" t="s">
        <v>54</v>
      </c>
      <c r="AH356" s="10" t="s">
        <v>724</v>
      </c>
      <c r="AI356" s="10" t="s">
        <v>365</v>
      </c>
      <c r="AJ356" s="10">
        <v>802824019</v>
      </c>
      <c r="AK356" s="10" t="s">
        <v>360</v>
      </c>
      <c r="AL356" s="10"/>
      <c r="AM356" s="10"/>
      <c r="AN356" s="11" t="s">
        <v>390</v>
      </c>
      <c r="AO356" s="10" t="s">
        <v>392</v>
      </c>
      <c r="AP356" s="10" t="s">
        <v>4626</v>
      </c>
      <c r="AQ356" s="10" t="s">
        <v>4619</v>
      </c>
      <c r="AR356" s="2">
        <v>46078</v>
      </c>
      <c r="AS356" s="10">
        <v>50000</v>
      </c>
      <c r="AT356" s="10" t="s">
        <v>47</v>
      </c>
      <c r="AU356" s="10" t="s">
        <v>2622</v>
      </c>
      <c r="AV356" s="36" t="s">
        <v>2625</v>
      </c>
      <c r="AW356" s="1">
        <v>46203</v>
      </c>
    </row>
    <row r="357" spans="1:49" x14ac:dyDescent="0.25">
      <c r="A357" s="9" t="s">
        <v>2081</v>
      </c>
      <c r="B357" s="10" t="s">
        <v>2205</v>
      </c>
      <c r="C357" s="10">
        <v>0</v>
      </c>
      <c r="D357" s="10" t="s">
        <v>95</v>
      </c>
      <c r="E357" s="10">
        <v>1</v>
      </c>
      <c r="F357" s="10" t="s">
        <v>112</v>
      </c>
      <c r="G357" s="10" t="s">
        <v>4945</v>
      </c>
      <c r="H357" s="10" t="s">
        <v>52</v>
      </c>
      <c r="I357" s="10">
        <v>12</v>
      </c>
      <c r="J357" s="10" t="s">
        <v>2327</v>
      </c>
      <c r="K357" s="10" t="s">
        <v>42</v>
      </c>
      <c r="L357" s="10">
        <f>Table1[[#This Row],[ENR]]-Table1[[#This Row],[CREDIT]]</f>
        <v>65563.070000000007</v>
      </c>
      <c r="M357" s="36">
        <v>24000</v>
      </c>
      <c r="N357" s="26">
        <v>89563.07</v>
      </c>
      <c r="O357" s="38" t="s">
        <v>43</v>
      </c>
      <c r="P357" s="25">
        <v>89563.07</v>
      </c>
      <c r="Q357" s="25">
        <v>83170.02</v>
      </c>
      <c r="R357" s="10">
        <v>70130</v>
      </c>
      <c r="S357" s="39">
        <v>60530</v>
      </c>
      <c r="T357" s="10" t="s">
        <v>44</v>
      </c>
      <c r="U357" s="10" t="s">
        <v>45</v>
      </c>
      <c r="V357" s="10">
        <v>0</v>
      </c>
      <c r="W357" s="25">
        <f>Table1[[#This Row],[STAB]]-Table1[[#This Row],[AMOUNT]]</f>
        <v>60530</v>
      </c>
      <c r="X357" s="10">
        <v>0</v>
      </c>
      <c r="Y357" s="10" t="s">
        <v>79</v>
      </c>
      <c r="Z357" s="10">
        <v>0</v>
      </c>
      <c r="AA357" s="10" t="s">
        <v>113</v>
      </c>
      <c r="AB357" s="36" t="s">
        <v>131</v>
      </c>
      <c r="AC357" s="10"/>
      <c r="AD357" s="9" t="s">
        <v>2450</v>
      </c>
      <c r="AE357" s="10" t="s">
        <v>2571</v>
      </c>
      <c r="AF357" s="10" t="s">
        <v>500</v>
      </c>
      <c r="AG357" s="10" t="s">
        <v>324</v>
      </c>
      <c r="AH357" s="10" t="s">
        <v>355</v>
      </c>
      <c r="AI357" s="10" t="s">
        <v>372</v>
      </c>
      <c r="AJ357" s="10">
        <v>801597759</v>
      </c>
      <c r="AK357" s="10" t="s">
        <v>362</v>
      </c>
      <c r="AL357" s="10"/>
      <c r="AM357" s="10"/>
      <c r="AN357" s="11" t="s">
        <v>46</v>
      </c>
      <c r="AO357" s="10"/>
      <c r="AP357" s="10"/>
      <c r="AQ357" s="10"/>
      <c r="AR357" s="2">
        <v>45653</v>
      </c>
      <c r="AS357" s="10">
        <v>24700</v>
      </c>
      <c r="AT357" s="10" t="s">
        <v>47</v>
      </c>
      <c r="AU357" s="10" t="s">
        <v>2622</v>
      </c>
      <c r="AV357" s="36" t="s">
        <v>2694</v>
      </c>
      <c r="AW357" s="1">
        <v>46203</v>
      </c>
    </row>
    <row r="358" spans="1:49" x14ac:dyDescent="0.25">
      <c r="A358" s="9" t="s">
        <v>2059</v>
      </c>
      <c r="B358" s="10" t="s">
        <v>2183</v>
      </c>
      <c r="C358" s="10">
        <v>0</v>
      </c>
      <c r="D358" s="10" t="s">
        <v>91</v>
      </c>
      <c r="E358" s="10"/>
      <c r="F358" s="10"/>
      <c r="G358" s="10"/>
      <c r="H358" s="10" t="s">
        <v>52</v>
      </c>
      <c r="I358" s="10">
        <v>12</v>
      </c>
      <c r="J358" s="10" t="s">
        <v>2305</v>
      </c>
      <c r="K358" s="10" t="s">
        <v>42</v>
      </c>
      <c r="L358" s="10">
        <f>Table1[[#This Row],[ENR]]-Table1[[#This Row],[CREDIT]]</f>
        <v>9487.7100000000064</v>
      </c>
      <c r="M358" s="36">
        <v>80000</v>
      </c>
      <c r="N358" s="26">
        <v>89487.71</v>
      </c>
      <c r="O358" s="38" t="s">
        <v>43</v>
      </c>
      <c r="P358" s="25">
        <v>89487.71</v>
      </c>
      <c r="Q358" s="25">
        <v>80138.509999999995</v>
      </c>
      <c r="R358" s="10">
        <v>23570</v>
      </c>
      <c r="S358" s="39">
        <v>9550</v>
      </c>
      <c r="T358" s="10" t="s">
        <v>57</v>
      </c>
      <c r="U358" s="10" t="s">
        <v>14</v>
      </c>
      <c r="V358" s="25">
        <v>9864</v>
      </c>
      <c r="W358" s="25">
        <f>Table1[[#This Row],[STAB]]-Table1[[#This Row],[AMOUNT]]</f>
        <v>-314</v>
      </c>
      <c r="X358" s="10" t="s">
        <v>4923</v>
      </c>
      <c r="Y358" s="10" t="s">
        <v>402</v>
      </c>
      <c r="Z358" s="10" t="s">
        <v>403</v>
      </c>
      <c r="AA358" s="10" t="s">
        <v>113</v>
      </c>
      <c r="AB358" s="36" t="s">
        <v>131</v>
      </c>
      <c r="AC358" s="10"/>
      <c r="AD358" s="9" t="s">
        <v>2428</v>
      </c>
      <c r="AE358" s="10" t="s">
        <v>2549</v>
      </c>
      <c r="AF358" s="10" t="s">
        <v>1102</v>
      </c>
      <c r="AG358" s="10" t="s">
        <v>324</v>
      </c>
      <c r="AH358" s="10" t="s">
        <v>1956</v>
      </c>
      <c r="AI358" s="10" t="s">
        <v>1403</v>
      </c>
      <c r="AJ358" s="10">
        <v>802631601</v>
      </c>
      <c r="AK358" s="10" t="s">
        <v>362</v>
      </c>
      <c r="AL358" s="10"/>
      <c r="AM358" s="10"/>
      <c r="AN358" s="11" t="s">
        <v>390</v>
      </c>
      <c r="AO358" s="10" t="s">
        <v>394</v>
      </c>
      <c r="AP358" s="10" t="s">
        <v>4610</v>
      </c>
      <c r="AQ358" s="10" t="s">
        <v>4591</v>
      </c>
      <c r="AR358" s="2">
        <v>45453</v>
      </c>
      <c r="AS358" s="10">
        <v>484</v>
      </c>
      <c r="AT358" s="10" t="s">
        <v>47</v>
      </c>
      <c r="AU358" s="10" t="s">
        <v>2622</v>
      </c>
      <c r="AV358" s="36" t="s">
        <v>2672</v>
      </c>
      <c r="AW358" s="1">
        <v>46203</v>
      </c>
    </row>
    <row r="359" spans="1:49" x14ac:dyDescent="0.25">
      <c r="A359" s="9" t="s">
        <v>2057</v>
      </c>
      <c r="B359" s="10" t="s">
        <v>2181</v>
      </c>
      <c r="C359" s="10">
        <v>0</v>
      </c>
      <c r="D359" s="10" t="s">
        <v>91</v>
      </c>
      <c r="E359" s="10"/>
      <c r="F359" s="10"/>
      <c r="G359" s="10"/>
      <c r="H359" s="10" t="s">
        <v>84</v>
      </c>
      <c r="I359" s="10">
        <v>12</v>
      </c>
      <c r="J359" s="10" t="s">
        <v>2303</v>
      </c>
      <c r="K359" s="10" t="s">
        <v>42</v>
      </c>
      <c r="L359" s="10">
        <f>Table1[[#This Row],[ENR]]-Table1[[#This Row],[CREDIT]]</f>
        <v>5980.8800000000047</v>
      </c>
      <c r="M359" s="36">
        <v>80000</v>
      </c>
      <c r="N359" s="26">
        <v>85980.88</v>
      </c>
      <c r="O359" s="38" t="s">
        <v>43</v>
      </c>
      <c r="P359" s="25">
        <v>85980.88</v>
      </c>
      <c r="Q359" s="25">
        <v>79383.19</v>
      </c>
      <c r="R359" s="10">
        <v>22500</v>
      </c>
      <c r="S359" s="39">
        <v>13790</v>
      </c>
      <c r="T359" s="10" t="s">
        <v>57</v>
      </c>
      <c r="U359" s="10" t="s">
        <v>14</v>
      </c>
      <c r="V359" s="25">
        <v>13800</v>
      </c>
      <c r="W359" s="25">
        <f>Table1[[#This Row],[STAB]]-Table1[[#This Row],[AMOUNT]]</f>
        <v>-10</v>
      </c>
      <c r="X359" s="10" t="s">
        <v>4936</v>
      </c>
      <c r="Y359" s="10" t="s">
        <v>396</v>
      </c>
      <c r="Z359" s="10" t="s">
        <v>403</v>
      </c>
      <c r="AA359" s="10" t="s">
        <v>113</v>
      </c>
      <c r="AB359" s="36" t="s">
        <v>132</v>
      </c>
      <c r="AC359" s="10"/>
      <c r="AD359" s="9" t="s">
        <v>2426</v>
      </c>
      <c r="AE359" s="10" t="s">
        <v>2547</v>
      </c>
      <c r="AF359" s="10" t="s">
        <v>1319</v>
      </c>
      <c r="AG359" s="10" t="s">
        <v>54</v>
      </c>
      <c r="AH359" s="10" t="s">
        <v>93</v>
      </c>
      <c r="AI359" s="10" t="s">
        <v>364</v>
      </c>
      <c r="AJ359" s="10">
        <v>802663344</v>
      </c>
      <c r="AK359" s="10" t="s">
        <v>105</v>
      </c>
      <c r="AL359" s="10"/>
      <c r="AM359" s="10"/>
      <c r="AN359" s="11" t="s">
        <v>390</v>
      </c>
      <c r="AO359" s="10" t="s">
        <v>392</v>
      </c>
      <c r="AP359" s="10" t="s">
        <v>4634</v>
      </c>
      <c r="AQ359" s="10" t="s">
        <v>4601</v>
      </c>
      <c r="AR359" s="2">
        <v>45448</v>
      </c>
      <c r="AS359" s="10">
        <v>5680</v>
      </c>
      <c r="AT359" s="10" t="s">
        <v>47</v>
      </c>
      <c r="AU359" s="10" t="s">
        <v>2622</v>
      </c>
      <c r="AV359" s="36" t="s">
        <v>2670</v>
      </c>
      <c r="AW359" s="1">
        <v>46203</v>
      </c>
    </row>
    <row r="360" spans="1:49" x14ac:dyDescent="0.25">
      <c r="A360" s="9" t="s">
        <v>2061</v>
      </c>
      <c r="B360" s="10" t="s">
        <v>2185</v>
      </c>
      <c r="C360" s="10">
        <v>0</v>
      </c>
      <c r="D360" s="10" t="s">
        <v>91</v>
      </c>
      <c r="E360" s="10"/>
      <c r="F360" s="10"/>
      <c r="G360" s="10"/>
      <c r="H360" s="10" t="s">
        <v>52</v>
      </c>
      <c r="I360" s="10">
        <v>12</v>
      </c>
      <c r="J360" s="10" t="s">
        <v>2307</v>
      </c>
      <c r="K360" s="10" t="s">
        <v>42</v>
      </c>
      <c r="L360" s="10">
        <f>Table1[[#This Row],[ENR]]-Table1[[#This Row],[CREDIT]]</f>
        <v>-217290.01</v>
      </c>
      <c r="M360" s="36">
        <v>300000</v>
      </c>
      <c r="N360" s="26">
        <v>82709.990000000005</v>
      </c>
      <c r="O360" s="38">
        <v>69070.22</v>
      </c>
      <c r="P360" s="25">
        <v>13639.77</v>
      </c>
      <c r="Q360" s="25">
        <v>10908.3</v>
      </c>
      <c r="R360" s="10">
        <v>13639.77</v>
      </c>
      <c r="S360" s="39">
        <v>8176.52</v>
      </c>
      <c r="T360" s="10" t="s">
        <v>57</v>
      </c>
      <c r="U360" s="10" t="s">
        <v>13</v>
      </c>
      <c r="V360" s="10">
        <v>13639.77</v>
      </c>
      <c r="W360" s="25">
        <f>Table1[[#This Row],[STAB]]-Table1[[#This Row],[AMOUNT]]</f>
        <v>-5463.25</v>
      </c>
      <c r="X360" s="10" t="s">
        <v>4619</v>
      </c>
      <c r="Y360" s="10" t="s">
        <v>402</v>
      </c>
      <c r="Z360" s="10" t="s">
        <v>403</v>
      </c>
      <c r="AA360" s="10" t="s">
        <v>113</v>
      </c>
      <c r="AB360" s="10" t="s">
        <v>133</v>
      </c>
      <c r="AC360" s="10"/>
      <c r="AD360" s="9" t="s">
        <v>2430</v>
      </c>
      <c r="AE360" s="10" t="s">
        <v>2551</v>
      </c>
      <c r="AF360" s="10" t="s">
        <v>273</v>
      </c>
      <c r="AG360" s="10" t="s">
        <v>323</v>
      </c>
      <c r="AH360" s="10" t="s">
        <v>352</v>
      </c>
      <c r="AI360" s="10" t="s">
        <v>363</v>
      </c>
      <c r="AJ360" s="10">
        <v>802913252</v>
      </c>
      <c r="AK360" s="10" t="s">
        <v>104</v>
      </c>
      <c r="AL360" s="10"/>
      <c r="AM360" s="10"/>
      <c r="AN360" s="11" t="s">
        <v>390</v>
      </c>
      <c r="AO360" s="10"/>
      <c r="AP360" s="10"/>
      <c r="AQ360" s="10"/>
      <c r="AR360" s="2">
        <v>45684</v>
      </c>
      <c r="AS360" s="10">
        <v>3772.17</v>
      </c>
      <c r="AT360" s="10" t="s">
        <v>47</v>
      </c>
      <c r="AU360" s="10" t="s">
        <v>2622</v>
      </c>
      <c r="AV360" s="36" t="s">
        <v>2674</v>
      </c>
      <c r="AW360" s="1">
        <v>46203</v>
      </c>
    </row>
    <row r="361" spans="1:49" x14ac:dyDescent="0.25">
      <c r="A361" s="9" t="s">
        <v>1478</v>
      </c>
      <c r="B361" s="10" t="s">
        <v>1542</v>
      </c>
      <c r="C361" s="10">
        <v>0</v>
      </c>
      <c r="D361" s="10" t="s">
        <v>91</v>
      </c>
      <c r="E361" s="10"/>
      <c r="F361" s="10"/>
      <c r="G361" s="10"/>
      <c r="H361" s="10" t="s">
        <v>52</v>
      </c>
      <c r="I361" s="10">
        <v>12</v>
      </c>
      <c r="J361" s="10" t="s">
        <v>1606</v>
      </c>
      <c r="K361" s="10" t="s">
        <v>42</v>
      </c>
      <c r="L361" s="10">
        <f>Table1[[#This Row],[ENR]]-Table1[[#This Row],[CREDIT]]</f>
        <v>3929.4499999999971</v>
      </c>
      <c r="M361" s="36">
        <v>75000</v>
      </c>
      <c r="N361" s="26">
        <v>78929.45</v>
      </c>
      <c r="O361" s="38" t="s">
        <v>43</v>
      </c>
      <c r="P361" s="25">
        <v>78929.45</v>
      </c>
      <c r="Q361" s="25">
        <v>71524.38</v>
      </c>
      <c r="R361" s="10">
        <v>25010</v>
      </c>
      <c r="S361" s="39">
        <v>14486.89</v>
      </c>
      <c r="T361" s="10" t="s">
        <v>57</v>
      </c>
      <c r="U361" s="10" t="s">
        <v>13</v>
      </c>
      <c r="V361" s="10">
        <v>26025</v>
      </c>
      <c r="W361" s="25">
        <f>Table1[[#This Row],[STAB]]-Table1[[#This Row],[AMOUNT]]</f>
        <v>-11538.11</v>
      </c>
      <c r="X361" s="10" t="s">
        <v>1961</v>
      </c>
      <c r="Y361" s="10" t="s">
        <v>402</v>
      </c>
      <c r="Z361" s="10" t="s">
        <v>963</v>
      </c>
      <c r="AA361" s="10" t="s">
        <v>113</v>
      </c>
      <c r="AB361" s="36" t="s">
        <v>374</v>
      </c>
      <c r="AC361" s="10"/>
      <c r="AD361" s="9" t="s">
        <v>1670</v>
      </c>
      <c r="AE361" s="10" t="s">
        <v>1733</v>
      </c>
      <c r="AF361" s="10" t="s">
        <v>273</v>
      </c>
      <c r="AG361" s="10" t="s">
        <v>323</v>
      </c>
      <c r="AH361" s="10" t="s">
        <v>352</v>
      </c>
      <c r="AI361" s="10" t="s">
        <v>363</v>
      </c>
      <c r="AJ361" s="10">
        <v>802913252</v>
      </c>
      <c r="AK361" s="10" t="s">
        <v>104</v>
      </c>
      <c r="AL361" s="10"/>
      <c r="AM361" s="10"/>
      <c r="AN361" s="11" t="s">
        <v>390</v>
      </c>
      <c r="AO361" s="10"/>
      <c r="AP361" s="10"/>
      <c r="AQ361" s="10"/>
      <c r="AR361" s="2">
        <v>46157</v>
      </c>
      <c r="AS361" s="10">
        <v>513.11</v>
      </c>
      <c r="AT361" s="10" t="s">
        <v>157</v>
      </c>
      <c r="AU361" s="10" t="s">
        <v>1741</v>
      </c>
      <c r="AV361" s="36" t="s">
        <v>1805</v>
      </c>
      <c r="AW361" s="1">
        <v>46203</v>
      </c>
    </row>
    <row r="362" spans="1:49" x14ac:dyDescent="0.25">
      <c r="A362" s="9" t="s">
        <v>2106</v>
      </c>
      <c r="B362" s="10" t="s">
        <v>2229</v>
      </c>
      <c r="C362" s="10">
        <v>0</v>
      </c>
      <c r="D362" s="10" t="s">
        <v>91</v>
      </c>
      <c r="E362" s="10"/>
      <c r="F362" s="10"/>
      <c r="G362" s="10"/>
      <c r="H362" s="10" t="s">
        <v>52</v>
      </c>
      <c r="I362" s="10">
        <v>12</v>
      </c>
      <c r="J362" s="10" t="s">
        <v>2351</v>
      </c>
      <c r="K362" s="10" t="s">
        <v>42</v>
      </c>
      <c r="L362" s="10">
        <f>Table1[[#This Row],[ENR]]-Table1[[#This Row],[CREDIT]]</f>
        <v>8578.2200000000012</v>
      </c>
      <c r="M362" s="36">
        <v>70000</v>
      </c>
      <c r="N362" s="26">
        <v>78578.22</v>
      </c>
      <c r="O362" s="38" t="s">
        <v>43</v>
      </c>
      <c r="P362" s="25">
        <v>78578.22</v>
      </c>
      <c r="Q362" s="25">
        <v>68712.639999999999</v>
      </c>
      <c r="R362" s="10">
        <v>24540</v>
      </c>
      <c r="S362" s="39">
        <v>12170</v>
      </c>
      <c r="T362" s="10" t="s">
        <v>44</v>
      </c>
      <c r="U362" s="10" t="s">
        <v>45</v>
      </c>
      <c r="V362" s="10">
        <v>0</v>
      </c>
      <c r="W362" s="25">
        <f>Table1[[#This Row],[STAB]]-Table1[[#This Row],[AMOUNT]]</f>
        <v>12170</v>
      </c>
      <c r="X362" s="10">
        <v>0</v>
      </c>
      <c r="Y362" s="10" t="s">
        <v>79</v>
      </c>
      <c r="Z362" s="10">
        <v>0</v>
      </c>
      <c r="AA362" s="10" t="s">
        <v>113</v>
      </c>
      <c r="AB362" s="36" t="s">
        <v>375</v>
      </c>
      <c r="AC362" s="10"/>
      <c r="AD362" s="9" t="s">
        <v>2474</v>
      </c>
      <c r="AE362" s="10" t="s">
        <v>2595</v>
      </c>
      <c r="AF362" s="10" t="s">
        <v>273</v>
      </c>
      <c r="AG362" s="10" t="s">
        <v>323</v>
      </c>
      <c r="AH362" s="10" t="s">
        <v>4528</v>
      </c>
      <c r="AI362" s="10" t="s">
        <v>363</v>
      </c>
      <c r="AJ362" s="10">
        <v>802913252</v>
      </c>
      <c r="AK362" s="10" t="s">
        <v>104</v>
      </c>
      <c r="AL362" s="10"/>
      <c r="AM362" s="10"/>
      <c r="AN362" s="11" t="s">
        <v>390</v>
      </c>
      <c r="AO362" s="10" t="s">
        <v>531</v>
      </c>
      <c r="AP362" s="10" t="s">
        <v>4924</v>
      </c>
      <c r="AQ362" s="10" t="s">
        <v>4923</v>
      </c>
      <c r="AR362" s="2" t="s">
        <v>43</v>
      </c>
      <c r="AS362" s="10">
        <v>0</v>
      </c>
      <c r="AT362" s="10" t="s">
        <v>47</v>
      </c>
      <c r="AU362" s="10" t="s">
        <v>2622</v>
      </c>
      <c r="AV362" s="36" t="s">
        <v>2719</v>
      </c>
      <c r="AW362" s="1">
        <v>46203</v>
      </c>
    </row>
    <row r="363" spans="1:49" x14ac:dyDescent="0.25">
      <c r="A363" s="9" t="s">
        <v>2084</v>
      </c>
      <c r="B363" s="10" t="s">
        <v>2208</v>
      </c>
      <c r="C363" s="10">
        <v>0</v>
      </c>
      <c r="D363" s="10" t="s">
        <v>91</v>
      </c>
      <c r="E363" s="10"/>
      <c r="F363" s="10"/>
      <c r="G363" s="10"/>
      <c r="H363" s="10" t="s">
        <v>52</v>
      </c>
      <c r="I363" s="10">
        <v>12</v>
      </c>
      <c r="J363" s="10" t="s">
        <v>2330</v>
      </c>
      <c r="K363" s="10" t="s">
        <v>42</v>
      </c>
      <c r="L363" s="10">
        <f>Table1[[#This Row],[ENR]]-Table1[[#This Row],[CREDIT]]</f>
        <v>-2101.6300000000047</v>
      </c>
      <c r="M363" s="36">
        <v>80000</v>
      </c>
      <c r="N363" s="26">
        <v>77898.37</v>
      </c>
      <c r="O363" s="38">
        <v>54841.55</v>
      </c>
      <c r="P363" s="25">
        <v>23056.82</v>
      </c>
      <c r="Q363" s="25">
        <v>17479.34</v>
      </c>
      <c r="R363" s="10">
        <v>18030</v>
      </c>
      <c r="S363" s="39">
        <v>10280</v>
      </c>
      <c r="T363" s="10" t="s">
        <v>57</v>
      </c>
      <c r="U363" s="10" t="s">
        <v>13</v>
      </c>
      <c r="V363" s="10">
        <v>18030</v>
      </c>
      <c r="W363" s="25">
        <f>Table1[[#This Row],[STAB]]-Table1[[#This Row],[AMOUNT]]</f>
        <v>-7750</v>
      </c>
      <c r="X363" s="10" t="s">
        <v>4566</v>
      </c>
      <c r="Y363" s="10" t="s">
        <v>402</v>
      </c>
      <c r="Z363" s="10" t="s">
        <v>403</v>
      </c>
      <c r="AA363" s="10" t="s">
        <v>113</v>
      </c>
      <c r="AB363" s="41" t="s">
        <v>376</v>
      </c>
      <c r="AC363" s="10"/>
      <c r="AD363" s="9" t="s">
        <v>2453</v>
      </c>
      <c r="AE363" s="10" t="s">
        <v>2574</v>
      </c>
      <c r="AF363" s="10" t="s">
        <v>283</v>
      </c>
      <c r="AG363" s="10" t="s">
        <v>53</v>
      </c>
      <c r="AH363" s="10" t="s">
        <v>356</v>
      </c>
      <c r="AI363" s="10" t="s">
        <v>2962</v>
      </c>
      <c r="AJ363" s="10">
        <v>801601134</v>
      </c>
      <c r="AK363" s="10" t="s">
        <v>104</v>
      </c>
      <c r="AL363" s="10"/>
      <c r="AM363" s="10"/>
      <c r="AN363" s="11" t="s">
        <v>390</v>
      </c>
      <c r="AO363" s="10"/>
      <c r="AP363" s="10"/>
      <c r="AQ363" s="10"/>
      <c r="AR363" s="2">
        <v>45960</v>
      </c>
      <c r="AS363" s="10">
        <v>17757.73</v>
      </c>
      <c r="AT363" s="10" t="s">
        <v>47</v>
      </c>
      <c r="AU363" s="10" t="s">
        <v>2622</v>
      </c>
      <c r="AV363" s="36" t="s">
        <v>2697</v>
      </c>
      <c r="AW363" s="1">
        <v>46203</v>
      </c>
    </row>
    <row r="364" spans="1:49" x14ac:dyDescent="0.25">
      <c r="A364" s="9" t="s">
        <v>2107</v>
      </c>
      <c r="B364" s="10" t="s">
        <v>2230</v>
      </c>
      <c r="C364" s="10">
        <v>0</v>
      </c>
      <c r="D364" s="10" t="s">
        <v>91</v>
      </c>
      <c r="E364" s="10"/>
      <c r="F364" s="10"/>
      <c r="G364" s="10"/>
      <c r="H364" s="10" t="s">
        <v>52</v>
      </c>
      <c r="I364" s="10">
        <v>12</v>
      </c>
      <c r="J364" s="10" t="s">
        <v>2352</v>
      </c>
      <c r="K364" s="10" t="s">
        <v>42</v>
      </c>
      <c r="L364" s="10">
        <f>Table1[[#This Row],[ENR]]-Table1[[#This Row],[CREDIT]]</f>
        <v>7803.929999999993</v>
      </c>
      <c r="M364" s="36">
        <v>70000</v>
      </c>
      <c r="N364" s="26">
        <v>77803.929999999993</v>
      </c>
      <c r="O364" s="38" t="s">
        <v>43</v>
      </c>
      <c r="P364" s="25">
        <v>77803.929999999993</v>
      </c>
      <c r="Q364" s="25">
        <v>68318</v>
      </c>
      <c r="R364" s="10">
        <v>20800</v>
      </c>
      <c r="S364" s="39">
        <v>8290</v>
      </c>
      <c r="T364" s="10" t="s">
        <v>44</v>
      </c>
      <c r="U364" s="10" t="s">
        <v>45</v>
      </c>
      <c r="V364" s="10">
        <v>0</v>
      </c>
      <c r="W364" s="25">
        <f>Table1[[#This Row],[STAB]]-Table1[[#This Row],[AMOUNT]]</f>
        <v>8290</v>
      </c>
      <c r="X364" s="10">
        <v>0</v>
      </c>
      <c r="Y364" s="10" t="s">
        <v>79</v>
      </c>
      <c r="Z364" s="10">
        <v>0</v>
      </c>
      <c r="AA364" s="10" t="s">
        <v>113</v>
      </c>
      <c r="AB364" s="36" t="s">
        <v>374</v>
      </c>
      <c r="AC364" s="10"/>
      <c r="AD364" s="9" t="s">
        <v>2475</v>
      </c>
      <c r="AE364" s="10" t="s">
        <v>2596</v>
      </c>
      <c r="AF364" s="10" t="s">
        <v>687</v>
      </c>
      <c r="AG364" s="10" t="s">
        <v>53</v>
      </c>
      <c r="AH364" s="10" t="s">
        <v>83</v>
      </c>
      <c r="AI364" s="10" t="s">
        <v>728</v>
      </c>
      <c r="AJ364" s="10">
        <v>802349062</v>
      </c>
      <c r="AK364" s="10" t="s">
        <v>104</v>
      </c>
      <c r="AL364" s="10"/>
      <c r="AM364" s="10"/>
      <c r="AN364" s="11" t="s">
        <v>46</v>
      </c>
      <c r="AO364" s="10"/>
      <c r="AP364" s="10"/>
      <c r="AQ364" s="10"/>
      <c r="AR364" s="2">
        <v>46149</v>
      </c>
      <c r="AS364" s="10">
        <v>34550.46</v>
      </c>
      <c r="AT364" s="10" t="s">
        <v>47</v>
      </c>
      <c r="AU364" s="10" t="s">
        <v>2622</v>
      </c>
      <c r="AV364" s="36" t="s">
        <v>2720</v>
      </c>
      <c r="AW364" s="1">
        <v>46203</v>
      </c>
    </row>
    <row r="365" spans="1:49" x14ac:dyDescent="0.25">
      <c r="A365" s="9" t="s">
        <v>1451</v>
      </c>
      <c r="B365" s="10" t="s">
        <v>1516</v>
      </c>
      <c r="C365" s="10">
        <v>0</v>
      </c>
      <c r="D365" s="10" t="s">
        <v>91</v>
      </c>
      <c r="E365" s="10"/>
      <c r="F365" s="10"/>
      <c r="G365" s="10"/>
      <c r="H365" s="10" t="s">
        <v>52</v>
      </c>
      <c r="I365" s="10">
        <v>12</v>
      </c>
      <c r="J365" s="10" t="s">
        <v>1580</v>
      </c>
      <c r="K365" s="10" t="s">
        <v>42</v>
      </c>
      <c r="L365" s="10">
        <f>Table1[[#This Row],[ENR]]-Table1[[#This Row],[CREDIT]]</f>
        <v>-3936.3099999999977</v>
      </c>
      <c r="M365" s="36">
        <v>80000</v>
      </c>
      <c r="N365" s="26">
        <v>76063.69</v>
      </c>
      <c r="O365" s="38" t="s">
        <v>43</v>
      </c>
      <c r="P365" s="25">
        <v>76063.69</v>
      </c>
      <c r="Q365" s="25">
        <v>70860.42</v>
      </c>
      <c r="R365" s="10">
        <v>17730</v>
      </c>
      <c r="S365" s="39">
        <v>12560</v>
      </c>
      <c r="T365" s="10" t="s">
        <v>57</v>
      </c>
      <c r="U365" s="10" t="s">
        <v>14</v>
      </c>
      <c r="V365" s="25">
        <v>12700</v>
      </c>
      <c r="W365" s="25">
        <f>Table1[[#This Row],[STAB]]-Table1[[#This Row],[AMOUNT]]</f>
        <v>-140</v>
      </c>
      <c r="X365" s="10" t="s">
        <v>4936</v>
      </c>
      <c r="Y365" s="10" t="s">
        <v>402</v>
      </c>
      <c r="Z365" s="10" t="s">
        <v>403</v>
      </c>
      <c r="AA365" s="10" t="s">
        <v>113</v>
      </c>
      <c r="AB365" s="10" t="s">
        <v>133</v>
      </c>
      <c r="AC365" s="10"/>
      <c r="AD365" s="9" t="s">
        <v>1644</v>
      </c>
      <c r="AE365" s="10" t="s">
        <v>1707</v>
      </c>
      <c r="AF365" s="10" t="s">
        <v>286</v>
      </c>
      <c r="AG365" s="10" t="s">
        <v>54</v>
      </c>
      <c r="AH365" s="10" t="s">
        <v>86</v>
      </c>
      <c r="AI365" s="10" t="s">
        <v>369</v>
      </c>
      <c r="AJ365" s="10">
        <v>802823180</v>
      </c>
      <c r="AK365" s="10" t="s">
        <v>105</v>
      </c>
      <c r="AL365" s="10"/>
      <c r="AM365" s="10"/>
      <c r="AN365" s="11" t="s">
        <v>390</v>
      </c>
      <c r="AO365" s="10"/>
      <c r="AP365" s="10"/>
      <c r="AQ365" s="10"/>
      <c r="AR365" s="2">
        <v>46154</v>
      </c>
      <c r="AS365" s="10">
        <v>1000</v>
      </c>
      <c r="AT365" s="10" t="s">
        <v>47</v>
      </c>
      <c r="AU365" s="10" t="s">
        <v>1741</v>
      </c>
      <c r="AV365" s="36" t="s">
        <v>1778</v>
      </c>
      <c r="AW365" s="1">
        <v>46203</v>
      </c>
    </row>
    <row r="366" spans="1:49" x14ac:dyDescent="0.25">
      <c r="A366" s="9" t="s">
        <v>1429</v>
      </c>
      <c r="B366" s="10" t="s">
        <v>1496</v>
      </c>
      <c r="C366" s="10">
        <v>0</v>
      </c>
      <c r="D366" s="10" t="s">
        <v>91</v>
      </c>
      <c r="E366" s="10"/>
      <c r="F366" s="10"/>
      <c r="G366" s="10"/>
      <c r="H366" s="10" t="s">
        <v>52</v>
      </c>
      <c r="I366" s="10">
        <v>12</v>
      </c>
      <c r="J366" s="10" t="s">
        <v>1560</v>
      </c>
      <c r="K366" s="10" t="s">
        <v>42</v>
      </c>
      <c r="L366" s="10">
        <f>Table1[[#This Row],[ENR]]-Table1[[#This Row],[CREDIT]]</f>
        <v>-44751.619999999995</v>
      </c>
      <c r="M366" s="36">
        <v>120000</v>
      </c>
      <c r="N366" s="26">
        <v>75248.38</v>
      </c>
      <c r="O366" s="38" t="s">
        <v>43</v>
      </c>
      <c r="P366" s="25">
        <v>75248.38</v>
      </c>
      <c r="Q366" s="25">
        <v>66329.33</v>
      </c>
      <c r="R366" s="10">
        <v>13830</v>
      </c>
      <c r="S366" s="39">
        <v>5947.98</v>
      </c>
      <c r="T366" s="10" t="s">
        <v>44</v>
      </c>
      <c r="U366" s="10" t="s">
        <v>45</v>
      </c>
      <c r="V366" s="10">
        <v>0</v>
      </c>
      <c r="W366" s="25">
        <f>Table1[[#This Row],[STAB]]-Table1[[#This Row],[AMOUNT]]</f>
        <v>5947.98</v>
      </c>
      <c r="X366" s="10">
        <v>0</v>
      </c>
      <c r="Y366" s="10" t="s">
        <v>79</v>
      </c>
      <c r="Z366" s="10">
        <v>0</v>
      </c>
      <c r="AA366" s="10" t="s">
        <v>113</v>
      </c>
      <c r="AB366" s="36" t="s">
        <v>375</v>
      </c>
      <c r="AC366" s="10"/>
      <c r="AD366" s="9" t="s">
        <v>1624</v>
      </c>
      <c r="AE366" s="10" t="s">
        <v>1687</v>
      </c>
      <c r="AF366" s="10" t="s">
        <v>276</v>
      </c>
      <c r="AG366" s="10" t="s">
        <v>324</v>
      </c>
      <c r="AH366" s="10" t="s">
        <v>354</v>
      </c>
      <c r="AI366" s="10" t="s">
        <v>367</v>
      </c>
      <c r="AJ366" s="10">
        <v>801436997</v>
      </c>
      <c r="AK366" s="10" t="s">
        <v>104</v>
      </c>
      <c r="AL366" s="10"/>
      <c r="AM366" s="10"/>
      <c r="AN366" s="11" t="s">
        <v>390</v>
      </c>
      <c r="AO366" s="10" t="s">
        <v>394</v>
      </c>
      <c r="AP366" s="10" t="s">
        <v>1970</v>
      </c>
      <c r="AQ366" s="10" t="s">
        <v>1961</v>
      </c>
      <c r="AR366" s="2">
        <v>46149</v>
      </c>
      <c r="AS366" s="10">
        <v>6050</v>
      </c>
      <c r="AT366" s="10" t="s">
        <v>47</v>
      </c>
      <c r="AU366" s="10" t="s">
        <v>1741</v>
      </c>
      <c r="AV366" s="36" t="s">
        <v>1756</v>
      </c>
      <c r="AW366" s="1">
        <v>46203</v>
      </c>
    </row>
    <row r="367" spans="1:49" x14ac:dyDescent="0.25">
      <c r="A367" s="9" t="s">
        <v>2099</v>
      </c>
      <c r="B367" s="10" t="s">
        <v>2223</v>
      </c>
      <c r="C367" s="10">
        <v>0</v>
      </c>
      <c r="D367" s="10" t="s">
        <v>91</v>
      </c>
      <c r="E367" s="10"/>
      <c r="F367" s="10"/>
      <c r="G367" s="10"/>
      <c r="H367" s="10" t="s">
        <v>52</v>
      </c>
      <c r="I367" s="10">
        <v>12</v>
      </c>
      <c r="J367" s="10" t="s">
        <v>2345</v>
      </c>
      <c r="K367" s="10" t="s">
        <v>42</v>
      </c>
      <c r="L367" s="10">
        <f>Table1[[#This Row],[ENR]]-Table1[[#This Row],[CREDIT]]</f>
        <v>-87120.92</v>
      </c>
      <c r="M367" s="36">
        <v>160000</v>
      </c>
      <c r="N367" s="26">
        <v>72879.08</v>
      </c>
      <c r="O367" s="38" t="s">
        <v>43</v>
      </c>
      <c r="P367" s="25">
        <v>72879.08</v>
      </c>
      <c r="Q367" s="25">
        <v>64854.39</v>
      </c>
      <c r="R367" s="10">
        <v>20070</v>
      </c>
      <c r="S367" s="39">
        <v>12700</v>
      </c>
      <c r="T367" s="10" t="s">
        <v>57</v>
      </c>
      <c r="U367" s="10" t="s">
        <v>13</v>
      </c>
      <c r="V367" s="10">
        <v>20070</v>
      </c>
      <c r="W367" s="25">
        <f>Table1[[#This Row],[STAB]]-Table1[[#This Row],[AMOUNT]]</f>
        <v>-7370</v>
      </c>
      <c r="X367" s="10" t="s">
        <v>4535</v>
      </c>
      <c r="Y367" s="10" t="s">
        <v>402</v>
      </c>
      <c r="Z367" s="10" t="s">
        <v>403</v>
      </c>
      <c r="AA367" s="10" t="s">
        <v>113</v>
      </c>
      <c r="AB367" s="36" t="s">
        <v>374</v>
      </c>
      <c r="AC367" s="10"/>
      <c r="AD367" s="9" t="s">
        <v>2468</v>
      </c>
      <c r="AE367" s="10" t="s">
        <v>2589</v>
      </c>
      <c r="AF367" s="10" t="s">
        <v>280</v>
      </c>
      <c r="AG367" s="10" t="s">
        <v>54</v>
      </c>
      <c r="AH367" s="10" t="s">
        <v>523</v>
      </c>
      <c r="AI367" s="10" t="s">
        <v>371</v>
      </c>
      <c r="AJ367" s="10">
        <v>802835406</v>
      </c>
      <c r="AK367" s="10" t="s">
        <v>362</v>
      </c>
      <c r="AL367" s="10"/>
      <c r="AM367" s="10"/>
      <c r="AN367" s="11" t="s">
        <v>390</v>
      </c>
      <c r="AO367" s="10"/>
      <c r="AP367" s="10"/>
      <c r="AQ367" s="10"/>
      <c r="AR367" s="2" t="s">
        <v>43</v>
      </c>
      <c r="AS367" s="10">
        <v>0</v>
      </c>
      <c r="AT367" s="10" t="s">
        <v>47</v>
      </c>
      <c r="AU367" s="10" t="s">
        <v>2622</v>
      </c>
      <c r="AV367" s="36" t="s">
        <v>2712</v>
      </c>
      <c r="AW367" s="1">
        <v>46203</v>
      </c>
    </row>
    <row r="368" spans="1:49" x14ac:dyDescent="0.25">
      <c r="A368" s="9" t="s">
        <v>1416</v>
      </c>
      <c r="B368" s="10" t="s">
        <v>1483</v>
      </c>
      <c r="C368" s="10">
        <v>0</v>
      </c>
      <c r="D368" s="10" t="s">
        <v>91</v>
      </c>
      <c r="E368" s="10"/>
      <c r="F368" s="10"/>
      <c r="G368" s="10"/>
      <c r="H368" s="10" t="s">
        <v>52</v>
      </c>
      <c r="I368" s="10">
        <v>12</v>
      </c>
      <c r="J368" s="10" t="s">
        <v>1547</v>
      </c>
      <c r="K368" s="10" t="s">
        <v>42</v>
      </c>
      <c r="L368" s="10">
        <f>Table1[[#This Row],[ENR]]-Table1[[#This Row],[CREDIT]]</f>
        <v>2396.8300000000017</v>
      </c>
      <c r="M368" s="36">
        <v>70000</v>
      </c>
      <c r="N368" s="26">
        <v>72396.83</v>
      </c>
      <c r="O368" s="38">
        <v>59339.16</v>
      </c>
      <c r="P368" s="25">
        <v>13057.67</v>
      </c>
      <c r="Q368" s="25">
        <v>8782.2800000000007</v>
      </c>
      <c r="R368" s="10">
        <v>9420</v>
      </c>
      <c r="S368" s="39">
        <v>3690</v>
      </c>
      <c r="T368" s="10" t="s">
        <v>44</v>
      </c>
      <c r="U368" s="10" t="s">
        <v>45</v>
      </c>
      <c r="V368" s="10">
        <v>0</v>
      </c>
      <c r="W368" s="25">
        <f>Table1[[#This Row],[STAB]]-Table1[[#This Row],[AMOUNT]]</f>
        <v>3690</v>
      </c>
      <c r="X368" s="10">
        <v>0</v>
      </c>
      <c r="Y368" s="10" t="s">
        <v>79</v>
      </c>
      <c r="Z368" s="10">
        <v>0</v>
      </c>
      <c r="AA368" s="10" t="s">
        <v>113</v>
      </c>
      <c r="AB368" s="10" t="s">
        <v>133</v>
      </c>
      <c r="AC368" s="10"/>
      <c r="AD368" s="9" t="s">
        <v>1611</v>
      </c>
      <c r="AE368" s="10" t="s">
        <v>1674</v>
      </c>
      <c r="AF368" s="10" t="s">
        <v>280</v>
      </c>
      <c r="AG368" s="10" t="s">
        <v>54</v>
      </c>
      <c r="AH368" s="10" t="s">
        <v>280</v>
      </c>
      <c r="AI368" s="10" t="s">
        <v>365</v>
      </c>
      <c r="AJ368" s="10">
        <v>802824019</v>
      </c>
      <c r="AK368" s="10" t="s">
        <v>360</v>
      </c>
      <c r="AL368" s="10"/>
      <c r="AM368" s="10"/>
      <c r="AN368" s="11" t="s">
        <v>46</v>
      </c>
      <c r="AO368" s="10"/>
      <c r="AP368" s="10"/>
      <c r="AQ368" s="10"/>
      <c r="AR368" s="2">
        <v>46134</v>
      </c>
      <c r="AS368" s="10">
        <v>1100</v>
      </c>
      <c r="AT368" s="10" t="s">
        <v>291</v>
      </c>
      <c r="AU368" s="10" t="s">
        <v>1741</v>
      </c>
      <c r="AV368" s="36" t="s">
        <v>1743</v>
      </c>
      <c r="AW368" s="1">
        <v>46203</v>
      </c>
    </row>
    <row r="369" spans="1:49" x14ac:dyDescent="0.25">
      <c r="A369" s="9" t="s">
        <v>2026</v>
      </c>
      <c r="B369" s="10" t="s">
        <v>2152</v>
      </c>
      <c r="C369" s="10">
        <v>0</v>
      </c>
      <c r="D369" s="10" t="s">
        <v>91</v>
      </c>
      <c r="E369" s="10"/>
      <c r="F369" s="10"/>
      <c r="G369" s="10"/>
      <c r="H369" s="10" t="s">
        <v>84</v>
      </c>
      <c r="I369" s="10">
        <v>12</v>
      </c>
      <c r="J369" s="10" t="s">
        <v>2275</v>
      </c>
      <c r="K369" s="10" t="s">
        <v>42</v>
      </c>
      <c r="L369" s="10">
        <f>Table1[[#This Row],[ENR]]-Table1[[#This Row],[CREDIT]]</f>
        <v>1686.2700000000041</v>
      </c>
      <c r="M369" s="36">
        <v>70000</v>
      </c>
      <c r="N369" s="26">
        <v>71686.27</v>
      </c>
      <c r="O369" s="38" t="s">
        <v>43</v>
      </c>
      <c r="P369" s="25">
        <v>71686.27</v>
      </c>
      <c r="Q369" s="25">
        <v>66875.679999999993</v>
      </c>
      <c r="R369" s="10">
        <v>19330</v>
      </c>
      <c r="S369" s="39">
        <v>10520</v>
      </c>
      <c r="T369" s="10" t="s">
        <v>57</v>
      </c>
      <c r="U369" s="10" t="s">
        <v>14</v>
      </c>
      <c r="V369" s="25">
        <v>11000</v>
      </c>
      <c r="W369" s="25">
        <f>Table1[[#This Row],[STAB]]-Table1[[#This Row],[AMOUNT]]</f>
        <v>-480</v>
      </c>
      <c r="X369" s="10" t="s">
        <v>4535</v>
      </c>
      <c r="Y369" s="10" t="s">
        <v>402</v>
      </c>
      <c r="Z369" s="10" t="s">
        <v>403</v>
      </c>
      <c r="AA369" s="10" t="s">
        <v>113</v>
      </c>
      <c r="AB369" s="41" t="s">
        <v>376</v>
      </c>
      <c r="AC369" s="10"/>
      <c r="AD369" s="9" t="s">
        <v>2397</v>
      </c>
      <c r="AE369" s="10" t="s">
        <v>2518</v>
      </c>
      <c r="AF369" s="10" t="s">
        <v>864</v>
      </c>
      <c r="AG369" s="10" t="s">
        <v>54</v>
      </c>
      <c r="AH369" s="10" t="s">
        <v>1398</v>
      </c>
      <c r="AI369" s="10" t="s">
        <v>162</v>
      </c>
      <c r="AJ369" s="10">
        <v>801772794</v>
      </c>
      <c r="AK369" s="10" t="s">
        <v>361</v>
      </c>
      <c r="AL369" s="10"/>
      <c r="AM369" s="10"/>
      <c r="AN369" s="11" t="s">
        <v>390</v>
      </c>
      <c r="AO369" s="10"/>
      <c r="AP369" s="10"/>
      <c r="AQ369" s="10"/>
      <c r="AR369" s="2">
        <v>45758</v>
      </c>
      <c r="AS369" s="10">
        <v>9700</v>
      </c>
      <c r="AT369" s="10" t="s">
        <v>47</v>
      </c>
      <c r="AU369" s="10" t="s">
        <v>2622</v>
      </c>
      <c r="AV369" s="36" t="s">
        <v>2639</v>
      </c>
      <c r="AW369" s="1">
        <v>46203</v>
      </c>
    </row>
    <row r="370" spans="1:49" x14ac:dyDescent="0.25">
      <c r="A370" s="9" t="s">
        <v>1465</v>
      </c>
      <c r="B370" s="10" t="s">
        <v>1529</v>
      </c>
      <c r="C370" s="10">
        <v>0</v>
      </c>
      <c r="D370" s="10" t="s">
        <v>91</v>
      </c>
      <c r="E370" s="10"/>
      <c r="F370" s="10"/>
      <c r="G370" s="10"/>
      <c r="H370" s="10" t="s">
        <v>52</v>
      </c>
      <c r="I370" s="10">
        <v>12</v>
      </c>
      <c r="J370" s="10" t="s">
        <v>1593</v>
      </c>
      <c r="K370" s="10" t="s">
        <v>42</v>
      </c>
      <c r="L370" s="10">
        <f>Table1[[#This Row],[ENR]]-Table1[[#This Row],[CREDIT]]</f>
        <v>-39080.020000000004</v>
      </c>
      <c r="M370" s="36">
        <v>110000</v>
      </c>
      <c r="N370" s="26">
        <v>70919.98</v>
      </c>
      <c r="O370" s="38" t="s">
        <v>43</v>
      </c>
      <c r="P370" s="25">
        <v>70919.98</v>
      </c>
      <c r="Q370" s="25">
        <v>66349.95</v>
      </c>
      <c r="R370" s="10">
        <v>14940</v>
      </c>
      <c r="S370" s="39">
        <v>4060</v>
      </c>
      <c r="T370" s="10" t="s">
        <v>57</v>
      </c>
      <c r="U370" s="10" t="s">
        <v>14</v>
      </c>
      <c r="V370" s="25">
        <v>4100</v>
      </c>
      <c r="W370" s="25">
        <f>Table1[[#This Row],[STAB]]-Table1[[#This Row],[AMOUNT]]</f>
        <v>-40</v>
      </c>
      <c r="X370" s="10" t="s">
        <v>4923</v>
      </c>
      <c r="Y370" s="10" t="s">
        <v>402</v>
      </c>
      <c r="Z370" s="10" t="s">
        <v>403</v>
      </c>
      <c r="AA370" s="10" t="s">
        <v>113</v>
      </c>
      <c r="AB370" s="36" t="s">
        <v>132</v>
      </c>
      <c r="AC370" s="10"/>
      <c r="AD370" s="9" t="s">
        <v>1657</v>
      </c>
      <c r="AE370" s="10" t="s">
        <v>1720</v>
      </c>
      <c r="AF370" s="10" t="s">
        <v>85</v>
      </c>
      <c r="AG370" s="10" t="s">
        <v>54</v>
      </c>
      <c r="AH370" s="10" t="s">
        <v>93</v>
      </c>
      <c r="AI370" s="10" t="s">
        <v>364</v>
      </c>
      <c r="AJ370" s="10">
        <v>802663344</v>
      </c>
      <c r="AK370" s="10" t="s">
        <v>105</v>
      </c>
      <c r="AL370" s="10"/>
      <c r="AM370" s="10"/>
      <c r="AN370" s="11" t="s">
        <v>390</v>
      </c>
      <c r="AO370" s="10"/>
      <c r="AP370" s="10"/>
      <c r="AQ370" s="10"/>
      <c r="AR370" s="2">
        <v>45626</v>
      </c>
      <c r="AS370" s="10">
        <v>15000</v>
      </c>
      <c r="AT370" s="10" t="s">
        <v>47</v>
      </c>
      <c r="AU370" s="10" t="s">
        <v>1741</v>
      </c>
      <c r="AV370" s="36" t="s">
        <v>1792</v>
      </c>
      <c r="AW370" s="1">
        <v>46203</v>
      </c>
    </row>
    <row r="371" spans="1:49" x14ac:dyDescent="0.25">
      <c r="A371" s="9" t="s">
        <v>1472</v>
      </c>
      <c r="B371" s="10" t="s">
        <v>1536</v>
      </c>
      <c r="C371" s="10">
        <v>0</v>
      </c>
      <c r="D371" s="10" t="s">
        <v>91</v>
      </c>
      <c r="E371" s="10"/>
      <c r="F371" s="10"/>
      <c r="G371" s="10"/>
      <c r="H371" s="10" t="s">
        <v>52</v>
      </c>
      <c r="I371" s="10">
        <v>12</v>
      </c>
      <c r="J371" s="10" t="s">
        <v>1600</v>
      </c>
      <c r="K371" s="10" t="s">
        <v>42</v>
      </c>
      <c r="L371" s="10">
        <f>Table1[[#This Row],[ENR]]-Table1[[#This Row],[CREDIT]]</f>
        <v>-14376.75</v>
      </c>
      <c r="M371" s="36">
        <v>83000</v>
      </c>
      <c r="N371" s="26">
        <v>68623.25</v>
      </c>
      <c r="O371" s="38" t="s">
        <v>43</v>
      </c>
      <c r="P371" s="25">
        <v>68623.25</v>
      </c>
      <c r="Q371" s="25">
        <v>63957.09</v>
      </c>
      <c r="R371" s="10">
        <v>10140</v>
      </c>
      <c r="S371" s="39">
        <v>5050</v>
      </c>
      <c r="T371" s="10" t="s">
        <v>57</v>
      </c>
      <c r="U371" s="10" t="s">
        <v>14</v>
      </c>
      <c r="V371" s="25">
        <v>5100</v>
      </c>
      <c r="W371" s="25">
        <f>Table1[[#This Row],[STAB]]-Table1[[#This Row],[AMOUNT]]</f>
        <v>-50</v>
      </c>
      <c r="X371" s="10" t="s">
        <v>4591</v>
      </c>
      <c r="Y371" s="10" t="s">
        <v>402</v>
      </c>
      <c r="Z371" s="10" t="s">
        <v>403</v>
      </c>
      <c r="AA371" s="10" t="s">
        <v>113</v>
      </c>
      <c r="AB371" s="10" t="s">
        <v>133</v>
      </c>
      <c r="AC371" s="10"/>
      <c r="AD371" s="9" t="s">
        <v>1664</v>
      </c>
      <c r="AE371" s="10" t="s">
        <v>1727</v>
      </c>
      <c r="AF371" s="10" t="s">
        <v>276</v>
      </c>
      <c r="AG371" s="10" t="s">
        <v>324</v>
      </c>
      <c r="AH371" s="10" t="s">
        <v>354</v>
      </c>
      <c r="AI371" s="10" t="s">
        <v>367</v>
      </c>
      <c r="AJ371" s="10">
        <v>801436997</v>
      </c>
      <c r="AK371" s="10" t="s">
        <v>104</v>
      </c>
      <c r="AL371" s="10"/>
      <c r="AM371" s="10"/>
      <c r="AN371" s="11" t="s">
        <v>390</v>
      </c>
      <c r="AO371" s="10" t="s">
        <v>394</v>
      </c>
      <c r="AP371" s="10" t="s">
        <v>4620</v>
      </c>
      <c r="AQ371" s="10" t="s">
        <v>4619</v>
      </c>
      <c r="AR371" s="2">
        <v>45600</v>
      </c>
      <c r="AS371" s="10">
        <v>1500</v>
      </c>
      <c r="AT371" s="10" t="s">
        <v>47</v>
      </c>
      <c r="AU371" s="10" t="s">
        <v>1741</v>
      </c>
      <c r="AV371" s="36" t="s">
        <v>1799</v>
      </c>
      <c r="AW371" s="1">
        <v>46203</v>
      </c>
    </row>
    <row r="372" spans="1:49" x14ac:dyDescent="0.25">
      <c r="A372" s="9" t="s">
        <v>2055</v>
      </c>
      <c r="B372" s="10" t="s">
        <v>2179</v>
      </c>
      <c r="C372" s="10">
        <v>0</v>
      </c>
      <c r="D372" s="10" t="s">
        <v>91</v>
      </c>
      <c r="E372" s="10"/>
      <c r="F372" s="10" t="s">
        <v>112</v>
      </c>
      <c r="G372" s="10" t="s">
        <v>4947</v>
      </c>
      <c r="H372" s="10" t="s">
        <v>52</v>
      </c>
      <c r="I372" s="10">
        <v>12</v>
      </c>
      <c r="J372" s="10" t="s">
        <v>2301</v>
      </c>
      <c r="K372" s="10" t="s">
        <v>42</v>
      </c>
      <c r="L372" s="10">
        <f>Table1[[#This Row],[ENR]]-Table1[[#This Row],[CREDIT]]</f>
        <v>7771.1300000000047</v>
      </c>
      <c r="M372" s="36">
        <v>60000</v>
      </c>
      <c r="N372" s="26">
        <v>67771.13</v>
      </c>
      <c r="O372" s="38" t="s">
        <v>43</v>
      </c>
      <c r="P372" s="25">
        <v>67771.13</v>
      </c>
      <c r="Q372" s="25">
        <v>59923.8</v>
      </c>
      <c r="R372" s="10">
        <v>21960</v>
      </c>
      <c r="S372" s="39">
        <v>6829.51</v>
      </c>
      <c r="T372" s="10" t="s">
        <v>57</v>
      </c>
      <c r="U372" s="10" t="s">
        <v>14</v>
      </c>
      <c r="V372" s="25">
        <v>6900</v>
      </c>
      <c r="W372" s="25">
        <f>Table1[[#This Row],[STAB]]-Table1[[#This Row],[AMOUNT]]</f>
        <v>-70.489999999999782</v>
      </c>
      <c r="X372" s="10" t="s">
        <v>4923</v>
      </c>
      <c r="Y372" s="10" t="s">
        <v>402</v>
      </c>
      <c r="Z372" s="10" t="s">
        <v>1968</v>
      </c>
      <c r="AA372" s="10" t="s">
        <v>113</v>
      </c>
      <c r="AB372" s="36" t="s">
        <v>375</v>
      </c>
      <c r="AC372" s="10"/>
      <c r="AD372" s="9" t="s">
        <v>2424</v>
      </c>
      <c r="AE372" s="10" t="s">
        <v>2545</v>
      </c>
      <c r="AF372" s="10" t="s">
        <v>499</v>
      </c>
      <c r="AG372" s="10" t="s">
        <v>53</v>
      </c>
      <c r="AH372" s="10" t="s">
        <v>55</v>
      </c>
      <c r="AI372" s="10" t="s">
        <v>365</v>
      </c>
      <c r="AJ372" s="10">
        <v>802824019</v>
      </c>
      <c r="AK372" s="10" t="s">
        <v>360</v>
      </c>
      <c r="AL372" s="10"/>
      <c r="AM372" s="10"/>
      <c r="AN372" s="11" t="s">
        <v>390</v>
      </c>
      <c r="AO372" s="10" t="s">
        <v>392</v>
      </c>
      <c r="AP372" s="10" t="s">
        <v>4623</v>
      </c>
      <c r="AQ372" s="10" t="s">
        <v>4619</v>
      </c>
      <c r="AR372" s="2">
        <v>46142</v>
      </c>
      <c r="AS372" s="10">
        <v>23000</v>
      </c>
      <c r="AT372" s="10" t="s">
        <v>47</v>
      </c>
      <c r="AU372" s="10" t="s">
        <v>2622</v>
      </c>
      <c r="AV372" s="36" t="s">
        <v>2668</v>
      </c>
      <c r="AW372" s="1">
        <v>46203</v>
      </c>
    </row>
    <row r="373" spans="1:49" x14ac:dyDescent="0.25">
      <c r="A373" s="9" t="s">
        <v>1480</v>
      </c>
      <c r="B373" s="10" t="s">
        <v>1544</v>
      </c>
      <c r="C373" s="10">
        <v>0</v>
      </c>
      <c r="D373" s="10" t="s">
        <v>91</v>
      </c>
      <c r="E373" s="10"/>
      <c r="F373" s="10"/>
      <c r="G373" s="10"/>
      <c r="H373" s="10" t="s">
        <v>52</v>
      </c>
      <c r="I373" s="10">
        <v>12</v>
      </c>
      <c r="J373" s="10" t="s">
        <v>1608</v>
      </c>
      <c r="K373" s="10" t="s">
        <v>42</v>
      </c>
      <c r="L373" s="10">
        <f>Table1[[#This Row],[ENR]]-Table1[[#This Row],[CREDIT]]</f>
        <v>5108.8300000000017</v>
      </c>
      <c r="M373" s="36">
        <v>60000</v>
      </c>
      <c r="N373" s="26">
        <v>65108.83</v>
      </c>
      <c r="O373" s="38" t="s">
        <v>43</v>
      </c>
      <c r="P373" s="25">
        <v>65108.83</v>
      </c>
      <c r="Q373" s="25">
        <v>59914</v>
      </c>
      <c r="R373" s="10">
        <v>12950</v>
      </c>
      <c r="S373" s="39">
        <v>3000</v>
      </c>
      <c r="T373" s="10" t="s">
        <v>57</v>
      </c>
      <c r="U373" s="10" t="s">
        <v>13</v>
      </c>
      <c r="V373" s="10">
        <v>65108.83</v>
      </c>
      <c r="W373" s="25">
        <f>Table1[[#This Row],[STAB]]-Table1[[#This Row],[AMOUNT]]</f>
        <v>-62108.83</v>
      </c>
      <c r="X373" s="10" t="s">
        <v>2004</v>
      </c>
      <c r="Y373" s="10" t="s">
        <v>402</v>
      </c>
      <c r="Z373" s="10" t="s">
        <v>403</v>
      </c>
      <c r="AA373" s="10" t="s">
        <v>113</v>
      </c>
      <c r="AB373" s="36" t="s">
        <v>131</v>
      </c>
      <c r="AC373" s="10"/>
      <c r="AD373" s="9" t="s">
        <v>1672</v>
      </c>
      <c r="AE373" s="10" t="s">
        <v>1735</v>
      </c>
      <c r="AF373" s="10" t="s">
        <v>685</v>
      </c>
      <c r="AG373" s="10" t="s">
        <v>54</v>
      </c>
      <c r="AH373" s="10" t="s">
        <v>1398</v>
      </c>
      <c r="AI373" s="10" t="s">
        <v>162</v>
      </c>
      <c r="AJ373" s="10">
        <v>801772794</v>
      </c>
      <c r="AK373" s="10" t="s">
        <v>361</v>
      </c>
      <c r="AL373" s="10"/>
      <c r="AM373" s="10"/>
      <c r="AN373" s="11" t="s">
        <v>390</v>
      </c>
      <c r="AO373" s="10"/>
      <c r="AP373" s="10"/>
      <c r="AQ373" s="10"/>
      <c r="AR373" s="2">
        <v>45487</v>
      </c>
      <c r="AS373" s="10">
        <v>651</v>
      </c>
      <c r="AT373" s="10" t="s">
        <v>289</v>
      </c>
      <c r="AU373" s="10" t="s">
        <v>1741</v>
      </c>
      <c r="AV373" s="36" t="s">
        <v>1807</v>
      </c>
      <c r="AW373" s="1">
        <v>46203</v>
      </c>
    </row>
    <row r="374" spans="1:49" x14ac:dyDescent="0.25">
      <c r="A374" s="9" t="s">
        <v>2078</v>
      </c>
      <c r="B374" s="10" t="s">
        <v>2202</v>
      </c>
      <c r="C374" s="10">
        <v>0</v>
      </c>
      <c r="D374" s="10" t="s">
        <v>91</v>
      </c>
      <c r="E374" s="10"/>
      <c r="F374" s="10"/>
      <c r="G374" s="10"/>
      <c r="H374" s="10" t="s">
        <v>84</v>
      </c>
      <c r="I374" s="10">
        <v>12</v>
      </c>
      <c r="J374" s="10" t="s">
        <v>2324</v>
      </c>
      <c r="K374" s="10" t="s">
        <v>42</v>
      </c>
      <c r="L374" s="10">
        <f>Table1[[#This Row],[ENR]]-Table1[[#This Row],[CREDIT]]</f>
        <v>4211.5599999999977</v>
      </c>
      <c r="M374" s="36">
        <v>60000</v>
      </c>
      <c r="N374" s="26">
        <v>64211.56</v>
      </c>
      <c r="O374" s="38">
        <v>2319.3000000000002</v>
      </c>
      <c r="P374" s="25">
        <v>61892.26</v>
      </c>
      <c r="Q374" s="25">
        <v>57476.41</v>
      </c>
      <c r="R374" s="10">
        <v>18400</v>
      </c>
      <c r="S374" s="39">
        <v>9910</v>
      </c>
      <c r="T374" s="10" t="s">
        <v>57</v>
      </c>
      <c r="U374" s="10" t="s">
        <v>14</v>
      </c>
      <c r="V374" s="25">
        <v>9920</v>
      </c>
      <c r="W374" s="25">
        <f>Table1[[#This Row],[STAB]]-Table1[[#This Row],[AMOUNT]]</f>
        <v>-10</v>
      </c>
      <c r="X374" s="10" t="s">
        <v>4936</v>
      </c>
      <c r="Y374" s="10" t="s">
        <v>402</v>
      </c>
      <c r="Z374" s="10" t="s">
        <v>403</v>
      </c>
      <c r="AA374" s="10" t="s">
        <v>113</v>
      </c>
      <c r="AB374" s="10" t="s">
        <v>133</v>
      </c>
      <c r="AC374" s="10"/>
      <c r="AD374" s="9" t="s">
        <v>2447</v>
      </c>
      <c r="AE374" s="10" t="s">
        <v>2568</v>
      </c>
      <c r="AF374" s="10" t="s">
        <v>85</v>
      </c>
      <c r="AG374" s="10" t="s">
        <v>54</v>
      </c>
      <c r="AH374" s="10" t="s">
        <v>357</v>
      </c>
      <c r="AI374" s="10" t="s">
        <v>1960</v>
      </c>
      <c r="AJ374" s="10">
        <v>801264672</v>
      </c>
      <c r="AK374" s="10" t="s">
        <v>1959</v>
      </c>
      <c r="AL374" s="10"/>
      <c r="AM374" s="10"/>
      <c r="AN374" s="11" t="s">
        <v>390</v>
      </c>
      <c r="AO374" s="10" t="s">
        <v>392</v>
      </c>
      <c r="AP374" s="10" t="s">
        <v>4635</v>
      </c>
      <c r="AQ374" s="10" t="s">
        <v>4601</v>
      </c>
      <c r="AR374" s="2">
        <v>45903</v>
      </c>
      <c r="AS374" s="10">
        <v>36008</v>
      </c>
      <c r="AT374" s="10" t="s">
        <v>47</v>
      </c>
      <c r="AU374" s="10" t="s">
        <v>2622</v>
      </c>
      <c r="AV374" s="36" t="s">
        <v>2691</v>
      </c>
      <c r="AW374" s="1">
        <v>46203</v>
      </c>
    </row>
    <row r="375" spans="1:49" x14ac:dyDescent="0.25">
      <c r="A375" s="9" t="s">
        <v>1462</v>
      </c>
      <c r="B375" s="10" t="s">
        <v>1526</v>
      </c>
      <c r="C375" s="10">
        <v>0</v>
      </c>
      <c r="D375" s="10" t="s">
        <v>91</v>
      </c>
      <c r="E375" s="10"/>
      <c r="F375" s="10"/>
      <c r="G375" s="10"/>
      <c r="H375" s="10" t="s">
        <v>52</v>
      </c>
      <c r="I375" s="10">
        <v>12</v>
      </c>
      <c r="J375" s="10" t="s">
        <v>1590</v>
      </c>
      <c r="K375" s="10" t="s">
        <v>42</v>
      </c>
      <c r="L375" s="10">
        <f>Table1[[#This Row],[ENR]]-Table1[[#This Row],[CREDIT]]</f>
        <v>-7376.6100000000006</v>
      </c>
      <c r="M375" s="36">
        <v>70000</v>
      </c>
      <c r="N375" s="26">
        <v>62623.39</v>
      </c>
      <c r="O375" s="38" t="s">
        <v>43</v>
      </c>
      <c r="P375" s="25">
        <v>62623.39</v>
      </c>
      <c r="Q375" s="25">
        <v>55097.38</v>
      </c>
      <c r="R375" s="10">
        <v>13000</v>
      </c>
      <c r="S375" s="39">
        <v>6220</v>
      </c>
      <c r="T375" s="10" t="s">
        <v>57</v>
      </c>
      <c r="U375" s="10" t="s">
        <v>14</v>
      </c>
      <c r="V375" s="25">
        <v>8000</v>
      </c>
      <c r="W375" s="25">
        <f>Table1[[#This Row],[STAB]]-Table1[[#This Row],[AMOUNT]]</f>
        <v>-1780</v>
      </c>
      <c r="X375" s="10" t="s">
        <v>2004</v>
      </c>
      <c r="Y375" s="10" t="s">
        <v>402</v>
      </c>
      <c r="Z375" s="10" t="s">
        <v>403</v>
      </c>
      <c r="AA375" s="10" t="s">
        <v>113</v>
      </c>
      <c r="AB375" s="36" t="s">
        <v>131</v>
      </c>
      <c r="AC375" s="10"/>
      <c r="AD375" s="9" t="s">
        <v>1654</v>
      </c>
      <c r="AE375" s="10" t="s">
        <v>1717</v>
      </c>
      <c r="AF375" s="10" t="s">
        <v>272</v>
      </c>
      <c r="AG375" s="10" t="s">
        <v>54</v>
      </c>
      <c r="AH375" s="10" t="s">
        <v>357</v>
      </c>
      <c r="AI375" s="10" t="s">
        <v>1960</v>
      </c>
      <c r="AJ375" s="10">
        <v>801264672</v>
      </c>
      <c r="AK375" s="10" t="s">
        <v>1959</v>
      </c>
      <c r="AL375" s="10"/>
      <c r="AM375" s="10"/>
      <c r="AN375" s="11" t="s">
        <v>390</v>
      </c>
      <c r="AO375" s="10" t="s">
        <v>398</v>
      </c>
      <c r="AP375" s="10" t="s">
        <v>4579</v>
      </c>
      <c r="AQ375" s="10" t="s">
        <v>4566</v>
      </c>
      <c r="AR375" s="2" t="s">
        <v>43</v>
      </c>
      <c r="AS375" s="10">
        <v>0</v>
      </c>
      <c r="AT375" s="10" t="s">
        <v>47</v>
      </c>
      <c r="AU375" s="10" t="s">
        <v>1741</v>
      </c>
      <c r="AV375" s="36" t="s">
        <v>1789</v>
      </c>
      <c r="AW375" s="1">
        <v>46203</v>
      </c>
    </row>
    <row r="376" spans="1:49" x14ac:dyDescent="0.25">
      <c r="A376" s="9" t="s">
        <v>1474</v>
      </c>
      <c r="B376" s="10" t="s">
        <v>1538</v>
      </c>
      <c r="C376" s="10">
        <v>0</v>
      </c>
      <c r="D376" s="10" t="s">
        <v>91</v>
      </c>
      <c r="E376" s="10"/>
      <c r="F376" s="10"/>
      <c r="G376" s="10"/>
      <c r="H376" s="10" t="s">
        <v>52</v>
      </c>
      <c r="I376" s="10">
        <v>12</v>
      </c>
      <c r="J376" s="10" t="s">
        <v>1602</v>
      </c>
      <c r="K376" s="10" t="s">
        <v>42</v>
      </c>
      <c r="L376" s="10">
        <f>Table1[[#This Row],[ENR]]-Table1[[#This Row],[CREDIT]]</f>
        <v>-38150.01</v>
      </c>
      <c r="M376" s="36">
        <v>100000</v>
      </c>
      <c r="N376" s="26">
        <v>61849.99</v>
      </c>
      <c r="O376" s="38" t="s">
        <v>43</v>
      </c>
      <c r="P376" s="25">
        <v>61849.99</v>
      </c>
      <c r="Q376" s="25">
        <v>52027.59</v>
      </c>
      <c r="R376" s="10">
        <v>14880</v>
      </c>
      <c r="S376" s="39">
        <v>8370</v>
      </c>
      <c r="T376" s="10" t="s">
        <v>57</v>
      </c>
      <c r="U376" s="10" t="s">
        <v>13</v>
      </c>
      <c r="V376" s="10">
        <v>61849.99</v>
      </c>
      <c r="W376" s="25">
        <f>Table1[[#This Row],[STAB]]-Table1[[#This Row],[AMOUNT]]</f>
        <v>-53479.99</v>
      </c>
      <c r="X376" s="10" t="s">
        <v>4530</v>
      </c>
      <c r="Y376" s="10" t="s">
        <v>402</v>
      </c>
      <c r="Z376" s="10" t="s">
        <v>403</v>
      </c>
      <c r="AA376" s="10" t="s">
        <v>113</v>
      </c>
      <c r="AB376" s="36" t="s">
        <v>132</v>
      </c>
      <c r="AC376" s="10"/>
      <c r="AD376" s="9" t="s">
        <v>1666</v>
      </c>
      <c r="AE376" s="10" t="s">
        <v>1729</v>
      </c>
      <c r="AF376" s="10" t="s">
        <v>1102</v>
      </c>
      <c r="AG376" s="10" t="s">
        <v>324</v>
      </c>
      <c r="AH376" s="10" t="s">
        <v>1956</v>
      </c>
      <c r="AI376" s="10" t="s">
        <v>1403</v>
      </c>
      <c r="AJ376" s="10">
        <v>802631601</v>
      </c>
      <c r="AK376" s="10" t="s">
        <v>362</v>
      </c>
      <c r="AL376" s="10"/>
      <c r="AM376" s="10"/>
      <c r="AN376" s="11" t="s">
        <v>390</v>
      </c>
      <c r="AO376" s="10"/>
      <c r="AP376" s="10"/>
      <c r="AQ376" s="10"/>
      <c r="AR376" s="2" t="s">
        <v>43</v>
      </c>
      <c r="AS376" s="10">
        <v>0</v>
      </c>
      <c r="AT376" s="10" t="s">
        <v>47</v>
      </c>
      <c r="AU376" s="10" t="s">
        <v>1741</v>
      </c>
      <c r="AV376" s="36" t="s">
        <v>1801</v>
      </c>
      <c r="AW376" s="1">
        <v>46203</v>
      </c>
    </row>
    <row r="377" spans="1:49" x14ac:dyDescent="0.25">
      <c r="A377" s="9" t="s">
        <v>2010</v>
      </c>
      <c r="B377" s="10" t="s">
        <v>2136</v>
      </c>
      <c r="C377" s="10">
        <v>0</v>
      </c>
      <c r="D377" s="10" t="s">
        <v>91</v>
      </c>
      <c r="E377" s="10"/>
      <c r="F377" s="10"/>
      <c r="G377" s="10"/>
      <c r="H377" s="10" t="s">
        <v>52</v>
      </c>
      <c r="I377" s="10">
        <v>12</v>
      </c>
      <c r="J377" s="10" t="s">
        <v>2259</v>
      </c>
      <c r="K377" s="10" t="s">
        <v>42</v>
      </c>
      <c r="L377" s="10">
        <f>Table1[[#This Row],[ENR]]-Table1[[#This Row],[CREDIT]]</f>
        <v>-1182.1500000000015</v>
      </c>
      <c r="M377" s="36">
        <v>63000</v>
      </c>
      <c r="N377" s="26">
        <v>61817.85</v>
      </c>
      <c r="O377" s="38">
        <v>37075.07</v>
      </c>
      <c r="P377" s="25">
        <v>24742.78</v>
      </c>
      <c r="Q377" s="25">
        <v>19689.78</v>
      </c>
      <c r="R377" s="10">
        <v>13910</v>
      </c>
      <c r="S377" s="39">
        <v>6770</v>
      </c>
      <c r="T377" s="10" t="s">
        <v>57</v>
      </c>
      <c r="U377" s="10" t="s">
        <v>13</v>
      </c>
      <c r="V377" s="10">
        <v>13910</v>
      </c>
      <c r="W377" s="25">
        <f>Table1[[#This Row],[STAB]]-Table1[[#This Row],[AMOUNT]]</f>
        <v>-7140</v>
      </c>
      <c r="X377" s="10" t="s">
        <v>4923</v>
      </c>
      <c r="Y377" s="10" t="s">
        <v>402</v>
      </c>
      <c r="Z377" s="10" t="s">
        <v>403</v>
      </c>
      <c r="AA377" s="10" t="s">
        <v>113</v>
      </c>
      <c r="AB377" s="36" t="s">
        <v>132</v>
      </c>
      <c r="AC377" s="10"/>
      <c r="AD377" s="9" t="s">
        <v>2381</v>
      </c>
      <c r="AE377" s="10" t="s">
        <v>2502</v>
      </c>
      <c r="AF377" s="10" t="s">
        <v>281</v>
      </c>
      <c r="AG377" s="10" t="s">
        <v>54</v>
      </c>
      <c r="AH377" s="10" t="s">
        <v>724</v>
      </c>
      <c r="AI377" s="10" t="s">
        <v>365</v>
      </c>
      <c r="AJ377" s="10">
        <v>802824019</v>
      </c>
      <c r="AK377" s="10" t="s">
        <v>360</v>
      </c>
      <c r="AL377" s="10"/>
      <c r="AM377" s="10"/>
      <c r="AN377" s="11" t="s">
        <v>390</v>
      </c>
      <c r="AO377" s="10" t="s">
        <v>398</v>
      </c>
      <c r="AP377" s="10" t="s">
        <v>4538</v>
      </c>
      <c r="AQ377" s="10" t="s">
        <v>4535</v>
      </c>
      <c r="AR377" s="2">
        <v>45469</v>
      </c>
      <c r="AS377" s="10">
        <v>11728.49</v>
      </c>
      <c r="AT377" s="10" t="s">
        <v>47</v>
      </c>
      <c r="AU377" s="10" t="s">
        <v>2622</v>
      </c>
      <c r="AV377" s="36" t="s">
        <v>2623</v>
      </c>
      <c r="AW377" s="1">
        <v>46203</v>
      </c>
    </row>
    <row r="378" spans="1:49" x14ac:dyDescent="0.25">
      <c r="A378" s="9" t="s">
        <v>2091</v>
      </c>
      <c r="B378" s="10" t="s">
        <v>2215</v>
      </c>
      <c r="C378" s="10">
        <v>0</v>
      </c>
      <c r="D378" s="10" t="s">
        <v>91</v>
      </c>
      <c r="E378" s="10"/>
      <c r="F378" s="10"/>
      <c r="G378" s="10"/>
      <c r="H378" s="10" t="s">
        <v>52</v>
      </c>
      <c r="I378" s="10">
        <v>12</v>
      </c>
      <c r="J378" s="10" t="s">
        <v>2337</v>
      </c>
      <c r="K378" s="10" t="s">
        <v>42</v>
      </c>
      <c r="L378" s="10">
        <f>Table1[[#This Row],[ENR]]-Table1[[#This Row],[CREDIT]]</f>
        <v>41472.959999999999</v>
      </c>
      <c r="M378" s="36">
        <v>20000</v>
      </c>
      <c r="N378" s="26">
        <v>61472.959999999999</v>
      </c>
      <c r="O378" s="38" t="s">
        <v>43</v>
      </c>
      <c r="P378" s="25">
        <v>61472.959999999999</v>
      </c>
      <c r="Q378" s="25">
        <v>56645.08</v>
      </c>
      <c r="R378" s="10">
        <v>45370</v>
      </c>
      <c r="S378" s="39">
        <v>37650</v>
      </c>
      <c r="T378" s="10" t="s">
        <v>44</v>
      </c>
      <c r="U378" s="10" t="s">
        <v>45</v>
      </c>
      <c r="V378" s="10">
        <v>0</v>
      </c>
      <c r="W378" s="25">
        <f>Table1[[#This Row],[STAB]]-Table1[[#This Row],[AMOUNT]]</f>
        <v>37650</v>
      </c>
      <c r="X378" s="10">
        <v>0</v>
      </c>
      <c r="Y378" s="10" t="s">
        <v>79</v>
      </c>
      <c r="Z378" s="10">
        <v>0</v>
      </c>
      <c r="AA378" s="10" t="s">
        <v>113</v>
      </c>
      <c r="AB378" s="36" t="s">
        <v>131</v>
      </c>
      <c r="AC378" s="10"/>
      <c r="AD378" s="9" t="s">
        <v>2460</v>
      </c>
      <c r="AE378" s="10" t="s">
        <v>2581</v>
      </c>
      <c r="AF378" s="10" t="s">
        <v>286</v>
      </c>
      <c r="AG378" s="10" t="s">
        <v>54</v>
      </c>
      <c r="AH378" s="10" t="s">
        <v>58</v>
      </c>
      <c r="AI378" s="10" t="s">
        <v>133</v>
      </c>
      <c r="AJ378" s="10">
        <v>802555024</v>
      </c>
      <c r="AK378" s="10" t="s">
        <v>362</v>
      </c>
      <c r="AL378" s="10"/>
      <c r="AM378" s="10"/>
      <c r="AN378" s="11" t="s">
        <v>390</v>
      </c>
      <c r="AO378" s="10" t="s">
        <v>398</v>
      </c>
      <c r="AP378" s="10" t="s">
        <v>4558</v>
      </c>
      <c r="AQ378" s="10" t="s">
        <v>4535</v>
      </c>
      <c r="AR378" s="2">
        <v>45498</v>
      </c>
      <c r="AS378" s="10">
        <v>15000</v>
      </c>
      <c r="AT378" s="10" t="s">
        <v>47</v>
      </c>
      <c r="AU378" s="10" t="s">
        <v>2622</v>
      </c>
      <c r="AV378" s="36" t="s">
        <v>2704</v>
      </c>
      <c r="AW378" s="1">
        <v>46203</v>
      </c>
    </row>
    <row r="379" spans="1:49" x14ac:dyDescent="0.25">
      <c r="A379" s="9" t="s">
        <v>2095</v>
      </c>
      <c r="B379" s="10" t="s">
        <v>2219</v>
      </c>
      <c r="C379" s="10">
        <v>0</v>
      </c>
      <c r="D379" s="10" t="s">
        <v>91</v>
      </c>
      <c r="E379" s="10"/>
      <c r="F379" s="10"/>
      <c r="G379" s="10"/>
      <c r="H379" s="10" t="s">
        <v>52</v>
      </c>
      <c r="I379" s="10">
        <v>12</v>
      </c>
      <c r="J379" s="10" t="s">
        <v>2341</v>
      </c>
      <c r="K379" s="10" t="s">
        <v>42</v>
      </c>
      <c r="L379" s="10">
        <f>Table1[[#This Row],[ENR]]-Table1[[#This Row],[CREDIT]]</f>
        <v>3047.1399999999994</v>
      </c>
      <c r="M379" s="36">
        <v>58000</v>
      </c>
      <c r="N379" s="26">
        <v>61047.14</v>
      </c>
      <c r="O379" s="38" t="s">
        <v>43</v>
      </c>
      <c r="P379" s="25">
        <v>61047.14</v>
      </c>
      <c r="Q379" s="25">
        <v>50290.67</v>
      </c>
      <c r="R379" s="10">
        <v>18560</v>
      </c>
      <c r="S379" s="39">
        <v>9210</v>
      </c>
      <c r="T379" s="10" t="s">
        <v>44</v>
      </c>
      <c r="U379" s="10" t="s">
        <v>45</v>
      </c>
      <c r="V379" s="10">
        <v>0</v>
      </c>
      <c r="W379" s="25">
        <f>Table1[[#This Row],[STAB]]-Table1[[#This Row],[AMOUNT]]</f>
        <v>9210</v>
      </c>
      <c r="X379" s="10">
        <v>0</v>
      </c>
      <c r="Y379" s="10" t="s">
        <v>79</v>
      </c>
      <c r="Z379" s="10">
        <v>0</v>
      </c>
      <c r="AA379" s="10" t="s">
        <v>113</v>
      </c>
      <c r="AB379" s="36" t="s">
        <v>131</v>
      </c>
      <c r="AC379" s="10"/>
      <c r="AD379" s="9" t="s">
        <v>2464</v>
      </c>
      <c r="AE379" s="10" t="s">
        <v>2585</v>
      </c>
      <c r="AF379" s="10" t="s">
        <v>2618</v>
      </c>
      <c r="AG379" s="10" t="s">
        <v>324</v>
      </c>
      <c r="AH379" s="10" t="s">
        <v>1361</v>
      </c>
      <c r="AI379" s="10" t="s">
        <v>1404</v>
      </c>
      <c r="AJ379" s="10">
        <v>802852449</v>
      </c>
      <c r="AK379" s="10" t="s">
        <v>104</v>
      </c>
      <c r="AL379" s="10"/>
      <c r="AM379" s="10"/>
      <c r="AN379" s="11" t="s">
        <v>390</v>
      </c>
      <c r="AO379" s="10" t="s">
        <v>398</v>
      </c>
      <c r="AP379" s="10" t="s">
        <v>4534</v>
      </c>
      <c r="AQ379" s="10" t="s">
        <v>4530</v>
      </c>
      <c r="AR379" s="2" t="s">
        <v>43</v>
      </c>
      <c r="AS379" s="10">
        <v>0</v>
      </c>
      <c r="AT379" s="10" t="s">
        <v>47</v>
      </c>
      <c r="AU379" s="10" t="s">
        <v>2622</v>
      </c>
      <c r="AV379" s="36" t="s">
        <v>2708</v>
      </c>
      <c r="AW379" s="1">
        <v>46203</v>
      </c>
    </row>
    <row r="380" spans="1:49" x14ac:dyDescent="0.25">
      <c r="A380" s="9" t="s">
        <v>1459</v>
      </c>
      <c r="B380" s="10" t="s">
        <v>1523</v>
      </c>
      <c r="C380" s="10">
        <v>0</v>
      </c>
      <c r="D380" s="10" t="s">
        <v>91</v>
      </c>
      <c r="E380" s="10"/>
      <c r="F380" s="10"/>
      <c r="G380" s="10"/>
      <c r="H380" s="10" t="s">
        <v>84</v>
      </c>
      <c r="I380" s="10">
        <v>12</v>
      </c>
      <c r="J380" s="10" t="s">
        <v>1587</v>
      </c>
      <c r="K380" s="10" t="s">
        <v>42</v>
      </c>
      <c r="L380" s="10">
        <f>Table1[[#This Row],[ENR]]-Table1[[#This Row],[CREDIT]]</f>
        <v>424.72000000000116</v>
      </c>
      <c r="M380" s="36">
        <v>60000</v>
      </c>
      <c r="N380" s="26">
        <v>60424.72</v>
      </c>
      <c r="O380" s="38" t="s">
        <v>43</v>
      </c>
      <c r="P380" s="25">
        <v>60424.72</v>
      </c>
      <c r="Q380" s="25">
        <v>56037.37</v>
      </c>
      <c r="R380" s="10">
        <v>11290</v>
      </c>
      <c r="S380" s="39">
        <v>6300</v>
      </c>
      <c r="T380" s="10" t="s">
        <v>57</v>
      </c>
      <c r="U380" s="10" t="s">
        <v>13</v>
      </c>
      <c r="V380" s="10">
        <v>11290</v>
      </c>
      <c r="W380" s="25">
        <f>Table1[[#This Row],[STAB]]-Table1[[#This Row],[AMOUNT]]</f>
        <v>-4990</v>
      </c>
      <c r="X380" s="10">
        <v>0</v>
      </c>
      <c r="Y380" s="10" t="s">
        <v>388</v>
      </c>
      <c r="Z380" s="10" t="s">
        <v>403</v>
      </c>
      <c r="AA380" s="10" t="s">
        <v>113</v>
      </c>
      <c r="AB380" s="10" t="s">
        <v>133</v>
      </c>
      <c r="AC380" s="10"/>
      <c r="AD380" s="9" t="s">
        <v>1651</v>
      </c>
      <c r="AE380" s="10" t="s">
        <v>1714</v>
      </c>
      <c r="AF380" s="10" t="s">
        <v>287</v>
      </c>
      <c r="AG380" s="10" t="s">
        <v>324</v>
      </c>
      <c r="AH380" s="10" t="s">
        <v>1361</v>
      </c>
      <c r="AI380" s="10" t="s">
        <v>1404</v>
      </c>
      <c r="AJ380" s="10">
        <v>802852449</v>
      </c>
      <c r="AK380" s="10" t="s">
        <v>104</v>
      </c>
      <c r="AL380" s="10"/>
      <c r="AM380" s="10"/>
      <c r="AN380" s="11" t="s">
        <v>390</v>
      </c>
      <c r="AO380" s="10" t="s">
        <v>392</v>
      </c>
      <c r="AP380" s="10" t="s">
        <v>2957</v>
      </c>
      <c r="AQ380" s="10" t="s">
        <v>2004</v>
      </c>
      <c r="AR380" s="2">
        <v>45746</v>
      </c>
      <c r="AS380" s="10">
        <v>5000</v>
      </c>
      <c r="AT380" s="10" t="s">
        <v>47</v>
      </c>
      <c r="AU380" s="10" t="s">
        <v>1741</v>
      </c>
      <c r="AV380" s="36" t="s">
        <v>1786</v>
      </c>
      <c r="AW380" s="1">
        <v>46203</v>
      </c>
    </row>
    <row r="381" spans="1:49" x14ac:dyDescent="0.25">
      <c r="A381" s="9" t="s">
        <v>1436</v>
      </c>
      <c r="B381" s="10" t="s">
        <v>1502</v>
      </c>
      <c r="C381" s="10">
        <v>0</v>
      </c>
      <c r="D381" s="10" t="s">
        <v>91</v>
      </c>
      <c r="E381" s="10"/>
      <c r="F381" s="10"/>
      <c r="G381" s="10"/>
      <c r="H381" s="10" t="s">
        <v>52</v>
      </c>
      <c r="I381" s="10">
        <v>12</v>
      </c>
      <c r="J381" s="10" t="s">
        <v>1566</v>
      </c>
      <c r="K381" s="10" t="s">
        <v>42</v>
      </c>
      <c r="L381" s="10">
        <f>Table1[[#This Row],[ENR]]-Table1[[#This Row],[CREDIT]]</f>
        <v>4853.8799999999974</v>
      </c>
      <c r="M381" s="36">
        <v>55000</v>
      </c>
      <c r="N381" s="26">
        <v>59853.88</v>
      </c>
      <c r="O381" s="38" t="s">
        <v>43</v>
      </c>
      <c r="P381" s="25">
        <v>59853.88</v>
      </c>
      <c r="Q381" s="25">
        <v>51894.21</v>
      </c>
      <c r="R381" s="10">
        <v>15720</v>
      </c>
      <c r="S381" s="39">
        <v>5450</v>
      </c>
      <c r="T381" s="10" t="s">
        <v>57</v>
      </c>
      <c r="U381" s="10" t="s">
        <v>14</v>
      </c>
      <c r="V381" s="25">
        <v>5500</v>
      </c>
      <c r="W381" s="25">
        <f>Table1[[#This Row],[STAB]]-Table1[[#This Row],[AMOUNT]]</f>
        <v>-50</v>
      </c>
      <c r="X381" s="10" t="s">
        <v>4530</v>
      </c>
      <c r="Y381" s="10" t="s">
        <v>396</v>
      </c>
      <c r="Z381" s="10" t="s">
        <v>403</v>
      </c>
      <c r="AA381" s="10" t="s">
        <v>113</v>
      </c>
      <c r="AB381" s="36" t="s">
        <v>375</v>
      </c>
      <c r="AC381" s="10"/>
      <c r="AD381" s="9" t="s">
        <v>1630</v>
      </c>
      <c r="AE381" s="10" t="s">
        <v>1693</v>
      </c>
      <c r="AF381" s="10" t="s">
        <v>286</v>
      </c>
      <c r="AG381" s="10" t="s">
        <v>54</v>
      </c>
      <c r="AH381" s="10" t="s">
        <v>58</v>
      </c>
      <c r="AI381" s="10" t="s">
        <v>133</v>
      </c>
      <c r="AJ381" s="10">
        <v>802555024</v>
      </c>
      <c r="AK381" s="10" t="s">
        <v>362</v>
      </c>
      <c r="AL381" s="10"/>
      <c r="AM381" s="10"/>
      <c r="AN381" s="11" t="s">
        <v>390</v>
      </c>
      <c r="AO381" s="10"/>
      <c r="AP381" s="10"/>
      <c r="AQ381" s="10"/>
      <c r="AR381" s="2">
        <v>44816</v>
      </c>
      <c r="AS381" s="10">
        <v>759</v>
      </c>
      <c r="AT381" s="10" t="s">
        <v>47</v>
      </c>
      <c r="AU381" s="10" t="s">
        <v>1741</v>
      </c>
      <c r="AV381" s="36" t="s">
        <v>1763</v>
      </c>
      <c r="AW381" s="1">
        <v>46203</v>
      </c>
    </row>
    <row r="382" spans="1:49" x14ac:dyDescent="0.25">
      <c r="A382" s="9" t="s">
        <v>2022</v>
      </c>
      <c r="B382" s="10" t="s">
        <v>2148</v>
      </c>
      <c r="C382" s="10">
        <v>0</v>
      </c>
      <c r="D382" s="10" t="s">
        <v>91</v>
      </c>
      <c r="E382" s="10"/>
      <c r="F382" s="10"/>
      <c r="G382" s="10"/>
      <c r="H382" s="10" t="s">
        <v>52</v>
      </c>
      <c r="I382" s="10">
        <v>12</v>
      </c>
      <c r="J382" s="10" t="s">
        <v>2271</v>
      </c>
      <c r="K382" s="10" t="s">
        <v>42</v>
      </c>
      <c r="L382" s="10">
        <f>Table1[[#This Row],[ENR]]-Table1[[#This Row],[CREDIT]]</f>
        <v>8072.68</v>
      </c>
      <c r="M382" s="36">
        <v>50000</v>
      </c>
      <c r="N382" s="26">
        <v>58072.68</v>
      </c>
      <c r="O382" s="38" t="s">
        <v>43</v>
      </c>
      <c r="P382" s="25">
        <v>58072.68</v>
      </c>
      <c r="Q382" s="25">
        <v>49947.91</v>
      </c>
      <c r="R382" s="10">
        <v>20480</v>
      </c>
      <c r="S382" s="39">
        <v>10590</v>
      </c>
      <c r="T382" s="10" t="s">
        <v>44</v>
      </c>
      <c r="U382" s="10" t="s">
        <v>45</v>
      </c>
      <c r="V382" s="10">
        <v>0</v>
      </c>
      <c r="W382" s="25">
        <f>Table1[[#This Row],[STAB]]-Table1[[#This Row],[AMOUNT]]</f>
        <v>10590</v>
      </c>
      <c r="X382" s="10">
        <v>0</v>
      </c>
      <c r="Y382" s="10" t="s">
        <v>79</v>
      </c>
      <c r="Z382" s="10">
        <v>0</v>
      </c>
      <c r="AA382" s="10" t="s">
        <v>113</v>
      </c>
      <c r="AB382" s="36" t="s">
        <v>132</v>
      </c>
      <c r="AC382" s="10"/>
      <c r="AD382" s="9" t="s">
        <v>2393</v>
      </c>
      <c r="AE382" s="10" t="s">
        <v>2514</v>
      </c>
      <c r="AF382" s="10" t="s">
        <v>272</v>
      </c>
      <c r="AG382" s="10" t="s">
        <v>54</v>
      </c>
      <c r="AH382" s="10" t="s">
        <v>357</v>
      </c>
      <c r="AI382" s="10" t="s">
        <v>1960</v>
      </c>
      <c r="AJ382" s="10">
        <v>801264672</v>
      </c>
      <c r="AK382" s="10" t="s">
        <v>1959</v>
      </c>
      <c r="AL382" s="10"/>
      <c r="AM382" s="10"/>
      <c r="AN382" s="11" t="s">
        <v>390</v>
      </c>
      <c r="AO382" s="10" t="s">
        <v>394</v>
      </c>
      <c r="AP382" s="10" t="s">
        <v>4571</v>
      </c>
      <c r="AQ382" s="10" t="s">
        <v>4566</v>
      </c>
      <c r="AR382" s="2" t="s">
        <v>43</v>
      </c>
      <c r="AS382" s="10">
        <v>0</v>
      </c>
      <c r="AT382" s="10" t="s">
        <v>47</v>
      </c>
      <c r="AU382" s="10" t="s">
        <v>2622</v>
      </c>
      <c r="AV382" s="36" t="s">
        <v>2635</v>
      </c>
      <c r="AW382" s="1">
        <v>46203</v>
      </c>
    </row>
    <row r="383" spans="1:49" x14ac:dyDescent="0.25">
      <c r="A383" s="9" t="s">
        <v>2089</v>
      </c>
      <c r="B383" s="10" t="s">
        <v>2213</v>
      </c>
      <c r="C383" s="10">
        <v>0</v>
      </c>
      <c r="D383" s="10" t="s">
        <v>91</v>
      </c>
      <c r="E383" s="10"/>
      <c r="F383" s="10"/>
      <c r="G383" s="10"/>
      <c r="H383" s="10" t="s">
        <v>52</v>
      </c>
      <c r="I383" s="10">
        <v>12</v>
      </c>
      <c r="J383" s="10" t="s">
        <v>2335</v>
      </c>
      <c r="K383" s="10" t="s">
        <v>42</v>
      </c>
      <c r="L383" s="10">
        <f>Table1[[#This Row],[ENR]]-Table1[[#This Row],[CREDIT]]</f>
        <v>-2979.3499999999985</v>
      </c>
      <c r="M383" s="36">
        <v>60000</v>
      </c>
      <c r="N383" s="26">
        <v>57020.65</v>
      </c>
      <c r="O383" s="38" t="s">
        <v>43</v>
      </c>
      <c r="P383" s="25">
        <v>57020.65</v>
      </c>
      <c r="Q383" s="25">
        <v>47251.48</v>
      </c>
      <c r="R383" s="10">
        <v>14390</v>
      </c>
      <c r="S383" s="39">
        <v>8300</v>
      </c>
      <c r="T383" s="10" t="s">
        <v>57</v>
      </c>
      <c r="U383" s="10" t="s">
        <v>14</v>
      </c>
      <c r="V383" s="25">
        <v>8500</v>
      </c>
      <c r="W383" s="25">
        <f>Table1[[#This Row],[STAB]]-Table1[[#This Row],[AMOUNT]]</f>
        <v>-200</v>
      </c>
      <c r="X383" s="10" t="s">
        <v>4923</v>
      </c>
      <c r="Y383" s="10" t="s">
        <v>402</v>
      </c>
      <c r="Z383" s="10" t="s">
        <v>403</v>
      </c>
      <c r="AA383" s="10" t="s">
        <v>113</v>
      </c>
      <c r="AB383" s="10" t="s">
        <v>133</v>
      </c>
      <c r="AC383" s="10"/>
      <c r="AD383" s="9" t="s">
        <v>2458</v>
      </c>
      <c r="AE383" s="10" t="s">
        <v>2579</v>
      </c>
      <c r="AF383" s="10" t="s">
        <v>283</v>
      </c>
      <c r="AG383" s="10" t="s">
        <v>53</v>
      </c>
      <c r="AH383" s="10" t="s">
        <v>356</v>
      </c>
      <c r="AI383" s="10" t="s">
        <v>2962</v>
      </c>
      <c r="AJ383" s="10">
        <v>801601134</v>
      </c>
      <c r="AK383" s="10" t="s">
        <v>104</v>
      </c>
      <c r="AL383" s="10"/>
      <c r="AM383" s="10"/>
      <c r="AN383" s="11" t="s">
        <v>390</v>
      </c>
      <c r="AO383" s="10"/>
      <c r="AP383" s="10"/>
      <c r="AQ383" s="10"/>
      <c r="AR383" s="2" t="s">
        <v>43</v>
      </c>
      <c r="AS383" s="10">
        <v>0</v>
      </c>
      <c r="AT383" s="10" t="s">
        <v>47</v>
      </c>
      <c r="AU383" s="10" t="s">
        <v>2622</v>
      </c>
      <c r="AV383" s="36" t="s">
        <v>2702</v>
      </c>
      <c r="AW383" s="1">
        <v>46203</v>
      </c>
    </row>
    <row r="384" spans="1:49" x14ac:dyDescent="0.25">
      <c r="A384" s="9" t="s">
        <v>2108</v>
      </c>
      <c r="B384" s="10" t="s">
        <v>2231</v>
      </c>
      <c r="C384" s="10">
        <v>0</v>
      </c>
      <c r="D384" s="10" t="s">
        <v>91</v>
      </c>
      <c r="E384" s="10"/>
      <c r="F384" s="10"/>
      <c r="G384" s="10"/>
      <c r="H384" s="10" t="s">
        <v>52</v>
      </c>
      <c r="I384" s="10">
        <v>12</v>
      </c>
      <c r="J384" s="10" t="s">
        <v>2353</v>
      </c>
      <c r="K384" s="10" t="s">
        <v>42</v>
      </c>
      <c r="L384" s="10">
        <f>Table1[[#This Row],[ENR]]-Table1[[#This Row],[CREDIT]]</f>
        <v>6807.1500000000015</v>
      </c>
      <c r="M384" s="36">
        <v>50000</v>
      </c>
      <c r="N384" s="26">
        <v>56807.15</v>
      </c>
      <c r="O384" s="38" t="s">
        <v>43</v>
      </c>
      <c r="P384" s="25">
        <v>56807.15</v>
      </c>
      <c r="Q384" s="25">
        <v>48605.52</v>
      </c>
      <c r="R384" s="10">
        <v>17910</v>
      </c>
      <c r="S384" s="39">
        <v>5810</v>
      </c>
      <c r="T384" s="10" t="s">
        <v>44</v>
      </c>
      <c r="U384" s="10" t="s">
        <v>45</v>
      </c>
      <c r="V384" s="10">
        <v>0</v>
      </c>
      <c r="W384" s="25">
        <f>Table1[[#This Row],[STAB]]-Table1[[#This Row],[AMOUNT]]</f>
        <v>5810</v>
      </c>
      <c r="X384" s="10">
        <v>0</v>
      </c>
      <c r="Y384" s="10" t="s">
        <v>79</v>
      </c>
      <c r="Z384" s="10" t="s">
        <v>963</v>
      </c>
      <c r="AA384" s="10" t="s">
        <v>113</v>
      </c>
      <c r="AB384" s="36" t="s">
        <v>375</v>
      </c>
      <c r="AC384" s="10"/>
      <c r="AD384" s="9" t="s">
        <v>2476</v>
      </c>
      <c r="AE384" s="10" t="s">
        <v>2597</v>
      </c>
      <c r="AF384" s="10" t="s">
        <v>272</v>
      </c>
      <c r="AG384" s="10" t="s">
        <v>54</v>
      </c>
      <c r="AH384" s="10" t="s">
        <v>357</v>
      </c>
      <c r="AI384" s="10" t="s">
        <v>1960</v>
      </c>
      <c r="AJ384" s="10">
        <v>801264672</v>
      </c>
      <c r="AK384" s="10" t="s">
        <v>1959</v>
      </c>
      <c r="AL384" s="10"/>
      <c r="AM384" s="10"/>
      <c r="AN384" s="11" t="s">
        <v>46</v>
      </c>
      <c r="AO384" s="10"/>
      <c r="AP384" s="10"/>
      <c r="AQ384" s="10"/>
      <c r="AR384" s="2">
        <v>46144</v>
      </c>
      <c r="AS384" s="10">
        <v>25380</v>
      </c>
      <c r="AT384" s="10" t="s">
        <v>2620</v>
      </c>
      <c r="AU384" s="10" t="s">
        <v>2622</v>
      </c>
      <c r="AV384" s="36" t="s">
        <v>2721</v>
      </c>
      <c r="AW384" s="1">
        <v>46203</v>
      </c>
    </row>
    <row r="385" spans="1:49" x14ac:dyDescent="0.25">
      <c r="A385" s="9" t="s">
        <v>2060</v>
      </c>
      <c r="B385" s="10" t="s">
        <v>2184</v>
      </c>
      <c r="C385" s="10">
        <v>0</v>
      </c>
      <c r="D385" s="10" t="s">
        <v>91</v>
      </c>
      <c r="E385" s="10"/>
      <c r="F385" s="10"/>
      <c r="G385" s="10"/>
      <c r="H385" s="10" t="s">
        <v>52</v>
      </c>
      <c r="I385" s="10">
        <v>12</v>
      </c>
      <c r="J385" s="10" t="s">
        <v>2306</v>
      </c>
      <c r="K385" s="10" t="s">
        <v>42</v>
      </c>
      <c r="L385" s="10">
        <f>Table1[[#This Row],[ENR]]-Table1[[#This Row],[CREDIT]]</f>
        <v>5959.4100000000035</v>
      </c>
      <c r="M385" s="36">
        <v>50000</v>
      </c>
      <c r="N385" s="26">
        <v>55959.41</v>
      </c>
      <c r="O385" s="38" t="s">
        <v>43</v>
      </c>
      <c r="P385" s="25">
        <v>55959.41</v>
      </c>
      <c r="Q385" s="25">
        <v>47390.23</v>
      </c>
      <c r="R385" s="10">
        <v>18760</v>
      </c>
      <c r="S385" s="39">
        <v>9180</v>
      </c>
      <c r="T385" s="10" t="s">
        <v>44</v>
      </c>
      <c r="U385" s="10" t="s">
        <v>45</v>
      </c>
      <c r="V385" s="10">
        <v>0</v>
      </c>
      <c r="W385" s="25">
        <f>Table1[[#This Row],[STAB]]-Table1[[#This Row],[AMOUNT]]</f>
        <v>9180</v>
      </c>
      <c r="X385" s="10">
        <v>0</v>
      </c>
      <c r="Y385" s="10" t="s">
        <v>79</v>
      </c>
      <c r="Z385" s="10">
        <v>0</v>
      </c>
      <c r="AA385" s="10" t="s">
        <v>113</v>
      </c>
      <c r="AB385" s="36" t="s">
        <v>374</v>
      </c>
      <c r="AC385" s="10"/>
      <c r="AD385" s="9" t="s">
        <v>2429</v>
      </c>
      <c r="AE385" s="10" t="s">
        <v>2550</v>
      </c>
      <c r="AF385" s="10" t="s">
        <v>273</v>
      </c>
      <c r="AG385" s="10" t="s">
        <v>80</v>
      </c>
      <c r="AH385" s="10" t="s">
        <v>87</v>
      </c>
      <c r="AI385" s="10" t="s">
        <v>368</v>
      </c>
      <c r="AJ385" s="10">
        <v>802823175</v>
      </c>
      <c r="AK385" s="10" t="s">
        <v>105</v>
      </c>
      <c r="AL385" s="10"/>
      <c r="AM385" s="10"/>
      <c r="AN385" s="11" t="s">
        <v>390</v>
      </c>
      <c r="AO385" s="10" t="s">
        <v>392</v>
      </c>
      <c r="AP385" s="10" t="s">
        <v>4618</v>
      </c>
      <c r="AQ385" s="10" t="s">
        <v>4619</v>
      </c>
      <c r="AR385" s="2">
        <v>45472</v>
      </c>
      <c r="AS385" s="10">
        <v>48074.19</v>
      </c>
      <c r="AT385" s="10" t="s">
        <v>47</v>
      </c>
      <c r="AU385" s="10" t="s">
        <v>2622</v>
      </c>
      <c r="AV385" s="36" t="s">
        <v>2673</v>
      </c>
      <c r="AW385" s="1">
        <v>46203</v>
      </c>
    </row>
    <row r="386" spans="1:49" x14ac:dyDescent="0.25">
      <c r="A386" s="9" t="s">
        <v>2021</v>
      </c>
      <c r="B386" s="10" t="s">
        <v>2147</v>
      </c>
      <c r="C386" s="10">
        <v>0</v>
      </c>
      <c r="D386" s="10" t="s">
        <v>91</v>
      </c>
      <c r="E386" s="10"/>
      <c r="F386" s="10"/>
      <c r="G386" s="10"/>
      <c r="H386" s="10" t="s">
        <v>52</v>
      </c>
      <c r="I386" s="10">
        <v>12</v>
      </c>
      <c r="J386" s="10" t="s">
        <v>2270</v>
      </c>
      <c r="K386" s="10" t="s">
        <v>42</v>
      </c>
      <c r="L386" s="10">
        <f>Table1[[#This Row],[ENR]]-Table1[[#This Row],[CREDIT]]</f>
        <v>-74092.47</v>
      </c>
      <c r="M386" s="36">
        <v>130000</v>
      </c>
      <c r="N386" s="26">
        <v>55907.53</v>
      </c>
      <c r="O386" s="38" t="s">
        <v>43</v>
      </c>
      <c r="P386" s="25">
        <v>55907.53</v>
      </c>
      <c r="Q386" s="25">
        <v>47399</v>
      </c>
      <c r="R386" s="10">
        <v>13140</v>
      </c>
      <c r="S386" s="39">
        <v>7080</v>
      </c>
      <c r="T386" s="10" t="s">
        <v>44</v>
      </c>
      <c r="U386" s="10" t="s">
        <v>45</v>
      </c>
      <c r="V386" s="10">
        <v>0</v>
      </c>
      <c r="W386" s="25">
        <f>Table1[[#This Row],[STAB]]-Table1[[#This Row],[AMOUNT]]</f>
        <v>7080</v>
      </c>
      <c r="X386" s="10">
        <v>0</v>
      </c>
      <c r="Y386" s="10" t="s">
        <v>79</v>
      </c>
      <c r="Z386" s="10">
        <v>0</v>
      </c>
      <c r="AA386" s="10" t="s">
        <v>113</v>
      </c>
      <c r="AB386" s="41" t="s">
        <v>376</v>
      </c>
      <c r="AC386" s="10"/>
      <c r="AD386" s="9" t="s">
        <v>2392</v>
      </c>
      <c r="AE386" s="10" t="s">
        <v>2513</v>
      </c>
      <c r="AF386" s="10" t="s">
        <v>278</v>
      </c>
      <c r="AG386" s="10" t="s">
        <v>54</v>
      </c>
      <c r="AH386" s="10" t="s">
        <v>86</v>
      </c>
      <c r="AI386" s="10" t="s">
        <v>369</v>
      </c>
      <c r="AJ386" s="10">
        <v>802823180</v>
      </c>
      <c r="AK386" s="10" t="s">
        <v>105</v>
      </c>
      <c r="AL386" s="10"/>
      <c r="AM386" s="10"/>
      <c r="AN386" s="11" t="s">
        <v>46</v>
      </c>
      <c r="AO386" s="10"/>
      <c r="AP386" s="10"/>
      <c r="AQ386" s="10"/>
      <c r="AR386" s="2">
        <v>45479</v>
      </c>
      <c r="AS386" s="10">
        <v>200</v>
      </c>
      <c r="AT386" s="10" t="s">
        <v>47</v>
      </c>
      <c r="AU386" s="10" t="s">
        <v>2622</v>
      </c>
      <c r="AV386" s="36" t="s">
        <v>2634</v>
      </c>
      <c r="AW386" s="1">
        <v>46203</v>
      </c>
    </row>
    <row r="387" spans="1:49" x14ac:dyDescent="0.25">
      <c r="A387" s="9" t="s">
        <v>2100</v>
      </c>
      <c r="B387" s="10" t="s">
        <v>2224</v>
      </c>
      <c r="C387" s="10">
        <v>0</v>
      </c>
      <c r="D387" s="10" t="s">
        <v>91</v>
      </c>
      <c r="E387" s="10"/>
      <c r="F387" s="10"/>
      <c r="G387" s="10"/>
      <c r="H387" s="10" t="s">
        <v>52</v>
      </c>
      <c r="I387" s="10">
        <v>12</v>
      </c>
      <c r="J387" s="10" t="s">
        <v>2346</v>
      </c>
      <c r="K387" s="10" t="s">
        <v>42</v>
      </c>
      <c r="L387" s="10">
        <f>Table1[[#This Row],[ENR]]-Table1[[#This Row],[CREDIT]]</f>
        <v>35821</v>
      </c>
      <c r="M387" s="36">
        <v>20000</v>
      </c>
      <c r="N387" s="26">
        <v>55821</v>
      </c>
      <c r="O387" s="38" t="s">
        <v>43</v>
      </c>
      <c r="P387" s="25">
        <v>55821</v>
      </c>
      <c r="Q387" s="25">
        <v>48551</v>
      </c>
      <c r="R387" s="10">
        <v>42820</v>
      </c>
      <c r="S387" s="39">
        <v>34510</v>
      </c>
      <c r="T387" s="10" t="s">
        <v>44</v>
      </c>
      <c r="U387" s="10" t="s">
        <v>45</v>
      </c>
      <c r="V387" s="10">
        <v>0</v>
      </c>
      <c r="W387" s="25">
        <f>Table1[[#This Row],[STAB]]-Table1[[#This Row],[AMOUNT]]</f>
        <v>34510</v>
      </c>
      <c r="X387" s="10">
        <v>0</v>
      </c>
      <c r="Y387" s="10" t="s">
        <v>79</v>
      </c>
      <c r="Z387" s="10">
        <v>0</v>
      </c>
      <c r="AA387" s="10" t="s">
        <v>113</v>
      </c>
      <c r="AB387" s="41" t="s">
        <v>376</v>
      </c>
      <c r="AC387" s="10"/>
      <c r="AD387" s="9" t="s">
        <v>2469</v>
      </c>
      <c r="AE387" s="10" t="s">
        <v>2590</v>
      </c>
      <c r="AF387" s="10" t="s">
        <v>280</v>
      </c>
      <c r="AG387" s="10" t="s">
        <v>54</v>
      </c>
      <c r="AH387" s="10" t="s">
        <v>358</v>
      </c>
      <c r="AI387" s="10" t="s">
        <v>365</v>
      </c>
      <c r="AJ387" s="10">
        <v>802824019</v>
      </c>
      <c r="AK387" s="10" t="s">
        <v>360</v>
      </c>
      <c r="AL387" s="10"/>
      <c r="AM387" s="10"/>
      <c r="AN387" s="11" t="s">
        <v>46</v>
      </c>
      <c r="AO387" s="10"/>
      <c r="AP387" s="10"/>
      <c r="AQ387" s="10"/>
      <c r="AR387" s="2" t="s">
        <v>43</v>
      </c>
      <c r="AS387" s="10">
        <v>0</v>
      </c>
      <c r="AT387" s="10" t="s">
        <v>47</v>
      </c>
      <c r="AU387" s="10" t="s">
        <v>2622</v>
      </c>
      <c r="AV387" s="36" t="s">
        <v>2713</v>
      </c>
      <c r="AW387" s="1">
        <v>46203</v>
      </c>
    </row>
    <row r="388" spans="1:49" x14ac:dyDescent="0.25">
      <c r="A388" s="9" t="s">
        <v>2101</v>
      </c>
      <c r="B388" s="10" t="s">
        <v>2225</v>
      </c>
      <c r="C388" s="10">
        <v>0</v>
      </c>
      <c r="D388" s="10" t="s">
        <v>91</v>
      </c>
      <c r="E388" s="10"/>
      <c r="F388" s="10"/>
      <c r="G388" s="10"/>
      <c r="H388" s="10" t="s">
        <v>52</v>
      </c>
      <c r="I388" s="10">
        <v>12</v>
      </c>
      <c r="J388" s="10" t="s">
        <v>2347</v>
      </c>
      <c r="K388" s="10" t="s">
        <v>42</v>
      </c>
      <c r="L388" s="10">
        <f>Table1[[#This Row],[ENR]]-Table1[[#This Row],[CREDIT]]</f>
        <v>5580.1200000000026</v>
      </c>
      <c r="M388" s="36">
        <v>50000</v>
      </c>
      <c r="N388" s="26">
        <v>55580.12</v>
      </c>
      <c r="O388" s="38" t="s">
        <v>43</v>
      </c>
      <c r="P388" s="25">
        <v>55580.12</v>
      </c>
      <c r="Q388" s="25">
        <v>48663.03</v>
      </c>
      <c r="R388" s="10">
        <v>16890</v>
      </c>
      <c r="S388" s="39">
        <v>7150</v>
      </c>
      <c r="T388" s="10" t="s">
        <v>44</v>
      </c>
      <c r="U388" s="10" t="s">
        <v>45</v>
      </c>
      <c r="V388" s="10">
        <v>0</v>
      </c>
      <c r="W388" s="25">
        <f>Table1[[#This Row],[STAB]]-Table1[[#This Row],[AMOUNT]]</f>
        <v>7150</v>
      </c>
      <c r="X388" s="10">
        <v>0</v>
      </c>
      <c r="Y388" s="10" t="s">
        <v>79</v>
      </c>
      <c r="Z388" s="10" t="s">
        <v>403</v>
      </c>
      <c r="AA388" s="10" t="s">
        <v>113</v>
      </c>
      <c r="AB388" s="36" t="s">
        <v>374</v>
      </c>
      <c r="AC388" s="10"/>
      <c r="AD388" s="9" t="s">
        <v>2470</v>
      </c>
      <c r="AE388" s="10" t="s">
        <v>2591</v>
      </c>
      <c r="AF388" s="10" t="s">
        <v>498</v>
      </c>
      <c r="AG388" s="10" t="s">
        <v>53</v>
      </c>
      <c r="AH388" s="10" t="s">
        <v>90</v>
      </c>
      <c r="AI388" s="10" t="s">
        <v>162</v>
      </c>
      <c r="AJ388" s="10">
        <v>801772794</v>
      </c>
      <c r="AK388" s="10" t="s">
        <v>361</v>
      </c>
      <c r="AL388" s="10"/>
      <c r="AM388" s="10"/>
      <c r="AN388" s="11" t="s">
        <v>390</v>
      </c>
      <c r="AO388" s="10" t="s">
        <v>392</v>
      </c>
      <c r="AP388" s="10" t="s">
        <v>4615</v>
      </c>
      <c r="AQ388" s="10" t="s">
        <v>4591</v>
      </c>
      <c r="AR388" s="2" t="s">
        <v>43</v>
      </c>
      <c r="AS388" s="10">
        <v>0</v>
      </c>
      <c r="AT388" s="10" t="s">
        <v>47</v>
      </c>
      <c r="AU388" s="10" t="s">
        <v>2622</v>
      </c>
      <c r="AV388" s="36" t="s">
        <v>2714</v>
      </c>
      <c r="AW388" s="1">
        <v>46203</v>
      </c>
    </row>
    <row r="389" spans="1:49" x14ac:dyDescent="0.25">
      <c r="A389" s="9" t="s">
        <v>1438</v>
      </c>
      <c r="B389" s="10" t="s">
        <v>1504</v>
      </c>
      <c r="C389" s="10">
        <v>0</v>
      </c>
      <c r="D389" s="10" t="s">
        <v>91</v>
      </c>
      <c r="E389" s="10"/>
      <c r="F389" s="10"/>
      <c r="G389" s="10"/>
      <c r="H389" s="10" t="s">
        <v>52</v>
      </c>
      <c r="I389" s="10">
        <v>12</v>
      </c>
      <c r="J389" s="10" t="s">
        <v>1568</v>
      </c>
      <c r="K389" s="10" t="s">
        <v>42</v>
      </c>
      <c r="L389" s="10">
        <f>Table1[[#This Row],[ENR]]-Table1[[#This Row],[CREDIT]]</f>
        <v>5214.68</v>
      </c>
      <c r="M389" s="36">
        <v>50000</v>
      </c>
      <c r="N389" s="26">
        <v>55214.68</v>
      </c>
      <c r="O389" s="38" t="s">
        <v>43</v>
      </c>
      <c r="P389" s="25">
        <v>55214.68</v>
      </c>
      <c r="Q389" s="25">
        <v>49433.82</v>
      </c>
      <c r="R389" s="10">
        <v>14010</v>
      </c>
      <c r="S389" s="39">
        <v>4160</v>
      </c>
      <c r="T389" s="10" t="s">
        <v>57</v>
      </c>
      <c r="U389" s="10" t="s">
        <v>13</v>
      </c>
      <c r="V389" s="10">
        <v>14010</v>
      </c>
      <c r="W389" s="25">
        <f>Table1[[#This Row],[STAB]]-Table1[[#This Row],[AMOUNT]]</f>
        <v>-9850</v>
      </c>
      <c r="X389" s="10" t="s">
        <v>4591</v>
      </c>
      <c r="Y389" s="10" t="s">
        <v>402</v>
      </c>
      <c r="Z389" s="10" t="s">
        <v>403</v>
      </c>
      <c r="AA389" s="10" t="s">
        <v>113</v>
      </c>
      <c r="AB389" s="36" t="s">
        <v>375</v>
      </c>
      <c r="AC389" s="10"/>
      <c r="AD389" s="9" t="s">
        <v>1632</v>
      </c>
      <c r="AE389" s="10" t="s">
        <v>1695</v>
      </c>
      <c r="AF389" s="10" t="s">
        <v>1319</v>
      </c>
      <c r="AG389" s="10" t="s">
        <v>54</v>
      </c>
      <c r="AH389" s="10" t="s">
        <v>93</v>
      </c>
      <c r="AI389" s="10" t="s">
        <v>364</v>
      </c>
      <c r="AJ389" s="10">
        <v>802663344</v>
      </c>
      <c r="AK389" s="10" t="s">
        <v>105</v>
      </c>
      <c r="AL389" s="10"/>
      <c r="AM389" s="10"/>
      <c r="AN389" s="11" t="s">
        <v>390</v>
      </c>
      <c r="AO389" s="10"/>
      <c r="AP389" s="10"/>
      <c r="AQ389" s="10"/>
      <c r="AR389" s="2">
        <v>45913</v>
      </c>
      <c r="AS389" s="10">
        <v>37609.17</v>
      </c>
      <c r="AT389" s="10" t="s">
        <v>47</v>
      </c>
      <c r="AU389" s="10" t="s">
        <v>1741</v>
      </c>
      <c r="AV389" s="36" t="s">
        <v>1765</v>
      </c>
      <c r="AW389" s="1">
        <v>46203</v>
      </c>
    </row>
    <row r="390" spans="1:49" x14ac:dyDescent="0.25">
      <c r="A390" s="9" t="s">
        <v>2041</v>
      </c>
      <c r="B390" s="10" t="s">
        <v>2166</v>
      </c>
      <c r="C390" s="10">
        <v>0</v>
      </c>
      <c r="D390" s="10" t="s">
        <v>91</v>
      </c>
      <c r="E390" s="10"/>
      <c r="F390" s="10"/>
      <c r="G390" s="10"/>
      <c r="H390" s="10" t="s">
        <v>52</v>
      </c>
      <c r="I390" s="10">
        <v>12</v>
      </c>
      <c r="J390" s="10" t="s">
        <v>2288</v>
      </c>
      <c r="K390" s="10" t="s">
        <v>42</v>
      </c>
      <c r="L390" s="10">
        <f>Table1[[#This Row],[ENR]]-Table1[[#This Row],[CREDIT]]</f>
        <v>-44910.85</v>
      </c>
      <c r="M390" s="36">
        <v>100000</v>
      </c>
      <c r="N390" s="26">
        <v>55089.15</v>
      </c>
      <c r="O390" s="38" t="s">
        <v>43</v>
      </c>
      <c r="P390" s="25">
        <v>55089.15</v>
      </c>
      <c r="Q390" s="25">
        <v>47494.02</v>
      </c>
      <c r="R390" s="10">
        <v>10480</v>
      </c>
      <c r="S390" s="39">
        <v>4360</v>
      </c>
      <c r="T390" s="10" t="s">
        <v>57</v>
      </c>
      <c r="U390" s="10" t="s">
        <v>13</v>
      </c>
      <c r="V390" s="10">
        <v>15089</v>
      </c>
      <c r="W390" s="25">
        <f>Table1[[#This Row],[STAB]]-Table1[[#This Row],[AMOUNT]]</f>
        <v>-10729</v>
      </c>
      <c r="X390" s="10">
        <v>0</v>
      </c>
      <c r="Y390" s="10" t="s">
        <v>388</v>
      </c>
      <c r="Z390" s="10" t="s">
        <v>403</v>
      </c>
      <c r="AA390" s="10" t="s">
        <v>113</v>
      </c>
      <c r="AB390" s="36" t="s">
        <v>375</v>
      </c>
      <c r="AC390" s="10"/>
      <c r="AD390" s="9" t="s">
        <v>2411</v>
      </c>
      <c r="AE390" s="10" t="s">
        <v>2532</v>
      </c>
      <c r="AF390" s="10" t="s">
        <v>281</v>
      </c>
      <c r="AG390" s="10" t="s">
        <v>54</v>
      </c>
      <c r="AH390" s="10" t="s">
        <v>724</v>
      </c>
      <c r="AI390" s="10" t="s">
        <v>365</v>
      </c>
      <c r="AJ390" s="10">
        <v>802824019</v>
      </c>
      <c r="AK390" s="10" t="s">
        <v>360</v>
      </c>
      <c r="AL390" s="10"/>
      <c r="AM390" s="10"/>
      <c r="AN390" s="11" t="s">
        <v>390</v>
      </c>
      <c r="AO390" s="10"/>
      <c r="AP390" s="10"/>
      <c r="AQ390" s="10"/>
      <c r="AR390" s="2">
        <v>45362</v>
      </c>
      <c r="AS390" s="10">
        <v>6400</v>
      </c>
      <c r="AT390" s="10" t="s">
        <v>47</v>
      </c>
      <c r="AU390" s="10" t="s">
        <v>2622</v>
      </c>
      <c r="AV390" s="36" t="s">
        <v>2654</v>
      </c>
      <c r="AW390" s="1">
        <v>46203</v>
      </c>
    </row>
    <row r="391" spans="1:49" x14ac:dyDescent="0.25">
      <c r="A391" s="9" t="s">
        <v>2082</v>
      </c>
      <c r="B391" s="10" t="s">
        <v>2206</v>
      </c>
      <c r="C391" s="10">
        <v>0</v>
      </c>
      <c r="D391" s="10" t="s">
        <v>91</v>
      </c>
      <c r="E391" s="10"/>
      <c r="F391" s="10"/>
      <c r="G391" s="10"/>
      <c r="H391" s="10" t="s">
        <v>52</v>
      </c>
      <c r="I391" s="10">
        <v>12</v>
      </c>
      <c r="J391" s="10" t="s">
        <v>2328</v>
      </c>
      <c r="K391" s="10" t="s">
        <v>42</v>
      </c>
      <c r="L391" s="10">
        <f>Table1[[#This Row],[ENR]]-Table1[[#This Row],[CREDIT]]</f>
        <v>4652.7300000000032</v>
      </c>
      <c r="M391" s="36">
        <v>50000</v>
      </c>
      <c r="N391" s="26">
        <v>54652.73</v>
      </c>
      <c r="O391" s="38" t="s">
        <v>43</v>
      </c>
      <c r="P391" s="25">
        <v>54652.73</v>
      </c>
      <c r="Q391" s="25">
        <v>46499</v>
      </c>
      <c r="R391" s="10">
        <v>17070</v>
      </c>
      <c r="S391" s="39">
        <v>7580</v>
      </c>
      <c r="T391" s="10" t="s">
        <v>44</v>
      </c>
      <c r="U391" s="10" t="s">
        <v>45</v>
      </c>
      <c r="V391" s="10">
        <v>0</v>
      </c>
      <c r="W391" s="25">
        <f>Table1[[#This Row],[STAB]]-Table1[[#This Row],[AMOUNT]]</f>
        <v>7580</v>
      </c>
      <c r="X391" s="10">
        <v>0</v>
      </c>
      <c r="Y391" s="10" t="s">
        <v>79</v>
      </c>
      <c r="Z391" s="10">
        <v>0</v>
      </c>
      <c r="AA391" s="10" t="s">
        <v>113</v>
      </c>
      <c r="AB391" s="10" t="s">
        <v>133</v>
      </c>
      <c r="AC391" s="10"/>
      <c r="AD391" s="9" t="s">
        <v>2451</v>
      </c>
      <c r="AE391" s="10" t="s">
        <v>2572</v>
      </c>
      <c r="AF391" s="10" t="s">
        <v>501</v>
      </c>
      <c r="AG391" s="10" t="s">
        <v>53</v>
      </c>
      <c r="AH391" s="10" t="s">
        <v>116</v>
      </c>
      <c r="AI391" s="10" t="s">
        <v>2961</v>
      </c>
      <c r="AJ391" s="10">
        <v>845041675</v>
      </c>
      <c r="AK391" s="10" t="s">
        <v>104</v>
      </c>
      <c r="AL391" s="10"/>
      <c r="AM391" s="10"/>
      <c r="AN391" s="11" t="s">
        <v>46</v>
      </c>
      <c r="AO391" s="10"/>
      <c r="AP391" s="10"/>
      <c r="AQ391" s="10"/>
      <c r="AR391" s="2">
        <v>45656</v>
      </c>
      <c r="AS391" s="10">
        <v>50000</v>
      </c>
      <c r="AT391" s="10" t="s">
        <v>47</v>
      </c>
      <c r="AU391" s="10" t="s">
        <v>2622</v>
      </c>
      <c r="AV391" s="36" t="s">
        <v>2695</v>
      </c>
      <c r="AW391" s="1">
        <v>46203</v>
      </c>
    </row>
    <row r="392" spans="1:49" x14ac:dyDescent="0.25">
      <c r="A392" s="9" t="s">
        <v>2067</v>
      </c>
      <c r="B392" s="10" t="s">
        <v>2191</v>
      </c>
      <c r="C392" s="10">
        <v>0</v>
      </c>
      <c r="D392" s="10" t="s">
        <v>95</v>
      </c>
      <c r="E392" s="10">
        <v>1</v>
      </c>
      <c r="F392" s="10" t="s">
        <v>112</v>
      </c>
      <c r="G392" s="10" t="s">
        <v>4945</v>
      </c>
      <c r="H392" s="10" t="s">
        <v>52</v>
      </c>
      <c r="I392" s="10">
        <v>12</v>
      </c>
      <c r="J392" s="10" t="s">
        <v>2313</v>
      </c>
      <c r="K392" s="10" t="s">
        <v>42</v>
      </c>
      <c r="L392" s="10">
        <f>Table1[[#This Row],[ENR]]-Table1[[#This Row],[CREDIT]]</f>
        <v>-45408.86</v>
      </c>
      <c r="M392" s="36">
        <v>100000</v>
      </c>
      <c r="N392" s="26">
        <v>54591.14</v>
      </c>
      <c r="O392" s="38">
        <v>29099.68</v>
      </c>
      <c r="P392" s="25">
        <v>25491.46</v>
      </c>
      <c r="Q392" s="25">
        <v>22618.22</v>
      </c>
      <c r="R392" s="10">
        <v>15080</v>
      </c>
      <c r="S392" s="39">
        <v>7550</v>
      </c>
      <c r="T392" s="10" t="s">
        <v>44</v>
      </c>
      <c r="U392" s="10" t="s">
        <v>45</v>
      </c>
      <c r="V392" s="10">
        <v>0</v>
      </c>
      <c r="W392" s="25">
        <f>Table1[[#This Row],[STAB]]-Table1[[#This Row],[AMOUNT]]</f>
        <v>7550</v>
      </c>
      <c r="X392" s="10">
        <v>0</v>
      </c>
      <c r="Y392" s="10" t="s">
        <v>79</v>
      </c>
      <c r="Z392" s="10">
        <v>0</v>
      </c>
      <c r="AA392" s="10" t="s">
        <v>113</v>
      </c>
      <c r="AB392" s="36" t="s">
        <v>132</v>
      </c>
      <c r="AC392" s="10"/>
      <c r="AD392" s="9" t="s">
        <v>2436</v>
      </c>
      <c r="AE392" s="10" t="s">
        <v>2557</v>
      </c>
      <c r="AF392" s="10" t="s">
        <v>687</v>
      </c>
      <c r="AG392" s="10" t="s">
        <v>53</v>
      </c>
      <c r="AH392" s="10" t="s">
        <v>83</v>
      </c>
      <c r="AI392" s="10" t="s">
        <v>728</v>
      </c>
      <c r="AJ392" s="10">
        <v>802349062</v>
      </c>
      <c r="AK392" s="10" t="s">
        <v>104</v>
      </c>
      <c r="AL392" s="10"/>
      <c r="AM392" s="10"/>
      <c r="AN392" s="11" t="s">
        <v>46</v>
      </c>
      <c r="AO392" s="10"/>
      <c r="AP392" s="10"/>
      <c r="AQ392" s="10"/>
      <c r="AR392" s="2">
        <v>45485</v>
      </c>
      <c r="AS392" s="10">
        <v>4000</v>
      </c>
      <c r="AT392" s="10" t="s">
        <v>47</v>
      </c>
      <c r="AU392" s="10" t="s">
        <v>2622</v>
      </c>
      <c r="AV392" s="36" t="s">
        <v>2680</v>
      </c>
      <c r="AW392" s="1">
        <v>46203</v>
      </c>
    </row>
    <row r="393" spans="1:49" x14ac:dyDescent="0.25">
      <c r="A393" s="9" t="s">
        <v>1475</v>
      </c>
      <c r="B393" s="10" t="s">
        <v>1539</v>
      </c>
      <c r="C393" s="10">
        <v>0</v>
      </c>
      <c r="D393" s="10" t="s">
        <v>91</v>
      </c>
      <c r="E393" s="10"/>
      <c r="F393" s="10"/>
      <c r="G393" s="10"/>
      <c r="H393" s="10" t="s">
        <v>52</v>
      </c>
      <c r="I393" s="10">
        <v>12</v>
      </c>
      <c r="J393" s="10" t="s">
        <v>1603</v>
      </c>
      <c r="K393" s="10" t="s">
        <v>42</v>
      </c>
      <c r="L393" s="10">
        <f>Table1[[#This Row],[ENR]]-Table1[[#This Row],[CREDIT]]</f>
        <v>4543.4499999999971</v>
      </c>
      <c r="M393" s="36">
        <v>50000</v>
      </c>
      <c r="N393" s="26">
        <v>54543.45</v>
      </c>
      <c r="O393" s="38">
        <v>8248.51</v>
      </c>
      <c r="P393" s="25">
        <v>46294.94</v>
      </c>
      <c r="Q393" s="25">
        <v>40978.89</v>
      </c>
      <c r="R393" s="10">
        <v>18040</v>
      </c>
      <c r="S393" s="39">
        <v>9140</v>
      </c>
      <c r="T393" s="10" t="s">
        <v>44</v>
      </c>
      <c r="U393" s="10" t="s">
        <v>45</v>
      </c>
      <c r="V393" s="10">
        <v>0</v>
      </c>
      <c r="W393" s="25">
        <f>Table1[[#This Row],[STAB]]-Table1[[#This Row],[AMOUNT]]</f>
        <v>9140</v>
      </c>
      <c r="X393" s="10">
        <v>0</v>
      </c>
      <c r="Y393" s="10" t="s">
        <v>79</v>
      </c>
      <c r="Z393" s="10">
        <v>0</v>
      </c>
      <c r="AA393" s="10" t="s">
        <v>113</v>
      </c>
      <c r="AB393" s="36" t="s">
        <v>374</v>
      </c>
      <c r="AC393" s="10"/>
      <c r="AD393" s="9" t="s">
        <v>1667</v>
      </c>
      <c r="AE393" s="10" t="s">
        <v>1730</v>
      </c>
      <c r="AF393" s="10" t="s">
        <v>1739</v>
      </c>
      <c r="AG393" s="10" t="s">
        <v>53</v>
      </c>
      <c r="AH393" s="10" t="s">
        <v>1364</v>
      </c>
      <c r="AI393" s="10" t="s">
        <v>1405</v>
      </c>
      <c r="AJ393" s="10">
        <v>802175739</v>
      </c>
      <c r="AK393" s="10" t="s">
        <v>104</v>
      </c>
      <c r="AL393" s="10"/>
      <c r="AM393" s="10"/>
      <c r="AN393" s="11" t="s">
        <v>390</v>
      </c>
      <c r="AO393" s="10" t="s">
        <v>392</v>
      </c>
      <c r="AP393" s="10" t="s">
        <v>2003</v>
      </c>
      <c r="AQ393" s="10" t="s">
        <v>2004</v>
      </c>
      <c r="AR393" s="2">
        <v>46003</v>
      </c>
      <c r="AS393" s="10">
        <v>2000</v>
      </c>
      <c r="AT393" s="10" t="s">
        <v>47</v>
      </c>
      <c r="AU393" s="10" t="s">
        <v>1741</v>
      </c>
      <c r="AV393" s="36" t="s">
        <v>1802</v>
      </c>
      <c r="AW393" s="1">
        <v>46203</v>
      </c>
    </row>
    <row r="394" spans="1:49" x14ac:dyDescent="0.25">
      <c r="A394" s="9" t="s">
        <v>1443</v>
      </c>
      <c r="B394" s="10" t="s">
        <v>1509</v>
      </c>
      <c r="C394" s="10">
        <v>0</v>
      </c>
      <c r="D394" s="10" t="s">
        <v>91</v>
      </c>
      <c r="E394" s="10"/>
      <c r="F394" s="10"/>
      <c r="G394" s="10"/>
      <c r="H394" s="10" t="s">
        <v>52</v>
      </c>
      <c r="I394" s="10">
        <v>12</v>
      </c>
      <c r="J394" s="10" t="s">
        <v>1573</v>
      </c>
      <c r="K394" s="10" t="s">
        <v>42</v>
      </c>
      <c r="L394" s="10">
        <f>Table1[[#This Row],[ENR]]-Table1[[#This Row],[CREDIT]]</f>
        <v>4089.1200000000026</v>
      </c>
      <c r="M394" s="36">
        <v>50000</v>
      </c>
      <c r="N394" s="26">
        <v>54089.120000000003</v>
      </c>
      <c r="O394" s="38">
        <v>13116.25</v>
      </c>
      <c r="P394" s="25">
        <v>40972.870000000003</v>
      </c>
      <c r="Q394" s="25">
        <v>37765.56</v>
      </c>
      <c r="R394" s="10">
        <v>8930</v>
      </c>
      <c r="S394" s="39">
        <v>3890</v>
      </c>
      <c r="T394" s="10" t="s">
        <v>57</v>
      </c>
      <c r="U394" s="10" t="s">
        <v>14</v>
      </c>
      <c r="V394" s="25">
        <v>6000</v>
      </c>
      <c r="W394" s="25">
        <f>Table1[[#This Row],[STAB]]-Table1[[#This Row],[AMOUNT]]</f>
        <v>-2110</v>
      </c>
      <c r="X394" s="10" t="s">
        <v>4591</v>
      </c>
      <c r="Y394" s="10" t="s">
        <v>402</v>
      </c>
      <c r="Z394" s="10" t="s">
        <v>1968</v>
      </c>
      <c r="AA394" s="10" t="s">
        <v>113</v>
      </c>
      <c r="AB394" s="41" t="s">
        <v>376</v>
      </c>
      <c r="AC394" s="10"/>
      <c r="AD394" s="9" t="s">
        <v>1637</v>
      </c>
      <c r="AE394" s="10" t="s">
        <v>1700</v>
      </c>
      <c r="AF394" s="10" t="s">
        <v>276</v>
      </c>
      <c r="AG394" s="10" t="s">
        <v>324</v>
      </c>
      <c r="AH394" s="10" t="s">
        <v>56</v>
      </c>
      <c r="AI394" s="10" t="s">
        <v>370</v>
      </c>
      <c r="AJ394" s="10">
        <v>801448854</v>
      </c>
      <c r="AK394" s="10" t="s">
        <v>105</v>
      </c>
      <c r="AL394" s="10"/>
      <c r="AM394" s="10"/>
      <c r="AN394" s="11" t="s">
        <v>390</v>
      </c>
      <c r="AO394" s="10"/>
      <c r="AP394" s="10"/>
      <c r="AQ394" s="10"/>
      <c r="AR394" s="2">
        <v>46183</v>
      </c>
      <c r="AS394" s="10">
        <v>6000</v>
      </c>
      <c r="AT394" s="10" t="s">
        <v>47</v>
      </c>
      <c r="AU394" s="10" t="s">
        <v>1741</v>
      </c>
      <c r="AV394" s="36" t="s">
        <v>1770</v>
      </c>
      <c r="AW394" s="1">
        <v>46203</v>
      </c>
    </row>
    <row r="395" spans="1:49" x14ac:dyDescent="0.25">
      <c r="A395" s="9" t="s">
        <v>2086</v>
      </c>
      <c r="B395" s="10" t="s">
        <v>2210</v>
      </c>
      <c r="C395" s="10">
        <v>0</v>
      </c>
      <c r="D395" s="10" t="s">
        <v>91</v>
      </c>
      <c r="E395" s="10"/>
      <c r="F395" s="10"/>
      <c r="G395" s="10"/>
      <c r="H395" s="10" t="s">
        <v>52</v>
      </c>
      <c r="I395" s="10">
        <v>12</v>
      </c>
      <c r="J395" s="10" t="s">
        <v>2332</v>
      </c>
      <c r="K395" s="10" t="s">
        <v>42</v>
      </c>
      <c r="L395" s="10">
        <f>Table1[[#This Row],[ENR]]-Table1[[#This Row],[CREDIT]]</f>
        <v>6945.4000000000015</v>
      </c>
      <c r="M395" s="36">
        <v>47000</v>
      </c>
      <c r="N395" s="26">
        <v>53945.4</v>
      </c>
      <c r="O395" s="38" t="s">
        <v>43</v>
      </c>
      <c r="P395" s="25">
        <v>53945.4</v>
      </c>
      <c r="Q395" s="25">
        <v>45471.67</v>
      </c>
      <c r="R395" s="10">
        <v>19360</v>
      </c>
      <c r="S395" s="39">
        <v>10100</v>
      </c>
      <c r="T395" s="10" t="s">
        <v>44</v>
      </c>
      <c r="U395" s="10" t="s">
        <v>45</v>
      </c>
      <c r="V395" s="10">
        <v>0</v>
      </c>
      <c r="W395" s="25">
        <f>Table1[[#This Row],[STAB]]-Table1[[#This Row],[AMOUNT]]</f>
        <v>10100</v>
      </c>
      <c r="X395" s="10">
        <v>0</v>
      </c>
      <c r="Y395" s="10" t="s">
        <v>79</v>
      </c>
      <c r="Z395" s="10">
        <v>0</v>
      </c>
      <c r="AA395" s="10" t="s">
        <v>113</v>
      </c>
      <c r="AB395" s="36" t="s">
        <v>131</v>
      </c>
      <c r="AC395" s="10"/>
      <c r="AD395" s="9" t="s">
        <v>2455</v>
      </c>
      <c r="AE395" s="10" t="s">
        <v>2576</v>
      </c>
      <c r="AF395" s="10" t="s">
        <v>286</v>
      </c>
      <c r="AG395" s="10" t="s">
        <v>54</v>
      </c>
      <c r="AH395" s="10" t="s">
        <v>58</v>
      </c>
      <c r="AI395" s="10" t="s">
        <v>133</v>
      </c>
      <c r="AJ395" s="10">
        <v>802555024</v>
      </c>
      <c r="AK395" s="10" t="s">
        <v>362</v>
      </c>
      <c r="AL395" s="10"/>
      <c r="AM395" s="10"/>
      <c r="AN395" s="11" t="s">
        <v>46</v>
      </c>
      <c r="AO395" s="10"/>
      <c r="AP395" s="10"/>
      <c r="AQ395" s="10"/>
      <c r="AR395" s="2">
        <v>46080</v>
      </c>
      <c r="AS395" s="10">
        <v>7850</v>
      </c>
      <c r="AT395" s="10" t="s">
        <v>47</v>
      </c>
      <c r="AU395" s="10" t="s">
        <v>2622</v>
      </c>
      <c r="AV395" s="36" t="s">
        <v>2699</v>
      </c>
      <c r="AW395" s="1">
        <v>46203</v>
      </c>
    </row>
    <row r="396" spans="1:49" x14ac:dyDescent="0.25">
      <c r="A396" s="9" t="s">
        <v>1476</v>
      </c>
      <c r="B396" s="10" t="s">
        <v>1540</v>
      </c>
      <c r="C396" s="10">
        <v>0</v>
      </c>
      <c r="D396" s="10" t="s">
        <v>91</v>
      </c>
      <c r="E396" s="10"/>
      <c r="F396" s="10"/>
      <c r="G396" s="10"/>
      <c r="H396" s="10" t="s">
        <v>84</v>
      </c>
      <c r="I396" s="10">
        <v>12</v>
      </c>
      <c r="J396" s="10" t="s">
        <v>1604</v>
      </c>
      <c r="K396" s="10" t="s">
        <v>42</v>
      </c>
      <c r="L396" s="10">
        <f>Table1[[#This Row],[ENR]]-Table1[[#This Row],[CREDIT]]</f>
        <v>3920.1999999999971</v>
      </c>
      <c r="M396" s="36">
        <v>50000</v>
      </c>
      <c r="N396" s="26">
        <v>53920.2</v>
      </c>
      <c r="O396" s="38" t="s">
        <v>43</v>
      </c>
      <c r="P396" s="25">
        <v>53920.2</v>
      </c>
      <c r="Q396" s="25">
        <v>49985.89</v>
      </c>
      <c r="R396" s="10">
        <v>16570</v>
      </c>
      <c r="S396" s="39">
        <v>8780</v>
      </c>
      <c r="T396" s="10" t="s">
        <v>57</v>
      </c>
      <c r="U396" s="10" t="s">
        <v>14</v>
      </c>
      <c r="V396" s="25">
        <v>8800</v>
      </c>
      <c r="W396" s="25">
        <f>Table1[[#This Row],[STAB]]-Table1[[#This Row],[AMOUNT]]</f>
        <v>-20</v>
      </c>
      <c r="X396" s="10" t="s">
        <v>4619</v>
      </c>
      <c r="Y396" s="10" t="s">
        <v>402</v>
      </c>
      <c r="Z396" s="10" t="s">
        <v>403</v>
      </c>
      <c r="AA396" s="10" t="s">
        <v>113</v>
      </c>
      <c r="AB396" s="41" t="s">
        <v>376</v>
      </c>
      <c r="AC396" s="10"/>
      <c r="AD396" s="9" t="s">
        <v>1668</v>
      </c>
      <c r="AE396" s="10" t="s">
        <v>1731</v>
      </c>
      <c r="AF396" s="10" t="s">
        <v>275</v>
      </c>
      <c r="AG396" s="10" t="s">
        <v>80</v>
      </c>
      <c r="AH396" s="10" t="s">
        <v>87</v>
      </c>
      <c r="AI396" s="10" t="s">
        <v>368</v>
      </c>
      <c r="AJ396" s="10">
        <v>802823175</v>
      </c>
      <c r="AK396" s="10" t="s">
        <v>105</v>
      </c>
      <c r="AL396" s="10"/>
      <c r="AM396" s="10"/>
      <c r="AN396" s="11" t="s">
        <v>390</v>
      </c>
      <c r="AO396" s="10" t="s">
        <v>398</v>
      </c>
      <c r="AP396" s="10" t="s">
        <v>4622</v>
      </c>
      <c r="AQ396" s="10" t="s">
        <v>4619</v>
      </c>
      <c r="AR396" s="2">
        <v>46033</v>
      </c>
      <c r="AS396" s="10">
        <v>3900</v>
      </c>
      <c r="AT396" s="10" t="s">
        <v>47</v>
      </c>
      <c r="AU396" s="10" t="s">
        <v>1741</v>
      </c>
      <c r="AV396" s="36" t="s">
        <v>1803</v>
      </c>
      <c r="AW396" s="1">
        <v>46203</v>
      </c>
    </row>
    <row r="397" spans="1:49" x14ac:dyDescent="0.25">
      <c r="A397" s="9" t="s">
        <v>1455</v>
      </c>
      <c r="B397" s="10" t="s">
        <v>1519</v>
      </c>
      <c r="C397" s="10">
        <v>0</v>
      </c>
      <c r="D397" s="10" t="s">
        <v>91</v>
      </c>
      <c r="E397" s="10"/>
      <c r="F397" s="10"/>
      <c r="G397" s="10"/>
      <c r="H397" s="10" t="s">
        <v>52</v>
      </c>
      <c r="I397" s="10">
        <v>12</v>
      </c>
      <c r="J397" s="10" t="s">
        <v>1583</v>
      </c>
      <c r="K397" s="10" t="s">
        <v>42</v>
      </c>
      <c r="L397" s="10">
        <f>Table1[[#This Row],[ENR]]-Table1[[#This Row],[CREDIT]]</f>
        <v>2942.0699999999997</v>
      </c>
      <c r="M397" s="36">
        <v>50000</v>
      </c>
      <c r="N397" s="26">
        <v>52942.07</v>
      </c>
      <c r="O397" s="38">
        <v>28673.14</v>
      </c>
      <c r="P397" s="25">
        <v>24268.93</v>
      </c>
      <c r="Q397" s="25">
        <v>21057.06</v>
      </c>
      <c r="R397" s="10">
        <v>12190</v>
      </c>
      <c r="S397" s="39">
        <v>5120</v>
      </c>
      <c r="T397" s="10" t="s">
        <v>57</v>
      </c>
      <c r="U397" s="10" t="s">
        <v>14</v>
      </c>
      <c r="V397" s="25">
        <v>5120</v>
      </c>
      <c r="W397" s="25">
        <f>Table1[[#This Row],[STAB]]-Table1[[#This Row],[AMOUNT]]</f>
        <v>0</v>
      </c>
      <c r="X397" s="10" t="s">
        <v>4936</v>
      </c>
      <c r="Y397" s="10" t="s">
        <v>396</v>
      </c>
      <c r="Z397" s="10" t="s">
        <v>403</v>
      </c>
      <c r="AA397" s="10" t="s">
        <v>113</v>
      </c>
      <c r="AB397" s="36" t="s">
        <v>374</v>
      </c>
      <c r="AC397" s="10"/>
      <c r="AD397" s="9" t="s">
        <v>1647</v>
      </c>
      <c r="AE397" s="10" t="s">
        <v>1710</v>
      </c>
      <c r="AF397" s="10" t="s">
        <v>1102</v>
      </c>
      <c r="AG397" s="10" t="s">
        <v>324</v>
      </c>
      <c r="AH397" s="10" t="s">
        <v>1956</v>
      </c>
      <c r="AI397" s="10" t="s">
        <v>1403</v>
      </c>
      <c r="AJ397" s="10">
        <v>802631601</v>
      </c>
      <c r="AK397" s="10" t="s">
        <v>362</v>
      </c>
      <c r="AL397" s="10"/>
      <c r="AM397" s="10"/>
      <c r="AN397" s="11" t="s">
        <v>390</v>
      </c>
      <c r="AO397" s="10" t="s">
        <v>392</v>
      </c>
      <c r="AP397" s="10" t="s">
        <v>4979</v>
      </c>
      <c r="AQ397" s="10" t="s">
        <v>4923</v>
      </c>
      <c r="AR397" s="2">
        <v>46143</v>
      </c>
      <c r="AS397" s="10">
        <v>1</v>
      </c>
      <c r="AT397" s="10" t="s">
        <v>47</v>
      </c>
      <c r="AU397" s="10" t="s">
        <v>1741</v>
      </c>
      <c r="AV397" s="36" t="s">
        <v>1782</v>
      </c>
      <c r="AW397" s="1">
        <v>46203</v>
      </c>
    </row>
    <row r="398" spans="1:49" x14ac:dyDescent="0.25">
      <c r="A398" s="9" t="s">
        <v>2076</v>
      </c>
      <c r="B398" s="10" t="s">
        <v>2200</v>
      </c>
      <c r="C398" s="10">
        <v>0</v>
      </c>
      <c r="D398" s="10" t="s">
        <v>91</v>
      </c>
      <c r="E398" s="10"/>
      <c r="F398" s="10"/>
      <c r="G398" s="10"/>
      <c r="H398" s="10" t="s">
        <v>52</v>
      </c>
      <c r="I398" s="10">
        <v>12</v>
      </c>
      <c r="J398" s="10" t="s">
        <v>2322</v>
      </c>
      <c r="K398" s="10" t="s">
        <v>42</v>
      </c>
      <c r="L398" s="10">
        <f>Table1[[#This Row],[ENR]]-Table1[[#This Row],[CREDIT]]</f>
        <v>-47401.919999999998</v>
      </c>
      <c r="M398" s="36">
        <v>100000</v>
      </c>
      <c r="N398" s="26">
        <v>52598.080000000002</v>
      </c>
      <c r="O398" s="38" t="s">
        <v>43</v>
      </c>
      <c r="P398" s="25">
        <v>52598.080000000002</v>
      </c>
      <c r="Q398" s="25">
        <v>45131.8</v>
      </c>
      <c r="R398" s="10">
        <v>14700</v>
      </c>
      <c r="S398" s="39">
        <v>9270</v>
      </c>
      <c r="T398" s="10" t="s">
        <v>57</v>
      </c>
      <c r="U398" s="10" t="s">
        <v>13</v>
      </c>
      <c r="V398" s="10">
        <v>52598.080000000002</v>
      </c>
      <c r="W398" s="25">
        <f>Table1[[#This Row],[STAB]]-Table1[[#This Row],[AMOUNT]]</f>
        <v>-43328.08</v>
      </c>
      <c r="X398" s="10" t="s">
        <v>4591</v>
      </c>
      <c r="Y398" s="10" t="s">
        <v>396</v>
      </c>
      <c r="Z398" s="10" t="s">
        <v>403</v>
      </c>
      <c r="AA398" s="10" t="s">
        <v>113</v>
      </c>
      <c r="AB398" s="10" t="s">
        <v>133</v>
      </c>
      <c r="AC398" s="10"/>
      <c r="AD398" s="9" t="s">
        <v>2445</v>
      </c>
      <c r="AE398" s="10" t="s">
        <v>2566</v>
      </c>
      <c r="AF398" s="10" t="s">
        <v>498</v>
      </c>
      <c r="AG398" s="10" t="s">
        <v>53</v>
      </c>
      <c r="AH398" s="10" t="s">
        <v>90</v>
      </c>
      <c r="AI398" s="10" t="s">
        <v>162</v>
      </c>
      <c r="AJ398" s="10">
        <v>801772794</v>
      </c>
      <c r="AK398" s="10" t="s">
        <v>361</v>
      </c>
      <c r="AL398" s="10"/>
      <c r="AM398" s="10"/>
      <c r="AN398" s="11" t="s">
        <v>390</v>
      </c>
      <c r="AO398" s="10" t="s">
        <v>392</v>
      </c>
      <c r="AP398" s="10" t="s">
        <v>2960</v>
      </c>
      <c r="AQ398" s="10" t="s">
        <v>2004</v>
      </c>
      <c r="AR398" s="2">
        <v>45635</v>
      </c>
      <c r="AS398" s="10">
        <v>700</v>
      </c>
      <c r="AT398" s="10" t="s">
        <v>47</v>
      </c>
      <c r="AU398" s="10" t="s">
        <v>2622</v>
      </c>
      <c r="AV398" s="36" t="s">
        <v>2689</v>
      </c>
      <c r="AW398" s="1">
        <v>46203</v>
      </c>
    </row>
    <row r="399" spans="1:49" x14ac:dyDescent="0.25">
      <c r="A399" s="9" t="s">
        <v>1458</v>
      </c>
      <c r="B399" s="10" t="s">
        <v>1522</v>
      </c>
      <c r="C399" s="10">
        <v>0</v>
      </c>
      <c r="D399" s="10" t="s">
        <v>91</v>
      </c>
      <c r="E399" s="10"/>
      <c r="F399" s="10"/>
      <c r="G399" s="10"/>
      <c r="H399" s="10" t="s">
        <v>84</v>
      </c>
      <c r="I399" s="10">
        <v>12</v>
      </c>
      <c r="J399" s="10" t="s">
        <v>1586</v>
      </c>
      <c r="K399" s="10" t="s">
        <v>42</v>
      </c>
      <c r="L399" s="10">
        <f>Table1[[#This Row],[ENR]]-Table1[[#This Row],[CREDIT]]</f>
        <v>-17547.39</v>
      </c>
      <c r="M399" s="36">
        <v>70000</v>
      </c>
      <c r="N399" s="26">
        <v>52452.61</v>
      </c>
      <c r="O399" s="38" t="s">
        <v>43</v>
      </c>
      <c r="P399" s="25">
        <v>52452.61</v>
      </c>
      <c r="Q399" s="25">
        <v>45755.6</v>
      </c>
      <c r="R399" s="10">
        <v>11570</v>
      </c>
      <c r="S399" s="39">
        <v>5650</v>
      </c>
      <c r="T399" s="10" t="s">
        <v>44</v>
      </c>
      <c r="U399" s="10" t="s">
        <v>45</v>
      </c>
      <c r="V399" s="10">
        <v>0</v>
      </c>
      <c r="W399" s="25">
        <f>Table1[[#This Row],[STAB]]-Table1[[#This Row],[AMOUNT]]</f>
        <v>5650</v>
      </c>
      <c r="X399" s="10">
        <v>0</v>
      </c>
      <c r="Y399" s="10" t="s">
        <v>79</v>
      </c>
      <c r="Z399" s="10">
        <v>0</v>
      </c>
      <c r="AA399" s="10" t="s">
        <v>113</v>
      </c>
      <c r="AB399" s="36" t="s">
        <v>375</v>
      </c>
      <c r="AC399" s="10"/>
      <c r="AD399" s="9" t="s">
        <v>1650</v>
      </c>
      <c r="AE399" s="10" t="s">
        <v>1713</v>
      </c>
      <c r="AF399" s="10" t="s">
        <v>273</v>
      </c>
      <c r="AG399" s="10" t="s">
        <v>323</v>
      </c>
      <c r="AH399" s="10" t="s">
        <v>4528</v>
      </c>
      <c r="AI399" s="10" t="s">
        <v>363</v>
      </c>
      <c r="AJ399" s="10">
        <v>802913252</v>
      </c>
      <c r="AK399" s="10" t="s">
        <v>104</v>
      </c>
      <c r="AL399" s="10"/>
      <c r="AM399" s="10"/>
      <c r="AN399" s="11" t="s">
        <v>390</v>
      </c>
      <c r="AO399" s="10" t="s">
        <v>392</v>
      </c>
      <c r="AP399" s="10" t="s">
        <v>4640</v>
      </c>
      <c r="AQ399" s="10" t="s">
        <v>4601</v>
      </c>
      <c r="AR399" s="2">
        <v>45838</v>
      </c>
      <c r="AS399" s="10">
        <v>49998</v>
      </c>
      <c r="AT399" s="10" t="s">
        <v>47</v>
      </c>
      <c r="AU399" s="10" t="s">
        <v>1741</v>
      </c>
      <c r="AV399" s="36" t="s">
        <v>1785</v>
      </c>
      <c r="AW399" s="1">
        <v>46203</v>
      </c>
    </row>
    <row r="400" spans="1:49" x14ac:dyDescent="0.25">
      <c r="A400" s="9" t="s">
        <v>2096</v>
      </c>
      <c r="B400" s="10" t="s">
        <v>2220</v>
      </c>
      <c r="C400" s="10">
        <v>0</v>
      </c>
      <c r="D400" s="10" t="s">
        <v>91</v>
      </c>
      <c r="E400" s="10"/>
      <c r="F400" s="10"/>
      <c r="G400" s="10"/>
      <c r="H400" s="10" t="s">
        <v>52</v>
      </c>
      <c r="I400" s="10">
        <v>12</v>
      </c>
      <c r="J400" s="10" t="s">
        <v>2342</v>
      </c>
      <c r="K400" s="10" t="s">
        <v>42</v>
      </c>
      <c r="L400" s="10">
        <f>Table1[[#This Row],[ENR]]-Table1[[#This Row],[CREDIT]]</f>
        <v>2074.7099999999991</v>
      </c>
      <c r="M400" s="36">
        <v>50000</v>
      </c>
      <c r="N400" s="26">
        <v>52074.71</v>
      </c>
      <c r="O400" s="38" t="s">
        <v>43</v>
      </c>
      <c r="P400" s="25">
        <v>52074.71</v>
      </c>
      <c r="Q400" s="25">
        <v>47519.17</v>
      </c>
      <c r="R400" s="10">
        <v>14080</v>
      </c>
      <c r="S400" s="39">
        <v>6160</v>
      </c>
      <c r="T400" s="10" t="s">
        <v>44</v>
      </c>
      <c r="U400" s="10" t="s">
        <v>45</v>
      </c>
      <c r="V400" s="10">
        <v>0</v>
      </c>
      <c r="W400" s="25">
        <f>Table1[[#This Row],[STAB]]-Table1[[#This Row],[AMOUNT]]</f>
        <v>6160</v>
      </c>
      <c r="X400" s="10">
        <v>0</v>
      </c>
      <c r="Y400" s="10" t="s">
        <v>79</v>
      </c>
      <c r="Z400" s="10" t="s">
        <v>403</v>
      </c>
      <c r="AA400" s="10" t="s">
        <v>113</v>
      </c>
      <c r="AB400" s="36" t="s">
        <v>131</v>
      </c>
      <c r="AC400" s="10"/>
      <c r="AD400" s="9" t="s">
        <v>2465</v>
      </c>
      <c r="AE400" s="10" t="s">
        <v>2586</v>
      </c>
      <c r="AF400" s="10" t="s">
        <v>283</v>
      </c>
      <c r="AG400" s="10" t="s">
        <v>53</v>
      </c>
      <c r="AH400" s="10" t="s">
        <v>358</v>
      </c>
      <c r="AI400" s="10" t="s">
        <v>365</v>
      </c>
      <c r="AJ400" s="10">
        <v>802824019</v>
      </c>
      <c r="AK400" s="10" t="s">
        <v>360</v>
      </c>
      <c r="AL400" s="10"/>
      <c r="AM400" s="10"/>
      <c r="AN400" s="11" t="s">
        <v>46</v>
      </c>
      <c r="AO400" s="10"/>
      <c r="AP400" s="10"/>
      <c r="AQ400" s="10"/>
      <c r="AR400" s="2" t="s">
        <v>43</v>
      </c>
      <c r="AS400" s="10">
        <v>0</v>
      </c>
      <c r="AT400" s="10" t="s">
        <v>47</v>
      </c>
      <c r="AU400" s="10" t="s">
        <v>2622</v>
      </c>
      <c r="AV400" s="36" t="s">
        <v>2709</v>
      </c>
      <c r="AW400" s="1">
        <v>46203</v>
      </c>
    </row>
    <row r="401" spans="1:49" x14ac:dyDescent="0.25">
      <c r="A401" s="9" t="s">
        <v>1427</v>
      </c>
      <c r="B401" s="10" t="s">
        <v>1494</v>
      </c>
      <c r="C401" s="10">
        <v>0</v>
      </c>
      <c r="D401" s="10" t="s">
        <v>91</v>
      </c>
      <c r="E401" s="10"/>
      <c r="F401" s="10"/>
      <c r="G401" s="10"/>
      <c r="H401" s="10" t="s">
        <v>84</v>
      </c>
      <c r="I401" s="10">
        <v>12</v>
      </c>
      <c r="J401" s="10" t="s">
        <v>1558</v>
      </c>
      <c r="K401" s="10" t="s">
        <v>42</v>
      </c>
      <c r="L401" s="10">
        <f>Table1[[#This Row],[ENR]]-Table1[[#This Row],[CREDIT]]</f>
        <v>1400.239999999998</v>
      </c>
      <c r="M401" s="36">
        <v>50000</v>
      </c>
      <c r="N401" s="26">
        <v>51400.24</v>
      </c>
      <c r="O401" s="38" t="s">
        <v>43</v>
      </c>
      <c r="P401" s="25">
        <v>51400.24</v>
      </c>
      <c r="Q401" s="25">
        <v>47163.839999999997</v>
      </c>
      <c r="R401" s="10">
        <v>12270</v>
      </c>
      <c r="S401" s="39">
        <v>5330</v>
      </c>
      <c r="T401" s="10" t="s">
        <v>44</v>
      </c>
      <c r="U401" s="10" t="s">
        <v>45</v>
      </c>
      <c r="V401" s="10">
        <v>0</v>
      </c>
      <c r="W401" s="25">
        <f>Table1[[#This Row],[STAB]]-Table1[[#This Row],[AMOUNT]]</f>
        <v>5330</v>
      </c>
      <c r="X401" s="10">
        <v>0</v>
      </c>
      <c r="Y401" s="10" t="s">
        <v>79</v>
      </c>
      <c r="Z401" s="10">
        <v>0</v>
      </c>
      <c r="AA401" s="10" t="s">
        <v>113</v>
      </c>
      <c r="AB401" s="10" t="s">
        <v>133</v>
      </c>
      <c r="AC401" s="10"/>
      <c r="AD401" s="9" t="s">
        <v>1622</v>
      </c>
      <c r="AE401" s="10" t="s">
        <v>1685</v>
      </c>
      <c r="AF401" s="10" t="s">
        <v>686</v>
      </c>
      <c r="AG401" s="10" t="s">
        <v>324</v>
      </c>
      <c r="AH401" s="10" t="s">
        <v>722</v>
      </c>
      <c r="AI401" s="10" t="s">
        <v>370</v>
      </c>
      <c r="AJ401" s="10">
        <v>801448854</v>
      </c>
      <c r="AK401" s="10" t="s">
        <v>105</v>
      </c>
      <c r="AL401" s="10"/>
      <c r="AM401" s="10"/>
      <c r="AN401" s="11" t="s">
        <v>390</v>
      </c>
      <c r="AO401" s="10" t="s">
        <v>392</v>
      </c>
      <c r="AP401" s="10" t="s">
        <v>1972</v>
      </c>
      <c r="AQ401" s="10" t="s">
        <v>1961</v>
      </c>
      <c r="AR401" s="2">
        <v>45505</v>
      </c>
      <c r="AS401" s="10">
        <v>6000</v>
      </c>
      <c r="AT401" s="10" t="s">
        <v>47</v>
      </c>
      <c r="AU401" s="10" t="s">
        <v>1741</v>
      </c>
      <c r="AV401" s="36" t="s">
        <v>1754</v>
      </c>
      <c r="AW401" s="1">
        <v>46203</v>
      </c>
    </row>
    <row r="402" spans="1:49" x14ac:dyDescent="0.25">
      <c r="A402" s="9" t="s">
        <v>1430</v>
      </c>
      <c r="B402" s="10" t="s">
        <v>1497</v>
      </c>
      <c r="C402" s="10">
        <v>0</v>
      </c>
      <c r="D402" s="10" t="s">
        <v>91</v>
      </c>
      <c r="E402" s="10"/>
      <c r="F402" s="10"/>
      <c r="G402" s="10"/>
      <c r="H402" s="10" t="s">
        <v>52</v>
      </c>
      <c r="I402" s="10">
        <v>12</v>
      </c>
      <c r="J402" s="10" t="s">
        <v>1561</v>
      </c>
      <c r="K402" s="10" t="s">
        <v>42</v>
      </c>
      <c r="L402" s="10">
        <f>Table1[[#This Row],[ENR]]-Table1[[#This Row],[CREDIT]]</f>
        <v>-69946.320000000007</v>
      </c>
      <c r="M402" s="36">
        <v>120000</v>
      </c>
      <c r="N402" s="26">
        <v>50053.68</v>
      </c>
      <c r="O402" s="38">
        <v>33964.61</v>
      </c>
      <c r="P402" s="25">
        <v>16089.07</v>
      </c>
      <c r="Q402" s="25">
        <v>12894</v>
      </c>
      <c r="R402" s="10">
        <v>16089.07</v>
      </c>
      <c r="S402" s="39">
        <v>7228.63</v>
      </c>
      <c r="T402" s="10" t="s">
        <v>57</v>
      </c>
      <c r="U402" s="10" t="s">
        <v>13</v>
      </c>
      <c r="V402" s="10">
        <v>16089.07</v>
      </c>
      <c r="W402" s="25">
        <f>Table1[[#This Row],[STAB]]-Table1[[#This Row],[AMOUNT]]</f>
        <v>-8860.4399999999987</v>
      </c>
      <c r="X402" s="10" t="s">
        <v>4566</v>
      </c>
      <c r="Y402" s="10" t="s">
        <v>402</v>
      </c>
      <c r="Z402" s="10" t="s">
        <v>964</v>
      </c>
      <c r="AA402" s="10" t="s">
        <v>113</v>
      </c>
      <c r="AB402" s="36" t="s">
        <v>132</v>
      </c>
      <c r="AC402" s="10"/>
      <c r="AD402" s="9" t="s">
        <v>1625</v>
      </c>
      <c r="AE402" s="10" t="s">
        <v>1688</v>
      </c>
      <c r="AF402" s="10" t="s">
        <v>281</v>
      </c>
      <c r="AG402" s="10" t="s">
        <v>54</v>
      </c>
      <c r="AH402" s="10" t="s">
        <v>58</v>
      </c>
      <c r="AI402" s="10" t="s">
        <v>133</v>
      </c>
      <c r="AJ402" s="10">
        <v>802555024</v>
      </c>
      <c r="AK402" s="10" t="s">
        <v>362</v>
      </c>
      <c r="AL402" s="10"/>
      <c r="AM402" s="10"/>
      <c r="AN402" s="11" t="s">
        <v>390</v>
      </c>
      <c r="AO402" s="10"/>
      <c r="AP402" s="10"/>
      <c r="AQ402" s="10"/>
      <c r="AR402" s="2">
        <v>46143</v>
      </c>
      <c r="AS402" s="10">
        <v>19072</v>
      </c>
      <c r="AT402" s="10" t="s">
        <v>47</v>
      </c>
      <c r="AU402" s="10" t="s">
        <v>1741</v>
      </c>
      <c r="AV402" s="36" t="s">
        <v>1757</v>
      </c>
      <c r="AW402" s="1">
        <v>46203</v>
      </c>
    </row>
    <row r="403" spans="1:49" x14ac:dyDescent="0.25">
      <c r="A403" s="40" t="s">
        <v>2114</v>
      </c>
      <c r="B403" s="11" t="s">
        <v>2237</v>
      </c>
      <c r="C403" s="10" t="s">
        <v>97</v>
      </c>
      <c r="D403" s="10" t="s">
        <v>91</v>
      </c>
      <c r="E403" s="11">
        <v>1</v>
      </c>
      <c r="F403" s="11"/>
      <c r="G403" s="10"/>
      <c r="H403" s="10" t="s">
        <v>84</v>
      </c>
      <c r="I403" s="11">
        <v>14</v>
      </c>
      <c r="J403" s="11" t="s">
        <v>2359</v>
      </c>
      <c r="K403" s="11" t="s">
        <v>42</v>
      </c>
      <c r="L403" s="11">
        <f>Table1[[#This Row],[ENR]]-Table1[[#This Row],[CREDIT]]</f>
        <v>7990.320000000007</v>
      </c>
      <c r="M403" s="41">
        <v>153000</v>
      </c>
      <c r="N403" s="42">
        <v>160990.32</v>
      </c>
      <c r="O403" s="43" t="s">
        <v>43</v>
      </c>
      <c r="P403" s="44">
        <v>160990.32</v>
      </c>
      <c r="Q403" s="44">
        <v>146112.46</v>
      </c>
      <c r="R403" s="11">
        <v>45400</v>
      </c>
      <c r="S403" s="45">
        <v>22710</v>
      </c>
      <c r="T403" s="10" t="s">
        <v>44</v>
      </c>
      <c r="U403" s="10" t="s">
        <v>45</v>
      </c>
      <c r="V403" s="10">
        <v>0</v>
      </c>
      <c r="W403" s="44">
        <f>Table1[[#This Row],[STAB]]-Table1[[#This Row],[AMOUNT]]</f>
        <v>22710</v>
      </c>
      <c r="X403" s="10">
        <v>0</v>
      </c>
      <c r="Y403" s="10" t="s">
        <v>79</v>
      </c>
      <c r="Z403" s="10">
        <v>0</v>
      </c>
      <c r="AA403" s="10" t="s">
        <v>162</v>
      </c>
      <c r="AB403" s="36" t="s">
        <v>736</v>
      </c>
      <c r="AC403" s="11"/>
      <c r="AD403" s="40" t="s">
        <v>2954</v>
      </c>
      <c r="AE403" s="11" t="s">
        <v>2954</v>
      </c>
      <c r="AF403" s="11" t="s">
        <v>685</v>
      </c>
      <c r="AG403" s="10" t="s">
        <v>54</v>
      </c>
      <c r="AH403" s="10" t="s">
        <v>1398</v>
      </c>
      <c r="AI403" s="10" t="s">
        <v>162</v>
      </c>
      <c r="AJ403" s="10">
        <v>801772794</v>
      </c>
      <c r="AK403" s="10" t="s">
        <v>361</v>
      </c>
      <c r="AL403" s="11"/>
      <c r="AM403" s="11"/>
      <c r="AN403" s="11" t="s">
        <v>46</v>
      </c>
      <c r="AO403" s="11"/>
      <c r="AP403" s="11"/>
      <c r="AQ403" s="11"/>
      <c r="AR403" s="46">
        <v>46185</v>
      </c>
      <c r="AS403" s="11">
        <v>8500</v>
      </c>
      <c r="AT403" s="11" t="s">
        <v>2621</v>
      </c>
      <c r="AU403" s="10" t="s">
        <v>2622</v>
      </c>
      <c r="AV403" s="41" t="s">
        <v>2727</v>
      </c>
      <c r="AW403" s="47">
        <v>46205</v>
      </c>
    </row>
    <row r="404" spans="1:49" x14ac:dyDescent="0.25">
      <c r="A404" s="9" t="s">
        <v>2118</v>
      </c>
      <c r="B404" s="10" t="s">
        <v>2241</v>
      </c>
      <c r="C404" s="10">
        <v>0</v>
      </c>
      <c r="D404" s="10" t="s">
        <v>91</v>
      </c>
      <c r="E404" s="10"/>
      <c r="F404" s="10"/>
      <c r="G404" s="10"/>
      <c r="H404" s="10" t="s">
        <v>52</v>
      </c>
      <c r="I404" s="10">
        <v>14</v>
      </c>
      <c r="J404" s="10" t="s">
        <v>2363</v>
      </c>
      <c r="K404" s="10" t="s">
        <v>42</v>
      </c>
      <c r="L404" s="10">
        <f>Table1[[#This Row],[ENR]]-Table1[[#This Row],[CREDIT]]</f>
        <v>-87521.12</v>
      </c>
      <c r="M404" s="36">
        <v>230000</v>
      </c>
      <c r="N404" s="26">
        <v>142478.88</v>
      </c>
      <c r="O404" s="38" t="s">
        <v>43</v>
      </c>
      <c r="P404" s="25">
        <v>142478.88</v>
      </c>
      <c r="Q404" s="25">
        <v>129567.5</v>
      </c>
      <c r="R404" s="10">
        <v>23290</v>
      </c>
      <c r="S404" s="39">
        <v>4100</v>
      </c>
      <c r="T404" s="10" t="s">
        <v>44</v>
      </c>
      <c r="U404" s="10" t="s">
        <v>45</v>
      </c>
      <c r="V404" s="10">
        <v>0</v>
      </c>
      <c r="W404" s="25">
        <f>Table1[[#This Row],[STAB]]-Table1[[#This Row],[AMOUNT]]</f>
        <v>4100</v>
      </c>
      <c r="X404" s="10">
        <v>0</v>
      </c>
      <c r="Y404" s="10" t="s">
        <v>79</v>
      </c>
      <c r="Z404" s="10">
        <v>0</v>
      </c>
      <c r="AA404" s="10" t="s">
        <v>162</v>
      </c>
      <c r="AB404" s="36" t="s">
        <v>734</v>
      </c>
      <c r="AC404" s="10"/>
      <c r="AD404" s="9" t="s">
        <v>2484</v>
      </c>
      <c r="AE404" s="10" t="s">
        <v>2600</v>
      </c>
      <c r="AF404" s="10" t="s">
        <v>281</v>
      </c>
      <c r="AG404" s="10" t="s">
        <v>54</v>
      </c>
      <c r="AH404" s="10" t="s">
        <v>724</v>
      </c>
      <c r="AI404" s="10" t="s">
        <v>365</v>
      </c>
      <c r="AJ404" s="10">
        <v>802824019</v>
      </c>
      <c r="AK404" s="10" t="s">
        <v>360</v>
      </c>
      <c r="AL404" s="10"/>
      <c r="AM404" s="10"/>
      <c r="AN404" s="11" t="s">
        <v>390</v>
      </c>
      <c r="AO404" s="10" t="s">
        <v>398</v>
      </c>
      <c r="AP404" s="10" t="s">
        <v>4624</v>
      </c>
      <c r="AQ404" s="10" t="s">
        <v>4619</v>
      </c>
      <c r="AR404" s="2">
        <v>46113</v>
      </c>
      <c r="AS404" s="10">
        <v>50116.82</v>
      </c>
      <c r="AT404" s="10" t="s">
        <v>1930</v>
      </c>
      <c r="AU404" s="10" t="s">
        <v>2622</v>
      </c>
      <c r="AV404" s="36" t="s">
        <v>2731</v>
      </c>
      <c r="AW404" s="1">
        <v>46205</v>
      </c>
    </row>
    <row r="405" spans="1:49" x14ac:dyDescent="0.25">
      <c r="A405" s="9" t="s">
        <v>2111</v>
      </c>
      <c r="B405" s="10" t="s">
        <v>2234</v>
      </c>
      <c r="C405" s="10">
        <v>0</v>
      </c>
      <c r="D405" s="10" t="s">
        <v>91</v>
      </c>
      <c r="E405" s="10"/>
      <c r="F405" s="10"/>
      <c r="G405" s="10"/>
      <c r="H405" s="10" t="s">
        <v>52</v>
      </c>
      <c r="I405" s="10">
        <v>14</v>
      </c>
      <c r="J405" s="10" t="s">
        <v>2356</v>
      </c>
      <c r="K405" s="10" t="s">
        <v>42</v>
      </c>
      <c r="L405" s="10">
        <f>Table1[[#This Row],[ENR]]-Table1[[#This Row],[CREDIT]]</f>
        <v>9124.7700000000041</v>
      </c>
      <c r="M405" s="36">
        <v>90000</v>
      </c>
      <c r="N405" s="26">
        <v>99124.77</v>
      </c>
      <c r="O405" s="38" t="s">
        <v>43</v>
      </c>
      <c r="P405" s="25">
        <v>99124.77</v>
      </c>
      <c r="Q405" s="25">
        <v>89997</v>
      </c>
      <c r="R405" s="10">
        <v>26580</v>
      </c>
      <c r="S405" s="39">
        <v>4500</v>
      </c>
      <c r="T405" s="10" t="s">
        <v>44</v>
      </c>
      <c r="U405" s="10" t="s">
        <v>45</v>
      </c>
      <c r="V405" s="10">
        <v>0</v>
      </c>
      <c r="W405" s="25">
        <f>Table1[[#This Row],[STAB]]-Table1[[#This Row],[AMOUNT]]</f>
        <v>4500</v>
      </c>
      <c r="X405" s="10">
        <v>0</v>
      </c>
      <c r="Y405" s="10" t="s">
        <v>79</v>
      </c>
      <c r="Z405" s="10">
        <v>0</v>
      </c>
      <c r="AA405" s="10" t="s">
        <v>162</v>
      </c>
      <c r="AB405" s="10" t="s">
        <v>735</v>
      </c>
      <c r="AC405" s="10"/>
      <c r="AD405" s="9" t="s">
        <v>2479</v>
      </c>
      <c r="AE405" s="10" t="s">
        <v>2479</v>
      </c>
      <c r="AF405" s="10" t="s">
        <v>146</v>
      </c>
      <c r="AG405" s="10" t="s">
        <v>54</v>
      </c>
      <c r="AH405" s="10" t="s">
        <v>4529</v>
      </c>
      <c r="AI405" s="10" t="s">
        <v>365</v>
      </c>
      <c r="AJ405" s="10">
        <v>802824019</v>
      </c>
      <c r="AK405" s="10" t="s">
        <v>360</v>
      </c>
      <c r="AL405" s="10"/>
      <c r="AM405" s="10"/>
      <c r="AN405" s="11" t="s">
        <v>46</v>
      </c>
      <c r="AO405" s="10"/>
      <c r="AP405" s="10"/>
      <c r="AQ405" s="10"/>
      <c r="AR405" s="2" t="s">
        <v>43</v>
      </c>
      <c r="AS405" s="10">
        <v>0</v>
      </c>
      <c r="AT405" s="10" t="s">
        <v>2621</v>
      </c>
      <c r="AU405" s="10" t="s">
        <v>2622</v>
      </c>
      <c r="AV405" s="36" t="s">
        <v>2724</v>
      </c>
      <c r="AW405" s="1">
        <v>46205</v>
      </c>
    </row>
    <row r="406" spans="1:49" x14ac:dyDescent="0.25">
      <c r="A406" s="9" t="s">
        <v>2109</v>
      </c>
      <c r="B406" s="10" t="s">
        <v>2232</v>
      </c>
      <c r="C406" s="10">
        <v>0</v>
      </c>
      <c r="D406" s="10" t="s">
        <v>91</v>
      </c>
      <c r="E406" s="10"/>
      <c r="F406" s="10"/>
      <c r="G406" s="10"/>
      <c r="H406" s="10" t="s">
        <v>52</v>
      </c>
      <c r="I406" s="10">
        <v>14</v>
      </c>
      <c r="J406" s="10" t="s">
        <v>2354</v>
      </c>
      <c r="K406" s="10" t="s">
        <v>42</v>
      </c>
      <c r="L406" s="10">
        <f>Table1[[#This Row],[ENR]]-Table1[[#This Row],[CREDIT]]</f>
        <v>4853.1999999999971</v>
      </c>
      <c r="M406" s="36">
        <v>90000</v>
      </c>
      <c r="N406" s="26">
        <v>94853.2</v>
      </c>
      <c r="O406" s="38">
        <v>10548.81</v>
      </c>
      <c r="P406" s="25">
        <v>84304.39</v>
      </c>
      <c r="Q406" s="25">
        <v>73201.039999999994</v>
      </c>
      <c r="R406" s="10">
        <v>44100</v>
      </c>
      <c r="S406" s="39">
        <v>21280</v>
      </c>
      <c r="T406" s="10" t="s">
        <v>44</v>
      </c>
      <c r="U406" s="10" t="s">
        <v>45</v>
      </c>
      <c r="V406" s="10">
        <v>0</v>
      </c>
      <c r="W406" s="25">
        <f>Table1[[#This Row],[STAB]]-Table1[[#This Row],[AMOUNT]]</f>
        <v>21280</v>
      </c>
      <c r="X406" s="10">
        <v>0</v>
      </c>
      <c r="Y406" s="10" t="s">
        <v>79</v>
      </c>
      <c r="Z406" s="10" t="s">
        <v>963</v>
      </c>
      <c r="AA406" s="10" t="s">
        <v>162</v>
      </c>
      <c r="AB406" s="36" t="s">
        <v>733</v>
      </c>
      <c r="AC406" s="10"/>
      <c r="AD406" s="9" t="s">
        <v>2477</v>
      </c>
      <c r="AE406" s="10" t="s">
        <v>2477</v>
      </c>
      <c r="AF406" s="10" t="s">
        <v>286</v>
      </c>
      <c r="AG406" s="10" t="s">
        <v>54</v>
      </c>
      <c r="AH406" s="10" t="s">
        <v>58</v>
      </c>
      <c r="AI406" s="10" t="s">
        <v>133</v>
      </c>
      <c r="AJ406" s="10">
        <v>802555024</v>
      </c>
      <c r="AK406" s="10" t="s">
        <v>362</v>
      </c>
      <c r="AL406" s="10"/>
      <c r="AM406" s="10"/>
      <c r="AN406" s="11" t="s">
        <v>390</v>
      </c>
      <c r="AO406" s="10" t="s">
        <v>398</v>
      </c>
      <c r="AP406" s="10" t="s">
        <v>5010</v>
      </c>
      <c r="AQ406" s="10" t="s">
        <v>4993</v>
      </c>
      <c r="AR406" s="2">
        <v>45990</v>
      </c>
      <c r="AS406" s="10">
        <v>56390</v>
      </c>
      <c r="AT406" s="10" t="s">
        <v>2621</v>
      </c>
      <c r="AU406" s="10" t="s">
        <v>2622</v>
      </c>
      <c r="AV406" s="36" t="s">
        <v>2722</v>
      </c>
      <c r="AW406" s="1">
        <v>46205</v>
      </c>
    </row>
    <row r="407" spans="1:49" x14ac:dyDescent="0.25">
      <c r="A407" s="9" t="s">
        <v>2112</v>
      </c>
      <c r="B407" s="10" t="s">
        <v>2235</v>
      </c>
      <c r="C407" s="10" t="s">
        <v>97</v>
      </c>
      <c r="D407" s="10" t="s">
        <v>91</v>
      </c>
      <c r="E407" s="10">
        <v>1</v>
      </c>
      <c r="F407" s="10"/>
      <c r="G407" s="10"/>
      <c r="H407" s="10" t="s">
        <v>84</v>
      </c>
      <c r="I407" s="10">
        <v>14</v>
      </c>
      <c r="J407" s="10" t="s">
        <v>2357</v>
      </c>
      <c r="K407" s="10" t="s">
        <v>42</v>
      </c>
      <c r="L407" s="10">
        <f>Table1[[#This Row],[ENR]]-Table1[[#This Row],[CREDIT]]</f>
        <v>4832.8000000000029</v>
      </c>
      <c r="M407" s="36">
        <v>90000</v>
      </c>
      <c r="N407" s="26">
        <v>94832.8</v>
      </c>
      <c r="O407" s="38">
        <v>18925.03</v>
      </c>
      <c r="P407" s="25">
        <v>75907.77</v>
      </c>
      <c r="Q407" s="25">
        <v>70350.5</v>
      </c>
      <c r="R407" s="10">
        <v>38090</v>
      </c>
      <c r="S407" s="39">
        <v>25650</v>
      </c>
      <c r="T407" s="10" t="s">
        <v>44</v>
      </c>
      <c r="U407" s="10" t="s">
        <v>45</v>
      </c>
      <c r="V407" s="10">
        <v>0</v>
      </c>
      <c r="W407" s="25">
        <f>Table1[[#This Row],[STAB]]-Table1[[#This Row],[AMOUNT]]</f>
        <v>25650</v>
      </c>
      <c r="X407" s="10">
        <v>0</v>
      </c>
      <c r="Y407" s="10" t="s">
        <v>79</v>
      </c>
      <c r="Z407" s="10">
        <v>0</v>
      </c>
      <c r="AA407" s="10" t="s">
        <v>162</v>
      </c>
      <c r="AB407" s="36" t="s">
        <v>734</v>
      </c>
      <c r="AC407" s="10"/>
      <c r="AD407" s="9" t="s">
        <v>2953</v>
      </c>
      <c r="AE407" s="10" t="s">
        <v>2953</v>
      </c>
      <c r="AF407" s="10" t="s">
        <v>687</v>
      </c>
      <c r="AG407" s="10" t="s">
        <v>53</v>
      </c>
      <c r="AH407" s="10" t="s">
        <v>83</v>
      </c>
      <c r="AI407" s="10" t="s">
        <v>728</v>
      </c>
      <c r="AJ407" s="10">
        <v>802349062</v>
      </c>
      <c r="AK407" s="10" t="s">
        <v>104</v>
      </c>
      <c r="AL407" s="10"/>
      <c r="AM407" s="10"/>
      <c r="AN407" s="11" t="s">
        <v>46</v>
      </c>
      <c r="AO407" s="10"/>
      <c r="AP407" s="10"/>
      <c r="AQ407" s="10"/>
      <c r="AR407" s="2">
        <v>46183</v>
      </c>
      <c r="AS407" s="10">
        <v>5320</v>
      </c>
      <c r="AT407" s="10" t="s">
        <v>2621</v>
      </c>
      <c r="AU407" s="10" t="s">
        <v>2622</v>
      </c>
      <c r="AV407" s="36" t="s">
        <v>2725</v>
      </c>
      <c r="AW407" s="1">
        <v>46205</v>
      </c>
    </row>
    <row r="408" spans="1:49" x14ac:dyDescent="0.25">
      <c r="A408" s="9" t="s">
        <v>2110</v>
      </c>
      <c r="B408" s="10" t="s">
        <v>2233</v>
      </c>
      <c r="C408" s="10">
        <v>0</v>
      </c>
      <c r="D408" s="10" t="s">
        <v>91</v>
      </c>
      <c r="E408" s="10"/>
      <c r="F408" s="10"/>
      <c r="G408" s="10"/>
      <c r="H408" s="10" t="s">
        <v>52</v>
      </c>
      <c r="I408" s="10">
        <v>14</v>
      </c>
      <c r="J408" s="10" t="s">
        <v>2355</v>
      </c>
      <c r="K408" s="10" t="s">
        <v>42</v>
      </c>
      <c r="L408" s="10">
        <f>Table1[[#This Row],[ENR]]-Table1[[#This Row],[CREDIT]]</f>
        <v>4736.6900000000023</v>
      </c>
      <c r="M408" s="36">
        <v>90000</v>
      </c>
      <c r="N408" s="26">
        <v>94736.69</v>
      </c>
      <c r="O408" s="38" t="s">
        <v>43</v>
      </c>
      <c r="P408" s="25">
        <v>94736.69</v>
      </c>
      <c r="Q408" s="25">
        <v>88005.87</v>
      </c>
      <c r="R408" s="10">
        <v>14900</v>
      </c>
      <c r="S408" s="39">
        <v>3500</v>
      </c>
      <c r="T408" s="10" t="s">
        <v>57</v>
      </c>
      <c r="U408" s="10" t="s">
        <v>13</v>
      </c>
      <c r="V408" s="25">
        <v>10000</v>
      </c>
      <c r="W408" s="25">
        <f>Table1[[#This Row],[STAB]]-Table1[[#This Row],[AMOUNT]]</f>
        <v>-6500</v>
      </c>
      <c r="X408" s="10" t="s">
        <v>4993</v>
      </c>
      <c r="Y408" s="10" t="s">
        <v>402</v>
      </c>
      <c r="Z408" s="10" t="s">
        <v>403</v>
      </c>
      <c r="AA408" s="10" t="s">
        <v>162</v>
      </c>
      <c r="AB408" s="36" t="s">
        <v>736</v>
      </c>
      <c r="AC408" s="10"/>
      <c r="AD408" s="9" t="s">
        <v>2478</v>
      </c>
      <c r="AE408" s="10" t="s">
        <v>2478</v>
      </c>
      <c r="AF408" s="10" t="s">
        <v>276</v>
      </c>
      <c r="AG408" s="10" t="s">
        <v>324</v>
      </c>
      <c r="AH408" s="10" t="s">
        <v>354</v>
      </c>
      <c r="AI408" s="10" t="s">
        <v>367</v>
      </c>
      <c r="AJ408" s="10">
        <v>801436997</v>
      </c>
      <c r="AK408" s="10" t="s">
        <v>104</v>
      </c>
      <c r="AL408" s="10"/>
      <c r="AM408" s="10"/>
      <c r="AN408" s="11" t="s">
        <v>390</v>
      </c>
      <c r="AO408" s="10" t="s">
        <v>531</v>
      </c>
      <c r="AP408" s="10" t="s">
        <v>4614</v>
      </c>
      <c r="AQ408" s="10" t="s">
        <v>4591</v>
      </c>
      <c r="AR408" s="2">
        <v>45802</v>
      </c>
      <c r="AS408" s="10">
        <v>16295.75</v>
      </c>
      <c r="AT408" s="10" t="s">
        <v>2621</v>
      </c>
      <c r="AU408" s="10" t="s">
        <v>2622</v>
      </c>
      <c r="AV408" s="36" t="s">
        <v>2723</v>
      </c>
      <c r="AW408" s="1">
        <v>46205</v>
      </c>
    </row>
    <row r="409" spans="1:49" x14ac:dyDescent="0.25">
      <c r="A409" s="9" t="s">
        <v>2117</v>
      </c>
      <c r="B409" s="10" t="s">
        <v>2240</v>
      </c>
      <c r="C409" s="10">
        <v>0</v>
      </c>
      <c r="D409" s="10" t="s">
        <v>91</v>
      </c>
      <c r="E409" s="10"/>
      <c r="F409" s="10"/>
      <c r="G409" s="10"/>
      <c r="H409" s="10" t="s">
        <v>52</v>
      </c>
      <c r="I409" s="10">
        <v>14</v>
      </c>
      <c r="J409" s="10" t="s">
        <v>2362</v>
      </c>
      <c r="K409" s="10" t="s">
        <v>42</v>
      </c>
      <c r="L409" s="10">
        <f>Table1[[#This Row],[ENR]]-Table1[[#This Row],[CREDIT]]</f>
        <v>9125.1999999999971</v>
      </c>
      <c r="M409" s="36">
        <v>70000</v>
      </c>
      <c r="N409" s="26">
        <v>79125.2</v>
      </c>
      <c r="O409" s="38" t="s">
        <v>43</v>
      </c>
      <c r="P409" s="25">
        <v>79125.2</v>
      </c>
      <c r="Q409" s="25">
        <v>69914.5</v>
      </c>
      <c r="R409" s="10">
        <v>24510</v>
      </c>
      <c r="S409" s="39">
        <v>11910</v>
      </c>
      <c r="T409" s="10" t="s">
        <v>57</v>
      </c>
      <c r="U409" s="10" t="s">
        <v>13</v>
      </c>
      <c r="V409" s="10">
        <v>79125.2</v>
      </c>
      <c r="W409" s="25">
        <f>Table1[[#This Row],[STAB]]-Table1[[#This Row],[AMOUNT]]</f>
        <v>-67215.199999999997</v>
      </c>
      <c r="X409" s="10">
        <v>0</v>
      </c>
      <c r="Y409" s="10" t="s">
        <v>388</v>
      </c>
      <c r="Z409" s="10" t="s">
        <v>403</v>
      </c>
      <c r="AA409" s="10" t="s">
        <v>162</v>
      </c>
      <c r="AB409" s="36" t="s">
        <v>734</v>
      </c>
      <c r="AC409" s="10"/>
      <c r="AD409" s="9" t="s">
        <v>2483</v>
      </c>
      <c r="AE409" s="10" t="s">
        <v>2599</v>
      </c>
      <c r="AF409" s="10" t="s">
        <v>686</v>
      </c>
      <c r="AG409" s="10" t="s">
        <v>324</v>
      </c>
      <c r="AH409" s="10" t="s">
        <v>722</v>
      </c>
      <c r="AI409" s="10" t="s">
        <v>370</v>
      </c>
      <c r="AJ409" s="10">
        <v>801448854</v>
      </c>
      <c r="AK409" s="10" t="s">
        <v>105</v>
      </c>
      <c r="AL409" s="10"/>
      <c r="AM409" s="10"/>
      <c r="AN409" s="11" t="s">
        <v>390</v>
      </c>
      <c r="AO409" s="10"/>
      <c r="AP409" s="10"/>
      <c r="AQ409" s="10"/>
      <c r="AR409" s="2">
        <v>45536</v>
      </c>
      <c r="AS409" s="10">
        <v>1031</v>
      </c>
      <c r="AT409" s="10" t="s">
        <v>47</v>
      </c>
      <c r="AU409" s="10" t="s">
        <v>2622</v>
      </c>
      <c r="AV409" s="36" t="s">
        <v>2730</v>
      </c>
      <c r="AW409" s="1">
        <v>46205</v>
      </c>
    </row>
    <row r="410" spans="1:49" x14ac:dyDescent="0.25">
      <c r="A410" s="9" t="s">
        <v>2119</v>
      </c>
      <c r="B410" s="10" t="s">
        <v>2242</v>
      </c>
      <c r="C410" s="10">
        <v>0</v>
      </c>
      <c r="D410" s="10" t="s">
        <v>91</v>
      </c>
      <c r="E410" s="10"/>
      <c r="F410" s="10"/>
      <c r="G410" s="10"/>
      <c r="H410" s="10" t="s">
        <v>52</v>
      </c>
      <c r="I410" s="10">
        <v>14</v>
      </c>
      <c r="J410" s="10" t="s">
        <v>2364</v>
      </c>
      <c r="K410" s="10" t="s">
        <v>42</v>
      </c>
      <c r="L410" s="10">
        <f>Table1[[#This Row],[ENR]]-Table1[[#This Row],[CREDIT]]</f>
        <v>-24337.14</v>
      </c>
      <c r="M410" s="36">
        <v>100000</v>
      </c>
      <c r="N410" s="26">
        <v>75662.86</v>
      </c>
      <c r="O410" s="38" t="s">
        <v>43</v>
      </c>
      <c r="P410" s="25">
        <v>75662.86</v>
      </c>
      <c r="Q410" s="25">
        <v>66407.05</v>
      </c>
      <c r="R410" s="10">
        <v>13390</v>
      </c>
      <c r="S410" s="39">
        <v>5460</v>
      </c>
      <c r="T410" s="10" t="s">
        <v>57</v>
      </c>
      <c r="U410" s="10" t="s">
        <v>14</v>
      </c>
      <c r="V410" s="25">
        <v>5500</v>
      </c>
      <c r="W410" s="25">
        <f>Table1[[#This Row],[STAB]]-Table1[[#This Row],[AMOUNT]]</f>
        <v>-40</v>
      </c>
      <c r="X410" s="10" t="s">
        <v>4619</v>
      </c>
      <c r="Y410" s="10" t="s">
        <v>396</v>
      </c>
      <c r="Z410" s="10" t="s">
        <v>403</v>
      </c>
      <c r="AA410" s="10" t="s">
        <v>162</v>
      </c>
      <c r="AB410" s="36" t="s">
        <v>733</v>
      </c>
      <c r="AC410" s="10"/>
      <c r="AD410" s="9" t="s">
        <v>2485</v>
      </c>
      <c r="AE410" s="10" t="s">
        <v>2601</v>
      </c>
      <c r="AF410" s="10" t="s">
        <v>935</v>
      </c>
      <c r="AG410" s="10" t="s">
        <v>80</v>
      </c>
      <c r="AH410" s="10" t="s">
        <v>2000</v>
      </c>
      <c r="AI410" s="10" t="s">
        <v>82</v>
      </c>
      <c r="AJ410" s="10">
        <v>801723195</v>
      </c>
      <c r="AK410" s="10" t="s">
        <v>105</v>
      </c>
      <c r="AL410" s="10"/>
      <c r="AM410" s="10"/>
      <c r="AN410" s="11" t="s">
        <v>390</v>
      </c>
      <c r="AO410" s="10"/>
      <c r="AP410" s="10"/>
      <c r="AQ410" s="10"/>
      <c r="AR410" s="2" t="s">
        <v>43</v>
      </c>
      <c r="AS410" s="10">
        <v>0</v>
      </c>
      <c r="AT410" s="10" t="s">
        <v>48</v>
      </c>
      <c r="AU410" s="10" t="s">
        <v>2622</v>
      </c>
      <c r="AV410" s="36" t="s">
        <v>2732</v>
      </c>
      <c r="AW410" s="1">
        <v>46205</v>
      </c>
    </row>
    <row r="411" spans="1:49" x14ac:dyDescent="0.25">
      <c r="A411" s="9" t="s">
        <v>2116</v>
      </c>
      <c r="B411" s="10" t="s">
        <v>2239</v>
      </c>
      <c r="C411" s="10">
        <v>0</v>
      </c>
      <c r="D411" s="10" t="s">
        <v>91</v>
      </c>
      <c r="E411" s="10"/>
      <c r="F411" s="10"/>
      <c r="G411" s="10"/>
      <c r="H411" s="10" t="s">
        <v>52</v>
      </c>
      <c r="I411" s="10">
        <v>14</v>
      </c>
      <c r="J411" s="10" t="s">
        <v>2361</v>
      </c>
      <c r="K411" s="10" t="s">
        <v>42</v>
      </c>
      <c r="L411" s="10">
        <f>Table1[[#This Row],[ENR]]-Table1[[#This Row],[CREDIT]]</f>
        <v>-8077.1900000000023</v>
      </c>
      <c r="M411" s="36">
        <v>80000</v>
      </c>
      <c r="N411" s="26">
        <v>71922.81</v>
      </c>
      <c r="O411" s="38">
        <v>18433.669999999998</v>
      </c>
      <c r="P411" s="25">
        <v>53489.14</v>
      </c>
      <c r="Q411" s="25">
        <v>48758.26</v>
      </c>
      <c r="R411" s="10">
        <v>15950</v>
      </c>
      <c r="S411" s="39">
        <v>5254.93</v>
      </c>
      <c r="T411" s="10" t="s">
        <v>57</v>
      </c>
      <c r="U411" s="10" t="s">
        <v>13</v>
      </c>
      <c r="V411" s="10">
        <v>53489.14</v>
      </c>
      <c r="W411" s="25">
        <f>Table1[[#This Row],[STAB]]-Table1[[#This Row],[AMOUNT]]</f>
        <v>-48234.21</v>
      </c>
      <c r="X411" s="10" t="s">
        <v>2004</v>
      </c>
      <c r="Y411" s="10" t="s">
        <v>402</v>
      </c>
      <c r="Z411" s="10" t="s">
        <v>403</v>
      </c>
      <c r="AA411" s="10" t="s">
        <v>162</v>
      </c>
      <c r="AB411" s="10" t="s">
        <v>735</v>
      </c>
      <c r="AC411" s="10"/>
      <c r="AD411" s="9" t="s">
        <v>2482</v>
      </c>
      <c r="AE411" s="10" t="s">
        <v>2598</v>
      </c>
      <c r="AF411" s="10" t="s">
        <v>286</v>
      </c>
      <c r="AG411" s="10" t="s">
        <v>54</v>
      </c>
      <c r="AH411" s="10" t="s">
        <v>723</v>
      </c>
      <c r="AI411" s="10" t="s">
        <v>369</v>
      </c>
      <c r="AJ411" s="10">
        <v>802823180</v>
      </c>
      <c r="AK411" s="10" t="s">
        <v>105</v>
      </c>
      <c r="AL411" s="10"/>
      <c r="AM411" s="10"/>
      <c r="AN411" s="11" t="s">
        <v>390</v>
      </c>
      <c r="AO411" s="10"/>
      <c r="AP411" s="10"/>
      <c r="AQ411" s="10"/>
      <c r="AR411" s="2">
        <v>45867</v>
      </c>
      <c r="AS411" s="10">
        <v>58557.37</v>
      </c>
      <c r="AT411" s="10" t="s">
        <v>47</v>
      </c>
      <c r="AU411" s="10" t="s">
        <v>2622</v>
      </c>
      <c r="AV411" s="36" t="s">
        <v>2729</v>
      </c>
      <c r="AW411" s="1">
        <v>46205</v>
      </c>
    </row>
    <row r="412" spans="1:49" x14ac:dyDescent="0.25">
      <c r="A412" s="9" t="s">
        <v>2115</v>
      </c>
      <c r="B412" s="10" t="s">
        <v>2238</v>
      </c>
      <c r="C412" s="10">
        <v>0</v>
      </c>
      <c r="D412" s="10" t="s">
        <v>91</v>
      </c>
      <c r="E412" s="10"/>
      <c r="F412" s="10"/>
      <c r="G412" s="10"/>
      <c r="H412" s="10" t="s">
        <v>52</v>
      </c>
      <c r="I412" s="10">
        <v>14</v>
      </c>
      <c r="J412" s="10" t="s">
        <v>2360</v>
      </c>
      <c r="K412" s="10" t="s">
        <v>42</v>
      </c>
      <c r="L412" s="10">
        <f>Table1[[#This Row],[ENR]]-Table1[[#This Row],[CREDIT]]</f>
        <v>3787.260000000002</v>
      </c>
      <c r="M412" s="36">
        <v>60000</v>
      </c>
      <c r="N412" s="26">
        <v>63787.26</v>
      </c>
      <c r="O412" s="38" t="s">
        <v>43</v>
      </c>
      <c r="P412" s="25">
        <v>63787.26</v>
      </c>
      <c r="Q412" s="25">
        <v>56490</v>
      </c>
      <c r="R412" s="10">
        <v>21250</v>
      </c>
      <c r="S412" s="39">
        <v>10960</v>
      </c>
      <c r="T412" s="10" t="s">
        <v>44</v>
      </c>
      <c r="U412" s="10" t="s">
        <v>45</v>
      </c>
      <c r="V412" s="10">
        <v>0</v>
      </c>
      <c r="W412" s="25">
        <f>Table1[[#This Row],[STAB]]-Table1[[#This Row],[AMOUNT]]</f>
        <v>10960</v>
      </c>
      <c r="X412" s="10">
        <v>0</v>
      </c>
      <c r="Y412" s="10" t="s">
        <v>79</v>
      </c>
      <c r="Z412" s="10">
        <v>0</v>
      </c>
      <c r="AA412" s="10" t="s">
        <v>162</v>
      </c>
      <c r="AB412" s="36" t="s">
        <v>736</v>
      </c>
      <c r="AC412" s="10"/>
      <c r="AD412" s="9" t="s">
        <v>2481</v>
      </c>
      <c r="AE412" s="10" t="s">
        <v>826</v>
      </c>
      <c r="AF412" s="10" t="s">
        <v>272</v>
      </c>
      <c r="AG412" s="10" t="s">
        <v>54</v>
      </c>
      <c r="AH412" s="10" t="s">
        <v>114</v>
      </c>
      <c r="AI412" s="10" t="s">
        <v>726</v>
      </c>
      <c r="AJ412" s="10">
        <v>801772792</v>
      </c>
      <c r="AK412" s="10" t="s">
        <v>105</v>
      </c>
      <c r="AL412" s="10"/>
      <c r="AM412" s="10"/>
      <c r="AN412" s="11" t="s">
        <v>46</v>
      </c>
      <c r="AO412" s="10"/>
      <c r="AP412" s="10"/>
      <c r="AQ412" s="10"/>
      <c r="AR412" s="2">
        <v>45909</v>
      </c>
      <c r="AS412" s="10">
        <v>56291.49</v>
      </c>
      <c r="AT412" s="10" t="s">
        <v>48</v>
      </c>
      <c r="AU412" s="10" t="s">
        <v>2622</v>
      </c>
      <c r="AV412" s="36" t="s">
        <v>2728</v>
      </c>
      <c r="AW412" s="1">
        <v>46205</v>
      </c>
    </row>
    <row r="413" spans="1:49" x14ac:dyDescent="0.25">
      <c r="A413" s="9" t="s">
        <v>2113</v>
      </c>
      <c r="B413" s="10" t="s">
        <v>2236</v>
      </c>
      <c r="C413" s="10">
        <v>0</v>
      </c>
      <c r="D413" s="10" t="s">
        <v>91</v>
      </c>
      <c r="E413" s="10"/>
      <c r="F413" s="10"/>
      <c r="G413" s="10" t="s">
        <v>4965</v>
      </c>
      <c r="H413" s="10" t="s">
        <v>52</v>
      </c>
      <c r="I413" s="10">
        <v>14</v>
      </c>
      <c r="J413" s="10" t="s">
        <v>2358</v>
      </c>
      <c r="K413" s="10" t="s">
        <v>42</v>
      </c>
      <c r="L413" s="10">
        <f>Table1[[#This Row],[ENR]]-Table1[[#This Row],[CREDIT]]</f>
        <v>5154.2099999999991</v>
      </c>
      <c r="M413" s="36">
        <v>45000</v>
      </c>
      <c r="N413" s="26">
        <v>50154.21</v>
      </c>
      <c r="O413" s="38" t="s">
        <v>43</v>
      </c>
      <c r="P413" s="25">
        <v>50154.21</v>
      </c>
      <c r="Q413" s="25">
        <v>44671.26</v>
      </c>
      <c r="R413" s="10">
        <v>13220</v>
      </c>
      <c r="S413" s="39">
        <v>4500</v>
      </c>
      <c r="T413" s="10" t="s">
        <v>44</v>
      </c>
      <c r="U413" s="10" t="s">
        <v>45</v>
      </c>
      <c r="V413" s="10">
        <v>0</v>
      </c>
      <c r="W413" s="25">
        <f>Table1[[#This Row],[STAB]]-Table1[[#This Row],[AMOUNT]]</f>
        <v>4500</v>
      </c>
      <c r="X413" s="10">
        <v>0</v>
      </c>
      <c r="Y413" s="10" t="s">
        <v>79</v>
      </c>
      <c r="Z413" s="10">
        <v>0</v>
      </c>
      <c r="AA413" s="10" t="s">
        <v>162</v>
      </c>
      <c r="AB413" s="36" t="s">
        <v>734</v>
      </c>
      <c r="AC413" s="10"/>
      <c r="AD413" s="9" t="s">
        <v>2480</v>
      </c>
      <c r="AE413" s="10" t="s">
        <v>2480</v>
      </c>
      <c r="AF413" s="10" t="s">
        <v>383</v>
      </c>
      <c r="AG413" s="10" t="s">
        <v>53</v>
      </c>
      <c r="AH413" s="10" t="s">
        <v>55</v>
      </c>
      <c r="AI413" s="10" t="s">
        <v>365</v>
      </c>
      <c r="AJ413" s="10">
        <v>802824019</v>
      </c>
      <c r="AK413" s="10" t="s">
        <v>360</v>
      </c>
      <c r="AL413" s="10"/>
      <c r="AM413" s="10"/>
      <c r="AN413" s="11" t="s">
        <v>390</v>
      </c>
      <c r="AO413" s="10" t="s">
        <v>398</v>
      </c>
      <c r="AP413" s="10" t="s">
        <v>5580</v>
      </c>
      <c r="AQ413" s="10" t="s">
        <v>4931</v>
      </c>
      <c r="AR413" s="2">
        <v>46126</v>
      </c>
      <c r="AS413" s="10">
        <v>20000</v>
      </c>
      <c r="AT413" s="10" t="s">
        <v>2621</v>
      </c>
      <c r="AU413" s="10" t="s">
        <v>2622</v>
      </c>
      <c r="AV413" s="36" t="s">
        <v>2726</v>
      </c>
      <c r="AW413" s="1">
        <v>46205</v>
      </c>
    </row>
    <row r="414" spans="1:49" x14ac:dyDescent="0.25">
      <c r="A414" s="9" t="s">
        <v>1372</v>
      </c>
      <c r="B414" s="10" t="s">
        <v>1377</v>
      </c>
      <c r="C414" s="10">
        <v>0</v>
      </c>
      <c r="D414" s="10" t="s">
        <v>91</v>
      </c>
      <c r="E414" s="10"/>
      <c r="F414" s="10"/>
      <c r="G414" s="10"/>
      <c r="H414" s="10" t="s">
        <v>52</v>
      </c>
      <c r="I414" s="10">
        <v>15</v>
      </c>
      <c r="J414" s="10" t="s">
        <v>1382</v>
      </c>
      <c r="K414" s="10" t="s">
        <v>42</v>
      </c>
      <c r="L414" s="10">
        <f>Table1[[#This Row],[ENR]]-Table1[[#This Row],[CREDIT]]</f>
        <v>259453.16000000003</v>
      </c>
      <c r="M414" s="36">
        <v>609000</v>
      </c>
      <c r="N414" s="26">
        <v>868453.16</v>
      </c>
      <c r="O414" s="38" t="s">
        <v>43</v>
      </c>
      <c r="P414" s="25">
        <v>868453.16</v>
      </c>
      <c r="Q414" s="25">
        <v>814360.53</v>
      </c>
      <c r="R414" s="10">
        <v>318840</v>
      </c>
      <c r="S414" s="39">
        <v>235820</v>
      </c>
      <c r="T414" s="10" t="s">
        <v>44</v>
      </c>
      <c r="U414" s="10" t="s">
        <v>45</v>
      </c>
      <c r="V414" s="10">
        <v>0</v>
      </c>
      <c r="W414" s="25">
        <f>Table1[[#This Row],[STAB]]-Table1[[#This Row],[AMOUNT]]</f>
        <v>235820</v>
      </c>
      <c r="X414" s="10">
        <v>0</v>
      </c>
      <c r="Y414" s="10" t="s">
        <v>79</v>
      </c>
      <c r="Z414" s="10">
        <v>0</v>
      </c>
      <c r="AA414" s="10" t="s">
        <v>162</v>
      </c>
      <c r="AB414" s="36" t="s">
        <v>733</v>
      </c>
      <c r="AC414" s="10"/>
      <c r="AD414" s="9" t="s">
        <v>1387</v>
      </c>
      <c r="AE414" s="10" t="s">
        <v>1392</v>
      </c>
      <c r="AF414" s="10" t="s">
        <v>1319</v>
      </c>
      <c r="AG414" s="10" t="s">
        <v>54</v>
      </c>
      <c r="AH414" s="10" t="s">
        <v>93</v>
      </c>
      <c r="AI414" s="10" t="s">
        <v>364</v>
      </c>
      <c r="AJ414" s="10">
        <v>802663344</v>
      </c>
      <c r="AK414" s="10" t="s">
        <v>105</v>
      </c>
      <c r="AL414" s="10"/>
      <c r="AM414" s="10"/>
      <c r="AN414" s="11" t="s">
        <v>390</v>
      </c>
      <c r="AO414" s="10" t="s">
        <v>398</v>
      </c>
      <c r="AP414" s="10" t="s">
        <v>4999</v>
      </c>
      <c r="AQ414" s="10" t="s">
        <v>4993</v>
      </c>
      <c r="AR414" s="2">
        <v>46027</v>
      </c>
      <c r="AS414" s="10">
        <v>50000</v>
      </c>
      <c r="AT414" s="10" t="s">
        <v>96</v>
      </c>
      <c r="AU414" s="10" t="s">
        <v>1105</v>
      </c>
      <c r="AV414" s="36" t="s">
        <v>1397</v>
      </c>
      <c r="AW414" s="1">
        <v>46206</v>
      </c>
    </row>
    <row r="415" spans="1:49" x14ac:dyDescent="0.25">
      <c r="A415" s="9" t="s">
        <v>1368</v>
      </c>
      <c r="B415" s="10" t="s">
        <v>1373</v>
      </c>
      <c r="C415" s="10">
        <v>0</v>
      </c>
      <c r="D415" s="10" t="s">
        <v>91</v>
      </c>
      <c r="E415" s="10"/>
      <c r="F415" s="10"/>
      <c r="G415" s="10"/>
      <c r="H415" s="10" t="s">
        <v>52</v>
      </c>
      <c r="I415" s="10">
        <v>15</v>
      </c>
      <c r="J415" s="10" t="s">
        <v>1378</v>
      </c>
      <c r="K415" s="10" t="s">
        <v>42</v>
      </c>
      <c r="L415" s="10">
        <f>Table1[[#This Row],[ENR]]-Table1[[#This Row],[CREDIT]]</f>
        <v>66699.660000000033</v>
      </c>
      <c r="M415" s="36">
        <v>600000</v>
      </c>
      <c r="N415" s="26">
        <v>666699.66</v>
      </c>
      <c r="O415" s="38" t="s">
        <v>43</v>
      </c>
      <c r="P415" s="25">
        <v>666699.66</v>
      </c>
      <c r="Q415" s="25">
        <v>599876.78</v>
      </c>
      <c r="R415" s="10">
        <v>158810</v>
      </c>
      <c r="S415" s="39">
        <v>72000</v>
      </c>
      <c r="T415" s="10" t="s">
        <v>57</v>
      </c>
      <c r="U415" s="10" t="s">
        <v>13</v>
      </c>
      <c r="V415" s="10">
        <v>72000</v>
      </c>
      <c r="W415" s="25">
        <f>Table1[[#This Row],[STAB]]-Table1[[#This Row],[AMOUNT]]</f>
        <v>0</v>
      </c>
      <c r="X415" s="10" t="s">
        <v>4936</v>
      </c>
      <c r="Y415" s="10" t="s">
        <v>402</v>
      </c>
      <c r="Z415" s="10" t="s">
        <v>403</v>
      </c>
      <c r="AA415" s="10" t="s">
        <v>162</v>
      </c>
      <c r="AB415" s="10" t="s">
        <v>735</v>
      </c>
      <c r="AC415" s="10"/>
      <c r="AD415" s="9" t="s">
        <v>1383</v>
      </c>
      <c r="AE415" s="10" t="s">
        <v>1388</v>
      </c>
      <c r="AF415" s="10" t="s">
        <v>272</v>
      </c>
      <c r="AG415" s="10" t="s">
        <v>54</v>
      </c>
      <c r="AH415" s="10" t="s">
        <v>114</v>
      </c>
      <c r="AI415" s="10" t="s">
        <v>726</v>
      </c>
      <c r="AJ415" s="10">
        <v>801772792</v>
      </c>
      <c r="AK415" s="10" t="s">
        <v>105</v>
      </c>
      <c r="AL415" s="10"/>
      <c r="AM415" s="10"/>
      <c r="AN415" s="11" t="s">
        <v>390</v>
      </c>
      <c r="AO415" s="10"/>
      <c r="AP415" s="10"/>
      <c r="AQ415" s="10"/>
      <c r="AR415" s="2">
        <v>46116</v>
      </c>
      <c r="AS415" s="10">
        <v>49999</v>
      </c>
      <c r="AT415" s="10" t="s">
        <v>937</v>
      </c>
      <c r="AU415" s="10" t="s">
        <v>1105</v>
      </c>
      <c r="AV415" s="36" t="s">
        <v>1393</v>
      </c>
      <c r="AW415" s="1">
        <v>46206</v>
      </c>
    </row>
    <row r="416" spans="1:49" x14ac:dyDescent="0.25">
      <c r="A416" s="9" t="s">
        <v>1369</v>
      </c>
      <c r="B416" s="10" t="s">
        <v>1374</v>
      </c>
      <c r="C416" s="10">
        <v>0</v>
      </c>
      <c r="D416" s="10" t="s">
        <v>91</v>
      </c>
      <c r="E416" s="10"/>
      <c r="F416" s="10"/>
      <c r="G416" s="10"/>
      <c r="H416" s="10" t="s">
        <v>52</v>
      </c>
      <c r="I416" s="10">
        <v>15</v>
      </c>
      <c r="J416" s="10" t="s">
        <v>1379</v>
      </c>
      <c r="K416" s="10" t="s">
        <v>42</v>
      </c>
      <c r="L416" s="10">
        <f>Table1[[#This Row],[ENR]]-Table1[[#This Row],[CREDIT]]</f>
        <v>46857.140000000014</v>
      </c>
      <c r="M416" s="36">
        <v>500000</v>
      </c>
      <c r="N416" s="26">
        <v>546857.14</v>
      </c>
      <c r="O416" s="38" t="s">
        <v>43</v>
      </c>
      <c r="P416" s="25">
        <v>546857.14</v>
      </c>
      <c r="Q416" s="25">
        <v>499698.84</v>
      </c>
      <c r="R416" s="10">
        <v>122370</v>
      </c>
      <c r="S416" s="39">
        <v>50130</v>
      </c>
      <c r="T416" s="10" t="s">
        <v>57</v>
      </c>
      <c r="U416" s="10" t="s">
        <v>13</v>
      </c>
      <c r="V416" s="10">
        <v>122370</v>
      </c>
      <c r="W416" s="25">
        <f>Table1[[#This Row],[STAB]]-Table1[[#This Row],[AMOUNT]]</f>
        <v>-72240</v>
      </c>
      <c r="X416" s="10" t="s">
        <v>4931</v>
      </c>
      <c r="Y416" s="10" t="s">
        <v>402</v>
      </c>
      <c r="Z416" s="10" t="s">
        <v>403</v>
      </c>
      <c r="AA416" s="10" t="s">
        <v>162</v>
      </c>
      <c r="AB416" s="36" t="s">
        <v>736</v>
      </c>
      <c r="AC416" s="10"/>
      <c r="AD416" s="9" t="s">
        <v>1384</v>
      </c>
      <c r="AE416" s="10" t="s">
        <v>1389</v>
      </c>
      <c r="AF416" s="10" t="s">
        <v>500</v>
      </c>
      <c r="AG416" s="10" t="s">
        <v>54</v>
      </c>
      <c r="AH416" s="10" t="s">
        <v>99</v>
      </c>
      <c r="AI416" s="10" t="s">
        <v>363</v>
      </c>
      <c r="AJ416" s="10">
        <v>802913252</v>
      </c>
      <c r="AK416" s="10" t="s">
        <v>104</v>
      </c>
      <c r="AL416" s="10"/>
      <c r="AM416" s="10"/>
      <c r="AN416" s="11" t="s">
        <v>390</v>
      </c>
      <c r="AO416" s="10" t="s">
        <v>392</v>
      </c>
      <c r="AP416" s="10" t="s">
        <v>4580</v>
      </c>
      <c r="AQ416" s="10" t="s">
        <v>4566</v>
      </c>
      <c r="AR416" s="2">
        <v>46086</v>
      </c>
      <c r="AS416" s="10">
        <v>52760</v>
      </c>
      <c r="AT416" s="10" t="s">
        <v>96</v>
      </c>
      <c r="AU416" s="10" t="s">
        <v>1105</v>
      </c>
      <c r="AV416" s="36" t="s">
        <v>1394</v>
      </c>
      <c r="AW416" s="1">
        <v>46206</v>
      </c>
    </row>
    <row r="417" spans="1:49" x14ac:dyDescent="0.25">
      <c r="A417" s="9" t="s">
        <v>1371</v>
      </c>
      <c r="B417" s="10" t="s">
        <v>1376</v>
      </c>
      <c r="C417" s="10">
        <v>0</v>
      </c>
      <c r="D417" s="10" t="s">
        <v>91</v>
      </c>
      <c r="E417" s="10"/>
      <c r="F417" s="10"/>
      <c r="G417" s="10"/>
      <c r="H417" s="10" t="s">
        <v>52</v>
      </c>
      <c r="I417" s="10">
        <v>15</v>
      </c>
      <c r="J417" s="10" t="s">
        <v>1381</v>
      </c>
      <c r="K417" s="10" t="s">
        <v>42</v>
      </c>
      <c r="L417" s="10">
        <f>Table1[[#This Row],[ENR]]-Table1[[#This Row],[CREDIT]]</f>
        <v>-85146.599999999977</v>
      </c>
      <c r="M417" s="36">
        <v>500000</v>
      </c>
      <c r="N417" s="26">
        <v>414853.4</v>
      </c>
      <c r="O417" s="38" t="s">
        <v>43</v>
      </c>
      <c r="P417" s="25">
        <v>414853.4</v>
      </c>
      <c r="Q417" s="25">
        <v>361815.94</v>
      </c>
      <c r="R417" s="10">
        <v>75810</v>
      </c>
      <c r="S417" s="39">
        <v>30320</v>
      </c>
      <c r="T417" s="10" t="s">
        <v>44</v>
      </c>
      <c r="U417" s="10" t="s">
        <v>45</v>
      </c>
      <c r="V417" s="10">
        <v>0</v>
      </c>
      <c r="W417" s="25">
        <f>Table1[[#This Row],[STAB]]-Table1[[#This Row],[AMOUNT]]</f>
        <v>30320</v>
      </c>
      <c r="X417" s="10">
        <v>0</v>
      </c>
      <c r="Y417" s="10" t="s">
        <v>79</v>
      </c>
      <c r="Z417" s="10" t="s">
        <v>963</v>
      </c>
      <c r="AA417" s="10" t="s">
        <v>162</v>
      </c>
      <c r="AB417" s="36" t="s">
        <v>734</v>
      </c>
      <c r="AC417" s="10"/>
      <c r="AD417" s="9" t="s">
        <v>1386</v>
      </c>
      <c r="AE417" s="10" t="s">
        <v>1391</v>
      </c>
      <c r="AF417" s="10" t="s">
        <v>283</v>
      </c>
      <c r="AG417" s="10" t="s">
        <v>53</v>
      </c>
      <c r="AH417" s="10" t="s">
        <v>5582</v>
      </c>
      <c r="AI417" s="10" t="s">
        <v>2962</v>
      </c>
      <c r="AJ417" s="10">
        <v>801601134</v>
      </c>
      <c r="AK417" s="10" t="s">
        <v>104</v>
      </c>
      <c r="AL417" s="10"/>
      <c r="AM417" s="10"/>
      <c r="AN417" s="11" t="s">
        <v>390</v>
      </c>
      <c r="AO417" s="10" t="s">
        <v>392</v>
      </c>
      <c r="AP417" s="10" t="s">
        <v>5009</v>
      </c>
      <c r="AQ417" s="10" t="s">
        <v>4993</v>
      </c>
      <c r="AR417" s="2">
        <v>46148</v>
      </c>
      <c r="AS417" s="10">
        <v>21210</v>
      </c>
      <c r="AT417" s="10" t="s">
        <v>96</v>
      </c>
      <c r="AU417" s="10" t="s">
        <v>1105</v>
      </c>
      <c r="AV417" s="36" t="s">
        <v>1396</v>
      </c>
      <c r="AW417" s="1">
        <v>46206</v>
      </c>
    </row>
    <row r="418" spans="1:49" x14ac:dyDescent="0.25">
      <c r="A418" s="9" t="s">
        <v>1370</v>
      </c>
      <c r="B418" s="10" t="s">
        <v>1375</v>
      </c>
      <c r="C418" s="10">
        <v>0</v>
      </c>
      <c r="D418" s="10" t="s">
        <v>91</v>
      </c>
      <c r="E418" s="10"/>
      <c r="F418" s="10"/>
      <c r="G418" s="10"/>
      <c r="H418" s="10" t="s">
        <v>52</v>
      </c>
      <c r="I418" s="10">
        <v>15</v>
      </c>
      <c r="J418" s="10" t="s">
        <v>1380</v>
      </c>
      <c r="K418" s="10" t="s">
        <v>42</v>
      </c>
      <c r="L418" s="10">
        <f>Table1[[#This Row],[ENR]]-Table1[[#This Row],[CREDIT]]</f>
        <v>1970</v>
      </c>
      <c r="M418" s="36">
        <v>300000</v>
      </c>
      <c r="N418" s="26">
        <v>301970</v>
      </c>
      <c r="O418" s="38" t="s">
        <v>43</v>
      </c>
      <c r="P418" s="25">
        <v>301970</v>
      </c>
      <c r="Q418" s="25">
        <v>283136</v>
      </c>
      <c r="R418" s="10">
        <v>34390</v>
      </c>
      <c r="S418" s="39">
        <v>14160</v>
      </c>
      <c r="T418" s="10" t="s">
        <v>57</v>
      </c>
      <c r="U418" s="10" t="s">
        <v>13</v>
      </c>
      <c r="V418" s="10">
        <v>301970</v>
      </c>
      <c r="W418" s="25">
        <f>Table1[[#This Row],[STAB]]-Table1[[#This Row],[AMOUNT]]</f>
        <v>-287810</v>
      </c>
      <c r="X418" s="10" t="s">
        <v>1989</v>
      </c>
      <c r="Y418" s="10" t="s">
        <v>402</v>
      </c>
      <c r="Z418" s="10" t="s">
        <v>403</v>
      </c>
      <c r="AA418" s="10" t="s">
        <v>162</v>
      </c>
      <c r="AB418" s="36" t="s">
        <v>736</v>
      </c>
      <c r="AC418" s="10"/>
      <c r="AD418" s="9" t="s">
        <v>1385</v>
      </c>
      <c r="AE418" s="10" t="s">
        <v>1390</v>
      </c>
      <c r="AF418" s="10" t="s">
        <v>1319</v>
      </c>
      <c r="AG418" s="10" t="s">
        <v>54</v>
      </c>
      <c r="AH418" s="10" t="s">
        <v>93</v>
      </c>
      <c r="AI418" s="10" t="s">
        <v>364</v>
      </c>
      <c r="AJ418" s="10">
        <v>802663344</v>
      </c>
      <c r="AK418" s="10" t="s">
        <v>105</v>
      </c>
      <c r="AL418" s="10"/>
      <c r="AM418" s="10"/>
      <c r="AN418" s="11" t="s">
        <v>390</v>
      </c>
      <c r="AO418" s="10" t="s">
        <v>392</v>
      </c>
      <c r="AP418" s="10" t="s">
        <v>1976</v>
      </c>
      <c r="AQ418" s="10" t="s">
        <v>1961</v>
      </c>
      <c r="AR418" s="2">
        <v>45937</v>
      </c>
      <c r="AS418" s="10">
        <v>50000</v>
      </c>
      <c r="AT418" s="10" t="s">
        <v>96</v>
      </c>
      <c r="AU418" s="10" t="s">
        <v>1105</v>
      </c>
      <c r="AV418" s="36" t="s">
        <v>1395</v>
      </c>
      <c r="AW418" s="1">
        <v>46206</v>
      </c>
    </row>
    <row r="419" spans="1:49" x14ac:dyDescent="0.25">
      <c r="A419" s="9" t="s">
        <v>2963</v>
      </c>
      <c r="B419" s="10" t="s">
        <v>3025</v>
      </c>
      <c r="C419" s="10">
        <v>0</v>
      </c>
      <c r="D419" s="10" t="s">
        <v>91</v>
      </c>
      <c r="E419" s="10"/>
      <c r="F419" s="10"/>
      <c r="G419" s="10"/>
      <c r="H419" s="10" t="s">
        <v>84</v>
      </c>
      <c r="I419" s="10">
        <v>16</v>
      </c>
      <c r="J419" s="10" t="s">
        <v>3087</v>
      </c>
      <c r="K419" s="10" t="s">
        <v>42</v>
      </c>
      <c r="L419" s="10">
        <f>Table1[[#This Row],[ENR]]-Table1[[#This Row],[CREDIT]]</f>
        <v>15922.459999999963</v>
      </c>
      <c r="M419" s="36">
        <v>560000</v>
      </c>
      <c r="N419" s="26">
        <v>575922.46</v>
      </c>
      <c r="O419" s="38" t="s">
        <v>43</v>
      </c>
      <c r="P419" s="25">
        <v>575922.46</v>
      </c>
      <c r="Q419" s="25">
        <v>546668.52</v>
      </c>
      <c r="R419" s="10">
        <v>123910</v>
      </c>
      <c r="S419" s="39">
        <v>77930</v>
      </c>
      <c r="T419" s="10" t="s">
        <v>57</v>
      </c>
      <c r="U419" s="10" t="s">
        <v>13</v>
      </c>
      <c r="V419" s="10">
        <v>77930</v>
      </c>
      <c r="W419" s="25">
        <f>Table1[[#This Row],[STAB]]-Table1[[#This Row],[AMOUNT]]</f>
        <v>0</v>
      </c>
      <c r="X419" s="10" t="s">
        <v>4931</v>
      </c>
      <c r="Y419" s="10" t="s">
        <v>402</v>
      </c>
      <c r="Z419" s="10" t="s">
        <v>403</v>
      </c>
      <c r="AA419" s="10" t="s">
        <v>113</v>
      </c>
      <c r="AB419" s="36" t="s">
        <v>131</v>
      </c>
      <c r="AC419" s="10"/>
      <c r="AD419" s="9" t="s">
        <v>3149</v>
      </c>
      <c r="AE419" s="10" t="s">
        <v>3210</v>
      </c>
      <c r="AF419" s="10" t="s">
        <v>283</v>
      </c>
      <c r="AG419" s="10" t="s">
        <v>53</v>
      </c>
      <c r="AH419" s="10" t="s">
        <v>5582</v>
      </c>
      <c r="AI419" s="10" t="s">
        <v>2962</v>
      </c>
      <c r="AJ419" s="10">
        <v>801601134</v>
      </c>
      <c r="AK419" s="10" t="s">
        <v>104</v>
      </c>
      <c r="AL419" s="10"/>
      <c r="AM419" s="10"/>
      <c r="AN419" s="11" t="s">
        <v>390</v>
      </c>
      <c r="AO419" s="10"/>
      <c r="AP419" s="10"/>
      <c r="AQ419" s="10"/>
      <c r="AR419" s="2">
        <v>45934</v>
      </c>
      <c r="AS419" s="10">
        <v>10474.65</v>
      </c>
      <c r="AT419" s="10" t="s">
        <v>503</v>
      </c>
      <c r="AU419" s="10" t="s">
        <v>3266</v>
      </c>
      <c r="AV419" s="36" t="s">
        <v>3267</v>
      </c>
      <c r="AW419" s="1">
        <v>46207</v>
      </c>
    </row>
    <row r="420" spans="1:49" x14ac:dyDescent="0.25">
      <c r="A420" s="9" t="s">
        <v>2990</v>
      </c>
      <c r="B420" s="10" t="s">
        <v>3052</v>
      </c>
      <c r="C420" s="10">
        <v>0</v>
      </c>
      <c r="D420" s="10" t="s">
        <v>91</v>
      </c>
      <c r="E420" s="10"/>
      <c r="F420" s="10"/>
      <c r="G420" s="10"/>
      <c r="H420" s="10" t="s">
        <v>84</v>
      </c>
      <c r="I420" s="10">
        <v>16</v>
      </c>
      <c r="J420" s="10" t="s">
        <v>3114</v>
      </c>
      <c r="K420" s="10" t="s">
        <v>42</v>
      </c>
      <c r="L420" s="10">
        <f>Table1[[#This Row],[ENR]]-Table1[[#This Row],[CREDIT]]</f>
        <v>-136716.65000000002</v>
      </c>
      <c r="M420" s="36">
        <v>700000</v>
      </c>
      <c r="N420" s="26">
        <v>563283.35</v>
      </c>
      <c r="O420" s="38" t="s">
        <v>43</v>
      </c>
      <c r="P420" s="25">
        <v>563283.35</v>
      </c>
      <c r="Q420" s="25">
        <v>517392.15</v>
      </c>
      <c r="R420" s="10">
        <v>101250</v>
      </c>
      <c r="S420" s="39">
        <v>49670</v>
      </c>
      <c r="T420" s="10" t="s">
        <v>44</v>
      </c>
      <c r="U420" s="10" t="s">
        <v>45</v>
      </c>
      <c r="V420" s="10">
        <v>0</v>
      </c>
      <c r="W420" s="25">
        <f>Table1[[#This Row],[STAB]]-Table1[[#This Row],[AMOUNT]]</f>
        <v>49670</v>
      </c>
      <c r="X420" s="10">
        <v>0</v>
      </c>
      <c r="Y420" s="10" t="s">
        <v>79</v>
      </c>
      <c r="Z420" s="10">
        <v>0</v>
      </c>
      <c r="AA420" s="10" t="s">
        <v>113</v>
      </c>
      <c r="AB420" s="36" t="s">
        <v>375</v>
      </c>
      <c r="AC420" s="10"/>
      <c r="AD420" s="9" t="s">
        <v>3176</v>
      </c>
      <c r="AE420" s="10" t="s">
        <v>3237</v>
      </c>
      <c r="AF420" s="10" t="s">
        <v>272</v>
      </c>
      <c r="AG420" s="10" t="s">
        <v>54</v>
      </c>
      <c r="AH420" s="10" t="s">
        <v>357</v>
      </c>
      <c r="AI420" s="10" t="s">
        <v>1960</v>
      </c>
      <c r="AJ420" s="10">
        <v>801264672</v>
      </c>
      <c r="AK420" s="10" t="s">
        <v>1959</v>
      </c>
      <c r="AL420" s="10"/>
      <c r="AM420" s="10"/>
      <c r="AN420" s="11" t="s">
        <v>390</v>
      </c>
      <c r="AO420" s="10" t="s">
        <v>392</v>
      </c>
      <c r="AP420" s="10" t="s">
        <v>4995</v>
      </c>
      <c r="AQ420" s="10" t="s">
        <v>4993</v>
      </c>
      <c r="AR420" s="2">
        <v>45242</v>
      </c>
      <c r="AS420" s="10">
        <v>5000</v>
      </c>
      <c r="AT420" s="10" t="s">
        <v>503</v>
      </c>
      <c r="AU420" s="10" t="s">
        <v>3266</v>
      </c>
      <c r="AV420" s="36" t="s">
        <v>3294</v>
      </c>
      <c r="AW420" s="1">
        <v>46207</v>
      </c>
    </row>
    <row r="421" spans="1:49" x14ac:dyDescent="0.25">
      <c r="A421" s="9" t="s">
        <v>1822</v>
      </c>
      <c r="B421" s="10" t="s">
        <v>1846</v>
      </c>
      <c r="C421" s="10" t="s">
        <v>97</v>
      </c>
      <c r="D421" s="10" t="s">
        <v>95</v>
      </c>
      <c r="E421" s="10">
        <v>1</v>
      </c>
      <c r="F421" s="10" t="s">
        <v>112</v>
      </c>
      <c r="G421" s="10" t="s">
        <v>4952</v>
      </c>
      <c r="H421" s="10" t="s">
        <v>52</v>
      </c>
      <c r="I421" s="10">
        <v>16</v>
      </c>
      <c r="J421" s="10" t="s">
        <v>1870</v>
      </c>
      <c r="K421" s="10" t="s">
        <v>42</v>
      </c>
      <c r="L421" s="10">
        <f>Table1[[#This Row],[ENR]]-Table1[[#This Row],[CREDIT]]</f>
        <v>45686.119999999995</v>
      </c>
      <c r="M421" s="36">
        <v>500000</v>
      </c>
      <c r="N421" s="26">
        <v>545686.12</v>
      </c>
      <c r="O421" s="38">
        <v>78826.600000000006</v>
      </c>
      <c r="P421" s="25">
        <v>466859.52000000002</v>
      </c>
      <c r="Q421" s="25">
        <v>418255.81</v>
      </c>
      <c r="R421" s="10">
        <v>92130</v>
      </c>
      <c r="S421" s="39">
        <v>40820</v>
      </c>
      <c r="T421" s="10" t="s">
        <v>44</v>
      </c>
      <c r="U421" s="10" t="s">
        <v>45</v>
      </c>
      <c r="V421" s="10">
        <v>0</v>
      </c>
      <c r="W421" s="25">
        <f>Table1[[#This Row],[STAB]]-Table1[[#This Row],[AMOUNT]]</f>
        <v>40820</v>
      </c>
      <c r="X421" s="10">
        <v>0</v>
      </c>
      <c r="Y421" s="10" t="s">
        <v>79</v>
      </c>
      <c r="Z421" s="10">
        <v>0</v>
      </c>
      <c r="AA421" s="10" t="s">
        <v>113</v>
      </c>
      <c r="AB421" s="36" t="s">
        <v>113</v>
      </c>
      <c r="AC421" s="10"/>
      <c r="AD421" s="9" t="s">
        <v>1894</v>
      </c>
      <c r="AE421" s="10" t="s">
        <v>1918</v>
      </c>
      <c r="AF421" s="10" t="s">
        <v>383</v>
      </c>
      <c r="AG421" s="10" t="s">
        <v>53</v>
      </c>
      <c r="AH421" s="10" t="s">
        <v>55</v>
      </c>
      <c r="AI421" s="10" t="s">
        <v>365</v>
      </c>
      <c r="AJ421" s="10">
        <v>802824019</v>
      </c>
      <c r="AK421" s="10" t="s">
        <v>360</v>
      </c>
      <c r="AL421" s="10"/>
      <c r="AM421" s="10"/>
      <c r="AN421" s="11" t="s">
        <v>390</v>
      </c>
      <c r="AO421" s="10" t="s">
        <v>398</v>
      </c>
      <c r="AP421" s="10" t="s">
        <v>954</v>
      </c>
      <c r="AQ421" s="10" t="s">
        <v>2004</v>
      </c>
      <c r="AR421" s="2">
        <v>46065</v>
      </c>
      <c r="AS421" s="10">
        <v>65000</v>
      </c>
      <c r="AT421" s="10" t="s">
        <v>291</v>
      </c>
      <c r="AU421" s="10" t="s">
        <v>1741</v>
      </c>
      <c r="AV421" s="36" t="s">
        <v>1944</v>
      </c>
      <c r="AW421" s="1">
        <v>46207</v>
      </c>
    </row>
    <row r="422" spans="1:49" x14ac:dyDescent="0.25">
      <c r="A422" s="9" t="s">
        <v>1832</v>
      </c>
      <c r="B422" s="10" t="s">
        <v>1856</v>
      </c>
      <c r="C422" s="10">
        <v>0</v>
      </c>
      <c r="D422" s="10" t="s">
        <v>91</v>
      </c>
      <c r="E422" s="10"/>
      <c r="F422" s="10"/>
      <c r="G422" s="10"/>
      <c r="H422" s="10" t="s">
        <v>52</v>
      </c>
      <c r="I422" s="10">
        <v>16</v>
      </c>
      <c r="J422" s="10" t="s">
        <v>1880</v>
      </c>
      <c r="K422" s="10" t="s">
        <v>42</v>
      </c>
      <c r="L422" s="10">
        <f>Table1[[#This Row],[ENR]]-Table1[[#This Row],[CREDIT]]</f>
        <v>35461.640000000014</v>
      </c>
      <c r="M422" s="36">
        <v>510000</v>
      </c>
      <c r="N422" s="26">
        <v>545461.64</v>
      </c>
      <c r="O422" s="38">
        <v>152245.65</v>
      </c>
      <c r="P422" s="25">
        <v>393215.99</v>
      </c>
      <c r="Q422" s="25">
        <v>353254.02</v>
      </c>
      <c r="R422" s="10">
        <v>93240</v>
      </c>
      <c r="S422" s="39">
        <v>40080</v>
      </c>
      <c r="T422" s="10" t="s">
        <v>44</v>
      </c>
      <c r="U422" s="10" t="s">
        <v>45</v>
      </c>
      <c r="V422" s="10">
        <v>0</v>
      </c>
      <c r="W422" s="25">
        <f>Table1[[#This Row],[STAB]]-Table1[[#This Row],[AMOUNT]]</f>
        <v>40080</v>
      </c>
      <c r="X422" s="10">
        <v>0</v>
      </c>
      <c r="Y422" s="10" t="s">
        <v>79</v>
      </c>
      <c r="Z422" s="10">
        <v>0</v>
      </c>
      <c r="AA422" s="10" t="s">
        <v>113</v>
      </c>
      <c r="AB422" s="36" t="s">
        <v>132</v>
      </c>
      <c r="AC422" s="10"/>
      <c r="AD422" s="9" t="s">
        <v>1904</v>
      </c>
      <c r="AE422" s="10" t="s">
        <v>1928</v>
      </c>
      <c r="AF422" s="10" t="s">
        <v>272</v>
      </c>
      <c r="AG422" s="10" t="s">
        <v>54</v>
      </c>
      <c r="AH422" s="10" t="s">
        <v>357</v>
      </c>
      <c r="AI422" s="10" t="s">
        <v>1960</v>
      </c>
      <c r="AJ422" s="10">
        <v>801264672</v>
      </c>
      <c r="AK422" s="10" t="s">
        <v>1959</v>
      </c>
      <c r="AL422" s="10"/>
      <c r="AM422" s="10"/>
      <c r="AN422" s="11" t="s">
        <v>390</v>
      </c>
      <c r="AO422" s="10" t="s">
        <v>394</v>
      </c>
      <c r="AP422" s="10" t="s">
        <v>6357</v>
      </c>
      <c r="AQ422" s="10" t="s">
        <v>4976</v>
      </c>
      <c r="AR422" s="2">
        <v>46150</v>
      </c>
      <c r="AS422" s="10">
        <v>6000</v>
      </c>
      <c r="AT422" s="10" t="s">
        <v>294</v>
      </c>
      <c r="AU422" s="10" t="s">
        <v>1741</v>
      </c>
      <c r="AV422" s="36" t="s">
        <v>1954</v>
      </c>
      <c r="AW422" s="1">
        <v>46207</v>
      </c>
    </row>
    <row r="423" spans="1:49" x14ac:dyDescent="0.25">
      <c r="A423" s="9" t="s">
        <v>3019</v>
      </c>
      <c r="B423" s="10" t="s">
        <v>3081</v>
      </c>
      <c r="C423" s="10">
        <v>0</v>
      </c>
      <c r="D423" s="10" t="s">
        <v>91</v>
      </c>
      <c r="E423" s="10"/>
      <c r="F423" s="10"/>
      <c r="G423" s="10"/>
      <c r="H423" s="10" t="s">
        <v>52</v>
      </c>
      <c r="I423" s="10">
        <v>16</v>
      </c>
      <c r="J423" s="10" t="s">
        <v>3143</v>
      </c>
      <c r="K423" s="10" t="s">
        <v>42</v>
      </c>
      <c r="L423" s="10">
        <f>Table1[[#This Row],[ENR]]-Table1[[#This Row],[CREDIT]]</f>
        <v>-39581.619999999995</v>
      </c>
      <c r="M423" s="36">
        <v>550000</v>
      </c>
      <c r="N423" s="26">
        <v>510418.38</v>
      </c>
      <c r="O423" s="38">
        <v>38251.1</v>
      </c>
      <c r="P423" s="25">
        <v>472167.28</v>
      </c>
      <c r="Q423" s="25">
        <v>436656.4</v>
      </c>
      <c r="R423" s="10">
        <v>94520</v>
      </c>
      <c r="S423" s="39">
        <v>47220</v>
      </c>
      <c r="T423" s="10" t="s">
        <v>57</v>
      </c>
      <c r="U423" s="10" t="s">
        <v>13</v>
      </c>
      <c r="V423" s="10">
        <v>50000</v>
      </c>
      <c r="W423" s="25">
        <f>Table1[[#This Row],[STAB]]-Table1[[#This Row],[AMOUNT]]</f>
        <v>-2780</v>
      </c>
      <c r="X423" s="10" t="s">
        <v>4923</v>
      </c>
      <c r="Y423" s="10" t="s">
        <v>402</v>
      </c>
      <c r="Z423" s="10" t="s">
        <v>403</v>
      </c>
      <c r="AA423" s="10" t="s">
        <v>113</v>
      </c>
      <c r="AB423" s="41" t="s">
        <v>376</v>
      </c>
      <c r="AC423" s="10"/>
      <c r="AD423" s="9" t="s">
        <v>3204</v>
      </c>
      <c r="AE423" s="10" t="s">
        <v>3258</v>
      </c>
      <c r="AF423" s="10" t="s">
        <v>1321</v>
      </c>
      <c r="AG423" s="10" t="s">
        <v>324</v>
      </c>
      <c r="AH423" s="10" t="s">
        <v>1361</v>
      </c>
      <c r="AI423" s="10" t="s">
        <v>1404</v>
      </c>
      <c r="AJ423" s="10">
        <v>802852449</v>
      </c>
      <c r="AK423" s="10" t="s">
        <v>104</v>
      </c>
      <c r="AL423" s="10"/>
      <c r="AM423" s="10"/>
      <c r="AN423" s="11" t="s">
        <v>390</v>
      </c>
      <c r="AO423" s="10"/>
      <c r="AP423" s="10"/>
      <c r="AQ423" s="10"/>
      <c r="AR423" s="2">
        <v>46175</v>
      </c>
      <c r="AS423" s="10">
        <v>31780</v>
      </c>
      <c r="AT423" s="10" t="s">
        <v>47</v>
      </c>
      <c r="AU423" s="10" t="s">
        <v>3266</v>
      </c>
      <c r="AV423" s="36" t="s">
        <v>3323</v>
      </c>
      <c r="AW423" s="1">
        <v>46207</v>
      </c>
    </row>
    <row r="424" spans="1:49" x14ac:dyDescent="0.25">
      <c r="A424" s="9" t="s">
        <v>3016</v>
      </c>
      <c r="B424" s="10" t="s">
        <v>3078</v>
      </c>
      <c r="C424" s="10">
        <v>0</v>
      </c>
      <c r="D424" s="10" t="s">
        <v>91</v>
      </c>
      <c r="E424" s="10"/>
      <c r="F424" s="10"/>
      <c r="G424" s="10"/>
      <c r="H424" s="10" t="s">
        <v>52</v>
      </c>
      <c r="I424" s="10">
        <v>16</v>
      </c>
      <c r="J424" s="10" t="s">
        <v>3140</v>
      </c>
      <c r="K424" s="10" t="s">
        <v>42</v>
      </c>
      <c r="L424" s="10">
        <f>Table1[[#This Row],[ENR]]-Table1[[#This Row],[CREDIT]]</f>
        <v>-2731.5499999999884</v>
      </c>
      <c r="M424" s="36">
        <v>500000</v>
      </c>
      <c r="N424" s="26">
        <v>497268.45</v>
      </c>
      <c r="O424" s="38" t="s">
        <v>43</v>
      </c>
      <c r="P424" s="25">
        <v>497268.45</v>
      </c>
      <c r="Q424" s="25">
        <v>472891.56</v>
      </c>
      <c r="R424" s="10">
        <v>69790</v>
      </c>
      <c r="S424" s="39">
        <v>42270</v>
      </c>
      <c r="T424" s="10" t="s">
        <v>57</v>
      </c>
      <c r="U424" s="10" t="s">
        <v>13</v>
      </c>
      <c r="V424" s="10">
        <v>497268.45</v>
      </c>
      <c r="W424" s="25">
        <f>Table1[[#This Row],[STAB]]-Table1[[#This Row],[AMOUNT]]</f>
        <v>-454998.45</v>
      </c>
      <c r="X424" s="10" t="s">
        <v>4566</v>
      </c>
      <c r="Y424" s="10" t="s">
        <v>402</v>
      </c>
      <c r="Z424" s="10" t="s">
        <v>964</v>
      </c>
      <c r="AA424" s="10" t="s">
        <v>113</v>
      </c>
      <c r="AB424" s="36" t="s">
        <v>132</v>
      </c>
      <c r="AC424" s="10"/>
      <c r="AD424" s="9" t="s">
        <v>3201</v>
      </c>
      <c r="AE424" s="10" t="s">
        <v>3201</v>
      </c>
      <c r="AF424" s="10" t="s">
        <v>275</v>
      </c>
      <c r="AG424" s="10" t="s">
        <v>80</v>
      </c>
      <c r="AH424" s="10" t="s">
        <v>87</v>
      </c>
      <c r="AI424" s="10" t="s">
        <v>368</v>
      </c>
      <c r="AJ424" s="10">
        <v>802823175</v>
      </c>
      <c r="AK424" s="10" t="s">
        <v>105</v>
      </c>
      <c r="AL424" s="10"/>
      <c r="AM424" s="10"/>
      <c r="AN424" s="11" t="s">
        <v>390</v>
      </c>
      <c r="AO424" s="10"/>
      <c r="AP424" s="10"/>
      <c r="AQ424" s="10"/>
      <c r="AR424" s="2">
        <v>46188</v>
      </c>
      <c r="AS424" s="10">
        <v>27100</v>
      </c>
      <c r="AT424" s="10" t="s">
        <v>1931</v>
      </c>
      <c r="AU424" s="10" t="s">
        <v>3266</v>
      </c>
      <c r="AV424" s="36" t="s">
        <v>3320</v>
      </c>
      <c r="AW424" s="1">
        <v>46207</v>
      </c>
    </row>
    <row r="425" spans="1:49" x14ac:dyDescent="0.25">
      <c r="A425" s="9" t="s">
        <v>1831</v>
      </c>
      <c r="B425" s="10" t="s">
        <v>1855</v>
      </c>
      <c r="C425" s="10">
        <v>0</v>
      </c>
      <c r="D425" s="10" t="s">
        <v>91</v>
      </c>
      <c r="E425" s="10"/>
      <c r="F425" s="10"/>
      <c r="G425" s="10"/>
      <c r="H425" s="10" t="s">
        <v>84</v>
      </c>
      <c r="I425" s="10">
        <v>16</v>
      </c>
      <c r="J425" s="10" t="s">
        <v>1879</v>
      </c>
      <c r="K425" s="10" t="s">
        <v>1958</v>
      </c>
      <c r="L425" s="10">
        <f>Table1[[#This Row],[ENR]]-Table1[[#This Row],[CREDIT]]</f>
        <v>231828.90000000002</v>
      </c>
      <c r="M425" s="36">
        <v>240000</v>
      </c>
      <c r="N425" s="26">
        <v>471828.9</v>
      </c>
      <c r="O425" s="38">
        <v>397795.15</v>
      </c>
      <c r="P425" s="25">
        <v>74033.75</v>
      </c>
      <c r="Q425" s="25">
        <v>65306.64</v>
      </c>
      <c r="R425" s="10">
        <v>73680</v>
      </c>
      <c r="S425" s="39">
        <v>37370</v>
      </c>
      <c r="T425" s="10" t="s">
        <v>44</v>
      </c>
      <c r="U425" s="10" t="s">
        <v>45</v>
      </c>
      <c r="V425" s="10">
        <v>0</v>
      </c>
      <c r="W425" s="25">
        <f>Table1[[#This Row],[STAB]]-Table1[[#This Row],[AMOUNT]]</f>
        <v>37370</v>
      </c>
      <c r="X425" s="10">
        <v>0</v>
      </c>
      <c r="Y425" s="10" t="s">
        <v>79</v>
      </c>
      <c r="Z425" s="10">
        <v>0</v>
      </c>
      <c r="AA425" s="10" t="s">
        <v>113</v>
      </c>
      <c r="AB425" s="10" t="s">
        <v>133</v>
      </c>
      <c r="AC425" s="10"/>
      <c r="AD425" s="9" t="s">
        <v>1903</v>
      </c>
      <c r="AE425" s="10" t="s">
        <v>1927</v>
      </c>
      <c r="AF425" s="10" t="s">
        <v>287</v>
      </c>
      <c r="AG425" s="10" t="s">
        <v>324</v>
      </c>
      <c r="AH425" s="10" t="s">
        <v>56</v>
      </c>
      <c r="AI425" s="10" t="s">
        <v>370</v>
      </c>
      <c r="AJ425" s="10">
        <v>801448854</v>
      </c>
      <c r="AK425" s="10" t="s">
        <v>105</v>
      </c>
      <c r="AL425" s="10"/>
      <c r="AM425" s="10"/>
      <c r="AN425" s="11" t="s">
        <v>390</v>
      </c>
      <c r="AO425" s="10" t="s">
        <v>398</v>
      </c>
      <c r="AP425" s="10" t="s">
        <v>5602</v>
      </c>
      <c r="AQ425" s="10" t="s">
        <v>4931</v>
      </c>
      <c r="AR425" s="2">
        <v>45632</v>
      </c>
      <c r="AS425" s="10">
        <v>100</v>
      </c>
      <c r="AT425" s="10" t="s">
        <v>47</v>
      </c>
      <c r="AU425" s="10" t="s">
        <v>1741</v>
      </c>
      <c r="AV425" s="36" t="s">
        <v>1953</v>
      </c>
      <c r="AW425" s="1">
        <v>46207</v>
      </c>
    </row>
    <row r="426" spans="1:49" x14ac:dyDescent="0.25">
      <c r="A426" s="9" t="s">
        <v>1823</v>
      </c>
      <c r="B426" s="10" t="s">
        <v>1847</v>
      </c>
      <c r="C426" s="10">
        <v>0</v>
      </c>
      <c r="D426" s="10" t="s">
        <v>91</v>
      </c>
      <c r="E426" s="10">
        <v>1</v>
      </c>
      <c r="F426" s="10"/>
      <c r="G426" s="10"/>
      <c r="H426" s="10" t="s">
        <v>52</v>
      </c>
      <c r="I426" s="10">
        <v>16</v>
      </c>
      <c r="J426" s="10" t="s">
        <v>1871</v>
      </c>
      <c r="K426" s="10" t="s">
        <v>42</v>
      </c>
      <c r="L426" s="10">
        <f>Table1[[#This Row],[ENR]]-Table1[[#This Row],[CREDIT]]</f>
        <v>14891.409999999974</v>
      </c>
      <c r="M426" s="36">
        <v>400000</v>
      </c>
      <c r="N426" s="26">
        <v>414891.41</v>
      </c>
      <c r="O426" s="38">
        <v>132704.35</v>
      </c>
      <c r="P426" s="25">
        <v>282187.06</v>
      </c>
      <c r="Q426" s="25">
        <v>249113.88</v>
      </c>
      <c r="R426" s="10">
        <v>72780</v>
      </c>
      <c r="S426" s="39">
        <v>35370</v>
      </c>
      <c r="T426" s="10" t="s">
        <v>44</v>
      </c>
      <c r="U426" s="10" t="s">
        <v>45</v>
      </c>
      <c r="V426" s="10">
        <v>272</v>
      </c>
      <c r="W426" s="25">
        <f>Table1[[#This Row],[STAB]]-Table1[[#This Row],[AMOUNT]]</f>
        <v>35098</v>
      </c>
      <c r="X426" s="10">
        <v>0</v>
      </c>
      <c r="Y426" s="10" t="s">
        <v>79</v>
      </c>
      <c r="Z426" s="10" t="s">
        <v>963</v>
      </c>
      <c r="AA426" s="10" t="s">
        <v>113</v>
      </c>
      <c r="AB426" s="36" t="s">
        <v>113</v>
      </c>
      <c r="AC426" s="10"/>
      <c r="AD426" s="9" t="s">
        <v>1895</v>
      </c>
      <c r="AE426" s="10" t="s">
        <v>1919</v>
      </c>
      <c r="AF426" s="10" t="s">
        <v>498</v>
      </c>
      <c r="AG426" s="10" t="s">
        <v>53</v>
      </c>
      <c r="AH426" s="10" t="s">
        <v>90</v>
      </c>
      <c r="AI426" s="10" t="s">
        <v>162</v>
      </c>
      <c r="AJ426" s="10">
        <v>801772794</v>
      </c>
      <c r="AK426" s="10" t="s">
        <v>361</v>
      </c>
      <c r="AL426" s="10"/>
      <c r="AM426" s="10"/>
      <c r="AN426" s="11" t="s">
        <v>390</v>
      </c>
      <c r="AO426" s="10" t="s">
        <v>392</v>
      </c>
      <c r="AP426" s="10" t="s">
        <v>5014</v>
      </c>
      <c r="AQ426" s="10" t="s">
        <v>4993</v>
      </c>
      <c r="AR426" s="2">
        <v>45813</v>
      </c>
      <c r="AS426" s="10">
        <v>92570</v>
      </c>
      <c r="AT426" s="10" t="s">
        <v>503</v>
      </c>
      <c r="AU426" s="10" t="s">
        <v>1741</v>
      </c>
      <c r="AV426" s="36" t="s">
        <v>1945</v>
      </c>
      <c r="AW426" s="1">
        <v>46207</v>
      </c>
    </row>
    <row r="427" spans="1:49" x14ac:dyDescent="0.25">
      <c r="A427" s="9" t="s">
        <v>3020</v>
      </c>
      <c r="B427" s="10" t="s">
        <v>3082</v>
      </c>
      <c r="C427" s="10">
        <v>0</v>
      </c>
      <c r="D427" s="10" t="s">
        <v>91</v>
      </c>
      <c r="E427" s="10"/>
      <c r="F427" s="10"/>
      <c r="G427" s="10"/>
      <c r="H427" s="10" t="s">
        <v>52</v>
      </c>
      <c r="I427" s="10">
        <v>16</v>
      </c>
      <c r="J427" s="10" t="s">
        <v>3144</v>
      </c>
      <c r="K427" s="10" t="s">
        <v>42</v>
      </c>
      <c r="L427" s="10">
        <f>Table1[[#This Row],[ENR]]-Table1[[#This Row],[CREDIT]]</f>
        <v>-80469.31</v>
      </c>
      <c r="M427" s="36">
        <v>460000</v>
      </c>
      <c r="N427" s="26">
        <v>379530.69</v>
      </c>
      <c r="O427" s="38" t="s">
        <v>43</v>
      </c>
      <c r="P427" s="25">
        <v>379530.69</v>
      </c>
      <c r="Q427" s="25">
        <v>345747.87</v>
      </c>
      <c r="R427" s="10">
        <v>55430</v>
      </c>
      <c r="S427" s="39">
        <v>20676</v>
      </c>
      <c r="T427" s="10" t="s">
        <v>57</v>
      </c>
      <c r="U427" s="10" t="s">
        <v>13</v>
      </c>
      <c r="V427" s="10">
        <v>60528</v>
      </c>
      <c r="W427" s="25">
        <f>Table1[[#This Row],[STAB]]-Table1[[#This Row],[AMOUNT]]</f>
        <v>-39852</v>
      </c>
      <c r="X427" s="10" t="s">
        <v>4993</v>
      </c>
      <c r="Y427" s="10" t="s">
        <v>402</v>
      </c>
      <c r="Z427" s="10" t="s">
        <v>963</v>
      </c>
      <c r="AA427" s="10" t="s">
        <v>113</v>
      </c>
      <c r="AB427" s="36" t="s">
        <v>374</v>
      </c>
      <c r="AC427" s="10"/>
      <c r="AD427" s="9" t="s">
        <v>3205</v>
      </c>
      <c r="AE427" s="10" t="s">
        <v>3259</v>
      </c>
      <c r="AF427" s="10" t="s">
        <v>280</v>
      </c>
      <c r="AG427" s="10" t="s">
        <v>54</v>
      </c>
      <c r="AH427" s="10" t="s">
        <v>523</v>
      </c>
      <c r="AI427" s="10" t="s">
        <v>371</v>
      </c>
      <c r="AJ427" s="10">
        <v>802835406</v>
      </c>
      <c r="AK427" s="10" t="s">
        <v>362</v>
      </c>
      <c r="AL427" s="10"/>
      <c r="AM427" s="10"/>
      <c r="AN427" s="11" t="s">
        <v>390</v>
      </c>
      <c r="AO427" s="10" t="s">
        <v>394</v>
      </c>
      <c r="AP427" s="10" t="s">
        <v>5006</v>
      </c>
      <c r="AQ427" s="10" t="s">
        <v>4993</v>
      </c>
      <c r="AR427" s="2">
        <v>46155</v>
      </c>
      <c r="AS427" s="10">
        <v>18659</v>
      </c>
      <c r="AT427" s="10" t="s">
        <v>47</v>
      </c>
      <c r="AU427" s="10" t="s">
        <v>3266</v>
      </c>
      <c r="AV427" s="36" t="s">
        <v>3324</v>
      </c>
      <c r="AW427" s="1">
        <v>46207</v>
      </c>
    </row>
    <row r="428" spans="1:49" x14ac:dyDescent="0.25">
      <c r="A428" s="9" t="s">
        <v>3021</v>
      </c>
      <c r="B428" s="10" t="s">
        <v>3083</v>
      </c>
      <c r="C428" s="10">
        <v>0</v>
      </c>
      <c r="D428" s="10" t="s">
        <v>91</v>
      </c>
      <c r="E428" s="10"/>
      <c r="F428" s="10"/>
      <c r="G428" s="10"/>
      <c r="H428" s="10" t="s">
        <v>52</v>
      </c>
      <c r="I428" s="10">
        <v>16</v>
      </c>
      <c r="J428" s="10" t="s">
        <v>3145</v>
      </c>
      <c r="K428" s="10" t="s">
        <v>42</v>
      </c>
      <c r="L428" s="10">
        <f>Table1[[#This Row],[ENR]]-Table1[[#This Row],[CREDIT]]</f>
        <v>5578.1599999999744</v>
      </c>
      <c r="M428" s="36">
        <v>370000</v>
      </c>
      <c r="N428" s="26">
        <v>375578.16</v>
      </c>
      <c r="O428" s="38">
        <v>293049.24</v>
      </c>
      <c r="P428" s="25">
        <v>82528.92</v>
      </c>
      <c r="Q428" s="25">
        <v>66497.14</v>
      </c>
      <c r="R428" s="10">
        <v>82528.92</v>
      </c>
      <c r="S428" s="39">
        <v>27330.42</v>
      </c>
      <c r="T428" s="10" t="s">
        <v>57</v>
      </c>
      <c r="U428" s="10" t="s">
        <v>14</v>
      </c>
      <c r="V428" s="10">
        <v>27400</v>
      </c>
      <c r="W428" s="25">
        <f>Table1[[#This Row],[STAB]]-Table1[[#This Row],[AMOUNT]]</f>
        <v>-69.580000000001746</v>
      </c>
      <c r="X428" s="10" t="s">
        <v>4976</v>
      </c>
      <c r="Y428" s="10" t="s">
        <v>396</v>
      </c>
      <c r="Z428" s="10" t="s">
        <v>403</v>
      </c>
      <c r="AA428" s="10" t="s">
        <v>113</v>
      </c>
      <c r="AB428" s="36" t="s">
        <v>374</v>
      </c>
      <c r="AC428" s="10"/>
      <c r="AD428" s="9" t="s">
        <v>3206</v>
      </c>
      <c r="AE428" s="10" t="s">
        <v>3260</v>
      </c>
      <c r="AF428" s="10" t="s">
        <v>285</v>
      </c>
      <c r="AG428" s="10" t="s">
        <v>54</v>
      </c>
      <c r="AH428" s="10" t="s">
        <v>98</v>
      </c>
      <c r="AI428" s="10" t="s">
        <v>727</v>
      </c>
      <c r="AJ428" s="10">
        <v>802898520</v>
      </c>
      <c r="AK428" s="10" t="s">
        <v>104</v>
      </c>
      <c r="AL428" s="10"/>
      <c r="AM428" s="10"/>
      <c r="AN428" s="11" t="s">
        <v>390</v>
      </c>
      <c r="AO428" s="10" t="s">
        <v>394</v>
      </c>
      <c r="AP428" s="10" t="s">
        <v>6358</v>
      </c>
      <c r="AQ428" s="10" t="s">
        <v>4976</v>
      </c>
      <c r="AR428" s="2">
        <v>46142</v>
      </c>
      <c r="AS428" s="10">
        <v>8300</v>
      </c>
      <c r="AT428" s="10" t="s">
        <v>503</v>
      </c>
      <c r="AU428" s="10" t="s">
        <v>3266</v>
      </c>
      <c r="AV428" s="36" t="s">
        <v>3325</v>
      </c>
      <c r="AW428" s="1">
        <v>46207</v>
      </c>
    </row>
    <row r="429" spans="1:49" x14ac:dyDescent="0.25">
      <c r="A429" s="9" t="s">
        <v>4289</v>
      </c>
      <c r="B429" s="10" t="s">
        <v>4332</v>
      </c>
      <c r="C429" s="10">
        <v>0</v>
      </c>
      <c r="D429" s="10" t="s">
        <v>91</v>
      </c>
      <c r="E429" s="10"/>
      <c r="F429" s="10"/>
      <c r="G429" s="10"/>
      <c r="H429" s="10" t="s">
        <v>52</v>
      </c>
      <c r="I429" s="10">
        <v>16</v>
      </c>
      <c r="J429" s="10" t="s">
        <v>4375</v>
      </c>
      <c r="K429" s="10" t="s">
        <v>42</v>
      </c>
      <c r="L429" s="10">
        <f>Table1[[#This Row],[ENR]]-Table1[[#This Row],[CREDIT]]</f>
        <v>17861.260000000009</v>
      </c>
      <c r="M429" s="36">
        <v>340000</v>
      </c>
      <c r="N429" s="26">
        <v>357861.26</v>
      </c>
      <c r="O429" s="38">
        <v>216920.19</v>
      </c>
      <c r="P429" s="25">
        <v>140941.07</v>
      </c>
      <c r="Q429" s="25">
        <v>116830.08</v>
      </c>
      <c r="R429" s="10">
        <v>51930</v>
      </c>
      <c r="S429" s="39">
        <v>24747.99</v>
      </c>
      <c r="T429" s="10" t="s">
        <v>57</v>
      </c>
      <c r="U429" s="10" t="s">
        <v>13</v>
      </c>
      <c r="V429" s="25">
        <v>25000</v>
      </c>
      <c r="W429" s="25">
        <f>Table1[[#This Row],[STAB]]-Table1[[#This Row],[AMOUNT]]</f>
        <v>-252.0099999999984</v>
      </c>
      <c r="X429" s="10" t="s">
        <v>4993</v>
      </c>
      <c r="Y429" s="10" t="s">
        <v>402</v>
      </c>
      <c r="Z429" s="10" t="s">
        <v>403</v>
      </c>
      <c r="AA429" s="10" t="s">
        <v>113</v>
      </c>
      <c r="AB429" s="41" t="s">
        <v>131</v>
      </c>
      <c r="AC429" s="10"/>
      <c r="AD429" s="9" t="s">
        <v>4418</v>
      </c>
      <c r="AE429" s="10" t="s">
        <v>4461</v>
      </c>
      <c r="AF429" s="10" t="s">
        <v>286</v>
      </c>
      <c r="AG429" s="10" t="s">
        <v>54</v>
      </c>
      <c r="AH429" s="10" t="s">
        <v>723</v>
      </c>
      <c r="AI429" s="10" t="s">
        <v>369</v>
      </c>
      <c r="AJ429" s="10">
        <v>802823180</v>
      </c>
      <c r="AK429" s="10" t="s">
        <v>105</v>
      </c>
      <c r="AL429" s="10"/>
      <c r="AM429" s="10"/>
      <c r="AN429" s="11" t="s">
        <v>390</v>
      </c>
      <c r="AO429" s="10"/>
      <c r="AP429" s="10"/>
      <c r="AQ429" s="10"/>
      <c r="AR429" s="2">
        <v>45476</v>
      </c>
      <c r="AS429" s="10">
        <v>10000</v>
      </c>
      <c r="AT429" s="10" t="s">
        <v>503</v>
      </c>
      <c r="AU429" s="10" t="s">
        <v>4485</v>
      </c>
      <c r="AV429" s="36" t="s">
        <v>4502</v>
      </c>
      <c r="AW429" s="1">
        <v>46207</v>
      </c>
    </row>
    <row r="430" spans="1:49" x14ac:dyDescent="0.25">
      <c r="A430" s="9" t="s">
        <v>2973</v>
      </c>
      <c r="B430" s="10" t="s">
        <v>3035</v>
      </c>
      <c r="C430" s="10">
        <v>0</v>
      </c>
      <c r="D430" s="10" t="s">
        <v>91</v>
      </c>
      <c r="E430" s="10"/>
      <c r="F430" s="10"/>
      <c r="G430" s="10"/>
      <c r="H430" s="10" t="s">
        <v>52</v>
      </c>
      <c r="I430" s="10">
        <v>16</v>
      </c>
      <c r="J430" s="10" t="s">
        <v>3097</v>
      </c>
      <c r="K430" s="10" t="s">
        <v>42</v>
      </c>
      <c r="L430" s="10">
        <f>Table1[[#This Row],[ENR]]-Table1[[#This Row],[CREDIT]]</f>
        <v>-146985.56</v>
      </c>
      <c r="M430" s="36">
        <v>500000</v>
      </c>
      <c r="N430" s="26">
        <v>353014.44</v>
      </c>
      <c r="O430" s="38">
        <v>19267.02</v>
      </c>
      <c r="P430" s="25">
        <v>333747.42</v>
      </c>
      <c r="Q430" s="25">
        <v>316973.12</v>
      </c>
      <c r="R430" s="10">
        <v>68140</v>
      </c>
      <c r="S430" s="39">
        <v>33032.129999999997</v>
      </c>
      <c r="T430" s="10" t="s">
        <v>44</v>
      </c>
      <c r="U430" s="10" t="s">
        <v>45</v>
      </c>
      <c r="V430" s="10">
        <v>0</v>
      </c>
      <c r="W430" s="25">
        <f>Table1[[#This Row],[STAB]]-Table1[[#This Row],[AMOUNT]]</f>
        <v>33032.129999999997</v>
      </c>
      <c r="X430" s="10">
        <v>0</v>
      </c>
      <c r="Y430" s="10" t="s">
        <v>79</v>
      </c>
      <c r="Z430" s="10">
        <v>0</v>
      </c>
      <c r="AA430" s="10" t="s">
        <v>113</v>
      </c>
      <c r="AB430" s="10" t="s">
        <v>376</v>
      </c>
      <c r="AC430" s="10"/>
      <c r="AD430" s="9" t="s">
        <v>3159</v>
      </c>
      <c r="AE430" s="10" t="s">
        <v>3220</v>
      </c>
      <c r="AF430" s="10" t="s">
        <v>275</v>
      </c>
      <c r="AG430" s="10" t="s">
        <v>80</v>
      </c>
      <c r="AH430" s="10" t="s">
        <v>87</v>
      </c>
      <c r="AI430" s="10" t="s">
        <v>368</v>
      </c>
      <c r="AJ430" s="10">
        <v>802823175</v>
      </c>
      <c r="AK430" s="10" t="s">
        <v>105</v>
      </c>
      <c r="AL430" s="10"/>
      <c r="AM430" s="10"/>
      <c r="AN430" s="11" t="s">
        <v>390</v>
      </c>
      <c r="AO430" s="10" t="s">
        <v>394</v>
      </c>
      <c r="AP430" s="10" t="s">
        <v>4633</v>
      </c>
      <c r="AQ430" s="10" t="s">
        <v>4601</v>
      </c>
      <c r="AR430" s="2">
        <v>46172</v>
      </c>
      <c r="AS430" s="10">
        <v>40767.870000000003</v>
      </c>
      <c r="AT430" s="10" t="s">
        <v>832</v>
      </c>
      <c r="AU430" s="10" t="s">
        <v>3266</v>
      </c>
      <c r="AV430" s="36" t="s">
        <v>3277</v>
      </c>
      <c r="AW430" s="1">
        <v>46207</v>
      </c>
    </row>
    <row r="431" spans="1:49" x14ac:dyDescent="0.25">
      <c r="A431" s="9" t="s">
        <v>4300</v>
      </c>
      <c r="B431" s="10" t="s">
        <v>4343</v>
      </c>
      <c r="C431" s="10">
        <v>0</v>
      </c>
      <c r="D431" s="10" t="s">
        <v>91</v>
      </c>
      <c r="E431" s="10"/>
      <c r="F431" s="10"/>
      <c r="G431" s="10"/>
      <c r="H431" s="10" t="s">
        <v>52</v>
      </c>
      <c r="I431" s="10">
        <v>16</v>
      </c>
      <c r="J431" s="10" t="s">
        <v>4386</v>
      </c>
      <c r="K431" s="10" t="s">
        <v>42</v>
      </c>
      <c r="L431" s="10">
        <f>Table1[[#This Row],[ENR]]-Table1[[#This Row],[CREDIT]]</f>
        <v>29006.869999999995</v>
      </c>
      <c r="M431" s="36">
        <v>300000</v>
      </c>
      <c r="N431" s="26">
        <v>329006.87</v>
      </c>
      <c r="O431" s="38" t="s">
        <v>43</v>
      </c>
      <c r="P431" s="25">
        <v>329006.87</v>
      </c>
      <c r="Q431" s="25">
        <v>297869.8</v>
      </c>
      <c r="R431" s="10">
        <v>73740</v>
      </c>
      <c r="S431" s="39">
        <v>11865.98</v>
      </c>
      <c r="T431" s="10" t="s">
        <v>57</v>
      </c>
      <c r="U431" s="10" t="s">
        <v>13</v>
      </c>
      <c r="V431" s="25">
        <v>12000</v>
      </c>
      <c r="W431" s="25">
        <f>Table1[[#This Row],[STAB]]-Table1[[#This Row],[AMOUNT]]</f>
        <v>-134.02000000000044</v>
      </c>
      <c r="X431" s="10" t="s">
        <v>4923</v>
      </c>
      <c r="Y431" s="10" t="s">
        <v>402</v>
      </c>
      <c r="Z431" s="10" t="s">
        <v>403</v>
      </c>
      <c r="AA431" s="10" t="s">
        <v>113</v>
      </c>
      <c r="AB431" s="36" t="s">
        <v>374</v>
      </c>
      <c r="AC431" s="10"/>
      <c r="AD431" s="9" t="s">
        <v>4429</v>
      </c>
      <c r="AE431" s="10" t="s">
        <v>4471</v>
      </c>
      <c r="AF431" s="10" t="s">
        <v>687</v>
      </c>
      <c r="AG431" s="10" t="s">
        <v>53</v>
      </c>
      <c r="AH431" s="10" t="s">
        <v>83</v>
      </c>
      <c r="AI431" s="10" t="s">
        <v>728</v>
      </c>
      <c r="AJ431" s="10">
        <v>802349062</v>
      </c>
      <c r="AK431" s="10" t="s">
        <v>104</v>
      </c>
      <c r="AL431" s="10"/>
      <c r="AM431" s="10"/>
      <c r="AN431" s="11" t="s">
        <v>390</v>
      </c>
      <c r="AO431" s="10"/>
      <c r="AP431" s="10"/>
      <c r="AQ431" s="10"/>
      <c r="AR431" s="2">
        <v>46157</v>
      </c>
      <c r="AS431" s="10">
        <v>20000</v>
      </c>
      <c r="AT431" s="10" t="s">
        <v>1931</v>
      </c>
      <c r="AU431" s="10" t="s">
        <v>4485</v>
      </c>
      <c r="AV431" s="36" t="s">
        <v>4513</v>
      </c>
      <c r="AW431" s="1">
        <v>46207</v>
      </c>
    </row>
    <row r="432" spans="1:49" x14ac:dyDescent="0.25">
      <c r="A432" s="9" t="s">
        <v>3018</v>
      </c>
      <c r="B432" s="10" t="s">
        <v>3080</v>
      </c>
      <c r="C432" s="10">
        <v>0</v>
      </c>
      <c r="D432" s="10" t="s">
        <v>91</v>
      </c>
      <c r="E432" s="10"/>
      <c r="F432" s="10"/>
      <c r="G432" s="10"/>
      <c r="H432" s="10" t="s">
        <v>52</v>
      </c>
      <c r="I432" s="10">
        <v>16</v>
      </c>
      <c r="J432" s="10" t="s">
        <v>3142</v>
      </c>
      <c r="K432" s="10" t="s">
        <v>42</v>
      </c>
      <c r="L432" s="10">
        <f>Table1[[#This Row],[ENR]]-Table1[[#This Row],[CREDIT]]</f>
        <v>23895.419999999984</v>
      </c>
      <c r="M432" s="36">
        <v>300000</v>
      </c>
      <c r="N432" s="26">
        <v>323895.42</v>
      </c>
      <c r="O432" s="38" t="s">
        <v>43</v>
      </c>
      <c r="P432" s="25">
        <v>323895.42</v>
      </c>
      <c r="Q432" s="25">
        <v>295037.93</v>
      </c>
      <c r="R432" s="10">
        <v>66320</v>
      </c>
      <c r="S432" s="39">
        <v>10666</v>
      </c>
      <c r="T432" s="10" t="s">
        <v>57</v>
      </c>
      <c r="U432" s="10" t="s">
        <v>13</v>
      </c>
      <c r="V432" s="25">
        <v>11000</v>
      </c>
      <c r="W432" s="25">
        <f>Table1[[#This Row],[STAB]]-Table1[[#This Row],[AMOUNT]]</f>
        <v>-334</v>
      </c>
      <c r="X432" s="10" t="s">
        <v>4993</v>
      </c>
      <c r="Y432" s="10" t="s">
        <v>402</v>
      </c>
      <c r="Z432" s="10" t="s">
        <v>1968</v>
      </c>
      <c r="AA432" s="10" t="s">
        <v>113</v>
      </c>
      <c r="AB432" s="36" t="s">
        <v>133</v>
      </c>
      <c r="AC432" s="10"/>
      <c r="AD432" s="9" t="s">
        <v>3203</v>
      </c>
      <c r="AE432" s="10" t="s">
        <v>3203</v>
      </c>
      <c r="AF432" s="10" t="s">
        <v>285</v>
      </c>
      <c r="AG432" s="10" t="s">
        <v>54</v>
      </c>
      <c r="AH432" s="10" t="s">
        <v>94</v>
      </c>
      <c r="AI432" s="10" t="s">
        <v>725</v>
      </c>
      <c r="AJ432" s="10">
        <v>802794852</v>
      </c>
      <c r="AK432" s="10" t="s">
        <v>104</v>
      </c>
      <c r="AL432" s="10"/>
      <c r="AM432" s="10"/>
      <c r="AN432" s="11" t="s">
        <v>390</v>
      </c>
      <c r="AO432" s="10" t="s">
        <v>392</v>
      </c>
      <c r="AP432" s="10" t="s">
        <v>4629</v>
      </c>
      <c r="AQ432" s="10" t="s">
        <v>4601</v>
      </c>
      <c r="AR432" s="2">
        <v>46158</v>
      </c>
      <c r="AS432" s="10">
        <v>89500</v>
      </c>
      <c r="AT432" s="10" t="s">
        <v>1931</v>
      </c>
      <c r="AU432" s="10" t="s">
        <v>3266</v>
      </c>
      <c r="AV432" s="36" t="s">
        <v>3322</v>
      </c>
      <c r="AW432" s="1">
        <v>46207</v>
      </c>
    </row>
    <row r="433" spans="1:49" x14ac:dyDescent="0.25">
      <c r="A433" s="9" t="s">
        <v>4302</v>
      </c>
      <c r="B433" s="10" t="s">
        <v>4345</v>
      </c>
      <c r="C433" s="10">
        <v>0</v>
      </c>
      <c r="D433" s="10" t="s">
        <v>91</v>
      </c>
      <c r="E433" s="10"/>
      <c r="F433" s="10"/>
      <c r="G433" s="10"/>
      <c r="H433" s="10" t="s">
        <v>52</v>
      </c>
      <c r="I433" s="10">
        <v>16</v>
      </c>
      <c r="J433" s="10" t="s">
        <v>4388</v>
      </c>
      <c r="K433" s="10" t="s">
        <v>42</v>
      </c>
      <c r="L433" s="10">
        <f>Table1[[#This Row],[ENR]]-Table1[[#This Row],[CREDIT]]</f>
        <v>15572.059999999998</v>
      </c>
      <c r="M433" s="36">
        <v>300000</v>
      </c>
      <c r="N433" s="26">
        <v>315572.06</v>
      </c>
      <c r="O433" s="38" t="s">
        <v>43</v>
      </c>
      <c r="P433" s="25">
        <v>315572.06</v>
      </c>
      <c r="Q433" s="25">
        <v>299713.59000000003</v>
      </c>
      <c r="R433" s="10">
        <v>65470</v>
      </c>
      <c r="S433" s="39">
        <v>32514.78</v>
      </c>
      <c r="T433" s="10" t="s">
        <v>44</v>
      </c>
      <c r="U433" s="10" t="s">
        <v>45</v>
      </c>
      <c r="V433" s="10">
        <v>945</v>
      </c>
      <c r="W433" s="25">
        <f>Table1[[#This Row],[STAB]]-Table1[[#This Row],[AMOUNT]]</f>
        <v>31569.78</v>
      </c>
      <c r="X433" s="10">
        <v>0</v>
      </c>
      <c r="Y433" s="10" t="s">
        <v>79</v>
      </c>
      <c r="Z433" s="10" t="s">
        <v>963</v>
      </c>
      <c r="AA433" s="10" t="s">
        <v>113</v>
      </c>
      <c r="AB433" s="36" t="s">
        <v>376</v>
      </c>
      <c r="AC433" s="10"/>
      <c r="AD433" s="9" t="s">
        <v>4431</v>
      </c>
      <c r="AE433" s="10" t="s">
        <v>4472</v>
      </c>
      <c r="AF433" s="10" t="s">
        <v>286</v>
      </c>
      <c r="AG433" s="10" t="s">
        <v>80</v>
      </c>
      <c r="AH433" s="10" t="s">
        <v>6359</v>
      </c>
      <c r="AI433" s="10" t="s">
        <v>82</v>
      </c>
      <c r="AJ433" s="10">
        <v>801723195</v>
      </c>
      <c r="AK433" s="10" t="s">
        <v>105</v>
      </c>
      <c r="AL433" s="10"/>
      <c r="AM433" s="10"/>
      <c r="AN433" s="11" t="s">
        <v>46</v>
      </c>
      <c r="AO433" s="10"/>
      <c r="AP433" s="10"/>
      <c r="AQ433" s="10"/>
      <c r="AR433" s="2">
        <v>46167</v>
      </c>
      <c r="AS433" s="10">
        <v>42505.22</v>
      </c>
      <c r="AT433" s="10" t="s">
        <v>1931</v>
      </c>
      <c r="AU433" s="10" t="s">
        <v>4485</v>
      </c>
      <c r="AV433" s="36" t="s">
        <v>4515</v>
      </c>
      <c r="AW433" s="1">
        <v>46207</v>
      </c>
    </row>
    <row r="434" spans="1:49" x14ac:dyDescent="0.25">
      <c r="A434" s="9" t="s">
        <v>2971</v>
      </c>
      <c r="B434" s="10" t="s">
        <v>3033</v>
      </c>
      <c r="C434" s="10">
        <v>0</v>
      </c>
      <c r="D434" s="10" t="s">
        <v>91</v>
      </c>
      <c r="E434" s="10"/>
      <c r="F434" s="10"/>
      <c r="G434" s="10"/>
      <c r="H434" s="10" t="s">
        <v>52</v>
      </c>
      <c r="I434" s="10">
        <v>16</v>
      </c>
      <c r="J434" s="10" t="s">
        <v>3095</v>
      </c>
      <c r="K434" s="10" t="s">
        <v>42</v>
      </c>
      <c r="L434" s="10">
        <f>Table1[[#This Row],[ENR]]-Table1[[#This Row],[CREDIT]]</f>
        <v>13831.789999999979</v>
      </c>
      <c r="M434" s="36">
        <v>300000</v>
      </c>
      <c r="N434" s="26">
        <v>313831.78999999998</v>
      </c>
      <c r="O434" s="38" t="s">
        <v>43</v>
      </c>
      <c r="P434" s="25">
        <v>313831.78999999998</v>
      </c>
      <c r="Q434" s="25">
        <v>290847.21000000002</v>
      </c>
      <c r="R434" s="10">
        <v>76010</v>
      </c>
      <c r="S434" s="39">
        <v>38397.81</v>
      </c>
      <c r="T434" s="10" t="s">
        <v>57</v>
      </c>
      <c r="U434" s="10" t="s">
        <v>13</v>
      </c>
      <c r="V434" s="10">
        <v>76010</v>
      </c>
      <c r="W434" s="25">
        <f>Table1[[#This Row],[STAB]]-Table1[[#This Row],[AMOUNT]]</f>
        <v>-37612.19</v>
      </c>
      <c r="X434" s="10" t="s">
        <v>4566</v>
      </c>
      <c r="Y434" s="10" t="s">
        <v>402</v>
      </c>
      <c r="Z434" s="10" t="s">
        <v>963</v>
      </c>
      <c r="AA434" s="10" t="s">
        <v>113</v>
      </c>
      <c r="AB434" s="36" t="s">
        <v>132</v>
      </c>
      <c r="AC434" s="10"/>
      <c r="AD434" s="9" t="s">
        <v>3157</v>
      </c>
      <c r="AE434" s="10" t="s">
        <v>3218</v>
      </c>
      <c r="AF434" s="10" t="s">
        <v>272</v>
      </c>
      <c r="AG434" s="10" t="s">
        <v>54</v>
      </c>
      <c r="AH434" s="10" t="s">
        <v>357</v>
      </c>
      <c r="AI434" s="10" t="s">
        <v>1960</v>
      </c>
      <c r="AJ434" s="10">
        <v>801264672</v>
      </c>
      <c r="AK434" s="10" t="s">
        <v>1959</v>
      </c>
      <c r="AL434" s="10"/>
      <c r="AM434" s="10"/>
      <c r="AN434" s="11" t="s">
        <v>390</v>
      </c>
      <c r="AO434" s="10" t="s">
        <v>392</v>
      </c>
      <c r="AP434" s="10" t="s">
        <v>4575</v>
      </c>
      <c r="AQ434" s="10" t="s">
        <v>4566</v>
      </c>
      <c r="AR434" s="2">
        <v>46184</v>
      </c>
      <c r="AS434" s="10">
        <v>49782.19</v>
      </c>
      <c r="AT434" s="10" t="s">
        <v>503</v>
      </c>
      <c r="AU434" s="10" t="s">
        <v>3266</v>
      </c>
      <c r="AV434" s="36" t="s">
        <v>3275</v>
      </c>
      <c r="AW434" s="1">
        <v>46207</v>
      </c>
    </row>
    <row r="435" spans="1:49" x14ac:dyDescent="0.25">
      <c r="A435" s="9" t="s">
        <v>1830</v>
      </c>
      <c r="B435" s="10" t="s">
        <v>1854</v>
      </c>
      <c r="C435" s="10">
        <v>0</v>
      </c>
      <c r="D435" s="10" t="s">
        <v>91</v>
      </c>
      <c r="E435" s="10"/>
      <c r="F435" s="10"/>
      <c r="G435" s="10"/>
      <c r="H435" s="10" t="s">
        <v>84</v>
      </c>
      <c r="I435" s="10">
        <v>16</v>
      </c>
      <c r="J435" s="10" t="s">
        <v>1878</v>
      </c>
      <c r="K435" s="10" t="s">
        <v>42</v>
      </c>
      <c r="L435" s="10">
        <f>Table1[[#This Row],[ENR]]-Table1[[#This Row],[CREDIT]]</f>
        <v>11138.690000000002</v>
      </c>
      <c r="M435" s="36">
        <v>300000</v>
      </c>
      <c r="N435" s="26">
        <v>311138.69</v>
      </c>
      <c r="O435" s="38" t="s">
        <v>43</v>
      </c>
      <c r="P435" s="25">
        <v>311138.69</v>
      </c>
      <c r="Q435" s="25">
        <v>284329.78999999998</v>
      </c>
      <c r="R435" s="10">
        <v>80650</v>
      </c>
      <c r="S435" s="39">
        <v>41990</v>
      </c>
      <c r="T435" s="10" t="s">
        <v>57</v>
      </c>
      <c r="U435" s="10" t="s">
        <v>13</v>
      </c>
      <c r="V435" s="10">
        <v>259312</v>
      </c>
      <c r="W435" s="25">
        <f>Table1[[#This Row],[STAB]]-Table1[[#This Row],[AMOUNT]]</f>
        <v>-217322</v>
      </c>
      <c r="X435" s="10" t="s">
        <v>1961</v>
      </c>
      <c r="Y435" s="10" t="s">
        <v>402</v>
      </c>
      <c r="Z435" s="10" t="s">
        <v>403</v>
      </c>
      <c r="AA435" s="10" t="s">
        <v>113</v>
      </c>
      <c r="AB435" s="10" t="s">
        <v>131</v>
      </c>
      <c r="AC435" s="10"/>
      <c r="AD435" s="9" t="s">
        <v>1902</v>
      </c>
      <c r="AE435" s="10" t="s">
        <v>1926</v>
      </c>
      <c r="AF435" s="10" t="s">
        <v>276</v>
      </c>
      <c r="AG435" s="10" t="s">
        <v>324</v>
      </c>
      <c r="AH435" s="10" t="s">
        <v>354</v>
      </c>
      <c r="AI435" s="10" t="s">
        <v>367</v>
      </c>
      <c r="AJ435" s="10">
        <v>801436997</v>
      </c>
      <c r="AK435" s="10" t="s">
        <v>104</v>
      </c>
      <c r="AL435" s="10"/>
      <c r="AM435" s="10"/>
      <c r="AN435" s="11" t="s">
        <v>390</v>
      </c>
      <c r="AO435" s="10"/>
      <c r="AP435" s="10"/>
      <c r="AQ435" s="10"/>
      <c r="AR435" s="2">
        <v>45988</v>
      </c>
      <c r="AS435" s="10">
        <v>84820</v>
      </c>
      <c r="AT435" s="10" t="s">
        <v>1931</v>
      </c>
      <c r="AU435" s="10" t="s">
        <v>1741</v>
      </c>
      <c r="AV435" s="36" t="s">
        <v>1952</v>
      </c>
      <c r="AW435" s="1">
        <v>46207</v>
      </c>
    </row>
    <row r="436" spans="1:49" x14ac:dyDescent="0.25">
      <c r="A436" s="9" t="s">
        <v>4277</v>
      </c>
      <c r="B436" s="10" t="s">
        <v>4320</v>
      </c>
      <c r="C436" s="10">
        <v>0</v>
      </c>
      <c r="D436" s="10" t="s">
        <v>91</v>
      </c>
      <c r="E436" s="10"/>
      <c r="F436" s="10"/>
      <c r="G436" s="10"/>
      <c r="H436" s="10" t="s">
        <v>52</v>
      </c>
      <c r="I436" s="10">
        <v>16</v>
      </c>
      <c r="J436" s="10" t="s">
        <v>4363</v>
      </c>
      <c r="K436" s="10" t="s">
        <v>42</v>
      </c>
      <c r="L436" s="10">
        <f>Table1[[#This Row],[ENR]]-Table1[[#This Row],[CREDIT]]</f>
        <v>25889.909999999974</v>
      </c>
      <c r="M436" s="36">
        <v>280000</v>
      </c>
      <c r="N436" s="26">
        <v>305889.90999999997</v>
      </c>
      <c r="O436" s="38">
        <v>52501.81</v>
      </c>
      <c r="P436" s="25">
        <v>253388.1</v>
      </c>
      <c r="Q436" s="25">
        <v>225830.73</v>
      </c>
      <c r="R436" s="10">
        <v>67020</v>
      </c>
      <c r="S436" s="39">
        <v>34280</v>
      </c>
      <c r="T436" s="10" t="s">
        <v>57</v>
      </c>
      <c r="U436" s="10" t="s">
        <v>13</v>
      </c>
      <c r="V436" s="10">
        <v>67020</v>
      </c>
      <c r="W436" s="25">
        <f>Table1[[#This Row],[STAB]]-Table1[[#This Row],[AMOUNT]]</f>
        <v>-32740</v>
      </c>
      <c r="X436" s="10" t="s">
        <v>4993</v>
      </c>
      <c r="Y436" s="10" t="s">
        <v>402</v>
      </c>
      <c r="Z436" s="10" t="s">
        <v>403</v>
      </c>
      <c r="AA436" s="10" t="s">
        <v>113</v>
      </c>
      <c r="AB436" s="10" t="s">
        <v>133</v>
      </c>
      <c r="AC436" s="10"/>
      <c r="AD436" s="9" t="s">
        <v>4406</v>
      </c>
      <c r="AE436" s="10" t="s">
        <v>4449</v>
      </c>
      <c r="AF436" s="10" t="s">
        <v>272</v>
      </c>
      <c r="AG436" s="10" t="s">
        <v>54</v>
      </c>
      <c r="AH436" s="10" t="s">
        <v>357</v>
      </c>
      <c r="AI436" s="10" t="s">
        <v>1960</v>
      </c>
      <c r="AJ436" s="10">
        <v>801264672</v>
      </c>
      <c r="AK436" s="10" t="s">
        <v>1959</v>
      </c>
      <c r="AL436" s="10"/>
      <c r="AM436" s="10"/>
      <c r="AN436" s="11" t="s">
        <v>390</v>
      </c>
      <c r="AO436" s="10"/>
      <c r="AP436" s="10"/>
      <c r="AQ436" s="10"/>
      <c r="AR436" s="2">
        <v>45763</v>
      </c>
      <c r="AS436" s="10">
        <v>10000</v>
      </c>
      <c r="AT436" s="10" t="s">
        <v>689</v>
      </c>
      <c r="AU436" s="10" t="s">
        <v>4485</v>
      </c>
      <c r="AV436" s="36" t="s">
        <v>4490</v>
      </c>
      <c r="AW436" s="1">
        <v>46207</v>
      </c>
    </row>
    <row r="437" spans="1:49" x14ac:dyDescent="0.25">
      <c r="A437" s="40" t="s">
        <v>4284</v>
      </c>
      <c r="B437" s="11" t="s">
        <v>4327</v>
      </c>
      <c r="C437" s="10">
        <v>0</v>
      </c>
      <c r="D437" s="10" t="s">
        <v>91</v>
      </c>
      <c r="E437" s="11"/>
      <c r="F437" s="11"/>
      <c r="G437" s="11"/>
      <c r="H437" s="10" t="s">
        <v>52</v>
      </c>
      <c r="I437" s="11">
        <v>16</v>
      </c>
      <c r="J437" s="11" t="s">
        <v>4370</v>
      </c>
      <c r="K437" s="11" t="s">
        <v>42</v>
      </c>
      <c r="L437" s="11">
        <f>Table1[[#This Row],[ENR]]-Table1[[#This Row],[CREDIT]]</f>
        <v>9871.609999999986</v>
      </c>
      <c r="M437" s="41">
        <v>290000</v>
      </c>
      <c r="N437" s="42">
        <v>299871.61</v>
      </c>
      <c r="O437" s="43">
        <v>93649.55</v>
      </c>
      <c r="P437" s="44">
        <v>206222.06</v>
      </c>
      <c r="Q437" s="44">
        <v>185762.41</v>
      </c>
      <c r="R437" s="11">
        <v>44240</v>
      </c>
      <c r="S437" s="45">
        <v>18410</v>
      </c>
      <c r="T437" s="10" t="s">
        <v>44</v>
      </c>
      <c r="U437" s="10" t="s">
        <v>45</v>
      </c>
      <c r="V437" s="10">
        <v>0</v>
      </c>
      <c r="W437" s="44">
        <f>Table1[[#This Row],[STAB]]-Table1[[#This Row],[AMOUNT]]</f>
        <v>18410</v>
      </c>
      <c r="X437" s="10">
        <v>0</v>
      </c>
      <c r="Y437" s="10" t="s">
        <v>79</v>
      </c>
      <c r="Z437" s="10">
        <v>0</v>
      </c>
      <c r="AA437" s="10" t="s">
        <v>113</v>
      </c>
      <c r="AB437" s="36" t="s">
        <v>132</v>
      </c>
      <c r="AC437" s="11"/>
      <c r="AD437" s="40" t="s">
        <v>4413</v>
      </c>
      <c r="AE437" s="11" t="s">
        <v>4456</v>
      </c>
      <c r="AF437" s="11" t="s">
        <v>111</v>
      </c>
      <c r="AG437" s="10" t="s">
        <v>80</v>
      </c>
      <c r="AH437" s="10" t="s">
        <v>1957</v>
      </c>
      <c r="AI437" s="10" t="s">
        <v>82</v>
      </c>
      <c r="AJ437" s="11">
        <v>801723195</v>
      </c>
      <c r="AK437" s="11" t="s">
        <v>105</v>
      </c>
      <c r="AL437" s="11"/>
      <c r="AM437" s="11"/>
      <c r="AN437" s="11" t="s">
        <v>46</v>
      </c>
      <c r="AO437" s="11"/>
      <c r="AP437" s="11"/>
      <c r="AQ437" s="11"/>
      <c r="AR437" s="46">
        <v>45568</v>
      </c>
      <c r="AS437" s="11">
        <v>120044.67</v>
      </c>
      <c r="AT437" s="11" t="s">
        <v>503</v>
      </c>
      <c r="AU437" s="10" t="s">
        <v>4485</v>
      </c>
      <c r="AV437" s="41" t="s">
        <v>4497</v>
      </c>
      <c r="AW437" s="47">
        <v>46207</v>
      </c>
    </row>
    <row r="438" spans="1:49" x14ac:dyDescent="0.25">
      <c r="A438" s="9" t="s">
        <v>4285</v>
      </c>
      <c r="B438" s="10" t="s">
        <v>4328</v>
      </c>
      <c r="C438" s="10">
        <v>0</v>
      </c>
      <c r="D438" s="10" t="s">
        <v>91</v>
      </c>
      <c r="E438" s="10"/>
      <c r="F438" s="10"/>
      <c r="G438" s="10"/>
      <c r="H438" s="10" t="s">
        <v>52</v>
      </c>
      <c r="I438" s="10">
        <v>16</v>
      </c>
      <c r="J438" s="10" t="s">
        <v>4371</v>
      </c>
      <c r="K438" s="10" t="s">
        <v>42</v>
      </c>
      <c r="L438" s="10">
        <f>Table1[[#This Row],[ENR]]-Table1[[#This Row],[CREDIT]]</f>
        <v>25675.719999999972</v>
      </c>
      <c r="M438" s="36">
        <v>270000</v>
      </c>
      <c r="N438" s="26">
        <v>295675.71999999997</v>
      </c>
      <c r="O438" s="38" t="s">
        <v>43</v>
      </c>
      <c r="P438" s="25">
        <v>295675.71999999997</v>
      </c>
      <c r="Q438" s="25">
        <v>269841.11</v>
      </c>
      <c r="R438" s="10">
        <v>67170</v>
      </c>
      <c r="S438" s="39">
        <v>26300</v>
      </c>
      <c r="T438" s="10" t="s">
        <v>57</v>
      </c>
      <c r="U438" s="10" t="s">
        <v>13</v>
      </c>
      <c r="V438" s="10">
        <v>27300</v>
      </c>
      <c r="W438" s="25">
        <f>Table1[[#This Row],[STAB]]-Table1[[#This Row],[AMOUNT]]</f>
        <v>-1000</v>
      </c>
      <c r="X438" s="10" t="s">
        <v>4931</v>
      </c>
      <c r="Y438" s="10" t="s">
        <v>402</v>
      </c>
      <c r="Z438" s="10" t="s">
        <v>403</v>
      </c>
      <c r="AA438" s="10" t="s">
        <v>113</v>
      </c>
      <c r="AB438" s="36" t="s">
        <v>375</v>
      </c>
      <c r="AC438" s="10"/>
      <c r="AD438" s="9" t="s">
        <v>4414</v>
      </c>
      <c r="AE438" s="10" t="s">
        <v>4457</v>
      </c>
      <c r="AF438" s="10" t="s">
        <v>272</v>
      </c>
      <c r="AG438" s="10" t="s">
        <v>54</v>
      </c>
      <c r="AH438" s="10" t="s">
        <v>357</v>
      </c>
      <c r="AI438" s="10" t="s">
        <v>1960</v>
      </c>
      <c r="AJ438" s="10">
        <v>801264672</v>
      </c>
      <c r="AK438" s="10" t="s">
        <v>1959</v>
      </c>
      <c r="AL438" s="10"/>
      <c r="AM438" s="10"/>
      <c r="AN438" s="11" t="s">
        <v>390</v>
      </c>
      <c r="AO438" s="10"/>
      <c r="AP438" s="10"/>
      <c r="AQ438" s="10"/>
      <c r="AR438" s="2">
        <v>46145</v>
      </c>
      <c r="AS438" s="10">
        <v>15560</v>
      </c>
      <c r="AT438" s="10" t="s">
        <v>503</v>
      </c>
      <c r="AU438" s="10" t="s">
        <v>4485</v>
      </c>
      <c r="AV438" s="36" t="s">
        <v>4498</v>
      </c>
      <c r="AW438" s="1">
        <v>46207</v>
      </c>
    </row>
    <row r="439" spans="1:49" x14ac:dyDescent="0.25">
      <c r="A439" s="9" t="s">
        <v>4288</v>
      </c>
      <c r="B439" s="10" t="s">
        <v>4331</v>
      </c>
      <c r="C439" s="10">
        <v>0</v>
      </c>
      <c r="D439" s="10" t="s">
        <v>91</v>
      </c>
      <c r="E439" s="10"/>
      <c r="F439" s="10"/>
      <c r="G439" s="10"/>
      <c r="H439" s="10" t="s">
        <v>52</v>
      </c>
      <c r="I439" s="10">
        <v>16</v>
      </c>
      <c r="J439" s="10" t="s">
        <v>4374</v>
      </c>
      <c r="K439" s="10" t="s">
        <v>42</v>
      </c>
      <c r="L439" s="10">
        <f>Table1[[#This Row],[ENR]]-Table1[[#This Row],[CREDIT]]</f>
        <v>25135.280000000028</v>
      </c>
      <c r="M439" s="36">
        <v>260000</v>
      </c>
      <c r="N439" s="26">
        <v>285135.28000000003</v>
      </c>
      <c r="O439" s="38" t="s">
        <v>43</v>
      </c>
      <c r="P439" s="25">
        <v>285135.28000000003</v>
      </c>
      <c r="Q439" s="25">
        <v>258337.24</v>
      </c>
      <c r="R439" s="10">
        <v>66440</v>
      </c>
      <c r="S439" s="39">
        <v>27640</v>
      </c>
      <c r="T439" s="10" t="s">
        <v>57</v>
      </c>
      <c r="U439" s="10" t="s">
        <v>14</v>
      </c>
      <c r="V439" s="10">
        <v>28000</v>
      </c>
      <c r="W439" s="25">
        <f>Table1[[#This Row],[STAB]]-Table1[[#This Row],[AMOUNT]]</f>
        <v>-360</v>
      </c>
      <c r="X439" s="10" t="s">
        <v>4931</v>
      </c>
      <c r="Y439" s="10" t="s">
        <v>402</v>
      </c>
      <c r="Z439" s="10" t="s">
        <v>403</v>
      </c>
      <c r="AA439" s="10" t="s">
        <v>113</v>
      </c>
      <c r="AB439" s="36" t="s">
        <v>375</v>
      </c>
      <c r="AC439" s="10"/>
      <c r="AD439" s="9" t="s">
        <v>4417</v>
      </c>
      <c r="AE439" s="10" t="s">
        <v>4460</v>
      </c>
      <c r="AF439" s="10" t="s">
        <v>272</v>
      </c>
      <c r="AG439" s="10" t="s">
        <v>54</v>
      </c>
      <c r="AH439" s="10" t="s">
        <v>358</v>
      </c>
      <c r="AI439" s="10" t="s">
        <v>1960</v>
      </c>
      <c r="AJ439" s="10">
        <v>801264672</v>
      </c>
      <c r="AK439" s="10" t="s">
        <v>1959</v>
      </c>
      <c r="AL439" s="10"/>
      <c r="AM439" s="10"/>
      <c r="AN439" s="11" t="s">
        <v>390</v>
      </c>
      <c r="AO439" s="10"/>
      <c r="AP439" s="10"/>
      <c r="AQ439" s="10"/>
      <c r="AR439" s="2">
        <v>45477</v>
      </c>
      <c r="AS439" s="10">
        <v>98248</v>
      </c>
      <c r="AT439" s="10" t="s">
        <v>503</v>
      </c>
      <c r="AU439" s="10" t="s">
        <v>4485</v>
      </c>
      <c r="AV439" s="36" t="s">
        <v>4501</v>
      </c>
      <c r="AW439" s="1">
        <v>46207</v>
      </c>
    </row>
    <row r="440" spans="1:49" x14ac:dyDescent="0.25">
      <c r="A440" s="9" t="s">
        <v>3017</v>
      </c>
      <c r="B440" s="10" t="s">
        <v>3079</v>
      </c>
      <c r="C440" s="10">
        <v>0</v>
      </c>
      <c r="D440" s="10" t="s">
        <v>91</v>
      </c>
      <c r="E440" s="10"/>
      <c r="F440" s="10"/>
      <c r="G440" s="10"/>
      <c r="H440" s="10" t="s">
        <v>84</v>
      </c>
      <c r="I440" s="10">
        <v>16</v>
      </c>
      <c r="J440" s="10" t="s">
        <v>3141</v>
      </c>
      <c r="K440" s="10" t="s">
        <v>42</v>
      </c>
      <c r="L440" s="10">
        <f>Table1[[#This Row],[ENR]]-Table1[[#This Row],[CREDIT]]</f>
        <v>-15019.25</v>
      </c>
      <c r="M440" s="36">
        <v>300000</v>
      </c>
      <c r="N440" s="26">
        <v>284980.75</v>
      </c>
      <c r="O440" s="38" t="s">
        <v>43</v>
      </c>
      <c r="P440" s="25">
        <v>284980.75</v>
      </c>
      <c r="Q440" s="25">
        <v>259934.07</v>
      </c>
      <c r="R440" s="10">
        <v>53640</v>
      </c>
      <c r="S440" s="39">
        <v>26730</v>
      </c>
      <c r="T440" s="10" t="s">
        <v>57</v>
      </c>
      <c r="U440" s="10" t="s">
        <v>13</v>
      </c>
      <c r="V440" s="10">
        <v>29000</v>
      </c>
      <c r="W440" s="25">
        <f>Table1[[#This Row],[STAB]]-Table1[[#This Row],[AMOUNT]]</f>
        <v>-2270</v>
      </c>
      <c r="X440" s="10" t="s">
        <v>4931</v>
      </c>
      <c r="Y440" s="10" t="s">
        <v>402</v>
      </c>
      <c r="Z440" s="10" t="s">
        <v>403</v>
      </c>
      <c r="AA440" s="10" t="s">
        <v>113</v>
      </c>
      <c r="AB440" s="10" t="s">
        <v>131</v>
      </c>
      <c r="AC440" s="10"/>
      <c r="AD440" s="9" t="s">
        <v>3202</v>
      </c>
      <c r="AE440" s="10" t="s">
        <v>3257</v>
      </c>
      <c r="AF440" s="10" t="s">
        <v>686</v>
      </c>
      <c r="AG440" s="10" t="s">
        <v>324</v>
      </c>
      <c r="AH440" s="10" t="s">
        <v>722</v>
      </c>
      <c r="AI440" s="10" t="s">
        <v>370</v>
      </c>
      <c r="AJ440" s="10">
        <v>801448854</v>
      </c>
      <c r="AK440" s="10" t="s">
        <v>105</v>
      </c>
      <c r="AL440" s="10"/>
      <c r="AM440" s="10"/>
      <c r="AN440" s="11" t="s">
        <v>390</v>
      </c>
      <c r="AO440" s="10" t="s">
        <v>398</v>
      </c>
      <c r="AP440" s="10" t="s">
        <v>5025</v>
      </c>
      <c r="AQ440" s="10" t="s">
        <v>4993</v>
      </c>
      <c r="AR440" s="2">
        <v>46107</v>
      </c>
      <c r="AS440" s="10">
        <v>30000</v>
      </c>
      <c r="AT440" s="10" t="s">
        <v>1931</v>
      </c>
      <c r="AU440" s="10" t="s">
        <v>3266</v>
      </c>
      <c r="AV440" s="36" t="s">
        <v>3321</v>
      </c>
      <c r="AW440" s="1">
        <v>46207</v>
      </c>
    </row>
    <row r="441" spans="1:49" x14ac:dyDescent="0.25">
      <c r="A441" s="9" t="s">
        <v>2983</v>
      </c>
      <c r="B441" s="10" t="s">
        <v>3045</v>
      </c>
      <c r="C441" s="10">
        <v>0</v>
      </c>
      <c r="D441" s="10" t="s">
        <v>91</v>
      </c>
      <c r="E441" s="10"/>
      <c r="F441" s="10"/>
      <c r="G441" s="10"/>
      <c r="H441" s="10" t="s">
        <v>84</v>
      </c>
      <c r="I441" s="10">
        <v>16</v>
      </c>
      <c r="J441" s="10" t="s">
        <v>3107</v>
      </c>
      <c r="K441" s="10" t="s">
        <v>42</v>
      </c>
      <c r="L441" s="10">
        <f>Table1[[#This Row],[ENR]]-Table1[[#This Row],[CREDIT]]</f>
        <v>-37407.450000000012</v>
      </c>
      <c r="M441" s="36">
        <v>310000</v>
      </c>
      <c r="N441" s="26">
        <v>272592.55</v>
      </c>
      <c r="O441" s="38" t="s">
        <v>43</v>
      </c>
      <c r="P441" s="25">
        <v>272592.55</v>
      </c>
      <c r="Q441" s="25">
        <v>258442.53</v>
      </c>
      <c r="R441" s="10">
        <v>32290</v>
      </c>
      <c r="S441" s="39">
        <v>16180</v>
      </c>
      <c r="T441" s="10" t="s">
        <v>57</v>
      </c>
      <c r="U441" s="10" t="s">
        <v>14</v>
      </c>
      <c r="V441" s="25">
        <v>18500</v>
      </c>
      <c r="W441" s="25">
        <f>Table1[[#This Row],[STAB]]-Table1[[#This Row],[AMOUNT]]</f>
        <v>-2320</v>
      </c>
      <c r="X441" s="10" t="s">
        <v>4601</v>
      </c>
      <c r="Y441" s="10" t="s">
        <v>402</v>
      </c>
      <c r="Z441" s="10" t="s">
        <v>403</v>
      </c>
      <c r="AA441" s="10" t="s">
        <v>113</v>
      </c>
      <c r="AB441" s="41" t="s">
        <v>375</v>
      </c>
      <c r="AC441" s="10"/>
      <c r="AD441" s="9" t="s">
        <v>3169</v>
      </c>
      <c r="AE441" s="10" t="s">
        <v>3230</v>
      </c>
      <c r="AF441" s="10" t="s">
        <v>286</v>
      </c>
      <c r="AG441" s="10" t="s">
        <v>54</v>
      </c>
      <c r="AH441" s="10" t="s">
        <v>358</v>
      </c>
      <c r="AI441" s="10" t="s">
        <v>365</v>
      </c>
      <c r="AJ441" s="10">
        <v>802824019</v>
      </c>
      <c r="AK441" s="10" t="s">
        <v>360</v>
      </c>
      <c r="AL441" s="10"/>
      <c r="AM441" s="10"/>
      <c r="AN441" s="11" t="s">
        <v>390</v>
      </c>
      <c r="AO441" s="10"/>
      <c r="AP441" s="10"/>
      <c r="AQ441" s="10"/>
      <c r="AR441" s="2">
        <v>45626</v>
      </c>
      <c r="AS441" s="10">
        <v>15000</v>
      </c>
      <c r="AT441" s="10" t="s">
        <v>503</v>
      </c>
      <c r="AU441" s="10" t="s">
        <v>3266</v>
      </c>
      <c r="AV441" s="36" t="s">
        <v>3287</v>
      </c>
      <c r="AW441" s="1">
        <v>46207</v>
      </c>
    </row>
    <row r="442" spans="1:49" x14ac:dyDescent="0.25">
      <c r="A442" s="9" t="s">
        <v>2964</v>
      </c>
      <c r="B442" s="10" t="s">
        <v>3026</v>
      </c>
      <c r="C442" s="10">
        <v>0</v>
      </c>
      <c r="D442" s="10" t="s">
        <v>91</v>
      </c>
      <c r="E442" s="10"/>
      <c r="F442" s="10"/>
      <c r="G442" s="10"/>
      <c r="H442" s="10" t="s">
        <v>52</v>
      </c>
      <c r="I442" s="10">
        <v>16</v>
      </c>
      <c r="J442" s="10" t="s">
        <v>3088</v>
      </c>
      <c r="K442" s="10" t="s">
        <v>42</v>
      </c>
      <c r="L442" s="10">
        <f>Table1[[#This Row],[ENR]]-Table1[[#This Row],[CREDIT]]</f>
        <v>1973.039999999979</v>
      </c>
      <c r="M442" s="36">
        <v>270000</v>
      </c>
      <c r="N442" s="26">
        <v>271973.03999999998</v>
      </c>
      <c r="O442" s="38" t="s">
        <v>43</v>
      </c>
      <c r="P442" s="25">
        <v>271973.03999999998</v>
      </c>
      <c r="Q442" s="25">
        <v>249319.32</v>
      </c>
      <c r="R442" s="10">
        <v>51960</v>
      </c>
      <c r="S442" s="39">
        <v>25025</v>
      </c>
      <c r="T442" s="10" t="s">
        <v>44</v>
      </c>
      <c r="U442" s="10" t="s">
        <v>45</v>
      </c>
      <c r="V442" s="10">
        <v>0</v>
      </c>
      <c r="W442" s="25">
        <f>Table1[[#This Row],[STAB]]-Table1[[#This Row],[AMOUNT]]</f>
        <v>25025</v>
      </c>
      <c r="X442" s="10">
        <v>0</v>
      </c>
      <c r="Y442" s="10" t="s">
        <v>79</v>
      </c>
      <c r="Z442" s="10">
        <v>0</v>
      </c>
      <c r="AA442" s="10" t="s">
        <v>113</v>
      </c>
      <c r="AB442" s="36" t="s">
        <v>133</v>
      </c>
      <c r="AC442" s="10"/>
      <c r="AD442" s="9" t="s">
        <v>3150</v>
      </c>
      <c r="AE442" s="10" t="s">
        <v>3211</v>
      </c>
      <c r="AF442" s="10" t="s">
        <v>272</v>
      </c>
      <c r="AG442" s="10" t="s">
        <v>54</v>
      </c>
      <c r="AH442" s="10" t="s">
        <v>357</v>
      </c>
      <c r="AI442" s="10" t="s">
        <v>1960</v>
      </c>
      <c r="AJ442" s="10">
        <v>801264672</v>
      </c>
      <c r="AK442" s="10" t="s">
        <v>1959</v>
      </c>
      <c r="AL442" s="10"/>
      <c r="AM442" s="10"/>
      <c r="AN442" s="11" t="s">
        <v>390</v>
      </c>
      <c r="AO442" s="10" t="s">
        <v>398</v>
      </c>
      <c r="AP442" s="10" t="s">
        <v>5011</v>
      </c>
      <c r="AQ442" s="10" t="s">
        <v>4993</v>
      </c>
      <c r="AR442" s="2">
        <v>46175</v>
      </c>
      <c r="AS442" s="10">
        <v>10225</v>
      </c>
      <c r="AT442" s="10" t="s">
        <v>503</v>
      </c>
      <c r="AU442" s="10" t="s">
        <v>3266</v>
      </c>
      <c r="AV442" s="36" t="s">
        <v>3268</v>
      </c>
      <c r="AW442" s="1">
        <v>46207</v>
      </c>
    </row>
    <row r="443" spans="1:49" x14ac:dyDescent="0.25">
      <c r="A443" s="9" t="s">
        <v>4295</v>
      </c>
      <c r="B443" s="10" t="s">
        <v>4338</v>
      </c>
      <c r="C443" s="10">
        <v>0</v>
      </c>
      <c r="D443" s="10" t="s">
        <v>91</v>
      </c>
      <c r="E443" s="10"/>
      <c r="F443" s="10"/>
      <c r="G443" s="10"/>
      <c r="H443" s="10" t="s">
        <v>52</v>
      </c>
      <c r="I443" s="10">
        <v>16</v>
      </c>
      <c r="J443" s="10" t="s">
        <v>4381</v>
      </c>
      <c r="K443" s="10" t="s">
        <v>42</v>
      </c>
      <c r="L443" s="10">
        <f>Table1[[#This Row],[ENR]]-Table1[[#This Row],[CREDIT]]</f>
        <v>-9778.5499999999884</v>
      </c>
      <c r="M443" s="36">
        <v>280000</v>
      </c>
      <c r="N443" s="26">
        <v>270221.45</v>
      </c>
      <c r="O443" s="38" t="s">
        <v>43</v>
      </c>
      <c r="P443" s="25">
        <v>270221.45</v>
      </c>
      <c r="Q443" s="25">
        <v>245959.91</v>
      </c>
      <c r="R443" s="10">
        <v>41990</v>
      </c>
      <c r="S443" s="39">
        <v>16780</v>
      </c>
      <c r="T443" s="10" t="s">
        <v>57</v>
      </c>
      <c r="U443" s="10" t="s">
        <v>14</v>
      </c>
      <c r="V443" s="10">
        <v>22000</v>
      </c>
      <c r="W443" s="25">
        <f>Table1[[#This Row],[STAB]]-Table1[[#This Row],[AMOUNT]]</f>
        <v>-5220</v>
      </c>
      <c r="X443" s="10" t="s">
        <v>4931</v>
      </c>
      <c r="Y443" s="10" t="s">
        <v>402</v>
      </c>
      <c r="Z443" s="10" t="s">
        <v>403</v>
      </c>
      <c r="AA443" s="10" t="s">
        <v>113</v>
      </c>
      <c r="AB443" s="36" t="s">
        <v>376</v>
      </c>
      <c r="AC443" s="10"/>
      <c r="AD443" s="9" t="s">
        <v>4424</v>
      </c>
      <c r="AE443" s="10" t="s">
        <v>4467</v>
      </c>
      <c r="AF443" s="10" t="s">
        <v>85</v>
      </c>
      <c r="AG443" s="10" t="s">
        <v>54</v>
      </c>
      <c r="AH443" s="10" t="s">
        <v>89</v>
      </c>
      <c r="AI443" s="10" t="s">
        <v>106</v>
      </c>
      <c r="AJ443" s="10">
        <v>802370852</v>
      </c>
      <c r="AK443" s="10" t="s">
        <v>105</v>
      </c>
      <c r="AL443" s="10"/>
      <c r="AM443" s="10"/>
      <c r="AN443" s="11" t="s">
        <v>390</v>
      </c>
      <c r="AO443" s="10" t="s">
        <v>398</v>
      </c>
      <c r="AP443" s="10" t="s">
        <v>5008</v>
      </c>
      <c r="AQ443" s="10" t="s">
        <v>4993</v>
      </c>
      <c r="AR443" s="2">
        <v>46157</v>
      </c>
      <c r="AS443" s="10">
        <v>28300</v>
      </c>
      <c r="AT443" s="10" t="s">
        <v>48</v>
      </c>
      <c r="AU443" s="10" t="s">
        <v>4485</v>
      </c>
      <c r="AV443" s="36" t="s">
        <v>4508</v>
      </c>
      <c r="AW443" s="1">
        <v>46207</v>
      </c>
    </row>
    <row r="444" spans="1:49" x14ac:dyDescent="0.25">
      <c r="A444" s="9" t="s">
        <v>2992</v>
      </c>
      <c r="B444" s="10" t="s">
        <v>3054</v>
      </c>
      <c r="C444" s="10">
        <v>0</v>
      </c>
      <c r="D444" s="10" t="s">
        <v>91</v>
      </c>
      <c r="E444" s="10"/>
      <c r="F444" s="10"/>
      <c r="G444" s="10"/>
      <c r="H444" s="10" t="s">
        <v>52</v>
      </c>
      <c r="I444" s="10">
        <v>16</v>
      </c>
      <c r="J444" s="10" t="s">
        <v>3116</v>
      </c>
      <c r="K444" s="10" t="s">
        <v>42</v>
      </c>
      <c r="L444" s="10">
        <f>Table1[[#This Row],[ENR]]-Table1[[#This Row],[CREDIT]]</f>
        <v>-31171.049999999988</v>
      </c>
      <c r="M444" s="36">
        <v>300000</v>
      </c>
      <c r="N444" s="26">
        <v>268828.95</v>
      </c>
      <c r="O444" s="38">
        <v>21749.01</v>
      </c>
      <c r="P444" s="25">
        <v>247079.94</v>
      </c>
      <c r="Q444" s="25">
        <v>222766.86</v>
      </c>
      <c r="R444" s="10">
        <v>47850</v>
      </c>
      <c r="S444" s="39">
        <v>19820</v>
      </c>
      <c r="T444" s="10" t="s">
        <v>57</v>
      </c>
      <c r="U444" s="10" t="s">
        <v>14</v>
      </c>
      <c r="V444" s="25">
        <v>20000</v>
      </c>
      <c r="W444" s="25">
        <f>Table1[[#This Row],[STAB]]-Table1[[#This Row],[AMOUNT]]</f>
        <v>-180</v>
      </c>
      <c r="X444" s="10" t="s">
        <v>4619</v>
      </c>
      <c r="Y444" s="10" t="s">
        <v>402</v>
      </c>
      <c r="Z444" s="10" t="s">
        <v>403</v>
      </c>
      <c r="AA444" s="10" t="s">
        <v>113</v>
      </c>
      <c r="AB444" s="36" t="s">
        <v>133</v>
      </c>
      <c r="AC444" s="10"/>
      <c r="AD444" s="9" t="s">
        <v>3178</v>
      </c>
      <c r="AE444" s="10" t="s">
        <v>3239</v>
      </c>
      <c r="AF444" s="10" t="s">
        <v>286</v>
      </c>
      <c r="AG444" s="10" t="s">
        <v>54</v>
      </c>
      <c r="AH444" s="10" t="s">
        <v>358</v>
      </c>
      <c r="AI444" s="10" t="s">
        <v>365</v>
      </c>
      <c r="AJ444" s="10">
        <v>802824019</v>
      </c>
      <c r="AK444" s="10" t="s">
        <v>360</v>
      </c>
      <c r="AL444" s="10"/>
      <c r="AM444" s="10"/>
      <c r="AN444" s="11" t="s">
        <v>390</v>
      </c>
      <c r="AO444" s="10"/>
      <c r="AP444" s="10"/>
      <c r="AQ444" s="10"/>
      <c r="AR444" s="2">
        <v>46059</v>
      </c>
      <c r="AS444" s="10">
        <v>19999</v>
      </c>
      <c r="AT444" s="10" t="s">
        <v>290</v>
      </c>
      <c r="AU444" s="10" t="s">
        <v>3266</v>
      </c>
      <c r="AV444" s="36" t="s">
        <v>3296</v>
      </c>
      <c r="AW444" s="1">
        <v>46207</v>
      </c>
    </row>
    <row r="445" spans="1:49" x14ac:dyDescent="0.25">
      <c r="A445" s="9" t="s">
        <v>2998</v>
      </c>
      <c r="B445" s="10" t="s">
        <v>3060</v>
      </c>
      <c r="C445" s="10">
        <v>0</v>
      </c>
      <c r="D445" s="10" t="s">
        <v>91</v>
      </c>
      <c r="E445" s="10"/>
      <c r="F445" s="10"/>
      <c r="G445" s="10"/>
      <c r="H445" s="10" t="s">
        <v>52</v>
      </c>
      <c r="I445" s="10">
        <v>16</v>
      </c>
      <c r="J445" s="10" t="s">
        <v>3122</v>
      </c>
      <c r="K445" s="10" t="s">
        <v>42</v>
      </c>
      <c r="L445" s="10">
        <f>Table1[[#This Row],[ENR]]-Table1[[#This Row],[CREDIT]]</f>
        <v>7114.4899999999907</v>
      </c>
      <c r="M445" s="36">
        <v>260000</v>
      </c>
      <c r="N445" s="26">
        <v>267114.49</v>
      </c>
      <c r="O445" s="38">
        <v>86036.62</v>
      </c>
      <c r="P445" s="25">
        <v>181077.87</v>
      </c>
      <c r="Q445" s="25">
        <v>169143.1</v>
      </c>
      <c r="R445" s="10">
        <v>55860</v>
      </c>
      <c r="S445" s="39">
        <v>30779</v>
      </c>
      <c r="T445" s="10" t="s">
        <v>57</v>
      </c>
      <c r="U445" s="10" t="s">
        <v>14</v>
      </c>
      <c r="V445" s="10">
        <v>31000</v>
      </c>
      <c r="W445" s="25">
        <f>Table1[[#This Row],[STAB]]-Table1[[#This Row],[AMOUNT]]</f>
        <v>-221</v>
      </c>
      <c r="X445" s="10" t="s">
        <v>4937</v>
      </c>
      <c r="Y445" s="10" t="s">
        <v>396</v>
      </c>
      <c r="Z445" s="10" t="s">
        <v>403</v>
      </c>
      <c r="AA445" s="10" t="s">
        <v>113</v>
      </c>
      <c r="AB445" s="10" t="s">
        <v>132</v>
      </c>
      <c r="AC445" s="10"/>
      <c r="AD445" s="9" t="s">
        <v>3184</v>
      </c>
      <c r="AE445" s="10" t="s">
        <v>3244</v>
      </c>
      <c r="AF445" s="10" t="s">
        <v>500</v>
      </c>
      <c r="AG445" s="10" t="s">
        <v>324</v>
      </c>
      <c r="AH445" s="10" t="s">
        <v>355</v>
      </c>
      <c r="AI445" s="10" t="s">
        <v>372</v>
      </c>
      <c r="AJ445" s="10">
        <v>801597759</v>
      </c>
      <c r="AK445" s="10" t="s">
        <v>362</v>
      </c>
      <c r="AL445" s="10"/>
      <c r="AM445" s="10"/>
      <c r="AN445" s="11" t="s">
        <v>390</v>
      </c>
      <c r="AO445" s="10" t="s">
        <v>392</v>
      </c>
      <c r="AP445" s="10" t="s">
        <v>5015</v>
      </c>
      <c r="AQ445" s="10" t="s">
        <v>4993</v>
      </c>
      <c r="AR445" s="2" t="s">
        <v>43</v>
      </c>
      <c r="AS445" s="10">
        <v>0</v>
      </c>
      <c r="AT445" s="10" t="s">
        <v>503</v>
      </c>
      <c r="AU445" s="10" t="s">
        <v>3266</v>
      </c>
      <c r="AV445" s="36" t="s">
        <v>3302</v>
      </c>
      <c r="AW445" s="1">
        <v>46207</v>
      </c>
    </row>
    <row r="446" spans="1:49" x14ac:dyDescent="0.25">
      <c r="A446" s="9" t="s">
        <v>1825</v>
      </c>
      <c r="B446" s="10" t="s">
        <v>1849</v>
      </c>
      <c r="C446" s="10">
        <v>0</v>
      </c>
      <c r="D446" s="10" t="s">
        <v>95</v>
      </c>
      <c r="E446" s="10">
        <v>1</v>
      </c>
      <c r="F446" s="10" t="s">
        <v>112</v>
      </c>
      <c r="G446" s="10" t="s">
        <v>4952</v>
      </c>
      <c r="H446" s="10" t="s">
        <v>52</v>
      </c>
      <c r="I446" s="10">
        <v>16</v>
      </c>
      <c r="J446" s="10" t="s">
        <v>1873</v>
      </c>
      <c r="K446" s="10" t="s">
        <v>42</v>
      </c>
      <c r="L446" s="10">
        <f>Table1[[#This Row],[ENR]]-Table1[[#This Row],[CREDIT]]</f>
        <v>4480.5899999999965</v>
      </c>
      <c r="M446" s="36">
        <v>250000</v>
      </c>
      <c r="N446" s="26">
        <v>254480.59</v>
      </c>
      <c r="O446" s="38">
        <v>210920.09</v>
      </c>
      <c r="P446" s="25">
        <v>43560.5</v>
      </c>
      <c r="Q446" s="25">
        <v>36317.120000000003</v>
      </c>
      <c r="R446" s="10">
        <v>43560.5</v>
      </c>
      <c r="S446" s="39">
        <v>16901.21</v>
      </c>
      <c r="T446" s="10" t="s">
        <v>44</v>
      </c>
      <c r="U446" s="10" t="s">
        <v>45</v>
      </c>
      <c r="V446" s="10">
        <v>0</v>
      </c>
      <c r="W446" s="25">
        <f>Table1[[#This Row],[STAB]]-Table1[[#This Row],[AMOUNT]]</f>
        <v>16901.21</v>
      </c>
      <c r="X446" s="10">
        <v>0</v>
      </c>
      <c r="Y446" s="10" t="s">
        <v>79</v>
      </c>
      <c r="Z446" s="10">
        <v>0</v>
      </c>
      <c r="AA446" s="10" t="s">
        <v>113</v>
      </c>
      <c r="AB446" s="36" t="s">
        <v>113</v>
      </c>
      <c r="AC446" s="10"/>
      <c r="AD446" s="9" t="s">
        <v>1897</v>
      </c>
      <c r="AE446" s="10" t="s">
        <v>1921</v>
      </c>
      <c r="AF446" s="10" t="s">
        <v>499</v>
      </c>
      <c r="AG446" s="10" t="s">
        <v>53</v>
      </c>
      <c r="AH446" s="10" t="s">
        <v>55</v>
      </c>
      <c r="AI446" s="10" t="s">
        <v>365</v>
      </c>
      <c r="AJ446" s="10">
        <v>802824019</v>
      </c>
      <c r="AK446" s="10" t="s">
        <v>360</v>
      </c>
      <c r="AL446" s="10"/>
      <c r="AM446" s="10"/>
      <c r="AN446" s="11" t="s">
        <v>46</v>
      </c>
      <c r="AO446" s="10"/>
      <c r="AP446" s="10"/>
      <c r="AQ446" s="10"/>
      <c r="AR446" s="2">
        <v>45515</v>
      </c>
      <c r="AS446" s="10">
        <v>100000</v>
      </c>
      <c r="AT446" s="10" t="s">
        <v>503</v>
      </c>
      <c r="AU446" s="10" t="s">
        <v>1741</v>
      </c>
      <c r="AV446" s="36" t="s">
        <v>1947</v>
      </c>
      <c r="AW446" s="1">
        <v>46207</v>
      </c>
    </row>
    <row r="447" spans="1:49" x14ac:dyDescent="0.25">
      <c r="A447" s="9" t="s">
        <v>4305</v>
      </c>
      <c r="B447" s="10" t="s">
        <v>4348</v>
      </c>
      <c r="C447" s="10">
        <v>0</v>
      </c>
      <c r="D447" s="10" t="s">
        <v>91</v>
      </c>
      <c r="E447" s="10"/>
      <c r="F447" s="10"/>
      <c r="G447" s="10"/>
      <c r="H447" s="10" t="s">
        <v>52</v>
      </c>
      <c r="I447" s="10">
        <v>16</v>
      </c>
      <c r="J447" s="10" t="s">
        <v>4391</v>
      </c>
      <c r="K447" s="10" t="s">
        <v>42</v>
      </c>
      <c r="L447" s="10">
        <f>Table1[[#This Row],[ENR]]-Table1[[#This Row],[CREDIT]]</f>
        <v>15786.890000000014</v>
      </c>
      <c r="M447" s="36">
        <v>230000</v>
      </c>
      <c r="N447" s="26">
        <v>245786.89</v>
      </c>
      <c r="O447" s="38" t="s">
        <v>43</v>
      </c>
      <c r="P447" s="25">
        <v>245786.89</v>
      </c>
      <c r="Q447" s="25">
        <v>212691.21</v>
      </c>
      <c r="R447" s="10">
        <v>61420</v>
      </c>
      <c r="S447" s="39">
        <v>19080</v>
      </c>
      <c r="T447" s="10" t="s">
        <v>57</v>
      </c>
      <c r="U447" s="10" t="s">
        <v>13</v>
      </c>
      <c r="V447" s="10">
        <v>62000</v>
      </c>
      <c r="W447" s="25">
        <f>Table1[[#This Row],[STAB]]-Table1[[#This Row],[AMOUNT]]</f>
        <v>-42920</v>
      </c>
      <c r="X447" s="10">
        <v>0</v>
      </c>
      <c r="Y447" s="10" t="s">
        <v>388</v>
      </c>
      <c r="Z447" s="10" t="s">
        <v>964</v>
      </c>
      <c r="AA447" s="10" t="s">
        <v>113</v>
      </c>
      <c r="AB447" s="36" t="s">
        <v>131</v>
      </c>
      <c r="AC447" s="10"/>
      <c r="AD447" s="9" t="s">
        <v>4434</v>
      </c>
      <c r="AE447" s="10" t="s">
        <v>4474</v>
      </c>
      <c r="AF447" s="10" t="s">
        <v>500</v>
      </c>
      <c r="AG447" s="10" t="s">
        <v>324</v>
      </c>
      <c r="AH447" s="10" t="s">
        <v>1956</v>
      </c>
      <c r="AI447" s="10" t="s">
        <v>1403</v>
      </c>
      <c r="AJ447" s="10">
        <v>802631601</v>
      </c>
      <c r="AK447" s="10" t="s">
        <v>362</v>
      </c>
      <c r="AL447" s="10"/>
      <c r="AM447" s="10"/>
      <c r="AN447" s="11" t="s">
        <v>390</v>
      </c>
      <c r="AO447" s="10"/>
      <c r="AP447" s="10"/>
      <c r="AQ447" s="10"/>
      <c r="AR447" s="2">
        <v>46157</v>
      </c>
      <c r="AS447" s="10">
        <v>13000</v>
      </c>
      <c r="AT447" s="10" t="s">
        <v>290</v>
      </c>
      <c r="AU447" s="10" t="s">
        <v>4485</v>
      </c>
      <c r="AV447" s="36" t="s">
        <v>4518</v>
      </c>
      <c r="AW447" s="1">
        <v>46207</v>
      </c>
    </row>
    <row r="448" spans="1:49" x14ac:dyDescent="0.25">
      <c r="A448" s="9" t="s">
        <v>2966</v>
      </c>
      <c r="B448" s="10" t="s">
        <v>3028</v>
      </c>
      <c r="C448" s="10">
        <v>0</v>
      </c>
      <c r="D448" s="10" t="s">
        <v>91</v>
      </c>
      <c r="E448" s="10"/>
      <c r="F448" s="10"/>
      <c r="G448" s="10"/>
      <c r="H448" s="10" t="s">
        <v>52</v>
      </c>
      <c r="I448" s="10">
        <v>16</v>
      </c>
      <c r="J448" s="10" t="s">
        <v>3090</v>
      </c>
      <c r="K448" s="10" t="s">
        <v>42</v>
      </c>
      <c r="L448" s="10">
        <f>Table1[[#This Row],[ENR]]-Table1[[#This Row],[CREDIT]]</f>
        <v>-55131.53</v>
      </c>
      <c r="M448" s="36">
        <v>300000</v>
      </c>
      <c r="N448" s="26">
        <v>244868.47</v>
      </c>
      <c r="O448" s="38" t="s">
        <v>43</v>
      </c>
      <c r="P448" s="25">
        <v>244868.47</v>
      </c>
      <c r="Q448" s="25">
        <v>232367.7</v>
      </c>
      <c r="R448" s="10">
        <v>29220</v>
      </c>
      <c r="S448" s="39">
        <v>14660</v>
      </c>
      <c r="T448" s="10" t="s">
        <v>57</v>
      </c>
      <c r="U448" s="10" t="s">
        <v>13</v>
      </c>
      <c r="V448" s="10">
        <v>29220</v>
      </c>
      <c r="W448" s="25">
        <f>Table1[[#This Row],[STAB]]-Table1[[#This Row],[AMOUNT]]</f>
        <v>-14560</v>
      </c>
      <c r="X448" s="10" t="s">
        <v>4566</v>
      </c>
      <c r="Y448" s="10" t="s">
        <v>402</v>
      </c>
      <c r="Z448" s="10" t="s">
        <v>1968</v>
      </c>
      <c r="AA448" s="10" t="s">
        <v>113</v>
      </c>
      <c r="AB448" s="36" t="s">
        <v>374</v>
      </c>
      <c r="AC448" s="10"/>
      <c r="AD448" s="9" t="s">
        <v>3152</v>
      </c>
      <c r="AE448" s="10" t="s">
        <v>3213</v>
      </c>
      <c r="AF448" s="10" t="s">
        <v>272</v>
      </c>
      <c r="AG448" s="10" t="s">
        <v>54</v>
      </c>
      <c r="AH448" s="10" t="s">
        <v>58</v>
      </c>
      <c r="AI448" s="10" t="s">
        <v>133</v>
      </c>
      <c r="AJ448" s="10">
        <v>802555024</v>
      </c>
      <c r="AK448" s="10" t="s">
        <v>362</v>
      </c>
      <c r="AL448" s="10"/>
      <c r="AM448" s="10"/>
      <c r="AN448" s="11" t="s">
        <v>390</v>
      </c>
      <c r="AO448" s="10"/>
      <c r="AP448" s="10"/>
      <c r="AQ448" s="10"/>
      <c r="AR448" s="2">
        <v>46186</v>
      </c>
      <c r="AS448" s="10">
        <v>11000</v>
      </c>
      <c r="AT448" s="10" t="s">
        <v>503</v>
      </c>
      <c r="AU448" s="10" t="s">
        <v>3266</v>
      </c>
      <c r="AV448" s="36" t="s">
        <v>3270</v>
      </c>
      <c r="AW448" s="1">
        <v>46207</v>
      </c>
    </row>
    <row r="449" spans="1:49" x14ac:dyDescent="0.25">
      <c r="A449" s="9" t="s">
        <v>4296</v>
      </c>
      <c r="B449" s="10" t="s">
        <v>4339</v>
      </c>
      <c r="C449" s="10">
        <v>0</v>
      </c>
      <c r="D449" s="10" t="s">
        <v>91</v>
      </c>
      <c r="E449" s="10"/>
      <c r="F449" s="10"/>
      <c r="G449" s="10"/>
      <c r="H449" s="10" t="s">
        <v>52</v>
      </c>
      <c r="I449" s="10">
        <v>16</v>
      </c>
      <c r="J449" s="10" t="s">
        <v>4382</v>
      </c>
      <c r="K449" s="10" t="s">
        <v>42</v>
      </c>
      <c r="L449" s="10">
        <f>Table1[[#This Row],[ENR]]-Table1[[#This Row],[CREDIT]]</f>
        <v>2441.2000000000116</v>
      </c>
      <c r="M449" s="36">
        <v>240000</v>
      </c>
      <c r="N449" s="26">
        <v>242441.2</v>
      </c>
      <c r="O449" s="38">
        <v>62045.67</v>
      </c>
      <c r="P449" s="25">
        <v>180395.53</v>
      </c>
      <c r="Q449" s="25">
        <v>166702.98000000001</v>
      </c>
      <c r="R449" s="10">
        <v>52830</v>
      </c>
      <c r="S449" s="39">
        <v>24804.86</v>
      </c>
      <c r="T449" s="10" t="s">
        <v>57</v>
      </c>
      <c r="U449" s="10" t="s">
        <v>14</v>
      </c>
      <c r="V449" s="10">
        <v>14493</v>
      </c>
      <c r="W449" s="25">
        <f>Table1[[#This Row],[STAB]]-Table1[[#This Row],[AMOUNT]]</f>
        <v>10311.86</v>
      </c>
      <c r="X449" s="10" t="s">
        <v>4976</v>
      </c>
      <c r="Y449" s="10" t="s">
        <v>402</v>
      </c>
      <c r="Z449" s="10" t="s">
        <v>963</v>
      </c>
      <c r="AA449" s="10" t="s">
        <v>113</v>
      </c>
      <c r="AB449" s="41" t="s">
        <v>374</v>
      </c>
      <c r="AC449" s="10"/>
      <c r="AD449" s="9" t="s">
        <v>4425</v>
      </c>
      <c r="AE449" s="10" t="s">
        <v>4468</v>
      </c>
      <c r="AF449" s="10" t="s">
        <v>111</v>
      </c>
      <c r="AG449" s="10" t="s">
        <v>80</v>
      </c>
      <c r="AH449" s="10" t="s">
        <v>1957</v>
      </c>
      <c r="AI449" s="10" t="s">
        <v>82</v>
      </c>
      <c r="AJ449" s="10">
        <v>801723195</v>
      </c>
      <c r="AK449" s="10" t="s">
        <v>105</v>
      </c>
      <c r="AL449" s="10"/>
      <c r="AM449" s="10"/>
      <c r="AN449" s="11" t="s">
        <v>390</v>
      </c>
      <c r="AO449" s="10"/>
      <c r="AP449" s="10"/>
      <c r="AQ449" s="10"/>
      <c r="AR449" s="2">
        <v>46167</v>
      </c>
      <c r="AS449" s="10">
        <v>5000</v>
      </c>
      <c r="AT449" s="10" t="s">
        <v>96</v>
      </c>
      <c r="AU449" s="10" t="s">
        <v>4485</v>
      </c>
      <c r="AV449" s="36" t="s">
        <v>4509</v>
      </c>
      <c r="AW449" s="1">
        <v>46207</v>
      </c>
    </row>
    <row r="450" spans="1:49" x14ac:dyDescent="0.25">
      <c r="A450" s="9" t="s">
        <v>1833</v>
      </c>
      <c r="B450" s="10" t="s">
        <v>1857</v>
      </c>
      <c r="C450" s="10">
        <v>0</v>
      </c>
      <c r="D450" s="10" t="s">
        <v>91</v>
      </c>
      <c r="E450" s="10"/>
      <c r="F450" s="10"/>
      <c r="G450" s="10"/>
      <c r="H450" s="10" t="s">
        <v>52</v>
      </c>
      <c r="I450" s="10">
        <v>16</v>
      </c>
      <c r="J450" s="10" t="s">
        <v>1881</v>
      </c>
      <c r="K450" s="10" t="s">
        <v>42</v>
      </c>
      <c r="L450" s="10">
        <f>Table1[[#This Row],[ENR]]-Table1[[#This Row],[CREDIT]]</f>
        <v>14149.779999999999</v>
      </c>
      <c r="M450" s="36">
        <v>220000</v>
      </c>
      <c r="N450" s="26">
        <v>234149.78</v>
      </c>
      <c r="O450" s="38">
        <v>9325.2800000000007</v>
      </c>
      <c r="P450" s="25">
        <v>224824.5</v>
      </c>
      <c r="Q450" s="25">
        <v>210005.48</v>
      </c>
      <c r="R450" s="10">
        <v>56230</v>
      </c>
      <c r="S450" s="39">
        <v>18790</v>
      </c>
      <c r="T450" s="10" t="s">
        <v>57</v>
      </c>
      <c r="U450" s="10" t="s">
        <v>14</v>
      </c>
      <c r="V450" s="25">
        <v>20000</v>
      </c>
      <c r="W450" s="25">
        <f>Table1[[#This Row],[STAB]]-Table1[[#This Row],[AMOUNT]]</f>
        <v>-1210</v>
      </c>
      <c r="X450" s="10" t="s">
        <v>4591</v>
      </c>
      <c r="Y450" s="10" t="s">
        <v>402</v>
      </c>
      <c r="Z450" s="10" t="s">
        <v>403</v>
      </c>
      <c r="AA450" s="10" t="s">
        <v>113</v>
      </c>
      <c r="AB450" s="36" t="s">
        <v>133</v>
      </c>
      <c r="AC450" s="10"/>
      <c r="AD450" s="9" t="s">
        <v>1905</v>
      </c>
      <c r="AE450" s="10" t="s">
        <v>1929</v>
      </c>
      <c r="AF450" s="10" t="s">
        <v>498</v>
      </c>
      <c r="AG450" s="10" t="s">
        <v>53</v>
      </c>
      <c r="AH450" s="10" t="s">
        <v>90</v>
      </c>
      <c r="AI450" s="10" t="s">
        <v>162</v>
      </c>
      <c r="AJ450" s="10">
        <v>801772794</v>
      </c>
      <c r="AK450" s="10" t="s">
        <v>361</v>
      </c>
      <c r="AL450" s="10"/>
      <c r="AM450" s="10"/>
      <c r="AN450" s="11" t="s">
        <v>390</v>
      </c>
      <c r="AO450" s="10"/>
      <c r="AP450" s="10"/>
      <c r="AQ450" s="10"/>
      <c r="AR450" s="2">
        <v>46036</v>
      </c>
      <c r="AS450" s="10">
        <v>100</v>
      </c>
      <c r="AT450" s="10" t="s">
        <v>503</v>
      </c>
      <c r="AU450" s="10" t="s">
        <v>1741</v>
      </c>
      <c r="AV450" s="36" t="s">
        <v>1955</v>
      </c>
      <c r="AW450" s="1">
        <v>46207</v>
      </c>
    </row>
    <row r="451" spans="1:49" x14ac:dyDescent="0.25">
      <c r="A451" s="9" t="s">
        <v>4301</v>
      </c>
      <c r="B451" s="10" t="s">
        <v>4344</v>
      </c>
      <c r="C451" s="10" t="s">
        <v>97</v>
      </c>
      <c r="D451" s="10" t="s">
        <v>91</v>
      </c>
      <c r="E451" s="10"/>
      <c r="F451" s="10"/>
      <c r="G451" s="10"/>
      <c r="H451" s="10" t="s">
        <v>52</v>
      </c>
      <c r="I451" s="10">
        <v>16</v>
      </c>
      <c r="J451" s="10" t="s">
        <v>4387</v>
      </c>
      <c r="K451" s="10" t="s">
        <v>42</v>
      </c>
      <c r="L451" s="10">
        <f>Table1[[#This Row],[ENR]]-Table1[[#This Row],[CREDIT]]</f>
        <v>-21294.899999999994</v>
      </c>
      <c r="M451" s="36">
        <v>250000</v>
      </c>
      <c r="N451" s="26">
        <v>228705.1</v>
      </c>
      <c r="O451" s="38" t="s">
        <v>43</v>
      </c>
      <c r="P451" s="25">
        <v>228705.1</v>
      </c>
      <c r="Q451" s="25">
        <v>207946.41</v>
      </c>
      <c r="R451" s="10">
        <v>42590</v>
      </c>
      <c r="S451" s="39">
        <v>20745.71</v>
      </c>
      <c r="T451" s="10" t="s">
        <v>57</v>
      </c>
      <c r="U451" s="10" t="s">
        <v>13</v>
      </c>
      <c r="V451" s="25">
        <v>21906.12</v>
      </c>
      <c r="W451" s="25">
        <f>Table1[[#This Row],[STAB]]-Table1[[#This Row],[AMOUNT]]</f>
        <v>-1160.4099999999999</v>
      </c>
      <c r="X451" s="10" t="s">
        <v>4931</v>
      </c>
      <c r="Y451" s="10" t="s">
        <v>402</v>
      </c>
      <c r="Z451" s="10" t="s">
        <v>963</v>
      </c>
      <c r="AA451" s="10" t="s">
        <v>113</v>
      </c>
      <c r="AB451" s="41" t="s">
        <v>374</v>
      </c>
      <c r="AC451" s="10"/>
      <c r="AD451" s="9" t="s">
        <v>4430</v>
      </c>
      <c r="AE451" s="10" t="s">
        <v>4430</v>
      </c>
      <c r="AF451" s="10" t="s">
        <v>686</v>
      </c>
      <c r="AG451" s="10" t="s">
        <v>324</v>
      </c>
      <c r="AH451" s="10" t="s">
        <v>722</v>
      </c>
      <c r="AI451" s="10" t="s">
        <v>370</v>
      </c>
      <c r="AJ451" s="10">
        <v>801448854</v>
      </c>
      <c r="AK451" s="10" t="s">
        <v>105</v>
      </c>
      <c r="AL451" s="10"/>
      <c r="AM451" s="10"/>
      <c r="AN451" s="11" t="s">
        <v>390</v>
      </c>
      <c r="AO451" s="10"/>
      <c r="AP451" s="10"/>
      <c r="AQ451" s="10"/>
      <c r="AR451" s="2">
        <v>46168</v>
      </c>
      <c r="AS451" s="10">
        <v>6895</v>
      </c>
      <c r="AT451" s="10" t="s">
        <v>1931</v>
      </c>
      <c r="AU451" s="10" t="s">
        <v>4485</v>
      </c>
      <c r="AV451" s="36" t="s">
        <v>4514</v>
      </c>
      <c r="AW451" s="1">
        <v>46207</v>
      </c>
    </row>
    <row r="452" spans="1:49" x14ac:dyDescent="0.25">
      <c r="A452" s="9" t="s">
        <v>4286</v>
      </c>
      <c r="B452" s="10" t="s">
        <v>4329</v>
      </c>
      <c r="C452" s="10">
        <v>0</v>
      </c>
      <c r="D452" s="10" t="s">
        <v>91</v>
      </c>
      <c r="E452" s="10"/>
      <c r="F452" s="10"/>
      <c r="G452" s="10"/>
      <c r="H452" s="10" t="s">
        <v>52</v>
      </c>
      <c r="I452" s="10">
        <v>16</v>
      </c>
      <c r="J452" s="10" t="s">
        <v>4372</v>
      </c>
      <c r="K452" s="10" t="s">
        <v>42</v>
      </c>
      <c r="L452" s="10">
        <f>Table1[[#This Row],[ENR]]-Table1[[#This Row],[CREDIT]]</f>
        <v>7969.679999999993</v>
      </c>
      <c r="M452" s="36">
        <v>220000</v>
      </c>
      <c r="N452" s="26">
        <v>227969.68</v>
      </c>
      <c r="O452" s="38">
        <v>82844.91</v>
      </c>
      <c r="P452" s="25">
        <v>145124.76999999999</v>
      </c>
      <c r="Q452" s="25">
        <v>127060.29</v>
      </c>
      <c r="R452" s="10">
        <v>39350</v>
      </c>
      <c r="S452" s="39">
        <v>17900</v>
      </c>
      <c r="T452" s="10" t="s">
        <v>57</v>
      </c>
      <c r="U452" s="10" t="s">
        <v>13</v>
      </c>
      <c r="V452" s="10">
        <v>39350</v>
      </c>
      <c r="W452" s="25">
        <f>Table1[[#This Row],[STAB]]-Table1[[#This Row],[AMOUNT]]</f>
        <v>-21450</v>
      </c>
      <c r="X452" s="10" t="s">
        <v>4923</v>
      </c>
      <c r="Y452" s="10" t="s">
        <v>396</v>
      </c>
      <c r="Z452" s="10" t="s">
        <v>403</v>
      </c>
      <c r="AA452" s="10" t="s">
        <v>113</v>
      </c>
      <c r="AB452" s="36" t="s">
        <v>131</v>
      </c>
      <c r="AC452" s="10"/>
      <c r="AD452" s="9" t="s">
        <v>4415</v>
      </c>
      <c r="AE452" s="10" t="s">
        <v>4458</v>
      </c>
      <c r="AF452" s="10" t="s">
        <v>383</v>
      </c>
      <c r="AG452" s="10" t="s">
        <v>53</v>
      </c>
      <c r="AH452" s="10" t="s">
        <v>55</v>
      </c>
      <c r="AI452" s="10" t="s">
        <v>365</v>
      </c>
      <c r="AJ452" s="10">
        <v>802824019</v>
      </c>
      <c r="AK452" s="10" t="s">
        <v>360</v>
      </c>
      <c r="AL452" s="10"/>
      <c r="AM452" s="10"/>
      <c r="AN452" s="11" t="s">
        <v>390</v>
      </c>
      <c r="AO452" s="10"/>
      <c r="AP452" s="10"/>
      <c r="AQ452" s="10"/>
      <c r="AR452" s="2">
        <v>46157</v>
      </c>
      <c r="AS452" s="10">
        <v>17890</v>
      </c>
      <c r="AT452" s="10" t="s">
        <v>503</v>
      </c>
      <c r="AU452" s="10" t="s">
        <v>4485</v>
      </c>
      <c r="AV452" s="36" t="s">
        <v>4499</v>
      </c>
      <c r="AW452" s="1">
        <v>46207</v>
      </c>
    </row>
    <row r="453" spans="1:49" x14ac:dyDescent="0.25">
      <c r="A453" s="9" t="s">
        <v>4306</v>
      </c>
      <c r="B453" s="10" t="s">
        <v>4349</v>
      </c>
      <c r="C453" s="10">
        <v>0</v>
      </c>
      <c r="D453" s="10" t="s">
        <v>91</v>
      </c>
      <c r="E453" s="10"/>
      <c r="F453" s="10"/>
      <c r="G453" s="10"/>
      <c r="H453" s="10" t="s">
        <v>52</v>
      </c>
      <c r="I453" s="10">
        <v>16</v>
      </c>
      <c r="J453" s="10" t="s">
        <v>4392</v>
      </c>
      <c r="K453" s="10" t="s">
        <v>42</v>
      </c>
      <c r="L453" s="10">
        <f>Table1[[#This Row],[ENR]]-Table1[[#This Row],[CREDIT]]</f>
        <v>27299.070000000007</v>
      </c>
      <c r="M453" s="36">
        <v>200000</v>
      </c>
      <c r="N453" s="26">
        <v>227299.07</v>
      </c>
      <c r="O453" s="38" t="s">
        <v>43</v>
      </c>
      <c r="P453" s="25">
        <v>227299.07</v>
      </c>
      <c r="Q453" s="25">
        <v>207022.74</v>
      </c>
      <c r="R453" s="10">
        <v>58720</v>
      </c>
      <c r="S453" s="39">
        <v>27390</v>
      </c>
      <c r="T453" s="10" t="s">
        <v>44</v>
      </c>
      <c r="U453" s="10" t="s">
        <v>45</v>
      </c>
      <c r="V453" s="10">
        <v>0</v>
      </c>
      <c r="W453" s="25">
        <f>Table1[[#This Row],[STAB]]-Table1[[#This Row],[AMOUNT]]</f>
        <v>27390</v>
      </c>
      <c r="X453" s="10">
        <v>0</v>
      </c>
      <c r="Y453" s="10" t="s">
        <v>79</v>
      </c>
      <c r="Z453" s="10">
        <v>0</v>
      </c>
      <c r="AA453" s="10" t="s">
        <v>113</v>
      </c>
      <c r="AB453" s="41" t="s">
        <v>376</v>
      </c>
      <c r="AC453" s="10"/>
      <c r="AD453" s="9" t="s">
        <v>4435</v>
      </c>
      <c r="AE453" s="10" t="s">
        <v>4475</v>
      </c>
      <c r="AF453" s="10" t="s">
        <v>285</v>
      </c>
      <c r="AG453" s="10" t="s">
        <v>54</v>
      </c>
      <c r="AH453" s="10" t="s">
        <v>94</v>
      </c>
      <c r="AI453" s="10" t="s">
        <v>725</v>
      </c>
      <c r="AJ453" s="10">
        <v>802794852</v>
      </c>
      <c r="AK453" s="10" t="s">
        <v>104</v>
      </c>
      <c r="AL453" s="10"/>
      <c r="AM453" s="10"/>
      <c r="AN453" s="11" t="s">
        <v>390</v>
      </c>
      <c r="AO453" s="10" t="s">
        <v>394</v>
      </c>
      <c r="AP453" s="10" t="s">
        <v>5021</v>
      </c>
      <c r="AQ453" s="10" t="s">
        <v>4993</v>
      </c>
      <c r="AR453" s="2">
        <v>46147</v>
      </c>
      <c r="AS453" s="10">
        <v>48730</v>
      </c>
      <c r="AT453" s="10" t="s">
        <v>290</v>
      </c>
      <c r="AU453" s="10" t="s">
        <v>4485</v>
      </c>
      <c r="AV453" s="36" t="s">
        <v>4306</v>
      </c>
      <c r="AW453" s="1">
        <v>46207</v>
      </c>
    </row>
    <row r="454" spans="1:49" x14ac:dyDescent="0.25">
      <c r="A454" s="9" t="s">
        <v>4293</v>
      </c>
      <c r="B454" s="10" t="s">
        <v>4336</v>
      </c>
      <c r="C454" s="10">
        <v>0</v>
      </c>
      <c r="D454" s="10" t="s">
        <v>91</v>
      </c>
      <c r="E454" s="10"/>
      <c r="F454" s="10"/>
      <c r="G454" s="10"/>
      <c r="H454" s="10" t="s">
        <v>52</v>
      </c>
      <c r="I454" s="10">
        <v>16</v>
      </c>
      <c r="J454" s="10" t="s">
        <v>4379</v>
      </c>
      <c r="K454" s="10" t="s">
        <v>42</v>
      </c>
      <c r="L454" s="10">
        <f>Table1[[#This Row],[ENR]]-Table1[[#This Row],[CREDIT]]</f>
        <v>26348.299999999988</v>
      </c>
      <c r="M454" s="36">
        <v>200000</v>
      </c>
      <c r="N454" s="26">
        <v>226348.3</v>
      </c>
      <c r="O454" s="38" t="s">
        <v>43</v>
      </c>
      <c r="P454" s="25">
        <v>226348.3</v>
      </c>
      <c r="Q454" s="25">
        <v>198234.21</v>
      </c>
      <c r="R454" s="10">
        <v>71760</v>
      </c>
      <c r="S454" s="39">
        <v>41450</v>
      </c>
      <c r="T454" s="10" t="s">
        <v>57</v>
      </c>
      <c r="U454" s="10" t="s">
        <v>13</v>
      </c>
      <c r="V454" s="10">
        <v>26500</v>
      </c>
      <c r="W454" s="25">
        <f>Table1[[#This Row],[STAB]]-Table1[[#This Row],[AMOUNT]]</f>
        <v>14950</v>
      </c>
      <c r="X454" s="10" t="s">
        <v>4937</v>
      </c>
      <c r="Y454" s="10" t="s">
        <v>402</v>
      </c>
      <c r="Z454" s="10" t="s">
        <v>962</v>
      </c>
      <c r="AA454" s="10" t="s">
        <v>113</v>
      </c>
      <c r="AB454" s="36" t="s">
        <v>375</v>
      </c>
      <c r="AC454" s="10"/>
      <c r="AD454" s="9" t="s">
        <v>4422</v>
      </c>
      <c r="AE454" s="10" t="s">
        <v>4465</v>
      </c>
      <c r="AF454" s="10" t="s">
        <v>285</v>
      </c>
      <c r="AG454" s="10" t="s">
        <v>54</v>
      </c>
      <c r="AH454" s="10" t="s">
        <v>98</v>
      </c>
      <c r="AI454" s="10" t="s">
        <v>363</v>
      </c>
      <c r="AJ454" s="10">
        <v>802913252</v>
      </c>
      <c r="AK454" s="10" t="s">
        <v>104</v>
      </c>
      <c r="AL454" s="10"/>
      <c r="AM454" s="10"/>
      <c r="AN454" s="11" t="s">
        <v>390</v>
      </c>
      <c r="AO454" s="10" t="s">
        <v>394</v>
      </c>
      <c r="AP454" s="10" t="s">
        <v>5022</v>
      </c>
      <c r="AQ454" s="10" t="s">
        <v>4993</v>
      </c>
      <c r="AR454" s="2">
        <v>45657</v>
      </c>
      <c r="AS454" s="10">
        <v>199991.62</v>
      </c>
      <c r="AT454" s="10" t="s">
        <v>503</v>
      </c>
      <c r="AU454" s="10" t="s">
        <v>4485</v>
      </c>
      <c r="AV454" s="36" t="s">
        <v>4506</v>
      </c>
      <c r="AW454" s="1">
        <v>46207</v>
      </c>
    </row>
    <row r="455" spans="1:49" x14ac:dyDescent="0.25">
      <c r="A455" s="9" t="s">
        <v>4281</v>
      </c>
      <c r="B455" s="10" t="s">
        <v>4324</v>
      </c>
      <c r="C455" s="10">
        <v>0</v>
      </c>
      <c r="D455" s="10" t="s">
        <v>91</v>
      </c>
      <c r="E455" s="10"/>
      <c r="F455" s="10"/>
      <c r="G455" s="10"/>
      <c r="H455" s="10" t="s">
        <v>52</v>
      </c>
      <c r="I455" s="10">
        <v>16</v>
      </c>
      <c r="J455" s="10" t="s">
        <v>4367</v>
      </c>
      <c r="K455" s="10" t="s">
        <v>42</v>
      </c>
      <c r="L455" s="10">
        <f>Table1[[#This Row],[ENR]]-Table1[[#This Row],[CREDIT]]</f>
        <v>-80149.070000000007</v>
      </c>
      <c r="M455" s="36">
        <v>300000</v>
      </c>
      <c r="N455" s="26">
        <v>219850.93</v>
      </c>
      <c r="O455" s="38" t="s">
        <v>43</v>
      </c>
      <c r="P455" s="25">
        <v>219850.93</v>
      </c>
      <c r="Q455" s="25">
        <v>196059.55</v>
      </c>
      <c r="R455" s="10">
        <v>42920</v>
      </c>
      <c r="S455" s="39">
        <v>22600</v>
      </c>
      <c r="T455" s="10" t="s">
        <v>44</v>
      </c>
      <c r="U455" s="10" t="s">
        <v>45</v>
      </c>
      <c r="V455" s="10">
        <v>0</v>
      </c>
      <c r="W455" s="25">
        <f>Table1[[#This Row],[STAB]]-Table1[[#This Row],[AMOUNT]]</f>
        <v>22600</v>
      </c>
      <c r="X455" s="10">
        <v>0</v>
      </c>
      <c r="Y455" s="10" t="s">
        <v>79</v>
      </c>
      <c r="Z455" s="10">
        <v>0</v>
      </c>
      <c r="AA455" s="10" t="s">
        <v>113</v>
      </c>
      <c r="AB455" s="36" t="s">
        <v>132</v>
      </c>
      <c r="AC455" s="10"/>
      <c r="AD455" s="9" t="s">
        <v>4410</v>
      </c>
      <c r="AE455" s="10" t="s">
        <v>4453</v>
      </c>
      <c r="AF455" s="10" t="s">
        <v>85</v>
      </c>
      <c r="AG455" s="10" t="s">
        <v>54</v>
      </c>
      <c r="AH455" s="10" t="s">
        <v>89</v>
      </c>
      <c r="AI455" s="10" t="s">
        <v>106</v>
      </c>
      <c r="AJ455" s="10">
        <v>802370852</v>
      </c>
      <c r="AK455" s="10" t="s">
        <v>105</v>
      </c>
      <c r="AL455" s="10"/>
      <c r="AM455" s="10"/>
      <c r="AN455" s="11" t="s">
        <v>390</v>
      </c>
      <c r="AO455" s="10" t="s">
        <v>398</v>
      </c>
      <c r="AP455" s="10" t="s">
        <v>6314</v>
      </c>
      <c r="AQ455" s="10" t="s">
        <v>4937</v>
      </c>
      <c r="AR455" s="2">
        <v>45903</v>
      </c>
      <c r="AS455" s="10">
        <v>26873</v>
      </c>
      <c r="AT455" s="10" t="s">
        <v>503</v>
      </c>
      <c r="AU455" s="10" t="s">
        <v>4485</v>
      </c>
      <c r="AV455" s="36" t="s">
        <v>4494</v>
      </c>
      <c r="AW455" s="1">
        <v>46207</v>
      </c>
    </row>
    <row r="456" spans="1:49" x14ac:dyDescent="0.25">
      <c r="A456" s="9" t="s">
        <v>4283</v>
      </c>
      <c r="B456" s="10" t="s">
        <v>4326</v>
      </c>
      <c r="C456" s="10">
        <v>0</v>
      </c>
      <c r="D456" s="10" t="s">
        <v>91</v>
      </c>
      <c r="E456" s="10"/>
      <c r="F456" s="10"/>
      <c r="G456" s="10"/>
      <c r="H456" s="10" t="s">
        <v>52</v>
      </c>
      <c r="I456" s="10">
        <v>16</v>
      </c>
      <c r="J456" s="10" t="s">
        <v>4369</v>
      </c>
      <c r="K456" s="10" t="s">
        <v>42</v>
      </c>
      <c r="L456" s="10">
        <f>Table1[[#This Row],[ENR]]-Table1[[#This Row],[CREDIT]]</f>
        <v>19799.410000000003</v>
      </c>
      <c r="M456" s="36">
        <v>200000</v>
      </c>
      <c r="N456" s="26">
        <v>219799.41</v>
      </c>
      <c r="O456" s="38" t="s">
        <v>43</v>
      </c>
      <c r="P456" s="25">
        <v>219799.41</v>
      </c>
      <c r="Q456" s="25">
        <v>198157.86</v>
      </c>
      <c r="R456" s="10">
        <v>52270</v>
      </c>
      <c r="S456" s="39">
        <v>21770</v>
      </c>
      <c r="T456" s="10" t="s">
        <v>57</v>
      </c>
      <c r="U456" s="10" t="s">
        <v>13</v>
      </c>
      <c r="V456" s="10">
        <v>52270</v>
      </c>
      <c r="W456" s="25">
        <f>Table1[[#This Row],[STAB]]-Table1[[#This Row],[AMOUNT]]</f>
        <v>-30500</v>
      </c>
      <c r="X456" s="10" t="s">
        <v>4937</v>
      </c>
      <c r="Y456" s="10" t="s">
        <v>402</v>
      </c>
      <c r="Z456" s="10" t="s">
        <v>963</v>
      </c>
      <c r="AA456" s="10" t="s">
        <v>113</v>
      </c>
      <c r="AB456" s="10" t="s">
        <v>132</v>
      </c>
      <c r="AC456" s="10"/>
      <c r="AD456" s="9" t="s">
        <v>4412</v>
      </c>
      <c r="AE456" s="10" t="s">
        <v>4455</v>
      </c>
      <c r="AF456" s="10" t="s">
        <v>275</v>
      </c>
      <c r="AG456" s="10" t="s">
        <v>80</v>
      </c>
      <c r="AH456" s="10" t="s">
        <v>87</v>
      </c>
      <c r="AI456" s="10" t="s">
        <v>368</v>
      </c>
      <c r="AJ456" s="10">
        <v>802823175</v>
      </c>
      <c r="AK456" s="10" t="s">
        <v>105</v>
      </c>
      <c r="AL456" s="10"/>
      <c r="AM456" s="10"/>
      <c r="AN456" s="11" t="s">
        <v>390</v>
      </c>
      <c r="AO456" s="10" t="s">
        <v>398</v>
      </c>
      <c r="AP456" s="10" t="s">
        <v>5596</v>
      </c>
      <c r="AQ456" s="10" t="s">
        <v>4931</v>
      </c>
      <c r="AR456" s="2">
        <v>46148</v>
      </c>
      <c r="AS456" s="10">
        <v>27087.91</v>
      </c>
      <c r="AT456" s="10" t="s">
        <v>503</v>
      </c>
      <c r="AU456" s="10" t="s">
        <v>4485</v>
      </c>
      <c r="AV456" s="36" t="s">
        <v>4496</v>
      </c>
      <c r="AW456" s="1">
        <v>46207</v>
      </c>
    </row>
    <row r="457" spans="1:49" x14ac:dyDescent="0.25">
      <c r="A457" s="9" t="s">
        <v>3010</v>
      </c>
      <c r="B457" s="10" t="s">
        <v>3072</v>
      </c>
      <c r="C457" s="10">
        <v>0</v>
      </c>
      <c r="D457" s="10" t="s">
        <v>91</v>
      </c>
      <c r="E457" s="10"/>
      <c r="F457" s="10"/>
      <c r="G457" s="10"/>
      <c r="H457" s="10" t="s">
        <v>52</v>
      </c>
      <c r="I457" s="10">
        <v>16</v>
      </c>
      <c r="J457" s="10" t="s">
        <v>3134</v>
      </c>
      <c r="K457" s="10" t="s">
        <v>42</v>
      </c>
      <c r="L457" s="10">
        <f>Table1[[#This Row],[ENR]]-Table1[[#This Row],[CREDIT]]</f>
        <v>15670.260000000009</v>
      </c>
      <c r="M457" s="36">
        <v>200000</v>
      </c>
      <c r="N457" s="26">
        <v>215670.26</v>
      </c>
      <c r="O457" s="38">
        <v>77626.820000000007</v>
      </c>
      <c r="P457" s="25">
        <v>138043.44</v>
      </c>
      <c r="Q457" s="25">
        <v>120374.41</v>
      </c>
      <c r="R457" s="10">
        <v>44180</v>
      </c>
      <c r="S457" s="39">
        <v>20450</v>
      </c>
      <c r="T457" s="10" t="s">
        <v>57</v>
      </c>
      <c r="U457" s="10" t="s">
        <v>14</v>
      </c>
      <c r="V457" s="10">
        <v>21000</v>
      </c>
      <c r="W457" s="25">
        <f>Table1[[#This Row],[STAB]]-Table1[[#This Row],[AMOUNT]]</f>
        <v>-550</v>
      </c>
      <c r="X457" s="10" t="s">
        <v>4976</v>
      </c>
      <c r="Y457" s="10" t="s">
        <v>402</v>
      </c>
      <c r="Z457" s="10" t="s">
        <v>403</v>
      </c>
      <c r="AA457" s="10" t="s">
        <v>113</v>
      </c>
      <c r="AB457" s="36" t="s">
        <v>376</v>
      </c>
      <c r="AC457" s="10"/>
      <c r="AD457" s="9" t="s">
        <v>3195</v>
      </c>
      <c r="AE457" s="10" t="s">
        <v>3195</v>
      </c>
      <c r="AF457" s="10" t="s">
        <v>687</v>
      </c>
      <c r="AG457" s="10" t="s">
        <v>53</v>
      </c>
      <c r="AH457" s="10" t="s">
        <v>83</v>
      </c>
      <c r="AI457" s="10" t="s">
        <v>728</v>
      </c>
      <c r="AJ457" s="10">
        <v>802349062</v>
      </c>
      <c r="AK457" s="10" t="s">
        <v>104</v>
      </c>
      <c r="AL457" s="10"/>
      <c r="AM457" s="10"/>
      <c r="AN457" s="11" t="s">
        <v>390</v>
      </c>
      <c r="AO457" s="10"/>
      <c r="AP457" s="10"/>
      <c r="AQ457" s="10"/>
      <c r="AR457" s="2">
        <v>46094</v>
      </c>
      <c r="AS457" s="10">
        <v>5269.73</v>
      </c>
      <c r="AT457" s="10" t="s">
        <v>1931</v>
      </c>
      <c r="AU457" s="10" t="s">
        <v>3266</v>
      </c>
      <c r="AV457" s="36" t="s">
        <v>3314</v>
      </c>
      <c r="AW457" s="1">
        <v>46207</v>
      </c>
    </row>
    <row r="458" spans="1:49" x14ac:dyDescent="0.25">
      <c r="A458" s="9" t="s">
        <v>1828</v>
      </c>
      <c r="B458" s="10" t="s">
        <v>1852</v>
      </c>
      <c r="C458" s="10">
        <v>0</v>
      </c>
      <c r="D458" s="10" t="s">
        <v>91</v>
      </c>
      <c r="E458" s="10"/>
      <c r="F458" s="10"/>
      <c r="G458" s="10"/>
      <c r="H458" s="10" t="s">
        <v>52</v>
      </c>
      <c r="I458" s="10">
        <v>16</v>
      </c>
      <c r="J458" s="10" t="s">
        <v>1876</v>
      </c>
      <c r="K458" s="10" t="s">
        <v>42</v>
      </c>
      <c r="L458" s="10">
        <f>Table1[[#This Row],[ENR]]-Table1[[#This Row],[CREDIT]]</f>
        <v>-49021.079999999987</v>
      </c>
      <c r="M458" s="36">
        <v>260000</v>
      </c>
      <c r="N458" s="26">
        <v>210978.92</v>
      </c>
      <c r="O458" s="38" t="s">
        <v>43</v>
      </c>
      <c r="P458" s="25">
        <v>210978.92</v>
      </c>
      <c r="Q458" s="25">
        <v>191883.87</v>
      </c>
      <c r="R458" s="10">
        <v>31260</v>
      </c>
      <c r="S458" s="39">
        <v>11270</v>
      </c>
      <c r="T458" s="10" t="s">
        <v>57</v>
      </c>
      <c r="U458" s="10" t="s">
        <v>13</v>
      </c>
      <c r="V458" s="10">
        <v>31260</v>
      </c>
      <c r="W458" s="25">
        <f>Table1[[#This Row],[STAB]]-Table1[[#This Row],[AMOUNT]]</f>
        <v>-19990</v>
      </c>
      <c r="X458" s="10">
        <v>0</v>
      </c>
      <c r="Y458" s="10" t="s">
        <v>388</v>
      </c>
      <c r="Z458" s="10" t="s">
        <v>963</v>
      </c>
      <c r="AA458" s="10" t="s">
        <v>113</v>
      </c>
      <c r="AB458" s="36" t="s">
        <v>375</v>
      </c>
      <c r="AC458" s="10"/>
      <c r="AD458" s="9" t="s">
        <v>1900</v>
      </c>
      <c r="AE458" s="10" t="s">
        <v>1924</v>
      </c>
      <c r="AF458" s="10" t="s">
        <v>687</v>
      </c>
      <c r="AG458" s="10" t="s">
        <v>53</v>
      </c>
      <c r="AH458" s="10" t="s">
        <v>83</v>
      </c>
      <c r="AI458" s="10" t="s">
        <v>728</v>
      </c>
      <c r="AJ458" s="10">
        <v>802349062</v>
      </c>
      <c r="AK458" s="10" t="s">
        <v>104</v>
      </c>
      <c r="AL458" s="10"/>
      <c r="AM458" s="10"/>
      <c r="AN458" s="11" t="s">
        <v>390</v>
      </c>
      <c r="AO458" s="10"/>
      <c r="AP458" s="10"/>
      <c r="AQ458" s="10"/>
      <c r="AR458" s="2">
        <v>46055</v>
      </c>
      <c r="AS458" s="10">
        <v>11410</v>
      </c>
      <c r="AT458" s="10" t="s">
        <v>503</v>
      </c>
      <c r="AU458" s="10" t="s">
        <v>1741</v>
      </c>
      <c r="AV458" s="36" t="s">
        <v>1950</v>
      </c>
      <c r="AW458" s="1">
        <v>46207</v>
      </c>
    </row>
    <row r="459" spans="1:49" x14ac:dyDescent="0.25">
      <c r="A459" s="9" t="s">
        <v>3014</v>
      </c>
      <c r="B459" s="10" t="s">
        <v>3076</v>
      </c>
      <c r="C459" s="10">
        <v>0</v>
      </c>
      <c r="D459" s="10" t="s">
        <v>91</v>
      </c>
      <c r="E459" s="10"/>
      <c r="F459" s="10"/>
      <c r="G459" s="10"/>
      <c r="H459" s="10" t="s">
        <v>52</v>
      </c>
      <c r="I459" s="10">
        <v>16</v>
      </c>
      <c r="J459" s="10" t="s">
        <v>3138</v>
      </c>
      <c r="K459" s="10" t="s">
        <v>42</v>
      </c>
      <c r="L459" s="10">
        <f>Table1[[#This Row],[ENR]]-Table1[[#This Row],[CREDIT]]</f>
        <v>10940.75</v>
      </c>
      <c r="M459" s="36">
        <v>200000</v>
      </c>
      <c r="N459" s="26">
        <v>210940.75</v>
      </c>
      <c r="O459" s="38" t="s">
        <v>43</v>
      </c>
      <c r="P459" s="25">
        <v>210940.75</v>
      </c>
      <c r="Q459" s="25">
        <v>192747.9</v>
      </c>
      <c r="R459" s="10">
        <v>47390</v>
      </c>
      <c r="S459" s="39">
        <v>11890</v>
      </c>
      <c r="T459" s="10" t="s">
        <v>44</v>
      </c>
      <c r="U459" s="10" t="s">
        <v>45</v>
      </c>
      <c r="V459" s="10">
        <v>0</v>
      </c>
      <c r="W459" s="25">
        <f>Table1[[#This Row],[STAB]]-Table1[[#This Row],[AMOUNT]]</f>
        <v>11890</v>
      </c>
      <c r="X459" s="10">
        <v>0</v>
      </c>
      <c r="Y459" s="10" t="s">
        <v>79</v>
      </c>
      <c r="Z459" s="10">
        <v>0</v>
      </c>
      <c r="AA459" s="10" t="s">
        <v>113</v>
      </c>
      <c r="AB459" s="41" t="s">
        <v>131</v>
      </c>
      <c r="AC459" s="10"/>
      <c r="AD459" s="9" t="s">
        <v>3199</v>
      </c>
      <c r="AE459" s="10" t="s">
        <v>3255</v>
      </c>
      <c r="AF459" s="10" t="s">
        <v>498</v>
      </c>
      <c r="AG459" s="10" t="s">
        <v>53</v>
      </c>
      <c r="AH459" s="10" t="s">
        <v>90</v>
      </c>
      <c r="AI459" s="10" t="s">
        <v>162</v>
      </c>
      <c r="AJ459" s="10">
        <v>801772794</v>
      </c>
      <c r="AK459" s="10" t="s">
        <v>361</v>
      </c>
      <c r="AL459" s="10"/>
      <c r="AM459" s="10"/>
      <c r="AN459" s="11" t="s">
        <v>390</v>
      </c>
      <c r="AO459" s="10" t="s">
        <v>392</v>
      </c>
      <c r="AP459" s="10" t="s">
        <v>5002</v>
      </c>
      <c r="AQ459" s="10" t="s">
        <v>4993</v>
      </c>
      <c r="AR459" s="2">
        <v>46133</v>
      </c>
      <c r="AS459" s="10">
        <v>213391.7</v>
      </c>
      <c r="AT459" s="10" t="s">
        <v>1931</v>
      </c>
      <c r="AU459" s="10" t="s">
        <v>3266</v>
      </c>
      <c r="AV459" s="36" t="s">
        <v>3318</v>
      </c>
      <c r="AW459" s="1">
        <v>46207</v>
      </c>
    </row>
    <row r="460" spans="1:49" x14ac:dyDescent="0.25">
      <c r="A460" s="9" t="s">
        <v>4290</v>
      </c>
      <c r="B460" s="10" t="s">
        <v>4333</v>
      </c>
      <c r="C460" s="10">
        <v>0</v>
      </c>
      <c r="D460" s="10" t="s">
        <v>91</v>
      </c>
      <c r="E460" s="10"/>
      <c r="F460" s="10"/>
      <c r="G460" s="10"/>
      <c r="H460" s="10" t="s">
        <v>52</v>
      </c>
      <c r="I460" s="10">
        <v>16</v>
      </c>
      <c r="J460" s="10" t="s">
        <v>4376</v>
      </c>
      <c r="K460" s="10" t="s">
        <v>42</v>
      </c>
      <c r="L460" s="10">
        <f>Table1[[#This Row],[ENR]]-Table1[[#This Row],[CREDIT]]</f>
        <v>9728.0400000000081</v>
      </c>
      <c r="M460" s="36">
        <v>200000</v>
      </c>
      <c r="N460" s="26">
        <v>209728.04</v>
      </c>
      <c r="O460" s="38" t="s">
        <v>43</v>
      </c>
      <c r="P460" s="25">
        <v>209728.04</v>
      </c>
      <c r="Q460" s="25">
        <v>188746.06</v>
      </c>
      <c r="R460" s="10">
        <v>41490</v>
      </c>
      <c r="S460" s="39">
        <v>12500</v>
      </c>
      <c r="T460" s="10" t="s">
        <v>57</v>
      </c>
      <c r="U460" s="10" t="s">
        <v>13</v>
      </c>
      <c r="V460" s="10">
        <v>41490</v>
      </c>
      <c r="W460" s="25">
        <f>Table1[[#This Row],[STAB]]-Table1[[#This Row],[AMOUNT]]</f>
        <v>-28990</v>
      </c>
      <c r="X460" s="10" t="s">
        <v>4923</v>
      </c>
      <c r="Y460" s="10" t="s">
        <v>402</v>
      </c>
      <c r="Z460" s="10" t="s">
        <v>403</v>
      </c>
      <c r="AA460" s="10" t="s">
        <v>113</v>
      </c>
      <c r="AB460" s="36" t="s">
        <v>133</v>
      </c>
      <c r="AC460" s="10"/>
      <c r="AD460" s="9" t="s">
        <v>4419</v>
      </c>
      <c r="AE460" s="10" t="s">
        <v>4462</v>
      </c>
      <c r="AF460" s="10" t="s">
        <v>272</v>
      </c>
      <c r="AG460" s="10" t="s">
        <v>54</v>
      </c>
      <c r="AH460" s="10" t="s">
        <v>357</v>
      </c>
      <c r="AI460" s="10" t="s">
        <v>1960</v>
      </c>
      <c r="AJ460" s="10">
        <v>801264672</v>
      </c>
      <c r="AK460" s="10" t="s">
        <v>1959</v>
      </c>
      <c r="AL460" s="10"/>
      <c r="AM460" s="10"/>
      <c r="AN460" s="11" t="s">
        <v>390</v>
      </c>
      <c r="AO460" s="10"/>
      <c r="AP460" s="10"/>
      <c r="AQ460" s="10"/>
      <c r="AR460" s="2">
        <v>45640</v>
      </c>
      <c r="AS460" s="10">
        <v>11000</v>
      </c>
      <c r="AT460" s="10" t="s">
        <v>503</v>
      </c>
      <c r="AU460" s="10" t="s">
        <v>4485</v>
      </c>
      <c r="AV460" s="36" t="s">
        <v>4503</v>
      </c>
      <c r="AW460" s="1">
        <v>46207</v>
      </c>
    </row>
    <row r="461" spans="1:49" x14ac:dyDescent="0.25">
      <c r="A461" s="9" t="s">
        <v>3023</v>
      </c>
      <c r="B461" s="10" t="s">
        <v>3085</v>
      </c>
      <c r="C461" s="10">
        <v>0</v>
      </c>
      <c r="D461" s="10" t="s">
        <v>91</v>
      </c>
      <c r="E461" s="10">
        <v>1</v>
      </c>
      <c r="F461" s="10"/>
      <c r="G461" s="10"/>
      <c r="H461" s="10" t="s">
        <v>84</v>
      </c>
      <c r="I461" s="10">
        <v>16</v>
      </c>
      <c r="J461" s="10" t="s">
        <v>3147</v>
      </c>
      <c r="K461" s="10" t="s">
        <v>244</v>
      </c>
      <c r="L461" s="10">
        <f>Table1[[#This Row],[ENR]]-Table1[[#This Row],[CREDIT]]</f>
        <v>-190503.26</v>
      </c>
      <c r="M461" s="36">
        <v>400000</v>
      </c>
      <c r="N461" s="26">
        <v>209496.74</v>
      </c>
      <c r="O461" s="38" t="s">
        <v>43</v>
      </c>
      <c r="P461" s="25">
        <v>209496.74</v>
      </c>
      <c r="Q461" s="25">
        <v>193874.03</v>
      </c>
      <c r="R461" s="10">
        <v>36470</v>
      </c>
      <c r="S461" s="39">
        <v>17940</v>
      </c>
      <c r="T461" s="10" t="s">
        <v>57</v>
      </c>
      <c r="U461" s="10" t="s">
        <v>14</v>
      </c>
      <c r="V461" s="25">
        <v>18000</v>
      </c>
      <c r="W461" s="25">
        <f>Table1[[#This Row],[STAB]]-Table1[[#This Row],[AMOUNT]]</f>
        <v>-60</v>
      </c>
      <c r="X461" s="10" t="s">
        <v>4931</v>
      </c>
      <c r="Y461" s="10" t="s">
        <v>402</v>
      </c>
      <c r="Z461" s="10" t="s">
        <v>1968</v>
      </c>
      <c r="AA461" s="10" t="s">
        <v>113</v>
      </c>
      <c r="AB461" s="36" t="s">
        <v>132</v>
      </c>
      <c r="AC461" s="10"/>
      <c r="AD461" s="9" t="s">
        <v>3208</v>
      </c>
      <c r="AE461" s="10" t="s">
        <v>3262</v>
      </c>
      <c r="AF461" s="10" t="s">
        <v>273</v>
      </c>
      <c r="AG461" s="10" t="s">
        <v>323</v>
      </c>
      <c r="AH461" s="10" t="s">
        <v>4528</v>
      </c>
      <c r="AI461" s="10" t="s">
        <v>363</v>
      </c>
      <c r="AJ461" s="10">
        <v>802913252</v>
      </c>
      <c r="AK461" s="10" t="s">
        <v>104</v>
      </c>
      <c r="AL461" s="10"/>
      <c r="AM461" s="10"/>
      <c r="AN461" s="11" t="s">
        <v>390</v>
      </c>
      <c r="AO461" s="10"/>
      <c r="AP461" s="10"/>
      <c r="AQ461" s="10"/>
      <c r="AR461" s="2">
        <v>46188</v>
      </c>
      <c r="AS461" s="10">
        <v>12000</v>
      </c>
      <c r="AT461" s="10" t="s">
        <v>503</v>
      </c>
      <c r="AU461" s="10" t="s">
        <v>3266</v>
      </c>
      <c r="AV461" s="36" t="s">
        <v>3327</v>
      </c>
      <c r="AW461" s="1">
        <v>46207</v>
      </c>
    </row>
    <row r="462" spans="1:49" x14ac:dyDescent="0.25">
      <c r="A462" s="9" t="s">
        <v>3015</v>
      </c>
      <c r="B462" s="10" t="s">
        <v>3077</v>
      </c>
      <c r="C462" s="10">
        <v>0</v>
      </c>
      <c r="D462" s="10" t="s">
        <v>91</v>
      </c>
      <c r="E462" s="10"/>
      <c r="F462" s="10"/>
      <c r="G462" s="10"/>
      <c r="H462" s="10" t="s">
        <v>84</v>
      </c>
      <c r="I462" s="10">
        <v>16</v>
      </c>
      <c r="J462" s="10" t="s">
        <v>3139</v>
      </c>
      <c r="K462" s="10" t="s">
        <v>460</v>
      </c>
      <c r="L462" s="10">
        <f>Table1[[#This Row],[ENR]]-Table1[[#This Row],[CREDIT]]</f>
        <v>-123446.94</v>
      </c>
      <c r="M462" s="36">
        <v>300000</v>
      </c>
      <c r="N462" s="26">
        <v>176553.06</v>
      </c>
      <c r="O462" s="38" t="s">
        <v>43</v>
      </c>
      <c r="P462" s="25">
        <v>176553.06</v>
      </c>
      <c r="Q462" s="25">
        <v>163131.39000000001</v>
      </c>
      <c r="R462" s="10">
        <v>31080</v>
      </c>
      <c r="S462" s="39">
        <v>15480</v>
      </c>
      <c r="T462" s="10" t="s">
        <v>57</v>
      </c>
      <c r="U462" s="10" t="s">
        <v>14</v>
      </c>
      <c r="V462" s="10">
        <v>25670</v>
      </c>
      <c r="W462" s="25">
        <f>Table1[[#This Row],[STAB]]-Table1[[#This Row],[AMOUNT]]</f>
        <v>-10190</v>
      </c>
      <c r="X462" s="10" t="s">
        <v>4937</v>
      </c>
      <c r="Y462" s="10" t="s">
        <v>402</v>
      </c>
      <c r="Z462" s="10" t="s">
        <v>403</v>
      </c>
      <c r="AA462" s="10" t="s">
        <v>113</v>
      </c>
      <c r="AB462" s="36" t="s">
        <v>133</v>
      </c>
      <c r="AC462" s="10"/>
      <c r="AD462" s="9" t="s">
        <v>3200</v>
      </c>
      <c r="AE462" s="10" t="s">
        <v>3256</v>
      </c>
      <c r="AF462" s="10" t="s">
        <v>287</v>
      </c>
      <c r="AG462" s="10" t="s">
        <v>324</v>
      </c>
      <c r="AH462" s="10" t="s">
        <v>56</v>
      </c>
      <c r="AI462" s="10" t="s">
        <v>370</v>
      </c>
      <c r="AJ462" s="10">
        <v>801448854</v>
      </c>
      <c r="AK462" s="10" t="s">
        <v>105</v>
      </c>
      <c r="AL462" s="10"/>
      <c r="AM462" s="10"/>
      <c r="AN462" s="11" t="s">
        <v>390</v>
      </c>
      <c r="AO462" s="10"/>
      <c r="AP462" s="10"/>
      <c r="AQ462" s="10"/>
      <c r="AR462" s="2">
        <v>45869</v>
      </c>
      <c r="AS462" s="10">
        <v>11000</v>
      </c>
      <c r="AT462" s="10" t="s">
        <v>1931</v>
      </c>
      <c r="AU462" s="10" t="s">
        <v>3266</v>
      </c>
      <c r="AV462" s="36" t="s">
        <v>3319</v>
      </c>
      <c r="AW462" s="1">
        <v>46207</v>
      </c>
    </row>
    <row r="463" spans="1:49" x14ac:dyDescent="0.25">
      <c r="A463" s="9" t="s">
        <v>1824</v>
      </c>
      <c r="B463" s="10" t="s">
        <v>1848</v>
      </c>
      <c r="C463" s="10">
        <v>0</v>
      </c>
      <c r="D463" s="10" t="s">
        <v>91</v>
      </c>
      <c r="E463" s="10"/>
      <c r="F463" s="10"/>
      <c r="G463" s="10"/>
      <c r="H463" s="10" t="s">
        <v>52</v>
      </c>
      <c r="I463" s="10">
        <v>16</v>
      </c>
      <c r="J463" s="10" t="s">
        <v>1872</v>
      </c>
      <c r="K463" s="10" t="s">
        <v>42</v>
      </c>
      <c r="L463" s="10">
        <f>Table1[[#This Row],[ENR]]-Table1[[#This Row],[CREDIT]]</f>
        <v>22693.109999999986</v>
      </c>
      <c r="M463" s="36">
        <v>150000</v>
      </c>
      <c r="N463" s="26">
        <v>172693.11</v>
      </c>
      <c r="O463" s="38" t="s">
        <v>43</v>
      </c>
      <c r="P463" s="25">
        <v>172693.11</v>
      </c>
      <c r="Q463" s="25">
        <v>149978.41</v>
      </c>
      <c r="R463" s="10">
        <v>58420</v>
      </c>
      <c r="S463" s="39">
        <v>27439.75</v>
      </c>
      <c r="T463" s="10" t="s">
        <v>44</v>
      </c>
      <c r="U463" s="10" t="s">
        <v>45</v>
      </c>
      <c r="V463" s="10">
        <v>0</v>
      </c>
      <c r="W463" s="25">
        <f>Table1[[#This Row],[STAB]]-Table1[[#This Row],[AMOUNT]]</f>
        <v>27439.75</v>
      </c>
      <c r="X463" s="10">
        <v>0</v>
      </c>
      <c r="Y463" s="10" t="s">
        <v>79</v>
      </c>
      <c r="Z463" s="10">
        <v>0</v>
      </c>
      <c r="AA463" s="10" t="s">
        <v>113</v>
      </c>
      <c r="AB463" s="36" t="s">
        <v>374</v>
      </c>
      <c r="AC463" s="10"/>
      <c r="AD463" s="9" t="s">
        <v>1896</v>
      </c>
      <c r="AE463" s="10" t="s">
        <v>1920</v>
      </c>
      <c r="AF463" s="10" t="s">
        <v>687</v>
      </c>
      <c r="AG463" s="10" t="s">
        <v>53</v>
      </c>
      <c r="AH463" s="10" t="s">
        <v>83</v>
      </c>
      <c r="AI463" s="10" t="s">
        <v>728</v>
      </c>
      <c r="AJ463" s="10">
        <v>802349062</v>
      </c>
      <c r="AK463" s="10" t="s">
        <v>104</v>
      </c>
      <c r="AL463" s="10"/>
      <c r="AM463" s="10"/>
      <c r="AN463" s="11" t="s">
        <v>390</v>
      </c>
      <c r="AO463" s="10" t="s">
        <v>392</v>
      </c>
      <c r="AP463" s="10" t="s">
        <v>4587</v>
      </c>
      <c r="AQ463" s="10" t="s">
        <v>4566</v>
      </c>
      <c r="AR463" s="2">
        <v>45718</v>
      </c>
      <c r="AS463" s="10">
        <v>149645.22</v>
      </c>
      <c r="AT463" s="10" t="s">
        <v>832</v>
      </c>
      <c r="AU463" s="10" t="s">
        <v>1741</v>
      </c>
      <c r="AV463" s="36" t="s">
        <v>1946</v>
      </c>
      <c r="AW463" s="1">
        <v>46207</v>
      </c>
    </row>
    <row r="464" spans="1:49" x14ac:dyDescent="0.25">
      <c r="A464" s="9" t="s">
        <v>3004</v>
      </c>
      <c r="B464" s="10" t="s">
        <v>3066</v>
      </c>
      <c r="C464" s="10">
        <v>0</v>
      </c>
      <c r="D464" s="10" t="s">
        <v>91</v>
      </c>
      <c r="E464" s="10"/>
      <c r="F464" s="10"/>
      <c r="G464" s="10"/>
      <c r="H464" s="10" t="s">
        <v>52</v>
      </c>
      <c r="I464" s="10">
        <v>16</v>
      </c>
      <c r="J464" s="10" t="s">
        <v>3128</v>
      </c>
      <c r="K464" s="10" t="s">
        <v>42</v>
      </c>
      <c r="L464" s="10">
        <f>Table1[[#This Row],[ENR]]-Table1[[#This Row],[CREDIT]]</f>
        <v>19300.619999999995</v>
      </c>
      <c r="M464" s="36">
        <v>150000</v>
      </c>
      <c r="N464" s="26">
        <v>169300.62</v>
      </c>
      <c r="O464" s="38">
        <v>2268.69</v>
      </c>
      <c r="P464" s="25">
        <v>167031.93</v>
      </c>
      <c r="Q464" s="25">
        <v>147692.35</v>
      </c>
      <c r="R464" s="10">
        <v>53940</v>
      </c>
      <c r="S464" s="39">
        <v>10410</v>
      </c>
      <c r="T464" s="10" t="s">
        <v>57</v>
      </c>
      <c r="U464" s="10" t="s">
        <v>14</v>
      </c>
      <c r="V464" s="25">
        <v>10420</v>
      </c>
      <c r="W464" s="25">
        <f>Table1[[#This Row],[STAB]]-Table1[[#This Row],[AMOUNT]]</f>
        <v>-10</v>
      </c>
      <c r="X464" s="10" t="s">
        <v>4936</v>
      </c>
      <c r="Y464" s="10" t="s">
        <v>402</v>
      </c>
      <c r="Z464" s="10" t="s">
        <v>403</v>
      </c>
      <c r="AA464" s="10" t="s">
        <v>113</v>
      </c>
      <c r="AB464" s="10" t="s">
        <v>375</v>
      </c>
      <c r="AC464" s="10"/>
      <c r="AD464" s="9" t="s">
        <v>3190</v>
      </c>
      <c r="AE464" s="10" t="s">
        <v>3249</v>
      </c>
      <c r="AF464" s="10" t="s">
        <v>687</v>
      </c>
      <c r="AG464" s="10" t="s">
        <v>53</v>
      </c>
      <c r="AH464" s="10" t="s">
        <v>83</v>
      </c>
      <c r="AI464" s="10" t="s">
        <v>728</v>
      </c>
      <c r="AJ464" s="10">
        <v>802349062</v>
      </c>
      <c r="AK464" s="10" t="s">
        <v>104</v>
      </c>
      <c r="AL464" s="10"/>
      <c r="AM464" s="10"/>
      <c r="AN464" s="11" t="s">
        <v>390</v>
      </c>
      <c r="AO464" s="10"/>
      <c r="AP464" s="10"/>
      <c r="AQ464" s="10"/>
      <c r="AR464" s="2">
        <v>46004</v>
      </c>
      <c r="AS464" s="10">
        <v>16000</v>
      </c>
      <c r="AT464" s="10" t="s">
        <v>3264</v>
      </c>
      <c r="AU464" s="10" t="s">
        <v>3266</v>
      </c>
      <c r="AV464" s="36" t="s">
        <v>3308</v>
      </c>
      <c r="AW464" s="1">
        <v>46207</v>
      </c>
    </row>
    <row r="465" spans="1:49" x14ac:dyDescent="0.25">
      <c r="A465" s="9" t="s">
        <v>2986</v>
      </c>
      <c r="B465" s="10" t="s">
        <v>3048</v>
      </c>
      <c r="C465" s="10">
        <v>0</v>
      </c>
      <c r="D465" s="10" t="s">
        <v>91</v>
      </c>
      <c r="E465" s="10"/>
      <c r="F465" s="10"/>
      <c r="G465" s="10"/>
      <c r="H465" s="10" t="s">
        <v>52</v>
      </c>
      <c r="I465" s="10">
        <v>16</v>
      </c>
      <c r="J465" s="10" t="s">
        <v>3110</v>
      </c>
      <c r="K465" s="10" t="s">
        <v>42</v>
      </c>
      <c r="L465" s="10">
        <f>Table1[[#This Row],[ENR]]-Table1[[#This Row],[CREDIT]]</f>
        <v>14444.910000000003</v>
      </c>
      <c r="M465" s="36">
        <v>150000</v>
      </c>
      <c r="N465" s="26">
        <v>164444.91</v>
      </c>
      <c r="O465" s="38" t="s">
        <v>43</v>
      </c>
      <c r="P465" s="25">
        <v>164444.91</v>
      </c>
      <c r="Q465" s="25">
        <v>149179.72</v>
      </c>
      <c r="R465" s="10">
        <v>38200</v>
      </c>
      <c r="S465" s="39">
        <v>14270</v>
      </c>
      <c r="T465" s="10" t="s">
        <v>57</v>
      </c>
      <c r="U465" s="10" t="s">
        <v>14</v>
      </c>
      <c r="V465" s="10">
        <v>14270</v>
      </c>
      <c r="W465" s="25">
        <f>Table1[[#This Row],[STAB]]-Table1[[#This Row],[AMOUNT]]</f>
        <v>0</v>
      </c>
      <c r="X465" s="10" t="s">
        <v>4937</v>
      </c>
      <c r="Y465" s="10" t="s">
        <v>402</v>
      </c>
      <c r="Z465" s="10" t="s">
        <v>403</v>
      </c>
      <c r="AA465" s="10" t="s">
        <v>113</v>
      </c>
      <c r="AB465" s="36" t="s">
        <v>374</v>
      </c>
      <c r="AC465" s="10"/>
      <c r="AD465" s="9" t="s">
        <v>3172</v>
      </c>
      <c r="AE465" s="10" t="s">
        <v>3233</v>
      </c>
      <c r="AF465" s="10" t="s">
        <v>864</v>
      </c>
      <c r="AG465" s="10" t="s">
        <v>54</v>
      </c>
      <c r="AH465" s="10" t="s">
        <v>1398</v>
      </c>
      <c r="AI465" s="10" t="s">
        <v>162</v>
      </c>
      <c r="AJ465" s="10">
        <v>801772794</v>
      </c>
      <c r="AK465" s="10" t="s">
        <v>361</v>
      </c>
      <c r="AL465" s="10"/>
      <c r="AM465" s="10"/>
      <c r="AN465" s="11" t="s">
        <v>390</v>
      </c>
      <c r="AO465" s="10"/>
      <c r="AP465" s="10"/>
      <c r="AQ465" s="10"/>
      <c r="AR465" s="2">
        <v>45481</v>
      </c>
      <c r="AS465" s="10">
        <v>66000</v>
      </c>
      <c r="AT465" s="10" t="s">
        <v>503</v>
      </c>
      <c r="AU465" s="10" t="s">
        <v>3266</v>
      </c>
      <c r="AV465" s="36" t="s">
        <v>3290</v>
      </c>
      <c r="AW465" s="1">
        <v>46207</v>
      </c>
    </row>
    <row r="466" spans="1:49" x14ac:dyDescent="0.25">
      <c r="A466" s="9" t="s">
        <v>3011</v>
      </c>
      <c r="B466" s="10" t="s">
        <v>3073</v>
      </c>
      <c r="C466" s="10">
        <v>0</v>
      </c>
      <c r="D466" s="10" t="s">
        <v>91</v>
      </c>
      <c r="E466" s="10"/>
      <c r="F466" s="10"/>
      <c r="G466" s="10"/>
      <c r="H466" s="10" t="s">
        <v>52</v>
      </c>
      <c r="I466" s="10">
        <v>16</v>
      </c>
      <c r="J466" s="10" t="s">
        <v>3135</v>
      </c>
      <c r="K466" s="10" t="s">
        <v>42</v>
      </c>
      <c r="L466" s="10">
        <f>Table1[[#This Row],[ENR]]-Table1[[#This Row],[CREDIT]]</f>
        <v>12812.98000000001</v>
      </c>
      <c r="M466" s="36">
        <v>150000</v>
      </c>
      <c r="N466" s="26">
        <v>162812.98000000001</v>
      </c>
      <c r="O466" s="38" t="s">
        <v>43</v>
      </c>
      <c r="P466" s="25">
        <v>162812.98000000001</v>
      </c>
      <c r="Q466" s="25">
        <v>149770.5</v>
      </c>
      <c r="R466" s="10">
        <v>32390</v>
      </c>
      <c r="S466" s="39">
        <v>10720</v>
      </c>
      <c r="T466" s="10" t="s">
        <v>44</v>
      </c>
      <c r="U466" s="10" t="s">
        <v>45</v>
      </c>
      <c r="V466" s="10">
        <v>0</v>
      </c>
      <c r="W466" s="25">
        <f>Table1[[#This Row],[STAB]]-Table1[[#This Row],[AMOUNT]]</f>
        <v>10720</v>
      </c>
      <c r="X466" s="10">
        <v>0</v>
      </c>
      <c r="Y466" s="10" t="s">
        <v>79</v>
      </c>
      <c r="Z466" s="10">
        <v>0</v>
      </c>
      <c r="AA466" s="10" t="s">
        <v>113</v>
      </c>
      <c r="AB466" s="41" t="s">
        <v>376</v>
      </c>
      <c r="AC466" s="10"/>
      <c r="AD466" s="9" t="s">
        <v>3196</v>
      </c>
      <c r="AE466" s="10" t="s">
        <v>3253</v>
      </c>
      <c r="AF466" s="10" t="s">
        <v>272</v>
      </c>
      <c r="AG466" s="10" t="s">
        <v>54</v>
      </c>
      <c r="AH466" s="10" t="s">
        <v>523</v>
      </c>
      <c r="AI466" s="10" t="s">
        <v>371</v>
      </c>
      <c r="AJ466" s="10">
        <v>802835406</v>
      </c>
      <c r="AK466" s="10" t="s">
        <v>362</v>
      </c>
      <c r="AL466" s="10"/>
      <c r="AM466" s="10"/>
      <c r="AN466" s="11" t="s">
        <v>390</v>
      </c>
      <c r="AO466" s="10" t="s">
        <v>398</v>
      </c>
      <c r="AP466" s="10" t="s">
        <v>4988</v>
      </c>
      <c r="AQ466" s="10" t="s">
        <v>4936</v>
      </c>
      <c r="AR466" s="2">
        <v>46146</v>
      </c>
      <c r="AS466" s="10">
        <v>146312.70000000001</v>
      </c>
      <c r="AT466" s="10" t="s">
        <v>1931</v>
      </c>
      <c r="AU466" s="10" t="s">
        <v>3266</v>
      </c>
      <c r="AV466" s="36" t="s">
        <v>3315</v>
      </c>
      <c r="AW466" s="1">
        <v>46207</v>
      </c>
    </row>
    <row r="467" spans="1:49" x14ac:dyDescent="0.25">
      <c r="A467" s="9" t="s">
        <v>2974</v>
      </c>
      <c r="B467" s="10" t="s">
        <v>3036</v>
      </c>
      <c r="C467" s="10">
        <v>0</v>
      </c>
      <c r="D467" s="10" t="s">
        <v>91</v>
      </c>
      <c r="E467" s="10"/>
      <c r="F467" s="10"/>
      <c r="G467" s="10"/>
      <c r="H467" s="10" t="s">
        <v>52</v>
      </c>
      <c r="I467" s="10">
        <v>16</v>
      </c>
      <c r="J467" s="10" t="s">
        <v>3098</v>
      </c>
      <c r="K467" s="10" t="s">
        <v>42</v>
      </c>
      <c r="L467" s="10">
        <f>Table1[[#This Row],[ENR]]-Table1[[#This Row],[CREDIT]]</f>
        <v>10497.470000000001</v>
      </c>
      <c r="M467" s="36">
        <v>150000</v>
      </c>
      <c r="N467" s="26">
        <v>160497.47</v>
      </c>
      <c r="O467" s="38" t="s">
        <v>43</v>
      </c>
      <c r="P467" s="25">
        <v>160497.47</v>
      </c>
      <c r="Q467" s="25">
        <v>137931.5</v>
      </c>
      <c r="R467" s="10">
        <v>43110</v>
      </c>
      <c r="S467" s="39">
        <v>15710</v>
      </c>
      <c r="T467" s="10" t="s">
        <v>57</v>
      </c>
      <c r="U467" s="10" t="s">
        <v>14</v>
      </c>
      <c r="V467" s="25">
        <v>16000</v>
      </c>
      <c r="W467" s="25">
        <f>Table1[[#This Row],[STAB]]-Table1[[#This Row],[AMOUNT]]</f>
        <v>-290</v>
      </c>
      <c r="X467" s="10" t="s">
        <v>4993</v>
      </c>
      <c r="Y467" s="10" t="s">
        <v>402</v>
      </c>
      <c r="Z467" s="10" t="s">
        <v>403</v>
      </c>
      <c r="AA467" s="10" t="s">
        <v>113</v>
      </c>
      <c r="AB467" s="36" t="s">
        <v>131</v>
      </c>
      <c r="AC467" s="10"/>
      <c r="AD467" s="9" t="s">
        <v>3160</v>
      </c>
      <c r="AE467" s="10" t="s">
        <v>3221</v>
      </c>
      <c r="AF467" s="10" t="s">
        <v>278</v>
      </c>
      <c r="AG467" s="10" t="s">
        <v>54</v>
      </c>
      <c r="AH467" s="10" t="s">
        <v>723</v>
      </c>
      <c r="AI467" s="10" t="s">
        <v>369</v>
      </c>
      <c r="AJ467" s="10">
        <v>802823180</v>
      </c>
      <c r="AK467" s="10" t="s">
        <v>105</v>
      </c>
      <c r="AL467" s="10"/>
      <c r="AM467" s="10"/>
      <c r="AN467" s="11" t="s">
        <v>390</v>
      </c>
      <c r="AO467" s="10"/>
      <c r="AP467" s="10"/>
      <c r="AQ467" s="10"/>
      <c r="AR467" s="2">
        <v>45996</v>
      </c>
      <c r="AS467" s="10">
        <v>33000</v>
      </c>
      <c r="AT467" s="10" t="s">
        <v>290</v>
      </c>
      <c r="AU467" s="10" t="s">
        <v>3266</v>
      </c>
      <c r="AV467" s="36" t="s">
        <v>3278</v>
      </c>
      <c r="AW467" s="1">
        <v>46207</v>
      </c>
    </row>
    <row r="468" spans="1:49" x14ac:dyDescent="0.25">
      <c r="A468" s="9" t="s">
        <v>4291</v>
      </c>
      <c r="B468" s="10" t="s">
        <v>4334</v>
      </c>
      <c r="C468" s="10">
        <v>0</v>
      </c>
      <c r="D468" s="10" t="s">
        <v>91</v>
      </c>
      <c r="E468" s="10"/>
      <c r="F468" s="10"/>
      <c r="G468" s="10"/>
      <c r="H468" s="10" t="s">
        <v>52</v>
      </c>
      <c r="I468" s="10">
        <v>16</v>
      </c>
      <c r="J468" s="10" t="s">
        <v>4377</v>
      </c>
      <c r="K468" s="10" t="s">
        <v>42</v>
      </c>
      <c r="L468" s="10">
        <f>Table1[[#This Row],[ENR]]-Table1[[#This Row],[CREDIT]]</f>
        <v>-21105.950000000012</v>
      </c>
      <c r="M468" s="36">
        <v>180000</v>
      </c>
      <c r="N468" s="26">
        <v>158894.04999999999</v>
      </c>
      <c r="O468" s="38">
        <v>15689.13</v>
      </c>
      <c r="P468" s="25">
        <v>143204.92000000001</v>
      </c>
      <c r="Q468" s="25">
        <v>133471.32</v>
      </c>
      <c r="R468" s="10">
        <v>42590</v>
      </c>
      <c r="S468" s="39">
        <v>21260</v>
      </c>
      <c r="T468" s="10" t="s">
        <v>44</v>
      </c>
      <c r="U468" s="10" t="s">
        <v>45</v>
      </c>
      <c r="V468" s="10">
        <v>0</v>
      </c>
      <c r="W468" s="25">
        <f>Table1[[#This Row],[STAB]]-Table1[[#This Row],[AMOUNT]]</f>
        <v>21260</v>
      </c>
      <c r="X468" s="10">
        <v>0</v>
      </c>
      <c r="Y468" s="10" t="s">
        <v>79</v>
      </c>
      <c r="Z468" s="10">
        <v>0</v>
      </c>
      <c r="AA468" s="10" t="s">
        <v>113</v>
      </c>
      <c r="AB468" s="36" t="s">
        <v>133</v>
      </c>
      <c r="AC468" s="10"/>
      <c r="AD468" s="9" t="s">
        <v>4420</v>
      </c>
      <c r="AE468" s="10" t="s">
        <v>4463</v>
      </c>
      <c r="AF468" s="10" t="s">
        <v>146</v>
      </c>
      <c r="AG468" s="10" t="s">
        <v>54</v>
      </c>
      <c r="AH468" s="10" t="s">
        <v>4529</v>
      </c>
      <c r="AI468" s="10" t="s">
        <v>365</v>
      </c>
      <c r="AJ468" s="10">
        <v>802824019</v>
      </c>
      <c r="AK468" s="10" t="s">
        <v>360</v>
      </c>
      <c r="AL468" s="10"/>
      <c r="AM468" s="10"/>
      <c r="AN468" s="11" t="s">
        <v>46</v>
      </c>
      <c r="AO468" s="10"/>
      <c r="AP468" s="10"/>
      <c r="AQ468" s="10"/>
      <c r="AR468" s="2">
        <v>46146</v>
      </c>
      <c r="AS468" s="10">
        <v>19806.759999999998</v>
      </c>
      <c r="AT468" s="10" t="s">
        <v>48</v>
      </c>
      <c r="AU468" s="10" t="s">
        <v>4485</v>
      </c>
      <c r="AV468" s="36" t="s">
        <v>4504</v>
      </c>
      <c r="AW468" s="1">
        <v>46207</v>
      </c>
    </row>
    <row r="469" spans="1:49" x14ac:dyDescent="0.25">
      <c r="A469" s="9" t="s">
        <v>1826</v>
      </c>
      <c r="B469" s="10" t="s">
        <v>1850</v>
      </c>
      <c r="C469" s="10">
        <v>0</v>
      </c>
      <c r="D469" s="10" t="s">
        <v>91</v>
      </c>
      <c r="E469" s="10"/>
      <c r="F469" s="10" t="s">
        <v>112</v>
      </c>
      <c r="G469" s="10" t="s">
        <v>4958</v>
      </c>
      <c r="H469" s="10" t="s">
        <v>84</v>
      </c>
      <c r="I469" s="10">
        <v>16</v>
      </c>
      <c r="J469" s="10" t="s">
        <v>1874</v>
      </c>
      <c r="K469" s="10" t="s">
        <v>42</v>
      </c>
      <c r="L469" s="10">
        <f>Table1[[#This Row],[ENR]]-Table1[[#This Row],[CREDIT]]</f>
        <v>18801.109999999986</v>
      </c>
      <c r="M469" s="36">
        <v>140000</v>
      </c>
      <c r="N469" s="26">
        <v>158801.10999999999</v>
      </c>
      <c r="O469" s="38" t="s">
        <v>43</v>
      </c>
      <c r="P469" s="25">
        <v>158801.10999999999</v>
      </c>
      <c r="Q469" s="25">
        <v>139961.42000000001</v>
      </c>
      <c r="R469" s="10">
        <v>56010</v>
      </c>
      <c r="S469" s="39">
        <v>33920</v>
      </c>
      <c r="T469" s="10" t="s">
        <v>57</v>
      </c>
      <c r="U469" s="10" t="s">
        <v>14</v>
      </c>
      <c r="V469" s="25">
        <v>33920</v>
      </c>
      <c r="W469" s="25">
        <f>Table1[[#This Row],[STAB]]-Table1[[#This Row],[AMOUNT]]</f>
        <v>0</v>
      </c>
      <c r="X469" s="10" t="s">
        <v>2004</v>
      </c>
      <c r="Y469" s="10" t="s">
        <v>402</v>
      </c>
      <c r="Z469" s="10" t="s">
        <v>403</v>
      </c>
      <c r="AA469" s="10" t="s">
        <v>113</v>
      </c>
      <c r="AB469" s="36" t="s">
        <v>376</v>
      </c>
      <c r="AC469" s="10"/>
      <c r="AD469" s="9" t="s">
        <v>1898</v>
      </c>
      <c r="AE469" s="10" t="s">
        <v>1922</v>
      </c>
      <c r="AF469" s="10" t="s">
        <v>275</v>
      </c>
      <c r="AG469" s="10" t="s">
        <v>80</v>
      </c>
      <c r="AH469" s="10" t="s">
        <v>115</v>
      </c>
      <c r="AI469" s="10" t="s">
        <v>368</v>
      </c>
      <c r="AJ469" s="10">
        <v>802823175</v>
      </c>
      <c r="AK469" s="10" t="s">
        <v>105</v>
      </c>
      <c r="AL469" s="10"/>
      <c r="AM469" s="10"/>
      <c r="AN469" s="11" t="s">
        <v>390</v>
      </c>
      <c r="AO469" s="10"/>
      <c r="AP469" s="10"/>
      <c r="AQ469" s="10"/>
      <c r="AR469" s="2">
        <v>46087</v>
      </c>
      <c r="AS469" s="10">
        <v>250</v>
      </c>
      <c r="AT469" s="10" t="s">
        <v>503</v>
      </c>
      <c r="AU469" s="10" t="s">
        <v>1741</v>
      </c>
      <c r="AV469" s="36" t="s">
        <v>1948</v>
      </c>
      <c r="AW469" s="1">
        <v>46207</v>
      </c>
    </row>
    <row r="470" spans="1:49" x14ac:dyDescent="0.25">
      <c r="A470" s="9" t="s">
        <v>2978</v>
      </c>
      <c r="B470" s="10" t="s">
        <v>3040</v>
      </c>
      <c r="C470" s="10">
        <v>0</v>
      </c>
      <c r="D470" s="10" t="s">
        <v>91</v>
      </c>
      <c r="E470" s="10"/>
      <c r="F470" s="10"/>
      <c r="G470" s="10"/>
      <c r="H470" s="10" t="s">
        <v>84</v>
      </c>
      <c r="I470" s="10">
        <v>16</v>
      </c>
      <c r="J470" s="10" t="s">
        <v>3102</v>
      </c>
      <c r="K470" s="10" t="s">
        <v>42</v>
      </c>
      <c r="L470" s="10">
        <f>Table1[[#This Row],[ENR]]-Table1[[#This Row],[CREDIT]]</f>
        <v>6953.8500000000058</v>
      </c>
      <c r="M470" s="36">
        <v>150000</v>
      </c>
      <c r="N470" s="26">
        <v>156953.85</v>
      </c>
      <c r="O470" s="38" t="s">
        <v>43</v>
      </c>
      <c r="P470" s="25">
        <v>156953.85</v>
      </c>
      <c r="Q470" s="25">
        <v>148228.46</v>
      </c>
      <c r="R470" s="10">
        <v>38800</v>
      </c>
      <c r="S470" s="39">
        <v>22990</v>
      </c>
      <c r="T470" s="10" t="s">
        <v>44</v>
      </c>
      <c r="U470" s="10" t="s">
        <v>45</v>
      </c>
      <c r="V470" s="10">
        <v>0</v>
      </c>
      <c r="W470" s="25">
        <f>Table1[[#This Row],[STAB]]-Table1[[#This Row],[AMOUNT]]</f>
        <v>22990</v>
      </c>
      <c r="X470" s="10">
        <v>0</v>
      </c>
      <c r="Y470" s="10" t="s">
        <v>79</v>
      </c>
      <c r="Z470" s="10">
        <v>0</v>
      </c>
      <c r="AA470" s="10" t="s">
        <v>113</v>
      </c>
      <c r="AB470" s="36" t="s">
        <v>375</v>
      </c>
      <c r="AC470" s="10"/>
      <c r="AD470" s="9" t="s">
        <v>3164</v>
      </c>
      <c r="AE470" s="10" t="s">
        <v>3225</v>
      </c>
      <c r="AF470" s="10" t="s">
        <v>283</v>
      </c>
      <c r="AG470" s="10" t="s">
        <v>53</v>
      </c>
      <c r="AH470" s="10" t="s">
        <v>5582</v>
      </c>
      <c r="AI470" s="10" t="s">
        <v>2962</v>
      </c>
      <c r="AJ470" s="10">
        <v>801601134</v>
      </c>
      <c r="AK470" s="10" t="s">
        <v>104</v>
      </c>
      <c r="AL470" s="10"/>
      <c r="AM470" s="10"/>
      <c r="AN470" s="11" t="s">
        <v>390</v>
      </c>
      <c r="AO470" s="10" t="s">
        <v>398</v>
      </c>
      <c r="AP470" s="10" t="s">
        <v>5603</v>
      </c>
      <c r="AQ470" s="10" t="s">
        <v>4931</v>
      </c>
      <c r="AR470" s="2">
        <v>46097</v>
      </c>
      <c r="AS470" s="10">
        <v>9020</v>
      </c>
      <c r="AT470" s="10" t="s">
        <v>503</v>
      </c>
      <c r="AU470" s="10" t="s">
        <v>3266</v>
      </c>
      <c r="AV470" s="36" t="s">
        <v>3282</v>
      </c>
      <c r="AW470" s="1">
        <v>46207</v>
      </c>
    </row>
    <row r="471" spans="1:49" x14ac:dyDescent="0.25">
      <c r="A471" s="9" t="s">
        <v>2991</v>
      </c>
      <c r="B471" s="10" t="s">
        <v>3053</v>
      </c>
      <c r="C471" s="10">
        <v>0</v>
      </c>
      <c r="D471" s="10" t="s">
        <v>91</v>
      </c>
      <c r="E471" s="10"/>
      <c r="F471" s="10"/>
      <c r="G471" s="10"/>
      <c r="H471" s="10" t="s">
        <v>84</v>
      </c>
      <c r="I471" s="10">
        <v>16</v>
      </c>
      <c r="J471" s="10" t="s">
        <v>3115</v>
      </c>
      <c r="K471" s="10" t="s">
        <v>42</v>
      </c>
      <c r="L471" s="10">
        <f>Table1[[#This Row],[ENR]]-Table1[[#This Row],[CREDIT]]</f>
        <v>9963.8500000000058</v>
      </c>
      <c r="M471" s="36">
        <v>140000</v>
      </c>
      <c r="N471" s="26">
        <v>149963.85</v>
      </c>
      <c r="O471" s="38" t="s">
        <v>43</v>
      </c>
      <c r="P471" s="25">
        <v>149963.85</v>
      </c>
      <c r="Q471" s="25">
        <v>134371.4</v>
      </c>
      <c r="R471" s="10">
        <v>38360</v>
      </c>
      <c r="S471" s="39">
        <v>23080</v>
      </c>
      <c r="T471" s="10" t="s">
        <v>44</v>
      </c>
      <c r="U471" s="10" t="s">
        <v>45</v>
      </c>
      <c r="V471" s="10">
        <v>0</v>
      </c>
      <c r="W471" s="25">
        <f>Table1[[#This Row],[STAB]]-Table1[[#This Row],[AMOUNT]]</f>
        <v>23080</v>
      </c>
      <c r="X471" s="10">
        <v>0</v>
      </c>
      <c r="Y471" s="10" t="s">
        <v>79</v>
      </c>
      <c r="Z471" s="10" t="s">
        <v>403</v>
      </c>
      <c r="AA471" s="10" t="s">
        <v>113</v>
      </c>
      <c r="AB471" s="41" t="s">
        <v>376</v>
      </c>
      <c r="AC471" s="10"/>
      <c r="AD471" s="9" t="s">
        <v>3177</v>
      </c>
      <c r="AE471" s="10" t="s">
        <v>3238</v>
      </c>
      <c r="AF471" s="10" t="s">
        <v>1319</v>
      </c>
      <c r="AG471" s="10" t="s">
        <v>54</v>
      </c>
      <c r="AH471" s="10" t="s">
        <v>93</v>
      </c>
      <c r="AI471" s="10" t="s">
        <v>364</v>
      </c>
      <c r="AJ471" s="10">
        <v>802663344</v>
      </c>
      <c r="AK471" s="10" t="s">
        <v>105</v>
      </c>
      <c r="AL471" s="10"/>
      <c r="AM471" s="10"/>
      <c r="AN471" s="11" t="s">
        <v>390</v>
      </c>
      <c r="AO471" s="10" t="s">
        <v>392</v>
      </c>
      <c r="AP471" s="10" t="s">
        <v>4638</v>
      </c>
      <c r="AQ471" s="10" t="s">
        <v>4601</v>
      </c>
      <c r="AR471" s="2">
        <v>45885</v>
      </c>
      <c r="AS471" s="10">
        <v>2590</v>
      </c>
      <c r="AT471" s="10" t="s">
        <v>503</v>
      </c>
      <c r="AU471" s="10" t="s">
        <v>3266</v>
      </c>
      <c r="AV471" s="36" t="s">
        <v>3295</v>
      </c>
      <c r="AW471" s="1">
        <v>46207</v>
      </c>
    </row>
    <row r="472" spans="1:49" x14ac:dyDescent="0.25">
      <c r="A472" s="9" t="s">
        <v>2981</v>
      </c>
      <c r="B472" s="10" t="s">
        <v>3043</v>
      </c>
      <c r="C472" s="10">
        <v>0</v>
      </c>
      <c r="D472" s="10" t="s">
        <v>91</v>
      </c>
      <c r="E472" s="10"/>
      <c r="F472" s="10"/>
      <c r="G472" s="10"/>
      <c r="H472" s="10" t="s">
        <v>52</v>
      </c>
      <c r="I472" s="10">
        <v>16</v>
      </c>
      <c r="J472" s="10" t="s">
        <v>3105</v>
      </c>
      <c r="K472" s="10" t="s">
        <v>42</v>
      </c>
      <c r="L472" s="10">
        <f>Table1[[#This Row],[ENR]]-Table1[[#This Row],[CREDIT]]</f>
        <v>7302.0899999999965</v>
      </c>
      <c r="M472" s="36">
        <v>140000</v>
      </c>
      <c r="N472" s="26">
        <v>147302.09</v>
      </c>
      <c r="O472" s="38" t="s">
        <v>43</v>
      </c>
      <c r="P472" s="25">
        <v>147302.09</v>
      </c>
      <c r="Q472" s="25">
        <v>133439.82999999999</v>
      </c>
      <c r="R472" s="10">
        <v>29160</v>
      </c>
      <c r="S472" s="39">
        <v>7840</v>
      </c>
      <c r="T472" s="10" t="s">
        <v>44</v>
      </c>
      <c r="U472" s="10" t="s">
        <v>45</v>
      </c>
      <c r="V472" s="10">
        <v>0</v>
      </c>
      <c r="W472" s="25">
        <f>Table1[[#This Row],[STAB]]-Table1[[#This Row],[AMOUNT]]</f>
        <v>7840</v>
      </c>
      <c r="X472" s="10">
        <v>0</v>
      </c>
      <c r="Y472" s="10" t="s">
        <v>79</v>
      </c>
      <c r="Z472" s="10">
        <v>0</v>
      </c>
      <c r="AA472" s="10" t="s">
        <v>113</v>
      </c>
      <c r="AB472" s="36" t="s">
        <v>374</v>
      </c>
      <c r="AC472" s="10"/>
      <c r="AD472" s="9" t="s">
        <v>3167</v>
      </c>
      <c r="AE472" s="10" t="s">
        <v>3228</v>
      </c>
      <c r="AF472" s="10" t="s">
        <v>272</v>
      </c>
      <c r="AG472" s="10" t="s">
        <v>54</v>
      </c>
      <c r="AH472" s="10" t="s">
        <v>357</v>
      </c>
      <c r="AI472" s="10" t="s">
        <v>1960</v>
      </c>
      <c r="AJ472" s="10">
        <v>801264672</v>
      </c>
      <c r="AK472" s="10" t="s">
        <v>1959</v>
      </c>
      <c r="AL472" s="10"/>
      <c r="AM472" s="10"/>
      <c r="AN472" s="11" t="s">
        <v>390</v>
      </c>
      <c r="AO472" s="10" t="s">
        <v>398</v>
      </c>
      <c r="AP472" s="10" t="s">
        <v>4998</v>
      </c>
      <c r="AQ472" s="10" t="s">
        <v>4993</v>
      </c>
      <c r="AR472" s="2">
        <v>45839</v>
      </c>
      <c r="AS472" s="10">
        <v>162650</v>
      </c>
      <c r="AT472" s="10" t="s">
        <v>503</v>
      </c>
      <c r="AU472" s="10" t="s">
        <v>3266</v>
      </c>
      <c r="AV472" s="36" t="s">
        <v>3285</v>
      </c>
      <c r="AW472" s="1">
        <v>46207</v>
      </c>
    </row>
    <row r="473" spans="1:49" x14ac:dyDescent="0.25">
      <c r="A473" s="9" t="s">
        <v>1827</v>
      </c>
      <c r="B473" s="10" t="s">
        <v>1851</v>
      </c>
      <c r="C473" s="10">
        <v>0</v>
      </c>
      <c r="D473" s="10" t="s">
        <v>91</v>
      </c>
      <c r="E473" s="10"/>
      <c r="F473" s="10"/>
      <c r="G473" s="10"/>
      <c r="H473" s="10" t="s">
        <v>84</v>
      </c>
      <c r="I473" s="10">
        <v>16</v>
      </c>
      <c r="J473" s="10" t="s">
        <v>1875</v>
      </c>
      <c r="K473" s="10" t="s">
        <v>42</v>
      </c>
      <c r="L473" s="10">
        <f>Table1[[#This Row],[ENR]]-Table1[[#This Row],[CREDIT]]</f>
        <v>1760.3999999999942</v>
      </c>
      <c r="M473" s="36">
        <v>140000</v>
      </c>
      <c r="N473" s="26">
        <v>141760.4</v>
      </c>
      <c r="O473" s="38" t="s">
        <v>43</v>
      </c>
      <c r="P473" s="25">
        <v>141760.4</v>
      </c>
      <c r="Q473" s="25">
        <v>133559.67999999999</v>
      </c>
      <c r="R473" s="10">
        <v>41420</v>
      </c>
      <c r="S473" s="39">
        <v>31820</v>
      </c>
      <c r="T473" s="10" t="s">
        <v>57</v>
      </c>
      <c r="U473" s="10" t="s">
        <v>13</v>
      </c>
      <c r="V473" s="10">
        <v>53200</v>
      </c>
      <c r="W473" s="25">
        <f>Table1[[#This Row],[STAB]]-Table1[[#This Row],[AMOUNT]]</f>
        <v>-21380</v>
      </c>
      <c r="X473" s="10" t="s">
        <v>1989</v>
      </c>
      <c r="Y473" s="10" t="s">
        <v>396</v>
      </c>
      <c r="Z473" s="10" t="s">
        <v>403</v>
      </c>
      <c r="AA473" s="10" t="s">
        <v>113</v>
      </c>
      <c r="AB473" s="10" t="s">
        <v>131</v>
      </c>
      <c r="AC473" s="10"/>
      <c r="AD473" s="9" t="s">
        <v>1899</v>
      </c>
      <c r="AE473" s="10" t="s">
        <v>1923</v>
      </c>
      <c r="AF473" s="10" t="s">
        <v>85</v>
      </c>
      <c r="AG473" s="10" t="s">
        <v>54</v>
      </c>
      <c r="AH473" s="10" t="s">
        <v>93</v>
      </c>
      <c r="AI473" s="10" t="s">
        <v>364</v>
      </c>
      <c r="AJ473" s="10">
        <v>802663344</v>
      </c>
      <c r="AK473" s="10" t="s">
        <v>105</v>
      </c>
      <c r="AL473" s="10"/>
      <c r="AM473" s="10"/>
      <c r="AN473" s="11" t="s">
        <v>390</v>
      </c>
      <c r="AO473" s="10" t="s">
        <v>392</v>
      </c>
      <c r="AP473" s="10" t="s">
        <v>1971</v>
      </c>
      <c r="AQ473" s="10" t="s">
        <v>1961</v>
      </c>
      <c r="AR473" s="2">
        <v>45508</v>
      </c>
      <c r="AS473" s="10">
        <v>10000</v>
      </c>
      <c r="AT473" s="10" t="s">
        <v>689</v>
      </c>
      <c r="AU473" s="10" t="s">
        <v>1741</v>
      </c>
      <c r="AV473" s="36" t="s">
        <v>1949</v>
      </c>
      <c r="AW473" s="1">
        <v>46207</v>
      </c>
    </row>
    <row r="474" spans="1:49" x14ac:dyDescent="0.25">
      <c r="A474" s="9" t="s">
        <v>2995</v>
      </c>
      <c r="B474" s="10" t="s">
        <v>3057</v>
      </c>
      <c r="C474" s="10">
        <v>0</v>
      </c>
      <c r="D474" s="10" t="s">
        <v>91</v>
      </c>
      <c r="E474" s="10"/>
      <c r="F474" s="10"/>
      <c r="G474" s="10"/>
      <c r="H474" s="10" t="s">
        <v>52</v>
      </c>
      <c r="I474" s="10">
        <v>16</v>
      </c>
      <c r="J474" s="10" t="s">
        <v>3119</v>
      </c>
      <c r="K474" s="10" t="s">
        <v>460</v>
      </c>
      <c r="L474" s="10">
        <f>Table1[[#This Row],[ENR]]-Table1[[#This Row],[CREDIT]]</f>
        <v>-59700.209999999992</v>
      </c>
      <c r="M474" s="36">
        <v>200000</v>
      </c>
      <c r="N474" s="26">
        <v>140299.79</v>
      </c>
      <c r="O474" s="38" t="s">
        <v>43</v>
      </c>
      <c r="P474" s="25">
        <v>140299.79</v>
      </c>
      <c r="Q474" s="25">
        <v>127874.11</v>
      </c>
      <c r="R474" s="10">
        <v>20010</v>
      </c>
      <c r="S474" s="39">
        <v>7650</v>
      </c>
      <c r="T474" s="10" t="s">
        <v>57</v>
      </c>
      <c r="U474" s="10" t="s">
        <v>14</v>
      </c>
      <c r="V474" s="10">
        <v>17000</v>
      </c>
      <c r="W474" s="25">
        <f>Table1[[#This Row],[STAB]]-Table1[[#This Row],[AMOUNT]]</f>
        <v>-9350</v>
      </c>
      <c r="X474" s="10" t="s">
        <v>4931</v>
      </c>
      <c r="Y474" s="10" t="s">
        <v>402</v>
      </c>
      <c r="Z474" s="10" t="s">
        <v>403</v>
      </c>
      <c r="AA474" s="10" t="s">
        <v>113</v>
      </c>
      <c r="AB474" s="36" t="s">
        <v>133</v>
      </c>
      <c r="AC474" s="10"/>
      <c r="AD474" s="9" t="s">
        <v>3181</v>
      </c>
      <c r="AE474" s="10" t="s">
        <v>3241</v>
      </c>
      <c r="AF474" s="10" t="s">
        <v>1319</v>
      </c>
      <c r="AG474" s="10" t="s">
        <v>54</v>
      </c>
      <c r="AH474" s="10" t="s">
        <v>93</v>
      </c>
      <c r="AI474" s="10" t="s">
        <v>364</v>
      </c>
      <c r="AJ474" s="10">
        <v>802663344</v>
      </c>
      <c r="AK474" s="10" t="s">
        <v>105</v>
      </c>
      <c r="AL474" s="10"/>
      <c r="AM474" s="10"/>
      <c r="AN474" s="11" t="s">
        <v>390</v>
      </c>
      <c r="AO474" s="10"/>
      <c r="AP474" s="10"/>
      <c r="AQ474" s="10"/>
      <c r="AR474" s="2">
        <v>45888</v>
      </c>
      <c r="AS474" s="10">
        <v>306</v>
      </c>
      <c r="AT474" s="10" t="s">
        <v>503</v>
      </c>
      <c r="AU474" s="10" t="s">
        <v>3266</v>
      </c>
      <c r="AV474" s="36" t="s">
        <v>3299</v>
      </c>
      <c r="AW474" s="1">
        <v>46207</v>
      </c>
    </row>
    <row r="475" spans="1:49" x14ac:dyDescent="0.25">
      <c r="A475" s="9" t="s">
        <v>2999</v>
      </c>
      <c r="B475" s="10" t="s">
        <v>3061</v>
      </c>
      <c r="C475" s="10">
        <v>0</v>
      </c>
      <c r="D475" s="10" t="s">
        <v>91</v>
      </c>
      <c r="E475" s="10"/>
      <c r="F475" s="10"/>
      <c r="G475" s="10"/>
      <c r="H475" s="10" t="s">
        <v>52</v>
      </c>
      <c r="I475" s="10">
        <v>16</v>
      </c>
      <c r="J475" s="10" t="s">
        <v>3123</v>
      </c>
      <c r="K475" s="10" t="s">
        <v>42</v>
      </c>
      <c r="L475" s="10">
        <f>Table1[[#This Row],[ENR]]-Table1[[#This Row],[CREDIT]]</f>
        <v>6777.9599999999919</v>
      </c>
      <c r="M475" s="36">
        <v>130000</v>
      </c>
      <c r="N475" s="26">
        <v>136777.96</v>
      </c>
      <c r="O475" s="38">
        <v>75669.149999999994</v>
      </c>
      <c r="P475" s="25">
        <v>61108.81</v>
      </c>
      <c r="Q475" s="25">
        <v>52295.62</v>
      </c>
      <c r="R475" s="10">
        <v>25530</v>
      </c>
      <c r="S475" s="39">
        <v>11330</v>
      </c>
      <c r="T475" s="10" t="s">
        <v>44</v>
      </c>
      <c r="U475" s="10" t="s">
        <v>45</v>
      </c>
      <c r="V475" s="10">
        <v>0</v>
      </c>
      <c r="W475" s="25">
        <f>Table1[[#This Row],[STAB]]-Table1[[#This Row],[AMOUNT]]</f>
        <v>11330</v>
      </c>
      <c r="X475" s="10">
        <v>0</v>
      </c>
      <c r="Y475" s="10" t="s">
        <v>79</v>
      </c>
      <c r="Z475" s="10">
        <v>0</v>
      </c>
      <c r="AA475" s="10" t="s">
        <v>113</v>
      </c>
      <c r="AB475" s="36" t="s">
        <v>375</v>
      </c>
      <c r="AC475" s="10"/>
      <c r="AD475" s="9" t="s">
        <v>3185</v>
      </c>
      <c r="AE475" s="10" t="s">
        <v>3245</v>
      </c>
      <c r="AF475" s="10" t="s">
        <v>111</v>
      </c>
      <c r="AG475" s="10" t="s">
        <v>53</v>
      </c>
      <c r="AH475" s="10" t="s">
        <v>92</v>
      </c>
      <c r="AI475" s="10" t="s">
        <v>113</v>
      </c>
      <c r="AJ475" s="10">
        <v>802388289</v>
      </c>
      <c r="AK475" s="10" t="s">
        <v>104</v>
      </c>
      <c r="AL475" s="10"/>
      <c r="AM475" s="10"/>
      <c r="AN475" s="11" t="s">
        <v>390</v>
      </c>
      <c r="AO475" s="10" t="s">
        <v>398</v>
      </c>
      <c r="AP475" s="10" t="s">
        <v>6318</v>
      </c>
      <c r="AQ475" s="10" t="s">
        <v>4937</v>
      </c>
      <c r="AR475" s="2" t="s">
        <v>43</v>
      </c>
      <c r="AS475" s="10">
        <v>0</v>
      </c>
      <c r="AT475" s="10" t="s">
        <v>503</v>
      </c>
      <c r="AU475" s="10" t="s">
        <v>3266</v>
      </c>
      <c r="AV475" s="36" t="s">
        <v>3303</v>
      </c>
      <c r="AW475" s="1">
        <v>46207</v>
      </c>
    </row>
    <row r="476" spans="1:49" x14ac:dyDescent="0.25">
      <c r="A476" s="9" t="s">
        <v>4304</v>
      </c>
      <c r="B476" s="10" t="s">
        <v>4347</v>
      </c>
      <c r="C476" s="10">
        <v>0</v>
      </c>
      <c r="D476" s="10" t="s">
        <v>91</v>
      </c>
      <c r="E476" s="10"/>
      <c r="F476" s="10"/>
      <c r="G476" s="10"/>
      <c r="H476" s="10" t="s">
        <v>52</v>
      </c>
      <c r="I476" s="10">
        <v>16</v>
      </c>
      <c r="J476" s="10" t="s">
        <v>4390</v>
      </c>
      <c r="K476" s="10" t="s">
        <v>42</v>
      </c>
      <c r="L476" s="10">
        <f>Table1[[#This Row],[ENR]]-Table1[[#This Row],[CREDIT]]</f>
        <v>-53331.26999999999</v>
      </c>
      <c r="M476" s="36">
        <v>190000</v>
      </c>
      <c r="N476" s="26">
        <v>136668.73000000001</v>
      </c>
      <c r="O476" s="38" t="s">
        <v>43</v>
      </c>
      <c r="P476" s="25">
        <v>136668.73000000001</v>
      </c>
      <c r="Q476" s="25">
        <v>122314.06</v>
      </c>
      <c r="R476" s="10">
        <v>22050</v>
      </c>
      <c r="S476" s="39">
        <v>8740</v>
      </c>
      <c r="T476" s="10" t="s">
        <v>57</v>
      </c>
      <c r="U476" s="10" t="s">
        <v>13</v>
      </c>
      <c r="V476" s="10">
        <v>22050</v>
      </c>
      <c r="W476" s="25">
        <f>Table1[[#This Row],[STAB]]-Table1[[#This Row],[AMOUNT]]</f>
        <v>-13310</v>
      </c>
      <c r="X476" s="10" t="s">
        <v>4601</v>
      </c>
      <c r="Y476" s="10" t="s">
        <v>402</v>
      </c>
      <c r="Z476" s="10" t="s">
        <v>1968</v>
      </c>
      <c r="AA476" s="10" t="s">
        <v>113</v>
      </c>
      <c r="AB476" s="36" t="s">
        <v>133</v>
      </c>
      <c r="AC476" s="10"/>
      <c r="AD476" s="9" t="s">
        <v>4433</v>
      </c>
      <c r="AE476" s="10" t="s">
        <v>4473</v>
      </c>
      <c r="AF476" s="10" t="s">
        <v>281</v>
      </c>
      <c r="AG476" s="10" t="s">
        <v>54</v>
      </c>
      <c r="AH476" s="10" t="s">
        <v>724</v>
      </c>
      <c r="AI476" s="10" t="s">
        <v>365</v>
      </c>
      <c r="AJ476" s="10">
        <v>802824019</v>
      </c>
      <c r="AK476" s="10" t="s">
        <v>360</v>
      </c>
      <c r="AL476" s="10"/>
      <c r="AM476" s="10"/>
      <c r="AN476" s="11" t="s">
        <v>390</v>
      </c>
      <c r="AO476" s="10"/>
      <c r="AP476" s="10"/>
      <c r="AQ476" s="10"/>
      <c r="AR476" s="2">
        <v>46151</v>
      </c>
      <c r="AS476" s="10">
        <v>7310</v>
      </c>
      <c r="AT476" s="10" t="s">
        <v>47</v>
      </c>
      <c r="AU476" s="10" t="s">
        <v>4485</v>
      </c>
      <c r="AV476" s="36" t="s">
        <v>4517</v>
      </c>
      <c r="AW476" s="1">
        <v>46207</v>
      </c>
    </row>
    <row r="477" spans="1:49" x14ac:dyDescent="0.25">
      <c r="A477" s="9" t="s">
        <v>3005</v>
      </c>
      <c r="B477" s="10" t="s">
        <v>3067</v>
      </c>
      <c r="C477" s="10">
        <v>0</v>
      </c>
      <c r="D477" s="10" t="s">
        <v>91</v>
      </c>
      <c r="E477" s="10"/>
      <c r="F477" s="10"/>
      <c r="G477" s="10"/>
      <c r="H477" s="10" t="s">
        <v>52</v>
      </c>
      <c r="I477" s="10">
        <v>16</v>
      </c>
      <c r="J477" s="10" t="s">
        <v>3129</v>
      </c>
      <c r="K477" s="10" t="s">
        <v>42</v>
      </c>
      <c r="L477" s="10">
        <f>Table1[[#This Row],[ENR]]-Table1[[#This Row],[CREDIT]]</f>
        <v>-96.320000000006985</v>
      </c>
      <c r="M477" s="36">
        <v>120000</v>
      </c>
      <c r="N477" s="26">
        <v>119903.67999999999</v>
      </c>
      <c r="O477" s="38" t="s">
        <v>43</v>
      </c>
      <c r="P477" s="25">
        <v>119903.67999999999</v>
      </c>
      <c r="Q477" s="25">
        <v>106965.32</v>
      </c>
      <c r="R477" s="10">
        <v>19660</v>
      </c>
      <c r="S477" s="39">
        <v>7830</v>
      </c>
      <c r="T477" s="10" t="s">
        <v>44</v>
      </c>
      <c r="U477" s="10" t="s">
        <v>45</v>
      </c>
      <c r="V477" s="10">
        <v>386</v>
      </c>
      <c r="W477" s="25">
        <f>Table1[[#This Row],[STAB]]-Table1[[#This Row],[AMOUNT]]</f>
        <v>7444</v>
      </c>
      <c r="X477" s="10">
        <v>0</v>
      </c>
      <c r="Y477" s="10" t="s">
        <v>79</v>
      </c>
      <c r="Z477" s="10" t="s">
        <v>963</v>
      </c>
      <c r="AA477" s="10" t="s">
        <v>113</v>
      </c>
      <c r="AB477" s="36" t="s">
        <v>132</v>
      </c>
      <c r="AC477" s="10"/>
      <c r="AD477" s="9" t="s">
        <v>3191</v>
      </c>
      <c r="AE477" s="10" t="s">
        <v>3250</v>
      </c>
      <c r="AF477" s="10" t="s">
        <v>686</v>
      </c>
      <c r="AG477" s="10" t="s">
        <v>324</v>
      </c>
      <c r="AH477" s="10" t="s">
        <v>722</v>
      </c>
      <c r="AI477" s="10" t="s">
        <v>370</v>
      </c>
      <c r="AJ477" s="10">
        <v>801448854</v>
      </c>
      <c r="AK477" s="10" t="s">
        <v>105</v>
      </c>
      <c r="AL477" s="10"/>
      <c r="AM477" s="10"/>
      <c r="AN477" s="11" t="s">
        <v>390</v>
      </c>
      <c r="AO477" s="10" t="s">
        <v>531</v>
      </c>
      <c r="AP477" s="10" t="s">
        <v>6226</v>
      </c>
      <c r="AQ477" s="10" t="s">
        <v>4937</v>
      </c>
      <c r="AR477" s="2">
        <v>45992</v>
      </c>
      <c r="AS477" s="10">
        <v>127638.86</v>
      </c>
      <c r="AT477" s="10" t="s">
        <v>3264</v>
      </c>
      <c r="AU477" s="10" t="s">
        <v>3266</v>
      </c>
      <c r="AV477" s="36" t="s">
        <v>3309</v>
      </c>
      <c r="AW477" s="1">
        <v>46207</v>
      </c>
    </row>
    <row r="478" spans="1:49" x14ac:dyDescent="0.25">
      <c r="A478" s="9" t="s">
        <v>1829</v>
      </c>
      <c r="B478" s="10" t="s">
        <v>1853</v>
      </c>
      <c r="C478" s="10">
        <v>0</v>
      </c>
      <c r="D478" s="10" t="s">
        <v>91</v>
      </c>
      <c r="E478" s="10"/>
      <c r="F478" s="10"/>
      <c r="G478" s="10"/>
      <c r="H478" s="10" t="s">
        <v>52</v>
      </c>
      <c r="I478" s="10">
        <v>16</v>
      </c>
      <c r="J478" s="10" t="s">
        <v>1877</v>
      </c>
      <c r="K478" s="10" t="s">
        <v>42</v>
      </c>
      <c r="L478" s="10">
        <f>Table1[[#This Row],[ENR]]-Table1[[#This Row],[CREDIT]]</f>
        <v>5752.3999999999942</v>
      </c>
      <c r="M478" s="36">
        <v>110000</v>
      </c>
      <c r="N478" s="26">
        <v>115752.4</v>
      </c>
      <c r="O478" s="38">
        <v>82084.600000000006</v>
      </c>
      <c r="P478" s="25">
        <v>33667.800000000003</v>
      </c>
      <c r="Q478" s="25">
        <v>25925.21</v>
      </c>
      <c r="R478" s="10">
        <v>33667.800000000003</v>
      </c>
      <c r="S478" s="39">
        <v>16017.52</v>
      </c>
      <c r="T478" s="10" t="s">
        <v>44</v>
      </c>
      <c r="U478" s="10" t="s">
        <v>45</v>
      </c>
      <c r="V478" s="10">
        <v>0</v>
      </c>
      <c r="W478" s="25">
        <f>Table1[[#This Row],[STAB]]-Table1[[#This Row],[AMOUNT]]</f>
        <v>16017.52</v>
      </c>
      <c r="X478" s="10">
        <v>0</v>
      </c>
      <c r="Y478" s="10" t="s">
        <v>79</v>
      </c>
      <c r="Z478" s="10" t="s">
        <v>963</v>
      </c>
      <c r="AA478" s="10" t="s">
        <v>113</v>
      </c>
      <c r="AB478" s="10" t="s">
        <v>376</v>
      </c>
      <c r="AC478" s="10"/>
      <c r="AD478" s="9" t="s">
        <v>1901</v>
      </c>
      <c r="AE478" s="10" t="s">
        <v>1925</v>
      </c>
      <c r="AF478" s="10" t="s">
        <v>283</v>
      </c>
      <c r="AG478" s="10" t="s">
        <v>53</v>
      </c>
      <c r="AH478" s="10" t="s">
        <v>5582</v>
      </c>
      <c r="AI478" s="10" t="s">
        <v>2962</v>
      </c>
      <c r="AJ478" s="10">
        <v>801601134</v>
      </c>
      <c r="AK478" s="10" t="s">
        <v>104</v>
      </c>
      <c r="AL478" s="10"/>
      <c r="AM478" s="10"/>
      <c r="AN478" s="11" t="s">
        <v>46</v>
      </c>
      <c r="AO478" s="10"/>
      <c r="AP478" s="10"/>
      <c r="AQ478" s="10"/>
      <c r="AR478" s="2">
        <v>46134</v>
      </c>
      <c r="AS478" s="10">
        <v>8665</v>
      </c>
      <c r="AT478" s="10" t="s">
        <v>503</v>
      </c>
      <c r="AU478" s="10" t="s">
        <v>1741</v>
      </c>
      <c r="AV478" s="36" t="s">
        <v>1951</v>
      </c>
      <c r="AW478" s="1">
        <v>46207</v>
      </c>
    </row>
    <row r="479" spans="1:49" x14ac:dyDescent="0.25">
      <c r="A479" s="9" t="s">
        <v>2987</v>
      </c>
      <c r="B479" s="10" t="s">
        <v>3049</v>
      </c>
      <c r="C479" s="10">
        <v>0</v>
      </c>
      <c r="D479" s="10" t="s">
        <v>91</v>
      </c>
      <c r="E479" s="10"/>
      <c r="F479" s="10"/>
      <c r="G479" s="10" t="s">
        <v>4953</v>
      </c>
      <c r="H479" s="10" t="s">
        <v>52</v>
      </c>
      <c r="I479" s="10">
        <v>16</v>
      </c>
      <c r="J479" s="10" t="s">
        <v>3111</v>
      </c>
      <c r="K479" s="10" t="s">
        <v>42</v>
      </c>
      <c r="L479" s="10">
        <f>Table1[[#This Row],[ENR]]-Table1[[#This Row],[CREDIT]]</f>
        <v>10962.919999999998</v>
      </c>
      <c r="M479" s="36">
        <v>100000</v>
      </c>
      <c r="N479" s="26">
        <v>110962.92</v>
      </c>
      <c r="O479" s="38" t="s">
        <v>43</v>
      </c>
      <c r="P479" s="25">
        <v>110962.92</v>
      </c>
      <c r="Q479" s="25">
        <v>94089.48</v>
      </c>
      <c r="R479" s="10">
        <v>32910</v>
      </c>
      <c r="S479" s="39">
        <v>12040</v>
      </c>
      <c r="T479" s="10" t="s">
        <v>57</v>
      </c>
      <c r="U479" s="10" t="s">
        <v>14</v>
      </c>
      <c r="V479" s="10">
        <v>12040</v>
      </c>
      <c r="W479" s="25">
        <f>Table1[[#This Row],[STAB]]-Table1[[#This Row],[AMOUNT]]</f>
        <v>0</v>
      </c>
      <c r="X479" s="10" t="s">
        <v>4931</v>
      </c>
      <c r="Y479" s="10" t="s">
        <v>402</v>
      </c>
      <c r="Z479" s="10" t="s">
        <v>403</v>
      </c>
      <c r="AA479" s="10" t="s">
        <v>113</v>
      </c>
      <c r="AB479" s="36" t="s">
        <v>131</v>
      </c>
      <c r="AC479" s="10"/>
      <c r="AD479" s="9" t="s">
        <v>3173</v>
      </c>
      <c r="AE479" s="10" t="s">
        <v>3234</v>
      </c>
      <c r="AF479" s="10" t="s">
        <v>499</v>
      </c>
      <c r="AG479" s="10" t="s">
        <v>53</v>
      </c>
      <c r="AH479" s="10" t="s">
        <v>55</v>
      </c>
      <c r="AI479" s="10" t="s">
        <v>365</v>
      </c>
      <c r="AJ479" s="10">
        <v>802824019</v>
      </c>
      <c r="AK479" s="10" t="s">
        <v>360</v>
      </c>
      <c r="AL479" s="10"/>
      <c r="AM479" s="10"/>
      <c r="AN479" s="11" t="s">
        <v>390</v>
      </c>
      <c r="AO479" s="10"/>
      <c r="AP479" s="10"/>
      <c r="AQ479" s="10"/>
      <c r="AR479" s="2">
        <v>46097</v>
      </c>
      <c r="AS479" s="10">
        <v>4720</v>
      </c>
      <c r="AT479" s="10" t="s">
        <v>503</v>
      </c>
      <c r="AU479" s="10" t="s">
        <v>3266</v>
      </c>
      <c r="AV479" s="36" t="s">
        <v>3291</v>
      </c>
      <c r="AW479" s="1">
        <v>46207</v>
      </c>
    </row>
    <row r="480" spans="1:49" x14ac:dyDescent="0.25">
      <c r="A480" s="9" t="s">
        <v>4297</v>
      </c>
      <c r="B480" s="10" t="s">
        <v>4340</v>
      </c>
      <c r="C480" s="10">
        <v>0</v>
      </c>
      <c r="D480" s="10" t="s">
        <v>91</v>
      </c>
      <c r="E480" s="10"/>
      <c r="F480" s="10"/>
      <c r="G480" s="10"/>
      <c r="H480" s="10" t="s">
        <v>52</v>
      </c>
      <c r="I480" s="10">
        <v>16</v>
      </c>
      <c r="J480" s="10" t="s">
        <v>4383</v>
      </c>
      <c r="K480" s="10" t="s">
        <v>42</v>
      </c>
      <c r="L480" s="10">
        <f>Table1[[#This Row],[ENR]]-Table1[[#This Row],[CREDIT]]</f>
        <v>10204.880000000005</v>
      </c>
      <c r="M480" s="36">
        <v>100000</v>
      </c>
      <c r="N480" s="26">
        <v>110204.88</v>
      </c>
      <c r="O480" s="38" t="s">
        <v>43</v>
      </c>
      <c r="P480" s="25">
        <v>110204.88</v>
      </c>
      <c r="Q480" s="25">
        <v>99706.83</v>
      </c>
      <c r="R480" s="10">
        <v>29920</v>
      </c>
      <c r="S480" s="39">
        <v>4990</v>
      </c>
      <c r="T480" s="10" t="s">
        <v>57</v>
      </c>
      <c r="U480" s="10" t="s">
        <v>13</v>
      </c>
      <c r="V480" s="10">
        <v>29920</v>
      </c>
      <c r="W480" s="25">
        <f>Table1[[#This Row],[STAB]]-Table1[[#This Row],[AMOUNT]]</f>
        <v>-24930</v>
      </c>
      <c r="X480" s="10" t="s">
        <v>4937</v>
      </c>
      <c r="Y480" s="10" t="s">
        <v>402</v>
      </c>
      <c r="Z480" s="10" t="s">
        <v>403</v>
      </c>
      <c r="AA480" s="10" t="s">
        <v>113</v>
      </c>
      <c r="AB480" s="41" t="s">
        <v>132</v>
      </c>
      <c r="AC480" s="10"/>
      <c r="AD480" s="9" t="s">
        <v>4426</v>
      </c>
      <c r="AE480" s="10" t="s">
        <v>826</v>
      </c>
      <c r="AF480" s="10" t="s">
        <v>1739</v>
      </c>
      <c r="AG480" s="10" t="s">
        <v>53</v>
      </c>
      <c r="AH480" s="10" t="s">
        <v>1364</v>
      </c>
      <c r="AI480" s="10" t="s">
        <v>1405</v>
      </c>
      <c r="AJ480" s="10">
        <v>802175739</v>
      </c>
      <c r="AK480" s="10" t="s">
        <v>104</v>
      </c>
      <c r="AL480" s="10"/>
      <c r="AM480" s="10"/>
      <c r="AN480" s="11" t="s">
        <v>390</v>
      </c>
      <c r="AO480" s="10"/>
      <c r="AP480" s="10"/>
      <c r="AQ480" s="10"/>
      <c r="AR480" s="2" t="s">
        <v>43</v>
      </c>
      <c r="AS480" s="10">
        <v>0</v>
      </c>
      <c r="AT480" s="10" t="s">
        <v>503</v>
      </c>
      <c r="AU480" s="10" t="s">
        <v>4485</v>
      </c>
      <c r="AV480" s="36" t="s">
        <v>4510</v>
      </c>
      <c r="AW480" s="1">
        <v>46207</v>
      </c>
    </row>
    <row r="481" spans="1:49" x14ac:dyDescent="0.25">
      <c r="A481" s="9" t="s">
        <v>3006</v>
      </c>
      <c r="B481" s="10" t="s">
        <v>3068</v>
      </c>
      <c r="C481" s="10">
        <v>0</v>
      </c>
      <c r="D481" s="10" t="s">
        <v>91</v>
      </c>
      <c r="E481" s="10"/>
      <c r="F481" s="10"/>
      <c r="G481" s="10"/>
      <c r="H481" s="10" t="s">
        <v>52</v>
      </c>
      <c r="I481" s="10">
        <v>16</v>
      </c>
      <c r="J481" s="10" t="s">
        <v>3130</v>
      </c>
      <c r="K481" s="10" t="s">
        <v>42</v>
      </c>
      <c r="L481" s="10">
        <f>Table1[[#This Row],[ENR]]-Table1[[#This Row],[CREDIT]]</f>
        <v>8232.4900000000052</v>
      </c>
      <c r="M481" s="36">
        <v>100000</v>
      </c>
      <c r="N481" s="26">
        <v>108232.49</v>
      </c>
      <c r="O481" s="38" t="s">
        <v>43</v>
      </c>
      <c r="P481" s="25">
        <v>108232.49</v>
      </c>
      <c r="Q481" s="25">
        <v>99725</v>
      </c>
      <c r="R481" s="10">
        <v>26060</v>
      </c>
      <c r="S481" s="39">
        <v>4990</v>
      </c>
      <c r="T481" s="10" t="s">
        <v>44</v>
      </c>
      <c r="U481" s="10" t="s">
        <v>45</v>
      </c>
      <c r="V481" s="10">
        <v>0</v>
      </c>
      <c r="W481" s="25">
        <f>Table1[[#This Row],[STAB]]-Table1[[#This Row],[AMOUNT]]</f>
        <v>4990</v>
      </c>
      <c r="X481" s="10">
        <v>0</v>
      </c>
      <c r="Y481" s="10" t="s">
        <v>79</v>
      </c>
      <c r="Z481" s="10">
        <v>0</v>
      </c>
      <c r="AA481" s="10" t="s">
        <v>113</v>
      </c>
      <c r="AB481" s="36" t="s">
        <v>131</v>
      </c>
      <c r="AC481" s="10"/>
      <c r="AD481" s="9" t="s">
        <v>3192</v>
      </c>
      <c r="AE481" s="10" t="s">
        <v>3251</v>
      </c>
      <c r="AF481" s="10" t="s">
        <v>85</v>
      </c>
      <c r="AG481" s="10" t="s">
        <v>54</v>
      </c>
      <c r="AH481" s="10" t="s">
        <v>89</v>
      </c>
      <c r="AI481" s="10" t="s">
        <v>106</v>
      </c>
      <c r="AJ481" s="10">
        <v>802370852</v>
      </c>
      <c r="AK481" s="10" t="s">
        <v>105</v>
      </c>
      <c r="AL481" s="10"/>
      <c r="AM481" s="10"/>
      <c r="AN481" s="11" t="s">
        <v>390</v>
      </c>
      <c r="AO481" s="10" t="s">
        <v>398</v>
      </c>
      <c r="AP481" s="10" t="s">
        <v>4997</v>
      </c>
      <c r="AQ481" s="10" t="s">
        <v>4993</v>
      </c>
      <c r="AR481" s="2">
        <v>45477</v>
      </c>
      <c r="AS481" s="10">
        <v>100000</v>
      </c>
      <c r="AT481" s="10" t="s">
        <v>1931</v>
      </c>
      <c r="AU481" s="10" t="s">
        <v>3266</v>
      </c>
      <c r="AV481" s="36" t="s">
        <v>3310</v>
      </c>
      <c r="AW481" s="1">
        <v>46207</v>
      </c>
    </row>
    <row r="482" spans="1:49" x14ac:dyDescent="0.25">
      <c r="A482" s="9" t="s">
        <v>4303</v>
      </c>
      <c r="B482" s="10" t="s">
        <v>4346</v>
      </c>
      <c r="C482" s="10">
        <v>0</v>
      </c>
      <c r="D482" s="10" t="s">
        <v>91</v>
      </c>
      <c r="E482" s="10"/>
      <c r="F482" s="10"/>
      <c r="G482" s="10"/>
      <c r="H482" s="10" t="s">
        <v>52</v>
      </c>
      <c r="I482" s="10">
        <v>16</v>
      </c>
      <c r="J482" s="10" t="s">
        <v>4389</v>
      </c>
      <c r="K482" s="10" t="s">
        <v>42</v>
      </c>
      <c r="L482" s="10">
        <f>Table1[[#This Row],[ENR]]-Table1[[#This Row],[CREDIT]]</f>
        <v>-1960.4400000000023</v>
      </c>
      <c r="M482" s="36">
        <v>110000</v>
      </c>
      <c r="N482" s="26">
        <v>108039.56</v>
      </c>
      <c r="O482" s="38" t="s">
        <v>43</v>
      </c>
      <c r="P482" s="25">
        <v>108039.56</v>
      </c>
      <c r="Q482" s="25">
        <v>95687.49</v>
      </c>
      <c r="R482" s="10">
        <v>18120</v>
      </c>
      <c r="S482" s="39">
        <v>7350</v>
      </c>
      <c r="T482" s="10" t="s">
        <v>57</v>
      </c>
      <c r="U482" s="10" t="s">
        <v>13</v>
      </c>
      <c r="V482" s="10">
        <v>18200</v>
      </c>
      <c r="W482" s="25">
        <f>Table1[[#This Row],[STAB]]-Table1[[#This Row],[AMOUNT]]</f>
        <v>-10850</v>
      </c>
      <c r="X482" s="10" t="s">
        <v>4937</v>
      </c>
      <c r="Y482" s="10" t="s">
        <v>402</v>
      </c>
      <c r="Z482" s="10" t="s">
        <v>964</v>
      </c>
      <c r="AA482" s="10" t="s">
        <v>113</v>
      </c>
      <c r="AB482" s="36" t="s">
        <v>375</v>
      </c>
      <c r="AC482" s="10"/>
      <c r="AD482" s="9" t="s">
        <v>4432</v>
      </c>
      <c r="AE482" s="10" t="s">
        <v>4432</v>
      </c>
      <c r="AF482" s="10" t="s">
        <v>273</v>
      </c>
      <c r="AG482" s="10" t="s">
        <v>323</v>
      </c>
      <c r="AH482" s="10" t="s">
        <v>4528</v>
      </c>
      <c r="AI482" s="10" t="s">
        <v>363</v>
      </c>
      <c r="AJ482" s="10">
        <v>802913252</v>
      </c>
      <c r="AK482" s="10" t="s">
        <v>104</v>
      </c>
      <c r="AL482" s="10"/>
      <c r="AM482" s="10"/>
      <c r="AN482" s="11" t="s">
        <v>390</v>
      </c>
      <c r="AO482" s="10"/>
      <c r="AP482" s="10"/>
      <c r="AQ482" s="10"/>
      <c r="AR482" s="2">
        <v>46150</v>
      </c>
      <c r="AS482" s="10">
        <v>25000</v>
      </c>
      <c r="AT482" s="10" t="s">
        <v>1931</v>
      </c>
      <c r="AU482" s="10" t="s">
        <v>4485</v>
      </c>
      <c r="AV482" s="36" t="s">
        <v>4516</v>
      </c>
      <c r="AW482" s="1">
        <v>46207</v>
      </c>
    </row>
    <row r="483" spans="1:49" x14ac:dyDescent="0.25">
      <c r="A483" s="9" t="s">
        <v>3007</v>
      </c>
      <c r="B483" s="10" t="s">
        <v>3069</v>
      </c>
      <c r="C483" s="10">
        <v>0</v>
      </c>
      <c r="D483" s="10" t="s">
        <v>91</v>
      </c>
      <c r="E483" s="10"/>
      <c r="F483" s="10"/>
      <c r="G483" s="10"/>
      <c r="H483" s="10" t="s">
        <v>52</v>
      </c>
      <c r="I483" s="10">
        <v>16</v>
      </c>
      <c r="J483" s="10" t="s">
        <v>3131</v>
      </c>
      <c r="K483" s="10" t="s">
        <v>42</v>
      </c>
      <c r="L483" s="10">
        <f>Table1[[#This Row],[ENR]]-Table1[[#This Row],[CREDIT]]</f>
        <v>7887.2400000000052</v>
      </c>
      <c r="M483" s="36">
        <v>100000</v>
      </c>
      <c r="N483" s="26">
        <v>107887.24</v>
      </c>
      <c r="O483" s="38" t="s">
        <v>43</v>
      </c>
      <c r="P483" s="25">
        <v>107887.24</v>
      </c>
      <c r="Q483" s="25">
        <v>95587.65</v>
      </c>
      <c r="R483" s="10">
        <v>26300</v>
      </c>
      <c r="S483" s="39">
        <v>8850</v>
      </c>
      <c r="T483" s="10" t="s">
        <v>57</v>
      </c>
      <c r="U483" s="10" t="s">
        <v>13</v>
      </c>
      <c r="V483" s="10">
        <v>100000</v>
      </c>
      <c r="W483" s="25">
        <f>Table1[[#This Row],[STAB]]-Table1[[#This Row],[AMOUNT]]</f>
        <v>-91150</v>
      </c>
      <c r="X483" s="10" t="s">
        <v>4993</v>
      </c>
      <c r="Y483" s="10" t="s">
        <v>402</v>
      </c>
      <c r="Z483" s="10" t="s">
        <v>964</v>
      </c>
      <c r="AA483" s="10" t="s">
        <v>113</v>
      </c>
      <c r="AB483" s="41" t="s">
        <v>375</v>
      </c>
      <c r="AC483" s="10"/>
      <c r="AD483" s="9" t="s">
        <v>3587</v>
      </c>
      <c r="AE483" s="10" t="s">
        <v>3252</v>
      </c>
      <c r="AF483" s="10" t="s">
        <v>273</v>
      </c>
      <c r="AG483" s="10" t="s">
        <v>324</v>
      </c>
      <c r="AH483" s="10" t="s">
        <v>355</v>
      </c>
      <c r="AI483" s="10" t="s">
        <v>372</v>
      </c>
      <c r="AJ483" s="10">
        <v>801597759</v>
      </c>
      <c r="AK483" s="10" t="s">
        <v>362</v>
      </c>
      <c r="AL483" s="10"/>
      <c r="AM483" s="10"/>
      <c r="AN483" s="11" t="s">
        <v>390</v>
      </c>
      <c r="AO483" s="10"/>
      <c r="AP483" s="10"/>
      <c r="AQ483" s="10"/>
      <c r="AR483" s="2">
        <v>46150</v>
      </c>
      <c r="AS483" s="10">
        <v>3200</v>
      </c>
      <c r="AT483" s="10" t="s">
        <v>1931</v>
      </c>
      <c r="AU483" s="10" t="s">
        <v>3266</v>
      </c>
      <c r="AV483" s="36" t="s">
        <v>3311</v>
      </c>
      <c r="AW483" s="1">
        <v>46207</v>
      </c>
    </row>
    <row r="484" spans="1:49" x14ac:dyDescent="0.25">
      <c r="A484" s="9" t="s">
        <v>2979</v>
      </c>
      <c r="B484" s="10" t="s">
        <v>3041</v>
      </c>
      <c r="C484" s="10" t="s">
        <v>97</v>
      </c>
      <c r="D484" s="10" t="s">
        <v>91</v>
      </c>
      <c r="E484" s="10"/>
      <c r="F484" s="10"/>
      <c r="G484" s="10"/>
      <c r="H484" s="10" t="s">
        <v>52</v>
      </c>
      <c r="I484" s="10">
        <v>16</v>
      </c>
      <c r="J484" s="10" t="s">
        <v>3103</v>
      </c>
      <c r="K484" s="10" t="s">
        <v>42</v>
      </c>
      <c r="L484" s="10">
        <f>Table1[[#This Row],[ENR]]-Table1[[#This Row],[CREDIT]]</f>
        <v>7728.0899999999965</v>
      </c>
      <c r="M484" s="36">
        <v>100000</v>
      </c>
      <c r="N484" s="26">
        <v>107728.09</v>
      </c>
      <c r="O484" s="38" t="s">
        <v>43</v>
      </c>
      <c r="P484" s="25">
        <v>107728.09</v>
      </c>
      <c r="Q484" s="25">
        <v>98110.42</v>
      </c>
      <c r="R484" s="10">
        <v>21870</v>
      </c>
      <c r="S484" s="39">
        <v>4200.2</v>
      </c>
      <c r="T484" s="10" t="s">
        <v>57</v>
      </c>
      <c r="U484" s="10" t="s">
        <v>13</v>
      </c>
      <c r="V484" s="25">
        <v>11000</v>
      </c>
      <c r="W484" s="25">
        <f>Table1[[#This Row],[STAB]]-Table1[[#This Row],[AMOUNT]]</f>
        <v>-6799.8</v>
      </c>
      <c r="X484" s="10" t="s">
        <v>4993</v>
      </c>
      <c r="Y484" s="10" t="s">
        <v>402</v>
      </c>
      <c r="Z484" s="10" t="s">
        <v>403</v>
      </c>
      <c r="AA484" s="10" t="s">
        <v>113</v>
      </c>
      <c r="AB484" s="36" t="s">
        <v>132</v>
      </c>
      <c r="AC484" s="10"/>
      <c r="AD484" s="9" t="s">
        <v>3165</v>
      </c>
      <c r="AE484" s="10" t="s">
        <v>3226</v>
      </c>
      <c r="AF484" s="10" t="s">
        <v>276</v>
      </c>
      <c r="AG484" s="10" t="s">
        <v>324</v>
      </c>
      <c r="AH484" s="10" t="s">
        <v>353</v>
      </c>
      <c r="AI484" s="10" t="s">
        <v>365</v>
      </c>
      <c r="AJ484" s="10">
        <v>802824019</v>
      </c>
      <c r="AK484" s="10" t="s">
        <v>360</v>
      </c>
      <c r="AL484" s="10"/>
      <c r="AM484" s="10"/>
      <c r="AN484" s="11" t="s">
        <v>390</v>
      </c>
      <c r="AO484" s="10"/>
      <c r="AP484" s="10"/>
      <c r="AQ484" s="10"/>
      <c r="AR484" s="2">
        <v>46091</v>
      </c>
      <c r="AS484" s="10">
        <v>33000</v>
      </c>
      <c r="AT484" s="10" t="s">
        <v>503</v>
      </c>
      <c r="AU484" s="10" t="s">
        <v>3266</v>
      </c>
      <c r="AV484" s="36" t="s">
        <v>3283</v>
      </c>
      <c r="AW484" s="1">
        <v>46207</v>
      </c>
    </row>
    <row r="485" spans="1:49" x14ac:dyDescent="0.25">
      <c r="A485" s="9" t="s">
        <v>3002</v>
      </c>
      <c r="B485" s="10" t="s">
        <v>3064</v>
      </c>
      <c r="C485" s="10">
        <v>0</v>
      </c>
      <c r="D485" s="10" t="s">
        <v>91</v>
      </c>
      <c r="E485" s="10"/>
      <c r="F485" s="10"/>
      <c r="G485" s="10"/>
      <c r="H485" s="10" t="s">
        <v>52</v>
      </c>
      <c r="I485" s="10">
        <v>16</v>
      </c>
      <c r="J485" s="10" t="s">
        <v>3126</v>
      </c>
      <c r="K485" s="10" t="s">
        <v>42</v>
      </c>
      <c r="L485" s="10">
        <f>Table1[[#This Row],[ENR]]-Table1[[#This Row],[CREDIT]]</f>
        <v>62170.020000000004</v>
      </c>
      <c r="M485" s="36">
        <v>44000</v>
      </c>
      <c r="N485" s="26">
        <v>106170.02</v>
      </c>
      <c r="O485" s="38">
        <v>26410.51</v>
      </c>
      <c r="P485" s="25">
        <v>79759.509999999995</v>
      </c>
      <c r="Q485" s="25">
        <v>70889.42</v>
      </c>
      <c r="R485" s="10">
        <v>48900</v>
      </c>
      <c r="S485" s="39">
        <v>33470</v>
      </c>
      <c r="T485" s="10" t="s">
        <v>44</v>
      </c>
      <c r="U485" s="10" t="s">
        <v>45</v>
      </c>
      <c r="V485" s="10">
        <v>0</v>
      </c>
      <c r="W485" s="25">
        <f>Table1[[#This Row],[STAB]]-Table1[[#This Row],[AMOUNT]]</f>
        <v>33470</v>
      </c>
      <c r="X485" s="10">
        <v>0</v>
      </c>
      <c r="Y485" s="10" t="s">
        <v>79</v>
      </c>
      <c r="Z485" s="10">
        <v>0</v>
      </c>
      <c r="AA485" s="10" t="s">
        <v>113</v>
      </c>
      <c r="AB485" s="10" t="s">
        <v>133</v>
      </c>
      <c r="AC485" s="10"/>
      <c r="AD485" s="9" t="s">
        <v>3188</v>
      </c>
      <c r="AE485" s="10" t="s">
        <v>3248</v>
      </c>
      <c r="AF485" s="10" t="s">
        <v>85</v>
      </c>
      <c r="AG485" s="10" t="s">
        <v>54</v>
      </c>
      <c r="AH485" s="10" t="s">
        <v>89</v>
      </c>
      <c r="AI485" s="10" t="s">
        <v>106</v>
      </c>
      <c r="AJ485" s="10">
        <v>802370852</v>
      </c>
      <c r="AK485" s="10" t="s">
        <v>105</v>
      </c>
      <c r="AL485" s="10"/>
      <c r="AM485" s="10"/>
      <c r="AN485" s="11" t="s">
        <v>390</v>
      </c>
      <c r="AO485" s="10" t="s">
        <v>392</v>
      </c>
      <c r="AP485" s="10" t="s">
        <v>5000</v>
      </c>
      <c r="AQ485" s="10" t="s">
        <v>4993</v>
      </c>
      <c r="AR485" s="2">
        <v>46109</v>
      </c>
      <c r="AS485" s="10">
        <v>2000</v>
      </c>
      <c r="AT485" s="10" t="s">
        <v>503</v>
      </c>
      <c r="AU485" s="10" t="s">
        <v>3266</v>
      </c>
      <c r="AV485" s="36" t="s">
        <v>3306</v>
      </c>
      <c r="AW485" s="1">
        <v>46207</v>
      </c>
    </row>
    <row r="486" spans="1:49" x14ac:dyDescent="0.25">
      <c r="A486" s="9" t="s">
        <v>2980</v>
      </c>
      <c r="B486" s="10" t="s">
        <v>3042</v>
      </c>
      <c r="C486" s="10">
        <v>0</v>
      </c>
      <c r="D486" s="10" t="s">
        <v>91</v>
      </c>
      <c r="E486" s="10"/>
      <c r="F486" s="10"/>
      <c r="G486" s="10"/>
      <c r="H486" s="10" t="s">
        <v>84</v>
      </c>
      <c r="I486" s="10">
        <v>16</v>
      </c>
      <c r="J486" s="10" t="s">
        <v>3104</v>
      </c>
      <c r="K486" s="10" t="s">
        <v>42</v>
      </c>
      <c r="L486" s="10">
        <f>Table1[[#This Row],[ENR]]-Table1[[#This Row],[CREDIT]]</f>
        <v>5941.8800000000047</v>
      </c>
      <c r="M486" s="36">
        <v>100000</v>
      </c>
      <c r="N486" s="26">
        <v>105941.88</v>
      </c>
      <c r="O486" s="38" t="s">
        <v>43</v>
      </c>
      <c r="P486" s="25">
        <v>105941.88</v>
      </c>
      <c r="Q486" s="25">
        <v>94322.33</v>
      </c>
      <c r="R486" s="10">
        <v>31860</v>
      </c>
      <c r="S486" s="39">
        <v>15920</v>
      </c>
      <c r="T486" s="10" t="s">
        <v>57</v>
      </c>
      <c r="U486" s="10" t="s">
        <v>14</v>
      </c>
      <c r="V486" s="25">
        <v>15920</v>
      </c>
      <c r="W486" s="25">
        <f>Table1[[#This Row],[STAB]]-Table1[[#This Row],[AMOUNT]]</f>
        <v>0</v>
      </c>
      <c r="X486" s="10" t="s">
        <v>4923</v>
      </c>
      <c r="Y486" s="10" t="s">
        <v>396</v>
      </c>
      <c r="Z486" s="10" t="s">
        <v>403</v>
      </c>
      <c r="AA486" s="10" t="s">
        <v>113</v>
      </c>
      <c r="AB486" s="36" t="s">
        <v>374</v>
      </c>
      <c r="AC486" s="10"/>
      <c r="AD486" s="9" t="s">
        <v>3166</v>
      </c>
      <c r="AE486" s="10" t="s">
        <v>3227</v>
      </c>
      <c r="AF486" s="10" t="s">
        <v>285</v>
      </c>
      <c r="AG486" s="10" t="s">
        <v>54</v>
      </c>
      <c r="AH486" s="10" t="s">
        <v>94</v>
      </c>
      <c r="AI486" s="10" t="s">
        <v>725</v>
      </c>
      <c r="AJ486" s="10">
        <v>802794852</v>
      </c>
      <c r="AK486" s="10" t="s">
        <v>104</v>
      </c>
      <c r="AL486" s="10"/>
      <c r="AM486" s="10"/>
      <c r="AN486" s="11" t="s">
        <v>390</v>
      </c>
      <c r="AO486" s="10"/>
      <c r="AP486" s="10"/>
      <c r="AQ486" s="10"/>
      <c r="AR486" s="2">
        <v>46181</v>
      </c>
      <c r="AS486" s="10">
        <v>5830</v>
      </c>
      <c r="AT486" s="10" t="s">
        <v>503</v>
      </c>
      <c r="AU486" s="10" t="s">
        <v>3266</v>
      </c>
      <c r="AV486" s="36" t="s">
        <v>3284</v>
      </c>
      <c r="AW486" s="1">
        <v>46207</v>
      </c>
    </row>
    <row r="487" spans="1:49" x14ac:dyDescent="0.25">
      <c r="A487" s="9" t="s">
        <v>2969</v>
      </c>
      <c r="B487" s="10" t="s">
        <v>3031</v>
      </c>
      <c r="C487" s="10" t="s">
        <v>97</v>
      </c>
      <c r="D487" s="10" t="s">
        <v>91</v>
      </c>
      <c r="E487" s="10"/>
      <c r="F487" s="10"/>
      <c r="G487" s="10" t="s">
        <v>4954</v>
      </c>
      <c r="H487" s="10" t="s">
        <v>52</v>
      </c>
      <c r="I487" s="10">
        <v>16</v>
      </c>
      <c r="J487" s="10" t="s">
        <v>3093</v>
      </c>
      <c r="K487" s="10" t="s">
        <v>42</v>
      </c>
      <c r="L487" s="10">
        <f>Table1[[#This Row],[ENR]]-Table1[[#This Row],[CREDIT]]</f>
        <v>5806.6300000000047</v>
      </c>
      <c r="M487" s="36">
        <v>100000</v>
      </c>
      <c r="N487" s="26">
        <v>105806.63</v>
      </c>
      <c r="O487" s="38" t="s">
        <v>43</v>
      </c>
      <c r="P487" s="25">
        <v>105806.63</v>
      </c>
      <c r="Q487" s="25">
        <v>99783.77</v>
      </c>
      <c r="R487" s="10">
        <v>26240</v>
      </c>
      <c r="S487" s="39">
        <v>14019</v>
      </c>
      <c r="T487" s="10" t="s">
        <v>44</v>
      </c>
      <c r="U487" s="10" t="s">
        <v>45</v>
      </c>
      <c r="V487" s="10">
        <v>0</v>
      </c>
      <c r="W487" s="25">
        <f>Table1[[#This Row],[STAB]]-Table1[[#This Row],[AMOUNT]]</f>
        <v>14019</v>
      </c>
      <c r="X487" s="10">
        <v>0</v>
      </c>
      <c r="Y487" s="10" t="s">
        <v>79</v>
      </c>
      <c r="Z487" s="10">
        <v>0</v>
      </c>
      <c r="AA487" s="10" t="s">
        <v>113</v>
      </c>
      <c r="AB487" s="36" t="s">
        <v>376</v>
      </c>
      <c r="AC487" s="10"/>
      <c r="AD487" s="9" t="s">
        <v>3155</v>
      </c>
      <c r="AE487" s="10" t="s">
        <v>3216</v>
      </c>
      <c r="AF487" s="10" t="s">
        <v>383</v>
      </c>
      <c r="AG487" s="10" t="s">
        <v>53</v>
      </c>
      <c r="AH487" s="10" t="s">
        <v>55</v>
      </c>
      <c r="AI487" s="10" t="s">
        <v>365</v>
      </c>
      <c r="AJ487" s="10">
        <v>802824019</v>
      </c>
      <c r="AK487" s="10" t="s">
        <v>360</v>
      </c>
      <c r="AL487" s="10"/>
      <c r="AM487" s="10"/>
      <c r="AN487" s="11" t="s">
        <v>390</v>
      </c>
      <c r="AO487" s="10" t="s">
        <v>398</v>
      </c>
      <c r="AP487" s="10" t="s">
        <v>4934</v>
      </c>
      <c r="AQ487" s="10" t="s">
        <v>4923</v>
      </c>
      <c r="AR487" s="2">
        <v>46167</v>
      </c>
      <c r="AS487" s="10">
        <v>16781</v>
      </c>
      <c r="AT487" s="10" t="s">
        <v>503</v>
      </c>
      <c r="AU487" s="10" t="s">
        <v>3266</v>
      </c>
      <c r="AV487" s="36" t="s">
        <v>3273</v>
      </c>
      <c r="AW487" s="1">
        <v>46207</v>
      </c>
    </row>
    <row r="488" spans="1:49" x14ac:dyDescent="0.25">
      <c r="A488" s="9" t="s">
        <v>2994</v>
      </c>
      <c r="B488" s="10" t="s">
        <v>3056</v>
      </c>
      <c r="C488" s="10">
        <v>0</v>
      </c>
      <c r="D488" s="10" t="s">
        <v>91</v>
      </c>
      <c r="E488" s="10"/>
      <c r="F488" s="10"/>
      <c r="G488" s="10"/>
      <c r="H488" s="10" t="s">
        <v>84</v>
      </c>
      <c r="I488" s="10">
        <v>16</v>
      </c>
      <c r="J488" s="10" t="s">
        <v>3118</v>
      </c>
      <c r="K488" s="10" t="s">
        <v>42</v>
      </c>
      <c r="L488" s="10">
        <f>Table1[[#This Row],[ENR]]-Table1[[#This Row],[CREDIT]]</f>
        <v>5229.5399999999936</v>
      </c>
      <c r="M488" s="36">
        <v>100000</v>
      </c>
      <c r="N488" s="26">
        <v>105229.54</v>
      </c>
      <c r="O488" s="38" t="s">
        <v>43</v>
      </c>
      <c r="P488" s="25">
        <v>105229.54</v>
      </c>
      <c r="Q488" s="25">
        <v>98521.2</v>
      </c>
      <c r="R488" s="10">
        <v>26630</v>
      </c>
      <c r="S488" s="39">
        <v>15000</v>
      </c>
      <c r="T488" s="10" t="s">
        <v>57</v>
      </c>
      <c r="U488" s="10" t="s">
        <v>13</v>
      </c>
      <c r="V488" s="10">
        <v>26630</v>
      </c>
      <c r="W488" s="25">
        <f>Table1[[#This Row],[STAB]]-Table1[[#This Row],[AMOUNT]]</f>
        <v>-11630</v>
      </c>
      <c r="X488" s="10" t="s">
        <v>4619</v>
      </c>
      <c r="Y488" s="10" t="s">
        <v>402</v>
      </c>
      <c r="Z488" s="10" t="s">
        <v>403</v>
      </c>
      <c r="AA488" s="10" t="s">
        <v>113</v>
      </c>
      <c r="AB488" s="36" t="s">
        <v>374</v>
      </c>
      <c r="AC488" s="10"/>
      <c r="AD488" s="9" t="s">
        <v>3180</v>
      </c>
      <c r="AE488" s="10" t="s">
        <v>1082</v>
      </c>
      <c r="AF488" s="10" t="s">
        <v>100</v>
      </c>
      <c r="AG488" s="10" t="s">
        <v>1362</v>
      </c>
      <c r="AH488" s="10" t="s">
        <v>723</v>
      </c>
      <c r="AI488" s="10" t="s">
        <v>369</v>
      </c>
      <c r="AJ488" s="10">
        <v>802823180</v>
      </c>
      <c r="AK488" s="10" t="s">
        <v>105</v>
      </c>
      <c r="AL488" s="10"/>
      <c r="AM488" s="10"/>
      <c r="AN488" s="11" t="s">
        <v>390</v>
      </c>
      <c r="AO488" s="10"/>
      <c r="AP488" s="10"/>
      <c r="AQ488" s="10"/>
      <c r="AR488" s="2">
        <v>45477</v>
      </c>
      <c r="AS488" s="10">
        <v>5480</v>
      </c>
      <c r="AT488" s="10" t="s">
        <v>503</v>
      </c>
      <c r="AU488" s="10" t="s">
        <v>3266</v>
      </c>
      <c r="AV488" s="36" t="s">
        <v>3298</v>
      </c>
      <c r="AW488" s="1">
        <v>46207</v>
      </c>
    </row>
    <row r="489" spans="1:49" x14ac:dyDescent="0.25">
      <c r="A489" s="9" t="s">
        <v>3008</v>
      </c>
      <c r="B489" s="10" t="s">
        <v>3070</v>
      </c>
      <c r="C489" s="10">
        <v>0</v>
      </c>
      <c r="D489" s="10" t="s">
        <v>91</v>
      </c>
      <c r="E489" s="10"/>
      <c r="F489" s="10"/>
      <c r="G489" s="10"/>
      <c r="H489" s="10" t="s">
        <v>52</v>
      </c>
      <c r="I489" s="10">
        <v>16</v>
      </c>
      <c r="J489" s="10" t="s">
        <v>3132</v>
      </c>
      <c r="K489" s="10" t="s">
        <v>42</v>
      </c>
      <c r="L489" s="10">
        <f>Table1[[#This Row],[ENR]]-Table1[[#This Row],[CREDIT]]</f>
        <v>4797.7299999999959</v>
      </c>
      <c r="M489" s="36">
        <v>100000</v>
      </c>
      <c r="N489" s="26">
        <v>104797.73</v>
      </c>
      <c r="O489" s="38" t="s">
        <v>43</v>
      </c>
      <c r="P489" s="25">
        <v>104797.73</v>
      </c>
      <c r="Q489" s="25">
        <v>94993.7</v>
      </c>
      <c r="R489" s="10">
        <v>20700</v>
      </c>
      <c r="S489" s="39">
        <v>5500</v>
      </c>
      <c r="T489" s="10" t="s">
        <v>57</v>
      </c>
      <c r="U489" s="10" t="s">
        <v>14</v>
      </c>
      <c r="V489" s="10">
        <v>0</v>
      </c>
      <c r="W489" s="25">
        <f>Table1[[#This Row],[STAB]]-Table1[[#This Row],[AMOUNT]]</f>
        <v>5500</v>
      </c>
      <c r="X489" s="10">
        <v>0</v>
      </c>
      <c r="Y489" s="10" t="s">
        <v>388</v>
      </c>
      <c r="Z489" s="10" t="s">
        <v>964</v>
      </c>
      <c r="AA489" s="10" t="s">
        <v>113</v>
      </c>
      <c r="AB489" s="10" t="s">
        <v>131</v>
      </c>
      <c r="AC489" s="10"/>
      <c r="AD489" s="9" t="s">
        <v>3193</v>
      </c>
      <c r="AE489" s="10" t="s">
        <v>3193</v>
      </c>
      <c r="AF489" s="10" t="s">
        <v>1319</v>
      </c>
      <c r="AG489" s="10" t="s">
        <v>54</v>
      </c>
      <c r="AH489" s="10" t="s">
        <v>93</v>
      </c>
      <c r="AI489" s="10" t="s">
        <v>364</v>
      </c>
      <c r="AJ489" s="10">
        <v>802663344</v>
      </c>
      <c r="AK489" s="10" t="s">
        <v>105</v>
      </c>
      <c r="AL489" s="10"/>
      <c r="AM489" s="10"/>
      <c r="AN489" s="11" t="s">
        <v>390</v>
      </c>
      <c r="AO489" s="10"/>
      <c r="AP489" s="10"/>
      <c r="AQ489" s="10"/>
      <c r="AR489" s="2">
        <v>46153</v>
      </c>
      <c r="AS489" s="10">
        <v>80500</v>
      </c>
      <c r="AT489" s="10" t="s">
        <v>1931</v>
      </c>
      <c r="AU489" s="10" t="s">
        <v>3266</v>
      </c>
      <c r="AV489" s="36" t="s">
        <v>3312</v>
      </c>
      <c r="AW489" s="1">
        <v>46207</v>
      </c>
    </row>
    <row r="490" spans="1:49" x14ac:dyDescent="0.25">
      <c r="A490" s="9" t="s">
        <v>4282</v>
      </c>
      <c r="B490" s="10" t="s">
        <v>4325</v>
      </c>
      <c r="C490" s="10">
        <v>0</v>
      </c>
      <c r="D490" s="10" t="s">
        <v>91</v>
      </c>
      <c r="E490" s="10"/>
      <c r="F490" s="10"/>
      <c r="G490" s="10"/>
      <c r="H490" s="10" t="s">
        <v>52</v>
      </c>
      <c r="I490" s="10">
        <v>16</v>
      </c>
      <c r="J490" s="10" t="s">
        <v>4368</v>
      </c>
      <c r="K490" s="10" t="s">
        <v>42</v>
      </c>
      <c r="L490" s="10">
        <f>Table1[[#This Row],[ENR]]-Table1[[#This Row],[CREDIT]]</f>
        <v>11081.220000000001</v>
      </c>
      <c r="M490" s="36">
        <v>90000</v>
      </c>
      <c r="N490" s="26">
        <v>101081.22</v>
      </c>
      <c r="O490" s="38" t="s">
        <v>43</v>
      </c>
      <c r="P490" s="25">
        <v>101081.22</v>
      </c>
      <c r="Q490" s="25">
        <v>88731.58</v>
      </c>
      <c r="R490" s="10">
        <v>28420</v>
      </c>
      <c r="S490" s="39">
        <v>8820</v>
      </c>
      <c r="T490" s="10" t="s">
        <v>57</v>
      </c>
      <c r="U490" s="10" t="s">
        <v>14</v>
      </c>
      <c r="V490" s="25">
        <v>26000</v>
      </c>
      <c r="W490" s="25">
        <f>Table1[[#This Row],[STAB]]-Table1[[#This Row],[AMOUNT]]</f>
        <v>-17180</v>
      </c>
      <c r="X490" s="10" t="s">
        <v>4936</v>
      </c>
      <c r="Y490" s="10" t="s">
        <v>402</v>
      </c>
      <c r="Z490" s="10" t="s">
        <v>403</v>
      </c>
      <c r="AA490" s="10" t="s">
        <v>113</v>
      </c>
      <c r="AB490" s="36" t="s">
        <v>376</v>
      </c>
      <c r="AC490" s="10"/>
      <c r="AD490" s="9" t="s">
        <v>4411</v>
      </c>
      <c r="AE490" s="10" t="s">
        <v>4454</v>
      </c>
      <c r="AF490" s="10" t="s">
        <v>276</v>
      </c>
      <c r="AG490" s="10" t="s">
        <v>324</v>
      </c>
      <c r="AH490" s="10" t="s">
        <v>354</v>
      </c>
      <c r="AI490" s="10" t="s">
        <v>367</v>
      </c>
      <c r="AJ490" s="10">
        <v>801436997</v>
      </c>
      <c r="AK490" s="10" t="s">
        <v>104</v>
      </c>
      <c r="AL490" s="10"/>
      <c r="AM490" s="10"/>
      <c r="AN490" s="11" t="s">
        <v>390</v>
      </c>
      <c r="AO490" s="10"/>
      <c r="AP490" s="10"/>
      <c r="AQ490" s="10"/>
      <c r="AR490" s="2">
        <v>46116</v>
      </c>
      <c r="AS490" s="10">
        <v>4000</v>
      </c>
      <c r="AT490" s="10" t="s">
        <v>689</v>
      </c>
      <c r="AU490" s="10" t="s">
        <v>4485</v>
      </c>
      <c r="AV490" s="36" t="s">
        <v>4495</v>
      </c>
      <c r="AW490" s="1">
        <v>46207</v>
      </c>
    </row>
    <row r="491" spans="1:49" x14ac:dyDescent="0.25">
      <c r="A491" s="9" t="s">
        <v>2988</v>
      </c>
      <c r="B491" s="10" t="s">
        <v>3050</v>
      </c>
      <c r="C491" s="10">
        <v>0</v>
      </c>
      <c r="D491" s="10" t="s">
        <v>91</v>
      </c>
      <c r="E491" s="10"/>
      <c r="F491" s="10"/>
      <c r="G491" s="10"/>
      <c r="H491" s="10" t="s">
        <v>84</v>
      </c>
      <c r="I491" s="10">
        <v>16</v>
      </c>
      <c r="J491" s="10" t="s">
        <v>3112</v>
      </c>
      <c r="K491" s="10" t="s">
        <v>460</v>
      </c>
      <c r="L491" s="10">
        <f>Table1[[#This Row],[ENR]]-Table1[[#This Row],[CREDIT]]</f>
        <v>-120101.8</v>
      </c>
      <c r="M491" s="36">
        <v>220000</v>
      </c>
      <c r="N491" s="26">
        <v>99898.2</v>
      </c>
      <c r="O491" s="38" t="s">
        <v>43</v>
      </c>
      <c r="P491" s="25">
        <v>99898.2</v>
      </c>
      <c r="Q491" s="25">
        <v>92042.2</v>
      </c>
      <c r="R491" s="10">
        <v>17550</v>
      </c>
      <c r="S491" s="39">
        <v>8770</v>
      </c>
      <c r="T491" s="10" t="s">
        <v>57</v>
      </c>
      <c r="U491" s="10" t="s">
        <v>13</v>
      </c>
      <c r="V491" s="10">
        <v>17550</v>
      </c>
      <c r="W491" s="25">
        <f>Table1[[#This Row],[STAB]]-Table1[[#This Row],[AMOUNT]]</f>
        <v>-8780</v>
      </c>
      <c r="X491" s="10" t="s">
        <v>4993</v>
      </c>
      <c r="Y491" s="10" t="s">
        <v>396</v>
      </c>
      <c r="Z491" s="10" t="s">
        <v>1968</v>
      </c>
      <c r="AA491" s="10" t="s">
        <v>113</v>
      </c>
      <c r="AB491" s="10" t="s">
        <v>375</v>
      </c>
      <c r="AC491" s="10"/>
      <c r="AD491" s="9" t="s">
        <v>3174</v>
      </c>
      <c r="AE491" s="10" t="s">
        <v>3235</v>
      </c>
      <c r="AF491" s="10" t="s">
        <v>285</v>
      </c>
      <c r="AG491" s="10" t="s">
        <v>54</v>
      </c>
      <c r="AH491" s="10" t="s">
        <v>94</v>
      </c>
      <c r="AI491" s="10" t="s">
        <v>725</v>
      </c>
      <c r="AJ491" s="10">
        <v>802794852</v>
      </c>
      <c r="AK491" s="10" t="s">
        <v>104</v>
      </c>
      <c r="AL491" s="10"/>
      <c r="AM491" s="10"/>
      <c r="AN491" s="11" t="s">
        <v>390</v>
      </c>
      <c r="AO491" s="10"/>
      <c r="AP491" s="10"/>
      <c r="AQ491" s="10"/>
      <c r="AR491" s="2">
        <v>46181</v>
      </c>
      <c r="AS491" s="10">
        <v>5030</v>
      </c>
      <c r="AT491" s="10" t="s">
        <v>503</v>
      </c>
      <c r="AU491" s="10" t="s">
        <v>3266</v>
      </c>
      <c r="AV491" s="36" t="s">
        <v>3292</v>
      </c>
      <c r="AW491" s="1">
        <v>46207</v>
      </c>
    </row>
    <row r="492" spans="1:49" x14ac:dyDescent="0.25">
      <c r="A492" s="9" t="s">
        <v>2965</v>
      </c>
      <c r="B492" s="10" t="s">
        <v>3027</v>
      </c>
      <c r="C492" s="10">
        <v>0</v>
      </c>
      <c r="D492" s="10" t="s">
        <v>91</v>
      </c>
      <c r="E492" s="10"/>
      <c r="F492" s="10"/>
      <c r="G492" s="10"/>
      <c r="H492" s="10" t="s">
        <v>52</v>
      </c>
      <c r="I492" s="10">
        <v>16</v>
      </c>
      <c r="J492" s="10" t="s">
        <v>3089</v>
      </c>
      <c r="K492" s="10" t="s">
        <v>42</v>
      </c>
      <c r="L492" s="10">
        <f>Table1[[#This Row],[ENR]]-Table1[[#This Row],[CREDIT]]</f>
        <v>8837.75</v>
      </c>
      <c r="M492" s="36">
        <v>90000</v>
      </c>
      <c r="N492" s="26">
        <v>98837.75</v>
      </c>
      <c r="O492" s="38" t="s">
        <v>43</v>
      </c>
      <c r="P492" s="25">
        <v>98837.75</v>
      </c>
      <c r="Q492" s="25">
        <v>87623.1</v>
      </c>
      <c r="R492" s="10">
        <v>24930</v>
      </c>
      <c r="S492" s="39">
        <v>9740</v>
      </c>
      <c r="T492" s="10" t="s">
        <v>44</v>
      </c>
      <c r="U492" s="10" t="s">
        <v>45</v>
      </c>
      <c r="V492" s="10">
        <v>0</v>
      </c>
      <c r="W492" s="25">
        <f>Table1[[#This Row],[STAB]]-Table1[[#This Row],[AMOUNT]]</f>
        <v>9740</v>
      </c>
      <c r="X492" s="10">
        <v>0</v>
      </c>
      <c r="Y492" s="10" t="s">
        <v>79</v>
      </c>
      <c r="Z492" s="10">
        <v>0</v>
      </c>
      <c r="AA492" s="10" t="s">
        <v>113</v>
      </c>
      <c r="AB492" s="41" t="s">
        <v>375</v>
      </c>
      <c r="AC492" s="10"/>
      <c r="AD492" s="9" t="s">
        <v>3151</v>
      </c>
      <c r="AE492" s="10" t="s">
        <v>3212</v>
      </c>
      <c r="AF492" s="10" t="s">
        <v>85</v>
      </c>
      <c r="AG492" s="10" t="s">
        <v>54</v>
      </c>
      <c r="AH492" s="10" t="s">
        <v>89</v>
      </c>
      <c r="AI492" s="10" t="s">
        <v>106</v>
      </c>
      <c r="AJ492" s="10">
        <v>802370852</v>
      </c>
      <c r="AK492" s="10" t="s">
        <v>105</v>
      </c>
      <c r="AL492" s="10"/>
      <c r="AM492" s="10"/>
      <c r="AN492" s="11" t="s">
        <v>390</v>
      </c>
      <c r="AO492" s="10" t="s">
        <v>398</v>
      </c>
      <c r="AP492" s="10" t="s">
        <v>5004</v>
      </c>
      <c r="AQ492" s="10" t="s">
        <v>4993</v>
      </c>
      <c r="AR492" s="2">
        <v>45536</v>
      </c>
      <c r="AS492" s="10">
        <v>35918.339999999997</v>
      </c>
      <c r="AT492" s="10" t="s">
        <v>48</v>
      </c>
      <c r="AU492" s="10" t="s">
        <v>3266</v>
      </c>
      <c r="AV492" s="36" t="s">
        <v>3269</v>
      </c>
      <c r="AW492" s="1">
        <v>46207</v>
      </c>
    </row>
    <row r="493" spans="1:49" x14ac:dyDescent="0.25">
      <c r="A493" s="9" t="s">
        <v>2989</v>
      </c>
      <c r="B493" s="10" t="s">
        <v>3051</v>
      </c>
      <c r="C493" s="10">
        <v>0</v>
      </c>
      <c r="D493" s="10" t="s">
        <v>91</v>
      </c>
      <c r="E493" s="10"/>
      <c r="F493" s="10"/>
      <c r="G493" s="10"/>
      <c r="H493" s="10" t="s">
        <v>52</v>
      </c>
      <c r="I493" s="10">
        <v>16</v>
      </c>
      <c r="J493" s="10" t="s">
        <v>3113</v>
      </c>
      <c r="K493" s="10" t="s">
        <v>42</v>
      </c>
      <c r="L493" s="10">
        <f>Table1[[#This Row],[ENR]]-Table1[[#This Row],[CREDIT]]</f>
        <v>-1401.3600000000006</v>
      </c>
      <c r="M493" s="36">
        <v>100000</v>
      </c>
      <c r="N493" s="26">
        <v>98598.64</v>
      </c>
      <c r="O493" s="38" t="s">
        <v>43</v>
      </c>
      <c r="P493" s="25">
        <v>98598.64</v>
      </c>
      <c r="Q493" s="25">
        <v>90364.87</v>
      </c>
      <c r="R493" s="10">
        <v>25140</v>
      </c>
      <c r="S493" s="39">
        <v>9630</v>
      </c>
      <c r="T493" s="10" t="s">
        <v>44</v>
      </c>
      <c r="U493" s="10" t="s">
        <v>45</v>
      </c>
      <c r="V493" s="10">
        <v>0</v>
      </c>
      <c r="W493" s="25">
        <f>Table1[[#This Row],[STAB]]-Table1[[#This Row],[AMOUNT]]</f>
        <v>9630</v>
      </c>
      <c r="X493" s="10">
        <v>0</v>
      </c>
      <c r="Y493" s="10" t="s">
        <v>79</v>
      </c>
      <c r="Z493" s="10">
        <v>0</v>
      </c>
      <c r="AA493" s="10" t="s">
        <v>113</v>
      </c>
      <c r="AB493" s="36" t="s">
        <v>376</v>
      </c>
      <c r="AC493" s="10"/>
      <c r="AD493" s="9" t="s">
        <v>3175</v>
      </c>
      <c r="AE493" s="10" t="s">
        <v>3236</v>
      </c>
      <c r="AF493" s="10" t="s">
        <v>282</v>
      </c>
      <c r="AG493" s="10" t="s">
        <v>54</v>
      </c>
      <c r="AH493" s="10" t="s">
        <v>1398</v>
      </c>
      <c r="AI493" s="10" t="s">
        <v>162</v>
      </c>
      <c r="AJ493" s="10">
        <v>801772794</v>
      </c>
      <c r="AK493" s="10" t="s">
        <v>361</v>
      </c>
      <c r="AL493" s="10"/>
      <c r="AM493" s="10"/>
      <c r="AN493" s="11" t="s">
        <v>46</v>
      </c>
      <c r="AO493" s="10"/>
      <c r="AP493" s="10"/>
      <c r="AQ493" s="10"/>
      <c r="AR493" s="2">
        <v>45848</v>
      </c>
      <c r="AS493" s="10">
        <v>4750</v>
      </c>
      <c r="AT493" s="10" t="s">
        <v>157</v>
      </c>
      <c r="AU493" s="10" t="s">
        <v>3266</v>
      </c>
      <c r="AV493" s="36" t="s">
        <v>3293</v>
      </c>
      <c r="AW493" s="1">
        <v>46207</v>
      </c>
    </row>
    <row r="494" spans="1:49" x14ac:dyDescent="0.25">
      <c r="A494" s="9" t="s">
        <v>2967</v>
      </c>
      <c r="B494" s="10" t="s">
        <v>3029</v>
      </c>
      <c r="C494" s="10">
        <v>0</v>
      </c>
      <c r="D494" s="10" t="s">
        <v>91</v>
      </c>
      <c r="E494" s="10"/>
      <c r="F494" s="10"/>
      <c r="G494" s="10"/>
      <c r="H494" s="10" t="s">
        <v>52</v>
      </c>
      <c r="I494" s="10">
        <v>16</v>
      </c>
      <c r="J494" s="10" t="s">
        <v>3091</v>
      </c>
      <c r="K494" s="10" t="s">
        <v>42</v>
      </c>
      <c r="L494" s="10">
        <f>Table1[[#This Row],[ENR]]-Table1[[#This Row],[CREDIT]]</f>
        <v>10728.839999999997</v>
      </c>
      <c r="M494" s="36">
        <v>80000</v>
      </c>
      <c r="N494" s="26">
        <v>90728.84</v>
      </c>
      <c r="O494" s="38">
        <v>13717.8</v>
      </c>
      <c r="P494" s="25">
        <v>77011.039999999994</v>
      </c>
      <c r="Q494" s="25">
        <v>65685.81</v>
      </c>
      <c r="R494" s="10">
        <v>42020</v>
      </c>
      <c r="S494" s="39">
        <v>20360</v>
      </c>
      <c r="T494" s="10" t="s">
        <v>44</v>
      </c>
      <c r="U494" s="10" t="s">
        <v>45</v>
      </c>
      <c r="V494" s="10">
        <v>0</v>
      </c>
      <c r="W494" s="25">
        <f>Table1[[#This Row],[STAB]]-Table1[[#This Row],[AMOUNT]]</f>
        <v>20360</v>
      </c>
      <c r="X494" s="10">
        <v>0</v>
      </c>
      <c r="Y494" s="10" t="s">
        <v>79</v>
      </c>
      <c r="Z494" s="10" t="s">
        <v>963</v>
      </c>
      <c r="AA494" s="10" t="s">
        <v>113</v>
      </c>
      <c r="AB494" s="36" t="s">
        <v>374</v>
      </c>
      <c r="AC494" s="10"/>
      <c r="AD494" s="9" t="s">
        <v>3153</v>
      </c>
      <c r="AE494" s="10" t="s">
        <v>3214</v>
      </c>
      <c r="AF494" s="10" t="s">
        <v>286</v>
      </c>
      <c r="AG494" s="10" t="s">
        <v>54</v>
      </c>
      <c r="AH494" s="10" t="s">
        <v>723</v>
      </c>
      <c r="AI494" s="10" t="s">
        <v>369</v>
      </c>
      <c r="AJ494" s="10">
        <v>802823180</v>
      </c>
      <c r="AK494" s="10" t="s">
        <v>105</v>
      </c>
      <c r="AL494" s="10"/>
      <c r="AM494" s="10"/>
      <c r="AN494" s="11" t="s">
        <v>46</v>
      </c>
      <c r="AO494" s="10"/>
      <c r="AP494" s="10"/>
      <c r="AQ494" s="10"/>
      <c r="AR494" s="2">
        <v>45872</v>
      </c>
      <c r="AS494" s="10">
        <v>4020</v>
      </c>
      <c r="AT494" s="10" t="s">
        <v>503</v>
      </c>
      <c r="AU494" s="10" t="s">
        <v>3266</v>
      </c>
      <c r="AV494" s="36" t="s">
        <v>3271</v>
      </c>
      <c r="AW494" s="1">
        <v>46207</v>
      </c>
    </row>
    <row r="495" spans="1:49" x14ac:dyDescent="0.25">
      <c r="A495" s="9" t="s">
        <v>4280</v>
      </c>
      <c r="B495" s="10" t="s">
        <v>4323</v>
      </c>
      <c r="C495" s="10">
        <v>0</v>
      </c>
      <c r="D495" s="10" t="s">
        <v>91</v>
      </c>
      <c r="E495" s="10"/>
      <c r="F495" s="10"/>
      <c r="G495" s="10"/>
      <c r="H495" s="10" t="s">
        <v>52</v>
      </c>
      <c r="I495" s="10">
        <v>16</v>
      </c>
      <c r="J495" s="10" t="s">
        <v>4366</v>
      </c>
      <c r="K495" s="10" t="s">
        <v>42</v>
      </c>
      <c r="L495" s="10">
        <f>Table1[[#This Row],[ENR]]-Table1[[#This Row],[CREDIT]]</f>
        <v>-9639.7200000000012</v>
      </c>
      <c r="M495" s="36">
        <v>100000</v>
      </c>
      <c r="N495" s="26">
        <v>90360.28</v>
      </c>
      <c r="O495" s="38" t="s">
        <v>43</v>
      </c>
      <c r="P495" s="25">
        <v>90360.28</v>
      </c>
      <c r="Q495" s="25">
        <v>81352.78</v>
      </c>
      <c r="R495" s="10">
        <v>14150</v>
      </c>
      <c r="S495" s="39">
        <v>4790</v>
      </c>
      <c r="T495" s="10" t="s">
        <v>44</v>
      </c>
      <c r="U495" s="10" t="s">
        <v>45</v>
      </c>
      <c r="V495" s="10">
        <v>0</v>
      </c>
      <c r="W495" s="25">
        <f>Table1[[#This Row],[STAB]]-Table1[[#This Row],[AMOUNT]]</f>
        <v>4790</v>
      </c>
      <c r="X495" s="10">
        <v>0</v>
      </c>
      <c r="Y495" s="10" t="s">
        <v>79</v>
      </c>
      <c r="Z495" s="10">
        <v>0</v>
      </c>
      <c r="AA495" s="10" t="s">
        <v>113</v>
      </c>
      <c r="AB495" s="10" t="s">
        <v>131</v>
      </c>
      <c r="AC495" s="10"/>
      <c r="AD495" s="9" t="s">
        <v>4409</v>
      </c>
      <c r="AE495" s="10" t="s">
        <v>4452</v>
      </c>
      <c r="AF495" s="10" t="s">
        <v>283</v>
      </c>
      <c r="AG495" s="10" t="s">
        <v>53</v>
      </c>
      <c r="AH495" s="10" t="s">
        <v>5582</v>
      </c>
      <c r="AI495" s="10" t="s">
        <v>2962</v>
      </c>
      <c r="AJ495" s="10">
        <v>801601134</v>
      </c>
      <c r="AK495" s="10" t="s">
        <v>104</v>
      </c>
      <c r="AL495" s="10"/>
      <c r="AM495" s="10"/>
      <c r="AN495" s="11" t="s">
        <v>46</v>
      </c>
      <c r="AO495" s="10"/>
      <c r="AP495" s="10"/>
      <c r="AQ495" s="10"/>
      <c r="AR495" s="2">
        <v>45591</v>
      </c>
      <c r="AS495" s="10">
        <v>24487.96</v>
      </c>
      <c r="AT495" s="10" t="s">
        <v>503</v>
      </c>
      <c r="AU495" s="10" t="s">
        <v>4485</v>
      </c>
      <c r="AV495" s="36" t="s">
        <v>4493</v>
      </c>
      <c r="AW495" s="1">
        <v>46207</v>
      </c>
    </row>
    <row r="496" spans="1:49" x14ac:dyDescent="0.25">
      <c r="A496" s="9" t="s">
        <v>3001</v>
      </c>
      <c r="B496" s="10" t="s">
        <v>3063</v>
      </c>
      <c r="C496" s="10">
        <v>0</v>
      </c>
      <c r="D496" s="10" t="s">
        <v>91</v>
      </c>
      <c r="E496" s="10"/>
      <c r="F496" s="10"/>
      <c r="G496" s="10" t="s">
        <v>4947</v>
      </c>
      <c r="H496" s="10" t="s">
        <v>52</v>
      </c>
      <c r="I496" s="10">
        <v>16</v>
      </c>
      <c r="J496" s="10" t="s">
        <v>3125</v>
      </c>
      <c r="K496" s="10" t="s">
        <v>42</v>
      </c>
      <c r="L496" s="10">
        <f>Table1[[#This Row],[ENR]]-Table1[[#This Row],[CREDIT]]</f>
        <v>10350.009999999995</v>
      </c>
      <c r="M496" s="36">
        <v>80000</v>
      </c>
      <c r="N496" s="26">
        <v>90350.01</v>
      </c>
      <c r="O496" s="38" t="s">
        <v>43</v>
      </c>
      <c r="P496" s="25">
        <v>90350.01</v>
      </c>
      <c r="Q496" s="25">
        <v>79663.990000000005</v>
      </c>
      <c r="R496" s="10">
        <v>25500</v>
      </c>
      <c r="S496" s="39">
        <v>7630</v>
      </c>
      <c r="T496" s="10" t="s">
        <v>57</v>
      </c>
      <c r="U496" s="10" t="s">
        <v>13</v>
      </c>
      <c r="V496" s="10">
        <v>25500</v>
      </c>
      <c r="W496" s="25">
        <f>Table1[[#This Row],[STAB]]-Table1[[#This Row],[AMOUNT]]</f>
        <v>-17870</v>
      </c>
      <c r="X496" s="10" t="s">
        <v>4937</v>
      </c>
      <c r="Y496" s="10" t="s">
        <v>402</v>
      </c>
      <c r="Z496" s="10" t="s">
        <v>403</v>
      </c>
      <c r="AA496" s="10" t="s">
        <v>113</v>
      </c>
      <c r="AB496" s="36" t="s">
        <v>133</v>
      </c>
      <c r="AC496" s="10"/>
      <c r="AD496" s="9" t="s">
        <v>3187</v>
      </c>
      <c r="AE496" s="10" t="s">
        <v>3247</v>
      </c>
      <c r="AF496" s="10" t="s">
        <v>274</v>
      </c>
      <c r="AG496" s="10" t="s">
        <v>53</v>
      </c>
      <c r="AH496" s="10" t="s">
        <v>55</v>
      </c>
      <c r="AI496" s="10" t="s">
        <v>365</v>
      </c>
      <c r="AJ496" s="10">
        <v>802824019</v>
      </c>
      <c r="AK496" s="10" t="s">
        <v>360</v>
      </c>
      <c r="AL496" s="10"/>
      <c r="AM496" s="10"/>
      <c r="AN496" s="11" t="s">
        <v>390</v>
      </c>
      <c r="AO496" s="10"/>
      <c r="AP496" s="10"/>
      <c r="AQ496" s="10"/>
      <c r="AR496" s="2">
        <v>45809</v>
      </c>
      <c r="AS496" s="10">
        <v>10760</v>
      </c>
      <c r="AT496" s="10" t="s">
        <v>503</v>
      </c>
      <c r="AU496" s="10" t="s">
        <v>3266</v>
      </c>
      <c r="AV496" s="36" t="s">
        <v>3305</v>
      </c>
      <c r="AW496" s="1">
        <v>46207</v>
      </c>
    </row>
    <row r="497" spans="1:49" x14ac:dyDescent="0.25">
      <c r="A497" s="9" t="s">
        <v>3003</v>
      </c>
      <c r="B497" s="10" t="s">
        <v>3065</v>
      </c>
      <c r="C497" s="10">
        <v>0</v>
      </c>
      <c r="D497" s="10" t="s">
        <v>91</v>
      </c>
      <c r="E497" s="10"/>
      <c r="F497" s="10"/>
      <c r="G497" s="10"/>
      <c r="H497" s="10" t="s">
        <v>52</v>
      </c>
      <c r="I497" s="10">
        <v>16</v>
      </c>
      <c r="J497" s="10" t="s">
        <v>3127</v>
      </c>
      <c r="K497" s="10" t="s">
        <v>42</v>
      </c>
      <c r="L497" s="10">
        <f>Table1[[#This Row],[ENR]]-Table1[[#This Row],[CREDIT]]</f>
        <v>7966.4499999999971</v>
      </c>
      <c r="M497" s="36">
        <v>80000</v>
      </c>
      <c r="N497" s="26">
        <v>87966.45</v>
      </c>
      <c r="O497" s="38" t="s">
        <v>43</v>
      </c>
      <c r="P497" s="25">
        <v>87966.45</v>
      </c>
      <c r="Q497" s="25">
        <v>77545.14</v>
      </c>
      <c r="R497" s="10">
        <v>22440</v>
      </c>
      <c r="S497" s="39">
        <v>8610</v>
      </c>
      <c r="T497" s="10" t="s">
        <v>57</v>
      </c>
      <c r="U497" s="10" t="s">
        <v>14</v>
      </c>
      <c r="V497" s="10">
        <v>8006</v>
      </c>
      <c r="W497" s="25">
        <f>Table1[[#This Row],[STAB]]-Table1[[#This Row],[AMOUNT]]</f>
        <v>604</v>
      </c>
      <c r="X497" s="10" t="s">
        <v>4976</v>
      </c>
      <c r="Y497" s="10" t="s">
        <v>402</v>
      </c>
      <c r="Z497" s="10" t="s">
        <v>963</v>
      </c>
      <c r="AA497" s="10" t="s">
        <v>113</v>
      </c>
      <c r="AB497" s="36" t="s">
        <v>132</v>
      </c>
      <c r="AC497" s="10"/>
      <c r="AD497" s="9" t="s">
        <v>3189</v>
      </c>
      <c r="AE497" s="10" t="s">
        <v>826</v>
      </c>
      <c r="AF497" s="10" t="s">
        <v>273</v>
      </c>
      <c r="AG497" s="10" t="s">
        <v>323</v>
      </c>
      <c r="AH497" s="10" t="s">
        <v>525</v>
      </c>
      <c r="AI497" s="10" t="s">
        <v>363</v>
      </c>
      <c r="AJ497" s="10">
        <v>802913252</v>
      </c>
      <c r="AK497" s="10" t="s">
        <v>104</v>
      </c>
      <c r="AL497" s="10"/>
      <c r="AM497" s="10"/>
      <c r="AN497" s="11" t="s">
        <v>390</v>
      </c>
      <c r="AO497" s="10" t="s">
        <v>392</v>
      </c>
      <c r="AP497" s="10" t="s">
        <v>6237</v>
      </c>
      <c r="AQ497" s="10" t="s">
        <v>4937</v>
      </c>
      <c r="AR497" s="2">
        <v>46145</v>
      </c>
      <c r="AS497" s="10">
        <v>4500</v>
      </c>
      <c r="AT497" s="10" t="s">
        <v>503</v>
      </c>
      <c r="AU497" s="10" t="s">
        <v>3266</v>
      </c>
      <c r="AV497" s="36" t="s">
        <v>3307</v>
      </c>
      <c r="AW497" s="1">
        <v>46207</v>
      </c>
    </row>
    <row r="498" spans="1:49" x14ac:dyDescent="0.25">
      <c r="A498" s="9" t="s">
        <v>4279</v>
      </c>
      <c r="B498" s="10" t="s">
        <v>4322</v>
      </c>
      <c r="C498" s="10">
        <v>0</v>
      </c>
      <c r="D498" s="10" t="s">
        <v>91</v>
      </c>
      <c r="E498" s="10"/>
      <c r="F498" s="10"/>
      <c r="G498" s="10"/>
      <c r="H498" s="10" t="s">
        <v>52</v>
      </c>
      <c r="I498" s="10">
        <v>16</v>
      </c>
      <c r="J498" s="10" t="s">
        <v>4365</v>
      </c>
      <c r="K498" s="10" t="s">
        <v>42</v>
      </c>
      <c r="L498" s="10">
        <f>Table1[[#This Row],[ENR]]-Table1[[#This Row],[CREDIT]]</f>
        <v>7956.4100000000035</v>
      </c>
      <c r="M498" s="36">
        <v>80000</v>
      </c>
      <c r="N498" s="26">
        <v>87956.41</v>
      </c>
      <c r="O498" s="38" t="s">
        <v>43</v>
      </c>
      <c r="P498" s="25">
        <v>87956.41</v>
      </c>
      <c r="Q498" s="25">
        <v>80358.100000000006</v>
      </c>
      <c r="R498" s="10">
        <v>22950</v>
      </c>
      <c r="S498" s="39">
        <v>5830</v>
      </c>
      <c r="T498" s="10" t="s">
        <v>57</v>
      </c>
      <c r="U498" s="10" t="s">
        <v>13</v>
      </c>
      <c r="V498" s="10">
        <v>87956.41</v>
      </c>
      <c r="W498" s="25">
        <f>Table1[[#This Row],[STAB]]-Table1[[#This Row],[AMOUNT]]</f>
        <v>-82126.41</v>
      </c>
      <c r="X498" s="10" t="s">
        <v>4993</v>
      </c>
      <c r="Y498" s="10" t="s">
        <v>402</v>
      </c>
      <c r="Z498" s="10" t="s">
        <v>403</v>
      </c>
      <c r="AA498" s="10" t="s">
        <v>113</v>
      </c>
      <c r="AB498" s="36" t="s">
        <v>374</v>
      </c>
      <c r="AC498" s="10"/>
      <c r="AD498" s="9" t="s">
        <v>4408</v>
      </c>
      <c r="AE498" s="10" t="s">
        <v>4451</v>
      </c>
      <c r="AF498" s="10" t="s">
        <v>276</v>
      </c>
      <c r="AG498" s="10" t="s">
        <v>324</v>
      </c>
      <c r="AH498" s="10" t="s">
        <v>354</v>
      </c>
      <c r="AI498" s="10" t="s">
        <v>367</v>
      </c>
      <c r="AJ498" s="10">
        <v>801436997</v>
      </c>
      <c r="AK498" s="10" t="s">
        <v>104</v>
      </c>
      <c r="AL498" s="10"/>
      <c r="AM498" s="10"/>
      <c r="AN498" s="11" t="s">
        <v>390</v>
      </c>
      <c r="AO498" s="10"/>
      <c r="AP498" s="10"/>
      <c r="AQ498" s="10"/>
      <c r="AR498" s="2">
        <v>45793</v>
      </c>
      <c r="AS498" s="10">
        <v>30000</v>
      </c>
      <c r="AT498" s="10" t="s">
        <v>503</v>
      </c>
      <c r="AU498" s="10" t="s">
        <v>4485</v>
      </c>
      <c r="AV498" s="36" t="s">
        <v>4492</v>
      </c>
      <c r="AW498" s="1">
        <v>46207</v>
      </c>
    </row>
    <row r="499" spans="1:49" x14ac:dyDescent="0.25">
      <c r="A499" s="40" t="s">
        <v>4276</v>
      </c>
      <c r="B499" s="11" t="s">
        <v>4319</v>
      </c>
      <c r="C499" s="10">
        <v>0</v>
      </c>
      <c r="D499" s="10" t="s">
        <v>91</v>
      </c>
      <c r="E499" s="11"/>
      <c r="F499" s="11"/>
      <c r="G499" s="11"/>
      <c r="H499" s="10" t="s">
        <v>52</v>
      </c>
      <c r="I499" s="11">
        <v>16</v>
      </c>
      <c r="J499" s="11" t="s">
        <v>4362</v>
      </c>
      <c r="K499" s="11" t="s">
        <v>42</v>
      </c>
      <c r="L499" s="11">
        <f>Table1[[#This Row],[ENR]]-Table1[[#This Row],[CREDIT]]</f>
        <v>-2924.070000000007</v>
      </c>
      <c r="M499" s="41">
        <v>90000</v>
      </c>
      <c r="N499" s="42">
        <v>87075.93</v>
      </c>
      <c r="O499" s="43">
        <v>16962.419999999998</v>
      </c>
      <c r="P499" s="44">
        <v>70113.509999999995</v>
      </c>
      <c r="Q499" s="44">
        <v>60801.74</v>
      </c>
      <c r="R499" s="11">
        <v>20410</v>
      </c>
      <c r="S499" s="45">
        <v>8960</v>
      </c>
      <c r="T499" s="10" t="s">
        <v>44</v>
      </c>
      <c r="U499" s="10" t="s">
        <v>45</v>
      </c>
      <c r="V499" s="10">
        <v>100</v>
      </c>
      <c r="W499" s="44">
        <f>Table1[[#This Row],[STAB]]-Table1[[#This Row],[AMOUNT]]</f>
        <v>8860</v>
      </c>
      <c r="X499" s="10">
        <v>0</v>
      </c>
      <c r="Y499" s="10" t="s">
        <v>79</v>
      </c>
      <c r="Z499" s="10" t="s">
        <v>403</v>
      </c>
      <c r="AA499" s="10" t="s">
        <v>113</v>
      </c>
      <c r="AB499" s="10" t="s">
        <v>374</v>
      </c>
      <c r="AC499" s="11"/>
      <c r="AD499" s="40" t="s">
        <v>4405</v>
      </c>
      <c r="AE499" s="11" t="s">
        <v>4448</v>
      </c>
      <c r="AF499" s="11" t="s">
        <v>280</v>
      </c>
      <c r="AG499" s="10" t="s">
        <v>54</v>
      </c>
      <c r="AH499" s="11" t="s">
        <v>280</v>
      </c>
      <c r="AI499" s="10" t="s">
        <v>365</v>
      </c>
      <c r="AJ499" s="11">
        <v>802824019</v>
      </c>
      <c r="AK499" s="11" t="s">
        <v>360</v>
      </c>
      <c r="AL499" s="11"/>
      <c r="AM499" s="11"/>
      <c r="AN499" s="11" t="s">
        <v>46</v>
      </c>
      <c r="AO499" s="11"/>
      <c r="AP499" s="11"/>
      <c r="AQ499" s="11"/>
      <c r="AR499" s="46">
        <v>45636</v>
      </c>
      <c r="AS499" s="11">
        <v>6400</v>
      </c>
      <c r="AT499" s="11" t="s">
        <v>503</v>
      </c>
      <c r="AU499" s="10" t="s">
        <v>4485</v>
      </c>
      <c r="AV499" s="41" t="s">
        <v>4489</v>
      </c>
      <c r="AW499" s="47">
        <v>46207</v>
      </c>
    </row>
    <row r="500" spans="1:49" x14ac:dyDescent="0.25">
      <c r="A500" s="9" t="s">
        <v>4294</v>
      </c>
      <c r="B500" s="10" t="s">
        <v>4337</v>
      </c>
      <c r="C500" s="10">
        <v>0</v>
      </c>
      <c r="D500" s="10" t="s">
        <v>91</v>
      </c>
      <c r="E500" s="10"/>
      <c r="F500" s="10"/>
      <c r="G500" s="10"/>
      <c r="H500" s="10" t="s">
        <v>52</v>
      </c>
      <c r="I500" s="10">
        <v>16</v>
      </c>
      <c r="J500" s="10" t="s">
        <v>4380</v>
      </c>
      <c r="K500" s="10" t="s">
        <v>42</v>
      </c>
      <c r="L500" s="10">
        <f>Table1[[#This Row],[ENR]]-Table1[[#This Row],[CREDIT]]</f>
        <v>7007.6000000000058</v>
      </c>
      <c r="M500" s="36">
        <v>80000</v>
      </c>
      <c r="N500" s="26">
        <v>87007.6</v>
      </c>
      <c r="O500" s="38" t="s">
        <v>43</v>
      </c>
      <c r="P500" s="25">
        <v>87007.6</v>
      </c>
      <c r="Q500" s="25">
        <v>79483.48</v>
      </c>
      <c r="R500" s="10">
        <v>21940</v>
      </c>
      <c r="S500" s="39">
        <v>3980</v>
      </c>
      <c r="T500" s="10" t="s">
        <v>57</v>
      </c>
      <c r="U500" s="10" t="s">
        <v>13</v>
      </c>
      <c r="V500" s="10">
        <v>21940</v>
      </c>
      <c r="W500" s="25">
        <f>Table1[[#This Row],[STAB]]-Table1[[#This Row],[AMOUNT]]</f>
        <v>-17960</v>
      </c>
      <c r="X500" s="10" t="s">
        <v>4993</v>
      </c>
      <c r="Y500" s="10" t="s">
        <v>402</v>
      </c>
      <c r="Z500" s="10" t="s">
        <v>403</v>
      </c>
      <c r="AA500" s="10" t="s">
        <v>113</v>
      </c>
      <c r="AB500" s="36" t="s">
        <v>131</v>
      </c>
      <c r="AC500" s="10"/>
      <c r="AD500" s="9" t="s">
        <v>4423</v>
      </c>
      <c r="AE500" s="10" t="s">
        <v>4466</v>
      </c>
      <c r="AF500" s="10" t="s">
        <v>500</v>
      </c>
      <c r="AG500" s="10" t="s">
        <v>54</v>
      </c>
      <c r="AH500" s="10" t="s">
        <v>99</v>
      </c>
      <c r="AI500" s="10" t="s">
        <v>363</v>
      </c>
      <c r="AJ500" s="10">
        <v>802913252</v>
      </c>
      <c r="AK500" s="10" t="s">
        <v>104</v>
      </c>
      <c r="AL500" s="10"/>
      <c r="AM500" s="10"/>
      <c r="AN500" s="11" t="s">
        <v>390</v>
      </c>
      <c r="AO500" s="10"/>
      <c r="AP500" s="10"/>
      <c r="AQ500" s="10"/>
      <c r="AR500" s="2">
        <v>45924</v>
      </c>
      <c r="AS500" s="10">
        <v>11800</v>
      </c>
      <c r="AT500" s="10" t="s">
        <v>503</v>
      </c>
      <c r="AU500" s="10" t="s">
        <v>4485</v>
      </c>
      <c r="AV500" s="36" t="s">
        <v>4507</v>
      </c>
      <c r="AW500" s="1">
        <v>46207</v>
      </c>
    </row>
    <row r="501" spans="1:49" x14ac:dyDescent="0.25">
      <c r="A501" s="9" t="s">
        <v>2977</v>
      </c>
      <c r="B501" s="10" t="s">
        <v>3039</v>
      </c>
      <c r="C501" s="10">
        <v>0</v>
      </c>
      <c r="D501" s="10" t="s">
        <v>91</v>
      </c>
      <c r="E501" s="10"/>
      <c r="F501" s="10"/>
      <c r="G501" s="10"/>
      <c r="H501" s="10" t="s">
        <v>52</v>
      </c>
      <c r="I501" s="10">
        <v>16</v>
      </c>
      <c r="J501" s="10" t="s">
        <v>3101</v>
      </c>
      <c r="K501" s="10" t="s">
        <v>42</v>
      </c>
      <c r="L501" s="10">
        <f>Table1[[#This Row],[ENR]]-Table1[[#This Row],[CREDIT]]</f>
        <v>6535.7100000000064</v>
      </c>
      <c r="M501" s="36">
        <v>80000</v>
      </c>
      <c r="N501" s="26">
        <v>86535.71</v>
      </c>
      <c r="O501" s="38" t="s">
        <v>43</v>
      </c>
      <c r="P501" s="25">
        <v>86535.71</v>
      </c>
      <c r="Q501" s="25">
        <v>79997.38</v>
      </c>
      <c r="R501" s="10">
        <v>20550</v>
      </c>
      <c r="S501" s="39">
        <v>4000</v>
      </c>
      <c r="T501" s="10" t="s">
        <v>44</v>
      </c>
      <c r="U501" s="10" t="s">
        <v>45</v>
      </c>
      <c r="V501" s="10">
        <v>0</v>
      </c>
      <c r="W501" s="25">
        <f>Table1[[#This Row],[STAB]]-Table1[[#This Row],[AMOUNT]]</f>
        <v>4000</v>
      </c>
      <c r="X501" s="10">
        <v>0</v>
      </c>
      <c r="Y501" s="10" t="s">
        <v>79</v>
      </c>
      <c r="Z501" s="10">
        <v>0</v>
      </c>
      <c r="AA501" s="10" t="s">
        <v>113</v>
      </c>
      <c r="AB501" s="10" t="s">
        <v>131</v>
      </c>
      <c r="AC501" s="10"/>
      <c r="AD501" s="9" t="s">
        <v>3163</v>
      </c>
      <c r="AE501" s="10" t="s">
        <v>3224</v>
      </c>
      <c r="AF501" s="10" t="s">
        <v>687</v>
      </c>
      <c r="AG501" s="10" t="s">
        <v>53</v>
      </c>
      <c r="AH501" s="10" t="s">
        <v>5582</v>
      </c>
      <c r="AI501" s="10" t="s">
        <v>2962</v>
      </c>
      <c r="AJ501" s="10">
        <v>801601134</v>
      </c>
      <c r="AK501" s="10" t="s">
        <v>104</v>
      </c>
      <c r="AL501" s="10"/>
      <c r="AM501" s="10"/>
      <c r="AN501" s="11" t="s">
        <v>46</v>
      </c>
      <c r="AO501" s="10"/>
      <c r="AP501" s="10"/>
      <c r="AQ501" s="10"/>
      <c r="AR501" s="2">
        <v>46146</v>
      </c>
      <c r="AS501" s="10">
        <v>37664</v>
      </c>
      <c r="AT501" s="10" t="s">
        <v>503</v>
      </c>
      <c r="AU501" s="10" t="s">
        <v>3266</v>
      </c>
      <c r="AV501" s="36" t="s">
        <v>3281</v>
      </c>
      <c r="AW501" s="1">
        <v>46207</v>
      </c>
    </row>
    <row r="502" spans="1:49" x14ac:dyDescent="0.25">
      <c r="A502" s="9" t="s">
        <v>4298</v>
      </c>
      <c r="B502" s="10" t="s">
        <v>4341</v>
      </c>
      <c r="C502" s="10">
        <v>0</v>
      </c>
      <c r="D502" s="10" t="s">
        <v>91</v>
      </c>
      <c r="E502" s="10"/>
      <c r="F502" s="10"/>
      <c r="G502" s="10"/>
      <c r="H502" s="10" t="s">
        <v>52</v>
      </c>
      <c r="I502" s="10">
        <v>16</v>
      </c>
      <c r="J502" s="10" t="s">
        <v>4384</v>
      </c>
      <c r="K502" s="10" t="s">
        <v>42</v>
      </c>
      <c r="L502" s="10">
        <f>Table1[[#This Row],[ENR]]-Table1[[#This Row],[CREDIT]]</f>
        <v>-114702.24</v>
      </c>
      <c r="M502" s="36">
        <v>200000</v>
      </c>
      <c r="N502" s="26">
        <v>85297.76</v>
      </c>
      <c r="O502" s="38" t="s">
        <v>43</v>
      </c>
      <c r="P502" s="25">
        <v>85297.76</v>
      </c>
      <c r="Q502" s="25">
        <v>77074.570000000007</v>
      </c>
      <c r="R502" s="10">
        <v>13040</v>
      </c>
      <c r="S502" s="39">
        <v>4080</v>
      </c>
      <c r="T502" s="10" t="s">
        <v>57</v>
      </c>
      <c r="U502" s="10" t="s">
        <v>13</v>
      </c>
      <c r="V502" s="10">
        <v>13040</v>
      </c>
      <c r="W502" s="25">
        <f>Table1[[#This Row],[STAB]]-Table1[[#This Row],[AMOUNT]]</f>
        <v>-8960</v>
      </c>
      <c r="X502" s="10">
        <v>0</v>
      </c>
      <c r="Y502" s="10" t="s">
        <v>388</v>
      </c>
      <c r="Z502" s="10" t="s">
        <v>963</v>
      </c>
      <c r="AA502" s="10" t="s">
        <v>113</v>
      </c>
      <c r="AB502" s="36" t="s">
        <v>376</v>
      </c>
      <c r="AC502" s="10"/>
      <c r="AD502" s="9" t="s">
        <v>4427</v>
      </c>
      <c r="AE502" s="10" t="s">
        <v>4469</v>
      </c>
      <c r="AF502" s="10" t="s">
        <v>499</v>
      </c>
      <c r="AG502" s="10" t="s">
        <v>53</v>
      </c>
      <c r="AH502" s="10" t="s">
        <v>55</v>
      </c>
      <c r="AI502" s="10" t="s">
        <v>365</v>
      </c>
      <c r="AJ502" s="10">
        <v>802824019</v>
      </c>
      <c r="AK502" s="10" t="s">
        <v>360</v>
      </c>
      <c r="AL502" s="10"/>
      <c r="AM502" s="10"/>
      <c r="AN502" s="11" t="s">
        <v>390</v>
      </c>
      <c r="AO502" s="10" t="s">
        <v>392</v>
      </c>
      <c r="AP502" s="10" t="s">
        <v>4992</v>
      </c>
      <c r="AQ502" s="10" t="s">
        <v>4936</v>
      </c>
      <c r="AR502" s="2">
        <v>46057</v>
      </c>
      <c r="AS502" s="10">
        <v>5100</v>
      </c>
      <c r="AT502" s="10" t="s">
        <v>3264</v>
      </c>
      <c r="AU502" s="10" t="s">
        <v>4485</v>
      </c>
      <c r="AV502" s="36" t="s">
        <v>4511</v>
      </c>
      <c r="AW502" s="1">
        <v>46207</v>
      </c>
    </row>
    <row r="503" spans="1:49" x14ac:dyDescent="0.25">
      <c r="A503" s="9" t="s">
        <v>2970</v>
      </c>
      <c r="B503" s="10" t="s">
        <v>3032</v>
      </c>
      <c r="C503" s="10">
        <v>0</v>
      </c>
      <c r="D503" s="10" t="s">
        <v>91</v>
      </c>
      <c r="E503" s="10"/>
      <c r="F503" s="10"/>
      <c r="G503" s="10"/>
      <c r="H503" s="10" t="s">
        <v>52</v>
      </c>
      <c r="I503" s="10">
        <v>16</v>
      </c>
      <c r="J503" s="10" t="s">
        <v>3094</v>
      </c>
      <c r="K503" s="10" t="s">
        <v>42</v>
      </c>
      <c r="L503" s="10">
        <f>Table1[[#This Row],[ENR]]-Table1[[#This Row],[CREDIT]]</f>
        <v>5199.8699999999953</v>
      </c>
      <c r="M503" s="36">
        <v>80000</v>
      </c>
      <c r="N503" s="26">
        <v>85199.87</v>
      </c>
      <c r="O503" s="38" t="s">
        <v>43</v>
      </c>
      <c r="P503" s="25">
        <v>85199.87</v>
      </c>
      <c r="Q503" s="25">
        <v>76381</v>
      </c>
      <c r="R503" s="10">
        <v>21210</v>
      </c>
      <c r="S503" s="39">
        <v>4410</v>
      </c>
      <c r="T503" s="10" t="s">
        <v>44</v>
      </c>
      <c r="U503" s="10" t="s">
        <v>45</v>
      </c>
      <c r="V503" s="10">
        <v>0</v>
      </c>
      <c r="W503" s="25">
        <f>Table1[[#This Row],[STAB]]-Table1[[#This Row],[AMOUNT]]</f>
        <v>4410</v>
      </c>
      <c r="X503" s="10">
        <v>0</v>
      </c>
      <c r="Y503" s="10" t="s">
        <v>79</v>
      </c>
      <c r="Z503" s="10">
        <v>0</v>
      </c>
      <c r="AA503" s="10" t="s">
        <v>113</v>
      </c>
      <c r="AB503" s="36" t="s">
        <v>131</v>
      </c>
      <c r="AC503" s="10"/>
      <c r="AD503" s="9" t="s">
        <v>3156</v>
      </c>
      <c r="AE503" s="10" t="s">
        <v>3217</v>
      </c>
      <c r="AF503" s="10" t="s">
        <v>283</v>
      </c>
      <c r="AG503" s="10" t="s">
        <v>53</v>
      </c>
      <c r="AH503" s="10" t="s">
        <v>5582</v>
      </c>
      <c r="AI503" s="10" t="s">
        <v>2962</v>
      </c>
      <c r="AJ503" s="10">
        <v>801601134</v>
      </c>
      <c r="AK503" s="10" t="s">
        <v>104</v>
      </c>
      <c r="AL503" s="10"/>
      <c r="AM503" s="10"/>
      <c r="AN503" s="11" t="s">
        <v>46</v>
      </c>
      <c r="AO503" s="10"/>
      <c r="AP503" s="10"/>
      <c r="AQ503" s="10"/>
      <c r="AR503" s="2">
        <v>45756</v>
      </c>
      <c r="AS503" s="10">
        <v>73600</v>
      </c>
      <c r="AT503" s="10" t="s">
        <v>503</v>
      </c>
      <c r="AU503" s="10" t="s">
        <v>3266</v>
      </c>
      <c r="AV503" s="36" t="s">
        <v>3274</v>
      </c>
      <c r="AW503" s="1">
        <v>46207</v>
      </c>
    </row>
    <row r="504" spans="1:49" x14ac:dyDescent="0.25">
      <c r="A504" s="9" t="s">
        <v>4275</v>
      </c>
      <c r="B504" s="10" t="s">
        <v>4318</v>
      </c>
      <c r="C504" s="10">
        <v>0</v>
      </c>
      <c r="D504" s="10" t="s">
        <v>91</v>
      </c>
      <c r="E504" s="10"/>
      <c r="F504" s="10"/>
      <c r="G504" s="10"/>
      <c r="H504" s="10" t="s">
        <v>52</v>
      </c>
      <c r="I504" s="10">
        <v>16</v>
      </c>
      <c r="J504" s="10" t="s">
        <v>4361</v>
      </c>
      <c r="K504" s="10" t="s">
        <v>42</v>
      </c>
      <c r="L504" s="10">
        <f>Table1[[#This Row],[ENR]]-Table1[[#This Row],[CREDIT]]</f>
        <v>3646</v>
      </c>
      <c r="M504" s="36">
        <v>80000</v>
      </c>
      <c r="N504" s="26">
        <v>83646</v>
      </c>
      <c r="O504" s="38">
        <v>5597.93</v>
      </c>
      <c r="P504" s="25">
        <v>78048.070000000007</v>
      </c>
      <c r="Q504" s="25">
        <v>72975.59</v>
      </c>
      <c r="R504" s="10">
        <v>12160</v>
      </c>
      <c r="S504" s="39">
        <v>6100</v>
      </c>
      <c r="T504" s="10" t="s">
        <v>57</v>
      </c>
      <c r="U504" s="10" t="s">
        <v>14</v>
      </c>
      <c r="V504" s="25">
        <v>6100</v>
      </c>
      <c r="W504" s="25">
        <f>Table1[[#This Row],[STAB]]-Table1[[#This Row],[AMOUNT]]</f>
        <v>0</v>
      </c>
      <c r="X504" s="10" t="s">
        <v>4936</v>
      </c>
      <c r="Y504" s="10" t="s">
        <v>396</v>
      </c>
      <c r="Z504" s="10" t="s">
        <v>403</v>
      </c>
      <c r="AA504" s="10" t="s">
        <v>113</v>
      </c>
      <c r="AB504" s="36" t="s">
        <v>374</v>
      </c>
      <c r="AC504" s="10"/>
      <c r="AD504" s="9" t="s">
        <v>4404</v>
      </c>
      <c r="AE504" s="10" t="s">
        <v>4447</v>
      </c>
      <c r="AF504" s="10" t="s">
        <v>85</v>
      </c>
      <c r="AG504" s="10" t="s">
        <v>54</v>
      </c>
      <c r="AH504" s="10" t="s">
        <v>89</v>
      </c>
      <c r="AI504" s="10" t="s">
        <v>106</v>
      </c>
      <c r="AJ504" s="10">
        <v>802370852</v>
      </c>
      <c r="AK504" s="10" t="s">
        <v>105</v>
      </c>
      <c r="AL504" s="10"/>
      <c r="AM504" s="10"/>
      <c r="AN504" s="11" t="s">
        <v>390</v>
      </c>
      <c r="AO504" s="10"/>
      <c r="AP504" s="10"/>
      <c r="AQ504" s="10"/>
      <c r="AR504" s="2">
        <v>46134</v>
      </c>
      <c r="AS504" s="10">
        <v>10656.06</v>
      </c>
      <c r="AT504" s="10" t="s">
        <v>503</v>
      </c>
      <c r="AU504" s="10" t="s">
        <v>4485</v>
      </c>
      <c r="AV504" s="36" t="s">
        <v>4488</v>
      </c>
      <c r="AW504" s="1">
        <v>46207</v>
      </c>
    </row>
    <row r="505" spans="1:49" x14ac:dyDescent="0.25">
      <c r="A505" s="9" t="s">
        <v>2976</v>
      </c>
      <c r="B505" s="10" t="s">
        <v>3038</v>
      </c>
      <c r="C505" s="10">
        <v>0</v>
      </c>
      <c r="D505" s="10" t="s">
        <v>91</v>
      </c>
      <c r="E505" s="10"/>
      <c r="F505" s="10"/>
      <c r="G505" s="10"/>
      <c r="H505" s="10" t="s">
        <v>52</v>
      </c>
      <c r="I505" s="10">
        <v>16</v>
      </c>
      <c r="J505" s="10" t="s">
        <v>3100</v>
      </c>
      <c r="K505" s="10" t="s">
        <v>42</v>
      </c>
      <c r="L505" s="10">
        <f>Table1[[#This Row],[ENR]]-Table1[[#This Row],[CREDIT]]</f>
        <v>-15751.529999999999</v>
      </c>
      <c r="M505" s="36">
        <v>98000</v>
      </c>
      <c r="N505" s="26">
        <v>82248.47</v>
      </c>
      <c r="O505" s="38" t="s">
        <v>43</v>
      </c>
      <c r="P505" s="25">
        <v>82248.47</v>
      </c>
      <c r="Q505" s="25">
        <v>71760.679999999993</v>
      </c>
      <c r="R505" s="10">
        <v>14410</v>
      </c>
      <c r="S505" s="39">
        <v>5910</v>
      </c>
      <c r="T505" s="10" t="s">
        <v>57</v>
      </c>
      <c r="U505" s="10" t="s">
        <v>14</v>
      </c>
      <c r="V505" s="10">
        <v>10000</v>
      </c>
      <c r="W505" s="25">
        <f>Table1[[#This Row],[STAB]]-Table1[[#This Row],[AMOUNT]]</f>
        <v>-4090</v>
      </c>
      <c r="X505" s="10" t="s">
        <v>4931</v>
      </c>
      <c r="Y505" s="10" t="s">
        <v>402</v>
      </c>
      <c r="Z505" s="10" t="s">
        <v>403</v>
      </c>
      <c r="AA505" s="10" t="s">
        <v>113</v>
      </c>
      <c r="AB505" s="36" t="s">
        <v>132</v>
      </c>
      <c r="AC505" s="10"/>
      <c r="AD505" s="9" t="s">
        <v>3162</v>
      </c>
      <c r="AE505" s="10" t="s">
        <v>3223</v>
      </c>
      <c r="AF505" s="10" t="s">
        <v>85</v>
      </c>
      <c r="AG505" s="10" t="s">
        <v>54</v>
      </c>
      <c r="AH505" s="10" t="s">
        <v>98</v>
      </c>
      <c r="AI505" s="10" t="s">
        <v>727</v>
      </c>
      <c r="AJ505" s="10">
        <v>802898520</v>
      </c>
      <c r="AK505" s="10" t="s">
        <v>104</v>
      </c>
      <c r="AL505" s="10"/>
      <c r="AM505" s="10"/>
      <c r="AN505" s="11" t="s">
        <v>390</v>
      </c>
      <c r="AO505" s="10"/>
      <c r="AP505" s="10"/>
      <c r="AQ505" s="10"/>
      <c r="AR505" s="2">
        <v>46156</v>
      </c>
      <c r="AS505" s="10">
        <v>24229.77</v>
      </c>
      <c r="AT505" s="10" t="s">
        <v>503</v>
      </c>
      <c r="AU505" s="10" t="s">
        <v>3266</v>
      </c>
      <c r="AV505" s="36" t="s">
        <v>3280</v>
      </c>
      <c r="AW505" s="1">
        <v>46207</v>
      </c>
    </row>
    <row r="506" spans="1:49" x14ac:dyDescent="0.25">
      <c r="A506" s="9" t="s">
        <v>2968</v>
      </c>
      <c r="B506" s="10" t="s">
        <v>3030</v>
      </c>
      <c r="C506" s="10">
        <v>0</v>
      </c>
      <c r="D506" s="10" t="s">
        <v>91</v>
      </c>
      <c r="E506" s="10"/>
      <c r="F506" s="10"/>
      <c r="G506" s="10"/>
      <c r="H506" s="10" t="s">
        <v>52</v>
      </c>
      <c r="I506" s="10">
        <v>16</v>
      </c>
      <c r="J506" s="10" t="s">
        <v>3092</v>
      </c>
      <c r="K506" s="10" t="s">
        <v>42</v>
      </c>
      <c r="L506" s="10">
        <f>Table1[[#This Row],[ENR]]-Table1[[#This Row],[CREDIT]]</f>
        <v>11039.479999999996</v>
      </c>
      <c r="M506" s="36">
        <v>70000</v>
      </c>
      <c r="N506" s="26">
        <v>81039.48</v>
      </c>
      <c r="O506" s="38" t="s">
        <v>43</v>
      </c>
      <c r="P506" s="25">
        <v>81039.48</v>
      </c>
      <c r="Q506" s="25">
        <v>69730.600000000006</v>
      </c>
      <c r="R506" s="10">
        <v>31040</v>
      </c>
      <c r="S506" s="39">
        <v>19429</v>
      </c>
      <c r="T506" s="10" t="s">
        <v>44</v>
      </c>
      <c r="U506" s="10" t="s">
        <v>45</v>
      </c>
      <c r="V506" s="10">
        <v>0</v>
      </c>
      <c r="W506" s="25">
        <f>Table1[[#This Row],[STAB]]-Table1[[#This Row],[AMOUNT]]</f>
        <v>19429</v>
      </c>
      <c r="X506" s="10">
        <v>0</v>
      </c>
      <c r="Y506" s="10" t="s">
        <v>79</v>
      </c>
      <c r="Z506" s="10">
        <v>0</v>
      </c>
      <c r="AA506" s="10" t="s">
        <v>113</v>
      </c>
      <c r="AB506" s="36" t="s">
        <v>133</v>
      </c>
      <c r="AC506" s="10"/>
      <c r="AD506" s="9" t="s">
        <v>3154</v>
      </c>
      <c r="AE506" s="10" t="s">
        <v>3215</v>
      </c>
      <c r="AF506" s="10" t="s">
        <v>273</v>
      </c>
      <c r="AG506" s="10" t="s">
        <v>324</v>
      </c>
      <c r="AH506" s="10" t="s">
        <v>355</v>
      </c>
      <c r="AI506" s="10" t="s">
        <v>372</v>
      </c>
      <c r="AJ506" s="10">
        <v>801597759</v>
      </c>
      <c r="AK506" s="10" t="s">
        <v>362</v>
      </c>
      <c r="AL506" s="10"/>
      <c r="AM506" s="10"/>
      <c r="AN506" s="11" t="s">
        <v>390</v>
      </c>
      <c r="AO506" s="10" t="s">
        <v>394</v>
      </c>
      <c r="AP506" s="10" t="s">
        <v>5005</v>
      </c>
      <c r="AQ506" s="10" t="s">
        <v>4993</v>
      </c>
      <c r="AR506" s="2">
        <v>46097</v>
      </c>
      <c r="AS506" s="10">
        <v>9.84</v>
      </c>
      <c r="AT506" s="10" t="s">
        <v>2620</v>
      </c>
      <c r="AU506" s="10" t="s">
        <v>3266</v>
      </c>
      <c r="AV506" s="36" t="s">
        <v>3272</v>
      </c>
      <c r="AW506" s="1">
        <v>46207</v>
      </c>
    </row>
    <row r="507" spans="1:49" x14ac:dyDescent="0.25">
      <c r="A507" s="9" t="s">
        <v>4273</v>
      </c>
      <c r="B507" s="10" t="s">
        <v>4316</v>
      </c>
      <c r="C507" s="10">
        <v>0</v>
      </c>
      <c r="D507" s="10" t="s">
        <v>91</v>
      </c>
      <c r="E507" s="10"/>
      <c r="F507" s="10"/>
      <c r="G507" s="10"/>
      <c r="H507" s="10" t="s">
        <v>52</v>
      </c>
      <c r="I507" s="10">
        <v>16</v>
      </c>
      <c r="J507" s="10" t="s">
        <v>4359</v>
      </c>
      <c r="K507" s="10" t="s">
        <v>42</v>
      </c>
      <c r="L507" s="10">
        <f>Table1[[#This Row],[ENR]]-Table1[[#This Row],[CREDIT]]</f>
        <v>-140059.78999999998</v>
      </c>
      <c r="M507" s="36">
        <v>220000</v>
      </c>
      <c r="N507" s="26">
        <v>79940.210000000006</v>
      </c>
      <c r="O507" s="38">
        <v>6577.1</v>
      </c>
      <c r="P507" s="25">
        <v>73363.11</v>
      </c>
      <c r="Q507" s="25">
        <v>65940.13</v>
      </c>
      <c r="R507" s="10">
        <v>14160</v>
      </c>
      <c r="S507" s="39">
        <v>5080</v>
      </c>
      <c r="T507" s="10" t="s">
        <v>44</v>
      </c>
      <c r="U507" s="10" t="s">
        <v>45</v>
      </c>
      <c r="V507" s="10">
        <v>0</v>
      </c>
      <c r="W507" s="25">
        <f>Table1[[#This Row],[STAB]]-Table1[[#This Row],[AMOUNT]]</f>
        <v>5080</v>
      </c>
      <c r="X507" s="10">
        <v>0</v>
      </c>
      <c r="Y507" s="10" t="s">
        <v>79</v>
      </c>
      <c r="Z507" s="10">
        <v>0</v>
      </c>
      <c r="AA507" s="10" t="s">
        <v>113</v>
      </c>
      <c r="AB507" s="36" t="s">
        <v>375</v>
      </c>
      <c r="AC507" s="10"/>
      <c r="AD507" s="9" t="s">
        <v>4402</v>
      </c>
      <c r="AE507" s="10" t="s">
        <v>4445</v>
      </c>
      <c r="AF507" s="10" t="s">
        <v>286</v>
      </c>
      <c r="AG507" s="10" t="s">
        <v>54</v>
      </c>
      <c r="AH507" s="10" t="s">
        <v>58</v>
      </c>
      <c r="AI507" s="10" t="s">
        <v>133</v>
      </c>
      <c r="AJ507" s="10">
        <v>802555024</v>
      </c>
      <c r="AK507" s="10" t="s">
        <v>362</v>
      </c>
      <c r="AL507" s="10"/>
      <c r="AM507" s="10"/>
      <c r="AN507" s="11" t="s">
        <v>390</v>
      </c>
      <c r="AO507" s="10" t="s">
        <v>392</v>
      </c>
      <c r="AP507" s="10" t="s">
        <v>5017</v>
      </c>
      <c r="AQ507" s="10" t="s">
        <v>4993</v>
      </c>
      <c r="AR507" s="2">
        <v>46144</v>
      </c>
      <c r="AS507" s="10">
        <v>20350</v>
      </c>
      <c r="AT507" s="10" t="s">
        <v>503</v>
      </c>
      <c r="AU507" s="10" t="s">
        <v>4485</v>
      </c>
      <c r="AV507" s="36" t="s">
        <v>4486</v>
      </c>
      <c r="AW507" s="1">
        <v>46207</v>
      </c>
    </row>
    <row r="508" spans="1:49" x14ac:dyDescent="0.25">
      <c r="A508" s="9" t="s">
        <v>2975</v>
      </c>
      <c r="B508" s="10" t="s">
        <v>3037</v>
      </c>
      <c r="C508" s="10">
        <v>0</v>
      </c>
      <c r="D508" s="10" t="s">
        <v>91</v>
      </c>
      <c r="E508" s="10"/>
      <c r="F508" s="10"/>
      <c r="G508" s="10"/>
      <c r="H508" s="10" t="s">
        <v>52</v>
      </c>
      <c r="I508" s="10">
        <v>16</v>
      </c>
      <c r="J508" s="10" t="s">
        <v>3099</v>
      </c>
      <c r="K508" s="10" t="s">
        <v>42</v>
      </c>
      <c r="L508" s="10">
        <f>Table1[[#This Row],[ENR]]-Table1[[#This Row],[CREDIT]]</f>
        <v>-2581.1199999999953</v>
      </c>
      <c r="M508" s="36">
        <v>80000</v>
      </c>
      <c r="N508" s="26">
        <v>77418.880000000005</v>
      </c>
      <c r="O508" s="38" t="s">
        <v>43</v>
      </c>
      <c r="P508" s="25">
        <v>77418.880000000005</v>
      </c>
      <c r="Q508" s="25">
        <v>64361.1</v>
      </c>
      <c r="R508" s="10">
        <v>16790</v>
      </c>
      <c r="S508" s="39">
        <v>7350</v>
      </c>
      <c r="T508" s="10" t="s">
        <v>57</v>
      </c>
      <c r="U508" s="10" t="s">
        <v>14</v>
      </c>
      <c r="V508" s="10">
        <v>7500</v>
      </c>
      <c r="W508" s="25">
        <f>Table1[[#This Row],[STAB]]-Table1[[#This Row],[AMOUNT]]</f>
        <v>-150</v>
      </c>
      <c r="X508" s="10" t="s">
        <v>4976</v>
      </c>
      <c r="Y508" s="10" t="s">
        <v>402</v>
      </c>
      <c r="Z508" s="10" t="s">
        <v>403</v>
      </c>
      <c r="AA508" s="10" t="s">
        <v>113</v>
      </c>
      <c r="AB508" s="36" t="s">
        <v>374</v>
      </c>
      <c r="AC508" s="10"/>
      <c r="AD508" s="9" t="s">
        <v>3161</v>
      </c>
      <c r="AE508" s="10" t="s">
        <v>3222</v>
      </c>
      <c r="AF508" s="10" t="s">
        <v>276</v>
      </c>
      <c r="AG508" s="10" t="s">
        <v>324</v>
      </c>
      <c r="AH508" s="10" t="s">
        <v>3588</v>
      </c>
      <c r="AI508" s="10" t="s">
        <v>367</v>
      </c>
      <c r="AJ508" s="10">
        <v>801436997</v>
      </c>
      <c r="AK508" s="10" t="s">
        <v>104</v>
      </c>
      <c r="AL508" s="10"/>
      <c r="AM508" s="10"/>
      <c r="AN508" s="11" t="s">
        <v>390</v>
      </c>
      <c r="AO508" s="10"/>
      <c r="AP508" s="10"/>
      <c r="AQ508" s="10"/>
      <c r="AR508" s="2">
        <v>46128</v>
      </c>
      <c r="AS508" s="10">
        <v>3</v>
      </c>
      <c r="AT508" s="10" t="s">
        <v>503</v>
      </c>
      <c r="AU508" s="10" t="s">
        <v>3266</v>
      </c>
      <c r="AV508" s="36" t="s">
        <v>3279</v>
      </c>
      <c r="AW508" s="1">
        <v>46207</v>
      </c>
    </row>
    <row r="509" spans="1:49" x14ac:dyDescent="0.25">
      <c r="A509" s="9" t="s">
        <v>3009</v>
      </c>
      <c r="B509" s="10" t="s">
        <v>3071</v>
      </c>
      <c r="C509" s="10">
        <v>0</v>
      </c>
      <c r="D509" s="10" t="s">
        <v>91</v>
      </c>
      <c r="E509" s="10"/>
      <c r="F509" s="10"/>
      <c r="G509" s="10"/>
      <c r="H509" s="10" t="s">
        <v>52</v>
      </c>
      <c r="I509" s="10">
        <v>16</v>
      </c>
      <c r="J509" s="10" t="s">
        <v>3133</v>
      </c>
      <c r="K509" s="10" t="s">
        <v>460</v>
      </c>
      <c r="L509" s="10">
        <f>Table1[[#This Row],[ENR]]-Table1[[#This Row],[CREDIT]]</f>
        <v>-24174.67</v>
      </c>
      <c r="M509" s="36">
        <v>100000</v>
      </c>
      <c r="N509" s="26">
        <v>75825.33</v>
      </c>
      <c r="O509" s="38" t="s">
        <v>43</v>
      </c>
      <c r="P509" s="25">
        <v>75825.33</v>
      </c>
      <c r="Q509" s="25">
        <v>69393.210000000006</v>
      </c>
      <c r="R509" s="10">
        <v>10770</v>
      </c>
      <c r="S509" s="39">
        <v>4090</v>
      </c>
      <c r="T509" s="10" t="s">
        <v>44</v>
      </c>
      <c r="U509" s="10" t="s">
        <v>45</v>
      </c>
      <c r="V509" s="10">
        <v>2000</v>
      </c>
      <c r="W509" s="25">
        <f>Table1[[#This Row],[STAB]]-Table1[[#This Row],[AMOUNT]]</f>
        <v>2090</v>
      </c>
      <c r="X509" s="10">
        <v>0</v>
      </c>
      <c r="Y509" s="10" t="s">
        <v>79</v>
      </c>
      <c r="Z509" s="10" t="s">
        <v>963</v>
      </c>
      <c r="AA509" s="10" t="s">
        <v>113</v>
      </c>
      <c r="AB509" s="36" t="s">
        <v>376</v>
      </c>
      <c r="AC509" s="10"/>
      <c r="AD509" s="9" t="s">
        <v>3194</v>
      </c>
      <c r="AE509" s="10" t="s">
        <v>3194</v>
      </c>
      <c r="AF509" s="10" t="s">
        <v>1739</v>
      </c>
      <c r="AG509" s="10" t="s">
        <v>53</v>
      </c>
      <c r="AH509" s="10" t="s">
        <v>1364</v>
      </c>
      <c r="AI509" s="10" t="s">
        <v>1405</v>
      </c>
      <c r="AJ509" s="10">
        <v>802175739</v>
      </c>
      <c r="AK509" s="10" t="s">
        <v>104</v>
      </c>
      <c r="AL509" s="10"/>
      <c r="AM509" s="10"/>
      <c r="AN509" s="11" t="s">
        <v>46</v>
      </c>
      <c r="AO509" s="10"/>
      <c r="AP509" s="10"/>
      <c r="AQ509" s="10"/>
      <c r="AR509" s="2">
        <v>46156</v>
      </c>
      <c r="AS509" s="10">
        <v>4280</v>
      </c>
      <c r="AT509" s="10" t="s">
        <v>1931</v>
      </c>
      <c r="AU509" s="10" t="s">
        <v>3266</v>
      </c>
      <c r="AV509" s="36" t="s">
        <v>3313</v>
      </c>
      <c r="AW509" s="1">
        <v>46207</v>
      </c>
    </row>
    <row r="510" spans="1:49" x14ac:dyDescent="0.25">
      <c r="A510" s="9" t="s">
        <v>2993</v>
      </c>
      <c r="B510" s="10" t="s">
        <v>3055</v>
      </c>
      <c r="C510" s="10">
        <v>0</v>
      </c>
      <c r="D510" s="10" t="s">
        <v>91</v>
      </c>
      <c r="E510" s="10"/>
      <c r="F510" s="10"/>
      <c r="G510" s="10"/>
      <c r="H510" s="10" t="s">
        <v>84</v>
      </c>
      <c r="I510" s="10">
        <v>16</v>
      </c>
      <c r="J510" s="10" t="s">
        <v>3117</v>
      </c>
      <c r="K510" s="10" t="s">
        <v>42</v>
      </c>
      <c r="L510" s="10">
        <f>Table1[[#This Row],[ENR]]-Table1[[#This Row],[CREDIT]]</f>
        <v>-14418.130000000005</v>
      </c>
      <c r="M510" s="36">
        <v>90000</v>
      </c>
      <c r="N510" s="26">
        <v>75581.87</v>
      </c>
      <c r="O510" s="38" t="s">
        <v>43</v>
      </c>
      <c r="P510" s="25">
        <v>75581.87</v>
      </c>
      <c r="Q510" s="25">
        <v>67747.59</v>
      </c>
      <c r="R510" s="10">
        <v>15050</v>
      </c>
      <c r="S510" s="39">
        <v>7020</v>
      </c>
      <c r="T510" s="10" t="s">
        <v>57</v>
      </c>
      <c r="U510" s="10" t="s">
        <v>14</v>
      </c>
      <c r="V510" s="10">
        <v>7100</v>
      </c>
      <c r="W510" s="25">
        <f>Table1[[#This Row],[STAB]]-Table1[[#This Row],[AMOUNT]]</f>
        <v>-80</v>
      </c>
      <c r="X510" s="10" t="s">
        <v>4976</v>
      </c>
      <c r="Y510" s="10" t="s">
        <v>396</v>
      </c>
      <c r="Z510" s="10" t="s">
        <v>403</v>
      </c>
      <c r="AA510" s="10" t="s">
        <v>113</v>
      </c>
      <c r="AB510" s="10" t="s">
        <v>375</v>
      </c>
      <c r="AC510" s="10"/>
      <c r="AD510" s="9" t="s">
        <v>3179</v>
      </c>
      <c r="AE510" s="10" t="s">
        <v>3240</v>
      </c>
      <c r="AF510" s="10" t="s">
        <v>278</v>
      </c>
      <c r="AG510" s="10" t="s">
        <v>54</v>
      </c>
      <c r="AH510" s="10" t="s">
        <v>86</v>
      </c>
      <c r="AI510" s="10" t="s">
        <v>369</v>
      </c>
      <c r="AJ510" s="10">
        <v>802823180</v>
      </c>
      <c r="AK510" s="10" t="s">
        <v>105</v>
      </c>
      <c r="AL510" s="10"/>
      <c r="AM510" s="10"/>
      <c r="AN510" s="11" t="s">
        <v>390</v>
      </c>
      <c r="AO510" s="10" t="s">
        <v>392</v>
      </c>
      <c r="AP510" s="10" t="s">
        <v>6361</v>
      </c>
      <c r="AQ510" s="10" t="s">
        <v>4976</v>
      </c>
      <c r="AR510" s="2">
        <v>45371</v>
      </c>
      <c r="AS510" s="10">
        <v>3065</v>
      </c>
      <c r="AT510" s="10" t="s">
        <v>503</v>
      </c>
      <c r="AU510" s="10" t="s">
        <v>3266</v>
      </c>
      <c r="AV510" s="36" t="s">
        <v>3297</v>
      </c>
      <c r="AW510" s="1">
        <v>46207</v>
      </c>
    </row>
    <row r="511" spans="1:49" x14ac:dyDescent="0.25">
      <c r="A511" s="9" t="s">
        <v>3024</v>
      </c>
      <c r="B511" s="10" t="s">
        <v>3086</v>
      </c>
      <c r="C511" s="10">
        <v>0</v>
      </c>
      <c r="D511" s="10" t="s">
        <v>91</v>
      </c>
      <c r="E511" s="10"/>
      <c r="F511" s="10"/>
      <c r="G511" s="10"/>
      <c r="H511" s="10" t="s">
        <v>52</v>
      </c>
      <c r="I511" s="10">
        <v>16</v>
      </c>
      <c r="J511" s="10" t="s">
        <v>3148</v>
      </c>
      <c r="K511" s="10" t="s">
        <v>42</v>
      </c>
      <c r="L511" s="10">
        <f>Table1[[#This Row],[ENR]]-Table1[[#This Row],[CREDIT]]</f>
        <v>38130.929999999993</v>
      </c>
      <c r="M511" s="36">
        <v>37000</v>
      </c>
      <c r="N511" s="26">
        <v>75130.929999999993</v>
      </c>
      <c r="O511" s="38" t="s">
        <v>43</v>
      </c>
      <c r="P511" s="25">
        <v>75130.929999999993</v>
      </c>
      <c r="Q511" s="25">
        <v>66731.34</v>
      </c>
      <c r="R511" s="10">
        <v>59920</v>
      </c>
      <c r="S511" s="39">
        <v>49730</v>
      </c>
      <c r="T511" s="10" t="s">
        <v>44</v>
      </c>
      <c r="U511" s="10" t="s">
        <v>45</v>
      </c>
      <c r="V511" s="10">
        <v>0</v>
      </c>
      <c r="W511" s="25">
        <f>Table1[[#This Row],[STAB]]-Table1[[#This Row],[AMOUNT]]</f>
        <v>49730</v>
      </c>
      <c r="X511" s="10">
        <v>0</v>
      </c>
      <c r="Y511" s="10" t="s">
        <v>79</v>
      </c>
      <c r="Z511" s="10">
        <v>0</v>
      </c>
      <c r="AA511" s="10" t="s">
        <v>113</v>
      </c>
      <c r="AB511" s="36" t="s">
        <v>375</v>
      </c>
      <c r="AC511" s="10"/>
      <c r="AD511" s="9" t="s">
        <v>3209</v>
      </c>
      <c r="AE511" s="10" t="s">
        <v>3263</v>
      </c>
      <c r="AF511" s="10" t="s">
        <v>501</v>
      </c>
      <c r="AG511" s="10" t="s">
        <v>53</v>
      </c>
      <c r="AH511" s="10" t="s">
        <v>116</v>
      </c>
      <c r="AI511" s="10" t="s">
        <v>2961</v>
      </c>
      <c r="AJ511" s="10">
        <v>845041675</v>
      </c>
      <c r="AK511" s="10" t="s">
        <v>104</v>
      </c>
      <c r="AL511" s="10"/>
      <c r="AM511" s="10"/>
      <c r="AN511" s="11" t="s">
        <v>46</v>
      </c>
      <c r="AO511" s="10"/>
      <c r="AP511" s="10"/>
      <c r="AQ511" s="10"/>
      <c r="AR511" s="2">
        <v>45968</v>
      </c>
      <c r="AS511" s="10">
        <v>57000</v>
      </c>
      <c r="AT511" s="10" t="s">
        <v>294</v>
      </c>
      <c r="AU511" s="10" t="s">
        <v>3266</v>
      </c>
      <c r="AV511" s="36" t="s">
        <v>3328</v>
      </c>
      <c r="AW511" s="1">
        <v>46207</v>
      </c>
    </row>
    <row r="512" spans="1:49" x14ac:dyDescent="0.25">
      <c r="A512" s="9" t="s">
        <v>4292</v>
      </c>
      <c r="B512" s="10" t="s">
        <v>4335</v>
      </c>
      <c r="C512" s="10">
        <v>0</v>
      </c>
      <c r="D512" s="10" t="s">
        <v>91</v>
      </c>
      <c r="E512" s="10"/>
      <c r="F512" s="10"/>
      <c r="G512" s="10"/>
      <c r="H512" s="10" t="s">
        <v>52</v>
      </c>
      <c r="I512" s="10">
        <v>16</v>
      </c>
      <c r="J512" s="10" t="s">
        <v>4378</v>
      </c>
      <c r="K512" s="10" t="s">
        <v>42</v>
      </c>
      <c r="L512" s="10">
        <f>Table1[[#This Row],[ENR]]-Table1[[#This Row],[CREDIT]]</f>
        <v>2247.1000000000058</v>
      </c>
      <c r="M512" s="36">
        <v>70000</v>
      </c>
      <c r="N512" s="26">
        <v>72247.100000000006</v>
      </c>
      <c r="O512" s="38">
        <v>48511.21</v>
      </c>
      <c r="P512" s="25">
        <v>23735.89</v>
      </c>
      <c r="Q512" s="25">
        <v>19630.79</v>
      </c>
      <c r="R512" s="10">
        <v>10200</v>
      </c>
      <c r="S512" s="39">
        <v>3400</v>
      </c>
      <c r="T512" s="10" t="s">
        <v>57</v>
      </c>
      <c r="U512" s="10" t="s">
        <v>14</v>
      </c>
      <c r="V512" s="10">
        <v>0</v>
      </c>
      <c r="W512" s="25">
        <f>Table1[[#This Row],[STAB]]-Table1[[#This Row],[AMOUNT]]</f>
        <v>3400</v>
      </c>
      <c r="X512" s="10" t="s">
        <v>4976</v>
      </c>
      <c r="Y512" s="10" t="s">
        <v>402</v>
      </c>
      <c r="Z512" s="10" t="s">
        <v>403</v>
      </c>
      <c r="AA512" s="10" t="s">
        <v>113</v>
      </c>
      <c r="AB512" s="36" t="s">
        <v>132</v>
      </c>
      <c r="AC512" s="10"/>
      <c r="AD512" s="9" t="s">
        <v>4421</v>
      </c>
      <c r="AE512" s="10" t="s">
        <v>4464</v>
      </c>
      <c r="AF512" s="10" t="s">
        <v>1739</v>
      </c>
      <c r="AG512" s="10" t="s">
        <v>53</v>
      </c>
      <c r="AH512" s="10" t="s">
        <v>1364</v>
      </c>
      <c r="AI512" s="10" t="s">
        <v>1405</v>
      </c>
      <c r="AJ512" s="10">
        <v>802175739</v>
      </c>
      <c r="AK512" s="10" t="s">
        <v>104</v>
      </c>
      <c r="AL512" s="10"/>
      <c r="AM512" s="10"/>
      <c r="AN512" s="11" t="s">
        <v>390</v>
      </c>
      <c r="AO512" s="10"/>
      <c r="AP512" s="10"/>
      <c r="AQ512" s="10"/>
      <c r="AR512" s="2">
        <v>45392</v>
      </c>
      <c r="AS512" s="10">
        <v>5650</v>
      </c>
      <c r="AT512" s="10" t="s">
        <v>503</v>
      </c>
      <c r="AU512" s="10" t="s">
        <v>4485</v>
      </c>
      <c r="AV512" s="36" t="s">
        <v>4505</v>
      </c>
      <c r="AW512" s="1">
        <v>46207</v>
      </c>
    </row>
    <row r="513" spans="1:49" x14ac:dyDescent="0.25">
      <c r="A513" s="9" t="s">
        <v>3022</v>
      </c>
      <c r="B513" s="10" t="s">
        <v>3084</v>
      </c>
      <c r="C513" s="10">
        <v>0</v>
      </c>
      <c r="D513" s="10" t="s">
        <v>91</v>
      </c>
      <c r="E513" s="10"/>
      <c r="F513" s="10"/>
      <c r="G513" s="10"/>
      <c r="H513" s="10" t="s">
        <v>52</v>
      </c>
      <c r="I513" s="10">
        <v>16</v>
      </c>
      <c r="J513" s="10" t="s">
        <v>3146</v>
      </c>
      <c r="K513" s="10" t="s">
        <v>42</v>
      </c>
      <c r="L513" s="10">
        <f>Table1[[#This Row],[ENR]]-Table1[[#This Row],[CREDIT]]</f>
        <v>7109.8600000000006</v>
      </c>
      <c r="M513" s="36">
        <v>65000</v>
      </c>
      <c r="N513" s="26">
        <v>72109.86</v>
      </c>
      <c r="O513" s="38" t="s">
        <v>43</v>
      </c>
      <c r="P513" s="25">
        <v>72109.86</v>
      </c>
      <c r="Q513" s="25">
        <v>64909.97</v>
      </c>
      <c r="R513" s="10">
        <v>23560</v>
      </c>
      <c r="S513" s="39">
        <v>14840</v>
      </c>
      <c r="T513" s="10" t="s">
        <v>57</v>
      </c>
      <c r="U513" s="10" t="s">
        <v>13</v>
      </c>
      <c r="V513" s="25">
        <v>15510</v>
      </c>
      <c r="W513" s="25">
        <f>Table1[[#This Row],[STAB]]-Table1[[#This Row],[AMOUNT]]</f>
        <v>-670</v>
      </c>
      <c r="X513" s="10">
        <v>0</v>
      </c>
      <c r="Y513" s="10" t="s">
        <v>388</v>
      </c>
      <c r="Z513" s="10" t="s">
        <v>963</v>
      </c>
      <c r="AA513" s="10" t="s">
        <v>113</v>
      </c>
      <c r="AB513" s="36" t="s">
        <v>376</v>
      </c>
      <c r="AC513" s="10"/>
      <c r="AD513" s="9" t="s">
        <v>3207</v>
      </c>
      <c r="AE513" s="10" t="s">
        <v>3261</v>
      </c>
      <c r="AF513" s="10" t="s">
        <v>1319</v>
      </c>
      <c r="AG513" s="10" t="s">
        <v>54</v>
      </c>
      <c r="AH513" s="10" t="s">
        <v>94</v>
      </c>
      <c r="AI513" s="10" t="s">
        <v>725</v>
      </c>
      <c r="AJ513" s="10">
        <v>802794852</v>
      </c>
      <c r="AK513" s="10" t="s">
        <v>104</v>
      </c>
      <c r="AL513" s="10"/>
      <c r="AM513" s="10"/>
      <c r="AN513" s="11" t="s">
        <v>390</v>
      </c>
      <c r="AO513" s="10" t="s">
        <v>392</v>
      </c>
      <c r="AP513" s="10" t="s">
        <v>4646</v>
      </c>
      <c r="AQ513" s="10" t="s">
        <v>4601</v>
      </c>
      <c r="AR513" s="2">
        <v>46167</v>
      </c>
      <c r="AS513" s="10">
        <v>460</v>
      </c>
      <c r="AT513" s="10" t="s">
        <v>3265</v>
      </c>
      <c r="AU513" s="10" t="s">
        <v>3266</v>
      </c>
      <c r="AV513" s="36" t="s">
        <v>3326</v>
      </c>
      <c r="AW513" s="1">
        <v>46207</v>
      </c>
    </row>
    <row r="514" spans="1:49" x14ac:dyDescent="0.25">
      <c r="A514" s="9" t="s">
        <v>4287</v>
      </c>
      <c r="B514" s="10" t="s">
        <v>4330</v>
      </c>
      <c r="C514" s="10">
        <v>0</v>
      </c>
      <c r="D514" s="10" t="s">
        <v>91</v>
      </c>
      <c r="E514" s="10"/>
      <c r="F514" s="10"/>
      <c r="G514" s="10"/>
      <c r="H514" s="10" t="s">
        <v>52</v>
      </c>
      <c r="I514" s="10">
        <v>16</v>
      </c>
      <c r="J514" s="10" t="s">
        <v>4373</v>
      </c>
      <c r="K514" s="10" t="s">
        <v>42</v>
      </c>
      <c r="L514" s="10">
        <f>Table1[[#This Row],[ENR]]-Table1[[#This Row],[CREDIT]]</f>
        <v>6637.1399999999994</v>
      </c>
      <c r="M514" s="36">
        <v>60000</v>
      </c>
      <c r="N514" s="26">
        <v>66637.14</v>
      </c>
      <c r="O514" s="38" t="s">
        <v>43</v>
      </c>
      <c r="P514" s="25">
        <v>66637.14</v>
      </c>
      <c r="Q514" s="25">
        <v>59696.72</v>
      </c>
      <c r="R514" s="10">
        <v>16650</v>
      </c>
      <c r="S514" s="39">
        <v>2910</v>
      </c>
      <c r="T514" s="10" t="s">
        <v>44</v>
      </c>
      <c r="U514" s="10" t="s">
        <v>45</v>
      </c>
      <c r="V514" s="10">
        <v>0</v>
      </c>
      <c r="W514" s="25">
        <f>Table1[[#This Row],[STAB]]-Table1[[#This Row],[AMOUNT]]</f>
        <v>2910</v>
      </c>
      <c r="X514" s="10">
        <v>0</v>
      </c>
      <c r="Y514" s="10" t="s">
        <v>79</v>
      </c>
      <c r="Z514" s="10">
        <v>0</v>
      </c>
      <c r="AA514" s="10" t="s">
        <v>113</v>
      </c>
      <c r="AB514" s="36" t="s">
        <v>133</v>
      </c>
      <c r="AC514" s="10"/>
      <c r="AD514" s="9" t="s">
        <v>4416</v>
      </c>
      <c r="AE514" s="10" t="s">
        <v>4459</v>
      </c>
      <c r="AF514" s="10" t="s">
        <v>281</v>
      </c>
      <c r="AG514" s="10" t="s">
        <v>54</v>
      </c>
      <c r="AH514" s="10" t="s">
        <v>99</v>
      </c>
      <c r="AI514" s="10" t="s">
        <v>363</v>
      </c>
      <c r="AJ514" s="10">
        <v>802913252</v>
      </c>
      <c r="AK514" s="10" t="s">
        <v>104</v>
      </c>
      <c r="AL514" s="10"/>
      <c r="AM514" s="10"/>
      <c r="AN514" s="11" t="s">
        <v>46</v>
      </c>
      <c r="AO514" s="10"/>
      <c r="AP514" s="10"/>
      <c r="AQ514" s="10"/>
      <c r="AR514" s="2">
        <v>45877</v>
      </c>
      <c r="AS514" s="10">
        <v>5</v>
      </c>
      <c r="AT514" s="10" t="s">
        <v>503</v>
      </c>
      <c r="AU514" s="10" t="s">
        <v>4485</v>
      </c>
      <c r="AV514" s="36" t="s">
        <v>4500</v>
      </c>
      <c r="AW514" s="1">
        <v>46207</v>
      </c>
    </row>
    <row r="515" spans="1:49" x14ac:dyDescent="0.25">
      <c r="A515" s="9" t="s">
        <v>4274</v>
      </c>
      <c r="B515" s="10" t="s">
        <v>4317</v>
      </c>
      <c r="C515" s="10">
        <v>0</v>
      </c>
      <c r="D515" s="10" t="s">
        <v>91</v>
      </c>
      <c r="E515" s="10"/>
      <c r="F515" s="10"/>
      <c r="G515" s="10"/>
      <c r="H515" s="10" t="s">
        <v>52</v>
      </c>
      <c r="I515" s="10">
        <v>16</v>
      </c>
      <c r="J515" s="10" t="s">
        <v>4360</v>
      </c>
      <c r="K515" s="10" t="s">
        <v>42</v>
      </c>
      <c r="L515" s="10">
        <f>Table1[[#This Row],[ENR]]-Table1[[#This Row],[CREDIT]]</f>
        <v>-44593.57</v>
      </c>
      <c r="M515" s="36">
        <v>110000</v>
      </c>
      <c r="N515" s="26">
        <v>65406.43</v>
      </c>
      <c r="O515" s="38">
        <v>56139.99</v>
      </c>
      <c r="P515" s="25">
        <v>9266.44</v>
      </c>
      <c r="Q515" s="25">
        <v>5359.02</v>
      </c>
      <c r="R515" s="10">
        <v>9266.44</v>
      </c>
      <c r="S515" s="39">
        <v>3748.1</v>
      </c>
      <c r="T515" s="10" t="s">
        <v>57</v>
      </c>
      <c r="U515" s="10" t="s">
        <v>14</v>
      </c>
      <c r="V515" s="10">
        <v>3748.1</v>
      </c>
      <c r="W515" s="25">
        <f>Table1[[#This Row],[STAB]]-Table1[[#This Row],[AMOUNT]]</f>
        <v>0</v>
      </c>
      <c r="X515" s="10" t="s">
        <v>4931</v>
      </c>
      <c r="Y515" s="10" t="s">
        <v>396</v>
      </c>
      <c r="Z515" s="10" t="s">
        <v>403</v>
      </c>
      <c r="AA515" s="10" t="s">
        <v>113</v>
      </c>
      <c r="AB515" s="36" t="s">
        <v>133</v>
      </c>
      <c r="AC515" s="10"/>
      <c r="AD515" s="9" t="s">
        <v>4403</v>
      </c>
      <c r="AE515" s="10" t="s">
        <v>4446</v>
      </c>
      <c r="AF515" s="10" t="s">
        <v>274</v>
      </c>
      <c r="AG515" s="10" t="s">
        <v>53</v>
      </c>
      <c r="AH515" s="10" t="s">
        <v>55</v>
      </c>
      <c r="AI515" s="10" t="s">
        <v>365</v>
      </c>
      <c r="AJ515" s="10">
        <v>802824019</v>
      </c>
      <c r="AK515" s="10" t="s">
        <v>360</v>
      </c>
      <c r="AL515" s="10"/>
      <c r="AM515" s="10"/>
      <c r="AN515" s="11" t="s">
        <v>390</v>
      </c>
      <c r="AO515" s="10" t="s">
        <v>392</v>
      </c>
      <c r="AP515" s="10" t="s">
        <v>958</v>
      </c>
      <c r="AQ515" s="10" t="s">
        <v>4931</v>
      </c>
      <c r="AR515" s="2">
        <v>46115</v>
      </c>
      <c r="AS515" s="10">
        <v>4352.1400000000003</v>
      </c>
      <c r="AT515" s="10" t="s">
        <v>503</v>
      </c>
      <c r="AU515" s="10" t="s">
        <v>4485</v>
      </c>
      <c r="AV515" s="36" t="s">
        <v>4487</v>
      </c>
      <c r="AW515" s="1">
        <v>46207</v>
      </c>
    </row>
    <row r="516" spans="1:49" x14ac:dyDescent="0.25">
      <c r="A516" s="9" t="s">
        <v>2972</v>
      </c>
      <c r="B516" s="10" t="s">
        <v>3034</v>
      </c>
      <c r="C516" s="10">
        <v>0</v>
      </c>
      <c r="D516" s="10" t="s">
        <v>91</v>
      </c>
      <c r="E516" s="10"/>
      <c r="F516" s="10"/>
      <c r="G516" s="10"/>
      <c r="H516" s="10" t="s">
        <v>84</v>
      </c>
      <c r="I516" s="10">
        <v>16</v>
      </c>
      <c r="J516" s="10" t="s">
        <v>3096</v>
      </c>
      <c r="K516" s="10" t="s">
        <v>42</v>
      </c>
      <c r="L516" s="10">
        <f>Table1[[#This Row],[ENR]]-Table1[[#This Row],[CREDIT]]</f>
        <v>647.94999999999709</v>
      </c>
      <c r="M516" s="36">
        <v>64000</v>
      </c>
      <c r="N516" s="26">
        <v>64647.95</v>
      </c>
      <c r="O516" s="38" t="s">
        <v>43</v>
      </c>
      <c r="P516" s="25">
        <v>64647.95</v>
      </c>
      <c r="Q516" s="25">
        <v>59931.78</v>
      </c>
      <c r="R516" s="10">
        <v>16790</v>
      </c>
      <c r="S516" s="39">
        <v>11600</v>
      </c>
      <c r="T516" s="10" t="s">
        <v>44</v>
      </c>
      <c r="U516" s="10" t="s">
        <v>45</v>
      </c>
      <c r="V516" s="10">
        <v>0</v>
      </c>
      <c r="W516" s="25">
        <f>Table1[[#This Row],[STAB]]-Table1[[#This Row],[AMOUNT]]</f>
        <v>11600</v>
      </c>
      <c r="X516" s="10">
        <v>0</v>
      </c>
      <c r="Y516" s="10" t="s">
        <v>79</v>
      </c>
      <c r="Z516" s="10">
        <v>0</v>
      </c>
      <c r="AA516" s="10" t="s">
        <v>113</v>
      </c>
      <c r="AB516" s="36" t="s">
        <v>374</v>
      </c>
      <c r="AC516" s="10"/>
      <c r="AD516" s="9" t="s">
        <v>3158</v>
      </c>
      <c r="AE516" s="10" t="s">
        <v>3219</v>
      </c>
      <c r="AF516" s="10" t="s">
        <v>278</v>
      </c>
      <c r="AG516" s="10" t="s">
        <v>54</v>
      </c>
      <c r="AH516" s="10" t="s">
        <v>723</v>
      </c>
      <c r="AI516" s="10" t="s">
        <v>369</v>
      </c>
      <c r="AJ516" s="10">
        <v>802823180</v>
      </c>
      <c r="AK516" s="10" t="s">
        <v>105</v>
      </c>
      <c r="AL516" s="10"/>
      <c r="AM516" s="10"/>
      <c r="AN516" s="11" t="s">
        <v>46</v>
      </c>
      <c r="AO516" s="10"/>
      <c r="AP516" s="10"/>
      <c r="AQ516" s="10"/>
      <c r="AR516" s="2">
        <v>46186</v>
      </c>
      <c r="AS516" s="10">
        <v>4000</v>
      </c>
      <c r="AT516" s="10" t="s">
        <v>503</v>
      </c>
      <c r="AU516" s="10" t="s">
        <v>3266</v>
      </c>
      <c r="AV516" s="36" t="s">
        <v>3276</v>
      </c>
      <c r="AW516" s="1">
        <v>46207</v>
      </c>
    </row>
    <row r="517" spans="1:49" x14ac:dyDescent="0.25">
      <c r="A517" s="9" t="s">
        <v>3000</v>
      </c>
      <c r="B517" s="10" t="s">
        <v>3062</v>
      </c>
      <c r="C517" s="10">
        <v>0</v>
      </c>
      <c r="D517" s="10" t="s">
        <v>91</v>
      </c>
      <c r="E517" s="10"/>
      <c r="F517" s="10"/>
      <c r="G517" s="10"/>
      <c r="H517" s="10" t="s">
        <v>52</v>
      </c>
      <c r="I517" s="10">
        <v>16</v>
      </c>
      <c r="J517" s="10" t="s">
        <v>3124</v>
      </c>
      <c r="K517" s="10" t="s">
        <v>42</v>
      </c>
      <c r="L517" s="10">
        <f>Table1[[#This Row],[ENR]]-Table1[[#This Row],[CREDIT]]</f>
        <v>3704.2699999999968</v>
      </c>
      <c r="M517" s="36">
        <v>60000</v>
      </c>
      <c r="N517" s="26">
        <v>63704.27</v>
      </c>
      <c r="O517" s="38" t="s">
        <v>43</v>
      </c>
      <c r="P517" s="25">
        <v>63704.27</v>
      </c>
      <c r="Q517" s="25">
        <v>58409.13</v>
      </c>
      <c r="R517" s="10">
        <v>21250</v>
      </c>
      <c r="S517" s="39">
        <v>10930</v>
      </c>
      <c r="T517" s="10" t="s">
        <v>57</v>
      </c>
      <c r="U517" s="10" t="s">
        <v>14</v>
      </c>
      <c r="V517" s="10">
        <v>11000</v>
      </c>
      <c r="W517" s="25">
        <f>Table1[[#This Row],[STAB]]-Table1[[#This Row],[AMOUNT]]</f>
        <v>-70</v>
      </c>
      <c r="X517" s="10" t="s">
        <v>4976</v>
      </c>
      <c r="Y517" s="10" t="s">
        <v>396</v>
      </c>
      <c r="Z517" s="10" t="s">
        <v>403</v>
      </c>
      <c r="AA517" s="10" t="s">
        <v>113</v>
      </c>
      <c r="AB517" s="10" t="s">
        <v>133</v>
      </c>
      <c r="AC517" s="10"/>
      <c r="AD517" s="9" t="s">
        <v>3186</v>
      </c>
      <c r="AE517" s="10" t="s">
        <v>3246</v>
      </c>
      <c r="AF517" s="10" t="s">
        <v>1103</v>
      </c>
      <c r="AG517" s="10" t="s">
        <v>80</v>
      </c>
      <c r="AH517" s="10" t="s">
        <v>524</v>
      </c>
      <c r="AI517" s="10" t="s">
        <v>82</v>
      </c>
      <c r="AJ517" s="10">
        <v>801723195</v>
      </c>
      <c r="AK517" s="10" t="s">
        <v>105</v>
      </c>
      <c r="AL517" s="10"/>
      <c r="AM517" s="10"/>
      <c r="AN517" s="11" t="s">
        <v>390</v>
      </c>
      <c r="AO517" s="10" t="s">
        <v>392</v>
      </c>
      <c r="AP517" s="10" t="s">
        <v>6338</v>
      </c>
      <c r="AQ517" s="10" t="s">
        <v>4976</v>
      </c>
      <c r="AR517" s="2">
        <v>46093</v>
      </c>
      <c r="AS517" s="10">
        <v>5860</v>
      </c>
      <c r="AT517" s="10" t="s">
        <v>503</v>
      </c>
      <c r="AU517" s="10" t="s">
        <v>3266</v>
      </c>
      <c r="AV517" s="36" t="s">
        <v>3304</v>
      </c>
      <c r="AW517" s="1">
        <v>46207</v>
      </c>
    </row>
    <row r="518" spans="1:49" x14ac:dyDescent="0.25">
      <c r="A518" s="9" t="s">
        <v>2984</v>
      </c>
      <c r="B518" s="10" t="s">
        <v>3046</v>
      </c>
      <c r="C518" s="10">
        <v>0</v>
      </c>
      <c r="D518" s="10" t="s">
        <v>91</v>
      </c>
      <c r="E518" s="10"/>
      <c r="F518" s="10"/>
      <c r="G518" s="10"/>
      <c r="H518" s="10" t="s">
        <v>52</v>
      </c>
      <c r="I518" s="10">
        <v>16</v>
      </c>
      <c r="J518" s="10" t="s">
        <v>3108</v>
      </c>
      <c r="K518" s="10" t="s">
        <v>42</v>
      </c>
      <c r="L518" s="10">
        <f>Table1[[#This Row],[ENR]]-Table1[[#This Row],[CREDIT]]</f>
        <v>-12272.07</v>
      </c>
      <c r="M518" s="36">
        <v>75000</v>
      </c>
      <c r="N518" s="26">
        <v>62727.93</v>
      </c>
      <c r="O518" s="38" t="s">
        <v>43</v>
      </c>
      <c r="P518" s="25">
        <v>62727.93</v>
      </c>
      <c r="Q518" s="25">
        <v>58499.1</v>
      </c>
      <c r="R518" s="10">
        <v>10790</v>
      </c>
      <c r="S518" s="39">
        <v>6108.88</v>
      </c>
      <c r="T518" s="10" t="s">
        <v>44</v>
      </c>
      <c r="U518" s="10" t="s">
        <v>45</v>
      </c>
      <c r="V518" s="10">
        <v>0</v>
      </c>
      <c r="W518" s="25">
        <f>Table1[[#This Row],[STAB]]-Table1[[#This Row],[AMOUNT]]</f>
        <v>6108.88</v>
      </c>
      <c r="X518" s="10">
        <v>0</v>
      </c>
      <c r="Y518" s="10" t="s">
        <v>79</v>
      </c>
      <c r="Z518" s="10">
        <v>0</v>
      </c>
      <c r="AA518" s="10" t="s">
        <v>113</v>
      </c>
      <c r="AB518" s="36" t="s">
        <v>132</v>
      </c>
      <c r="AC518" s="10"/>
      <c r="AD518" s="9" t="s">
        <v>3170</v>
      </c>
      <c r="AE518" s="10" t="s">
        <v>3231</v>
      </c>
      <c r="AF518" s="10" t="s">
        <v>286</v>
      </c>
      <c r="AG518" s="10" t="s">
        <v>54</v>
      </c>
      <c r="AH518" s="10" t="s">
        <v>723</v>
      </c>
      <c r="AI518" s="10" t="s">
        <v>369</v>
      </c>
      <c r="AJ518" s="10">
        <v>802823180</v>
      </c>
      <c r="AK518" s="10" t="s">
        <v>105</v>
      </c>
      <c r="AL518" s="10"/>
      <c r="AM518" s="10"/>
      <c r="AN518" s="11" t="s">
        <v>46</v>
      </c>
      <c r="AO518" s="10"/>
      <c r="AP518" s="10"/>
      <c r="AQ518" s="10"/>
      <c r="AR518" s="2">
        <v>46164</v>
      </c>
      <c r="AS518" s="10">
        <v>13151.12</v>
      </c>
      <c r="AT518" s="10" t="s">
        <v>503</v>
      </c>
      <c r="AU518" s="10" t="s">
        <v>3266</v>
      </c>
      <c r="AV518" s="36" t="s">
        <v>3288</v>
      </c>
      <c r="AW518" s="1">
        <v>46207</v>
      </c>
    </row>
    <row r="519" spans="1:49" x14ac:dyDescent="0.25">
      <c r="A519" s="9" t="s">
        <v>3012</v>
      </c>
      <c r="B519" s="10" t="s">
        <v>3074</v>
      </c>
      <c r="C519" s="10">
        <v>0</v>
      </c>
      <c r="D519" s="10" t="s">
        <v>91</v>
      </c>
      <c r="E519" s="10"/>
      <c r="F519" s="10"/>
      <c r="G519" s="10"/>
      <c r="H519" s="10" t="s">
        <v>52</v>
      </c>
      <c r="I519" s="10">
        <v>16</v>
      </c>
      <c r="J519" s="10" t="s">
        <v>3136</v>
      </c>
      <c r="K519" s="10" t="s">
        <v>42</v>
      </c>
      <c r="L519" s="10">
        <f>Table1[[#This Row],[ENR]]-Table1[[#This Row],[CREDIT]]</f>
        <v>-29084.21</v>
      </c>
      <c r="M519" s="36">
        <v>90000</v>
      </c>
      <c r="N519" s="26">
        <v>60915.79</v>
      </c>
      <c r="O519" s="38" t="s">
        <v>43</v>
      </c>
      <c r="P519" s="25">
        <v>60915.79</v>
      </c>
      <c r="Q519" s="25">
        <v>56613.52</v>
      </c>
      <c r="R519" s="10">
        <v>9330</v>
      </c>
      <c r="S519" s="39">
        <v>4650</v>
      </c>
      <c r="T519" s="10" t="s">
        <v>44</v>
      </c>
      <c r="U519" s="10" t="s">
        <v>45</v>
      </c>
      <c r="V519" s="10">
        <v>0</v>
      </c>
      <c r="W519" s="25">
        <f>Table1[[#This Row],[STAB]]-Table1[[#This Row],[AMOUNT]]</f>
        <v>4650</v>
      </c>
      <c r="X519" s="10">
        <v>0</v>
      </c>
      <c r="Y519" s="10" t="s">
        <v>79</v>
      </c>
      <c r="Z519" s="10">
        <v>0</v>
      </c>
      <c r="AA519" s="10" t="s">
        <v>113</v>
      </c>
      <c r="AB519" s="36" t="s">
        <v>131</v>
      </c>
      <c r="AC519" s="10"/>
      <c r="AD519" s="9" t="s">
        <v>3197</v>
      </c>
      <c r="AE519" s="10" t="s">
        <v>3254</v>
      </c>
      <c r="AF519" s="10" t="s">
        <v>281</v>
      </c>
      <c r="AG519" s="10" t="s">
        <v>54</v>
      </c>
      <c r="AH519" s="10" t="s">
        <v>724</v>
      </c>
      <c r="AI519" s="10" t="s">
        <v>365</v>
      </c>
      <c r="AJ519" s="10">
        <v>802824019</v>
      </c>
      <c r="AK519" s="10" t="s">
        <v>360</v>
      </c>
      <c r="AL519" s="10"/>
      <c r="AM519" s="10"/>
      <c r="AN519" s="11" t="s">
        <v>390</v>
      </c>
      <c r="AO519" s="10" t="s">
        <v>392</v>
      </c>
      <c r="AP519" s="10" t="s">
        <v>6350</v>
      </c>
      <c r="AQ519" s="10" t="s">
        <v>4976</v>
      </c>
      <c r="AR519" s="2">
        <v>46144</v>
      </c>
      <c r="AS519" s="10">
        <v>10000</v>
      </c>
      <c r="AT519" s="10" t="s">
        <v>1931</v>
      </c>
      <c r="AU519" s="10" t="s">
        <v>3266</v>
      </c>
      <c r="AV519" s="36" t="s">
        <v>3316</v>
      </c>
      <c r="AW519" s="1">
        <v>46207</v>
      </c>
    </row>
    <row r="520" spans="1:49" x14ac:dyDescent="0.25">
      <c r="A520" s="9" t="s">
        <v>2996</v>
      </c>
      <c r="B520" s="10" t="s">
        <v>3058</v>
      </c>
      <c r="C520" s="10">
        <v>0</v>
      </c>
      <c r="D520" s="10" t="s">
        <v>91</v>
      </c>
      <c r="E520" s="10"/>
      <c r="F520" s="10"/>
      <c r="G520" s="10"/>
      <c r="H520" s="10" t="s">
        <v>52</v>
      </c>
      <c r="I520" s="10">
        <v>16</v>
      </c>
      <c r="J520" s="10" t="s">
        <v>3120</v>
      </c>
      <c r="K520" s="10" t="s">
        <v>42</v>
      </c>
      <c r="L520" s="10">
        <f>Table1[[#This Row],[ENR]]-Table1[[#This Row],[CREDIT]]</f>
        <v>-566.12999999999738</v>
      </c>
      <c r="M520" s="36">
        <v>60000</v>
      </c>
      <c r="N520" s="26">
        <v>59433.87</v>
      </c>
      <c r="O520" s="38">
        <v>6429.24</v>
      </c>
      <c r="P520" s="25">
        <v>53004.63</v>
      </c>
      <c r="Q520" s="25">
        <v>48800.59</v>
      </c>
      <c r="R520" s="10">
        <v>19060</v>
      </c>
      <c r="S520" s="39">
        <v>7440</v>
      </c>
      <c r="T520" s="10" t="s">
        <v>57</v>
      </c>
      <c r="U520" s="10" t="s">
        <v>14</v>
      </c>
      <c r="V520" s="10">
        <v>8502</v>
      </c>
      <c r="W520" s="25">
        <f>Table1[[#This Row],[STAB]]-Table1[[#This Row],[AMOUNT]]</f>
        <v>-1062</v>
      </c>
      <c r="X520" s="10" t="s">
        <v>4937</v>
      </c>
      <c r="Y520" s="10" t="s">
        <v>402</v>
      </c>
      <c r="Z520" s="10" t="s">
        <v>963</v>
      </c>
      <c r="AA520" s="10" t="s">
        <v>113</v>
      </c>
      <c r="AB520" s="36" t="s">
        <v>131</v>
      </c>
      <c r="AC520" s="10"/>
      <c r="AD520" s="9" t="s">
        <v>3182</v>
      </c>
      <c r="AE520" s="10" t="s">
        <v>3242</v>
      </c>
      <c r="AF520" s="10" t="s">
        <v>498</v>
      </c>
      <c r="AG520" s="10" t="s">
        <v>53</v>
      </c>
      <c r="AH520" s="10" t="s">
        <v>90</v>
      </c>
      <c r="AI520" s="10" t="s">
        <v>162</v>
      </c>
      <c r="AJ520" s="10">
        <v>801772794</v>
      </c>
      <c r="AK520" s="10" t="s">
        <v>361</v>
      </c>
      <c r="AL520" s="10"/>
      <c r="AM520" s="10"/>
      <c r="AN520" s="11" t="s">
        <v>390</v>
      </c>
      <c r="AO520" s="10" t="s">
        <v>392</v>
      </c>
      <c r="AP520" s="10" t="s">
        <v>6240</v>
      </c>
      <c r="AQ520" s="10" t="s">
        <v>4937</v>
      </c>
      <c r="AR520" s="2">
        <v>46087</v>
      </c>
      <c r="AS520" s="10">
        <v>500</v>
      </c>
      <c r="AT520" s="10" t="s">
        <v>503</v>
      </c>
      <c r="AU520" s="10" t="s">
        <v>3266</v>
      </c>
      <c r="AV520" s="36" t="s">
        <v>3300</v>
      </c>
      <c r="AW520" s="1">
        <v>46207</v>
      </c>
    </row>
    <row r="521" spans="1:49" x14ac:dyDescent="0.25">
      <c r="A521" s="9" t="s">
        <v>2985</v>
      </c>
      <c r="B521" s="10" t="s">
        <v>3047</v>
      </c>
      <c r="C521" s="10">
        <v>0</v>
      </c>
      <c r="D521" s="10" t="s">
        <v>91</v>
      </c>
      <c r="E521" s="10"/>
      <c r="F521" s="10"/>
      <c r="G521" s="10"/>
      <c r="H521" s="10" t="s">
        <v>52</v>
      </c>
      <c r="I521" s="10">
        <v>16</v>
      </c>
      <c r="J521" s="10" t="s">
        <v>3109</v>
      </c>
      <c r="K521" s="10" t="s">
        <v>42</v>
      </c>
      <c r="L521" s="10">
        <f>Table1[[#This Row],[ENR]]-Table1[[#This Row],[CREDIT]]</f>
        <v>-42475.5</v>
      </c>
      <c r="M521" s="36">
        <v>100000</v>
      </c>
      <c r="N521" s="26">
        <v>57524.5</v>
      </c>
      <c r="O521" s="38">
        <v>39507.839999999997</v>
      </c>
      <c r="P521" s="25">
        <v>18016.66</v>
      </c>
      <c r="Q521" s="25">
        <v>9680.59</v>
      </c>
      <c r="R521" s="10">
        <v>16560</v>
      </c>
      <c r="S521" s="39">
        <v>9600</v>
      </c>
      <c r="T521" s="10" t="s">
        <v>57</v>
      </c>
      <c r="U521" s="10" t="s">
        <v>14</v>
      </c>
      <c r="V521" s="10">
        <v>10000</v>
      </c>
      <c r="W521" s="25">
        <f>Table1[[#This Row],[STAB]]-Table1[[#This Row],[AMOUNT]]</f>
        <v>-400</v>
      </c>
      <c r="X521" s="10" t="s">
        <v>4976</v>
      </c>
      <c r="Y521" s="10" t="s">
        <v>396</v>
      </c>
      <c r="Z521" s="10" t="s">
        <v>1968</v>
      </c>
      <c r="AA521" s="10" t="s">
        <v>113</v>
      </c>
      <c r="AB521" s="36" t="s">
        <v>133</v>
      </c>
      <c r="AC521" s="10"/>
      <c r="AD521" s="9" t="s">
        <v>3171</v>
      </c>
      <c r="AE521" s="10" t="s">
        <v>3232</v>
      </c>
      <c r="AF521" s="10" t="s">
        <v>272</v>
      </c>
      <c r="AG521" s="10" t="s">
        <v>54</v>
      </c>
      <c r="AH521" s="10" t="s">
        <v>357</v>
      </c>
      <c r="AI521" s="10" t="s">
        <v>1960</v>
      </c>
      <c r="AJ521" s="10">
        <v>801264672</v>
      </c>
      <c r="AK521" s="10" t="s">
        <v>1959</v>
      </c>
      <c r="AL521" s="10"/>
      <c r="AM521" s="10"/>
      <c r="AN521" s="11" t="s">
        <v>390</v>
      </c>
      <c r="AO521" s="10" t="s">
        <v>392</v>
      </c>
      <c r="AP521" s="10" t="s">
        <v>5001</v>
      </c>
      <c r="AQ521" s="10" t="s">
        <v>4993</v>
      </c>
      <c r="AR521" s="2">
        <v>46157</v>
      </c>
      <c r="AS521" s="10">
        <v>50000</v>
      </c>
      <c r="AT521" s="10" t="s">
        <v>503</v>
      </c>
      <c r="AU521" s="10" t="s">
        <v>3266</v>
      </c>
      <c r="AV521" s="36" t="s">
        <v>3289</v>
      </c>
      <c r="AW521" s="1">
        <v>46207</v>
      </c>
    </row>
    <row r="522" spans="1:49" x14ac:dyDescent="0.25">
      <c r="A522" s="9" t="s">
        <v>4299</v>
      </c>
      <c r="B522" s="10" t="s">
        <v>4342</v>
      </c>
      <c r="C522" s="10">
        <v>0</v>
      </c>
      <c r="D522" s="10" t="s">
        <v>91</v>
      </c>
      <c r="E522" s="10"/>
      <c r="F522" s="10"/>
      <c r="G522" s="10"/>
      <c r="H522" s="10" t="s">
        <v>52</v>
      </c>
      <c r="I522" s="10">
        <v>16</v>
      </c>
      <c r="J522" s="10" t="s">
        <v>4385</v>
      </c>
      <c r="K522" s="10" t="s">
        <v>42</v>
      </c>
      <c r="L522" s="10">
        <f>Table1[[#This Row],[ENR]]-Table1[[#This Row],[CREDIT]]</f>
        <v>-13108.330000000002</v>
      </c>
      <c r="M522" s="36">
        <v>70000</v>
      </c>
      <c r="N522" s="26">
        <v>56891.67</v>
      </c>
      <c r="O522" s="38" t="s">
        <v>43</v>
      </c>
      <c r="P522" s="25">
        <v>56891.67</v>
      </c>
      <c r="Q522" s="25">
        <v>50656.37</v>
      </c>
      <c r="R522" s="10">
        <v>9400</v>
      </c>
      <c r="S522" s="39">
        <v>2990</v>
      </c>
      <c r="T522" s="10" t="s">
        <v>57</v>
      </c>
      <c r="U522" s="10" t="s">
        <v>13</v>
      </c>
      <c r="V522" s="10">
        <v>9400</v>
      </c>
      <c r="W522" s="25">
        <f>Table1[[#This Row],[STAB]]-Table1[[#This Row],[AMOUNT]]</f>
        <v>-6410</v>
      </c>
      <c r="X522" s="10" t="s">
        <v>4993</v>
      </c>
      <c r="Y522" s="10" t="s">
        <v>402</v>
      </c>
      <c r="Z522" s="10" t="s">
        <v>403</v>
      </c>
      <c r="AA522" s="10" t="s">
        <v>113</v>
      </c>
      <c r="AB522" s="10" t="s">
        <v>132</v>
      </c>
      <c r="AC522" s="10"/>
      <c r="AD522" s="9" t="s">
        <v>4428</v>
      </c>
      <c r="AE522" s="10" t="s">
        <v>4470</v>
      </c>
      <c r="AF522" s="10" t="s">
        <v>686</v>
      </c>
      <c r="AG522" s="10" t="s">
        <v>324</v>
      </c>
      <c r="AH522" s="10" t="s">
        <v>722</v>
      </c>
      <c r="AI522" s="10" t="s">
        <v>370</v>
      </c>
      <c r="AJ522" s="10">
        <v>801448854</v>
      </c>
      <c r="AK522" s="10" t="s">
        <v>105</v>
      </c>
      <c r="AL522" s="10"/>
      <c r="AM522" s="10"/>
      <c r="AN522" s="11" t="s">
        <v>390</v>
      </c>
      <c r="AO522" s="10"/>
      <c r="AP522" s="10"/>
      <c r="AQ522" s="10"/>
      <c r="AR522" s="2">
        <v>46056</v>
      </c>
      <c r="AS522" s="10">
        <v>18000</v>
      </c>
      <c r="AT522" s="10" t="s">
        <v>1931</v>
      </c>
      <c r="AU522" s="10" t="s">
        <v>4485</v>
      </c>
      <c r="AV522" s="36" t="s">
        <v>4512</v>
      </c>
      <c r="AW522" s="1">
        <v>46207</v>
      </c>
    </row>
    <row r="523" spans="1:49" x14ac:dyDescent="0.25">
      <c r="A523" s="9" t="s">
        <v>2997</v>
      </c>
      <c r="B523" s="10" t="s">
        <v>3059</v>
      </c>
      <c r="C523" s="10">
        <v>0</v>
      </c>
      <c r="D523" s="10" t="s">
        <v>91</v>
      </c>
      <c r="E523" s="10"/>
      <c r="F523" s="10"/>
      <c r="G523" s="10"/>
      <c r="H523" s="10" t="s">
        <v>52</v>
      </c>
      <c r="I523" s="10">
        <v>16</v>
      </c>
      <c r="J523" s="10" t="s">
        <v>3121</v>
      </c>
      <c r="K523" s="10" t="s">
        <v>42</v>
      </c>
      <c r="L523" s="10">
        <f>Table1[[#This Row],[ENR]]-Table1[[#This Row],[CREDIT]]</f>
        <v>6486.9000000000015</v>
      </c>
      <c r="M523" s="36">
        <v>50000</v>
      </c>
      <c r="N523" s="26">
        <v>56486.9</v>
      </c>
      <c r="O523" s="38" t="s">
        <v>43</v>
      </c>
      <c r="P523" s="25">
        <v>56486.9</v>
      </c>
      <c r="Q523" s="25">
        <v>48196.800000000003</v>
      </c>
      <c r="R523" s="10">
        <v>21740</v>
      </c>
      <c r="S523" s="39">
        <v>12240</v>
      </c>
      <c r="T523" s="10" t="s">
        <v>44</v>
      </c>
      <c r="U523" s="10" t="s">
        <v>45</v>
      </c>
      <c r="V523" s="10">
        <v>0</v>
      </c>
      <c r="W523" s="25">
        <f>Table1[[#This Row],[STAB]]-Table1[[#This Row],[AMOUNT]]</f>
        <v>12240</v>
      </c>
      <c r="X523" s="10">
        <v>0</v>
      </c>
      <c r="Y523" s="10" t="s">
        <v>79</v>
      </c>
      <c r="Z523" s="10">
        <v>0</v>
      </c>
      <c r="AA523" s="10" t="s">
        <v>113</v>
      </c>
      <c r="AB523" s="36" t="s">
        <v>132</v>
      </c>
      <c r="AC523" s="10"/>
      <c r="AD523" s="9" t="s">
        <v>3183</v>
      </c>
      <c r="AE523" s="10" t="s">
        <v>3243</v>
      </c>
      <c r="AF523" s="10" t="s">
        <v>276</v>
      </c>
      <c r="AG523" s="10" t="s">
        <v>324</v>
      </c>
      <c r="AH523" s="10" t="s">
        <v>353</v>
      </c>
      <c r="AI523" s="10" t="s">
        <v>365</v>
      </c>
      <c r="AJ523" s="10">
        <v>802824019</v>
      </c>
      <c r="AK523" s="10" t="s">
        <v>360</v>
      </c>
      <c r="AL523" s="10"/>
      <c r="AM523" s="10"/>
      <c r="AN523" s="11" t="s">
        <v>46</v>
      </c>
      <c r="AO523" s="10"/>
      <c r="AP523" s="10"/>
      <c r="AQ523" s="10"/>
      <c r="AR523" s="2">
        <v>46157</v>
      </c>
      <c r="AS523" s="10">
        <v>1744</v>
      </c>
      <c r="AT523" s="10" t="s">
        <v>503</v>
      </c>
      <c r="AU523" s="10" t="s">
        <v>3266</v>
      </c>
      <c r="AV523" s="36" t="s">
        <v>3301</v>
      </c>
      <c r="AW523" s="1">
        <v>46207</v>
      </c>
    </row>
    <row r="524" spans="1:49" x14ac:dyDescent="0.25">
      <c r="A524" s="9" t="s">
        <v>2982</v>
      </c>
      <c r="B524" s="10" t="s">
        <v>3044</v>
      </c>
      <c r="C524" s="10">
        <v>0</v>
      </c>
      <c r="D524" s="10" t="s">
        <v>91</v>
      </c>
      <c r="E524" s="10"/>
      <c r="F524" s="10"/>
      <c r="G524" s="10"/>
      <c r="H524" s="10" t="s">
        <v>52</v>
      </c>
      <c r="I524" s="10">
        <v>16</v>
      </c>
      <c r="J524" s="10" t="s">
        <v>3106</v>
      </c>
      <c r="K524" s="10" t="s">
        <v>42</v>
      </c>
      <c r="L524" s="10">
        <f>Table1[[#This Row],[ENR]]-Table1[[#This Row],[CREDIT]]</f>
        <v>-6152.010000000002</v>
      </c>
      <c r="M524" s="36">
        <v>60000</v>
      </c>
      <c r="N524" s="26">
        <v>53847.99</v>
      </c>
      <c r="O524" s="38">
        <v>32212.18</v>
      </c>
      <c r="P524" s="25">
        <v>21635.81</v>
      </c>
      <c r="Q524" s="25">
        <v>16705.900000000001</v>
      </c>
      <c r="R524" s="10">
        <v>10540</v>
      </c>
      <c r="S524" s="39">
        <v>5240</v>
      </c>
      <c r="T524" s="10" t="s">
        <v>57</v>
      </c>
      <c r="U524" s="10" t="s">
        <v>13</v>
      </c>
      <c r="V524" s="10">
        <v>10540</v>
      </c>
      <c r="W524" s="25">
        <f>Table1[[#This Row],[STAB]]-Table1[[#This Row],[AMOUNT]]</f>
        <v>-5300</v>
      </c>
      <c r="X524" s="10" t="s">
        <v>4993</v>
      </c>
      <c r="Y524" s="10" t="s">
        <v>402</v>
      </c>
      <c r="Z524" s="10" t="s">
        <v>403</v>
      </c>
      <c r="AA524" s="10" t="s">
        <v>113</v>
      </c>
      <c r="AB524" s="36" t="s">
        <v>133</v>
      </c>
      <c r="AC524" s="10"/>
      <c r="AD524" s="9" t="s">
        <v>3168</v>
      </c>
      <c r="AE524" s="10" t="s">
        <v>3229</v>
      </c>
      <c r="AF524" s="10" t="s">
        <v>278</v>
      </c>
      <c r="AG524" s="10" t="s">
        <v>54</v>
      </c>
      <c r="AH524" s="10" t="s">
        <v>723</v>
      </c>
      <c r="AI524" s="10" t="s">
        <v>369</v>
      </c>
      <c r="AJ524" s="10">
        <v>802823180</v>
      </c>
      <c r="AK524" s="10" t="s">
        <v>105</v>
      </c>
      <c r="AL524" s="10"/>
      <c r="AM524" s="10"/>
      <c r="AN524" s="11" t="s">
        <v>390</v>
      </c>
      <c r="AO524" s="10"/>
      <c r="AP524" s="10"/>
      <c r="AQ524" s="10"/>
      <c r="AR524" s="2">
        <v>45474</v>
      </c>
      <c r="AS524" s="10">
        <v>6800</v>
      </c>
      <c r="AT524" s="10" t="s">
        <v>503</v>
      </c>
      <c r="AU524" s="10" t="s">
        <v>3266</v>
      </c>
      <c r="AV524" s="36" t="s">
        <v>3286</v>
      </c>
      <c r="AW524" s="1">
        <v>46207</v>
      </c>
    </row>
    <row r="525" spans="1:49" x14ac:dyDescent="0.25">
      <c r="A525" s="9" t="s">
        <v>4278</v>
      </c>
      <c r="B525" s="10" t="s">
        <v>4321</v>
      </c>
      <c r="C525" s="10">
        <v>0</v>
      </c>
      <c r="D525" s="10" t="s">
        <v>91</v>
      </c>
      <c r="E525" s="10"/>
      <c r="F525" s="10"/>
      <c r="G525" s="10"/>
      <c r="H525" s="10" t="s">
        <v>52</v>
      </c>
      <c r="I525" s="10">
        <v>16</v>
      </c>
      <c r="J525" s="10" t="s">
        <v>4364</v>
      </c>
      <c r="K525" s="10" t="s">
        <v>42</v>
      </c>
      <c r="L525" s="10">
        <f>Table1[[#This Row],[ENR]]-Table1[[#This Row],[CREDIT]]</f>
        <v>-16285.809999999998</v>
      </c>
      <c r="M525" s="36">
        <v>70000</v>
      </c>
      <c r="N525" s="26">
        <v>53714.19</v>
      </c>
      <c r="O525" s="38" t="s">
        <v>43</v>
      </c>
      <c r="P525" s="25">
        <v>53714.19</v>
      </c>
      <c r="Q525" s="25">
        <v>48500</v>
      </c>
      <c r="R525" s="10">
        <v>7640</v>
      </c>
      <c r="S525" s="39">
        <v>2638.17</v>
      </c>
      <c r="T525" s="10" t="s">
        <v>57</v>
      </c>
      <c r="U525" s="10" t="s">
        <v>13</v>
      </c>
      <c r="V525" s="10">
        <v>0</v>
      </c>
      <c r="W525" s="25">
        <f>Table1[[#This Row],[STAB]]-Table1[[#This Row],[AMOUNT]]</f>
        <v>2638.17</v>
      </c>
      <c r="X525" s="10" t="s">
        <v>4976</v>
      </c>
      <c r="Y525" s="10" t="s">
        <v>402</v>
      </c>
      <c r="Z525" s="10" t="s">
        <v>403</v>
      </c>
      <c r="AA525" s="10" t="s">
        <v>113</v>
      </c>
      <c r="AB525" s="10" t="s">
        <v>132</v>
      </c>
      <c r="AC525" s="10"/>
      <c r="AD525" s="9" t="s">
        <v>4407</v>
      </c>
      <c r="AE525" s="10" t="s">
        <v>4450</v>
      </c>
      <c r="AF525" s="10" t="s">
        <v>283</v>
      </c>
      <c r="AG525" s="10" t="s">
        <v>53</v>
      </c>
      <c r="AH525" s="10" t="s">
        <v>5582</v>
      </c>
      <c r="AI525" s="10" t="s">
        <v>2962</v>
      </c>
      <c r="AJ525" s="10">
        <v>801601134</v>
      </c>
      <c r="AK525" s="10" t="s">
        <v>104</v>
      </c>
      <c r="AL525" s="10"/>
      <c r="AM525" s="10"/>
      <c r="AN525" s="11" t="s">
        <v>390</v>
      </c>
      <c r="AO525" s="10"/>
      <c r="AP525" s="10"/>
      <c r="AQ525" s="10"/>
      <c r="AR525" s="2">
        <v>46116</v>
      </c>
      <c r="AS525" s="10">
        <v>24160</v>
      </c>
      <c r="AT525" s="10" t="s">
        <v>503</v>
      </c>
      <c r="AU525" s="10" t="s">
        <v>4485</v>
      </c>
      <c r="AV525" s="36" t="s">
        <v>4491</v>
      </c>
      <c r="AW525" s="1">
        <v>46207</v>
      </c>
    </row>
    <row r="526" spans="1:49" x14ac:dyDescent="0.25">
      <c r="A526" s="9" t="s">
        <v>3013</v>
      </c>
      <c r="B526" s="10" t="s">
        <v>3075</v>
      </c>
      <c r="C526" s="10">
        <v>0</v>
      </c>
      <c r="D526" s="10" t="s">
        <v>91</v>
      </c>
      <c r="E526" s="10"/>
      <c r="F526" s="10"/>
      <c r="G526" s="10" t="s">
        <v>4953</v>
      </c>
      <c r="H526" s="10" t="s">
        <v>84</v>
      </c>
      <c r="I526" s="10">
        <v>16</v>
      </c>
      <c r="J526" s="10" t="s">
        <v>3137</v>
      </c>
      <c r="K526" s="10" t="s">
        <v>42</v>
      </c>
      <c r="L526" s="10">
        <f>Table1[[#This Row],[ENR]]-Table1[[#This Row],[CREDIT]]</f>
        <v>1411.5199999999968</v>
      </c>
      <c r="M526" s="36">
        <v>50000</v>
      </c>
      <c r="N526" s="26">
        <v>51411.519999999997</v>
      </c>
      <c r="O526" s="38" t="s">
        <v>43</v>
      </c>
      <c r="P526" s="25">
        <v>51411.519999999997</v>
      </c>
      <c r="Q526" s="25">
        <v>46977.02</v>
      </c>
      <c r="R526" s="10">
        <v>16190</v>
      </c>
      <c r="S526" s="39">
        <v>10440</v>
      </c>
      <c r="T526" s="10" t="s">
        <v>44</v>
      </c>
      <c r="U526" s="10" t="s">
        <v>45</v>
      </c>
      <c r="V526" s="10">
        <v>0</v>
      </c>
      <c r="W526" s="25">
        <f>Table1[[#This Row],[STAB]]-Table1[[#This Row],[AMOUNT]]</f>
        <v>10440</v>
      </c>
      <c r="X526" s="10">
        <v>0</v>
      </c>
      <c r="Y526" s="10" t="s">
        <v>79</v>
      </c>
      <c r="Z526" s="10">
        <v>0</v>
      </c>
      <c r="AA526" s="10" t="s">
        <v>113</v>
      </c>
      <c r="AB526" s="36" t="s">
        <v>376</v>
      </c>
      <c r="AC526" s="10"/>
      <c r="AD526" s="9" t="s">
        <v>3198</v>
      </c>
      <c r="AE526" s="10" t="s">
        <v>3198</v>
      </c>
      <c r="AF526" s="10" t="s">
        <v>2619</v>
      </c>
      <c r="AG526" s="10" t="s">
        <v>53</v>
      </c>
      <c r="AH526" s="10" t="s">
        <v>55</v>
      </c>
      <c r="AI526" s="10" t="s">
        <v>365</v>
      </c>
      <c r="AJ526" s="10">
        <v>802824019</v>
      </c>
      <c r="AK526" s="10" t="s">
        <v>360</v>
      </c>
      <c r="AL526" s="10"/>
      <c r="AM526" s="10"/>
      <c r="AN526" s="11" t="s">
        <v>46</v>
      </c>
      <c r="AO526" s="10"/>
      <c r="AP526" s="10"/>
      <c r="AQ526" s="10"/>
      <c r="AR526" s="2">
        <v>46188</v>
      </c>
      <c r="AS526" s="10">
        <v>9300</v>
      </c>
      <c r="AT526" s="10" t="s">
        <v>1931</v>
      </c>
      <c r="AU526" s="10" t="s">
        <v>3266</v>
      </c>
      <c r="AV526" s="36" t="s">
        <v>3317</v>
      </c>
      <c r="AW526" s="1">
        <v>46207</v>
      </c>
    </row>
    <row r="527" spans="1:49" x14ac:dyDescent="0.25">
      <c r="A527" s="9" t="s">
        <v>3339</v>
      </c>
      <c r="B527" s="10" t="s">
        <v>3382</v>
      </c>
      <c r="C527" s="10">
        <v>0</v>
      </c>
      <c r="D527" s="10" t="s">
        <v>91</v>
      </c>
      <c r="E527" s="10"/>
      <c r="F527" s="10"/>
      <c r="G527" s="10" t="s">
        <v>4965</v>
      </c>
      <c r="H527" s="10" t="s">
        <v>52</v>
      </c>
      <c r="I527" s="10">
        <v>17</v>
      </c>
      <c r="J527" s="10" t="s">
        <v>3425</v>
      </c>
      <c r="K527" s="10" t="s">
        <v>42</v>
      </c>
      <c r="L527" s="10">
        <f>Table1[[#This Row],[ENR]]-Table1[[#This Row],[CREDIT]]</f>
        <v>267646.06000000006</v>
      </c>
      <c r="M527" s="36">
        <v>480000</v>
      </c>
      <c r="N527" s="26">
        <v>747646.06</v>
      </c>
      <c r="O527" s="38">
        <v>442863.83</v>
      </c>
      <c r="P527" s="25">
        <v>304782.23</v>
      </c>
      <c r="Q527" s="25">
        <v>268667.03999999998</v>
      </c>
      <c r="R527" s="10">
        <v>146560</v>
      </c>
      <c r="S527" s="39">
        <v>79330</v>
      </c>
      <c r="T527" s="10" t="s">
        <v>44</v>
      </c>
      <c r="U527" s="10" t="s">
        <v>45</v>
      </c>
      <c r="V527" s="10">
        <v>1560</v>
      </c>
      <c r="W527" s="25">
        <f>Table1[[#This Row],[STAB]]-Table1[[#This Row],[AMOUNT]]</f>
        <v>77770</v>
      </c>
      <c r="X527" s="10">
        <v>0</v>
      </c>
      <c r="Y527" s="10" t="s">
        <v>79</v>
      </c>
      <c r="Z527" s="10" t="s">
        <v>403</v>
      </c>
      <c r="AA527" s="10" t="s">
        <v>162</v>
      </c>
      <c r="AB527" s="36" t="s">
        <v>733</v>
      </c>
      <c r="AC527" s="10"/>
      <c r="AD527" s="9" t="s">
        <v>3468</v>
      </c>
      <c r="AE527" s="10" t="s">
        <v>3511</v>
      </c>
      <c r="AF527" s="10" t="s">
        <v>499</v>
      </c>
      <c r="AG527" s="10" t="s">
        <v>53</v>
      </c>
      <c r="AH527" s="10" t="s">
        <v>55</v>
      </c>
      <c r="AI527" s="10" t="s">
        <v>365</v>
      </c>
      <c r="AJ527" s="10">
        <v>802824019</v>
      </c>
      <c r="AK527" s="10" t="s">
        <v>360</v>
      </c>
      <c r="AL527" s="10"/>
      <c r="AM527" s="10"/>
      <c r="AN527" s="11" t="s">
        <v>390</v>
      </c>
      <c r="AO527" s="10" t="s">
        <v>531</v>
      </c>
      <c r="AP527" s="10" t="s">
        <v>6382</v>
      </c>
      <c r="AQ527" s="10" t="s">
        <v>6364</v>
      </c>
      <c r="AR527" s="2">
        <v>45988</v>
      </c>
      <c r="AS527" s="10">
        <v>3500</v>
      </c>
      <c r="AT527" s="10" t="s">
        <v>47</v>
      </c>
      <c r="AU527" s="10" t="s">
        <v>3266</v>
      </c>
      <c r="AV527" s="36" t="s">
        <v>3555</v>
      </c>
      <c r="AW527" s="1">
        <v>46208</v>
      </c>
    </row>
    <row r="528" spans="1:49" x14ac:dyDescent="0.25">
      <c r="A528" s="9" t="s">
        <v>3338</v>
      </c>
      <c r="B528" s="10" t="s">
        <v>3381</v>
      </c>
      <c r="C528" s="10">
        <v>0</v>
      </c>
      <c r="D528" s="10" t="s">
        <v>91</v>
      </c>
      <c r="E528" s="10"/>
      <c r="F528" s="10" t="s">
        <v>112</v>
      </c>
      <c r="G528" s="10" t="s">
        <v>4972</v>
      </c>
      <c r="H528" s="10" t="s">
        <v>52</v>
      </c>
      <c r="I528" s="10">
        <v>17</v>
      </c>
      <c r="J528" s="10" t="s">
        <v>3424</v>
      </c>
      <c r="K528" s="10" t="s">
        <v>42</v>
      </c>
      <c r="L528" s="10">
        <f>Table1[[#This Row],[ENR]]-Table1[[#This Row],[CREDIT]]</f>
        <v>-20811.829999999987</v>
      </c>
      <c r="M528" s="36">
        <v>190000</v>
      </c>
      <c r="N528" s="26">
        <v>169188.17</v>
      </c>
      <c r="O528" s="38" t="s">
        <v>43</v>
      </c>
      <c r="P528" s="25">
        <v>169188.17</v>
      </c>
      <c r="Q528" s="25">
        <v>152531.59</v>
      </c>
      <c r="R528" s="10">
        <v>27080</v>
      </c>
      <c r="S528" s="39">
        <v>10265.73</v>
      </c>
      <c r="T528" s="10" t="s">
        <v>57</v>
      </c>
      <c r="U528" s="10" t="s">
        <v>13</v>
      </c>
      <c r="V528" s="10">
        <v>27200</v>
      </c>
      <c r="W528" s="25">
        <f>Table1[[#This Row],[STAB]]-Table1[[#This Row],[AMOUNT]]</f>
        <v>-16934.27</v>
      </c>
      <c r="X528" s="10" t="s">
        <v>4601</v>
      </c>
      <c r="Y528" s="10" t="s">
        <v>402</v>
      </c>
      <c r="Z528" s="10">
        <v>0</v>
      </c>
      <c r="AA528" s="10" t="s">
        <v>162</v>
      </c>
      <c r="AB528" s="36" t="s">
        <v>734</v>
      </c>
      <c r="AC528" s="10"/>
      <c r="AD528" s="9" t="s">
        <v>3467</v>
      </c>
      <c r="AE528" s="10" t="s">
        <v>3510</v>
      </c>
      <c r="AF528" s="10" t="s">
        <v>685</v>
      </c>
      <c r="AG528" s="10" t="s">
        <v>54</v>
      </c>
      <c r="AH528" s="10" t="s">
        <v>1398</v>
      </c>
      <c r="AI528" s="10" t="s">
        <v>162</v>
      </c>
      <c r="AJ528" s="10">
        <v>801772794</v>
      </c>
      <c r="AK528" s="10" t="s">
        <v>361</v>
      </c>
      <c r="AL528" s="10"/>
      <c r="AM528" s="10"/>
      <c r="AN528" s="11" t="s">
        <v>390</v>
      </c>
      <c r="AO528" s="10"/>
      <c r="AP528" s="10"/>
      <c r="AQ528" s="10"/>
      <c r="AR528" s="2">
        <v>46158</v>
      </c>
      <c r="AS528" s="10">
        <v>123000</v>
      </c>
      <c r="AT528" s="10" t="s">
        <v>290</v>
      </c>
      <c r="AU528" s="10" t="s">
        <v>3266</v>
      </c>
      <c r="AV528" s="36" t="s">
        <v>3554</v>
      </c>
      <c r="AW528" s="1">
        <v>46208</v>
      </c>
    </row>
    <row r="529" spans="1:49" x14ac:dyDescent="0.25">
      <c r="A529" s="9" t="s">
        <v>2130</v>
      </c>
      <c r="B529" s="10" t="s">
        <v>2253</v>
      </c>
      <c r="C529" s="10">
        <v>0</v>
      </c>
      <c r="D529" s="10" t="s">
        <v>91</v>
      </c>
      <c r="E529" s="10">
        <v>1</v>
      </c>
      <c r="F529" s="10"/>
      <c r="G529" s="10"/>
      <c r="H529" s="10" t="s">
        <v>52</v>
      </c>
      <c r="I529" s="10">
        <v>18</v>
      </c>
      <c r="J529" s="10" t="s">
        <v>2375</v>
      </c>
      <c r="K529" s="10" t="s">
        <v>42</v>
      </c>
      <c r="L529" s="10">
        <f>Table1[[#This Row],[ENR]]-Table1[[#This Row],[CREDIT]]</f>
        <v>130537</v>
      </c>
      <c r="M529" s="36">
        <v>1500000</v>
      </c>
      <c r="N529" s="26">
        <v>1630537</v>
      </c>
      <c r="O529" s="38">
        <v>464093.36</v>
      </c>
      <c r="P529" s="25">
        <v>1166443.6399999999</v>
      </c>
      <c r="Q529" s="25">
        <v>1035413.55</v>
      </c>
      <c r="R529" s="10">
        <v>338160</v>
      </c>
      <c r="S529" s="39">
        <v>137880</v>
      </c>
      <c r="T529" s="10" t="s">
        <v>44</v>
      </c>
      <c r="U529" s="10" t="s">
        <v>45</v>
      </c>
      <c r="V529" s="10">
        <v>0</v>
      </c>
      <c r="W529" s="25">
        <f>Table1[[#This Row],[STAB]]-Table1[[#This Row],[AMOUNT]]</f>
        <v>137880</v>
      </c>
      <c r="X529" s="10">
        <v>0</v>
      </c>
      <c r="Y529" s="10" t="s">
        <v>79</v>
      </c>
      <c r="Z529" s="10">
        <v>0</v>
      </c>
      <c r="AA529" s="10" t="s">
        <v>162</v>
      </c>
      <c r="AB529" s="10" t="s">
        <v>735</v>
      </c>
      <c r="AC529" s="10"/>
      <c r="AD529" s="9" t="s">
        <v>2496</v>
      </c>
      <c r="AE529" s="10" t="s">
        <v>2612</v>
      </c>
      <c r="AF529" s="10" t="s">
        <v>286</v>
      </c>
      <c r="AG529" s="10" t="s">
        <v>54</v>
      </c>
      <c r="AH529" s="10" t="s">
        <v>723</v>
      </c>
      <c r="AI529" s="10" t="s">
        <v>369</v>
      </c>
      <c r="AJ529" s="10">
        <v>802823180</v>
      </c>
      <c r="AK529" s="10" t="s">
        <v>105</v>
      </c>
      <c r="AL529" s="10"/>
      <c r="AM529" s="10"/>
      <c r="AN529" s="11" t="s">
        <v>390</v>
      </c>
      <c r="AO529" s="10" t="s">
        <v>398</v>
      </c>
      <c r="AP529" s="10" t="s">
        <v>5588</v>
      </c>
      <c r="AQ529" s="10" t="s">
        <v>4931</v>
      </c>
      <c r="AR529" s="2">
        <v>45997</v>
      </c>
      <c r="AS529" s="10">
        <v>147.35</v>
      </c>
      <c r="AT529" s="10" t="s">
        <v>689</v>
      </c>
      <c r="AU529" s="10" t="s">
        <v>2622</v>
      </c>
      <c r="AV529" s="36" t="s">
        <v>2743</v>
      </c>
      <c r="AW529" s="1">
        <v>46209</v>
      </c>
    </row>
    <row r="530" spans="1:49" x14ac:dyDescent="0.25">
      <c r="A530" s="9" t="s">
        <v>2134</v>
      </c>
      <c r="B530" s="10" t="s">
        <v>2257</v>
      </c>
      <c r="C530" s="10">
        <v>0</v>
      </c>
      <c r="D530" s="10" t="s">
        <v>91</v>
      </c>
      <c r="E530" s="10"/>
      <c r="F530" s="10"/>
      <c r="G530" s="10"/>
      <c r="H530" s="10" t="s">
        <v>52</v>
      </c>
      <c r="I530" s="10">
        <v>18</v>
      </c>
      <c r="J530" s="10" t="s">
        <v>2379</v>
      </c>
      <c r="K530" s="10" t="s">
        <v>42</v>
      </c>
      <c r="L530" s="10">
        <f>Table1[[#This Row],[ENR]]-Table1[[#This Row],[CREDIT]]</f>
        <v>106429.70999999996</v>
      </c>
      <c r="M530" s="36">
        <v>910000</v>
      </c>
      <c r="N530" s="26">
        <v>1016429.71</v>
      </c>
      <c r="O530" s="38" t="s">
        <v>43</v>
      </c>
      <c r="P530" s="25">
        <v>1016429.71</v>
      </c>
      <c r="Q530" s="25">
        <v>909436.77</v>
      </c>
      <c r="R530" s="10">
        <v>264050</v>
      </c>
      <c r="S530" s="39">
        <v>91110</v>
      </c>
      <c r="T530" s="10" t="s">
        <v>57</v>
      </c>
      <c r="U530" s="10" t="s">
        <v>13</v>
      </c>
      <c r="V530" s="10">
        <v>544000</v>
      </c>
      <c r="W530" s="25">
        <f>Table1[[#This Row],[STAB]]-Table1[[#This Row],[AMOUNT]]</f>
        <v>-452890</v>
      </c>
      <c r="X530" s="10" t="s">
        <v>4923</v>
      </c>
      <c r="Y530" s="10" t="s">
        <v>402</v>
      </c>
      <c r="Z530" s="10" t="s">
        <v>962</v>
      </c>
      <c r="AA530" s="10" t="s">
        <v>162</v>
      </c>
      <c r="AB530" s="36" t="s">
        <v>736</v>
      </c>
      <c r="AC530" s="10"/>
      <c r="AD530" s="9" t="s">
        <v>2500</v>
      </c>
      <c r="AE530" s="10" t="s">
        <v>2616</v>
      </c>
      <c r="AF530" s="10" t="s">
        <v>275</v>
      </c>
      <c r="AG530" s="10" t="s">
        <v>80</v>
      </c>
      <c r="AH530" s="10" t="s">
        <v>1999</v>
      </c>
      <c r="AI530" s="10" t="s">
        <v>368</v>
      </c>
      <c r="AJ530" s="10">
        <v>802823175</v>
      </c>
      <c r="AK530" s="10" t="s">
        <v>105</v>
      </c>
      <c r="AL530" s="10"/>
      <c r="AM530" s="10"/>
      <c r="AN530" s="11" t="s">
        <v>390</v>
      </c>
      <c r="AO530" s="10" t="s">
        <v>392</v>
      </c>
      <c r="AP530" s="10" t="s">
        <v>4935</v>
      </c>
      <c r="AQ530" s="10" t="s">
        <v>4923</v>
      </c>
      <c r="AR530" s="2">
        <v>46131</v>
      </c>
      <c r="AS530" s="10">
        <v>49000</v>
      </c>
      <c r="AT530" s="10" t="s">
        <v>503</v>
      </c>
      <c r="AU530" s="10" t="s">
        <v>2622</v>
      </c>
      <c r="AV530" s="36" t="s">
        <v>2134</v>
      </c>
      <c r="AW530" s="1">
        <v>46209</v>
      </c>
    </row>
    <row r="531" spans="1:49" x14ac:dyDescent="0.25">
      <c r="A531" s="9" t="s">
        <v>2125</v>
      </c>
      <c r="B531" s="10" t="s">
        <v>2248</v>
      </c>
      <c r="C531" s="10">
        <v>0</v>
      </c>
      <c r="D531" s="10" t="s">
        <v>91</v>
      </c>
      <c r="E531" s="10"/>
      <c r="F531" s="10" t="s">
        <v>112</v>
      </c>
      <c r="G531" s="10" t="s">
        <v>4966</v>
      </c>
      <c r="H531" s="10" t="s">
        <v>52</v>
      </c>
      <c r="I531" s="10">
        <v>18</v>
      </c>
      <c r="J531" s="10" t="s">
        <v>2370</v>
      </c>
      <c r="K531" s="10" t="s">
        <v>42</v>
      </c>
      <c r="L531" s="10">
        <f>Table1[[#This Row],[ENR]]-Table1[[#This Row],[CREDIT]]</f>
        <v>70886.349999999977</v>
      </c>
      <c r="M531" s="36">
        <v>760000</v>
      </c>
      <c r="N531" s="26">
        <v>830886.35</v>
      </c>
      <c r="O531" s="38">
        <v>72210.600000000006</v>
      </c>
      <c r="P531" s="25">
        <v>758675.75</v>
      </c>
      <c r="Q531" s="25">
        <v>681442.71</v>
      </c>
      <c r="R531" s="10">
        <v>125860</v>
      </c>
      <c r="S531" s="39">
        <v>50050</v>
      </c>
      <c r="T531" s="10" t="s">
        <v>44</v>
      </c>
      <c r="U531" s="10" t="s">
        <v>45</v>
      </c>
      <c r="V531" s="10">
        <v>0</v>
      </c>
      <c r="W531" s="25">
        <f>Table1[[#This Row],[STAB]]-Table1[[#This Row],[AMOUNT]]</f>
        <v>50050</v>
      </c>
      <c r="X531" s="10">
        <v>0</v>
      </c>
      <c r="Y531" s="10" t="s">
        <v>79</v>
      </c>
      <c r="Z531" s="10">
        <v>0</v>
      </c>
      <c r="AA531" s="10" t="s">
        <v>162</v>
      </c>
      <c r="AB531" s="36" t="s">
        <v>733</v>
      </c>
      <c r="AC531" s="10"/>
      <c r="AD531" s="9" t="s">
        <v>2491</v>
      </c>
      <c r="AE531" s="10" t="s">
        <v>2607</v>
      </c>
      <c r="AF531" s="10" t="s">
        <v>2619</v>
      </c>
      <c r="AG531" s="10" t="s">
        <v>53</v>
      </c>
      <c r="AH531" s="10" t="s">
        <v>55</v>
      </c>
      <c r="AI531" s="10" t="s">
        <v>365</v>
      </c>
      <c r="AJ531" s="10">
        <v>802824019</v>
      </c>
      <c r="AK531" s="10" t="s">
        <v>360</v>
      </c>
      <c r="AL531" s="10"/>
      <c r="AM531" s="10"/>
      <c r="AN531" s="11" t="s">
        <v>390</v>
      </c>
      <c r="AO531" s="10" t="s">
        <v>394</v>
      </c>
      <c r="AP531" s="10" t="s">
        <v>6351</v>
      </c>
      <c r="AQ531" s="10" t="s">
        <v>4976</v>
      </c>
      <c r="AR531" s="2">
        <v>46150</v>
      </c>
      <c r="AS531" s="10">
        <v>54000</v>
      </c>
      <c r="AT531" s="10" t="s">
        <v>294</v>
      </c>
      <c r="AU531" s="10" t="s">
        <v>2622</v>
      </c>
      <c r="AV531" s="36" t="s">
        <v>2738</v>
      </c>
      <c r="AW531" s="1">
        <v>46209</v>
      </c>
    </row>
    <row r="532" spans="1:49" x14ac:dyDescent="0.25">
      <c r="A532" s="9" t="s">
        <v>2128</v>
      </c>
      <c r="B532" s="10" t="s">
        <v>2251</v>
      </c>
      <c r="C532" s="10">
        <v>0</v>
      </c>
      <c r="D532" s="10" t="s">
        <v>91</v>
      </c>
      <c r="E532" s="10"/>
      <c r="F532" s="10"/>
      <c r="G532" s="10"/>
      <c r="H532" s="10" t="s">
        <v>52</v>
      </c>
      <c r="I532" s="10">
        <v>18</v>
      </c>
      <c r="J532" s="10" t="s">
        <v>2373</v>
      </c>
      <c r="K532" s="10" t="s">
        <v>42</v>
      </c>
      <c r="L532" s="10">
        <f>Table1[[#This Row],[ENR]]-Table1[[#This Row],[CREDIT]]</f>
        <v>15209.410000000033</v>
      </c>
      <c r="M532" s="36">
        <v>580000</v>
      </c>
      <c r="N532" s="26">
        <v>595209.41</v>
      </c>
      <c r="O532" s="38" t="s">
        <v>43</v>
      </c>
      <c r="P532" s="25">
        <v>595209.41</v>
      </c>
      <c r="Q532" s="25">
        <v>566582.22</v>
      </c>
      <c r="R532" s="10">
        <v>163300</v>
      </c>
      <c r="S532" s="39">
        <v>119689.96</v>
      </c>
      <c r="T532" s="10" t="s">
        <v>57</v>
      </c>
      <c r="U532" s="10" t="s">
        <v>13</v>
      </c>
      <c r="V532" s="10">
        <v>113703</v>
      </c>
      <c r="W532" s="25">
        <f>Table1[[#This Row],[STAB]]-Table1[[#This Row],[AMOUNT]]</f>
        <v>5986.9600000000064</v>
      </c>
      <c r="X532" s="10" t="s">
        <v>4976</v>
      </c>
      <c r="Y532" s="10" t="s">
        <v>396</v>
      </c>
      <c r="Z532" s="10" t="s">
        <v>962</v>
      </c>
      <c r="AA532" s="10" t="s">
        <v>162</v>
      </c>
      <c r="AB532" s="36" t="s">
        <v>734</v>
      </c>
      <c r="AC532" s="10"/>
      <c r="AD532" s="9" t="s">
        <v>2494</v>
      </c>
      <c r="AE532" s="10" t="s">
        <v>2610</v>
      </c>
      <c r="AF532" s="10" t="s">
        <v>85</v>
      </c>
      <c r="AG532" s="10" t="s">
        <v>54</v>
      </c>
      <c r="AH532" s="10" t="s">
        <v>89</v>
      </c>
      <c r="AI532" s="10" t="s">
        <v>106</v>
      </c>
      <c r="AJ532" s="10">
        <v>802370852</v>
      </c>
      <c r="AK532" s="10" t="s">
        <v>105</v>
      </c>
      <c r="AL532" s="10"/>
      <c r="AM532" s="10"/>
      <c r="AN532" s="11" t="s">
        <v>390</v>
      </c>
      <c r="AO532" s="10" t="s">
        <v>392</v>
      </c>
      <c r="AP532" s="10" t="s">
        <v>4574</v>
      </c>
      <c r="AQ532" s="10" t="s">
        <v>4566</v>
      </c>
      <c r="AR532" s="2">
        <v>46185</v>
      </c>
      <c r="AS532" s="10">
        <v>50000.04</v>
      </c>
      <c r="AT532" s="10" t="s">
        <v>689</v>
      </c>
      <c r="AU532" s="10" t="s">
        <v>2622</v>
      </c>
      <c r="AV532" s="36" t="s">
        <v>2741</v>
      </c>
      <c r="AW532" s="1">
        <v>46209</v>
      </c>
    </row>
    <row r="533" spans="1:49" x14ac:dyDescent="0.25">
      <c r="A533" s="9" t="s">
        <v>2122</v>
      </c>
      <c r="B533" s="10" t="s">
        <v>2245</v>
      </c>
      <c r="C533" s="10">
        <v>0</v>
      </c>
      <c r="D533" s="10" t="s">
        <v>91</v>
      </c>
      <c r="E533" s="10"/>
      <c r="F533" s="10"/>
      <c r="G533" s="10"/>
      <c r="H533" s="10" t="s">
        <v>52</v>
      </c>
      <c r="I533" s="10">
        <v>18</v>
      </c>
      <c r="J533" s="10" t="s">
        <v>2367</v>
      </c>
      <c r="K533" s="10" t="s">
        <v>42</v>
      </c>
      <c r="L533" s="10">
        <f>Table1[[#This Row],[ENR]]-Table1[[#This Row],[CREDIT]]</f>
        <v>44596</v>
      </c>
      <c r="M533" s="36">
        <v>470000</v>
      </c>
      <c r="N533" s="26">
        <v>514596</v>
      </c>
      <c r="O533" s="38" t="s">
        <v>43</v>
      </c>
      <c r="P533" s="25">
        <v>514596</v>
      </c>
      <c r="Q533" s="25">
        <v>468158.96</v>
      </c>
      <c r="R533" s="10">
        <v>117300</v>
      </c>
      <c r="S533" s="39">
        <v>49420</v>
      </c>
      <c r="T533" s="10" t="s">
        <v>57</v>
      </c>
      <c r="U533" s="10" t="s">
        <v>13</v>
      </c>
      <c r="V533" s="10">
        <v>120000</v>
      </c>
      <c r="W533" s="25">
        <f>Table1[[#This Row],[STAB]]-Table1[[#This Row],[AMOUNT]]</f>
        <v>-70580</v>
      </c>
      <c r="X533" s="10">
        <v>0</v>
      </c>
      <c r="Y533" s="10" t="s">
        <v>388</v>
      </c>
      <c r="Z533" s="10" t="s">
        <v>403</v>
      </c>
      <c r="AA533" s="10" t="s">
        <v>162</v>
      </c>
      <c r="AB533" s="10" t="s">
        <v>735</v>
      </c>
      <c r="AC533" s="10"/>
      <c r="AD533" s="9" t="s">
        <v>2488</v>
      </c>
      <c r="AE533" s="10" t="s">
        <v>2604</v>
      </c>
      <c r="AF533" s="10" t="s">
        <v>283</v>
      </c>
      <c r="AG533" s="10" t="s">
        <v>53</v>
      </c>
      <c r="AH533" s="10" t="s">
        <v>356</v>
      </c>
      <c r="AI533" s="10" t="s">
        <v>2962</v>
      </c>
      <c r="AJ533" s="10">
        <v>801601134</v>
      </c>
      <c r="AK533" s="10" t="s">
        <v>104</v>
      </c>
      <c r="AL533" s="10"/>
      <c r="AM533" s="10"/>
      <c r="AN533" s="11" t="s">
        <v>390</v>
      </c>
      <c r="AO533" s="10"/>
      <c r="AP533" s="10"/>
      <c r="AQ533" s="10"/>
      <c r="AR533" s="2">
        <v>46084</v>
      </c>
      <c r="AS533" s="10">
        <v>300</v>
      </c>
      <c r="AT533" s="10" t="s">
        <v>47</v>
      </c>
      <c r="AU533" s="10" t="s">
        <v>2622</v>
      </c>
      <c r="AV533" s="36" t="s">
        <v>2735</v>
      </c>
      <c r="AW533" s="1">
        <v>46209</v>
      </c>
    </row>
    <row r="534" spans="1:49" x14ac:dyDescent="0.25">
      <c r="A534" s="9" t="s">
        <v>2133</v>
      </c>
      <c r="B534" s="10" t="s">
        <v>2256</v>
      </c>
      <c r="C534" s="10">
        <v>0</v>
      </c>
      <c r="D534" s="10" t="s">
        <v>91</v>
      </c>
      <c r="E534" s="10">
        <v>1</v>
      </c>
      <c r="F534" s="10"/>
      <c r="G534" s="10"/>
      <c r="H534" s="10" t="s">
        <v>52</v>
      </c>
      <c r="I534" s="10">
        <v>18</v>
      </c>
      <c r="J534" s="10" t="s">
        <v>2378</v>
      </c>
      <c r="K534" s="10" t="s">
        <v>42</v>
      </c>
      <c r="L534" s="10">
        <f>Table1[[#This Row],[ENR]]-Table1[[#This Row],[CREDIT]]</f>
        <v>37136.630000000005</v>
      </c>
      <c r="M534" s="36">
        <v>470000</v>
      </c>
      <c r="N534" s="26">
        <v>507136.63</v>
      </c>
      <c r="O534" s="38" t="s">
        <v>43</v>
      </c>
      <c r="P534" s="25">
        <v>507136.63</v>
      </c>
      <c r="Q534" s="25">
        <v>464431.59</v>
      </c>
      <c r="R534" s="10">
        <v>108080</v>
      </c>
      <c r="S534" s="39">
        <v>40610</v>
      </c>
      <c r="T534" s="10" t="s">
        <v>44</v>
      </c>
      <c r="U534" s="10" t="s">
        <v>45</v>
      </c>
      <c r="V534" s="10">
        <v>1202</v>
      </c>
      <c r="W534" s="25">
        <f>Table1[[#This Row],[STAB]]-Table1[[#This Row],[AMOUNT]]</f>
        <v>39408</v>
      </c>
      <c r="X534" s="10">
        <v>0</v>
      </c>
      <c r="Y534" s="10" t="s">
        <v>79</v>
      </c>
      <c r="Z534" s="10" t="s">
        <v>963</v>
      </c>
      <c r="AA534" s="10" t="s">
        <v>162</v>
      </c>
      <c r="AB534" s="36" t="s">
        <v>736</v>
      </c>
      <c r="AC534" s="10"/>
      <c r="AD534" s="9" t="s">
        <v>2499</v>
      </c>
      <c r="AE534" s="10" t="s">
        <v>2615</v>
      </c>
      <c r="AF534" s="10" t="s">
        <v>1102</v>
      </c>
      <c r="AG534" s="10" t="s">
        <v>324</v>
      </c>
      <c r="AH534" s="10" t="s">
        <v>1956</v>
      </c>
      <c r="AI534" s="10" t="s">
        <v>1403</v>
      </c>
      <c r="AJ534" s="10">
        <v>802631601</v>
      </c>
      <c r="AK534" s="10" t="s">
        <v>362</v>
      </c>
      <c r="AL534" s="10"/>
      <c r="AM534" s="10"/>
      <c r="AN534" s="11" t="s">
        <v>46</v>
      </c>
      <c r="AO534" s="10"/>
      <c r="AP534" s="10"/>
      <c r="AQ534" s="10"/>
      <c r="AR534" s="2">
        <v>46142</v>
      </c>
      <c r="AS534" s="10">
        <v>25010</v>
      </c>
      <c r="AT534" s="10" t="s">
        <v>294</v>
      </c>
      <c r="AU534" s="10" t="s">
        <v>2622</v>
      </c>
      <c r="AV534" s="36" t="s">
        <v>2746</v>
      </c>
      <c r="AW534" s="1">
        <v>46209</v>
      </c>
    </row>
    <row r="535" spans="1:49" x14ac:dyDescent="0.25">
      <c r="A535" s="9" t="s">
        <v>3631</v>
      </c>
      <c r="B535" s="10" t="s">
        <v>3679</v>
      </c>
      <c r="C535" s="10">
        <v>0</v>
      </c>
      <c r="D535" s="10" t="s">
        <v>91</v>
      </c>
      <c r="E535" s="10"/>
      <c r="F535" s="10"/>
      <c r="G535" s="10"/>
      <c r="H535" s="10" t="s">
        <v>52</v>
      </c>
      <c r="I535" s="10">
        <v>18</v>
      </c>
      <c r="J535" s="10" t="s">
        <v>3727</v>
      </c>
      <c r="K535" s="10" t="s">
        <v>42</v>
      </c>
      <c r="L535" s="10">
        <f>Table1[[#This Row],[ENR]]-Table1[[#This Row],[CREDIT]]</f>
        <v>103605.97999999998</v>
      </c>
      <c r="M535" s="36">
        <v>380000</v>
      </c>
      <c r="N535" s="26">
        <v>483605.98</v>
      </c>
      <c r="O535" s="38">
        <v>203922.95</v>
      </c>
      <c r="P535" s="25">
        <v>279683.03000000003</v>
      </c>
      <c r="Q535" s="25">
        <v>256882.53</v>
      </c>
      <c r="R535" s="10">
        <v>136880</v>
      </c>
      <c r="S535" s="39">
        <v>66960</v>
      </c>
      <c r="T535" s="10" t="s">
        <v>57</v>
      </c>
      <c r="U535" s="10" t="s">
        <v>14</v>
      </c>
      <c r="V535" s="10">
        <v>0</v>
      </c>
      <c r="W535" s="25">
        <f>Table1[[#This Row],[STAB]]-Table1[[#This Row],[AMOUNT]]</f>
        <v>66960</v>
      </c>
      <c r="X535" s="10">
        <v>0</v>
      </c>
      <c r="Y535" s="10" t="s">
        <v>79</v>
      </c>
      <c r="Z535" s="10" t="s">
        <v>403</v>
      </c>
      <c r="AA535" s="10" t="s">
        <v>162</v>
      </c>
      <c r="AB535" s="10" t="s">
        <v>735</v>
      </c>
      <c r="AC535" s="10"/>
      <c r="AD535" s="9" t="s">
        <v>3775</v>
      </c>
      <c r="AE535" s="10" t="s">
        <v>3823</v>
      </c>
      <c r="AF535" s="10" t="s">
        <v>685</v>
      </c>
      <c r="AG535" s="10" t="s">
        <v>54</v>
      </c>
      <c r="AH535" s="10" t="s">
        <v>1398</v>
      </c>
      <c r="AI535" s="10" t="s">
        <v>162</v>
      </c>
      <c r="AJ535" s="10">
        <v>801772794</v>
      </c>
      <c r="AK535" s="10" t="s">
        <v>361</v>
      </c>
      <c r="AL535" s="10"/>
      <c r="AM535" s="10"/>
      <c r="AN535" s="11" t="s">
        <v>46</v>
      </c>
      <c r="AO535" s="10"/>
      <c r="AP535" s="10"/>
      <c r="AQ535" s="10"/>
      <c r="AR535" s="2">
        <v>45975</v>
      </c>
      <c r="AS535" s="10">
        <v>65808.86</v>
      </c>
      <c r="AT535" s="10" t="s">
        <v>689</v>
      </c>
      <c r="AU535" s="10" t="s">
        <v>3266</v>
      </c>
      <c r="AV535" s="36" t="s">
        <v>3874</v>
      </c>
      <c r="AW535" s="1">
        <v>46209</v>
      </c>
    </row>
    <row r="536" spans="1:49" x14ac:dyDescent="0.25">
      <c r="A536" s="9" t="s">
        <v>3627</v>
      </c>
      <c r="B536" s="10" t="s">
        <v>3675</v>
      </c>
      <c r="C536" s="10">
        <v>0</v>
      </c>
      <c r="D536" s="10" t="s">
        <v>91</v>
      </c>
      <c r="E536" s="10"/>
      <c r="F536" s="10"/>
      <c r="G536" s="10"/>
      <c r="H536" s="10" t="s">
        <v>52</v>
      </c>
      <c r="I536" s="10">
        <v>18</v>
      </c>
      <c r="J536" s="10" t="s">
        <v>3723</v>
      </c>
      <c r="K536" s="10" t="s">
        <v>42</v>
      </c>
      <c r="L536" s="10">
        <f>Table1[[#This Row],[ENR]]-Table1[[#This Row],[CREDIT]]</f>
        <v>51.46999999997206</v>
      </c>
      <c r="M536" s="36">
        <v>450000</v>
      </c>
      <c r="N536" s="26">
        <v>450051.47</v>
      </c>
      <c r="O536" s="38">
        <v>137513.09</v>
      </c>
      <c r="P536" s="25">
        <v>312538.38</v>
      </c>
      <c r="Q536" s="25">
        <v>267220.43</v>
      </c>
      <c r="R536" s="10">
        <v>97090</v>
      </c>
      <c r="S536" s="39">
        <v>43690</v>
      </c>
      <c r="T536" s="10" t="s">
        <v>57</v>
      </c>
      <c r="U536" s="10" t="s">
        <v>14</v>
      </c>
      <c r="V536" s="10">
        <v>0</v>
      </c>
      <c r="W536" s="25">
        <f>Table1[[#This Row],[STAB]]-Table1[[#This Row],[AMOUNT]]</f>
        <v>43690</v>
      </c>
      <c r="X536" s="10">
        <v>0</v>
      </c>
      <c r="Y536" s="10" t="s">
        <v>388</v>
      </c>
      <c r="Z536" s="10" t="s">
        <v>403</v>
      </c>
      <c r="AA536" s="10" t="s">
        <v>162</v>
      </c>
      <c r="AB536" s="36" t="s">
        <v>736</v>
      </c>
      <c r="AC536" s="10"/>
      <c r="AD536" s="9" t="s">
        <v>3771</v>
      </c>
      <c r="AE536" s="10" t="s">
        <v>3819</v>
      </c>
      <c r="AF536" s="10" t="s">
        <v>275</v>
      </c>
      <c r="AG536" s="10" t="s">
        <v>80</v>
      </c>
      <c r="AH536" s="10" t="s">
        <v>1999</v>
      </c>
      <c r="AI536" s="10" t="s">
        <v>368</v>
      </c>
      <c r="AJ536" s="10">
        <v>802823175</v>
      </c>
      <c r="AK536" s="10" t="s">
        <v>105</v>
      </c>
      <c r="AL536" s="10"/>
      <c r="AM536" s="10"/>
      <c r="AN536" s="11" t="s">
        <v>390</v>
      </c>
      <c r="AO536" s="10" t="s">
        <v>392</v>
      </c>
      <c r="AP536" s="10" t="s">
        <v>6234</v>
      </c>
      <c r="AQ536" s="10" t="s">
        <v>4937</v>
      </c>
      <c r="AR536" s="2">
        <v>46080</v>
      </c>
      <c r="AS536" s="10">
        <v>39480</v>
      </c>
      <c r="AT536" s="10" t="s">
        <v>689</v>
      </c>
      <c r="AU536" s="10" t="s">
        <v>3266</v>
      </c>
      <c r="AV536" s="36" t="s">
        <v>3870</v>
      </c>
      <c r="AW536" s="1">
        <v>46209</v>
      </c>
    </row>
    <row r="537" spans="1:49" x14ac:dyDescent="0.25">
      <c r="A537" s="9" t="s">
        <v>2127</v>
      </c>
      <c r="B537" s="10" t="s">
        <v>2250</v>
      </c>
      <c r="C537" s="10">
        <v>0</v>
      </c>
      <c r="D537" s="10" t="s">
        <v>91</v>
      </c>
      <c r="E537" s="10">
        <v>1</v>
      </c>
      <c r="F537" s="10"/>
      <c r="G537" s="10"/>
      <c r="H537" s="10" t="s">
        <v>52</v>
      </c>
      <c r="I537" s="10">
        <v>18</v>
      </c>
      <c r="J537" s="10" t="s">
        <v>2372</v>
      </c>
      <c r="K537" s="10" t="s">
        <v>42</v>
      </c>
      <c r="L537" s="10">
        <f>Table1[[#This Row],[ENR]]-Table1[[#This Row],[CREDIT]]</f>
        <v>364006.33</v>
      </c>
      <c r="M537" s="36">
        <v>79000</v>
      </c>
      <c r="N537" s="26">
        <v>443006.33</v>
      </c>
      <c r="O537" s="38">
        <v>154705.98000000001</v>
      </c>
      <c r="P537" s="25">
        <v>288300.34999999998</v>
      </c>
      <c r="Q537" s="25">
        <v>266950.07</v>
      </c>
      <c r="R537" s="10">
        <v>243180</v>
      </c>
      <c r="S537" s="39">
        <v>187880</v>
      </c>
      <c r="T537" s="10" t="s">
        <v>44</v>
      </c>
      <c r="U537" s="10" t="s">
        <v>45</v>
      </c>
      <c r="V537" s="10">
        <v>0</v>
      </c>
      <c r="W537" s="25">
        <f>Table1[[#This Row],[STAB]]-Table1[[#This Row],[AMOUNT]]</f>
        <v>187880</v>
      </c>
      <c r="X537" s="10">
        <v>0</v>
      </c>
      <c r="Y537" s="10" t="s">
        <v>79</v>
      </c>
      <c r="Z537" s="10">
        <v>0</v>
      </c>
      <c r="AA537" s="10" t="s">
        <v>162</v>
      </c>
      <c r="AB537" s="36" t="s">
        <v>733</v>
      </c>
      <c r="AC537" s="10"/>
      <c r="AD537" s="9" t="s">
        <v>2493</v>
      </c>
      <c r="AE537" s="10" t="s">
        <v>2609</v>
      </c>
      <c r="AF537" s="10" t="s">
        <v>276</v>
      </c>
      <c r="AG537" s="10" t="s">
        <v>324</v>
      </c>
      <c r="AH537" s="10" t="s">
        <v>354</v>
      </c>
      <c r="AI537" s="10" t="s">
        <v>367</v>
      </c>
      <c r="AJ537" s="10">
        <v>801436997</v>
      </c>
      <c r="AK537" s="10" t="s">
        <v>104</v>
      </c>
      <c r="AL537" s="10"/>
      <c r="AM537" s="10"/>
      <c r="AN537" s="11" t="s">
        <v>390</v>
      </c>
      <c r="AO537" s="10" t="s">
        <v>394</v>
      </c>
      <c r="AP537" s="10" t="s">
        <v>4621</v>
      </c>
      <c r="AQ537" s="10" t="s">
        <v>4619</v>
      </c>
      <c r="AR537" s="2">
        <v>45694</v>
      </c>
      <c r="AS537" s="10">
        <v>15000</v>
      </c>
      <c r="AT537" s="10" t="s">
        <v>292</v>
      </c>
      <c r="AU537" s="10" t="s">
        <v>2622</v>
      </c>
      <c r="AV537" s="36" t="s">
        <v>2740</v>
      </c>
      <c r="AW537" s="1">
        <v>46209</v>
      </c>
    </row>
    <row r="538" spans="1:49" x14ac:dyDescent="0.25">
      <c r="A538" s="9" t="s">
        <v>2131</v>
      </c>
      <c r="B538" s="10" t="s">
        <v>2254</v>
      </c>
      <c r="C538" s="10">
        <v>0</v>
      </c>
      <c r="D538" s="10" t="s">
        <v>91</v>
      </c>
      <c r="E538" s="10"/>
      <c r="F538" s="10"/>
      <c r="G538" s="10"/>
      <c r="H538" s="10" t="s">
        <v>52</v>
      </c>
      <c r="I538" s="10">
        <v>18</v>
      </c>
      <c r="J538" s="10" t="s">
        <v>2376</v>
      </c>
      <c r="K538" s="10" t="s">
        <v>42</v>
      </c>
      <c r="L538" s="10">
        <f>Table1[[#This Row],[ENR]]-Table1[[#This Row],[CREDIT]]</f>
        <v>22442.109999999986</v>
      </c>
      <c r="M538" s="36">
        <v>410000</v>
      </c>
      <c r="N538" s="26">
        <v>432442.11</v>
      </c>
      <c r="O538" s="38" t="s">
        <v>43</v>
      </c>
      <c r="P538" s="25">
        <v>432442.11</v>
      </c>
      <c r="Q538" s="25">
        <v>394793.2</v>
      </c>
      <c r="R538" s="10">
        <v>83890</v>
      </c>
      <c r="S538" s="39">
        <v>25470</v>
      </c>
      <c r="T538" s="10" t="s">
        <v>57</v>
      </c>
      <c r="U538" s="10" t="s">
        <v>14</v>
      </c>
      <c r="V538" s="10">
        <v>26000</v>
      </c>
      <c r="W538" s="25">
        <f>Table1[[#This Row],[STAB]]-Table1[[#This Row],[AMOUNT]]</f>
        <v>-530</v>
      </c>
      <c r="X538" s="10" t="s">
        <v>4931</v>
      </c>
      <c r="Y538" s="10" t="s">
        <v>396</v>
      </c>
      <c r="Z538" s="10" t="s">
        <v>403</v>
      </c>
      <c r="AA538" s="10" t="s">
        <v>162</v>
      </c>
      <c r="AB538" s="36" t="s">
        <v>736</v>
      </c>
      <c r="AC538" s="10"/>
      <c r="AD538" s="9" t="s">
        <v>2497</v>
      </c>
      <c r="AE538" s="10" t="s">
        <v>2613</v>
      </c>
      <c r="AF538" s="10" t="s">
        <v>272</v>
      </c>
      <c r="AG538" s="10" t="s">
        <v>54</v>
      </c>
      <c r="AH538" s="10" t="s">
        <v>114</v>
      </c>
      <c r="AI538" s="10" t="s">
        <v>726</v>
      </c>
      <c r="AJ538" s="10">
        <v>801772792</v>
      </c>
      <c r="AK538" s="10" t="s">
        <v>105</v>
      </c>
      <c r="AL538" s="10"/>
      <c r="AM538" s="10"/>
      <c r="AN538" s="11" t="s">
        <v>390</v>
      </c>
      <c r="AO538" s="10" t="s">
        <v>392</v>
      </c>
      <c r="AP538" s="10" t="s">
        <v>4625</v>
      </c>
      <c r="AQ538" s="10" t="s">
        <v>4619</v>
      </c>
      <c r="AR538" s="2">
        <v>45992</v>
      </c>
      <c r="AS538" s="10">
        <v>64450</v>
      </c>
      <c r="AT538" s="10" t="s">
        <v>689</v>
      </c>
      <c r="AU538" s="10" t="s">
        <v>2622</v>
      </c>
      <c r="AV538" s="36" t="s">
        <v>2744</v>
      </c>
      <c r="AW538" s="1">
        <v>46209</v>
      </c>
    </row>
    <row r="539" spans="1:49" x14ac:dyDescent="0.25">
      <c r="A539" s="9" t="s">
        <v>3591</v>
      </c>
      <c r="B539" s="10" t="s">
        <v>3640</v>
      </c>
      <c r="C539" s="10">
        <v>0</v>
      </c>
      <c r="D539" s="10" t="s">
        <v>91</v>
      </c>
      <c r="E539" s="10"/>
      <c r="F539" s="10"/>
      <c r="G539" s="10"/>
      <c r="H539" s="10" t="s">
        <v>52</v>
      </c>
      <c r="I539" s="10">
        <v>18</v>
      </c>
      <c r="J539" s="10" t="s">
        <v>3688</v>
      </c>
      <c r="K539" s="10" t="s">
        <v>42</v>
      </c>
      <c r="L539" s="10">
        <f>Table1[[#This Row],[ENR]]-Table1[[#This Row],[CREDIT]]</f>
        <v>34438.679999999993</v>
      </c>
      <c r="M539" s="36">
        <v>365000</v>
      </c>
      <c r="N539" s="26">
        <v>399438.68</v>
      </c>
      <c r="O539" s="38">
        <v>18547.080000000002</v>
      </c>
      <c r="P539" s="25">
        <v>380891.6</v>
      </c>
      <c r="Q539" s="25">
        <v>345934.65</v>
      </c>
      <c r="R539" s="10">
        <v>73540</v>
      </c>
      <c r="S539" s="39">
        <v>22370</v>
      </c>
      <c r="T539" s="10" t="s">
        <v>57</v>
      </c>
      <c r="U539" s="10" t="s">
        <v>14</v>
      </c>
      <c r="V539" s="25">
        <v>35000</v>
      </c>
      <c r="W539" s="25">
        <f>Table1[[#This Row],[STAB]]-Table1[[#This Row],[AMOUNT]]</f>
        <v>-12630</v>
      </c>
      <c r="X539" s="10" t="s">
        <v>4601</v>
      </c>
      <c r="Y539" s="10" t="s">
        <v>402</v>
      </c>
      <c r="Z539" s="10" t="s">
        <v>403</v>
      </c>
      <c r="AA539" s="10" t="s">
        <v>162</v>
      </c>
      <c r="AB539" s="36" t="s">
        <v>733</v>
      </c>
      <c r="AC539" s="10"/>
      <c r="AD539" s="9" t="s">
        <v>3736</v>
      </c>
      <c r="AE539" s="10" t="s">
        <v>3784</v>
      </c>
      <c r="AF539" s="10" t="s">
        <v>500</v>
      </c>
      <c r="AG539" s="10" t="s">
        <v>54</v>
      </c>
      <c r="AH539" s="10" t="s">
        <v>99</v>
      </c>
      <c r="AI539" s="10" t="s">
        <v>363</v>
      </c>
      <c r="AJ539" s="10">
        <v>802913252</v>
      </c>
      <c r="AK539" s="10" t="s">
        <v>104</v>
      </c>
      <c r="AL539" s="10"/>
      <c r="AM539" s="10"/>
      <c r="AN539" s="11" t="s">
        <v>390</v>
      </c>
      <c r="AO539" s="10"/>
      <c r="AP539" s="10"/>
      <c r="AQ539" s="10"/>
      <c r="AR539" s="2">
        <v>45891</v>
      </c>
      <c r="AS539" s="10">
        <v>22960</v>
      </c>
      <c r="AT539" s="10" t="s">
        <v>47</v>
      </c>
      <c r="AU539" s="10" t="s">
        <v>3266</v>
      </c>
      <c r="AV539" s="36" t="s">
        <v>3834</v>
      </c>
      <c r="AW539" s="1">
        <v>46209</v>
      </c>
    </row>
    <row r="540" spans="1:49" x14ac:dyDescent="0.25">
      <c r="A540" s="9" t="s">
        <v>2129</v>
      </c>
      <c r="B540" s="10" t="s">
        <v>2252</v>
      </c>
      <c r="C540" s="10">
        <v>0</v>
      </c>
      <c r="D540" s="10" t="s">
        <v>91</v>
      </c>
      <c r="E540" s="10"/>
      <c r="F540" s="10"/>
      <c r="G540" s="10"/>
      <c r="H540" s="10" t="s">
        <v>52</v>
      </c>
      <c r="I540" s="10">
        <v>18</v>
      </c>
      <c r="J540" s="10" t="s">
        <v>2374</v>
      </c>
      <c r="K540" s="10" t="s">
        <v>42</v>
      </c>
      <c r="L540" s="10">
        <f>Table1[[#This Row],[ENR]]-Table1[[#This Row],[CREDIT]]</f>
        <v>-104991.26000000001</v>
      </c>
      <c r="M540" s="36">
        <v>500000</v>
      </c>
      <c r="N540" s="26">
        <v>395008.74</v>
      </c>
      <c r="O540" s="38" t="s">
        <v>43</v>
      </c>
      <c r="P540" s="25">
        <v>395008.74</v>
      </c>
      <c r="Q540" s="25">
        <v>345675.03</v>
      </c>
      <c r="R540" s="10">
        <v>86310</v>
      </c>
      <c r="S540" s="39">
        <v>43130</v>
      </c>
      <c r="T540" s="10" t="s">
        <v>57</v>
      </c>
      <c r="U540" s="10" t="s">
        <v>13</v>
      </c>
      <c r="V540" s="10">
        <v>43150</v>
      </c>
      <c r="W540" s="25">
        <f>Table1[[#This Row],[STAB]]-Table1[[#This Row],[AMOUNT]]</f>
        <v>-20</v>
      </c>
      <c r="X540" s="10" t="s">
        <v>4976</v>
      </c>
      <c r="Y540" s="10" t="s">
        <v>396</v>
      </c>
      <c r="Z540" s="10" t="s">
        <v>403</v>
      </c>
      <c r="AA540" s="10" t="s">
        <v>162</v>
      </c>
      <c r="AB540" s="36" t="s">
        <v>734</v>
      </c>
      <c r="AC540" s="10"/>
      <c r="AD540" s="9" t="s">
        <v>2495</v>
      </c>
      <c r="AE540" s="10" t="s">
        <v>2611</v>
      </c>
      <c r="AF540" s="10" t="s">
        <v>685</v>
      </c>
      <c r="AG540" s="10" t="s">
        <v>54</v>
      </c>
      <c r="AH540" s="10" t="s">
        <v>1398</v>
      </c>
      <c r="AI540" s="10" t="s">
        <v>162</v>
      </c>
      <c r="AJ540" s="10">
        <v>801772794</v>
      </c>
      <c r="AK540" s="10" t="s">
        <v>361</v>
      </c>
      <c r="AL540" s="10"/>
      <c r="AM540" s="10"/>
      <c r="AN540" s="11" t="s">
        <v>390</v>
      </c>
      <c r="AO540" s="10"/>
      <c r="AP540" s="10"/>
      <c r="AQ540" s="10"/>
      <c r="AR540" s="2">
        <v>45964</v>
      </c>
      <c r="AS540" s="10">
        <v>36000</v>
      </c>
      <c r="AT540" s="10" t="s">
        <v>689</v>
      </c>
      <c r="AU540" s="10" t="s">
        <v>2622</v>
      </c>
      <c r="AV540" s="36" t="s">
        <v>2742</v>
      </c>
      <c r="AW540" s="1">
        <v>46209</v>
      </c>
    </row>
    <row r="541" spans="1:49" x14ac:dyDescent="0.25">
      <c r="A541" s="9" t="s">
        <v>2132</v>
      </c>
      <c r="B541" s="10" t="s">
        <v>2255</v>
      </c>
      <c r="C541" s="10">
        <v>0</v>
      </c>
      <c r="D541" s="10" t="s">
        <v>91</v>
      </c>
      <c r="E541" s="10"/>
      <c r="F541" s="10"/>
      <c r="G541" s="10"/>
      <c r="H541" s="10" t="s">
        <v>52</v>
      </c>
      <c r="I541" s="10">
        <v>18</v>
      </c>
      <c r="J541" s="10" t="s">
        <v>2377</v>
      </c>
      <c r="K541" s="10" t="s">
        <v>42</v>
      </c>
      <c r="L541" s="10">
        <f>Table1[[#This Row],[ENR]]-Table1[[#This Row],[CREDIT]]</f>
        <v>25045.229999999981</v>
      </c>
      <c r="M541" s="36">
        <v>360000</v>
      </c>
      <c r="N541" s="26">
        <v>385045.23</v>
      </c>
      <c r="O541" s="38" t="s">
        <v>43</v>
      </c>
      <c r="P541" s="25">
        <v>385045.23</v>
      </c>
      <c r="Q541" s="25">
        <v>360000</v>
      </c>
      <c r="R541" s="10">
        <v>83940</v>
      </c>
      <c r="S541" s="39">
        <v>18000</v>
      </c>
      <c r="T541" s="10" t="s">
        <v>44</v>
      </c>
      <c r="U541" s="10" t="s">
        <v>45</v>
      </c>
      <c r="V541" s="10">
        <v>0</v>
      </c>
      <c r="W541" s="25">
        <f>Table1[[#This Row],[STAB]]-Table1[[#This Row],[AMOUNT]]</f>
        <v>18000</v>
      </c>
      <c r="X541" s="10">
        <v>0</v>
      </c>
      <c r="Y541" s="10" t="s">
        <v>79</v>
      </c>
      <c r="Z541" s="10">
        <v>0</v>
      </c>
      <c r="AA541" s="10" t="s">
        <v>162</v>
      </c>
      <c r="AB541" s="36" t="s">
        <v>736</v>
      </c>
      <c r="AC541" s="10"/>
      <c r="AD541" s="9" t="s">
        <v>2498</v>
      </c>
      <c r="AE541" s="10" t="s">
        <v>2614</v>
      </c>
      <c r="AF541" s="10" t="s">
        <v>687</v>
      </c>
      <c r="AG541" s="10" t="s">
        <v>53</v>
      </c>
      <c r="AH541" s="10" t="s">
        <v>83</v>
      </c>
      <c r="AI541" s="10" t="s">
        <v>728</v>
      </c>
      <c r="AJ541" s="10">
        <v>802349062</v>
      </c>
      <c r="AK541" s="10" t="s">
        <v>104</v>
      </c>
      <c r="AL541" s="10"/>
      <c r="AM541" s="10"/>
      <c r="AN541" s="11" t="s">
        <v>46</v>
      </c>
      <c r="AO541" s="10"/>
      <c r="AP541" s="10"/>
      <c r="AQ541" s="10"/>
      <c r="AR541" s="2">
        <v>46054</v>
      </c>
      <c r="AS541" s="10">
        <v>90000</v>
      </c>
      <c r="AT541" s="10" t="s">
        <v>689</v>
      </c>
      <c r="AU541" s="10" t="s">
        <v>2622</v>
      </c>
      <c r="AV541" s="36" t="s">
        <v>2745</v>
      </c>
      <c r="AW541" s="1">
        <v>46209</v>
      </c>
    </row>
    <row r="542" spans="1:49" x14ac:dyDescent="0.25">
      <c r="A542" s="40" t="s">
        <v>2135</v>
      </c>
      <c r="B542" s="11" t="s">
        <v>2258</v>
      </c>
      <c r="C542" s="10">
        <v>0</v>
      </c>
      <c r="D542" s="10" t="s">
        <v>91</v>
      </c>
      <c r="E542" s="11"/>
      <c r="F542" s="10"/>
      <c r="G542" s="10"/>
      <c r="H542" s="10" t="s">
        <v>52</v>
      </c>
      <c r="I542" s="11">
        <v>18</v>
      </c>
      <c r="J542" s="11" t="s">
        <v>2380</v>
      </c>
      <c r="K542" s="11" t="s">
        <v>42</v>
      </c>
      <c r="L542" s="11">
        <f>Table1[[#This Row],[ENR]]-Table1[[#This Row],[CREDIT]]</f>
        <v>23188.580000000016</v>
      </c>
      <c r="M542" s="41">
        <v>350000</v>
      </c>
      <c r="N542" s="42">
        <v>373188.58</v>
      </c>
      <c r="O542" s="43" t="s">
        <v>43</v>
      </c>
      <c r="P542" s="44">
        <v>373188.58</v>
      </c>
      <c r="Q542" s="44">
        <v>329055.01</v>
      </c>
      <c r="R542" s="11">
        <v>125160</v>
      </c>
      <c r="S542" s="45">
        <v>60160</v>
      </c>
      <c r="T542" s="10" t="s">
        <v>44</v>
      </c>
      <c r="U542" s="10" t="s">
        <v>45</v>
      </c>
      <c r="V542" s="10">
        <v>0</v>
      </c>
      <c r="W542" s="44">
        <f>Table1[[#This Row],[STAB]]-Table1[[#This Row],[AMOUNT]]</f>
        <v>60160</v>
      </c>
      <c r="X542" s="10">
        <v>0</v>
      </c>
      <c r="Y542" s="10" t="s">
        <v>79</v>
      </c>
      <c r="Z542" s="10">
        <v>0</v>
      </c>
      <c r="AA542" s="10" t="s">
        <v>162</v>
      </c>
      <c r="AB542" s="36" t="s">
        <v>733</v>
      </c>
      <c r="AC542" s="11"/>
      <c r="AD542" s="40" t="s">
        <v>2501</v>
      </c>
      <c r="AE542" s="11" t="s">
        <v>2617</v>
      </c>
      <c r="AF542" s="11" t="s">
        <v>272</v>
      </c>
      <c r="AG542" s="10" t="s">
        <v>54</v>
      </c>
      <c r="AH542" s="11" t="s">
        <v>114</v>
      </c>
      <c r="AI542" s="10" t="s">
        <v>726</v>
      </c>
      <c r="AJ542" s="11">
        <v>801772792</v>
      </c>
      <c r="AK542" s="11" t="s">
        <v>105</v>
      </c>
      <c r="AL542" s="11"/>
      <c r="AM542" s="11"/>
      <c r="AN542" s="11" t="s">
        <v>390</v>
      </c>
      <c r="AO542" s="11" t="s">
        <v>531</v>
      </c>
      <c r="AP542" s="11" t="s">
        <v>6348</v>
      </c>
      <c r="AQ542" s="11" t="s">
        <v>4976</v>
      </c>
      <c r="AR542" s="46">
        <v>46169</v>
      </c>
      <c r="AS542" s="11">
        <v>4000</v>
      </c>
      <c r="AT542" s="11" t="s">
        <v>48</v>
      </c>
      <c r="AU542" s="10" t="s">
        <v>2622</v>
      </c>
      <c r="AV542" s="41" t="s">
        <v>2747</v>
      </c>
      <c r="AW542" s="47">
        <v>46209</v>
      </c>
    </row>
    <row r="543" spans="1:49" x14ac:dyDescent="0.25">
      <c r="A543" s="9" t="s">
        <v>2120</v>
      </c>
      <c r="B543" s="10" t="s">
        <v>2243</v>
      </c>
      <c r="C543" s="10">
        <v>0</v>
      </c>
      <c r="D543" s="10" t="s">
        <v>91</v>
      </c>
      <c r="E543" s="10"/>
      <c r="F543" s="10" t="s">
        <v>112</v>
      </c>
      <c r="G543" s="10" t="s">
        <v>4967</v>
      </c>
      <c r="H543" s="10" t="s">
        <v>52</v>
      </c>
      <c r="I543" s="10">
        <v>18</v>
      </c>
      <c r="J543" s="10" t="s">
        <v>2365</v>
      </c>
      <c r="K543" s="10" t="s">
        <v>42</v>
      </c>
      <c r="L543" s="10">
        <f>Table1[[#This Row],[ENR]]-Table1[[#This Row],[CREDIT]]</f>
        <v>16957.299999999988</v>
      </c>
      <c r="M543" s="36">
        <v>320000</v>
      </c>
      <c r="N543" s="26">
        <v>336957.3</v>
      </c>
      <c r="O543" s="38" t="s">
        <v>43</v>
      </c>
      <c r="P543" s="25">
        <v>336957.3</v>
      </c>
      <c r="Q543" s="25">
        <v>304171.53999999998</v>
      </c>
      <c r="R543" s="10">
        <v>67280</v>
      </c>
      <c r="S543" s="39">
        <v>20240</v>
      </c>
      <c r="T543" s="10" t="s">
        <v>57</v>
      </c>
      <c r="U543" s="10" t="s">
        <v>14</v>
      </c>
      <c r="V543" s="10">
        <v>19000</v>
      </c>
      <c r="W543" s="25">
        <f>Table1[[#This Row],[STAB]]-Table1[[#This Row],[AMOUNT]]</f>
        <v>1240</v>
      </c>
      <c r="X543" s="10" t="s">
        <v>6399</v>
      </c>
      <c r="Y543" s="10" t="s">
        <v>396</v>
      </c>
      <c r="Z543" s="10" t="s">
        <v>403</v>
      </c>
      <c r="AA543" s="10" t="s">
        <v>162</v>
      </c>
      <c r="AB543" s="36" t="s">
        <v>734</v>
      </c>
      <c r="AC543" s="10"/>
      <c r="AD543" s="9" t="s">
        <v>2486</v>
      </c>
      <c r="AE543" s="10" t="s">
        <v>2602</v>
      </c>
      <c r="AF543" s="10" t="s">
        <v>383</v>
      </c>
      <c r="AG543" s="10" t="s">
        <v>53</v>
      </c>
      <c r="AH543" s="10" t="s">
        <v>55</v>
      </c>
      <c r="AI543" s="10" t="s">
        <v>365</v>
      </c>
      <c r="AJ543" s="10">
        <v>802824019</v>
      </c>
      <c r="AK543" s="10" t="s">
        <v>360</v>
      </c>
      <c r="AL543" s="10"/>
      <c r="AM543" s="10"/>
      <c r="AN543" s="11" t="s">
        <v>390</v>
      </c>
      <c r="AO543" s="10" t="s">
        <v>392</v>
      </c>
      <c r="AP543" s="10" t="s">
        <v>6389</v>
      </c>
      <c r="AQ543" s="10" t="s">
        <v>6364</v>
      </c>
      <c r="AR543" s="2">
        <v>46040</v>
      </c>
      <c r="AS543" s="10">
        <v>25120</v>
      </c>
      <c r="AT543" s="10" t="s">
        <v>503</v>
      </c>
      <c r="AU543" s="10" t="s">
        <v>2622</v>
      </c>
      <c r="AV543" s="36" t="s">
        <v>2733</v>
      </c>
      <c r="AW543" s="1">
        <v>46209</v>
      </c>
    </row>
    <row r="544" spans="1:49" x14ac:dyDescent="0.25">
      <c r="A544" s="9" t="s">
        <v>2126</v>
      </c>
      <c r="B544" s="10" t="s">
        <v>2249</v>
      </c>
      <c r="C544" s="10">
        <v>0</v>
      </c>
      <c r="D544" s="10" t="s">
        <v>91</v>
      </c>
      <c r="E544" s="10"/>
      <c r="F544" s="10"/>
      <c r="G544" s="10"/>
      <c r="H544" s="10" t="s">
        <v>52</v>
      </c>
      <c r="I544" s="10">
        <v>18</v>
      </c>
      <c r="J544" s="10" t="s">
        <v>2371</v>
      </c>
      <c r="K544" s="10" t="s">
        <v>42</v>
      </c>
      <c r="L544" s="10">
        <f>Table1[[#This Row],[ENR]]-Table1[[#This Row],[CREDIT]]</f>
        <v>26615.059999999998</v>
      </c>
      <c r="M544" s="36">
        <v>300000</v>
      </c>
      <c r="N544" s="26">
        <v>326615.06</v>
      </c>
      <c r="O544" s="38" t="s">
        <v>43</v>
      </c>
      <c r="P544" s="25">
        <v>326615.06</v>
      </c>
      <c r="Q544" s="25">
        <v>282546.5</v>
      </c>
      <c r="R544" s="10">
        <v>86550</v>
      </c>
      <c r="S544" s="39">
        <v>29930</v>
      </c>
      <c r="T544" s="10" t="s">
        <v>57</v>
      </c>
      <c r="U544" s="10" t="s">
        <v>13</v>
      </c>
      <c r="V544" s="10">
        <v>326615.06</v>
      </c>
      <c r="W544" s="25">
        <f>Table1[[#This Row],[STAB]]-Table1[[#This Row],[AMOUNT]]</f>
        <v>-296685.06</v>
      </c>
      <c r="X544" s="10" t="s">
        <v>4923</v>
      </c>
      <c r="Y544" s="10" t="s">
        <v>402</v>
      </c>
      <c r="Z544" s="10" t="s">
        <v>403</v>
      </c>
      <c r="AA544" s="10" t="s">
        <v>162</v>
      </c>
      <c r="AB544" s="10" t="s">
        <v>735</v>
      </c>
      <c r="AC544" s="10"/>
      <c r="AD544" s="9" t="s">
        <v>2492</v>
      </c>
      <c r="AE544" s="10" t="s">
        <v>2608</v>
      </c>
      <c r="AF544" s="10" t="s">
        <v>685</v>
      </c>
      <c r="AG544" s="10" t="s">
        <v>54</v>
      </c>
      <c r="AH544" s="10" t="s">
        <v>1398</v>
      </c>
      <c r="AI544" s="10" t="s">
        <v>162</v>
      </c>
      <c r="AJ544" s="10">
        <v>801772794</v>
      </c>
      <c r="AK544" s="10" t="s">
        <v>361</v>
      </c>
      <c r="AL544" s="10"/>
      <c r="AM544" s="10"/>
      <c r="AN544" s="11" t="s">
        <v>390</v>
      </c>
      <c r="AO544" s="10"/>
      <c r="AP544" s="10"/>
      <c r="AQ544" s="10"/>
      <c r="AR544" s="2">
        <v>45917</v>
      </c>
      <c r="AS544" s="10">
        <v>30000</v>
      </c>
      <c r="AT544" s="10" t="s">
        <v>294</v>
      </c>
      <c r="AU544" s="10" t="s">
        <v>2622</v>
      </c>
      <c r="AV544" s="36" t="s">
        <v>2739</v>
      </c>
      <c r="AW544" s="1">
        <v>46209</v>
      </c>
    </row>
    <row r="545" spans="1:49" x14ac:dyDescent="0.25">
      <c r="A545" s="9" t="s">
        <v>2123</v>
      </c>
      <c r="B545" s="10" t="s">
        <v>2246</v>
      </c>
      <c r="C545" s="10">
        <v>0</v>
      </c>
      <c r="D545" s="10" t="s">
        <v>91</v>
      </c>
      <c r="E545" s="10"/>
      <c r="F545" s="10"/>
      <c r="G545" s="10"/>
      <c r="H545" s="10" t="s">
        <v>52</v>
      </c>
      <c r="I545" s="10">
        <v>18</v>
      </c>
      <c r="J545" s="10" t="s">
        <v>2368</v>
      </c>
      <c r="K545" s="10" t="s">
        <v>42</v>
      </c>
      <c r="L545" s="10">
        <f>Table1[[#This Row],[ENR]]-Table1[[#This Row],[CREDIT]]</f>
        <v>304462.14</v>
      </c>
      <c r="M545" s="36">
        <v>20000</v>
      </c>
      <c r="N545" s="26">
        <v>324462.14</v>
      </c>
      <c r="O545" s="38">
        <v>132291.22</v>
      </c>
      <c r="P545" s="25">
        <v>192170.92</v>
      </c>
      <c r="Q545" s="25">
        <v>169585.72</v>
      </c>
      <c r="R545" s="10">
        <v>192170.92</v>
      </c>
      <c r="S545" s="39">
        <v>163800</v>
      </c>
      <c r="T545" s="10" t="s">
        <v>57</v>
      </c>
      <c r="U545" s="10" t="s">
        <v>13</v>
      </c>
      <c r="V545" s="10">
        <v>192170.92</v>
      </c>
      <c r="W545" s="25">
        <f>Table1[[#This Row],[STAB]]-Table1[[#This Row],[AMOUNT]]</f>
        <v>-28370.920000000013</v>
      </c>
      <c r="X545" s="10" t="s">
        <v>4535</v>
      </c>
      <c r="Y545" s="10" t="s">
        <v>402</v>
      </c>
      <c r="Z545" s="10" t="s">
        <v>1968</v>
      </c>
      <c r="AA545" s="10" t="s">
        <v>162</v>
      </c>
      <c r="AB545" s="36" t="s">
        <v>734</v>
      </c>
      <c r="AC545" s="10"/>
      <c r="AD545" s="9" t="s">
        <v>2489</v>
      </c>
      <c r="AE545" s="10" t="s">
        <v>2605</v>
      </c>
      <c r="AF545" s="10" t="s">
        <v>1738</v>
      </c>
      <c r="AG545" s="10" t="s">
        <v>324</v>
      </c>
      <c r="AH545" s="10" t="s">
        <v>1361</v>
      </c>
      <c r="AI545" s="10" t="s">
        <v>1404</v>
      </c>
      <c r="AJ545" s="10">
        <v>802852449</v>
      </c>
      <c r="AK545" s="10" t="s">
        <v>104</v>
      </c>
      <c r="AL545" s="10"/>
      <c r="AM545" s="10"/>
      <c r="AN545" s="11" t="s">
        <v>390</v>
      </c>
      <c r="AO545" s="10"/>
      <c r="AP545" s="10"/>
      <c r="AQ545" s="10"/>
      <c r="AR545" s="2">
        <v>45958</v>
      </c>
      <c r="AS545" s="10">
        <v>155978.97</v>
      </c>
      <c r="AT545" s="10" t="s">
        <v>47</v>
      </c>
      <c r="AU545" s="10" t="s">
        <v>2622</v>
      </c>
      <c r="AV545" s="36" t="s">
        <v>2736</v>
      </c>
      <c r="AW545" s="1">
        <v>46209</v>
      </c>
    </row>
    <row r="546" spans="1:49" x14ac:dyDescent="0.25">
      <c r="A546" s="9" t="s">
        <v>2121</v>
      </c>
      <c r="B546" s="10" t="s">
        <v>2244</v>
      </c>
      <c r="C546" s="10">
        <v>0</v>
      </c>
      <c r="D546" s="10" t="s">
        <v>91</v>
      </c>
      <c r="E546" s="10">
        <v>1</v>
      </c>
      <c r="F546" s="10"/>
      <c r="G546" s="10"/>
      <c r="H546" s="10" t="s">
        <v>52</v>
      </c>
      <c r="I546" s="10">
        <v>18</v>
      </c>
      <c r="J546" s="10" t="s">
        <v>2366</v>
      </c>
      <c r="K546" s="10" t="s">
        <v>42</v>
      </c>
      <c r="L546" s="10">
        <f>Table1[[#This Row],[ENR]]-Table1[[#This Row],[CREDIT]]</f>
        <v>287952.69</v>
      </c>
      <c r="M546" s="36">
        <v>20000</v>
      </c>
      <c r="N546" s="26">
        <v>307952.69</v>
      </c>
      <c r="O546" s="38">
        <v>266795.71000000002</v>
      </c>
      <c r="P546" s="25">
        <v>41156.980000000003</v>
      </c>
      <c r="Q546" s="25">
        <v>21147.22</v>
      </c>
      <c r="R546" s="10">
        <v>41156.980000000003</v>
      </c>
      <c r="S546" s="39">
        <v>23834.78</v>
      </c>
      <c r="T546" s="10" t="s">
        <v>44</v>
      </c>
      <c r="U546" s="10" t="s">
        <v>45</v>
      </c>
      <c r="V546" s="10">
        <v>0</v>
      </c>
      <c r="W546" s="25">
        <f>Table1[[#This Row],[STAB]]-Table1[[#This Row],[AMOUNT]]</f>
        <v>23834.78</v>
      </c>
      <c r="X546" s="10">
        <v>0</v>
      </c>
      <c r="Y546" s="10" t="s">
        <v>79</v>
      </c>
      <c r="Z546" s="10">
        <v>0</v>
      </c>
      <c r="AA546" s="10" t="s">
        <v>162</v>
      </c>
      <c r="AB546" s="36" t="s">
        <v>733</v>
      </c>
      <c r="AC546" s="10"/>
      <c r="AD546" s="9" t="s">
        <v>2487</v>
      </c>
      <c r="AE546" s="10" t="s">
        <v>2603</v>
      </c>
      <c r="AF546" s="10" t="s">
        <v>283</v>
      </c>
      <c r="AG546" s="10" t="s">
        <v>53</v>
      </c>
      <c r="AH546" s="10" t="s">
        <v>5582</v>
      </c>
      <c r="AI546" s="10" t="s">
        <v>2962</v>
      </c>
      <c r="AJ546" s="10">
        <v>801601134</v>
      </c>
      <c r="AK546" s="10" t="s">
        <v>104</v>
      </c>
      <c r="AL546" s="10"/>
      <c r="AM546" s="10"/>
      <c r="AN546" s="11" t="s">
        <v>390</v>
      </c>
      <c r="AO546" s="10" t="s">
        <v>392</v>
      </c>
      <c r="AP546" s="10" t="s">
        <v>6371</v>
      </c>
      <c r="AQ546" s="10" t="s">
        <v>6364</v>
      </c>
      <c r="AR546" s="2">
        <v>45962</v>
      </c>
      <c r="AS546" s="10">
        <v>5</v>
      </c>
      <c r="AT546" s="10" t="s">
        <v>47</v>
      </c>
      <c r="AU546" s="10" t="s">
        <v>2622</v>
      </c>
      <c r="AV546" s="36" t="s">
        <v>2734</v>
      </c>
      <c r="AW546" s="1">
        <v>46209</v>
      </c>
    </row>
    <row r="547" spans="1:49" x14ac:dyDescent="0.25">
      <c r="A547" s="9" t="s">
        <v>2124</v>
      </c>
      <c r="B547" s="10" t="s">
        <v>2247</v>
      </c>
      <c r="C547" s="10">
        <v>0</v>
      </c>
      <c r="D547" s="10" t="s">
        <v>91</v>
      </c>
      <c r="E547" s="10"/>
      <c r="F547" s="10"/>
      <c r="G547" s="10"/>
      <c r="H547" s="10" t="s">
        <v>52</v>
      </c>
      <c r="I547" s="10">
        <v>18</v>
      </c>
      <c r="J547" s="10" t="s">
        <v>2369</v>
      </c>
      <c r="K547" s="10" t="s">
        <v>42</v>
      </c>
      <c r="L547" s="10">
        <f>Table1[[#This Row],[ENR]]-Table1[[#This Row],[CREDIT]]</f>
        <v>31801.940000000002</v>
      </c>
      <c r="M547" s="36">
        <v>270000</v>
      </c>
      <c r="N547" s="26">
        <v>301801.94</v>
      </c>
      <c r="O547" s="38" t="s">
        <v>43</v>
      </c>
      <c r="P547" s="25">
        <v>301801.94</v>
      </c>
      <c r="Q547" s="25">
        <v>261655.38</v>
      </c>
      <c r="R547" s="10">
        <v>86120</v>
      </c>
      <c r="S547" s="39">
        <v>18720</v>
      </c>
      <c r="T547" s="10" t="s">
        <v>57</v>
      </c>
      <c r="U547" s="10" t="s">
        <v>13</v>
      </c>
      <c r="V547" s="10">
        <v>10000</v>
      </c>
      <c r="W547" s="25">
        <f>Table1[[#This Row],[STAB]]-Table1[[#This Row],[AMOUNT]]</f>
        <v>8720</v>
      </c>
      <c r="X547" s="10">
        <v>0</v>
      </c>
      <c r="Y547" s="10" t="s">
        <v>396</v>
      </c>
      <c r="Z547" s="10" t="s">
        <v>403</v>
      </c>
      <c r="AA547" s="10" t="s">
        <v>162</v>
      </c>
      <c r="AB547" s="36" t="s">
        <v>733</v>
      </c>
      <c r="AC547" s="10"/>
      <c r="AD547" s="9" t="s">
        <v>2490</v>
      </c>
      <c r="AE547" s="10" t="s">
        <v>2606</v>
      </c>
      <c r="AF547" s="10" t="s">
        <v>272</v>
      </c>
      <c r="AG547" s="10" t="s">
        <v>54</v>
      </c>
      <c r="AH547" s="10" t="s">
        <v>114</v>
      </c>
      <c r="AI547" s="10" t="s">
        <v>726</v>
      </c>
      <c r="AJ547" s="10">
        <v>801772792</v>
      </c>
      <c r="AK547" s="10" t="s">
        <v>105</v>
      </c>
      <c r="AL547" s="10"/>
      <c r="AM547" s="10"/>
      <c r="AN547" s="11" t="s">
        <v>390</v>
      </c>
      <c r="AO547" s="10"/>
      <c r="AP547" s="10"/>
      <c r="AQ547" s="10"/>
      <c r="AR547" s="2">
        <v>45521</v>
      </c>
      <c r="AS547" s="10">
        <v>1000</v>
      </c>
      <c r="AT547" s="10" t="s">
        <v>96</v>
      </c>
      <c r="AU547" s="10" t="s">
        <v>2622</v>
      </c>
      <c r="AV547" s="36" t="s">
        <v>2737</v>
      </c>
      <c r="AW547" s="1">
        <v>46209</v>
      </c>
    </row>
    <row r="548" spans="1:49" x14ac:dyDescent="0.25">
      <c r="A548" s="9" t="s">
        <v>3606</v>
      </c>
      <c r="B548" s="10" t="s">
        <v>3654</v>
      </c>
      <c r="C548" s="10">
        <v>0</v>
      </c>
      <c r="D548" s="10" t="s">
        <v>95</v>
      </c>
      <c r="E548" s="10"/>
      <c r="F548" s="10" t="s">
        <v>112</v>
      </c>
      <c r="G548" s="10" t="s">
        <v>4970</v>
      </c>
      <c r="H548" s="10" t="s">
        <v>52</v>
      </c>
      <c r="I548" s="10">
        <v>18</v>
      </c>
      <c r="J548" s="10" t="s">
        <v>3702</v>
      </c>
      <c r="K548" s="10" t="s">
        <v>42</v>
      </c>
      <c r="L548" s="10">
        <f>Table1[[#This Row],[ENR]]-Table1[[#This Row],[CREDIT]]</f>
        <v>184254.97999999998</v>
      </c>
      <c r="M548" s="36">
        <v>114000</v>
      </c>
      <c r="N548" s="26">
        <v>298254.98</v>
      </c>
      <c r="O548" s="38" t="s">
        <v>43</v>
      </c>
      <c r="P548" s="25">
        <v>298254.98</v>
      </c>
      <c r="Q548" s="25">
        <v>274000</v>
      </c>
      <c r="R548" s="10">
        <v>218420</v>
      </c>
      <c r="S548" s="39">
        <v>165700</v>
      </c>
      <c r="T548" s="10" t="s">
        <v>44</v>
      </c>
      <c r="U548" s="10" t="s">
        <v>45</v>
      </c>
      <c r="V548" s="10">
        <v>0</v>
      </c>
      <c r="W548" s="25">
        <f>Table1[[#This Row],[STAB]]-Table1[[#This Row],[AMOUNT]]</f>
        <v>165700</v>
      </c>
      <c r="X548" s="10">
        <v>0</v>
      </c>
      <c r="Y548" s="10" t="s">
        <v>79</v>
      </c>
      <c r="Z548" s="10">
        <v>0</v>
      </c>
      <c r="AA548" s="10" t="s">
        <v>162</v>
      </c>
      <c r="AB548" s="36" t="s">
        <v>734</v>
      </c>
      <c r="AC548" s="10"/>
      <c r="AD548" s="9" t="s">
        <v>3750</v>
      </c>
      <c r="AE548" s="10" t="s">
        <v>3798</v>
      </c>
      <c r="AF548" s="10" t="s">
        <v>275</v>
      </c>
      <c r="AG548" s="10" t="s">
        <v>80</v>
      </c>
      <c r="AH548" s="10" t="s">
        <v>1999</v>
      </c>
      <c r="AI548" s="10" t="s">
        <v>368</v>
      </c>
      <c r="AJ548" s="10">
        <v>802823175</v>
      </c>
      <c r="AK548" s="10" t="s">
        <v>105</v>
      </c>
      <c r="AL548" s="10"/>
      <c r="AM548" s="10"/>
      <c r="AN548" s="11" t="s">
        <v>390</v>
      </c>
      <c r="AO548" s="10" t="s">
        <v>398</v>
      </c>
      <c r="AP548" s="10" t="s">
        <v>4929</v>
      </c>
      <c r="AQ548" s="10" t="s">
        <v>4923</v>
      </c>
      <c r="AR548" s="2">
        <v>46028</v>
      </c>
      <c r="AS548" s="10">
        <v>154000</v>
      </c>
      <c r="AT548" s="10" t="s">
        <v>291</v>
      </c>
      <c r="AU548" s="10" t="s">
        <v>3266</v>
      </c>
      <c r="AV548" s="36" t="s">
        <v>3849</v>
      </c>
      <c r="AW548" s="1">
        <v>46209</v>
      </c>
    </row>
    <row r="549" spans="1:49" x14ac:dyDescent="0.25">
      <c r="A549" s="9" t="s">
        <v>3614</v>
      </c>
      <c r="B549" s="10" t="s">
        <v>3662</v>
      </c>
      <c r="C549" s="10">
        <v>0</v>
      </c>
      <c r="D549" s="10" t="s">
        <v>91</v>
      </c>
      <c r="E549" s="10"/>
      <c r="F549" s="10"/>
      <c r="G549" s="10"/>
      <c r="H549" s="10" t="s">
        <v>52</v>
      </c>
      <c r="I549" s="10">
        <v>18</v>
      </c>
      <c r="J549" s="10" t="s">
        <v>3710</v>
      </c>
      <c r="K549" s="10" t="s">
        <v>42</v>
      </c>
      <c r="L549" s="10">
        <f>Table1[[#This Row],[ENR]]-Table1[[#This Row],[CREDIT]]</f>
        <v>17298.5</v>
      </c>
      <c r="M549" s="36">
        <v>280000</v>
      </c>
      <c r="N549" s="26">
        <v>297298.5</v>
      </c>
      <c r="O549" s="38">
        <v>161548.75</v>
      </c>
      <c r="P549" s="25">
        <v>135749.75</v>
      </c>
      <c r="Q549" s="25">
        <v>114556.08</v>
      </c>
      <c r="R549" s="10">
        <v>78010</v>
      </c>
      <c r="S549" s="39">
        <v>37010</v>
      </c>
      <c r="T549" s="10" t="s">
        <v>57</v>
      </c>
      <c r="U549" s="10" t="s">
        <v>13</v>
      </c>
      <c r="V549" s="10">
        <v>80010</v>
      </c>
      <c r="W549" s="25">
        <f>Table1[[#This Row],[STAB]]-Table1[[#This Row],[AMOUNT]]</f>
        <v>-43000</v>
      </c>
      <c r="X549" s="10" t="s">
        <v>4936</v>
      </c>
      <c r="Y549" s="10" t="s">
        <v>402</v>
      </c>
      <c r="Z549" s="10" t="s">
        <v>964</v>
      </c>
      <c r="AA549" s="10" t="s">
        <v>162</v>
      </c>
      <c r="AB549" s="36" t="s">
        <v>736</v>
      </c>
      <c r="AC549" s="10"/>
      <c r="AD549" s="9" t="s">
        <v>3758</v>
      </c>
      <c r="AE549" s="10" t="s">
        <v>3806</v>
      </c>
      <c r="AF549" s="10" t="s">
        <v>1737</v>
      </c>
      <c r="AG549" s="10" t="s">
        <v>324</v>
      </c>
      <c r="AH549" s="10" t="s">
        <v>722</v>
      </c>
      <c r="AI549" s="10" t="s">
        <v>370</v>
      </c>
      <c r="AJ549" s="10">
        <v>801448854</v>
      </c>
      <c r="AK549" s="10" t="s">
        <v>105</v>
      </c>
      <c r="AL549" s="10"/>
      <c r="AM549" s="10"/>
      <c r="AN549" s="11" t="s">
        <v>390</v>
      </c>
      <c r="AO549" s="10" t="s">
        <v>398</v>
      </c>
      <c r="AP549" s="10" t="s">
        <v>5023</v>
      </c>
      <c r="AQ549" s="10" t="s">
        <v>4993</v>
      </c>
      <c r="AR549" s="2">
        <v>46145</v>
      </c>
      <c r="AS549" s="10">
        <v>4150</v>
      </c>
      <c r="AT549" s="10" t="s">
        <v>48</v>
      </c>
      <c r="AU549" s="10" t="s">
        <v>3266</v>
      </c>
      <c r="AV549" s="36" t="s">
        <v>3857</v>
      </c>
      <c r="AW549" s="1">
        <v>46209</v>
      </c>
    </row>
    <row r="550" spans="1:49" x14ac:dyDescent="0.25">
      <c r="A550" s="9" t="s">
        <v>3630</v>
      </c>
      <c r="B550" s="10" t="s">
        <v>3678</v>
      </c>
      <c r="C550" s="10">
        <v>0</v>
      </c>
      <c r="D550" s="10" t="s">
        <v>91</v>
      </c>
      <c r="E550" s="10"/>
      <c r="F550" s="10"/>
      <c r="G550" s="10"/>
      <c r="H550" s="10" t="s">
        <v>52</v>
      </c>
      <c r="I550" s="10">
        <v>18</v>
      </c>
      <c r="J550" s="10" t="s">
        <v>3726</v>
      </c>
      <c r="K550" s="10" t="s">
        <v>42</v>
      </c>
      <c r="L550" s="10">
        <f>Table1[[#This Row],[ENR]]-Table1[[#This Row],[CREDIT]]</f>
        <v>27898.010000000009</v>
      </c>
      <c r="M550" s="36">
        <v>260000</v>
      </c>
      <c r="N550" s="26">
        <v>287898.01</v>
      </c>
      <c r="O550" s="38" t="s">
        <v>43</v>
      </c>
      <c r="P550" s="25">
        <v>287898.01</v>
      </c>
      <c r="Q550" s="25">
        <v>259471.16</v>
      </c>
      <c r="R550" s="10">
        <v>70640</v>
      </c>
      <c r="S550" s="39">
        <v>31810</v>
      </c>
      <c r="T550" s="10" t="s">
        <v>44</v>
      </c>
      <c r="U550" s="10" t="s">
        <v>45</v>
      </c>
      <c r="V550" s="10">
        <v>0</v>
      </c>
      <c r="W550" s="25">
        <f>Table1[[#This Row],[STAB]]-Table1[[#This Row],[AMOUNT]]</f>
        <v>31810</v>
      </c>
      <c r="X550" s="10">
        <v>0</v>
      </c>
      <c r="Y550" s="10" t="s">
        <v>79</v>
      </c>
      <c r="Z550" s="10">
        <v>0</v>
      </c>
      <c r="AA550" s="10" t="s">
        <v>162</v>
      </c>
      <c r="AB550" s="36" t="s">
        <v>733</v>
      </c>
      <c r="AC550" s="10"/>
      <c r="AD550" s="9" t="s">
        <v>3774</v>
      </c>
      <c r="AE550" s="10" t="s">
        <v>3822</v>
      </c>
      <c r="AF550" s="10" t="s">
        <v>276</v>
      </c>
      <c r="AG550" s="10" t="s">
        <v>324</v>
      </c>
      <c r="AH550" s="10" t="s">
        <v>354</v>
      </c>
      <c r="AI550" s="10" t="s">
        <v>367</v>
      </c>
      <c r="AJ550" s="10">
        <v>801436997</v>
      </c>
      <c r="AK550" s="10" t="s">
        <v>104</v>
      </c>
      <c r="AL550" s="10"/>
      <c r="AM550" s="10"/>
      <c r="AN550" s="11" t="s">
        <v>390</v>
      </c>
      <c r="AO550" s="10" t="s">
        <v>392</v>
      </c>
      <c r="AP550" s="10" t="s">
        <v>6233</v>
      </c>
      <c r="AQ550" s="10" t="s">
        <v>4937</v>
      </c>
      <c r="AR550" s="2">
        <v>46092</v>
      </c>
      <c r="AS550" s="10">
        <v>34000</v>
      </c>
      <c r="AT550" s="10" t="s">
        <v>689</v>
      </c>
      <c r="AU550" s="10" t="s">
        <v>3266</v>
      </c>
      <c r="AV550" s="36" t="s">
        <v>3873</v>
      </c>
      <c r="AW550" s="1">
        <v>46209</v>
      </c>
    </row>
    <row r="551" spans="1:49" x14ac:dyDescent="0.25">
      <c r="A551" s="9" t="s">
        <v>3617</v>
      </c>
      <c r="B551" s="10" t="s">
        <v>3665</v>
      </c>
      <c r="C551" s="10">
        <v>0</v>
      </c>
      <c r="D551" s="10" t="s">
        <v>91</v>
      </c>
      <c r="E551" s="10"/>
      <c r="F551" s="10"/>
      <c r="G551" s="10"/>
      <c r="H551" s="10" t="s">
        <v>52</v>
      </c>
      <c r="I551" s="10">
        <v>18</v>
      </c>
      <c r="J551" s="10" t="s">
        <v>3713</v>
      </c>
      <c r="K551" s="10" t="s">
        <v>42</v>
      </c>
      <c r="L551" s="10">
        <f>Table1[[#This Row],[ENR]]-Table1[[#This Row],[CREDIT]]</f>
        <v>13466.630000000005</v>
      </c>
      <c r="M551" s="36">
        <v>260000</v>
      </c>
      <c r="N551" s="26">
        <v>273466.63</v>
      </c>
      <c r="O551" s="38" t="s">
        <v>43</v>
      </c>
      <c r="P551" s="25">
        <v>273466.63</v>
      </c>
      <c r="Q551" s="25">
        <v>259700.72</v>
      </c>
      <c r="R551" s="10">
        <v>70000</v>
      </c>
      <c r="S551" s="39">
        <v>42440</v>
      </c>
      <c r="T551" s="10" t="s">
        <v>57</v>
      </c>
      <c r="U551" s="10" t="s">
        <v>13</v>
      </c>
      <c r="V551" s="25">
        <v>42500</v>
      </c>
      <c r="W551" s="25">
        <f>Table1[[#This Row],[STAB]]-Table1[[#This Row],[AMOUNT]]</f>
        <v>-60</v>
      </c>
      <c r="X551" s="10">
        <v>0</v>
      </c>
      <c r="Y551" s="10" t="s">
        <v>396</v>
      </c>
      <c r="Z551" s="10" t="s">
        <v>403</v>
      </c>
      <c r="AA551" s="10" t="s">
        <v>162</v>
      </c>
      <c r="AB551" s="10" t="s">
        <v>735</v>
      </c>
      <c r="AC551" s="10"/>
      <c r="AD551" s="9" t="s">
        <v>3761</v>
      </c>
      <c r="AE551" s="10" t="s">
        <v>3809</v>
      </c>
      <c r="AF551" s="10" t="s">
        <v>275</v>
      </c>
      <c r="AG551" s="10" t="s">
        <v>80</v>
      </c>
      <c r="AH551" s="10" t="s">
        <v>2000</v>
      </c>
      <c r="AI551" s="10" t="s">
        <v>82</v>
      </c>
      <c r="AJ551" s="10">
        <v>801723195</v>
      </c>
      <c r="AK551" s="10" t="s">
        <v>105</v>
      </c>
      <c r="AL551" s="10"/>
      <c r="AM551" s="10"/>
      <c r="AN551" s="11" t="s">
        <v>390</v>
      </c>
      <c r="AO551" s="10" t="s">
        <v>398</v>
      </c>
      <c r="AP551" s="10" t="s">
        <v>5583</v>
      </c>
      <c r="AQ551" s="10" t="s">
        <v>4931</v>
      </c>
      <c r="AR551" s="2">
        <v>46177</v>
      </c>
      <c r="AS551" s="10">
        <v>12990</v>
      </c>
      <c r="AT551" s="10" t="s">
        <v>294</v>
      </c>
      <c r="AU551" s="10" t="s">
        <v>3266</v>
      </c>
      <c r="AV551" s="36" t="s">
        <v>3860</v>
      </c>
      <c r="AW551" s="1">
        <v>46209</v>
      </c>
    </row>
    <row r="552" spans="1:49" x14ac:dyDescent="0.25">
      <c r="A552" s="9" t="s">
        <v>3612</v>
      </c>
      <c r="B552" s="10" t="s">
        <v>3660</v>
      </c>
      <c r="C552" s="10">
        <v>0</v>
      </c>
      <c r="D552" s="10" t="s">
        <v>91</v>
      </c>
      <c r="E552" s="10"/>
      <c r="F552" s="10"/>
      <c r="G552" s="10"/>
      <c r="H552" s="10" t="s">
        <v>52</v>
      </c>
      <c r="I552" s="10">
        <v>18</v>
      </c>
      <c r="J552" s="10" t="s">
        <v>3708</v>
      </c>
      <c r="K552" s="10" t="s">
        <v>42</v>
      </c>
      <c r="L552" s="10">
        <f>Table1[[#This Row],[ENR]]-Table1[[#This Row],[CREDIT]]</f>
        <v>22390.049999999988</v>
      </c>
      <c r="M552" s="36">
        <v>250000</v>
      </c>
      <c r="N552" s="26">
        <v>272390.05</v>
      </c>
      <c r="O552" s="38" t="s">
        <v>43</v>
      </c>
      <c r="P552" s="25">
        <v>272390.05</v>
      </c>
      <c r="Q552" s="25">
        <v>246626.64</v>
      </c>
      <c r="R552" s="10">
        <v>61010</v>
      </c>
      <c r="S552" s="39">
        <v>23570</v>
      </c>
      <c r="T552" s="10" t="s">
        <v>44</v>
      </c>
      <c r="U552" s="10" t="s">
        <v>45</v>
      </c>
      <c r="V552" s="10">
        <v>1510</v>
      </c>
      <c r="W552" s="25">
        <f>Table1[[#This Row],[STAB]]-Table1[[#This Row],[AMOUNT]]</f>
        <v>22060</v>
      </c>
      <c r="X552" s="10">
        <v>0</v>
      </c>
      <c r="Y552" s="10" t="s">
        <v>79</v>
      </c>
      <c r="Z552" s="10" t="s">
        <v>963</v>
      </c>
      <c r="AA552" s="10" t="s">
        <v>162</v>
      </c>
      <c r="AB552" s="36" t="s">
        <v>733</v>
      </c>
      <c r="AC552" s="10"/>
      <c r="AD552" s="9" t="s">
        <v>3756</v>
      </c>
      <c r="AE552" s="10" t="s">
        <v>3804</v>
      </c>
      <c r="AF552" s="10" t="s">
        <v>686</v>
      </c>
      <c r="AG552" s="10" t="s">
        <v>324</v>
      </c>
      <c r="AH552" s="10" t="s">
        <v>722</v>
      </c>
      <c r="AI552" s="10" t="s">
        <v>370</v>
      </c>
      <c r="AJ552" s="10">
        <v>801448854</v>
      </c>
      <c r="AK552" s="10" t="s">
        <v>105</v>
      </c>
      <c r="AL552" s="10"/>
      <c r="AM552" s="10"/>
      <c r="AN552" s="11" t="s">
        <v>390</v>
      </c>
      <c r="AO552" s="10" t="s">
        <v>398</v>
      </c>
      <c r="AP552" s="10" t="s">
        <v>5024</v>
      </c>
      <c r="AQ552" s="10" t="s">
        <v>4993</v>
      </c>
      <c r="AR552" s="2">
        <v>45967</v>
      </c>
      <c r="AS552" s="10">
        <v>5000.18</v>
      </c>
      <c r="AT552" s="10" t="s">
        <v>294</v>
      </c>
      <c r="AU552" s="10" t="s">
        <v>3266</v>
      </c>
      <c r="AV552" s="36" t="s">
        <v>3855</v>
      </c>
      <c r="AW552" s="1">
        <v>46209</v>
      </c>
    </row>
    <row r="553" spans="1:49" x14ac:dyDescent="0.25">
      <c r="A553" s="9" t="s">
        <v>3619</v>
      </c>
      <c r="B553" s="10" t="s">
        <v>3667</v>
      </c>
      <c r="C553" s="10" t="s">
        <v>97</v>
      </c>
      <c r="D553" s="10" t="s">
        <v>91</v>
      </c>
      <c r="E553" s="10"/>
      <c r="F553" s="10"/>
      <c r="G553" s="10"/>
      <c r="H553" s="10" t="s">
        <v>84</v>
      </c>
      <c r="I553" s="10">
        <v>18</v>
      </c>
      <c r="J553" s="10" t="s">
        <v>3715</v>
      </c>
      <c r="K553" s="10" t="s">
        <v>42</v>
      </c>
      <c r="L553" s="10">
        <f>Table1[[#This Row],[ENR]]-Table1[[#This Row],[CREDIT]]</f>
        <v>16773.669999999984</v>
      </c>
      <c r="M553" s="36">
        <v>250000</v>
      </c>
      <c r="N553" s="26">
        <v>266773.67</v>
      </c>
      <c r="O553" s="38" t="s">
        <v>43</v>
      </c>
      <c r="P553" s="25">
        <v>266773.67</v>
      </c>
      <c r="Q553" s="25">
        <v>248689.72</v>
      </c>
      <c r="R553" s="10">
        <v>70230</v>
      </c>
      <c r="S553" s="39">
        <v>46500</v>
      </c>
      <c r="T553" s="10" t="s">
        <v>44</v>
      </c>
      <c r="U553" s="10" t="s">
        <v>45</v>
      </c>
      <c r="V553" s="10">
        <v>0</v>
      </c>
      <c r="W553" s="25">
        <f>Table1[[#This Row],[STAB]]-Table1[[#This Row],[AMOUNT]]</f>
        <v>46500</v>
      </c>
      <c r="X553" s="10">
        <v>0</v>
      </c>
      <c r="Y553" s="10" t="s">
        <v>79</v>
      </c>
      <c r="Z553" s="10">
        <v>0</v>
      </c>
      <c r="AA553" s="10" t="s">
        <v>162</v>
      </c>
      <c r="AB553" s="36" t="s">
        <v>734</v>
      </c>
      <c r="AC553" s="10"/>
      <c r="AD553" s="9" t="s">
        <v>3763</v>
      </c>
      <c r="AE553" s="10" t="s">
        <v>3811</v>
      </c>
      <c r="AF553" s="10" t="s">
        <v>272</v>
      </c>
      <c r="AG553" s="10" t="s">
        <v>54</v>
      </c>
      <c r="AH553" s="10" t="s">
        <v>114</v>
      </c>
      <c r="AI553" s="10" t="s">
        <v>726</v>
      </c>
      <c r="AJ553" s="10">
        <v>801772792</v>
      </c>
      <c r="AK553" s="10" t="s">
        <v>105</v>
      </c>
      <c r="AL553" s="10"/>
      <c r="AM553" s="10"/>
      <c r="AN553" s="11" t="s">
        <v>390</v>
      </c>
      <c r="AO553" s="10" t="s">
        <v>392</v>
      </c>
      <c r="AP553" s="10" t="s">
        <v>5587</v>
      </c>
      <c r="AQ553" s="10" t="s">
        <v>4931</v>
      </c>
      <c r="AR553" s="2">
        <v>46099</v>
      </c>
      <c r="AS553" s="10">
        <v>9000</v>
      </c>
      <c r="AT553" s="10" t="s">
        <v>294</v>
      </c>
      <c r="AU553" s="10" t="s">
        <v>3266</v>
      </c>
      <c r="AV553" s="36" t="s">
        <v>3862</v>
      </c>
      <c r="AW553" s="1">
        <v>46209</v>
      </c>
    </row>
    <row r="554" spans="1:49" x14ac:dyDescent="0.25">
      <c r="A554" s="9" t="s">
        <v>3608</v>
      </c>
      <c r="B554" s="10" t="s">
        <v>3656</v>
      </c>
      <c r="C554" s="10">
        <v>0</v>
      </c>
      <c r="D554" s="10" t="s">
        <v>91</v>
      </c>
      <c r="E554" s="10"/>
      <c r="F554" s="10"/>
      <c r="G554" s="10"/>
      <c r="H554" s="10" t="s">
        <v>52</v>
      </c>
      <c r="I554" s="10">
        <v>18</v>
      </c>
      <c r="J554" s="10" t="s">
        <v>3704</v>
      </c>
      <c r="K554" s="10" t="s">
        <v>42</v>
      </c>
      <c r="L554" s="10">
        <f>Table1[[#This Row],[ENR]]-Table1[[#This Row],[CREDIT]]</f>
        <v>3653.039999999979</v>
      </c>
      <c r="M554" s="36">
        <v>260000</v>
      </c>
      <c r="N554" s="26">
        <v>263653.03999999998</v>
      </c>
      <c r="O554" s="38" t="s">
        <v>43</v>
      </c>
      <c r="P554" s="25">
        <v>263653.03999999998</v>
      </c>
      <c r="Q554" s="25">
        <v>244789.09</v>
      </c>
      <c r="R554" s="10">
        <v>56700</v>
      </c>
      <c r="S554" s="39">
        <v>33073</v>
      </c>
      <c r="T554" s="10" t="s">
        <v>57</v>
      </c>
      <c r="U554" s="10" t="s">
        <v>13</v>
      </c>
      <c r="V554" s="10">
        <v>57000</v>
      </c>
      <c r="W554" s="25">
        <f>Table1[[#This Row],[STAB]]-Table1[[#This Row],[AMOUNT]]</f>
        <v>-23927</v>
      </c>
      <c r="X554" s="10" t="s">
        <v>4993</v>
      </c>
      <c r="Y554" s="10" t="s">
        <v>402</v>
      </c>
      <c r="Z554" s="10" t="s">
        <v>1968</v>
      </c>
      <c r="AA554" s="10" t="s">
        <v>162</v>
      </c>
      <c r="AB554" s="36" t="s">
        <v>734</v>
      </c>
      <c r="AC554" s="10"/>
      <c r="AD554" s="9" t="s">
        <v>3752</v>
      </c>
      <c r="AE554" s="10" t="s">
        <v>3800</v>
      </c>
      <c r="AF554" s="10" t="s">
        <v>281</v>
      </c>
      <c r="AG554" s="10" t="s">
        <v>54</v>
      </c>
      <c r="AH554" s="10" t="s">
        <v>358</v>
      </c>
      <c r="AI554" s="10" t="s">
        <v>365</v>
      </c>
      <c r="AJ554" s="10">
        <v>802824019</v>
      </c>
      <c r="AK554" s="10" t="s">
        <v>360</v>
      </c>
      <c r="AL554" s="10"/>
      <c r="AM554" s="10"/>
      <c r="AN554" s="11" t="s">
        <v>390</v>
      </c>
      <c r="AO554" s="10"/>
      <c r="AP554" s="10"/>
      <c r="AQ554" s="10"/>
      <c r="AR554" s="2">
        <v>46129</v>
      </c>
      <c r="AS554" s="10">
        <v>25000</v>
      </c>
      <c r="AT554" s="10" t="s">
        <v>3830</v>
      </c>
      <c r="AU554" s="10" t="s">
        <v>3266</v>
      </c>
      <c r="AV554" s="36" t="s">
        <v>3851</v>
      </c>
      <c r="AW554" s="1">
        <v>46209</v>
      </c>
    </row>
    <row r="555" spans="1:49" x14ac:dyDescent="0.25">
      <c r="A555" s="9" t="s">
        <v>3628</v>
      </c>
      <c r="B555" s="10" t="s">
        <v>3676</v>
      </c>
      <c r="C555" s="10">
        <v>0</v>
      </c>
      <c r="D555" s="10" t="s">
        <v>91</v>
      </c>
      <c r="E555" s="10"/>
      <c r="F555" s="10"/>
      <c r="G555" s="10"/>
      <c r="H555" s="10" t="s">
        <v>52</v>
      </c>
      <c r="I555" s="10">
        <v>18</v>
      </c>
      <c r="J555" s="10" t="s">
        <v>3724</v>
      </c>
      <c r="K555" s="10" t="s">
        <v>42</v>
      </c>
      <c r="L555" s="10">
        <f>Table1[[#This Row],[ENR]]-Table1[[#This Row],[CREDIT]]</f>
        <v>-49006.619999999995</v>
      </c>
      <c r="M555" s="36">
        <v>289000</v>
      </c>
      <c r="N555" s="26">
        <v>239993.38</v>
      </c>
      <c r="O555" s="38" t="s">
        <v>43</v>
      </c>
      <c r="P555" s="25">
        <v>239993.38</v>
      </c>
      <c r="Q555" s="25">
        <v>216089.11</v>
      </c>
      <c r="R555" s="10">
        <v>36820</v>
      </c>
      <c r="S555" s="39">
        <v>14420</v>
      </c>
      <c r="T555" s="10" t="s">
        <v>57</v>
      </c>
      <c r="U555" s="10" t="s">
        <v>13</v>
      </c>
      <c r="V555" s="10">
        <v>37000</v>
      </c>
      <c r="W555" s="25">
        <f>Table1[[#This Row],[STAB]]-Table1[[#This Row],[AMOUNT]]</f>
        <v>-22580</v>
      </c>
      <c r="X555" s="10" t="s">
        <v>4619</v>
      </c>
      <c r="Y555" s="10" t="s">
        <v>402</v>
      </c>
      <c r="Z555" s="10" t="s">
        <v>1968</v>
      </c>
      <c r="AA555" s="10" t="s">
        <v>162</v>
      </c>
      <c r="AB555" s="36" t="s">
        <v>733</v>
      </c>
      <c r="AC555" s="10"/>
      <c r="AD555" s="9" t="s">
        <v>3772</v>
      </c>
      <c r="AE555" s="10" t="s">
        <v>3820</v>
      </c>
      <c r="AF555" s="10" t="s">
        <v>278</v>
      </c>
      <c r="AG555" s="10" t="s">
        <v>54</v>
      </c>
      <c r="AH555" s="10" t="s">
        <v>86</v>
      </c>
      <c r="AI555" s="10" t="s">
        <v>369</v>
      </c>
      <c r="AJ555" s="10">
        <v>802823180</v>
      </c>
      <c r="AK555" s="10" t="s">
        <v>105</v>
      </c>
      <c r="AL555" s="10"/>
      <c r="AM555" s="10"/>
      <c r="AN555" s="11" t="s">
        <v>390</v>
      </c>
      <c r="AO555" s="10"/>
      <c r="AP555" s="10"/>
      <c r="AQ555" s="10"/>
      <c r="AR555" s="2">
        <v>46158</v>
      </c>
      <c r="AS555" s="10">
        <v>19000</v>
      </c>
      <c r="AT555" s="10" t="s">
        <v>689</v>
      </c>
      <c r="AU555" s="10" t="s">
        <v>3266</v>
      </c>
      <c r="AV555" s="36" t="s">
        <v>3871</v>
      </c>
      <c r="AW555" s="1">
        <v>46209</v>
      </c>
    </row>
    <row r="556" spans="1:49" x14ac:dyDescent="0.25">
      <c r="A556" s="9" t="s">
        <v>3597</v>
      </c>
      <c r="B556" s="10" t="s">
        <v>3646</v>
      </c>
      <c r="C556" s="10">
        <v>0</v>
      </c>
      <c r="D556" s="10" t="s">
        <v>91</v>
      </c>
      <c r="E556" s="10"/>
      <c r="F556" s="10"/>
      <c r="G556" s="10"/>
      <c r="H556" s="10" t="s">
        <v>52</v>
      </c>
      <c r="I556" s="10">
        <v>18</v>
      </c>
      <c r="J556" s="10" t="s">
        <v>3694</v>
      </c>
      <c r="K556" s="10" t="s">
        <v>42</v>
      </c>
      <c r="L556" s="10">
        <f>Table1[[#This Row],[ENR]]-Table1[[#This Row],[CREDIT]]</f>
        <v>58779.359999999986</v>
      </c>
      <c r="M556" s="36">
        <v>168000</v>
      </c>
      <c r="N556" s="26">
        <v>226779.36</v>
      </c>
      <c r="O556" s="38" t="s">
        <v>43</v>
      </c>
      <c r="P556" s="25">
        <v>226779.36</v>
      </c>
      <c r="Q556" s="25">
        <v>195804.91</v>
      </c>
      <c r="R556" s="10">
        <v>103880</v>
      </c>
      <c r="S556" s="39">
        <v>65540</v>
      </c>
      <c r="T556" s="10" t="s">
        <v>57</v>
      </c>
      <c r="U556" s="10" t="s">
        <v>13</v>
      </c>
      <c r="V556" s="10">
        <v>226779.36</v>
      </c>
      <c r="W556" s="25">
        <f>Table1[[#This Row],[STAB]]-Table1[[#This Row],[AMOUNT]]</f>
        <v>-161239.35999999999</v>
      </c>
      <c r="X556" s="10" t="s">
        <v>4936</v>
      </c>
      <c r="Y556" s="10" t="s">
        <v>402</v>
      </c>
      <c r="Z556" s="10" t="s">
        <v>403</v>
      </c>
      <c r="AA556" s="10" t="s">
        <v>162</v>
      </c>
      <c r="AB556" s="10" t="s">
        <v>735</v>
      </c>
      <c r="AC556" s="10"/>
      <c r="AD556" s="9" t="s">
        <v>3742</v>
      </c>
      <c r="AE556" s="10" t="s">
        <v>3790</v>
      </c>
      <c r="AF556" s="10" t="s">
        <v>1319</v>
      </c>
      <c r="AG556" s="10" t="s">
        <v>54</v>
      </c>
      <c r="AH556" s="10" t="s">
        <v>93</v>
      </c>
      <c r="AI556" s="10" t="s">
        <v>364</v>
      </c>
      <c r="AJ556" s="10">
        <v>802663344</v>
      </c>
      <c r="AK556" s="10" t="s">
        <v>105</v>
      </c>
      <c r="AL556" s="10"/>
      <c r="AM556" s="10"/>
      <c r="AN556" s="11" t="s">
        <v>390</v>
      </c>
      <c r="AO556" s="10" t="s">
        <v>392</v>
      </c>
      <c r="AP556" s="10" t="s">
        <v>4928</v>
      </c>
      <c r="AQ556" s="10" t="s">
        <v>4923</v>
      </c>
      <c r="AR556" s="2">
        <v>45662</v>
      </c>
      <c r="AS556" s="10">
        <v>784</v>
      </c>
      <c r="AT556" s="10" t="s">
        <v>47</v>
      </c>
      <c r="AU556" s="10" t="s">
        <v>3266</v>
      </c>
      <c r="AV556" s="36" t="s">
        <v>3840</v>
      </c>
      <c r="AW556" s="1">
        <v>46209</v>
      </c>
    </row>
    <row r="557" spans="1:49" x14ac:dyDescent="0.25">
      <c r="A557" s="9" t="s">
        <v>3592</v>
      </c>
      <c r="B557" s="10" t="s">
        <v>3641</v>
      </c>
      <c r="C557" s="10">
        <v>0</v>
      </c>
      <c r="D557" s="10" t="s">
        <v>95</v>
      </c>
      <c r="E557" s="10"/>
      <c r="F557" s="10" t="s">
        <v>112</v>
      </c>
      <c r="G557" s="10" t="s">
        <v>4970</v>
      </c>
      <c r="H557" s="10" t="s">
        <v>52</v>
      </c>
      <c r="I557" s="10">
        <v>18</v>
      </c>
      <c r="J557" s="10" t="s">
        <v>3689</v>
      </c>
      <c r="K557" s="10" t="s">
        <v>42</v>
      </c>
      <c r="L557" s="10">
        <f>Table1[[#This Row],[ENR]]-Table1[[#This Row],[CREDIT]]</f>
        <v>202104.34</v>
      </c>
      <c r="M557" s="36">
        <v>20000</v>
      </c>
      <c r="N557" s="26">
        <v>222104.34</v>
      </c>
      <c r="O557" s="38" t="s">
        <v>43</v>
      </c>
      <c r="P557" s="25">
        <v>222104.34</v>
      </c>
      <c r="Q557" s="25">
        <v>203891</v>
      </c>
      <c r="R557" s="10">
        <v>204070</v>
      </c>
      <c r="S557" s="39">
        <v>184900</v>
      </c>
      <c r="T557" s="10" t="s">
        <v>44</v>
      </c>
      <c r="U557" s="10" t="s">
        <v>45</v>
      </c>
      <c r="V557" s="10">
        <v>0</v>
      </c>
      <c r="W557" s="25">
        <f>Table1[[#This Row],[STAB]]-Table1[[#This Row],[AMOUNT]]</f>
        <v>184900</v>
      </c>
      <c r="X557" s="10">
        <v>0</v>
      </c>
      <c r="Y557" s="10" t="s">
        <v>79</v>
      </c>
      <c r="Z557" s="10">
        <v>0</v>
      </c>
      <c r="AA557" s="10" t="s">
        <v>162</v>
      </c>
      <c r="AB557" s="36" t="s">
        <v>734</v>
      </c>
      <c r="AC557" s="10"/>
      <c r="AD557" s="9" t="s">
        <v>3737</v>
      </c>
      <c r="AE557" s="10" t="s">
        <v>3785</v>
      </c>
      <c r="AF557" s="10" t="s">
        <v>280</v>
      </c>
      <c r="AG557" s="10" t="s">
        <v>54</v>
      </c>
      <c r="AH557" s="10" t="s">
        <v>280</v>
      </c>
      <c r="AI557" s="10" t="s">
        <v>365</v>
      </c>
      <c r="AJ557" s="10">
        <v>802824019</v>
      </c>
      <c r="AK557" s="10" t="s">
        <v>360</v>
      </c>
      <c r="AL557" s="10"/>
      <c r="AM557" s="10"/>
      <c r="AN557" s="11" t="s">
        <v>46</v>
      </c>
      <c r="AO557" s="10"/>
      <c r="AP557" s="10"/>
      <c r="AQ557" s="10"/>
      <c r="AR557" s="2">
        <v>46114</v>
      </c>
      <c r="AS557" s="10">
        <v>113800</v>
      </c>
      <c r="AT557" s="10" t="s">
        <v>47</v>
      </c>
      <c r="AU557" s="10" t="s">
        <v>3266</v>
      </c>
      <c r="AV557" s="36" t="s">
        <v>3835</v>
      </c>
      <c r="AW557" s="1">
        <v>46209</v>
      </c>
    </row>
    <row r="558" spans="1:49" x14ac:dyDescent="0.25">
      <c r="A558" s="9" t="s">
        <v>3636</v>
      </c>
      <c r="B558" s="10" t="s">
        <v>3684</v>
      </c>
      <c r="C558" s="10">
        <v>0</v>
      </c>
      <c r="D558" s="10" t="s">
        <v>91</v>
      </c>
      <c r="E558" s="10"/>
      <c r="F558" s="10"/>
      <c r="G558" s="10"/>
      <c r="H558" s="10" t="s">
        <v>52</v>
      </c>
      <c r="I558" s="10">
        <v>18</v>
      </c>
      <c r="J558" s="10" t="s">
        <v>3732</v>
      </c>
      <c r="K558" s="10" t="s">
        <v>42</v>
      </c>
      <c r="L558" s="10">
        <f>Table1[[#This Row],[ENR]]-Table1[[#This Row],[CREDIT]]</f>
        <v>22152.690000000002</v>
      </c>
      <c r="M558" s="36">
        <v>180000</v>
      </c>
      <c r="N558" s="26">
        <v>202152.69</v>
      </c>
      <c r="O558" s="38" t="s">
        <v>43</v>
      </c>
      <c r="P558" s="25">
        <v>202152.69</v>
      </c>
      <c r="Q558" s="25">
        <v>179750.32</v>
      </c>
      <c r="R558" s="10">
        <v>60410</v>
      </c>
      <c r="S558" s="39">
        <v>32700</v>
      </c>
      <c r="T558" s="10" t="s">
        <v>57</v>
      </c>
      <c r="U558" s="10" t="s">
        <v>13</v>
      </c>
      <c r="V558" s="10">
        <v>32700</v>
      </c>
      <c r="W558" s="25">
        <f>Table1[[#This Row],[STAB]]-Table1[[#This Row],[AMOUNT]]</f>
        <v>0</v>
      </c>
      <c r="X558" s="10" t="s">
        <v>6399</v>
      </c>
      <c r="Y558" s="10" t="s">
        <v>396</v>
      </c>
      <c r="Z558" s="10" t="s">
        <v>964</v>
      </c>
      <c r="AA558" s="10" t="s">
        <v>162</v>
      </c>
      <c r="AB558" s="36" t="s">
        <v>736</v>
      </c>
      <c r="AC558" s="10"/>
      <c r="AD558" s="9" t="s">
        <v>3780</v>
      </c>
      <c r="AE558" s="10" t="s">
        <v>3828</v>
      </c>
      <c r="AF558" s="10" t="s">
        <v>275</v>
      </c>
      <c r="AG558" s="10" t="s">
        <v>80</v>
      </c>
      <c r="AH558" s="10" t="s">
        <v>1999</v>
      </c>
      <c r="AI558" s="10" t="s">
        <v>368</v>
      </c>
      <c r="AJ558" s="10">
        <v>802823175</v>
      </c>
      <c r="AK558" s="10" t="s">
        <v>105</v>
      </c>
      <c r="AL558" s="10"/>
      <c r="AM558" s="10"/>
      <c r="AN558" s="11" t="s">
        <v>390</v>
      </c>
      <c r="AO558" s="10" t="s">
        <v>392</v>
      </c>
      <c r="AP558" s="10" t="s">
        <v>6231</v>
      </c>
      <c r="AQ558" s="10" t="s">
        <v>4937</v>
      </c>
      <c r="AR558" s="2">
        <v>46148</v>
      </c>
      <c r="AS558" s="10">
        <v>9000</v>
      </c>
      <c r="AT558" s="10" t="s">
        <v>157</v>
      </c>
      <c r="AU558" s="10" t="s">
        <v>3266</v>
      </c>
      <c r="AV558" s="36" t="s">
        <v>3879</v>
      </c>
      <c r="AW558" s="1">
        <v>46209</v>
      </c>
    </row>
    <row r="559" spans="1:49" x14ac:dyDescent="0.25">
      <c r="A559" s="9" t="s">
        <v>3613</v>
      </c>
      <c r="B559" s="10" t="s">
        <v>3661</v>
      </c>
      <c r="C559" s="10">
        <v>0</v>
      </c>
      <c r="D559" s="10" t="s">
        <v>91</v>
      </c>
      <c r="E559" s="10"/>
      <c r="F559" s="10"/>
      <c r="G559" s="10"/>
      <c r="H559" s="10" t="s">
        <v>52</v>
      </c>
      <c r="I559" s="10">
        <v>18</v>
      </c>
      <c r="J559" s="10" t="s">
        <v>3709</v>
      </c>
      <c r="K559" s="10" t="s">
        <v>42</v>
      </c>
      <c r="L559" s="10">
        <f>Table1[[#This Row],[ENR]]-Table1[[#This Row],[CREDIT]]</f>
        <v>14745.73000000001</v>
      </c>
      <c r="M559" s="36">
        <v>170000</v>
      </c>
      <c r="N559" s="26">
        <v>184745.73</v>
      </c>
      <c r="O559" s="38" t="s">
        <v>43</v>
      </c>
      <c r="P559" s="25">
        <v>184745.73</v>
      </c>
      <c r="Q559" s="25">
        <v>169918.31</v>
      </c>
      <c r="R559" s="10">
        <v>48770</v>
      </c>
      <c r="S559" s="39">
        <v>34219.99</v>
      </c>
      <c r="T559" s="10" t="s">
        <v>57</v>
      </c>
      <c r="U559" s="10" t="s">
        <v>13</v>
      </c>
      <c r="V559" s="10">
        <v>21000</v>
      </c>
      <c r="W559" s="25">
        <f>Table1[[#This Row],[STAB]]-Table1[[#This Row],[AMOUNT]]</f>
        <v>13219.989999999998</v>
      </c>
      <c r="X559" s="10" t="s">
        <v>6364</v>
      </c>
      <c r="Y559" s="10" t="s">
        <v>396</v>
      </c>
      <c r="Z559" s="10" t="s">
        <v>403</v>
      </c>
      <c r="AA559" s="10" t="s">
        <v>162</v>
      </c>
      <c r="AB559" s="10" t="s">
        <v>735</v>
      </c>
      <c r="AC559" s="10"/>
      <c r="AD559" s="9" t="s">
        <v>3757</v>
      </c>
      <c r="AE559" s="10" t="s">
        <v>3805</v>
      </c>
      <c r="AF559" s="10" t="s">
        <v>278</v>
      </c>
      <c r="AG559" s="10" t="s">
        <v>54</v>
      </c>
      <c r="AH559" s="10" t="s">
        <v>86</v>
      </c>
      <c r="AI559" s="10" t="s">
        <v>369</v>
      </c>
      <c r="AJ559" s="10">
        <v>802823180</v>
      </c>
      <c r="AK559" s="10" t="s">
        <v>105</v>
      </c>
      <c r="AL559" s="10"/>
      <c r="AM559" s="10"/>
      <c r="AN559" s="11" t="s">
        <v>390</v>
      </c>
      <c r="AO559" s="10" t="s">
        <v>392</v>
      </c>
      <c r="AP559" s="10" t="s">
        <v>6363</v>
      </c>
      <c r="AQ559" s="10" t="s">
        <v>4976</v>
      </c>
      <c r="AR559" s="2">
        <v>46025</v>
      </c>
      <c r="AS559" s="10">
        <v>1.6</v>
      </c>
      <c r="AT559" s="10" t="s">
        <v>294</v>
      </c>
      <c r="AU559" s="10" t="s">
        <v>3266</v>
      </c>
      <c r="AV559" s="36" t="s">
        <v>3856</v>
      </c>
      <c r="AW559" s="1">
        <v>46209</v>
      </c>
    </row>
    <row r="560" spans="1:49" x14ac:dyDescent="0.25">
      <c r="A560" s="9" t="s">
        <v>3622</v>
      </c>
      <c r="B560" s="10" t="s">
        <v>3670</v>
      </c>
      <c r="C560" s="10">
        <v>0</v>
      </c>
      <c r="D560" s="10" t="s">
        <v>91</v>
      </c>
      <c r="E560" s="10"/>
      <c r="F560" s="10"/>
      <c r="G560" s="10"/>
      <c r="H560" s="10" t="s">
        <v>52</v>
      </c>
      <c r="I560" s="10">
        <v>18</v>
      </c>
      <c r="J560" s="10" t="s">
        <v>3718</v>
      </c>
      <c r="K560" s="10" t="s">
        <v>42</v>
      </c>
      <c r="L560" s="10">
        <f>Table1[[#This Row],[ENR]]-Table1[[#This Row],[CREDIT]]</f>
        <v>9895.1000000000058</v>
      </c>
      <c r="M560" s="36">
        <v>160000</v>
      </c>
      <c r="N560" s="26">
        <v>169895.1</v>
      </c>
      <c r="O560" s="38">
        <v>78243.839999999997</v>
      </c>
      <c r="P560" s="25">
        <v>91651.26</v>
      </c>
      <c r="Q560" s="25">
        <v>81120.39</v>
      </c>
      <c r="R560" s="10">
        <v>28410</v>
      </c>
      <c r="S560" s="39">
        <v>12680.72</v>
      </c>
      <c r="T560" s="10" t="s">
        <v>44</v>
      </c>
      <c r="U560" s="10" t="s">
        <v>45</v>
      </c>
      <c r="V560" s="10">
        <v>0</v>
      </c>
      <c r="W560" s="25">
        <f>Table1[[#This Row],[STAB]]-Table1[[#This Row],[AMOUNT]]</f>
        <v>12680.72</v>
      </c>
      <c r="X560" s="10">
        <v>0</v>
      </c>
      <c r="Y560" s="10" t="s">
        <v>79</v>
      </c>
      <c r="Z560" s="10">
        <v>0</v>
      </c>
      <c r="AA560" s="10" t="s">
        <v>162</v>
      </c>
      <c r="AB560" s="36" t="s">
        <v>736</v>
      </c>
      <c r="AC560" s="10"/>
      <c r="AD560" s="9" t="s">
        <v>3766</v>
      </c>
      <c r="AE560" s="10" t="s">
        <v>3814</v>
      </c>
      <c r="AF560" s="10" t="s">
        <v>685</v>
      </c>
      <c r="AG560" s="10" t="s">
        <v>54</v>
      </c>
      <c r="AH560" s="10" t="s">
        <v>1398</v>
      </c>
      <c r="AI560" s="10" t="s">
        <v>162</v>
      </c>
      <c r="AJ560" s="10">
        <v>801772794</v>
      </c>
      <c r="AK560" s="10" t="s">
        <v>361</v>
      </c>
      <c r="AL560" s="10"/>
      <c r="AM560" s="10"/>
      <c r="AN560" s="11" t="s">
        <v>390</v>
      </c>
      <c r="AO560" s="10" t="s">
        <v>398</v>
      </c>
      <c r="AP560" s="10" t="s">
        <v>5598</v>
      </c>
      <c r="AQ560" s="10" t="s">
        <v>4931</v>
      </c>
      <c r="AR560" s="2">
        <v>46163</v>
      </c>
      <c r="AS560" s="10">
        <v>4822.46</v>
      </c>
      <c r="AT560" s="10" t="s">
        <v>294</v>
      </c>
      <c r="AU560" s="10" t="s">
        <v>3266</v>
      </c>
      <c r="AV560" s="36" t="s">
        <v>3865</v>
      </c>
      <c r="AW560" s="1">
        <v>46209</v>
      </c>
    </row>
    <row r="561" spans="1:49" x14ac:dyDescent="0.25">
      <c r="A561" s="9" t="s">
        <v>3602</v>
      </c>
      <c r="B561" s="10" t="s">
        <v>3651</v>
      </c>
      <c r="C561" s="10">
        <v>0</v>
      </c>
      <c r="D561" s="10" t="s">
        <v>91</v>
      </c>
      <c r="E561" s="10"/>
      <c r="F561" s="10"/>
      <c r="G561" s="10"/>
      <c r="H561" s="10" t="s">
        <v>52</v>
      </c>
      <c r="I561" s="10">
        <v>18</v>
      </c>
      <c r="J561" s="10" t="s">
        <v>3699</v>
      </c>
      <c r="K561" s="10" t="s">
        <v>42</v>
      </c>
      <c r="L561" s="10">
        <f>Table1[[#This Row],[ENR]]-Table1[[#This Row],[CREDIT]]</f>
        <v>9195.6199999999953</v>
      </c>
      <c r="M561" s="36">
        <v>160000</v>
      </c>
      <c r="N561" s="26">
        <v>169195.62</v>
      </c>
      <c r="O561" s="38">
        <v>77261.77</v>
      </c>
      <c r="P561" s="25">
        <v>91933.85</v>
      </c>
      <c r="Q561" s="25">
        <v>86087.78</v>
      </c>
      <c r="R561" s="10">
        <v>46820</v>
      </c>
      <c r="S561" s="39">
        <v>23035</v>
      </c>
      <c r="T561" s="10" t="s">
        <v>57</v>
      </c>
      <c r="U561" s="10" t="s">
        <v>13</v>
      </c>
      <c r="V561" s="10">
        <v>46820</v>
      </c>
      <c r="W561" s="25">
        <f>Table1[[#This Row],[STAB]]-Table1[[#This Row],[AMOUNT]]</f>
        <v>-23785</v>
      </c>
      <c r="X561" s="10" t="s">
        <v>4937</v>
      </c>
      <c r="Y561" s="10" t="s">
        <v>396</v>
      </c>
      <c r="Z561" s="10" t="s">
        <v>403</v>
      </c>
      <c r="AA561" s="10" t="s">
        <v>162</v>
      </c>
      <c r="AB561" s="36" t="s">
        <v>734</v>
      </c>
      <c r="AC561" s="10"/>
      <c r="AD561" s="9" t="s">
        <v>3747</v>
      </c>
      <c r="AE561" s="10" t="s">
        <v>3795</v>
      </c>
      <c r="AF561" s="10" t="s">
        <v>273</v>
      </c>
      <c r="AG561" s="10" t="s">
        <v>323</v>
      </c>
      <c r="AH561" s="10" t="s">
        <v>4528</v>
      </c>
      <c r="AI561" s="10" t="s">
        <v>363</v>
      </c>
      <c r="AJ561" s="10">
        <v>802913252</v>
      </c>
      <c r="AK561" s="10" t="s">
        <v>104</v>
      </c>
      <c r="AL561" s="10"/>
      <c r="AM561" s="10"/>
      <c r="AN561" s="11" t="s">
        <v>390</v>
      </c>
      <c r="AO561" s="10" t="s">
        <v>398</v>
      </c>
      <c r="AP561" s="10" t="s">
        <v>5601</v>
      </c>
      <c r="AQ561" s="10" t="s">
        <v>4931</v>
      </c>
      <c r="AR561" s="2">
        <v>46170</v>
      </c>
      <c r="AS561" s="10">
        <v>16375</v>
      </c>
      <c r="AT561" s="10" t="s">
        <v>47</v>
      </c>
      <c r="AU561" s="10" t="s">
        <v>3266</v>
      </c>
      <c r="AV561" s="36" t="s">
        <v>3845</v>
      </c>
      <c r="AW561" s="1">
        <v>46209</v>
      </c>
    </row>
    <row r="562" spans="1:49" x14ac:dyDescent="0.25">
      <c r="A562" s="9" t="s">
        <v>3604</v>
      </c>
      <c r="B562" s="10" t="s">
        <v>3652</v>
      </c>
      <c r="C562" s="10">
        <v>0</v>
      </c>
      <c r="D562" s="10" t="s">
        <v>91</v>
      </c>
      <c r="E562" s="10"/>
      <c r="F562" s="10"/>
      <c r="G562" s="10"/>
      <c r="H562" s="10" t="s">
        <v>52</v>
      </c>
      <c r="I562" s="10">
        <v>18</v>
      </c>
      <c r="J562" s="10" t="s">
        <v>3700</v>
      </c>
      <c r="K562" s="10" t="s">
        <v>42</v>
      </c>
      <c r="L562" s="10">
        <f>Table1[[#This Row],[ENR]]-Table1[[#This Row],[CREDIT]]</f>
        <v>15856.489999999991</v>
      </c>
      <c r="M562" s="36">
        <v>150000</v>
      </c>
      <c r="N562" s="26">
        <v>165856.49</v>
      </c>
      <c r="O562" s="38" t="s">
        <v>43</v>
      </c>
      <c r="P562" s="25">
        <v>165856.49</v>
      </c>
      <c r="Q562" s="25">
        <v>142644.26</v>
      </c>
      <c r="R562" s="10">
        <v>51940</v>
      </c>
      <c r="S562" s="39">
        <v>25020</v>
      </c>
      <c r="T562" s="10" t="s">
        <v>44</v>
      </c>
      <c r="U562" s="10" t="s">
        <v>45</v>
      </c>
      <c r="V562" s="10">
        <v>0</v>
      </c>
      <c r="W562" s="25">
        <f>Table1[[#This Row],[STAB]]-Table1[[#This Row],[AMOUNT]]</f>
        <v>25020</v>
      </c>
      <c r="X562" s="10">
        <v>0</v>
      </c>
      <c r="Y562" s="10" t="s">
        <v>79</v>
      </c>
      <c r="Z562" s="10">
        <v>0</v>
      </c>
      <c r="AA562" s="10" t="s">
        <v>162</v>
      </c>
      <c r="AB562" s="10" t="s">
        <v>735</v>
      </c>
      <c r="AC562" s="10"/>
      <c r="AD562" s="9" t="s">
        <v>3748</v>
      </c>
      <c r="AE562" s="10" t="s">
        <v>3796</v>
      </c>
      <c r="AF562" s="10" t="s">
        <v>285</v>
      </c>
      <c r="AG562" s="10" t="s">
        <v>54</v>
      </c>
      <c r="AH562" s="10" t="s">
        <v>98</v>
      </c>
      <c r="AI562" s="10" t="s">
        <v>727</v>
      </c>
      <c r="AJ562" s="10">
        <v>802898520</v>
      </c>
      <c r="AK562" s="10" t="s">
        <v>104</v>
      </c>
      <c r="AL562" s="10"/>
      <c r="AM562" s="10"/>
      <c r="AN562" s="11" t="s">
        <v>390</v>
      </c>
      <c r="AO562" s="10" t="s">
        <v>398</v>
      </c>
      <c r="AP562" s="10" t="s">
        <v>4987</v>
      </c>
      <c r="AQ562" s="10" t="s">
        <v>4936</v>
      </c>
      <c r="AR562" s="2">
        <v>46156</v>
      </c>
      <c r="AS562" s="10">
        <v>7490</v>
      </c>
      <c r="AT562" s="10" t="s">
        <v>938</v>
      </c>
      <c r="AU562" s="10" t="s">
        <v>3266</v>
      </c>
      <c r="AV562" s="36" t="s">
        <v>3847</v>
      </c>
      <c r="AW562" s="1">
        <v>46209</v>
      </c>
    </row>
    <row r="563" spans="1:49" x14ac:dyDescent="0.25">
      <c r="A563" s="9" t="s">
        <v>3611</v>
      </c>
      <c r="B563" s="10" t="s">
        <v>3659</v>
      </c>
      <c r="C563" s="10">
        <v>0</v>
      </c>
      <c r="D563" s="10" t="s">
        <v>91</v>
      </c>
      <c r="E563" s="10"/>
      <c r="F563" s="10"/>
      <c r="G563" s="10"/>
      <c r="H563" s="10" t="s">
        <v>52</v>
      </c>
      <c r="I563" s="10">
        <v>18</v>
      </c>
      <c r="J563" s="10" t="s">
        <v>3707</v>
      </c>
      <c r="K563" s="10" t="s">
        <v>42</v>
      </c>
      <c r="L563" s="10">
        <f>Table1[[#This Row],[ENR]]-Table1[[#This Row],[CREDIT]]</f>
        <v>-143467.85</v>
      </c>
      <c r="M563" s="36">
        <v>300000</v>
      </c>
      <c r="N563" s="26">
        <v>156532.15</v>
      </c>
      <c r="O563" s="38">
        <v>110653.57</v>
      </c>
      <c r="P563" s="25">
        <v>45878.58</v>
      </c>
      <c r="Q563" s="25">
        <v>34741.769999999997</v>
      </c>
      <c r="R563" s="10">
        <v>45878.58</v>
      </c>
      <c r="S563" s="39">
        <v>23299.5</v>
      </c>
      <c r="T563" s="10" t="s">
        <v>44</v>
      </c>
      <c r="U563" s="10" t="s">
        <v>45</v>
      </c>
      <c r="V563" s="10">
        <v>0</v>
      </c>
      <c r="W563" s="25">
        <f>Table1[[#This Row],[STAB]]-Table1[[#This Row],[AMOUNT]]</f>
        <v>23299.5</v>
      </c>
      <c r="X563" s="10">
        <v>0</v>
      </c>
      <c r="Y563" s="10" t="s">
        <v>79</v>
      </c>
      <c r="Z563" s="10">
        <v>0</v>
      </c>
      <c r="AA563" s="10" t="s">
        <v>162</v>
      </c>
      <c r="AB563" s="36" t="s">
        <v>736</v>
      </c>
      <c r="AC563" s="10"/>
      <c r="AD563" s="9" t="s">
        <v>3755</v>
      </c>
      <c r="AE563" s="10" t="s">
        <v>3803</v>
      </c>
      <c r="AF563" s="10" t="s">
        <v>864</v>
      </c>
      <c r="AG563" s="10" t="s">
        <v>54</v>
      </c>
      <c r="AH563" s="10" t="s">
        <v>1398</v>
      </c>
      <c r="AI563" s="10" t="s">
        <v>162</v>
      </c>
      <c r="AJ563" s="10">
        <v>801772794</v>
      </c>
      <c r="AK563" s="10" t="s">
        <v>361</v>
      </c>
      <c r="AL563" s="10"/>
      <c r="AM563" s="10"/>
      <c r="AN563" s="11" t="s">
        <v>46</v>
      </c>
      <c r="AO563" s="10"/>
      <c r="AP563" s="10"/>
      <c r="AQ563" s="10"/>
      <c r="AR563" s="2">
        <v>46155</v>
      </c>
      <c r="AS563" s="10">
        <v>50000</v>
      </c>
      <c r="AT563" s="10" t="s">
        <v>294</v>
      </c>
      <c r="AU563" s="10" t="s">
        <v>3266</v>
      </c>
      <c r="AV563" s="36" t="s">
        <v>3854</v>
      </c>
      <c r="AW563" s="1">
        <v>46209</v>
      </c>
    </row>
    <row r="564" spans="1:49" x14ac:dyDescent="0.25">
      <c r="A564" s="9" t="s">
        <v>3624</v>
      </c>
      <c r="B564" s="10" t="s">
        <v>3672</v>
      </c>
      <c r="C564" s="10">
        <v>0</v>
      </c>
      <c r="D564" s="10" t="s">
        <v>91</v>
      </c>
      <c r="E564" s="10"/>
      <c r="F564" s="10"/>
      <c r="G564" s="10"/>
      <c r="H564" s="10" t="s">
        <v>52</v>
      </c>
      <c r="I564" s="10">
        <v>18</v>
      </c>
      <c r="J564" s="10" t="s">
        <v>3720</v>
      </c>
      <c r="K564" s="10" t="s">
        <v>42</v>
      </c>
      <c r="L564" s="10">
        <f>Table1[[#This Row],[ENR]]-Table1[[#This Row],[CREDIT]]</f>
        <v>5900.929999999993</v>
      </c>
      <c r="M564" s="36">
        <v>140000</v>
      </c>
      <c r="N564" s="26">
        <v>145900.93</v>
      </c>
      <c r="O564" s="38">
        <v>91085.21</v>
      </c>
      <c r="P564" s="25">
        <v>54815.72</v>
      </c>
      <c r="Q564" s="25">
        <v>47217.4</v>
      </c>
      <c r="R564" s="10">
        <v>25460</v>
      </c>
      <c r="S564" s="39">
        <v>10590</v>
      </c>
      <c r="T564" s="10" t="s">
        <v>44</v>
      </c>
      <c r="U564" s="10" t="s">
        <v>45</v>
      </c>
      <c r="V564" s="10">
        <v>0</v>
      </c>
      <c r="W564" s="25">
        <f>Table1[[#This Row],[STAB]]-Table1[[#This Row],[AMOUNT]]</f>
        <v>10590</v>
      </c>
      <c r="X564" s="10">
        <v>0</v>
      </c>
      <c r="Y564" s="10" t="s">
        <v>79</v>
      </c>
      <c r="Z564" s="10">
        <v>0</v>
      </c>
      <c r="AA564" s="10" t="s">
        <v>162</v>
      </c>
      <c r="AB564" s="36" t="s">
        <v>733</v>
      </c>
      <c r="AC564" s="10"/>
      <c r="AD564" s="9" t="s">
        <v>3768</v>
      </c>
      <c r="AE564" s="10" t="s">
        <v>3816</v>
      </c>
      <c r="AF564" s="10" t="s">
        <v>281</v>
      </c>
      <c r="AG564" s="10" t="s">
        <v>54</v>
      </c>
      <c r="AH564" s="10" t="s">
        <v>99</v>
      </c>
      <c r="AI564" s="10" t="s">
        <v>363</v>
      </c>
      <c r="AJ564" s="10">
        <v>802913252</v>
      </c>
      <c r="AK564" s="10" t="s">
        <v>104</v>
      </c>
      <c r="AL564" s="10"/>
      <c r="AM564" s="10"/>
      <c r="AN564" s="11" t="s">
        <v>390</v>
      </c>
      <c r="AO564" s="10" t="s">
        <v>394</v>
      </c>
      <c r="AP564" s="10" t="s">
        <v>6379</v>
      </c>
      <c r="AQ564" s="10" t="s">
        <v>6364</v>
      </c>
      <c r="AR564" s="2">
        <v>45539</v>
      </c>
      <c r="AS564" s="10">
        <v>72560.17</v>
      </c>
      <c r="AT564" s="10" t="s">
        <v>294</v>
      </c>
      <c r="AU564" s="10" t="s">
        <v>3266</v>
      </c>
      <c r="AV564" s="36" t="s">
        <v>3867</v>
      </c>
      <c r="AW564" s="1">
        <v>46209</v>
      </c>
    </row>
    <row r="565" spans="1:49" x14ac:dyDescent="0.25">
      <c r="A565" s="9" t="s">
        <v>3616</v>
      </c>
      <c r="B565" s="10" t="s">
        <v>3664</v>
      </c>
      <c r="C565" s="10">
        <v>0</v>
      </c>
      <c r="D565" s="10" t="s">
        <v>91</v>
      </c>
      <c r="E565" s="10"/>
      <c r="F565" s="10"/>
      <c r="G565" s="10"/>
      <c r="H565" s="10" t="s">
        <v>52</v>
      </c>
      <c r="I565" s="10">
        <v>18</v>
      </c>
      <c r="J565" s="10" t="s">
        <v>3712</v>
      </c>
      <c r="K565" s="10" t="s">
        <v>42</v>
      </c>
      <c r="L565" s="10">
        <f>Table1[[#This Row],[ENR]]-Table1[[#This Row],[CREDIT]]</f>
        <v>-46894.609999999986</v>
      </c>
      <c r="M565" s="36">
        <v>190000</v>
      </c>
      <c r="N565" s="26">
        <v>143105.39000000001</v>
      </c>
      <c r="O565" s="38" t="s">
        <v>43</v>
      </c>
      <c r="P565" s="25">
        <v>143105.39000000001</v>
      </c>
      <c r="Q565" s="25">
        <v>127149</v>
      </c>
      <c r="R565" s="10">
        <v>28360</v>
      </c>
      <c r="S565" s="39">
        <v>14720</v>
      </c>
      <c r="T565" s="10" t="s">
        <v>44</v>
      </c>
      <c r="U565" s="10" t="s">
        <v>45</v>
      </c>
      <c r="V565" s="10">
        <v>0</v>
      </c>
      <c r="W565" s="25">
        <f>Table1[[#This Row],[STAB]]-Table1[[#This Row],[AMOUNT]]</f>
        <v>14720</v>
      </c>
      <c r="X565" s="10">
        <v>0</v>
      </c>
      <c r="Y565" s="10" t="s">
        <v>79</v>
      </c>
      <c r="Z565" s="10">
        <v>0</v>
      </c>
      <c r="AA565" s="10" t="s">
        <v>162</v>
      </c>
      <c r="AB565" s="36" t="s">
        <v>734</v>
      </c>
      <c r="AC565" s="10"/>
      <c r="AD565" s="9" t="s">
        <v>3760</v>
      </c>
      <c r="AE565" s="10" t="s">
        <v>3808</v>
      </c>
      <c r="AF565" s="10" t="s">
        <v>280</v>
      </c>
      <c r="AG565" s="10" t="s">
        <v>54</v>
      </c>
      <c r="AH565" s="10" t="s">
        <v>280</v>
      </c>
      <c r="AI565" s="10" t="s">
        <v>365</v>
      </c>
      <c r="AJ565" s="10">
        <v>802824019</v>
      </c>
      <c r="AK565" s="10" t="s">
        <v>360</v>
      </c>
      <c r="AL565" s="10"/>
      <c r="AM565" s="10"/>
      <c r="AN565" s="11" t="s">
        <v>46</v>
      </c>
      <c r="AO565" s="10"/>
      <c r="AP565" s="10"/>
      <c r="AQ565" s="10"/>
      <c r="AR565" s="2">
        <v>45320</v>
      </c>
      <c r="AS565" s="10">
        <v>2360</v>
      </c>
      <c r="AT565" s="10" t="s">
        <v>294</v>
      </c>
      <c r="AU565" s="10" t="s">
        <v>3266</v>
      </c>
      <c r="AV565" s="36" t="s">
        <v>3859</v>
      </c>
      <c r="AW565" s="1">
        <v>46209</v>
      </c>
    </row>
    <row r="566" spans="1:49" x14ac:dyDescent="0.25">
      <c r="A566" s="9" t="s">
        <v>3595</v>
      </c>
      <c r="B566" s="10" t="s">
        <v>3644</v>
      </c>
      <c r="C566" s="10">
        <v>0</v>
      </c>
      <c r="D566" s="10" t="s">
        <v>91</v>
      </c>
      <c r="E566" s="10"/>
      <c r="F566" s="10" t="s">
        <v>112</v>
      </c>
      <c r="G566" s="10" t="s">
        <v>4968</v>
      </c>
      <c r="H566" s="10" t="s">
        <v>52</v>
      </c>
      <c r="I566" s="10">
        <v>18</v>
      </c>
      <c r="J566" s="10" t="s">
        <v>3692</v>
      </c>
      <c r="K566" s="10" t="s">
        <v>42</v>
      </c>
      <c r="L566" s="10">
        <f>Table1[[#This Row],[ENR]]-Table1[[#This Row],[CREDIT]]</f>
        <v>8642.6199999999953</v>
      </c>
      <c r="M566" s="36">
        <v>128000</v>
      </c>
      <c r="N566" s="26">
        <v>136642.62</v>
      </c>
      <c r="O566" s="38" t="s">
        <v>43</v>
      </c>
      <c r="P566" s="25">
        <v>136642.62</v>
      </c>
      <c r="Q566" s="25">
        <v>126938</v>
      </c>
      <c r="R566" s="10">
        <v>30300</v>
      </c>
      <c r="S566" s="39">
        <v>6350</v>
      </c>
      <c r="T566" s="10" t="s">
        <v>44</v>
      </c>
      <c r="U566" s="10" t="s">
        <v>45</v>
      </c>
      <c r="V566" s="10">
        <v>0</v>
      </c>
      <c r="W566" s="25">
        <f>Table1[[#This Row],[STAB]]-Table1[[#This Row],[AMOUNT]]</f>
        <v>6350</v>
      </c>
      <c r="X566" s="10">
        <v>0</v>
      </c>
      <c r="Y566" s="10" t="s">
        <v>79</v>
      </c>
      <c r="Z566" s="10">
        <v>0</v>
      </c>
      <c r="AA566" s="10" t="s">
        <v>162</v>
      </c>
      <c r="AB566" s="36" t="s">
        <v>733</v>
      </c>
      <c r="AC566" s="10"/>
      <c r="AD566" s="9" t="s">
        <v>3740</v>
      </c>
      <c r="AE566" s="10" t="s">
        <v>3788</v>
      </c>
      <c r="AF566" s="10" t="s">
        <v>499</v>
      </c>
      <c r="AG566" s="10" t="s">
        <v>53</v>
      </c>
      <c r="AH566" s="10" t="s">
        <v>55</v>
      </c>
      <c r="AI566" s="10" t="s">
        <v>365</v>
      </c>
      <c r="AJ566" s="10">
        <v>802824019</v>
      </c>
      <c r="AK566" s="10" t="s">
        <v>360</v>
      </c>
      <c r="AL566" s="10"/>
      <c r="AM566" s="10"/>
      <c r="AN566" s="11" t="s">
        <v>46</v>
      </c>
      <c r="AO566" s="10"/>
      <c r="AP566" s="10"/>
      <c r="AQ566" s="10"/>
      <c r="AR566" s="2">
        <v>45630</v>
      </c>
      <c r="AS566" s="10">
        <v>8117</v>
      </c>
      <c r="AT566" s="10" t="s">
        <v>47</v>
      </c>
      <c r="AU566" s="10" t="s">
        <v>3266</v>
      </c>
      <c r="AV566" s="36" t="s">
        <v>3838</v>
      </c>
      <c r="AW566" s="1">
        <v>46209</v>
      </c>
    </row>
    <row r="567" spans="1:49" x14ac:dyDescent="0.25">
      <c r="A567" s="9" t="s">
        <v>3590</v>
      </c>
      <c r="B567" s="10" t="s">
        <v>3639</v>
      </c>
      <c r="C567" s="10">
        <v>0</v>
      </c>
      <c r="D567" s="10" t="s">
        <v>91</v>
      </c>
      <c r="E567" s="10"/>
      <c r="F567" s="10"/>
      <c r="G567" s="10"/>
      <c r="H567" s="10" t="s">
        <v>52</v>
      </c>
      <c r="I567" s="10">
        <v>18</v>
      </c>
      <c r="J567" s="10" t="s">
        <v>3687</v>
      </c>
      <c r="K567" s="10" t="s">
        <v>42</v>
      </c>
      <c r="L567" s="10">
        <f>Table1[[#This Row],[ENR]]-Table1[[#This Row],[CREDIT]]</f>
        <v>-33466</v>
      </c>
      <c r="M567" s="36">
        <v>167000</v>
      </c>
      <c r="N567" s="26">
        <v>133534</v>
      </c>
      <c r="O567" s="38">
        <v>42300.33</v>
      </c>
      <c r="P567" s="25">
        <v>91233.67</v>
      </c>
      <c r="Q567" s="25">
        <v>76502.149999999994</v>
      </c>
      <c r="R567" s="10">
        <v>24290</v>
      </c>
      <c r="S567" s="39">
        <v>10120</v>
      </c>
      <c r="T567" s="10" t="s">
        <v>57</v>
      </c>
      <c r="U567" s="10" t="s">
        <v>13</v>
      </c>
      <c r="V567" s="10">
        <v>24290</v>
      </c>
      <c r="W567" s="25">
        <f>Table1[[#This Row],[STAB]]-Table1[[#This Row],[AMOUNT]]</f>
        <v>-14170</v>
      </c>
      <c r="X567" s="10" t="s">
        <v>4976</v>
      </c>
      <c r="Y567" s="10" t="s">
        <v>402</v>
      </c>
      <c r="Z567" s="10" t="s">
        <v>403</v>
      </c>
      <c r="AA567" s="10" t="s">
        <v>162</v>
      </c>
      <c r="AB567" s="36" t="s">
        <v>734</v>
      </c>
      <c r="AC567" s="10"/>
      <c r="AD567" s="9" t="s">
        <v>3735</v>
      </c>
      <c r="AE567" s="10" t="s">
        <v>3783</v>
      </c>
      <c r="AF567" s="10" t="s">
        <v>285</v>
      </c>
      <c r="AG567" s="10" t="s">
        <v>54</v>
      </c>
      <c r="AH567" s="10" t="s">
        <v>94</v>
      </c>
      <c r="AI567" s="10" t="s">
        <v>725</v>
      </c>
      <c r="AJ567" s="10">
        <v>802794852</v>
      </c>
      <c r="AK567" s="10" t="s">
        <v>104</v>
      </c>
      <c r="AL567" s="10"/>
      <c r="AM567" s="10"/>
      <c r="AN567" s="11" t="s">
        <v>390</v>
      </c>
      <c r="AO567" s="10" t="s">
        <v>392</v>
      </c>
      <c r="AP567" s="10" t="s">
        <v>4977</v>
      </c>
      <c r="AQ567" s="10" t="s">
        <v>4923</v>
      </c>
      <c r="AR567" s="2">
        <v>45684</v>
      </c>
      <c r="AS567" s="10">
        <v>5570</v>
      </c>
      <c r="AT567" s="10" t="s">
        <v>47</v>
      </c>
      <c r="AU567" s="10" t="s">
        <v>3266</v>
      </c>
      <c r="AV567" s="36" t="s">
        <v>3833</v>
      </c>
      <c r="AW567" s="1">
        <v>46209</v>
      </c>
    </row>
    <row r="568" spans="1:49" x14ac:dyDescent="0.25">
      <c r="A568" s="9" t="s">
        <v>3629</v>
      </c>
      <c r="B568" s="10" t="s">
        <v>3677</v>
      </c>
      <c r="C568" s="10">
        <v>0</v>
      </c>
      <c r="D568" s="10" t="s">
        <v>91</v>
      </c>
      <c r="E568" s="10"/>
      <c r="F568" s="10"/>
      <c r="G568" s="10"/>
      <c r="H568" s="10" t="s">
        <v>52</v>
      </c>
      <c r="I568" s="10">
        <v>18</v>
      </c>
      <c r="J568" s="10" t="s">
        <v>3725</v>
      </c>
      <c r="K568" s="10" t="s">
        <v>42</v>
      </c>
      <c r="L568" s="10">
        <f>Table1[[#This Row],[ENR]]-Table1[[#This Row],[CREDIT]]</f>
        <v>12639.279999999999</v>
      </c>
      <c r="M568" s="36">
        <v>120000</v>
      </c>
      <c r="N568" s="26">
        <v>132639.28</v>
      </c>
      <c r="O568" s="38" t="s">
        <v>43</v>
      </c>
      <c r="P568" s="25">
        <v>132639.28</v>
      </c>
      <c r="Q568" s="25">
        <v>119970.6</v>
      </c>
      <c r="R568" s="10">
        <v>41260</v>
      </c>
      <c r="S568" s="39">
        <v>27850</v>
      </c>
      <c r="T568" s="10" t="s">
        <v>57</v>
      </c>
      <c r="U568" s="10" t="s">
        <v>13</v>
      </c>
      <c r="V568" s="10">
        <v>41360</v>
      </c>
      <c r="W568" s="25">
        <f>Table1[[#This Row],[STAB]]-Table1[[#This Row],[AMOUNT]]</f>
        <v>-13510</v>
      </c>
      <c r="X568" s="10" t="s">
        <v>4993</v>
      </c>
      <c r="Y568" s="10" t="s">
        <v>396</v>
      </c>
      <c r="Z568" s="10" t="s">
        <v>403</v>
      </c>
      <c r="AA568" s="10" t="s">
        <v>162</v>
      </c>
      <c r="AB568" s="10" t="s">
        <v>735</v>
      </c>
      <c r="AC568" s="10"/>
      <c r="AD568" s="9" t="s">
        <v>3773</v>
      </c>
      <c r="AE568" s="10" t="s">
        <v>3821</v>
      </c>
      <c r="AF568" s="10" t="s">
        <v>1321</v>
      </c>
      <c r="AG568" s="10" t="s">
        <v>324</v>
      </c>
      <c r="AH568" s="10" t="s">
        <v>1361</v>
      </c>
      <c r="AI568" s="10" t="s">
        <v>1404</v>
      </c>
      <c r="AJ568" s="10">
        <v>802852449</v>
      </c>
      <c r="AK568" s="10" t="s">
        <v>104</v>
      </c>
      <c r="AL568" s="10"/>
      <c r="AM568" s="10"/>
      <c r="AN568" s="11" t="s">
        <v>390</v>
      </c>
      <c r="AO568" s="10" t="s">
        <v>398</v>
      </c>
      <c r="AP568" s="10" t="s">
        <v>5026</v>
      </c>
      <c r="AQ568" s="10" t="s">
        <v>4993</v>
      </c>
      <c r="AR568" s="2">
        <v>45785</v>
      </c>
      <c r="AS568" s="10">
        <v>28410</v>
      </c>
      <c r="AT568" s="10" t="s">
        <v>689</v>
      </c>
      <c r="AU568" s="10" t="s">
        <v>3266</v>
      </c>
      <c r="AV568" s="36" t="s">
        <v>3872</v>
      </c>
      <c r="AW568" s="1">
        <v>46209</v>
      </c>
    </row>
    <row r="569" spans="1:49" x14ac:dyDescent="0.25">
      <c r="A569" s="9" t="s">
        <v>3594</v>
      </c>
      <c r="B569" s="10" t="s">
        <v>3643</v>
      </c>
      <c r="C569" s="10">
        <v>0</v>
      </c>
      <c r="D569" s="10" t="s">
        <v>91</v>
      </c>
      <c r="E569" s="10"/>
      <c r="F569" s="10" t="s">
        <v>112</v>
      </c>
      <c r="G569" s="10" t="s">
        <v>4967</v>
      </c>
      <c r="H569" s="10" t="s">
        <v>52</v>
      </c>
      <c r="I569" s="10">
        <v>18</v>
      </c>
      <c r="J569" s="10" t="s">
        <v>3691</v>
      </c>
      <c r="K569" s="10" t="s">
        <v>42</v>
      </c>
      <c r="L569" s="10">
        <f>Table1[[#This Row],[ENR]]-Table1[[#This Row],[CREDIT]]</f>
        <v>-91590.94</v>
      </c>
      <c r="M569" s="36">
        <v>220000</v>
      </c>
      <c r="N569" s="26">
        <v>128409.06</v>
      </c>
      <c r="O569" s="38" t="s">
        <v>43</v>
      </c>
      <c r="P569" s="25">
        <v>128409.06</v>
      </c>
      <c r="Q569" s="25">
        <v>116312.39</v>
      </c>
      <c r="R569" s="10">
        <v>25130</v>
      </c>
      <c r="S569" s="39">
        <v>12530</v>
      </c>
      <c r="T569" s="10" t="s">
        <v>44</v>
      </c>
      <c r="U569" s="10" t="s">
        <v>45</v>
      </c>
      <c r="V569" s="10">
        <v>0</v>
      </c>
      <c r="W569" s="25">
        <f>Table1[[#This Row],[STAB]]-Table1[[#This Row],[AMOUNT]]</f>
        <v>12530</v>
      </c>
      <c r="X569" s="10">
        <v>0</v>
      </c>
      <c r="Y569" s="10" t="s">
        <v>79</v>
      </c>
      <c r="Z569" s="10">
        <v>0</v>
      </c>
      <c r="AA569" s="10" t="s">
        <v>162</v>
      </c>
      <c r="AB569" s="36" t="s">
        <v>736</v>
      </c>
      <c r="AC569" s="10"/>
      <c r="AD569" s="9" t="s">
        <v>3739</v>
      </c>
      <c r="AE569" s="10" t="s">
        <v>3787</v>
      </c>
      <c r="AF569" s="10" t="s">
        <v>274</v>
      </c>
      <c r="AG569" s="10" t="s">
        <v>53</v>
      </c>
      <c r="AH569" s="10" t="s">
        <v>55</v>
      </c>
      <c r="AI569" s="10" t="s">
        <v>365</v>
      </c>
      <c r="AJ569" s="10">
        <v>802824019</v>
      </c>
      <c r="AK569" s="10" t="s">
        <v>360</v>
      </c>
      <c r="AL569" s="10"/>
      <c r="AM569" s="10"/>
      <c r="AN569" s="11" t="s">
        <v>46</v>
      </c>
      <c r="AO569" s="10"/>
      <c r="AP569" s="10"/>
      <c r="AQ569" s="10"/>
      <c r="AR569" s="2">
        <v>45534</v>
      </c>
      <c r="AS569" s="10">
        <v>73669.2</v>
      </c>
      <c r="AT569" s="10" t="s">
        <v>47</v>
      </c>
      <c r="AU569" s="10" t="s">
        <v>3266</v>
      </c>
      <c r="AV569" s="36" t="s">
        <v>3837</v>
      </c>
      <c r="AW569" s="1">
        <v>46209</v>
      </c>
    </row>
    <row r="570" spans="1:49" x14ac:dyDescent="0.25">
      <c r="A570" s="9" t="s">
        <v>3621</v>
      </c>
      <c r="B570" s="10" t="s">
        <v>3669</v>
      </c>
      <c r="C570" s="10">
        <v>0</v>
      </c>
      <c r="D570" s="10" t="s">
        <v>91</v>
      </c>
      <c r="E570" s="10"/>
      <c r="F570" s="10"/>
      <c r="G570" s="10"/>
      <c r="H570" s="10" t="s">
        <v>52</v>
      </c>
      <c r="I570" s="10">
        <v>18</v>
      </c>
      <c r="J570" s="10" t="s">
        <v>3717</v>
      </c>
      <c r="K570" s="10" t="s">
        <v>42</v>
      </c>
      <c r="L570" s="10">
        <f>Table1[[#This Row],[ENR]]-Table1[[#This Row],[CREDIT]]</f>
        <v>6535.3500000000058</v>
      </c>
      <c r="M570" s="36">
        <v>120000</v>
      </c>
      <c r="N570" s="26">
        <v>126535.35</v>
      </c>
      <c r="O570" s="38">
        <v>89073.32</v>
      </c>
      <c r="P570" s="25">
        <v>37462.03</v>
      </c>
      <c r="Q570" s="25">
        <v>31558.95</v>
      </c>
      <c r="R570" s="10">
        <v>25370</v>
      </c>
      <c r="S570" s="39">
        <v>10620</v>
      </c>
      <c r="T570" s="10" t="s">
        <v>44</v>
      </c>
      <c r="U570" s="10" t="s">
        <v>45</v>
      </c>
      <c r="V570" s="10">
        <v>0</v>
      </c>
      <c r="W570" s="25">
        <f>Table1[[#This Row],[STAB]]-Table1[[#This Row],[AMOUNT]]</f>
        <v>10620</v>
      </c>
      <c r="X570" s="10">
        <v>0</v>
      </c>
      <c r="Y570" s="10" t="s">
        <v>79</v>
      </c>
      <c r="Z570" s="10">
        <v>0</v>
      </c>
      <c r="AA570" s="10" t="s">
        <v>162</v>
      </c>
      <c r="AB570" s="36" t="s">
        <v>733</v>
      </c>
      <c r="AC570" s="10"/>
      <c r="AD570" s="9" t="s">
        <v>3765</v>
      </c>
      <c r="AE570" s="10" t="s">
        <v>3813</v>
      </c>
      <c r="AF570" s="10" t="s">
        <v>498</v>
      </c>
      <c r="AG570" s="10" t="s">
        <v>53</v>
      </c>
      <c r="AH570" s="10" t="s">
        <v>90</v>
      </c>
      <c r="AI570" s="10" t="s">
        <v>162</v>
      </c>
      <c r="AJ570" s="10">
        <v>801772794</v>
      </c>
      <c r="AK570" s="10" t="s">
        <v>361</v>
      </c>
      <c r="AL570" s="10"/>
      <c r="AM570" s="10"/>
      <c r="AN570" s="11" t="s">
        <v>390</v>
      </c>
      <c r="AO570" s="10" t="s">
        <v>392</v>
      </c>
      <c r="AP570" s="10" t="s">
        <v>5586</v>
      </c>
      <c r="AQ570" s="10" t="s">
        <v>4931</v>
      </c>
      <c r="AR570" s="2">
        <v>45540</v>
      </c>
      <c r="AS570" s="10">
        <v>10</v>
      </c>
      <c r="AT570" s="10" t="s">
        <v>294</v>
      </c>
      <c r="AU570" s="10" t="s">
        <v>3266</v>
      </c>
      <c r="AV570" s="36" t="s">
        <v>3864</v>
      </c>
      <c r="AW570" s="1">
        <v>46209</v>
      </c>
    </row>
    <row r="571" spans="1:49" x14ac:dyDescent="0.25">
      <c r="A571" s="9" t="s">
        <v>3601</v>
      </c>
      <c r="B571" s="10" t="s">
        <v>3650</v>
      </c>
      <c r="C571" s="10">
        <v>0</v>
      </c>
      <c r="D571" s="10" t="s">
        <v>91</v>
      </c>
      <c r="E571" s="10"/>
      <c r="F571" s="10"/>
      <c r="G571" s="10"/>
      <c r="H571" s="10" t="s">
        <v>52</v>
      </c>
      <c r="I571" s="10">
        <v>18</v>
      </c>
      <c r="J571" s="10" t="s">
        <v>3698</v>
      </c>
      <c r="K571" s="10" t="s">
        <v>42</v>
      </c>
      <c r="L571" s="10">
        <f>Table1[[#This Row],[ENR]]-Table1[[#This Row],[CREDIT]]</f>
        <v>3448.1900000000023</v>
      </c>
      <c r="M571" s="36">
        <v>120000</v>
      </c>
      <c r="N571" s="26">
        <v>123448.19</v>
      </c>
      <c r="O571" s="38" t="s">
        <v>43</v>
      </c>
      <c r="P571" s="25">
        <v>123448.19</v>
      </c>
      <c r="Q571" s="25">
        <v>110278.34</v>
      </c>
      <c r="R571" s="10">
        <v>22790</v>
      </c>
      <c r="S571" s="39">
        <v>7540</v>
      </c>
      <c r="T571" s="10" t="s">
        <v>57</v>
      </c>
      <c r="U571" s="10" t="s">
        <v>13</v>
      </c>
      <c r="V571" s="10">
        <v>123448.19</v>
      </c>
      <c r="W571" s="25">
        <f>Table1[[#This Row],[STAB]]-Table1[[#This Row],[AMOUNT]]</f>
        <v>-115908.19</v>
      </c>
      <c r="X571" s="10" t="s">
        <v>4601</v>
      </c>
      <c r="Y571" s="10" t="s">
        <v>396</v>
      </c>
      <c r="Z571" s="10" t="s">
        <v>403</v>
      </c>
      <c r="AA571" s="10" t="s">
        <v>162</v>
      </c>
      <c r="AB571" s="10" t="s">
        <v>735</v>
      </c>
      <c r="AC571" s="10"/>
      <c r="AD571" s="9" t="s">
        <v>3746</v>
      </c>
      <c r="AE571" s="10" t="s">
        <v>3794</v>
      </c>
      <c r="AF571" s="10" t="s">
        <v>273</v>
      </c>
      <c r="AG571" s="10" t="s">
        <v>323</v>
      </c>
      <c r="AH571" s="10" t="s">
        <v>1999</v>
      </c>
      <c r="AI571" s="10" t="s">
        <v>368</v>
      </c>
      <c r="AJ571" s="10">
        <v>802823175</v>
      </c>
      <c r="AK571" s="10" t="s">
        <v>105</v>
      </c>
      <c r="AL571" s="10"/>
      <c r="AM571" s="10"/>
      <c r="AN571" s="11" t="s">
        <v>390</v>
      </c>
      <c r="AO571" s="10" t="s">
        <v>392</v>
      </c>
      <c r="AP571" s="10" t="s">
        <v>4637</v>
      </c>
      <c r="AQ571" s="10" t="s">
        <v>4601</v>
      </c>
      <c r="AR571" s="2">
        <v>45510</v>
      </c>
      <c r="AS571" s="10">
        <v>4017.23</v>
      </c>
      <c r="AT571" s="10" t="s">
        <v>47</v>
      </c>
      <c r="AU571" s="10" t="s">
        <v>3266</v>
      </c>
      <c r="AV571" s="36" t="s">
        <v>3844</v>
      </c>
      <c r="AW571" s="1">
        <v>46209</v>
      </c>
    </row>
    <row r="572" spans="1:49" x14ac:dyDescent="0.25">
      <c r="A572" s="9" t="s">
        <v>3599</v>
      </c>
      <c r="B572" s="10" t="s">
        <v>3648</v>
      </c>
      <c r="C572" s="10">
        <v>0</v>
      </c>
      <c r="D572" s="10" t="s">
        <v>91</v>
      </c>
      <c r="E572" s="10"/>
      <c r="F572" s="10"/>
      <c r="G572" s="10"/>
      <c r="H572" s="10" t="s">
        <v>52</v>
      </c>
      <c r="I572" s="10">
        <v>18</v>
      </c>
      <c r="J572" s="10" t="s">
        <v>3696</v>
      </c>
      <c r="K572" s="10" t="s">
        <v>42</v>
      </c>
      <c r="L572" s="10">
        <f>Table1[[#This Row],[ENR]]-Table1[[#This Row],[CREDIT]]</f>
        <v>-15403.259999999995</v>
      </c>
      <c r="M572" s="36">
        <v>130000</v>
      </c>
      <c r="N572" s="26">
        <v>114596.74</v>
      </c>
      <c r="O572" s="38">
        <v>23750.74</v>
      </c>
      <c r="P572" s="25">
        <v>90846</v>
      </c>
      <c r="Q572" s="25">
        <v>80250.52</v>
      </c>
      <c r="R572" s="10">
        <v>29100</v>
      </c>
      <c r="S572" s="39">
        <v>13673.96</v>
      </c>
      <c r="T572" s="10" t="s">
        <v>44</v>
      </c>
      <c r="U572" s="10" t="s">
        <v>45</v>
      </c>
      <c r="V572" s="10">
        <v>0</v>
      </c>
      <c r="W572" s="25">
        <f>Table1[[#This Row],[STAB]]-Table1[[#This Row],[AMOUNT]]</f>
        <v>13673.96</v>
      </c>
      <c r="X572" s="10">
        <v>0</v>
      </c>
      <c r="Y572" s="10" t="s">
        <v>79</v>
      </c>
      <c r="Z572" s="10">
        <v>0</v>
      </c>
      <c r="AA572" s="10" t="s">
        <v>162</v>
      </c>
      <c r="AB572" s="36" t="s">
        <v>734</v>
      </c>
      <c r="AC572" s="10"/>
      <c r="AD572" s="9" t="s">
        <v>3744</v>
      </c>
      <c r="AE572" s="10" t="s">
        <v>3792</v>
      </c>
      <c r="AF572" s="10" t="s">
        <v>498</v>
      </c>
      <c r="AG572" s="10" t="s">
        <v>53</v>
      </c>
      <c r="AH572" s="10" t="s">
        <v>90</v>
      </c>
      <c r="AI572" s="10" t="s">
        <v>162</v>
      </c>
      <c r="AJ572" s="10">
        <v>801772794</v>
      </c>
      <c r="AK572" s="10" t="s">
        <v>361</v>
      </c>
      <c r="AL572" s="10"/>
      <c r="AM572" s="10"/>
      <c r="AN572" s="11" t="s">
        <v>390</v>
      </c>
      <c r="AO572" s="10" t="s">
        <v>398</v>
      </c>
      <c r="AP572" s="10" t="s">
        <v>6409</v>
      </c>
      <c r="AQ572" s="10" t="s">
        <v>6399</v>
      </c>
      <c r="AR572" s="2">
        <v>45473</v>
      </c>
      <c r="AS572" s="10">
        <v>38800.51</v>
      </c>
      <c r="AT572" s="10" t="s">
        <v>47</v>
      </c>
      <c r="AU572" s="10" t="s">
        <v>3266</v>
      </c>
      <c r="AV572" s="36" t="s">
        <v>3842</v>
      </c>
      <c r="AW572" s="1">
        <v>46209</v>
      </c>
    </row>
    <row r="573" spans="1:49" x14ac:dyDescent="0.25">
      <c r="A573" s="9" t="s">
        <v>3600</v>
      </c>
      <c r="B573" s="10" t="s">
        <v>3649</v>
      </c>
      <c r="C573" s="10">
        <v>0</v>
      </c>
      <c r="D573" s="10" t="s">
        <v>91</v>
      </c>
      <c r="E573" s="10"/>
      <c r="F573" s="10"/>
      <c r="G573" s="10"/>
      <c r="H573" s="10" t="s">
        <v>52</v>
      </c>
      <c r="I573" s="10">
        <v>18</v>
      </c>
      <c r="J573" s="10" t="s">
        <v>3697</v>
      </c>
      <c r="K573" s="10" t="s">
        <v>42</v>
      </c>
      <c r="L573" s="10">
        <f>Table1[[#This Row],[ENR]]-Table1[[#This Row],[CREDIT]]</f>
        <v>12830.25</v>
      </c>
      <c r="M573" s="36">
        <v>100000</v>
      </c>
      <c r="N573" s="26">
        <v>112830.25</v>
      </c>
      <c r="O573" s="38" t="s">
        <v>43</v>
      </c>
      <c r="P573" s="25">
        <v>112830.25</v>
      </c>
      <c r="Q573" s="25">
        <v>99983</v>
      </c>
      <c r="R573" s="10">
        <v>34480</v>
      </c>
      <c r="S573" s="39">
        <v>17750</v>
      </c>
      <c r="T573" s="10" t="s">
        <v>44</v>
      </c>
      <c r="U573" s="10" t="s">
        <v>45</v>
      </c>
      <c r="V573" s="10">
        <v>0</v>
      </c>
      <c r="W573" s="25">
        <f>Table1[[#This Row],[STAB]]-Table1[[#This Row],[AMOUNT]]</f>
        <v>17750</v>
      </c>
      <c r="X573" s="10">
        <v>0</v>
      </c>
      <c r="Y573" s="10" t="s">
        <v>79</v>
      </c>
      <c r="Z573" s="10">
        <v>0</v>
      </c>
      <c r="AA573" s="10" t="s">
        <v>162</v>
      </c>
      <c r="AB573" s="36" t="s">
        <v>736</v>
      </c>
      <c r="AC573" s="10"/>
      <c r="AD573" s="9" t="s">
        <v>3745</v>
      </c>
      <c r="AE573" s="10" t="s">
        <v>3793</v>
      </c>
      <c r="AF573" s="10" t="s">
        <v>273</v>
      </c>
      <c r="AG573" s="10" t="s">
        <v>323</v>
      </c>
      <c r="AH573" s="10" t="s">
        <v>4528</v>
      </c>
      <c r="AI573" s="10" t="s">
        <v>363</v>
      </c>
      <c r="AJ573" s="10">
        <v>802913252</v>
      </c>
      <c r="AK573" s="10" t="s">
        <v>104</v>
      </c>
      <c r="AL573" s="10"/>
      <c r="AM573" s="10"/>
      <c r="AN573" s="11" t="s">
        <v>46</v>
      </c>
      <c r="AO573" s="10"/>
      <c r="AP573" s="10"/>
      <c r="AQ573" s="10"/>
      <c r="AR573" s="2">
        <v>45863</v>
      </c>
      <c r="AS573" s="10">
        <v>56200</v>
      </c>
      <c r="AT573" s="10" t="s">
        <v>47</v>
      </c>
      <c r="AU573" s="10" t="s">
        <v>3266</v>
      </c>
      <c r="AV573" s="36" t="s">
        <v>3843</v>
      </c>
      <c r="AW573" s="1">
        <v>46209</v>
      </c>
    </row>
    <row r="574" spans="1:49" x14ac:dyDescent="0.25">
      <c r="A574" s="9" t="s">
        <v>3634</v>
      </c>
      <c r="B574" s="10" t="s">
        <v>3682</v>
      </c>
      <c r="C574" s="10">
        <v>0</v>
      </c>
      <c r="D574" s="10" t="s">
        <v>91</v>
      </c>
      <c r="E574" s="10"/>
      <c r="F574" s="10"/>
      <c r="G574" s="10"/>
      <c r="H574" s="10" t="s">
        <v>52</v>
      </c>
      <c r="I574" s="10">
        <v>18</v>
      </c>
      <c r="J574" s="10" t="s">
        <v>3730</v>
      </c>
      <c r="K574" s="10" t="s">
        <v>42</v>
      </c>
      <c r="L574" s="10">
        <f>Table1[[#This Row],[ENR]]-Table1[[#This Row],[CREDIT]]</f>
        <v>12398.210000000006</v>
      </c>
      <c r="M574" s="36">
        <v>100000</v>
      </c>
      <c r="N574" s="26">
        <v>112398.21</v>
      </c>
      <c r="O574" s="38" t="s">
        <v>43</v>
      </c>
      <c r="P574" s="25">
        <v>112398.21</v>
      </c>
      <c r="Q574" s="25">
        <v>98300</v>
      </c>
      <c r="R574" s="10">
        <v>35180</v>
      </c>
      <c r="S574" s="39">
        <v>18680</v>
      </c>
      <c r="T574" s="10" t="s">
        <v>44</v>
      </c>
      <c r="U574" s="10" t="s">
        <v>45</v>
      </c>
      <c r="V574" s="10">
        <v>0</v>
      </c>
      <c r="W574" s="25">
        <f>Table1[[#This Row],[STAB]]-Table1[[#This Row],[AMOUNT]]</f>
        <v>18680</v>
      </c>
      <c r="X574" s="10">
        <v>0</v>
      </c>
      <c r="Y574" s="10" t="s">
        <v>79</v>
      </c>
      <c r="Z574" s="10">
        <v>0</v>
      </c>
      <c r="AA574" s="10" t="s">
        <v>162</v>
      </c>
      <c r="AB574" s="10" t="s">
        <v>735</v>
      </c>
      <c r="AC574" s="10"/>
      <c r="AD574" s="9" t="s">
        <v>3778</v>
      </c>
      <c r="AE574" s="10" t="s">
        <v>3826</v>
      </c>
      <c r="AF574" s="10" t="s">
        <v>146</v>
      </c>
      <c r="AG574" s="10" t="s">
        <v>54</v>
      </c>
      <c r="AH574" s="10" t="s">
        <v>4529</v>
      </c>
      <c r="AI574" s="10" t="s">
        <v>365</v>
      </c>
      <c r="AJ574" s="10">
        <v>802824019</v>
      </c>
      <c r="AK574" s="10" t="s">
        <v>360</v>
      </c>
      <c r="AL574" s="10"/>
      <c r="AM574" s="10"/>
      <c r="AN574" s="11" t="s">
        <v>46</v>
      </c>
      <c r="AO574" s="10"/>
      <c r="AP574" s="10"/>
      <c r="AQ574" s="10"/>
      <c r="AR574" s="2">
        <v>45479</v>
      </c>
      <c r="AS574" s="10">
        <v>99274.65</v>
      </c>
      <c r="AT574" s="10" t="s">
        <v>294</v>
      </c>
      <c r="AU574" s="10" t="s">
        <v>3266</v>
      </c>
      <c r="AV574" s="36" t="s">
        <v>3877</v>
      </c>
      <c r="AW574" s="1">
        <v>46209</v>
      </c>
    </row>
    <row r="575" spans="1:49" x14ac:dyDescent="0.25">
      <c r="A575" s="9" t="s">
        <v>3593</v>
      </c>
      <c r="B575" s="10" t="s">
        <v>3642</v>
      </c>
      <c r="C575" s="10">
        <v>0</v>
      </c>
      <c r="D575" s="10" t="s">
        <v>91</v>
      </c>
      <c r="E575" s="10"/>
      <c r="F575" s="10"/>
      <c r="G575" s="10"/>
      <c r="H575" s="10" t="s">
        <v>52</v>
      </c>
      <c r="I575" s="10">
        <v>18</v>
      </c>
      <c r="J575" s="10" t="s">
        <v>3690</v>
      </c>
      <c r="K575" s="10" t="s">
        <v>42</v>
      </c>
      <c r="L575" s="10">
        <f>Table1[[#This Row],[ENR]]-Table1[[#This Row],[CREDIT]]</f>
        <v>8084.3099999999977</v>
      </c>
      <c r="M575" s="36">
        <v>100000</v>
      </c>
      <c r="N575" s="26">
        <v>108084.31</v>
      </c>
      <c r="O575" s="38" t="s">
        <v>43</v>
      </c>
      <c r="P575" s="25">
        <v>108084.31</v>
      </c>
      <c r="Q575" s="25">
        <v>97710.11</v>
      </c>
      <c r="R575" s="10">
        <v>39730</v>
      </c>
      <c r="S575" s="39">
        <v>13440</v>
      </c>
      <c r="T575" s="10" t="s">
        <v>44</v>
      </c>
      <c r="U575" s="10" t="s">
        <v>45</v>
      </c>
      <c r="V575" s="10">
        <v>0</v>
      </c>
      <c r="W575" s="25">
        <f>Table1[[#This Row],[STAB]]-Table1[[#This Row],[AMOUNT]]</f>
        <v>13440</v>
      </c>
      <c r="X575" s="10">
        <v>0</v>
      </c>
      <c r="Y575" s="10" t="s">
        <v>79</v>
      </c>
      <c r="Z575" s="10">
        <v>0</v>
      </c>
      <c r="AA575" s="10" t="s">
        <v>162</v>
      </c>
      <c r="AB575" s="36" t="s">
        <v>733</v>
      </c>
      <c r="AC575" s="10"/>
      <c r="AD575" s="9" t="s">
        <v>3738</v>
      </c>
      <c r="AE575" s="10" t="s">
        <v>3786</v>
      </c>
      <c r="AF575" s="10" t="s">
        <v>686</v>
      </c>
      <c r="AG575" s="10" t="s">
        <v>324</v>
      </c>
      <c r="AH575" s="10" t="s">
        <v>722</v>
      </c>
      <c r="AI575" s="10" t="s">
        <v>370</v>
      </c>
      <c r="AJ575" s="10">
        <v>801448854</v>
      </c>
      <c r="AK575" s="10" t="s">
        <v>105</v>
      </c>
      <c r="AL575" s="10"/>
      <c r="AM575" s="10"/>
      <c r="AN575" s="11" t="s">
        <v>390</v>
      </c>
      <c r="AO575" s="10" t="s">
        <v>394</v>
      </c>
      <c r="AP575" s="10" t="s">
        <v>6410</v>
      </c>
      <c r="AQ575" s="10" t="s">
        <v>6399</v>
      </c>
      <c r="AR575" s="2">
        <v>46103</v>
      </c>
      <c r="AS575" s="10">
        <v>10000</v>
      </c>
      <c r="AT575" s="10" t="s">
        <v>47</v>
      </c>
      <c r="AU575" s="10" t="s">
        <v>3266</v>
      </c>
      <c r="AV575" s="36" t="s">
        <v>3836</v>
      </c>
      <c r="AW575" s="1">
        <v>46209</v>
      </c>
    </row>
    <row r="576" spans="1:49" x14ac:dyDescent="0.25">
      <c r="A576" s="9" t="s">
        <v>3598</v>
      </c>
      <c r="B576" s="10" t="s">
        <v>3647</v>
      </c>
      <c r="C576" s="10">
        <v>0</v>
      </c>
      <c r="D576" s="10" t="s">
        <v>95</v>
      </c>
      <c r="E576" s="10"/>
      <c r="F576" s="10" t="s">
        <v>112</v>
      </c>
      <c r="G576" s="10" t="s">
        <v>4973</v>
      </c>
      <c r="H576" s="10" t="s">
        <v>52</v>
      </c>
      <c r="I576" s="10">
        <v>18</v>
      </c>
      <c r="J576" s="10" t="s">
        <v>3695</v>
      </c>
      <c r="K576" s="10" t="s">
        <v>42</v>
      </c>
      <c r="L576" s="10">
        <f>Table1[[#This Row],[ENR]]-Table1[[#This Row],[CREDIT]]</f>
        <v>87548.41</v>
      </c>
      <c r="M576" s="36">
        <v>20000</v>
      </c>
      <c r="N576" s="26">
        <v>107548.41</v>
      </c>
      <c r="O576" s="38" t="s">
        <v>43</v>
      </c>
      <c r="P576" s="25">
        <v>107548.41</v>
      </c>
      <c r="Q576" s="25">
        <v>99364.86</v>
      </c>
      <c r="R576" s="10">
        <v>97280</v>
      </c>
      <c r="S576" s="39">
        <v>80370</v>
      </c>
      <c r="T576" s="10" t="s">
        <v>44</v>
      </c>
      <c r="U576" s="10" t="s">
        <v>45</v>
      </c>
      <c r="V576" s="10">
        <v>0</v>
      </c>
      <c r="W576" s="25">
        <f>Table1[[#This Row],[STAB]]-Table1[[#This Row],[AMOUNT]]</f>
        <v>80370</v>
      </c>
      <c r="X576" s="10">
        <v>0</v>
      </c>
      <c r="Y576" s="10" t="s">
        <v>79</v>
      </c>
      <c r="Z576" s="10">
        <v>0</v>
      </c>
      <c r="AA576" s="10" t="s">
        <v>162</v>
      </c>
      <c r="AB576" s="36" t="s">
        <v>734</v>
      </c>
      <c r="AC576" s="10"/>
      <c r="AD576" s="9" t="s">
        <v>3743</v>
      </c>
      <c r="AE576" s="10" t="s">
        <v>3791</v>
      </c>
      <c r="AF576" s="10" t="s">
        <v>687</v>
      </c>
      <c r="AG576" s="10" t="s">
        <v>53</v>
      </c>
      <c r="AH576" s="10" t="s">
        <v>83</v>
      </c>
      <c r="AI576" s="10" t="s">
        <v>728</v>
      </c>
      <c r="AJ576" s="10">
        <v>802349062</v>
      </c>
      <c r="AK576" s="10" t="s">
        <v>104</v>
      </c>
      <c r="AL576" s="10"/>
      <c r="AM576" s="10"/>
      <c r="AN576" s="11" t="s">
        <v>46</v>
      </c>
      <c r="AO576" s="10"/>
      <c r="AP576" s="10"/>
      <c r="AQ576" s="10"/>
      <c r="AR576" s="2">
        <v>45875</v>
      </c>
      <c r="AS576" s="10">
        <v>161000</v>
      </c>
      <c r="AT576" s="10" t="s">
        <v>47</v>
      </c>
      <c r="AU576" s="10" t="s">
        <v>3266</v>
      </c>
      <c r="AV576" s="36" t="s">
        <v>3841</v>
      </c>
      <c r="AW576" s="1">
        <v>46209</v>
      </c>
    </row>
    <row r="577" spans="1:49" x14ac:dyDescent="0.25">
      <c r="A577" s="9" t="s">
        <v>3633</v>
      </c>
      <c r="B577" s="10" t="s">
        <v>3681</v>
      </c>
      <c r="C577" s="10">
        <v>0</v>
      </c>
      <c r="D577" s="10" t="s">
        <v>91</v>
      </c>
      <c r="E577" s="10"/>
      <c r="F577" s="10"/>
      <c r="G577" s="10"/>
      <c r="H577" s="10" t="s">
        <v>52</v>
      </c>
      <c r="I577" s="10">
        <v>18</v>
      </c>
      <c r="J577" s="10" t="s">
        <v>3729</v>
      </c>
      <c r="K577" s="10" t="s">
        <v>42</v>
      </c>
      <c r="L577" s="10">
        <f>Table1[[#This Row],[ENR]]-Table1[[#This Row],[CREDIT]]</f>
        <v>4690.0200000000041</v>
      </c>
      <c r="M577" s="36">
        <v>100000</v>
      </c>
      <c r="N577" s="26">
        <v>104690.02</v>
      </c>
      <c r="O577" s="38" t="s">
        <v>43</v>
      </c>
      <c r="P577" s="25">
        <v>104690.02</v>
      </c>
      <c r="Q577" s="25">
        <v>86481.91</v>
      </c>
      <c r="R577" s="10">
        <v>31100</v>
      </c>
      <c r="S577" s="39">
        <v>12700</v>
      </c>
      <c r="T577" s="10" t="s">
        <v>44</v>
      </c>
      <c r="U577" s="10" t="s">
        <v>45</v>
      </c>
      <c r="V577" s="10">
        <v>0</v>
      </c>
      <c r="W577" s="25">
        <f>Table1[[#This Row],[STAB]]-Table1[[#This Row],[AMOUNT]]</f>
        <v>12700</v>
      </c>
      <c r="X577" s="10">
        <v>0</v>
      </c>
      <c r="Y577" s="10" t="s">
        <v>79</v>
      </c>
      <c r="Z577" s="10">
        <v>0</v>
      </c>
      <c r="AA577" s="10" t="s">
        <v>162</v>
      </c>
      <c r="AB577" s="10" t="s">
        <v>735</v>
      </c>
      <c r="AC577" s="10"/>
      <c r="AD577" s="9" t="s">
        <v>3777</v>
      </c>
      <c r="AE577" s="10" t="s">
        <v>3825</v>
      </c>
      <c r="AF577" s="10" t="s">
        <v>1319</v>
      </c>
      <c r="AG577" s="10" t="s">
        <v>54</v>
      </c>
      <c r="AH577" s="10" t="s">
        <v>93</v>
      </c>
      <c r="AI577" s="10" t="s">
        <v>364</v>
      </c>
      <c r="AJ577" s="10">
        <v>802663344</v>
      </c>
      <c r="AK577" s="10" t="s">
        <v>105</v>
      </c>
      <c r="AL577" s="10"/>
      <c r="AM577" s="10"/>
      <c r="AN577" s="11" t="s">
        <v>390</v>
      </c>
      <c r="AO577" s="10" t="s">
        <v>392</v>
      </c>
      <c r="AP577" s="10" t="s">
        <v>4938</v>
      </c>
      <c r="AQ577" s="10" t="s">
        <v>4923</v>
      </c>
      <c r="AR577" s="2" t="s">
        <v>43</v>
      </c>
      <c r="AS577" s="10">
        <v>0</v>
      </c>
      <c r="AT577" s="10" t="s">
        <v>689</v>
      </c>
      <c r="AU577" s="10" t="s">
        <v>3266</v>
      </c>
      <c r="AV577" s="36" t="s">
        <v>3876</v>
      </c>
      <c r="AW577" s="1">
        <v>46209</v>
      </c>
    </row>
    <row r="578" spans="1:49" x14ac:dyDescent="0.25">
      <c r="A578" s="9" t="s">
        <v>3596</v>
      </c>
      <c r="B578" s="10" t="s">
        <v>3645</v>
      </c>
      <c r="C578" s="10">
        <v>0</v>
      </c>
      <c r="D578" s="10" t="s">
        <v>91</v>
      </c>
      <c r="E578" s="10"/>
      <c r="F578" s="10"/>
      <c r="G578" s="10"/>
      <c r="H578" s="10" t="s">
        <v>52</v>
      </c>
      <c r="I578" s="10">
        <v>18</v>
      </c>
      <c r="J578" s="10" t="s">
        <v>3693</v>
      </c>
      <c r="K578" s="10" t="s">
        <v>42</v>
      </c>
      <c r="L578" s="10">
        <f>Table1[[#This Row],[ENR]]-Table1[[#This Row],[CREDIT]]</f>
        <v>4392.2200000000012</v>
      </c>
      <c r="M578" s="36">
        <v>100000</v>
      </c>
      <c r="N578" s="26">
        <v>104392.22</v>
      </c>
      <c r="O578" s="38">
        <v>48930.7</v>
      </c>
      <c r="P578" s="25">
        <v>55461.52</v>
      </c>
      <c r="Q578" s="25">
        <v>45943.13</v>
      </c>
      <c r="R578" s="10">
        <v>21930</v>
      </c>
      <c r="S578" s="39">
        <v>11290</v>
      </c>
      <c r="T578" s="10" t="s">
        <v>44</v>
      </c>
      <c r="U578" s="10" t="s">
        <v>45</v>
      </c>
      <c r="V578" s="10">
        <v>0</v>
      </c>
      <c r="W578" s="25">
        <f>Table1[[#This Row],[STAB]]-Table1[[#This Row],[AMOUNT]]</f>
        <v>11290</v>
      </c>
      <c r="X578" s="10">
        <v>0</v>
      </c>
      <c r="Y578" s="10" t="s">
        <v>79</v>
      </c>
      <c r="Z578" s="10">
        <v>0</v>
      </c>
      <c r="AA578" s="10" t="s">
        <v>162</v>
      </c>
      <c r="AB578" s="36" t="s">
        <v>733</v>
      </c>
      <c r="AC578" s="10"/>
      <c r="AD578" s="9" t="s">
        <v>3741</v>
      </c>
      <c r="AE578" s="10" t="s">
        <v>3789</v>
      </c>
      <c r="AF578" s="10" t="s">
        <v>146</v>
      </c>
      <c r="AG578" s="10" t="s">
        <v>54</v>
      </c>
      <c r="AH578" s="10" t="s">
        <v>4529</v>
      </c>
      <c r="AI578" s="10" t="s">
        <v>365</v>
      </c>
      <c r="AJ578" s="10">
        <v>802824019</v>
      </c>
      <c r="AK578" s="10" t="s">
        <v>360</v>
      </c>
      <c r="AL578" s="10"/>
      <c r="AM578" s="10"/>
      <c r="AN578" s="11" t="s">
        <v>390</v>
      </c>
      <c r="AO578" s="10" t="s">
        <v>394</v>
      </c>
      <c r="AP578" s="10" t="s">
        <v>5599</v>
      </c>
      <c r="AQ578" s="10" t="s">
        <v>4931</v>
      </c>
      <c r="AR578" s="2">
        <v>46028</v>
      </c>
      <c r="AS578" s="10">
        <v>19940.09</v>
      </c>
      <c r="AT578" s="10" t="s">
        <v>47</v>
      </c>
      <c r="AU578" s="10" t="s">
        <v>3266</v>
      </c>
      <c r="AV578" s="36" t="s">
        <v>3839</v>
      </c>
      <c r="AW578" s="1">
        <v>46209</v>
      </c>
    </row>
    <row r="579" spans="1:49" x14ac:dyDescent="0.25">
      <c r="A579" s="9" t="s">
        <v>3603</v>
      </c>
      <c r="B579" s="10" t="s">
        <v>3638</v>
      </c>
      <c r="C579" s="10">
        <v>0</v>
      </c>
      <c r="D579" s="10" t="s">
        <v>91</v>
      </c>
      <c r="E579" s="10"/>
      <c r="F579" s="10"/>
      <c r="G579" s="10"/>
      <c r="H579" s="10" t="s">
        <v>52</v>
      </c>
      <c r="I579" s="10">
        <v>18</v>
      </c>
      <c r="J579" s="10" t="s">
        <v>3686</v>
      </c>
      <c r="K579" s="10" t="s">
        <v>42</v>
      </c>
      <c r="L579" s="10">
        <f>Table1[[#This Row],[ENR]]-Table1[[#This Row],[CREDIT]]</f>
        <v>-71918.41</v>
      </c>
      <c r="M579" s="36">
        <v>160000</v>
      </c>
      <c r="N579" s="26">
        <v>88081.59</v>
      </c>
      <c r="O579" s="38" t="s">
        <v>43</v>
      </c>
      <c r="P579" s="25">
        <v>88081.59</v>
      </c>
      <c r="Q579" s="25">
        <v>77441.22</v>
      </c>
      <c r="R579" s="10">
        <v>15200</v>
      </c>
      <c r="S579" s="39">
        <v>6180</v>
      </c>
      <c r="T579" s="10" t="s">
        <v>57</v>
      </c>
      <c r="U579" s="10" t="s">
        <v>14</v>
      </c>
      <c r="V579" s="10">
        <v>6180</v>
      </c>
      <c r="W579" s="25">
        <f>Table1[[#This Row],[STAB]]-Table1[[#This Row],[AMOUNT]]</f>
        <v>0</v>
      </c>
      <c r="X579" s="10" t="s">
        <v>4976</v>
      </c>
      <c r="Y579" s="10" t="s">
        <v>402</v>
      </c>
      <c r="Z579" s="10" t="s">
        <v>403</v>
      </c>
      <c r="AA579" s="10" t="s">
        <v>162</v>
      </c>
      <c r="AB579" s="36" t="s">
        <v>733</v>
      </c>
      <c r="AC579" s="10"/>
      <c r="AD579" s="9" t="s">
        <v>3734</v>
      </c>
      <c r="AE579" s="10" t="s">
        <v>3782</v>
      </c>
      <c r="AF579" s="10" t="s">
        <v>85</v>
      </c>
      <c r="AG579" s="10" t="s">
        <v>54</v>
      </c>
      <c r="AH579" s="10" t="s">
        <v>89</v>
      </c>
      <c r="AI579" s="10" t="s">
        <v>106</v>
      </c>
      <c r="AJ579" s="10">
        <v>802370852</v>
      </c>
      <c r="AK579" s="10" t="s">
        <v>105</v>
      </c>
      <c r="AL579" s="10"/>
      <c r="AM579" s="10"/>
      <c r="AN579" s="11" t="s">
        <v>390</v>
      </c>
      <c r="AO579" s="10" t="s">
        <v>398</v>
      </c>
      <c r="AP579" s="10" t="s">
        <v>6316</v>
      </c>
      <c r="AQ579" s="10" t="s">
        <v>4937</v>
      </c>
      <c r="AR579" s="2">
        <v>45533</v>
      </c>
      <c r="AS579" s="10">
        <v>4103</v>
      </c>
      <c r="AT579" s="10" t="s">
        <v>47</v>
      </c>
      <c r="AU579" s="10" t="s">
        <v>3266</v>
      </c>
      <c r="AV579" s="36" t="s">
        <v>3846</v>
      </c>
      <c r="AW579" s="1">
        <v>46209</v>
      </c>
    </row>
    <row r="580" spans="1:49" x14ac:dyDescent="0.25">
      <c r="A580" s="9" t="s">
        <v>3589</v>
      </c>
      <c r="B580" s="10" t="s">
        <v>3638</v>
      </c>
      <c r="C580" s="10">
        <v>0</v>
      </c>
      <c r="D580" s="10" t="s">
        <v>91</v>
      </c>
      <c r="E580" s="10"/>
      <c r="F580" s="10"/>
      <c r="G580" s="10"/>
      <c r="H580" s="10" t="s">
        <v>52</v>
      </c>
      <c r="I580" s="10">
        <v>18</v>
      </c>
      <c r="J580" s="10" t="s">
        <v>3686</v>
      </c>
      <c r="K580" s="10" t="s">
        <v>42</v>
      </c>
      <c r="L580" s="10">
        <f>Table1[[#This Row],[ENR]]-Table1[[#This Row],[CREDIT]]</f>
        <v>-71950.490000000005</v>
      </c>
      <c r="M580" s="36">
        <v>160000</v>
      </c>
      <c r="N580" s="26">
        <v>88049.51</v>
      </c>
      <c r="O580" s="38" t="s">
        <v>43</v>
      </c>
      <c r="P580" s="25">
        <v>88049.51</v>
      </c>
      <c r="Q580" s="25">
        <v>74049.179999999993</v>
      </c>
      <c r="R580" s="10">
        <v>18290</v>
      </c>
      <c r="S580" s="39">
        <v>9480</v>
      </c>
      <c r="T580" s="10" t="s">
        <v>57</v>
      </c>
      <c r="U580" s="10" t="s">
        <v>14</v>
      </c>
      <c r="V580" s="10">
        <v>9480</v>
      </c>
      <c r="W580" s="25">
        <f>Table1[[#This Row],[STAB]]-Table1[[#This Row],[AMOUNT]]</f>
        <v>0</v>
      </c>
      <c r="X580" s="10" t="s">
        <v>4976</v>
      </c>
      <c r="Y580" s="10" t="s">
        <v>402</v>
      </c>
      <c r="Z580" s="10" t="s">
        <v>403</v>
      </c>
      <c r="AA580" s="10" t="s">
        <v>162</v>
      </c>
      <c r="AB580" s="10" t="s">
        <v>735</v>
      </c>
      <c r="AC580" s="10"/>
      <c r="AD580" s="9" t="s">
        <v>3734</v>
      </c>
      <c r="AE580" s="10" t="s">
        <v>3782</v>
      </c>
      <c r="AF580" s="10" t="s">
        <v>85</v>
      </c>
      <c r="AG580" s="10" t="s">
        <v>54</v>
      </c>
      <c r="AH580" s="10" t="s">
        <v>89</v>
      </c>
      <c r="AI580" s="10" t="s">
        <v>106</v>
      </c>
      <c r="AJ580" s="10">
        <v>802370852</v>
      </c>
      <c r="AK580" s="10" t="s">
        <v>105</v>
      </c>
      <c r="AL580" s="10"/>
      <c r="AM580" s="10"/>
      <c r="AN580" s="11" t="s">
        <v>390</v>
      </c>
      <c r="AO580" s="10"/>
      <c r="AP580" s="10"/>
      <c r="AQ580" s="10"/>
      <c r="AR580" s="2">
        <v>45962</v>
      </c>
      <c r="AS580" s="10">
        <v>19000</v>
      </c>
      <c r="AT580" s="10" t="s">
        <v>689</v>
      </c>
      <c r="AU580" s="10" t="s">
        <v>3266</v>
      </c>
      <c r="AV580" s="36" t="s">
        <v>3832</v>
      </c>
      <c r="AW580" s="1">
        <v>46209</v>
      </c>
    </row>
    <row r="581" spans="1:49" x14ac:dyDescent="0.25">
      <c r="A581" s="9" t="s">
        <v>3625</v>
      </c>
      <c r="B581" s="10" t="s">
        <v>3673</v>
      </c>
      <c r="C581" s="10">
        <v>0</v>
      </c>
      <c r="D581" s="10" t="s">
        <v>91</v>
      </c>
      <c r="E581" s="10"/>
      <c r="F581" s="10"/>
      <c r="G581" s="10"/>
      <c r="H581" s="10" t="s">
        <v>52</v>
      </c>
      <c r="I581" s="10">
        <v>18</v>
      </c>
      <c r="J581" s="10" t="s">
        <v>3721</v>
      </c>
      <c r="K581" s="10" t="s">
        <v>42</v>
      </c>
      <c r="L581" s="10">
        <f>Table1[[#This Row],[ENR]]-Table1[[#This Row],[CREDIT]]</f>
        <v>-529.86000000000058</v>
      </c>
      <c r="M581" s="36">
        <v>85000</v>
      </c>
      <c r="N581" s="26">
        <v>84470.14</v>
      </c>
      <c r="O581" s="38">
        <v>14313.44</v>
      </c>
      <c r="P581" s="25">
        <v>70156.7</v>
      </c>
      <c r="Q581" s="25">
        <v>64759.02</v>
      </c>
      <c r="R581" s="10">
        <v>17980</v>
      </c>
      <c r="S581" s="39">
        <v>5933.44</v>
      </c>
      <c r="T581" s="10" t="s">
        <v>57</v>
      </c>
      <c r="U581" s="10" t="s">
        <v>14</v>
      </c>
      <c r="V581" s="10">
        <v>5933.44</v>
      </c>
      <c r="W581" s="25">
        <f>Table1[[#This Row],[STAB]]-Table1[[#This Row],[AMOUNT]]</f>
        <v>0</v>
      </c>
      <c r="X581" s="10" t="s">
        <v>4937</v>
      </c>
      <c r="Y581" s="10" t="s">
        <v>402</v>
      </c>
      <c r="Z581" s="10" t="s">
        <v>1968</v>
      </c>
      <c r="AA581" s="10" t="s">
        <v>162</v>
      </c>
      <c r="AB581" s="36" t="s">
        <v>734</v>
      </c>
      <c r="AC581" s="10"/>
      <c r="AD581" s="9" t="s">
        <v>3769</v>
      </c>
      <c r="AE581" s="10" t="s">
        <v>3817</v>
      </c>
      <c r="AF581" s="10" t="s">
        <v>278</v>
      </c>
      <c r="AG581" s="10" t="s">
        <v>54</v>
      </c>
      <c r="AH581" s="10" t="s">
        <v>723</v>
      </c>
      <c r="AI581" s="10" t="s">
        <v>369</v>
      </c>
      <c r="AJ581" s="10">
        <v>802823180</v>
      </c>
      <c r="AK581" s="10" t="s">
        <v>105</v>
      </c>
      <c r="AL581" s="10"/>
      <c r="AM581" s="10"/>
      <c r="AN581" s="11" t="s">
        <v>390</v>
      </c>
      <c r="AO581" s="10"/>
      <c r="AP581" s="10"/>
      <c r="AQ581" s="10"/>
      <c r="AR581" s="2">
        <v>45856</v>
      </c>
      <c r="AS581" s="10">
        <v>9780</v>
      </c>
      <c r="AT581" s="10" t="s">
        <v>294</v>
      </c>
      <c r="AU581" s="10" t="s">
        <v>3266</v>
      </c>
      <c r="AV581" s="36" t="s">
        <v>3868</v>
      </c>
      <c r="AW581" s="1">
        <v>46209</v>
      </c>
    </row>
    <row r="582" spans="1:49" x14ac:dyDescent="0.25">
      <c r="A582" s="9" t="s">
        <v>3632</v>
      </c>
      <c r="B582" s="10" t="s">
        <v>3680</v>
      </c>
      <c r="C582" s="10">
        <v>0</v>
      </c>
      <c r="D582" s="10" t="s">
        <v>91</v>
      </c>
      <c r="E582" s="10"/>
      <c r="F582" s="10"/>
      <c r="G582" s="10"/>
      <c r="H582" s="10" t="s">
        <v>52</v>
      </c>
      <c r="I582" s="10">
        <v>18</v>
      </c>
      <c r="J582" s="10" t="s">
        <v>3728</v>
      </c>
      <c r="K582" s="10" t="s">
        <v>42</v>
      </c>
      <c r="L582" s="10">
        <f>Table1[[#This Row],[ENR]]-Table1[[#This Row],[CREDIT]]</f>
        <v>-49848.130000000005</v>
      </c>
      <c r="M582" s="36">
        <v>130000</v>
      </c>
      <c r="N582" s="26">
        <v>80151.87</v>
      </c>
      <c r="O582" s="38" t="s">
        <v>43</v>
      </c>
      <c r="P582" s="25">
        <v>80151.87</v>
      </c>
      <c r="Q582" s="25">
        <v>71837.05</v>
      </c>
      <c r="R582" s="10">
        <v>15240</v>
      </c>
      <c r="S582" s="39">
        <v>6930</v>
      </c>
      <c r="T582" s="10" t="s">
        <v>57</v>
      </c>
      <c r="U582" s="10" t="s">
        <v>13</v>
      </c>
      <c r="V582" s="10">
        <v>80151.87</v>
      </c>
      <c r="W582" s="25">
        <f>Table1[[#This Row],[STAB]]-Table1[[#This Row],[AMOUNT]]</f>
        <v>-73221.87</v>
      </c>
      <c r="X582" s="10" t="s">
        <v>4993</v>
      </c>
      <c r="Y582" s="10" t="s">
        <v>402</v>
      </c>
      <c r="Z582" s="10" t="s">
        <v>403</v>
      </c>
      <c r="AA582" s="10" t="s">
        <v>162</v>
      </c>
      <c r="AB582" s="10" t="s">
        <v>735</v>
      </c>
      <c r="AC582" s="10"/>
      <c r="AD582" s="9" t="s">
        <v>3776</v>
      </c>
      <c r="AE582" s="10" t="s">
        <v>3824</v>
      </c>
      <c r="AF582" s="10" t="s">
        <v>276</v>
      </c>
      <c r="AG582" s="10" t="s">
        <v>324</v>
      </c>
      <c r="AH582" s="10" t="s">
        <v>354</v>
      </c>
      <c r="AI582" s="10" t="s">
        <v>367</v>
      </c>
      <c r="AJ582" s="10">
        <v>801436997</v>
      </c>
      <c r="AK582" s="10" t="s">
        <v>104</v>
      </c>
      <c r="AL582" s="10"/>
      <c r="AM582" s="10"/>
      <c r="AN582" s="11" t="s">
        <v>390</v>
      </c>
      <c r="AO582" s="10" t="s">
        <v>394</v>
      </c>
      <c r="AP582" s="10" t="s">
        <v>5012</v>
      </c>
      <c r="AQ582" s="10" t="s">
        <v>4993</v>
      </c>
      <c r="AR582" s="2">
        <v>45479</v>
      </c>
      <c r="AS582" s="10">
        <v>5949.03</v>
      </c>
      <c r="AT582" s="10" t="s">
        <v>689</v>
      </c>
      <c r="AU582" s="10" t="s">
        <v>3266</v>
      </c>
      <c r="AV582" s="36" t="s">
        <v>3875</v>
      </c>
      <c r="AW582" s="1">
        <v>46209</v>
      </c>
    </row>
    <row r="583" spans="1:49" x14ac:dyDescent="0.25">
      <c r="A583" s="9" t="s">
        <v>3635</v>
      </c>
      <c r="B583" s="10" t="s">
        <v>3683</v>
      </c>
      <c r="C583" s="10">
        <v>0</v>
      </c>
      <c r="D583" s="10" t="s">
        <v>91</v>
      </c>
      <c r="E583" s="10"/>
      <c r="F583" s="10"/>
      <c r="G583" s="10"/>
      <c r="H583" s="10" t="s">
        <v>52</v>
      </c>
      <c r="I583" s="10">
        <v>18</v>
      </c>
      <c r="J583" s="10" t="s">
        <v>3731</v>
      </c>
      <c r="K583" s="10" t="s">
        <v>42</v>
      </c>
      <c r="L583" s="10">
        <f>Table1[[#This Row],[ENR]]-Table1[[#This Row],[CREDIT]]</f>
        <v>-2880.4400000000023</v>
      </c>
      <c r="M583" s="36">
        <v>80000</v>
      </c>
      <c r="N583" s="26">
        <v>77119.56</v>
      </c>
      <c r="O583" s="38" t="s">
        <v>43</v>
      </c>
      <c r="P583" s="25">
        <v>77119.56</v>
      </c>
      <c r="Q583" s="25">
        <v>72117.39</v>
      </c>
      <c r="R583" s="10">
        <v>16720</v>
      </c>
      <c r="S583" s="39">
        <v>11470</v>
      </c>
      <c r="T583" s="10" t="s">
        <v>44</v>
      </c>
      <c r="U583" s="10" t="s">
        <v>45</v>
      </c>
      <c r="V583" s="10">
        <v>0</v>
      </c>
      <c r="W583" s="25">
        <f>Table1[[#This Row],[STAB]]-Table1[[#This Row],[AMOUNT]]</f>
        <v>11470</v>
      </c>
      <c r="X583" s="10">
        <v>0</v>
      </c>
      <c r="Y583" s="10" t="s">
        <v>79</v>
      </c>
      <c r="Z583" s="10">
        <v>0</v>
      </c>
      <c r="AA583" s="10" t="s">
        <v>162</v>
      </c>
      <c r="AB583" s="36" t="s">
        <v>736</v>
      </c>
      <c r="AC583" s="10"/>
      <c r="AD583" s="9" t="s">
        <v>3779</v>
      </c>
      <c r="AE583" s="10" t="s">
        <v>3827</v>
      </c>
      <c r="AF583" s="10" t="s">
        <v>272</v>
      </c>
      <c r="AG583" s="10" t="s">
        <v>54</v>
      </c>
      <c r="AH583" s="10" t="s">
        <v>114</v>
      </c>
      <c r="AI583" s="10" t="s">
        <v>726</v>
      </c>
      <c r="AJ583" s="10">
        <v>801772792</v>
      </c>
      <c r="AK583" s="10" t="s">
        <v>105</v>
      </c>
      <c r="AL583" s="10"/>
      <c r="AM583" s="10"/>
      <c r="AN583" s="11" t="s">
        <v>46</v>
      </c>
      <c r="AO583" s="10"/>
      <c r="AP583" s="10"/>
      <c r="AQ583" s="10"/>
      <c r="AR583" s="2">
        <v>45961</v>
      </c>
      <c r="AS583" s="10">
        <v>3990</v>
      </c>
      <c r="AT583" s="10" t="s">
        <v>294</v>
      </c>
      <c r="AU583" s="10" t="s">
        <v>3266</v>
      </c>
      <c r="AV583" s="36" t="s">
        <v>3878</v>
      </c>
      <c r="AW583" s="1">
        <v>46209</v>
      </c>
    </row>
    <row r="584" spans="1:49" x14ac:dyDescent="0.25">
      <c r="A584" s="9" t="s">
        <v>3618</v>
      </c>
      <c r="B584" s="10" t="s">
        <v>3666</v>
      </c>
      <c r="C584" s="10">
        <v>0</v>
      </c>
      <c r="D584" s="10" t="s">
        <v>91</v>
      </c>
      <c r="E584" s="10"/>
      <c r="F584" s="10"/>
      <c r="G584" s="10"/>
      <c r="H584" s="10" t="s">
        <v>52</v>
      </c>
      <c r="I584" s="10">
        <v>18</v>
      </c>
      <c r="J584" s="10" t="s">
        <v>3714</v>
      </c>
      <c r="K584" s="10" t="s">
        <v>42</v>
      </c>
      <c r="L584" s="10">
        <f>Table1[[#This Row],[ENR]]-Table1[[#This Row],[CREDIT]]</f>
        <v>6703.1000000000058</v>
      </c>
      <c r="M584" s="36">
        <v>70000</v>
      </c>
      <c r="N584" s="26">
        <v>76703.100000000006</v>
      </c>
      <c r="O584" s="38" t="s">
        <v>43</v>
      </c>
      <c r="P584" s="25">
        <v>76703.100000000006</v>
      </c>
      <c r="Q584" s="25">
        <v>68117.679999999993</v>
      </c>
      <c r="R584" s="10">
        <v>33640</v>
      </c>
      <c r="S584" s="39">
        <v>16080</v>
      </c>
      <c r="T584" s="10" t="s">
        <v>44</v>
      </c>
      <c r="U584" s="10" t="s">
        <v>45</v>
      </c>
      <c r="V584" s="10">
        <v>0</v>
      </c>
      <c r="W584" s="25">
        <f>Table1[[#This Row],[STAB]]-Table1[[#This Row],[AMOUNT]]</f>
        <v>16080</v>
      </c>
      <c r="X584" s="10">
        <v>0</v>
      </c>
      <c r="Y584" s="10" t="s">
        <v>79</v>
      </c>
      <c r="Z584" s="10">
        <v>0</v>
      </c>
      <c r="AA584" s="10" t="s">
        <v>162</v>
      </c>
      <c r="AB584" s="36" t="s">
        <v>733</v>
      </c>
      <c r="AC584" s="10"/>
      <c r="AD584" s="9" t="s">
        <v>3762</v>
      </c>
      <c r="AE584" s="10" t="s">
        <v>3810</v>
      </c>
      <c r="AF584" s="10" t="s">
        <v>272</v>
      </c>
      <c r="AG584" s="10" t="s">
        <v>54</v>
      </c>
      <c r="AH584" s="10" t="s">
        <v>114</v>
      </c>
      <c r="AI584" s="10" t="s">
        <v>726</v>
      </c>
      <c r="AJ584" s="10">
        <v>801772792</v>
      </c>
      <c r="AK584" s="10" t="s">
        <v>105</v>
      </c>
      <c r="AL584" s="10"/>
      <c r="AM584" s="10"/>
      <c r="AN584" s="11" t="s">
        <v>390</v>
      </c>
      <c r="AO584" s="10" t="s">
        <v>398</v>
      </c>
      <c r="AP584" s="10" t="s">
        <v>6236</v>
      </c>
      <c r="AQ584" s="10" t="s">
        <v>4937</v>
      </c>
      <c r="AR584" s="2">
        <v>45626</v>
      </c>
      <c r="AS584" s="10">
        <v>19400</v>
      </c>
      <c r="AT584" s="10" t="s">
        <v>96</v>
      </c>
      <c r="AU584" s="10" t="s">
        <v>3266</v>
      </c>
      <c r="AV584" s="36" t="s">
        <v>3861</v>
      </c>
      <c r="AW584" s="1">
        <v>46209</v>
      </c>
    </row>
    <row r="585" spans="1:49" x14ac:dyDescent="0.25">
      <c r="A585" s="9" t="s">
        <v>3626</v>
      </c>
      <c r="B585" s="10" t="s">
        <v>3674</v>
      </c>
      <c r="C585" s="10" t="s">
        <v>97</v>
      </c>
      <c r="D585" s="10" t="s">
        <v>91</v>
      </c>
      <c r="E585" s="10"/>
      <c r="F585" s="10"/>
      <c r="G585" s="10"/>
      <c r="H585" s="10" t="s">
        <v>84</v>
      </c>
      <c r="I585" s="10">
        <v>18</v>
      </c>
      <c r="J585" s="10" t="s">
        <v>3722</v>
      </c>
      <c r="K585" s="10" t="s">
        <v>42</v>
      </c>
      <c r="L585" s="10">
        <f>Table1[[#This Row],[ENR]]-Table1[[#This Row],[CREDIT]]</f>
        <v>5558.070000000007</v>
      </c>
      <c r="M585" s="36">
        <v>70000</v>
      </c>
      <c r="N585" s="26">
        <v>75558.070000000007</v>
      </c>
      <c r="O585" s="38" t="s">
        <v>43</v>
      </c>
      <c r="P585" s="25">
        <v>75558.070000000007</v>
      </c>
      <c r="Q585" s="25">
        <v>69999.17</v>
      </c>
      <c r="R585" s="10">
        <v>17640</v>
      </c>
      <c r="S585" s="39">
        <v>12530</v>
      </c>
      <c r="T585" s="10" t="s">
        <v>44</v>
      </c>
      <c r="U585" s="10" t="s">
        <v>45</v>
      </c>
      <c r="V585" s="10">
        <v>0</v>
      </c>
      <c r="W585" s="25">
        <f>Table1[[#This Row],[STAB]]-Table1[[#This Row],[AMOUNT]]</f>
        <v>12530</v>
      </c>
      <c r="X585" s="10">
        <v>0</v>
      </c>
      <c r="Y585" s="10" t="s">
        <v>79</v>
      </c>
      <c r="Z585" s="10">
        <v>0</v>
      </c>
      <c r="AA585" s="10" t="s">
        <v>162</v>
      </c>
      <c r="AB585" s="36" t="s">
        <v>734</v>
      </c>
      <c r="AC585" s="10"/>
      <c r="AD585" s="9" t="s">
        <v>3770</v>
      </c>
      <c r="AE585" s="10" t="s">
        <v>3818</v>
      </c>
      <c r="AF585" s="10" t="s">
        <v>272</v>
      </c>
      <c r="AG585" s="10" t="s">
        <v>54</v>
      </c>
      <c r="AH585" s="10" t="s">
        <v>114</v>
      </c>
      <c r="AI585" s="10" t="s">
        <v>726</v>
      </c>
      <c r="AJ585" s="10">
        <v>801772792</v>
      </c>
      <c r="AK585" s="10" t="s">
        <v>105</v>
      </c>
      <c r="AL585" s="10"/>
      <c r="AM585" s="10"/>
      <c r="AN585" s="11" t="s">
        <v>390</v>
      </c>
      <c r="AO585" s="10" t="s">
        <v>394</v>
      </c>
      <c r="AP585" s="10" t="s">
        <v>5595</v>
      </c>
      <c r="AQ585" s="10" t="s">
        <v>4931</v>
      </c>
      <c r="AR585" s="2">
        <v>46039</v>
      </c>
      <c r="AS585" s="10">
        <v>5780</v>
      </c>
      <c r="AT585" s="10" t="s">
        <v>294</v>
      </c>
      <c r="AU585" s="10" t="s">
        <v>3266</v>
      </c>
      <c r="AV585" s="36" t="s">
        <v>3869</v>
      </c>
      <c r="AW585" s="1">
        <v>46209</v>
      </c>
    </row>
    <row r="586" spans="1:49" x14ac:dyDescent="0.25">
      <c r="A586" s="9" t="s">
        <v>3620</v>
      </c>
      <c r="B586" s="10" t="s">
        <v>3668</v>
      </c>
      <c r="C586" s="10">
        <v>0</v>
      </c>
      <c r="D586" s="10" t="s">
        <v>91</v>
      </c>
      <c r="E586" s="10"/>
      <c r="F586" s="10"/>
      <c r="G586" s="10"/>
      <c r="H586" s="10" t="s">
        <v>52</v>
      </c>
      <c r="I586" s="10">
        <v>18</v>
      </c>
      <c r="J586" s="10" t="s">
        <v>3716</v>
      </c>
      <c r="K586" s="10" t="s">
        <v>42</v>
      </c>
      <c r="L586" s="10">
        <f>Table1[[#This Row],[ENR]]-Table1[[#This Row],[CREDIT]]</f>
        <v>2498.1999999999971</v>
      </c>
      <c r="M586" s="36">
        <v>70000</v>
      </c>
      <c r="N586" s="26">
        <v>72498.2</v>
      </c>
      <c r="O586" s="38" t="s">
        <v>43</v>
      </c>
      <c r="P586" s="25">
        <v>72498.2</v>
      </c>
      <c r="Q586" s="25">
        <v>65687.41</v>
      </c>
      <c r="R586" s="10">
        <v>13180</v>
      </c>
      <c r="S586" s="39">
        <v>3220</v>
      </c>
      <c r="T586" s="10" t="s">
        <v>57</v>
      </c>
      <c r="U586" s="10" t="s">
        <v>13</v>
      </c>
      <c r="V586" s="10">
        <v>0</v>
      </c>
      <c r="W586" s="25">
        <f>Table1[[#This Row],[STAB]]-Table1[[#This Row],[AMOUNT]]</f>
        <v>3220</v>
      </c>
      <c r="X586" s="10">
        <v>0</v>
      </c>
      <c r="Y586" s="10" t="s">
        <v>79</v>
      </c>
      <c r="Z586" s="10" t="s">
        <v>403</v>
      </c>
      <c r="AA586" s="10" t="s">
        <v>162</v>
      </c>
      <c r="AB586" s="10" t="s">
        <v>735</v>
      </c>
      <c r="AC586" s="10"/>
      <c r="AD586" s="9" t="s">
        <v>3764</v>
      </c>
      <c r="AE586" s="10" t="s">
        <v>3812</v>
      </c>
      <c r="AF586" s="10" t="s">
        <v>687</v>
      </c>
      <c r="AG586" s="10" t="s">
        <v>53</v>
      </c>
      <c r="AH586" s="10" t="s">
        <v>83</v>
      </c>
      <c r="AI586" s="10" t="s">
        <v>728</v>
      </c>
      <c r="AJ586" s="10">
        <v>802349062</v>
      </c>
      <c r="AK586" s="10" t="s">
        <v>104</v>
      </c>
      <c r="AL586" s="10"/>
      <c r="AM586" s="10"/>
      <c r="AN586" s="11" t="s">
        <v>390</v>
      </c>
      <c r="AO586" s="10"/>
      <c r="AP586" s="10"/>
      <c r="AQ586" s="10"/>
      <c r="AR586" s="2">
        <v>45449</v>
      </c>
      <c r="AS586" s="10">
        <v>3690</v>
      </c>
      <c r="AT586" s="10" t="s">
        <v>294</v>
      </c>
      <c r="AU586" s="10" t="s">
        <v>3266</v>
      </c>
      <c r="AV586" s="36" t="s">
        <v>3863</v>
      </c>
      <c r="AW586" s="1">
        <v>46209</v>
      </c>
    </row>
    <row r="587" spans="1:49" x14ac:dyDescent="0.25">
      <c r="A587" s="9" t="s">
        <v>3637</v>
      </c>
      <c r="B587" s="10" t="s">
        <v>3685</v>
      </c>
      <c r="C587" s="10">
        <v>0</v>
      </c>
      <c r="D587" s="10" t="s">
        <v>95</v>
      </c>
      <c r="E587" s="10"/>
      <c r="F587" s="10" t="s">
        <v>112</v>
      </c>
      <c r="G587" s="10" t="s">
        <v>4971</v>
      </c>
      <c r="H587" s="10" t="s">
        <v>52</v>
      </c>
      <c r="I587" s="10">
        <v>18</v>
      </c>
      <c r="J587" s="10" t="s">
        <v>3733</v>
      </c>
      <c r="K587" s="10" t="s">
        <v>42</v>
      </c>
      <c r="L587" s="10">
        <f>Table1[[#This Row],[ENR]]-Table1[[#This Row],[CREDIT]]</f>
        <v>-98553.29</v>
      </c>
      <c r="M587" s="36">
        <v>170000</v>
      </c>
      <c r="N587" s="26">
        <v>71446.710000000006</v>
      </c>
      <c r="O587" s="38">
        <v>60025.85</v>
      </c>
      <c r="P587" s="25">
        <v>11420.86</v>
      </c>
      <c r="Q587" s="25">
        <v>9019.74</v>
      </c>
      <c r="R587" s="10">
        <v>9140</v>
      </c>
      <c r="S587" s="39">
        <v>4200</v>
      </c>
      <c r="T587" s="10" t="s">
        <v>44</v>
      </c>
      <c r="U587" s="10" t="s">
        <v>45</v>
      </c>
      <c r="V587" s="10">
        <v>0</v>
      </c>
      <c r="W587" s="25">
        <f>Table1[[#This Row],[STAB]]-Table1[[#This Row],[AMOUNT]]</f>
        <v>4200</v>
      </c>
      <c r="X587" s="10">
        <v>0</v>
      </c>
      <c r="Y587" s="10" t="s">
        <v>79</v>
      </c>
      <c r="Z587" s="10">
        <v>0</v>
      </c>
      <c r="AA587" s="10" t="s">
        <v>162</v>
      </c>
      <c r="AB587" s="36" t="s">
        <v>736</v>
      </c>
      <c r="AC587" s="10"/>
      <c r="AD587" s="9" t="s">
        <v>3781</v>
      </c>
      <c r="AE587" s="10" t="s">
        <v>826</v>
      </c>
      <c r="AF587" s="10" t="s">
        <v>3829</v>
      </c>
      <c r="AG587" s="10" t="s">
        <v>1363</v>
      </c>
      <c r="AH587" s="10" t="s">
        <v>4271</v>
      </c>
      <c r="AI587" s="10" t="s">
        <v>365</v>
      </c>
      <c r="AJ587" s="10">
        <v>802824019</v>
      </c>
      <c r="AK587" s="10" t="s">
        <v>360</v>
      </c>
      <c r="AL587" s="10"/>
      <c r="AM587" s="10"/>
      <c r="AN587" s="11" t="s">
        <v>46</v>
      </c>
      <c r="AO587" s="10"/>
      <c r="AP587" s="10"/>
      <c r="AQ587" s="10"/>
      <c r="AR587" s="2" t="s">
        <v>43</v>
      </c>
      <c r="AS587" s="10">
        <v>0</v>
      </c>
      <c r="AT587" s="10" t="s">
        <v>3831</v>
      </c>
      <c r="AU587" s="10" t="s">
        <v>3266</v>
      </c>
      <c r="AV587" s="36" t="s">
        <v>3880</v>
      </c>
      <c r="AW587" s="1">
        <v>46209</v>
      </c>
    </row>
    <row r="588" spans="1:49" x14ac:dyDescent="0.25">
      <c r="A588" s="9" t="s">
        <v>3623</v>
      </c>
      <c r="B588" s="10" t="s">
        <v>3671</v>
      </c>
      <c r="C588" s="10">
        <v>0</v>
      </c>
      <c r="D588" s="10" t="s">
        <v>91</v>
      </c>
      <c r="E588" s="10"/>
      <c r="F588" s="10"/>
      <c r="G588" s="10"/>
      <c r="H588" s="10" t="s">
        <v>52</v>
      </c>
      <c r="I588" s="10">
        <v>18</v>
      </c>
      <c r="J588" s="10" t="s">
        <v>3719</v>
      </c>
      <c r="K588" s="10" t="s">
        <v>42</v>
      </c>
      <c r="L588" s="10">
        <f>Table1[[#This Row],[ENR]]-Table1[[#This Row],[CREDIT]]</f>
        <v>-209.49000000000524</v>
      </c>
      <c r="M588" s="36">
        <v>70000</v>
      </c>
      <c r="N588" s="26">
        <v>69790.509999999995</v>
      </c>
      <c r="O588" s="38" t="s">
        <v>43</v>
      </c>
      <c r="P588" s="25">
        <v>69790.509999999995</v>
      </c>
      <c r="Q588" s="25">
        <v>61063.23</v>
      </c>
      <c r="R588" s="10">
        <v>12560</v>
      </c>
      <c r="S588" s="39">
        <v>5140</v>
      </c>
      <c r="T588" s="10" t="s">
        <v>57</v>
      </c>
      <c r="U588" s="10" t="s">
        <v>13</v>
      </c>
      <c r="V588" s="10">
        <v>12560</v>
      </c>
      <c r="W588" s="25">
        <f>Table1[[#This Row],[STAB]]-Table1[[#This Row],[AMOUNT]]</f>
        <v>-7420</v>
      </c>
      <c r="X588" s="10" t="s">
        <v>4931</v>
      </c>
      <c r="Y588" s="10" t="s">
        <v>402</v>
      </c>
      <c r="Z588" s="10" t="s">
        <v>403</v>
      </c>
      <c r="AA588" s="10" t="s">
        <v>162</v>
      </c>
      <c r="AB588" s="36" t="s">
        <v>733</v>
      </c>
      <c r="AC588" s="10"/>
      <c r="AD588" s="9" t="s">
        <v>3767</v>
      </c>
      <c r="AE588" s="10" t="s">
        <v>3815</v>
      </c>
      <c r="AF588" s="10" t="s">
        <v>279</v>
      </c>
      <c r="AG588" s="10" t="s">
        <v>324</v>
      </c>
      <c r="AH588" s="10" t="s">
        <v>354</v>
      </c>
      <c r="AI588" s="10" t="s">
        <v>367</v>
      </c>
      <c r="AJ588" s="10">
        <v>801436997</v>
      </c>
      <c r="AK588" s="10" t="s">
        <v>104</v>
      </c>
      <c r="AL588" s="10"/>
      <c r="AM588" s="10"/>
      <c r="AN588" s="11" t="s">
        <v>390</v>
      </c>
      <c r="AO588" s="10"/>
      <c r="AP588" s="10"/>
      <c r="AQ588" s="10"/>
      <c r="AR588" s="2">
        <v>45568</v>
      </c>
      <c r="AS588" s="10">
        <v>10998</v>
      </c>
      <c r="AT588" s="10" t="s">
        <v>294</v>
      </c>
      <c r="AU588" s="10" t="s">
        <v>3266</v>
      </c>
      <c r="AV588" s="36" t="s">
        <v>3866</v>
      </c>
      <c r="AW588" s="1">
        <v>46209</v>
      </c>
    </row>
    <row r="589" spans="1:49" x14ac:dyDescent="0.25">
      <c r="A589" s="9" t="s">
        <v>3605</v>
      </c>
      <c r="B589" s="10" t="s">
        <v>3653</v>
      </c>
      <c r="C589" s="10">
        <v>0</v>
      </c>
      <c r="D589" s="10" t="s">
        <v>91</v>
      </c>
      <c r="E589" s="10"/>
      <c r="F589" s="10"/>
      <c r="G589" s="10"/>
      <c r="H589" s="10" t="s">
        <v>84</v>
      </c>
      <c r="I589" s="10">
        <v>18</v>
      </c>
      <c r="J589" s="10" t="s">
        <v>3701</v>
      </c>
      <c r="K589" s="10" t="s">
        <v>42</v>
      </c>
      <c r="L589" s="10">
        <f>Table1[[#This Row],[ENR]]-Table1[[#This Row],[CREDIT]]</f>
        <v>3689.4000000000015</v>
      </c>
      <c r="M589" s="36">
        <v>60000</v>
      </c>
      <c r="N589" s="26">
        <v>63689.4</v>
      </c>
      <c r="O589" s="38" t="s">
        <v>43</v>
      </c>
      <c r="P589" s="25">
        <v>63689.4</v>
      </c>
      <c r="Q589" s="25">
        <v>56738.77</v>
      </c>
      <c r="R589" s="10">
        <v>23670</v>
      </c>
      <c r="S589" s="39">
        <v>11990</v>
      </c>
      <c r="T589" s="10" t="s">
        <v>44</v>
      </c>
      <c r="U589" s="10" t="s">
        <v>45</v>
      </c>
      <c r="V589" s="10">
        <v>0</v>
      </c>
      <c r="W589" s="25">
        <f>Table1[[#This Row],[STAB]]-Table1[[#This Row],[AMOUNT]]</f>
        <v>11990</v>
      </c>
      <c r="X589" s="10">
        <v>0</v>
      </c>
      <c r="Y589" s="10" t="s">
        <v>79</v>
      </c>
      <c r="Z589" s="10">
        <v>0</v>
      </c>
      <c r="AA589" s="10" t="s">
        <v>162</v>
      </c>
      <c r="AB589" s="36" t="s">
        <v>733</v>
      </c>
      <c r="AC589" s="10"/>
      <c r="AD589" s="9" t="s">
        <v>3749</v>
      </c>
      <c r="AE589" s="10" t="s">
        <v>3797</v>
      </c>
      <c r="AF589" s="10" t="s">
        <v>272</v>
      </c>
      <c r="AG589" s="10" t="s">
        <v>54</v>
      </c>
      <c r="AH589" s="10" t="s">
        <v>114</v>
      </c>
      <c r="AI589" s="10" t="s">
        <v>726</v>
      </c>
      <c r="AJ589" s="10">
        <v>801772792</v>
      </c>
      <c r="AK589" s="10" t="s">
        <v>105</v>
      </c>
      <c r="AL589" s="10"/>
      <c r="AM589" s="10"/>
      <c r="AN589" s="11" t="s">
        <v>46</v>
      </c>
      <c r="AO589" s="10"/>
      <c r="AP589" s="10"/>
      <c r="AQ589" s="10"/>
      <c r="AR589" s="2">
        <v>46125</v>
      </c>
      <c r="AS589" s="10">
        <v>16850</v>
      </c>
      <c r="AT589" s="10" t="s">
        <v>291</v>
      </c>
      <c r="AU589" s="10" t="s">
        <v>3266</v>
      </c>
      <c r="AV589" s="36" t="s">
        <v>3848</v>
      </c>
      <c r="AW589" s="1">
        <v>46209</v>
      </c>
    </row>
    <row r="590" spans="1:49" x14ac:dyDescent="0.25">
      <c r="A590" s="9" t="s">
        <v>3609</v>
      </c>
      <c r="B590" s="10" t="s">
        <v>3657</v>
      </c>
      <c r="C590" s="10">
        <v>0</v>
      </c>
      <c r="D590" s="10" t="s">
        <v>91</v>
      </c>
      <c r="E590" s="10"/>
      <c r="F590" s="10"/>
      <c r="G590" s="10"/>
      <c r="H590" s="10" t="s">
        <v>52</v>
      </c>
      <c r="I590" s="10">
        <v>18</v>
      </c>
      <c r="J590" s="10" t="s">
        <v>3705</v>
      </c>
      <c r="K590" s="10" t="s">
        <v>42</v>
      </c>
      <c r="L590" s="10">
        <f>Table1[[#This Row],[ENR]]-Table1[[#This Row],[CREDIT]]</f>
        <v>-109144.12</v>
      </c>
      <c r="M590" s="36">
        <v>170000</v>
      </c>
      <c r="N590" s="26">
        <v>60855.88</v>
      </c>
      <c r="O590" s="38" t="s">
        <v>43</v>
      </c>
      <c r="P590" s="25">
        <v>60855.88</v>
      </c>
      <c r="Q590" s="25">
        <v>54351.96</v>
      </c>
      <c r="R590" s="10">
        <v>9960</v>
      </c>
      <c r="S590" s="39">
        <v>3190</v>
      </c>
      <c r="T590" s="10" t="s">
        <v>57</v>
      </c>
      <c r="U590" s="10" t="s">
        <v>13</v>
      </c>
      <c r="V590" s="10">
        <v>9960</v>
      </c>
      <c r="W590" s="25">
        <f>Table1[[#This Row],[STAB]]-Table1[[#This Row],[AMOUNT]]</f>
        <v>-6770</v>
      </c>
      <c r="X590" s="10" t="s">
        <v>4923</v>
      </c>
      <c r="Y590" s="10" t="s">
        <v>402</v>
      </c>
      <c r="Z590" s="10" t="s">
        <v>403</v>
      </c>
      <c r="AA590" s="10" t="s">
        <v>162</v>
      </c>
      <c r="AB590" s="36" t="s">
        <v>734</v>
      </c>
      <c r="AC590" s="10"/>
      <c r="AD590" s="9" t="s">
        <v>3753</v>
      </c>
      <c r="AE590" s="10" t="s">
        <v>3801</v>
      </c>
      <c r="AF590" s="10" t="s">
        <v>281</v>
      </c>
      <c r="AG590" s="10" t="s">
        <v>54</v>
      </c>
      <c r="AH590" s="10" t="s">
        <v>58</v>
      </c>
      <c r="AI590" s="10" t="s">
        <v>133</v>
      </c>
      <c r="AJ590" s="10">
        <v>802555024</v>
      </c>
      <c r="AK590" s="10" t="s">
        <v>362</v>
      </c>
      <c r="AL590" s="10"/>
      <c r="AM590" s="10"/>
      <c r="AN590" s="11" t="s">
        <v>390</v>
      </c>
      <c r="AO590" s="10" t="s">
        <v>394</v>
      </c>
      <c r="AP590" s="10" t="s">
        <v>4942</v>
      </c>
      <c r="AQ590" s="10" t="s">
        <v>4923</v>
      </c>
      <c r="AR590" s="2">
        <v>45445</v>
      </c>
      <c r="AS590" s="10">
        <v>4199.3100000000004</v>
      </c>
      <c r="AT590" s="10" t="s">
        <v>3830</v>
      </c>
      <c r="AU590" s="10" t="s">
        <v>3266</v>
      </c>
      <c r="AV590" s="36" t="s">
        <v>3852</v>
      </c>
      <c r="AW590" s="1">
        <v>46209</v>
      </c>
    </row>
    <row r="591" spans="1:49" x14ac:dyDescent="0.25">
      <c r="A591" s="40" t="s">
        <v>3615</v>
      </c>
      <c r="B591" s="11" t="s">
        <v>3663</v>
      </c>
      <c r="C591" s="10">
        <v>0</v>
      </c>
      <c r="D591" s="10" t="s">
        <v>91</v>
      </c>
      <c r="E591" s="11"/>
      <c r="F591" s="11"/>
      <c r="G591" s="11"/>
      <c r="H591" s="10" t="s">
        <v>52</v>
      </c>
      <c r="I591" s="11">
        <v>18</v>
      </c>
      <c r="J591" s="11" t="s">
        <v>3711</v>
      </c>
      <c r="K591" s="11" t="s">
        <v>42</v>
      </c>
      <c r="L591" s="11">
        <f>Table1[[#This Row],[ENR]]-Table1[[#This Row],[CREDIT]]</f>
        <v>-166887.16</v>
      </c>
      <c r="M591" s="41">
        <v>220000</v>
      </c>
      <c r="N591" s="42">
        <v>53112.84</v>
      </c>
      <c r="O591" s="43">
        <v>21993.84</v>
      </c>
      <c r="P591" s="44">
        <v>31119</v>
      </c>
      <c r="Q591" s="44">
        <v>25433.08</v>
      </c>
      <c r="R591" s="11">
        <v>21340</v>
      </c>
      <c r="S591" s="45">
        <v>10040</v>
      </c>
      <c r="T591" s="10" t="s">
        <v>57</v>
      </c>
      <c r="U591" s="10" t="s">
        <v>14</v>
      </c>
      <c r="V591" s="25">
        <v>15425</v>
      </c>
      <c r="W591" s="44">
        <f>Table1[[#This Row],[STAB]]-Table1[[#This Row],[AMOUNT]]</f>
        <v>-5385</v>
      </c>
      <c r="X591" s="10" t="s">
        <v>4993</v>
      </c>
      <c r="Y591" s="10" t="s">
        <v>402</v>
      </c>
      <c r="Z591" s="10" t="s">
        <v>1968</v>
      </c>
      <c r="AA591" s="10" t="s">
        <v>162</v>
      </c>
      <c r="AB591" s="10" t="s">
        <v>735</v>
      </c>
      <c r="AC591" s="11"/>
      <c r="AD591" s="40" t="s">
        <v>3759</v>
      </c>
      <c r="AE591" s="11" t="s">
        <v>3807</v>
      </c>
      <c r="AF591" s="11" t="s">
        <v>272</v>
      </c>
      <c r="AG591" s="11" t="s">
        <v>54</v>
      </c>
      <c r="AH591" s="10" t="s">
        <v>114</v>
      </c>
      <c r="AI591" s="10" t="s">
        <v>726</v>
      </c>
      <c r="AJ591" s="11">
        <v>801772792</v>
      </c>
      <c r="AK591" s="11" t="s">
        <v>105</v>
      </c>
      <c r="AL591" s="11"/>
      <c r="AM591" s="11"/>
      <c r="AN591" s="11" t="s">
        <v>390</v>
      </c>
      <c r="AO591" s="11"/>
      <c r="AP591" s="11"/>
      <c r="AQ591" s="11"/>
      <c r="AR591" s="46">
        <v>46134</v>
      </c>
      <c r="AS591" s="11">
        <v>43443</v>
      </c>
      <c r="AT591" s="11" t="s">
        <v>294</v>
      </c>
      <c r="AU591" s="10" t="s">
        <v>3266</v>
      </c>
      <c r="AV591" s="41" t="s">
        <v>3858</v>
      </c>
      <c r="AW591" s="47">
        <v>46209</v>
      </c>
    </row>
    <row r="592" spans="1:49" x14ac:dyDescent="0.25">
      <c r="A592" s="9" t="s">
        <v>3607</v>
      </c>
      <c r="B592" s="10" t="s">
        <v>3655</v>
      </c>
      <c r="C592" s="10">
        <v>0</v>
      </c>
      <c r="D592" s="10" t="s">
        <v>91</v>
      </c>
      <c r="E592" s="10"/>
      <c r="F592" s="10"/>
      <c r="G592" s="10"/>
      <c r="H592" s="10" t="s">
        <v>52</v>
      </c>
      <c r="I592" s="10">
        <v>18</v>
      </c>
      <c r="J592" s="10" t="s">
        <v>3703</v>
      </c>
      <c r="K592" s="10" t="s">
        <v>42</v>
      </c>
      <c r="L592" s="10">
        <f>Table1[[#This Row],[ENR]]-Table1[[#This Row],[CREDIT]]</f>
        <v>-26888.550000000003</v>
      </c>
      <c r="M592" s="36">
        <v>80000</v>
      </c>
      <c r="N592" s="26">
        <v>53111.45</v>
      </c>
      <c r="O592" s="38">
        <v>16989.12</v>
      </c>
      <c r="P592" s="25">
        <v>36122.33</v>
      </c>
      <c r="Q592" s="25">
        <v>31774.95</v>
      </c>
      <c r="R592" s="10">
        <v>33340</v>
      </c>
      <c r="S592" s="39">
        <v>16130</v>
      </c>
      <c r="T592" s="10" t="s">
        <v>44</v>
      </c>
      <c r="U592" s="10" t="s">
        <v>45</v>
      </c>
      <c r="V592" s="10">
        <v>0</v>
      </c>
      <c r="W592" s="25">
        <f>Table1[[#This Row],[STAB]]-Table1[[#This Row],[AMOUNT]]</f>
        <v>16130</v>
      </c>
      <c r="X592" s="10">
        <v>0</v>
      </c>
      <c r="Y592" s="10" t="s">
        <v>79</v>
      </c>
      <c r="Z592" s="10">
        <v>0</v>
      </c>
      <c r="AA592" s="10" t="s">
        <v>162</v>
      </c>
      <c r="AB592" s="36" t="s">
        <v>736</v>
      </c>
      <c r="AC592" s="10"/>
      <c r="AD592" s="9" t="s">
        <v>3751</v>
      </c>
      <c r="AE592" s="10" t="s">
        <v>3799</v>
      </c>
      <c r="AF592" s="10" t="s">
        <v>276</v>
      </c>
      <c r="AG592" s="10" t="s">
        <v>324</v>
      </c>
      <c r="AH592" s="10" t="s">
        <v>3588</v>
      </c>
      <c r="AI592" s="10" t="s">
        <v>367</v>
      </c>
      <c r="AJ592" s="10">
        <v>801436997</v>
      </c>
      <c r="AK592" s="10" t="s">
        <v>104</v>
      </c>
      <c r="AL592" s="10"/>
      <c r="AM592" s="10"/>
      <c r="AN592" s="11" t="s">
        <v>46</v>
      </c>
      <c r="AO592" s="10"/>
      <c r="AP592" s="10"/>
      <c r="AQ592" s="10"/>
      <c r="AR592" s="2">
        <v>46149</v>
      </c>
      <c r="AS592" s="10">
        <v>43988.88</v>
      </c>
      <c r="AT592" s="10" t="s">
        <v>503</v>
      </c>
      <c r="AU592" s="10" t="s">
        <v>3266</v>
      </c>
      <c r="AV592" s="36" t="s">
        <v>3850</v>
      </c>
      <c r="AW592" s="1">
        <v>46209</v>
      </c>
    </row>
    <row r="593" spans="1:49" x14ac:dyDescent="0.25">
      <c r="A593" s="9" t="s">
        <v>3610</v>
      </c>
      <c r="B593" s="10" t="s">
        <v>3658</v>
      </c>
      <c r="C593" s="10">
        <v>0</v>
      </c>
      <c r="D593" s="10" t="s">
        <v>91</v>
      </c>
      <c r="E593" s="10"/>
      <c r="F593" s="10"/>
      <c r="G593" s="10"/>
      <c r="H593" s="10" t="s">
        <v>52</v>
      </c>
      <c r="I593" s="10">
        <v>18</v>
      </c>
      <c r="J593" s="10" t="s">
        <v>3706</v>
      </c>
      <c r="K593" s="10" t="s">
        <v>42</v>
      </c>
      <c r="L593" s="10">
        <f>Table1[[#This Row],[ENR]]-Table1[[#This Row],[CREDIT]]</f>
        <v>1351.3700000000026</v>
      </c>
      <c r="M593" s="36">
        <v>50000</v>
      </c>
      <c r="N593" s="26">
        <v>51351.37</v>
      </c>
      <c r="O593" s="38" t="s">
        <v>43</v>
      </c>
      <c r="P593" s="25">
        <v>51351.37</v>
      </c>
      <c r="Q593" s="25">
        <v>45531</v>
      </c>
      <c r="R593" s="10">
        <v>10130</v>
      </c>
      <c r="S593" s="39">
        <v>3180</v>
      </c>
      <c r="T593" s="10" t="s">
        <v>44</v>
      </c>
      <c r="U593" s="10" t="s">
        <v>45</v>
      </c>
      <c r="V593" s="10">
        <v>0</v>
      </c>
      <c r="W593" s="25">
        <f>Table1[[#This Row],[STAB]]-Table1[[#This Row],[AMOUNT]]</f>
        <v>3180</v>
      </c>
      <c r="X593" s="10">
        <v>0</v>
      </c>
      <c r="Y593" s="10" t="s">
        <v>79</v>
      </c>
      <c r="Z593" s="10">
        <v>0</v>
      </c>
      <c r="AA593" s="10" t="s">
        <v>162</v>
      </c>
      <c r="AB593" s="36" t="s">
        <v>733</v>
      </c>
      <c r="AC593" s="10"/>
      <c r="AD593" s="9" t="s">
        <v>3754</v>
      </c>
      <c r="AE593" s="10" t="s">
        <v>3802</v>
      </c>
      <c r="AF593" s="10" t="s">
        <v>281</v>
      </c>
      <c r="AG593" s="10" t="s">
        <v>54</v>
      </c>
      <c r="AH593" s="10" t="s">
        <v>58</v>
      </c>
      <c r="AI593" s="10" t="s">
        <v>133</v>
      </c>
      <c r="AJ593" s="10">
        <v>802555024</v>
      </c>
      <c r="AK593" s="10" t="s">
        <v>362</v>
      </c>
      <c r="AL593" s="10"/>
      <c r="AM593" s="10"/>
      <c r="AN593" s="11" t="s">
        <v>390</v>
      </c>
      <c r="AO593" s="10" t="s">
        <v>398</v>
      </c>
      <c r="AP593" s="10" t="s">
        <v>6412</v>
      </c>
      <c r="AQ593" s="10" t="s">
        <v>6399</v>
      </c>
      <c r="AR593" s="2">
        <v>45448</v>
      </c>
      <c r="AS593" s="10">
        <v>36790.97</v>
      </c>
      <c r="AT593" s="10" t="s">
        <v>3830</v>
      </c>
      <c r="AU593" s="10" t="s">
        <v>3266</v>
      </c>
      <c r="AV593" s="36" t="s">
        <v>3853</v>
      </c>
      <c r="AW593" s="1">
        <v>46209</v>
      </c>
    </row>
    <row r="594" spans="1:49" x14ac:dyDescent="0.25">
      <c r="A594" s="9" t="s">
        <v>3340</v>
      </c>
      <c r="B594" s="10" t="s">
        <v>3383</v>
      </c>
      <c r="C594" s="10">
        <v>0</v>
      </c>
      <c r="D594" s="10" t="s">
        <v>91</v>
      </c>
      <c r="E594" s="10"/>
      <c r="F594" s="10"/>
      <c r="G594" s="10"/>
      <c r="H594" s="10" t="s">
        <v>52</v>
      </c>
      <c r="I594" s="10">
        <v>20</v>
      </c>
      <c r="J594" s="10" t="s">
        <v>3426</v>
      </c>
      <c r="K594" s="10" t="s">
        <v>42</v>
      </c>
      <c r="L594" s="10">
        <f>Table1[[#This Row],[ENR]]-Table1[[#This Row],[CREDIT]]</f>
        <v>81871.459999999963</v>
      </c>
      <c r="M594" s="36">
        <v>900000</v>
      </c>
      <c r="N594" s="26">
        <v>981871.46</v>
      </c>
      <c r="O594" s="38">
        <v>194286.49</v>
      </c>
      <c r="P594" s="25">
        <v>787584.97</v>
      </c>
      <c r="Q594" s="25">
        <v>699336.44</v>
      </c>
      <c r="R594" s="10">
        <v>266960</v>
      </c>
      <c r="S594" s="39">
        <v>137060</v>
      </c>
      <c r="T594" s="10" t="s">
        <v>44</v>
      </c>
      <c r="U594" s="10" t="s">
        <v>45</v>
      </c>
      <c r="V594" s="10">
        <v>0</v>
      </c>
      <c r="W594" s="25">
        <f>Table1[[#This Row],[STAB]]-Table1[[#This Row],[AMOUNT]]</f>
        <v>137060</v>
      </c>
      <c r="X594" s="10">
        <v>0</v>
      </c>
      <c r="Y594" s="10" t="s">
        <v>79</v>
      </c>
      <c r="Z594" s="10">
        <v>0</v>
      </c>
      <c r="AA594" s="10" t="s">
        <v>113</v>
      </c>
      <c r="AB594" s="36" t="s">
        <v>132</v>
      </c>
      <c r="AC594" s="10"/>
      <c r="AD594" s="9" t="s">
        <v>3469</v>
      </c>
      <c r="AE594" s="10" t="s">
        <v>3512</v>
      </c>
      <c r="AF594" s="10" t="s">
        <v>1737</v>
      </c>
      <c r="AG594" s="10" t="s">
        <v>324</v>
      </c>
      <c r="AH594" s="10" t="s">
        <v>722</v>
      </c>
      <c r="AI594" s="10" t="s">
        <v>370</v>
      </c>
      <c r="AJ594" s="10">
        <v>801448854</v>
      </c>
      <c r="AK594" s="10" t="s">
        <v>105</v>
      </c>
      <c r="AL594" s="10"/>
      <c r="AM594" s="10"/>
      <c r="AN594" s="11" t="s">
        <v>390</v>
      </c>
      <c r="AO594" s="10" t="s">
        <v>392</v>
      </c>
      <c r="AP594" s="10" t="s">
        <v>4996</v>
      </c>
      <c r="AQ594" s="10" t="s">
        <v>4993</v>
      </c>
      <c r="AR594" s="2">
        <v>45869</v>
      </c>
      <c r="AS594" s="10">
        <v>100116.62</v>
      </c>
      <c r="AT594" s="10" t="s">
        <v>48</v>
      </c>
      <c r="AU594" s="10" t="s">
        <v>3266</v>
      </c>
      <c r="AV594" s="36" t="s">
        <v>3556</v>
      </c>
      <c r="AW594" s="1">
        <v>46211</v>
      </c>
    </row>
    <row r="595" spans="1:49" x14ac:dyDescent="0.25">
      <c r="A595" s="9" t="s">
        <v>3921</v>
      </c>
      <c r="B595" s="10" t="s">
        <v>3986</v>
      </c>
      <c r="C595" s="10">
        <v>0</v>
      </c>
      <c r="D595" s="10" t="s">
        <v>91</v>
      </c>
      <c r="E595" s="10"/>
      <c r="F595" s="10"/>
      <c r="G595" s="10" t="s">
        <v>4955</v>
      </c>
      <c r="H595" s="10" t="s">
        <v>84</v>
      </c>
      <c r="I595" s="10">
        <v>20</v>
      </c>
      <c r="J595" s="10" t="s">
        <v>4051</v>
      </c>
      <c r="K595" s="10" t="s">
        <v>42</v>
      </c>
      <c r="L595" s="10">
        <f>Table1[[#This Row],[ENR]]-Table1[[#This Row],[CREDIT]]</f>
        <v>-213.31999999994878</v>
      </c>
      <c r="M595" s="36">
        <v>740000</v>
      </c>
      <c r="N595" s="26">
        <v>739786.68</v>
      </c>
      <c r="O595" s="38">
        <v>192438.7</v>
      </c>
      <c r="P595" s="25">
        <v>547347.98</v>
      </c>
      <c r="Q595" s="25">
        <v>507746.43</v>
      </c>
      <c r="R595" s="10">
        <v>167980</v>
      </c>
      <c r="S595" s="39">
        <v>90410</v>
      </c>
      <c r="T595" s="10" t="s">
        <v>44</v>
      </c>
      <c r="U595" s="10" t="s">
        <v>45</v>
      </c>
      <c r="V595" s="10">
        <v>0</v>
      </c>
      <c r="W595" s="25">
        <f>Table1[[#This Row],[STAB]]-Table1[[#This Row],[AMOUNT]]</f>
        <v>90410</v>
      </c>
      <c r="X595" s="10">
        <v>0</v>
      </c>
      <c r="Y595" s="10" t="s">
        <v>79</v>
      </c>
      <c r="Z595" s="10">
        <v>0</v>
      </c>
      <c r="AA595" s="10" t="s">
        <v>113</v>
      </c>
      <c r="AB595" s="10" t="s">
        <v>132</v>
      </c>
      <c r="AC595" s="10"/>
      <c r="AD595" s="9" t="s">
        <v>4116</v>
      </c>
      <c r="AE595" s="10" t="s">
        <v>4180</v>
      </c>
      <c r="AF595" s="10" t="s">
        <v>274</v>
      </c>
      <c r="AG595" s="10" t="s">
        <v>53</v>
      </c>
      <c r="AH595" s="10" t="s">
        <v>55</v>
      </c>
      <c r="AI595" s="10" t="s">
        <v>365</v>
      </c>
      <c r="AJ595" s="10">
        <v>802824019</v>
      </c>
      <c r="AK595" s="10" t="s">
        <v>360</v>
      </c>
      <c r="AL595" s="10"/>
      <c r="AM595" s="10"/>
      <c r="AN595" s="11" t="s">
        <v>46</v>
      </c>
      <c r="AO595" s="10"/>
      <c r="AP595" s="10"/>
      <c r="AQ595" s="10"/>
      <c r="AR595" s="2">
        <v>46099</v>
      </c>
      <c r="AS595" s="10">
        <v>13492</v>
      </c>
      <c r="AT595" s="10" t="s">
        <v>293</v>
      </c>
      <c r="AU595" s="10" t="s">
        <v>4205</v>
      </c>
      <c r="AV595" s="36" t="s">
        <v>4246</v>
      </c>
      <c r="AW595" s="1">
        <v>46211</v>
      </c>
    </row>
    <row r="596" spans="1:49" x14ac:dyDescent="0.25">
      <c r="A596" s="9" t="s">
        <v>3356</v>
      </c>
      <c r="B596" s="10" t="s">
        <v>3399</v>
      </c>
      <c r="C596" s="10">
        <v>0</v>
      </c>
      <c r="D596" s="10" t="s">
        <v>91</v>
      </c>
      <c r="E596" s="10"/>
      <c r="F596" s="10"/>
      <c r="G596" s="10"/>
      <c r="H596" s="10" t="s">
        <v>52</v>
      </c>
      <c r="I596" s="10">
        <v>20</v>
      </c>
      <c r="J596" s="10" t="s">
        <v>3442</v>
      </c>
      <c r="K596" s="10" t="s">
        <v>42</v>
      </c>
      <c r="L596" s="10">
        <f>Table1[[#This Row],[ENR]]-Table1[[#This Row],[CREDIT]]</f>
        <v>38884.459999999963</v>
      </c>
      <c r="M596" s="36">
        <v>550000</v>
      </c>
      <c r="N596" s="26">
        <v>588884.46</v>
      </c>
      <c r="O596" s="38">
        <v>169269.2</v>
      </c>
      <c r="P596" s="25">
        <v>419615.26</v>
      </c>
      <c r="Q596" s="25">
        <v>372885.6</v>
      </c>
      <c r="R596" s="10">
        <v>134210</v>
      </c>
      <c r="S596" s="39">
        <v>65410</v>
      </c>
      <c r="T596" s="10" t="s">
        <v>44</v>
      </c>
      <c r="U596" s="10" t="s">
        <v>45</v>
      </c>
      <c r="V596" s="10">
        <v>30000</v>
      </c>
      <c r="W596" s="25">
        <f>Table1[[#This Row],[STAB]]-Table1[[#This Row],[AMOUNT]]</f>
        <v>35410</v>
      </c>
      <c r="X596" s="10">
        <v>0</v>
      </c>
      <c r="Y596" s="10" t="s">
        <v>79</v>
      </c>
      <c r="Z596" s="10">
        <v>0</v>
      </c>
      <c r="AA596" s="10" t="s">
        <v>113</v>
      </c>
      <c r="AB596" s="36" t="s">
        <v>131</v>
      </c>
      <c r="AC596" s="10"/>
      <c r="AD596" s="9" t="s">
        <v>3485</v>
      </c>
      <c r="AE596" s="10" t="s">
        <v>3528</v>
      </c>
      <c r="AF596" s="10" t="s">
        <v>275</v>
      </c>
      <c r="AG596" s="10" t="s">
        <v>80</v>
      </c>
      <c r="AH596" s="10" t="s">
        <v>1407</v>
      </c>
      <c r="AI596" s="10" t="s">
        <v>82</v>
      </c>
      <c r="AJ596" s="10">
        <v>801723195</v>
      </c>
      <c r="AK596" s="10" t="s">
        <v>105</v>
      </c>
      <c r="AL596" s="10"/>
      <c r="AM596" s="10"/>
      <c r="AN596" s="11" t="s">
        <v>390</v>
      </c>
      <c r="AO596" s="10" t="s">
        <v>398</v>
      </c>
      <c r="AP596" s="10" t="s">
        <v>6229</v>
      </c>
      <c r="AQ596" s="10" t="s">
        <v>4937</v>
      </c>
      <c r="AR596" s="2">
        <v>46042</v>
      </c>
      <c r="AS596" s="10">
        <v>80</v>
      </c>
      <c r="AT596" s="10" t="s">
        <v>288</v>
      </c>
      <c r="AU596" s="10" t="s">
        <v>3266</v>
      </c>
      <c r="AV596" s="36" t="s">
        <v>3571</v>
      </c>
      <c r="AW596" s="1">
        <v>46211</v>
      </c>
    </row>
    <row r="597" spans="1:49" x14ac:dyDescent="0.25">
      <c r="A597" s="9" t="s">
        <v>3342</v>
      </c>
      <c r="B597" s="10" t="s">
        <v>3385</v>
      </c>
      <c r="C597" s="10">
        <v>0</v>
      </c>
      <c r="D597" s="10" t="s">
        <v>95</v>
      </c>
      <c r="E597" s="10">
        <v>1</v>
      </c>
      <c r="F597" s="10" t="s">
        <v>112</v>
      </c>
      <c r="G597" s="10" t="s">
        <v>4959</v>
      </c>
      <c r="H597" s="10" t="s">
        <v>52</v>
      </c>
      <c r="I597" s="10">
        <v>20</v>
      </c>
      <c r="J597" s="10" t="s">
        <v>3428</v>
      </c>
      <c r="K597" s="10" t="s">
        <v>42</v>
      </c>
      <c r="L597" s="10">
        <f>Table1[[#This Row],[ENR]]-Table1[[#This Row],[CREDIT]]</f>
        <v>26303.900000000023</v>
      </c>
      <c r="M597" s="36">
        <v>560000</v>
      </c>
      <c r="N597" s="26">
        <v>586303.9</v>
      </c>
      <c r="O597" s="38">
        <v>101574.91</v>
      </c>
      <c r="P597" s="25">
        <v>484728.99</v>
      </c>
      <c r="Q597" s="25">
        <v>450246.98</v>
      </c>
      <c r="R597" s="10">
        <v>105730</v>
      </c>
      <c r="S597" s="39">
        <v>41680</v>
      </c>
      <c r="T597" s="10" t="s">
        <v>44</v>
      </c>
      <c r="U597" s="10" t="s">
        <v>45</v>
      </c>
      <c r="V597" s="10">
        <v>0</v>
      </c>
      <c r="W597" s="25">
        <f>Table1[[#This Row],[STAB]]-Table1[[#This Row],[AMOUNT]]</f>
        <v>41680</v>
      </c>
      <c r="X597" s="10">
        <v>0</v>
      </c>
      <c r="Y597" s="10" t="s">
        <v>79</v>
      </c>
      <c r="Z597" s="10">
        <v>0</v>
      </c>
      <c r="AA597" s="10" t="s">
        <v>113</v>
      </c>
      <c r="AB597" s="36" t="s">
        <v>133</v>
      </c>
      <c r="AC597" s="10"/>
      <c r="AD597" s="9" t="s">
        <v>3471</v>
      </c>
      <c r="AE597" s="10" t="s">
        <v>3514</v>
      </c>
      <c r="AF597" s="10" t="s">
        <v>275</v>
      </c>
      <c r="AG597" s="10" t="s">
        <v>80</v>
      </c>
      <c r="AH597" s="10" t="s">
        <v>115</v>
      </c>
      <c r="AI597" s="10" t="s">
        <v>368</v>
      </c>
      <c r="AJ597" s="10">
        <v>802823175</v>
      </c>
      <c r="AK597" s="10" t="s">
        <v>105</v>
      </c>
      <c r="AL597" s="10"/>
      <c r="AM597" s="10"/>
      <c r="AN597" s="11" t="s">
        <v>46</v>
      </c>
      <c r="AO597" s="10"/>
      <c r="AP597" s="10"/>
      <c r="AQ597" s="10"/>
      <c r="AR597" s="2">
        <v>45596</v>
      </c>
      <c r="AS597" s="10">
        <v>300000</v>
      </c>
      <c r="AT597" s="10" t="s">
        <v>291</v>
      </c>
      <c r="AU597" s="10" t="s">
        <v>3266</v>
      </c>
      <c r="AV597" s="36" t="s">
        <v>3558</v>
      </c>
      <c r="AW597" s="1">
        <v>46211</v>
      </c>
    </row>
    <row r="598" spans="1:49" x14ac:dyDescent="0.25">
      <c r="A598" s="9" t="s">
        <v>3352</v>
      </c>
      <c r="B598" s="10" t="s">
        <v>3395</v>
      </c>
      <c r="C598" s="10">
        <v>0</v>
      </c>
      <c r="D598" s="10" t="s">
        <v>91</v>
      </c>
      <c r="E598" s="10"/>
      <c r="F598" s="10"/>
      <c r="G598" s="10"/>
      <c r="H598" s="10" t="s">
        <v>52</v>
      </c>
      <c r="I598" s="10">
        <v>20</v>
      </c>
      <c r="J598" s="10" t="s">
        <v>3438</v>
      </c>
      <c r="K598" s="10" t="s">
        <v>42</v>
      </c>
      <c r="L598" s="10">
        <f>Table1[[#This Row],[ENR]]-Table1[[#This Row],[CREDIT]]</f>
        <v>41927.790000000037</v>
      </c>
      <c r="M598" s="36">
        <v>510000</v>
      </c>
      <c r="N598" s="26">
        <v>551927.79</v>
      </c>
      <c r="O598" s="38">
        <v>148293.57</v>
      </c>
      <c r="P598" s="25">
        <v>403634.22</v>
      </c>
      <c r="Q598" s="25">
        <v>361684.3</v>
      </c>
      <c r="R598" s="10">
        <v>117360</v>
      </c>
      <c r="S598" s="39">
        <v>33700</v>
      </c>
      <c r="T598" s="10" t="s">
        <v>44</v>
      </c>
      <c r="U598" s="10" t="s">
        <v>45</v>
      </c>
      <c r="V598" s="10">
        <v>0</v>
      </c>
      <c r="W598" s="25">
        <f>Table1[[#This Row],[STAB]]-Table1[[#This Row],[AMOUNT]]</f>
        <v>33700</v>
      </c>
      <c r="X598" s="10">
        <v>0</v>
      </c>
      <c r="Y598" s="10" t="s">
        <v>79</v>
      </c>
      <c r="Z598" s="10">
        <v>0</v>
      </c>
      <c r="AA598" s="10" t="s">
        <v>113</v>
      </c>
      <c r="AB598" s="36" t="s">
        <v>375</v>
      </c>
      <c r="AC598" s="10"/>
      <c r="AD598" s="9" t="s">
        <v>3481</v>
      </c>
      <c r="AE598" s="10" t="s">
        <v>3524</v>
      </c>
      <c r="AF598" s="10" t="s">
        <v>111</v>
      </c>
      <c r="AG598" s="10" t="s">
        <v>53</v>
      </c>
      <c r="AH598" s="10" t="s">
        <v>92</v>
      </c>
      <c r="AI598" s="10" t="s">
        <v>113</v>
      </c>
      <c r="AJ598" s="10">
        <v>802388289</v>
      </c>
      <c r="AK598" s="10" t="s">
        <v>104</v>
      </c>
      <c r="AL598" s="10"/>
      <c r="AM598" s="10"/>
      <c r="AN598" s="11" t="s">
        <v>390</v>
      </c>
      <c r="AO598" s="10" t="s">
        <v>392</v>
      </c>
      <c r="AP598" s="10" t="s">
        <v>5581</v>
      </c>
      <c r="AQ598" s="10" t="s">
        <v>4931</v>
      </c>
      <c r="AR598" s="2">
        <v>46160</v>
      </c>
      <c r="AS598" s="10">
        <v>35000</v>
      </c>
      <c r="AT598" s="10" t="s">
        <v>48</v>
      </c>
      <c r="AU598" s="10" t="s">
        <v>3266</v>
      </c>
      <c r="AV598" s="36" t="s">
        <v>3568</v>
      </c>
      <c r="AW598" s="1">
        <v>46211</v>
      </c>
    </row>
    <row r="599" spans="1:49" x14ac:dyDescent="0.25">
      <c r="A599" s="9" t="s">
        <v>3345</v>
      </c>
      <c r="B599" s="10" t="s">
        <v>3388</v>
      </c>
      <c r="C599" s="10">
        <v>0</v>
      </c>
      <c r="D599" s="10" t="s">
        <v>91</v>
      </c>
      <c r="E599" s="10"/>
      <c r="F599" s="10"/>
      <c r="G599" s="10"/>
      <c r="H599" s="10" t="s">
        <v>52</v>
      </c>
      <c r="I599" s="10">
        <v>20</v>
      </c>
      <c r="J599" s="10" t="s">
        <v>3431</v>
      </c>
      <c r="K599" s="10" t="s">
        <v>42</v>
      </c>
      <c r="L599" s="10">
        <f>Table1[[#This Row],[ENR]]-Table1[[#This Row],[CREDIT]]</f>
        <v>-896.90999999997439</v>
      </c>
      <c r="M599" s="36">
        <v>510000</v>
      </c>
      <c r="N599" s="26">
        <v>509103.09</v>
      </c>
      <c r="O599" s="38">
        <v>388673.18</v>
      </c>
      <c r="P599" s="25">
        <v>120429.91</v>
      </c>
      <c r="Q599" s="25">
        <v>97718.37</v>
      </c>
      <c r="R599" s="10">
        <v>64220</v>
      </c>
      <c r="S599" s="39">
        <v>23330</v>
      </c>
      <c r="T599" s="10" t="s">
        <v>44</v>
      </c>
      <c r="U599" s="10" t="s">
        <v>45</v>
      </c>
      <c r="V599" s="10">
        <v>0</v>
      </c>
      <c r="W599" s="25">
        <f>Table1[[#This Row],[STAB]]-Table1[[#This Row],[AMOUNT]]</f>
        <v>23330</v>
      </c>
      <c r="X599" s="10">
        <v>0</v>
      </c>
      <c r="Y599" s="10" t="s">
        <v>79</v>
      </c>
      <c r="Z599" s="10">
        <v>0</v>
      </c>
      <c r="AA599" s="10" t="s">
        <v>113</v>
      </c>
      <c r="AB599" s="10" t="s">
        <v>374</v>
      </c>
      <c r="AC599" s="10"/>
      <c r="AD599" s="9" t="s">
        <v>3474</v>
      </c>
      <c r="AE599" s="10" t="s">
        <v>3517</v>
      </c>
      <c r="AF599" s="10" t="s">
        <v>686</v>
      </c>
      <c r="AG599" s="10" t="s">
        <v>324</v>
      </c>
      <c r="AH599" s="10" t="s">
        <v>722</v>
      </c>
      <c r="AI599" s="10" t="s">
        <v>370</v>
      </c>
      <c r="AJ599" s="10">
        <v>801448854</v>
      </c>
      <c r="AK599" s="10" t="s">
        <v>105</v>
      </c>
      <c r="AL599" s="10"/>
      <c r="AM599" s="10"/>
      <c r="AN599" s="11" t="s">
        <v>390</v>
      </c>
      <c r="AO599" s="10" t="s">
        <v>394</v>
      </c>
      <c r="AP599" s="10" t="s">
        <v>6390</v>
      </c>
      <c r="AQ599" s="10" t="s">
        <v>6364</v>
      </c>
      <c r="AR599" s="2">
        <v>45867</v>
      </c>
      <c r="AS599" s="10">
        <v>100000</v>
      </c>
      <c r="AT599" s="10" t="s">
        <v>47</v>
      </c>
      <c r="AU599" s="10" t="s">
        <v>3266</v>
      </c>
      <c r="AV599" s="36" t="s">
        <v>3561</v>
      </c>
      <c r="AW599" s="1">
        <v>46211</v>
      </c>
    </row>
    <row r="600" spans="1:49" x14ac:dyDescent="0.25">
      <c r="A600" s="9" t="s">
        <v>3922</v>
      </c>
      <c r="B600" s="10" t="s">
        <v>3987</v>
      </c>
      <c r="C600" s="10">
        <v>0</v>
      </c>
      <c r="D600" s="10" t="s">
        <v>91</v>
      </c>
      <c r="E600" s="10"/>
      <c r="F600" s="10"/>
      <c r="G600" s="10"/>
      <c r="H600" s="10" t="s">
        <v>84</v>
      </c>
      <c r="I600" s="10">
        <v>20</v>
      </c>
      <c r="J600" s="10" t="s">
        <v>4052</v>
      </c>
      <c r="K600" s="10" t="s">
        <v>42</v>
      </c>
      <c r="L600" s="10">
        <f>Table1[[#This Row],[ENR]]-Table1[[#This Row],[CREDIT]]</f>
        <v>31805.710000000021</v>
      </c>
      <c r="M600" s="36">
        <v>470000</v>
      </c>
      <c r="N600" s="26">
        <v>501805.71</v>
      </c>
      <c r="O600" s="38">
        <v>373241.74</v>
      </c>
      <c r="P600" s="25">
        <v>128563.97</v>
      </c>
      <c r="Q600" s="25">
        <v>96753.79</v>
      </c>
      <c r="R600" s="10">
        <v>128563.97</v>
      </c>
      <c r="S600" s="39">
        <v>65633.5</v>
      </c>
      <c r="T600" s="10" t="s">
        <v>44</v>
      </c>
      <c r="U600" s="10" t="s">
        <v>45</v>
      </c>
      <c r="V600" s="10">
        <v>0</v>
      </c>
      <c r="W600" s="25">
        <f>Table1[[#This Row],[STAB]]-Table1[[#This Row],[AMOUNT]]</f>
        <v>65633.5</v>
      </c>
      <c r="X600" s="10">
        <v>0</v>
      </c>
      <c r="Y600" s="10" t="s">
        <v>79</v>
      </c>
      <c r="Z600" s="10">
        <v>0</v>
      </c>
      <c r="AA600" s="10" t="s">
        <v>113</v>
      </c>
      <c r="AB600" s="36" t="s">
        <v>133</v>
      </c>
      <c r="AC600" s="10"/>
      <c r="AD600" s="9" t="s">
        <v>4117</v>
      </c>
      <c r="AE600" s="10" t="s">
        <v>4181</v>
      </c>
      <c r="AF600" s="10" t="s">
        <v>864</v>
      </c>
      <c r="AG600" s="10" t="s">
        <v>54</v>
      </c>
      <c r="AH600" s="10" t="s">
        <v>1398</v>
      </c>
      <c r="AI600" s="10" t="s">
        <v>162</v>
      </c>
      <c r="AJ600" s="10">
        <v>801772794</v>
      </c>
      <c r="AK600" s="10" t="s">
        <v>361</v>
      </c>
      <c r="AL600" s="10"/>
      <c r="AM600" s="10"/>
      <c r="AN600" s="11" t="s">
        <v>46</v>
      </c>
      <c r="AO600" s="10"/>
      <c r="AP600" s="10"/>
      <c r="AQ600" s="10"/>
      <c r="AR600" s="2">
        <v>46108</v>
      </c>
      <c r="AS600" s="10">
        <v>332</v>
      </c>
      <c r="AT600" s="10" t="s">
        <v>293</v>
      </c>
      <c r="AU600" s="10" t="s">
        <v>4205</v>
      </c>
      <c r="AV600" s="36" t="s">
        <v>4247</v>
      </c>
      <c r="AW600" s="1">
        <v>46211</v>
      </c>
    </row>
    <row r="601" spans="1:49" x14ac:dyDescent="0.25">
      <c r="A601" s="9" t="s">
        <v>3348</v>
      </c>
      <c r="B601" s="10" t="s">
        <v>3391</v>
      </c>
      <c r="C601" s="10">
        <v>0</v>
      </c>
      <c r="D601" s="10" t="s">
        <v>91</v>
      </c>
      <c r="E601" s="10"/>
      <c r="F601" s="10"/>
      <c r="G601" s="10"/>
      <c r="H601" s="10" t="s">
        <v>52</v>
      </c>
      <c r="I601" s="10">
        <v>20</v>
      </c>
      <c r="J601" s="10" t="s">
        <v>3434</v>
      </c>
      <c r="K601" s="10" t="s">
        <v>42</v>
      </c>
      <c r="L601" s="10">
        <f>Table1[[#This Row],[ENR]]-Table1[[#This Row],[CREDIT]]</f>
        <v>25898.950000000012</v>
      </c>
      <c r="M601" s="36">
        <v>460000</v>
      </c>
      <c r="N601" s="26">
        <v>485898.95</v>
      </c>
      <c r="O601" s="38" t="s">
        <v>43</v>
      </c>
      <c r="P601" s="25">
        <v>485898.95</v>
      </c>
      <c r="Q601" s="25">
        <v>456211.25</v>
      </c>
      <c r="R601" s="10">
        <v>76120</v>
      </c>
      <c r="S601" s="39">
        <v>22820</v>
      </c>
      <c r="T601" s="10" t="s">
        <v>44</v>
      </c>
      <c r="U601" s="10" t="s">
        <v>45</v>
      </c>
      <c r="V601" s="10">
        <v>0</v>
      </c>
      <c r="W601" s="25">
        <f>Table1[[#This Row],[STAB]]-Table1[[#This Row],[AMOUNT]]</f>
        <v>22820</v>
      </c>
      <c r="X601" s="10">
        <v>0</v>
      </c>
      <c r="Y601" s="10" t="s">
        <v>79</v>
      </c>
      <c r="Z601" s="10">
        <v>0</v>
      </c>
      <c r="AA601" s="10" t="s">
        <v>113</v>
      </c>
      <c r="AB601" s="36" t="s">
        <v>376</v>
      </c>
      <c r="AC601" s="10"/>
      <c r="AD601" s="9" t="s">
        <v>3477</v>
      </c>
      <c r="AE601" s="10" t="s">
        <v>3520</v>
      </c>
      <c r="AF601" s="10" t="s">
        <v>1104</v>
      </c>
      <c r="AG601" s="10" t="s">
        <v>324</v>
      </c>
      <c r="AH601" s="10" t="s">
        <v>1361</v>
      </c>
      <c r="AI601" s="10" t="s">
        <v>1404</v>
      </c>
      <c r="AJ601" s="10">
        <v>802852449</v>
      </c>
      <c r="AK601" s="10" t="s">
        <v>104</v>
      </c>
      <c r="AL601" s="10"/>
      <c r="AM601" s="10"/>
      <c r="AN601" s="11" t="s">
        <v>390</v>
      </c>
      <c r="AO601" s="10" t="s">
        <v>398</v>
      </c>
      <c r="AP601" s="10" t="s">
        <v>5591</v>
      </c>
      <c r="AQ601" s="10" t="s">
        <v>4931</v>
      </c>
      <c r="AR601" s="2">
        <v>45815</v>
      </c>
      <c r="AS601" s="10">
        <v>150000</v>
      </c>
      <c r="AT601" s="10" t="s">
        <v>47</v>
      </c>
      <c r="AU601" s="10" t="s">
        <v>3266</v>
      </c>
      <c r="AV601" s="36" t="s">
        <v>3564</v>
      </c>
      <c r="AW601" s="1">
        <v>46211</v>
      </c>
    </row>
    <row r="602" spans="1:49" x14ac:dyDescent="0.25">
      <c r="A602" s="9" t="s">
        <v>3355</v>
      </c>
      <c r="B602" s="10" t="s">
        <v>3398</v>
      </c>
      <c r="C602" s="10">
        <v>0</v>
      </c>
      <c r="D602" s="10" t="s">
        <v>91</v>
      </c>
      <c r="E602" s="10"/>
      <c r="F602" s="10"/>
      <c r="G602" s="10"/>
      <c r="H602" s="10" t="s">
        <v>52</v>
      </c>
      <c r="I602" s="10">
        <v>20</v>
      </c>
      <c r="J602" s="10" t="s">
        <v>3441</v>
      </c>
      <c r="K602" s="10" t="s">
        <v>42</v>
      </c>
      <c r="L602" s="10">
        <f>Table1[[#This Row],[ENR]]-Table1[[#This Row],[CREDIT]]</f>
        <v>53260.320000000007</v>
      </c>
      <c r="M602" s="36">
        <v>430000</v>
      </c>
      <c r="N602" s="26">
        <v>483260.32</v>
      </c>
      <c r="O602" s="38" t="s">
        <v>43</v>
      </c>
      <c r="P602" s="25">
        <v>483260.32</v>
      </c>
      <c r="Q602" s="25">
        <v>427287.2</v>
      </c>
      <c r="R602" s="10">
        <v>158890</v>
      </c>
      <c r="S602" s="39">
        <v>76790</v>
      </c>
      <c r="T602" s="10" t="s">
        <v>57</v>
      </c>
      <c r="U602" s="10" t="s">
        <v>13</v>
      </c>
      <c r="V602" s="10">
        <v>290000</v>
      </c>
      <c r="W602" s="25">
        <f>Table1[[#This Row],[STAB]]-Table1[[#This Row],[AMOUNT]]</f>
        <v>-213210</v>
      </c>
      <c r="X602" s="10" t="s">
        <v>6364</v>
      </c>
      <c r="Y602" s="10" t="s">
        <v>396</v>
      </c>
      <c r="Z602" s="10" t="s">
        <v>964</v>
      </c>
      <c r="AA602" s="10" t="s">
        <v>113</v>
      </c>
      <c r="AB602" s="36" t="s">
        <v>376</v>
      </c>
      <c r="AC602" s="10"/>
      <c r="AD602" s="9" t="s">
        <v>3484</v>
      </c>
      <c r="AE602" s="10" t="s">
        <v>3527</v>
      </c>
      <c r="AF602" s="10" t="s">
        <v>498</v>
      </c>
      <c r="AG602" s="10" t="s">
        <v>53</v>
      </c>
      <c r="AH602" s="10" t="s">
        <v>90</v>
      </c>
      <c r="AI602" s="10" t="s">
        <v>162</v>
      </c>
      <c r="AJ602" s="10">
        <v>801772794</v>
      </c>
      <c r="AK602" s="10" t="s">
        <v>361</v>
      </c>
      <c r="AL602" s="10"/>
      <c r="AM602" s="10"/>
      <c r="AN602" s="11" t="s">
        <v>390</v>
      </c>
      <c r="AO602" s="10" t="s">
        <v>392</v>
      </c>
      <c r="AP602" s="10" t="s">
        <v>6396</v>
      </c>
      <c r="AQ602" s="10" t="s">
        <v>6364</v>
      </c>
      <c r="AR602" s="2">
        <v>46150</v>
      </c>
      <c r="AS602" s="10">
        <v>11899</v>
      </c>
      <c r="AT602" s="10" t="s">
        <v>503</v>
      </c>
      <c r="AU602" s="10" t="s">
        <v>3266</v>
      </c>
      <c r="AV602" s="36" t="s">
        <v>3355</v>
      </c>
      <c r="AW602" s="1">
        <v>46211</v>
      </c>
    </row>
    <row r="603" spans="1:49" x14ac:dyDescent="0.25">
      <c r="A603" s="9" t="s">
        <v>3343</v>
      </c>
      <c r="B603" s="10" t="s">
        <v>3386</v>
      </c>
      <c r="C603" s="10">
        <v>0</v>
      </c>
      <c r="D603" s="10" t="s">
        <v>91</v>
      </c>
      <c r="E603" s="10"/>
      <c r="F603" s="10"/>
      <c r="G603" s="10"/>
      <c r="H603" s="10" t="s">
        <v>84</v>
      </c>
      <c r="I603" s="10">
        <v>20</v>
      </c>
      <c r="J603" s="10" t="s">
        <v>3429</v>
      </c>
      <c r="K603" s="10" t="s">
        <v>42</v>
      </c>
      <c r="L603" s="10">
        <f>Table1[[#This Row],[ENR]]-Table1[[#This Row],[CREDIT]]</f>
        <v>349633.12</v>
      </c>
      <c r="M603" s="36">
        <v>120000</v>
      </c>
      <c r="N603" s="26">
        <v>469633.12</v>
      </c>
      <c r="O603" s="38">
        <v>326110.18</v>
      </c>
      <c r="P603" s="25">
        <v>143522.94</v>
      </c>
      <c r="Q603" s="25">
        <v>134141.59</v>
      </c>
      <c r="R603" s="10">
        <v>79900</v>
      </c>
      <c r="S603" s="39">
        <v>54660</v>
      </c>
      <c r="T603" s="10" t="s">
        <v>44</v>
      </c>
      <c r="U603" s="10" t="s">
        <v>45</v>
      </c>
      <c r="V603" s="10">
        <v>0</v>
      </c>
      <c r="W603" s="25">
        <f>Table1[[#This Row],[STAB]]-Table1[[#This Row],[AMOUNT]]</f>
        <v>54660</v>
      </c>
      <c r="X603" s="10">
        <v>0</v>
      </c>
      <c r="Y603" s="10" t="s">
        <v>79</v>
      </c>
      <c r="Z603" s="10">
        <v>0</v>
      </c>
      <c r="AA603" s="10" t="s">
        <v>113</v>
      </c>
      <c r="AB603" s="41" t="s">
        <v>374</v>
      </c>
      <c r="AC603" s="10"/>
      <c r="AD603" s="9" t="s">
        <v>3472</v>
      </c>
      <c r="AE603" s="10" t="s">
        <v>3515</v>
      </c>
      <c r="AF603" s="10" t="s">
        <v>1321</v>
      </c>
      <c r="AG603" s="10" t="s">
        <v>324</v>
      </c>
      <c r="AH603" s="10" t="s">
        <v>1361</v>
      </c>
      <c r="AI603" s="10" t="s">
        <v>1404</v>
      </c>
      <c r="AJ603" s="10">
        <v>802852449</v>
      </c>
      <c r="AK603" s="10" t="s">
        <v>104</v>
      </c>
      <c r="AL603" s="10"/>
      <c r="AM603" s="10"/>
      <c r="AN603" s="11" t="s">
        <v>390</v>
      </c>
      <c r="AO603" s="10" t="s">
        <v>394</v>
      </c>
      <c r="AP603" s="10" t="s">
        <v>6315</v>
      </c>
      <c r="AQ603" s="10" t="s">
        <v>4937</v>
      </c>
      <c r="AR603" s="2">
        <v>45859</v>
      </c>
      <c r="AS603" s="10">
        <v>23660</v>
      </c>
      <c r="AT603" s="10" t="s">
        <v>48</v>
      </c>
      <c r="AU603" s="10" t="s">
        <v>3266</v>
      </c>
      <c r="AV603" s="36" t="s">
        <v>3559</v>
      </c>
      <c r="AW603" s="1">
        <v>46211</v>
      </c>
    </row>
    <row r="604" spans="1:49" x14ac:dyDescent="0.25">
      <c r="A604" s="9" t="s">
        <v>3349</v>
      </c>
      <c r="B604" s="10" t="s">
        <v>3392</v>
      </c>
      <c r="C604" s="10">
        <v>0</v>
      </c>
      <c r="D604" s="10" t="s">
        <v>91</v>
      </c>
      <c r="E604" s="10"/>
      <c r="F604" s="10"/>
      <c r="G604" s="10"/>
      <c r="H604" s="10" t="s">
        <v>52</v>
      </c>
      <c r="I604" s="10">
        <v>20</v>
      </c>
      <c r="J604" s="10" t="s">
        <v>3435</v>
      </c>
      <c r="K604" s="10" t="s">
        <v>42</v>
      </c>
      <c r="L604" s="10">
        <f>Table1[[#This Row],[ENR]]-Table1[[#This Row],[CREDIT]]</f>
        <v>-33899.580000000016</v>
      </c>
      <c r="M604" s="36">
        <v>500000</v>
      </c>
      <c r="N604" s="26">
        <v>466100.42</v>
      </c>
      <c r="O604" s="38" t="s">
        <v>43</v>
      </c>
      <c r="P604" s="25">
        <v>466100.42</v>
      </c>
      <c r="Q604" s="25">
        <v>426776.32000000001</v>
      </c>
      <c r="R604" s="10">
        <v>81070</v>
      </c>
      <c r="S604" s="39">
        <v>39599</v>
      </c>
      <c r="T604" s="10" t="s">
        <v>44</v>
      </c>
      <c r="U604" s="10" t="s">
        <v>45</v>
      </c>
      <c r="V604" s="10">
        <v>0</v>
      </c>
      <c r="W604" s="25">
        <f>Table1[[#This Row],[STAB]]-Table1[[#This Row],[AMOUNT]]</f>
        <v>39599</v>
      </c>
      <c r="X604" s="10">
        <v>0</v>
      </c>
      <c r="Y604" s="10" t="s">
        <v>79</v>
      </c>
      <c r="Z604" s="10">
        <v>0</v>
      </c>
      <c r="AA604" s="10" t="s">
        <v>113</v>
      </c>
      <c r="AB604" s="41" t="s">
        <v>375</v>
      </c>
      <c r="AC604" s="10"/>
      <c r="AD604" s="9" t="s">
        <v>3478</v>
      </c>
      <c r="AE604" s="10" t="s">
        <v>3521</v>
      </c>
      <c r="AF604" s="10" t="s">
        <v>500</v>
      </c>
      <c r="AG604" s="10" t="s">
        <v>324</v>
      </c>
      <c r="AH604" s="10" t="s">
        <v>1956</v>
      </c>
      <c r="AI604" s="10" t="s">
        <v>1403</v>
      </c>
      <c r="AJ604" s="10">
        <v>802631601</v>
      </c>
      <c r="AK604" s="10" t="s">
        <v>362</v>
      </c>
      <c r="AL604" s="10"/>
      <c r="AM604" s="10"/>
      <c r="AN604" s="11" t="s">
        <v>390</v>
      </c>
      <c r="AO604" s="10" t="s">
        <v>398</v>
      </c>
      <c r="AP604" s="10" t="s">
        <v>4927</v>
      </c>
      <c r="AQ604" s="10" t="s">
        <v>4923</v>
      </c>
      <c r="AR604" s="2">
        <v>46025</v>
      </c>
      <c r="AS604" s="10">
        <v>50000</v>
      </c>
      <c r="AT604" s="10" t="s">
        <v>47</v>
      </c>
      <c r="AU604" s="10" t="s">
        <v>3266</v>
      </c>
      <c r="AV604" s="36" t="s">
        <v>3565</v>
      </c>
      <c r="AW604" s="1">
        <v>46211</v>
      </c>
    </row>
    <row r="605" spans="1:49" x14ac:dyDescent="0.25">
      <c r="A605" s="9" t="s">
        <v>3350</v>
      </c>
      <c r="B605" s="10" t="s">
        <v>3393</v>
      </c>
      <c r="C605" s="10">
        <v>0</v>
      </c>
      <c r="D605" s="10" t="s">
        <v>91</v>
      </c>
      <c r="E605" s="10"/>
      <c r="F605" s="10"/>
      <c r="G605" s="10"/>
      <c r="H605" s="10" t="s">
        <v>52</v>
      </c>
      <c r="I605" s="10">
        <v>20</v>
      </c>
      <c r="J605" s="10" t="s">
        <v>3436</v>
      </c>
      <c r="K605" s="10" t="s">
        <v>42</v>
      </c>
      <c r="L605" s="10">
        <f>Table1[[#This Row],[ENR]]-Table1[[#This Row],[CREDIT]]</f>
        <v>43005.109999999986</v>
      </c>
      <c r="M605" s="36">
        <v>420000</v>
      </c>
      <c r="N605" s="26">
        <v>463005.11</v>
      </c>
      <c r="O605" s="38" t="s">
        <v>43</v>
      </c>
      <c r="P605" s="25">
        <v>463005.11</v>
      </c>
      <c r="Q605" s="25">
        <v>397876</v>
      </c>
      <c r="R605" s="10">
        <v>144200</v>
      </c>
      <c r="S605" s="39">
        <v>66080</v>
      </c>
      <c r="T605" s="10" t="s">
        <v>57</v>
      </c>
      <c r="U605" s="10" t="s">
        <v>14</v>
      </c>
      <c r="V605" s="10">
        <v>90000</v>
      </c>
      <c r="W605" s="25">
        <f>Table1[[#This Row],[STAB]]-Table1[[#This Row],[AMOUNT]]</f>
        <v>-23920</v>
      </c>
      <c r="X605" s="10" t="s">
        <v>6364</v>
      </c>
      <c r="Y605" s="10" t="s">
        <v>396</v>
      </c>
      <c r="Z605" s="10" t="s">
        <v>963</v>
      </c>
      <c r="AA605" s="10" t="s">
        <v>113</v>
      </c>
      <c r="AB605" s="36" t="s">
        <v>133</v>
      </c>
      <c r="AC605" s="10"/>
      <c r="AD605" s="9" t="s">
        <v>3479</v>
      </c>
      <c r="AE605" s="10" t="s">
        <v>3522</v>
      </c>
      <c r="AF605" s="10" t="s">
        <v>272</v>
      </c>
      <c r="AG605" s="10" t="s">
        <v>54</v>
      </c>
      <c r="AH605" s="10" t="s">
        <v>523</v>
      </c>
      <c r="AI605" s="10" t="s">
        <v>371</v>
      </c>
      <c r="AJ605" s="10">
        <v>802835406</v>
      </c>
      <c r="AK605" s="10" t="s">
        <v>362</v>
      </c>
      <c r="AL605" s="10"/>
      <c r="AM605" s="10"/>
      <c r="AN605" s="11" t="s">
        <v>390</v>
      </c>
      <c r="AO605" s="10" t="s">
        <v>392</v>
      </c>
      <c r="AP605" s="10" t="s">
        <v>4990</v>
      </c>
      <c r="AQ605" s="10" t="s">
        <v>4936</v>
      </c>
      <c r="AR605" s="2">
        <v>46119</v>
      </c>
      <c r="AS605" s="10">
        <v>249176.55</v>
      </c>
      <c r="AT605" s="10" t="s">
        <v>291</v>
      </c>
      <c r="AU605" s="10" t="s">
        <v>3266</v>
      </c>
      <c r="AV605" s="36" t="s">
        <v>3566</v>
      </c>
      <c r="AW605" s="1">
        <v>46211</v>
      </c>
    </row>
    <row r="606" spans="1:49" x14ac:dyDescent="0.25">
      <c r="A606" s="9" t="s">
        <v>3344</v>
      </c>
      <c r="B606" s="10" t="s">
        <v>3387</v>
      </c>
      <c r="C606" s="10">
        <v>0</v>
      </c>
      <c r="D606" s="10" t="s">
        <v>91</v>
      </c>
      <c r="E606" s="10"/>
      <c r="F606" s="10"/>
      <c r="G606" s="10"/>
      <c r="H606" s="10" t="s">
        <v>52</v>
      </c>
      <c r="I606" s="10">
        <v>20</v>
      </c>
      <c r="J606" s="10" t="s">
        <v>3430</v>
      </c>
      <c r="K606" s="10" t="s">
        <v>42</v>
      </c>
      <c r="L606" s="10">
        <f>Table1[[#This Row],[ENR]]-Table1[[#This Row],[CREDIT]]</f>
        <v>17982.989999999991</v>
      </c>
      <c r="M606" s="36">
        <v>440000</v>
      </c>
      <c r="N606" s="26">
        <v>457982.99</v>
      </c>
      <c r="O606" s="38" t="s">
        <v>43</v>
      </c>
      <c r="P606" s="25">
        <v>457982.99</v>
      </c>
      <c r="Q606" s="25">
        <v>439309.66</v>
      </c>
      <c r="R606" s="10">
        <v>53210</v>
      </c>
      <c r="S606" s="39">
        <v>9880</v>
      </c>
      <c r="T606" s="10" t="s">
        <v>44</v>
      </c>
      <c r="U606" s="10" t="s">
        <v>45</v>
      </c>
      <c r="V606" s="10">
        <v>0</v>
      </c>
      <c r="W606" s="25">
        <f>Table1[[#This Row],[STAB]]-Table1[[#This Row],[AMOUNT]]</f>
        <v>9880</v>
      </c>
      <c r="X606" s="10">
        <v>0</v>
      </c>
      <c r="Y606" s="10" t="s">
        <v>79</v>
      </c>
      <c r="Z606" s="10">
        <v>0</v>
      </c>
      <c r="AA606" s="10" t="s">
        <v>113</v>
      </c>
      <c r="AB606" s="36" t="s">
        <v>131</v>
      </c>
      <c r="AC606" s="10"/>
      <c r="AD606" s="9" t="s">
        <v>3473</v>
      </c>
      <c r="AE606" s="10" t="s">
        <v>3516</v>
      </c>
      <c r="AF606" s="10" t="s">
        <v>275</v>
      </c>
      <c r="AG606" s="10" t="s">
        <v>80</v>
      </c>
      <c r="AH606" s="10" t="s">
        <v>87</v>
      </c>
      <c r="AI606" s="10" t="s">
        <v>368</v>
      </c>
      <c r="AJ606" s="10">
        <v>802823175</v>
      </c>
      <c r="AK606" s="10" t="s">
        <v>105</v>
      </c>
      <c r="AL606" s="10"/>
      <c r="AM606" s="10"/>
      <c r="AN606" s="11" t="s">
        <v>390</v>
      </c>
      <c r="AO606" s="10" t="s">
        <v>531</v>
      </c>
      <c r="AP606" s="10" t="s">
        <v>6374</v>
      </c>
      <c r="AQ606" s="10" t="s">
        <v>6364</v>
      </c>
      <c r="AR606" s="2">
        <v>45506</v>
      </c>
      <c r="AS606" s="10">
        <v>100198.83</v>
      </c>
      <c r="AT606" s="10" t="s">
        <v>291</v>
      </c>
      <c r="AU606" s="10" t="s">
        <v>3266</v>
      </c>
      <c r="AV606" s="36" t="s">
        <v>3560</v>
      </c>
      <c r="AW606" s="1">
        <v>46211</v>
      </c>
    </row>
    <row r="607" spans="1:49" x14ac:dyDescent="0.25">
      <c r="A607" s="9" t="s">
        <v>3351</v>
      </c>
      <c r="B607" s="10" t="s">
        <v>3394</v>
      </c>
      <c r="C607" s="10">
        <v>0</v>
      </c>
      <c r="D607" s="10" t="s">
        <v>91</v>
      </c>
      <c r="E607" s="10"/>
      <c r="F607" s="10"/>
      <c r="G607" s="10"/>
      <c r="H607" s="10" t="s">
        <v>52</v>
      </c>
      <c r="I607" s="10">
        <v>20</v>
      </c>
      <c r="J607" s="10" t="s">
        <v>3437</v>
      </c>
      <c r="K607" s="10" t="s">
        <v>42</v>
      </c>
      <c r="L607" s="10">
        <f>Table1[[#This Row],[ENR]]-Table1[[#This Row],[CREDIT]]</f>
        <v>14002.270000000019</v>
      </c>
      <c r="M607" s="36">
        <v>440000</v>
      </c>
      <c r="N607" s="26">
        <v>454002.27</v>
      </c>
      <c r="O607" s="38" t="s">
        <v>43</v>
      </c>
      <c r="P607" s="25">
        <v>454002.27</v>
      </c>
      <c r="Q607" s="25">
        <v>416476.43</v>
      </c>
      <c r="R607" s="10">
        <v>90680</v>
      </c>
      <c r="S607" s="39">
        <v>20020</v>
      </c>
      <c r="T607" s="10" t="s">
        <v>44</v>
      </c>
      <c r="U607" s="10" t="s">
        <v>45</v>
      </c>
      <c r="V607" s="10">
        <v>0</v>
      </c>
      <c r="W607" s="25">
        <f>Table1[[#This Row],[STAB]]-Table1[[#This Row],[AMOUNT]]</f>
        <v>20020</v>
      </c>
      <c r="X607" s="10">
        <v>0</v>
      </c>
      <c r="Y607" s="10" t="s">
        <v>79</v>
      </c>
      <c r="Z607" s="10">
        <v>0</v>
      </c>
      <c r="AA607" s="10" t="s">
        <v>113</v>
      </c>
      <c r="AB607" s="36" t="s">
        <v>132</v>
      </c>
      <c r="AC607" s="10"/>
      <c r="AD607" s="9" t="s">
        <v>3480</v>
      </c>
      <c r="AE607" s="10" t="s">
        <v>3523</v>
      </c>
      <c r="AF607" s="10" t="s">
        <v>280</v>
      </c>
      <c r="AG607" s="10" t="s">
        <v>54</v>
      </c>
      <c r="AH607" s="10" t="s">
        <v>280</v>
      </c>
      <c r="AI607" s="10" t="s">
        <v>365</v>
      </c>
      <c r="AJ607" s="10">
        <v>802824019</v>
      </c>
      <c r="AK607" s="10" t="s">
        <v>360</v>
      </c>
      <c r="AL607" s="10"/>
      <c r="AM607" s="10"/>
      <c r="AN607" s="11" t="s">
        <v>46</v>
      </c>
      <c r="AO607" s="10"/>
      <c r="AP607" s="10"/>
      <c r="AQ607" s="10"/>
      <c r="AR607" s="2">
        <v>46150</v>
      </c>
      <c r="AS607" s="10">
        <v>35850.239999999998</v>
      </c>
      <c r="AT607" s="10" t="s">
        <v>291</v>
      </c>
      <c r="AU607" s="10" t="s">
        <v>3266</v>
      </c>
      <c r="AV607" s="36" t="s">
        <v>3567</v>
      </c>
      <c r="AW607" s="1">
        <v>46211</v>
      </c>
    </row>
    <row r="608" spans="1:49" x14ac:dyDescent="0.25">
      <c r="A608" s="9" t="s">
        <v>3346</v>
      </c>
      <c r="B608" s="10" t="s">
        <v>3389</v>
      </c>
      <c r="C608" s="10">
        <v>0</v>
      </c>
      <c r="D608" s="10" t="s">
        <v>91</v>
      </c>
      <c r="E608" s="10"/>
      <c r="F608" s="10"/>
      <c r="G608" s="10"/>
      <c r="H608" s="10" t="s">
        <v>52</v>
      </c>
      <c r="I608" s="10">
        <v>20</v>
      </c>
      <c r="J608" s="10" t="s">
        <v>3432</v>
      </c>
      <c r="K608" s="10" t="s">
        <v>42</v>
      </c>
      <c r="L608" s="10">
        <f>Table1[[#This Row],[ENR]]-Table1[[#This Row],[CREDIT]]</f>
        <v>40720.400000000023</v>
      </c>
      <c r="M608" s="36">
        <v>410000</v>
      </c>
      <c r="N608" s="26">
        <v>450720.4</v>
      </c>
      <c r="O608" s="38" t="s">
        <v>43</v>
      </c>
      <c r="P608" s="25">
        <v>450720.4</v>
      </c>
      <c r="Q608" s="25">
        <v>409934.01</v>
      </c>
      <c r="R608" s="10">
        <v>119450</v>
      </c>
      <c r="S608" s="39">
        <v>20500</v>
      </c>
      <c r="T608" s="10" t="s">
        <v>44</v>
      </c>
      <c r="U608" s="10" t="s">
        <v>45</v>
      </c>
      <c r="V608" s="10">
        <v>0</v>
      </c>
      <c r="W608" s="25">
        <f>Table1[[#This Row],[STAB]]-Table1[[#This Row],[AMOUNT]]</f>
        <v>20500</v>
      </c>
      <c r="X608" s="10">
        <v>0</v>
      </c>
      <c r="Y608" s="10" t="s">
        <v>79</v>
      </c>
      <c r="Z608" s="10">
        <v>0</v>
      </c>
      <c r="AA608" s="10" t="s">
        <v>113</v>
      </c>
      <c r="AB608" s="36" t="s">
        <v>133</v>
      </c>
      <c r="AC608" s="10"/>
      <c r="AD608" s="9" t="s">
        <v>3475</v>
      </c>
      <c r="AE608" s="10" t="s">
        <v>3518</v>
      </c>
      <c r="AF608" s="10" t="s">
        <v>3544</v>
      </c>
      <c r="AG608" s="10" t="s">
        <v>324</v>
      </c>
      <c r="AH608" s="10" t="s">
        <v>1956</v>
      </c>
      <c r="AI608" s="10" t="s">
        <v>1403</v>
      </c>
      <c r="AJ608" s="10">
        <v>802631601</v>
      </c>
      <c r="AK608" s="10" t="s">
        <v>362</v>
      </c>
      <c r="AL608" s="10"/>
      <c r="AM608" s="10"/>
      <c r="AN608" s="11" t="s">
        <v>390</v>
      </c>
      <c r="AO608" s="10" t="s">
        <v>398</v>
      </c>
      <c r="AP608" s="10" t="s">
        <v>6411</v>
      </c>
      <c r="AQ608" s="10" t="s">
        <v>6399</v>
      </c>
      <c r="AR608" s="2">
        <v>45996</v>
      </c>
      <c r="AS608" s="10">
        <v>50000</v>
      </c>
      <c r="AT608" s="10" t="s">
        <v>47</v>
      </c>
      <c r="AU608" s="10" t="s">
        <v>3266</v>
      </c>
      <c r="AV608" s="36" t="s">
        <v>3562</v>
      </c>
      <c r="AW608" s="1">
        <v>46211</v>
      </c>
    </row>
    <row r="609" spans="1:49" x14ac:dyDescent="0.25">
      <c r="A609" s="9" t="s">
        <v>3354</v>
      </c>
      <c r="B609" s="10" t="s">
        <v>3397</v>
      </c>
      <c r="C609" s="10">
        <v>0</v>
      </c>
      <c r="D609" s="10" t="s">
        <v>91</v>
      </c>
      <c r="E609" s="10"/>
      <c r="F609" s="10"/>
      <c r="G609" s="10"/>
      <c r="H609" s="10" t="s">
        <v>84</v>
      </c>
      <c r="I609" s="10">
        <v>20</v>
      </c>
      <c r="J609" s="10" t="s">
        <v>3440</v>
      </c>
      <c r="K609" s="10" t="s">
        <v>42</v>
      </c>
      <c r="L609" s="10">
        <f>Table1[[#This Row],[ENR]]-Table1[[#This Row],[CREDIT]]</f>
        <v>20384.599999999977</v>
      </c>
      <c r="M609" s="36">
        <v>430000</v>
      </c>
      <c r="N609" s="26">
        <v>450384.6</v>
      </c>
      <c r="O609" s="38" t="s">
        <v>43</v>
      </c>
      <c r="P609" s="25">
        <v>450384.6</v>
      </c>
      <c r="Q609" s="25">
        <v>428117.73</v>
      </c>
      <c r="R609" s="10">
        <v>104100</v>
      </c>
      <c r="S609" s="39">
        <v>60770</v>
      </c>
      <c r="T609" s="10" t="s">
        <v>44</v>
      </c>
      <c r="U609" s="10" t="s">
        <v>45</v>
      </c>
      <c r="V609" s="10">
        <v>0</v>
      </c>
      <c r="W609" s="25">
        <f>Table1[[#This Row],[STAB]]-Table1[[#This Row],[AMOUNT]]</f>
        <v>60770</v>
      </c>
      <c r="X609" s="10">
        <v>0</v>
      </c>
      <c r="Y609" s="10" t="s">
        <v>79</v>
      </c>
      <c r="Z609" s="10">
        <v>0</v>
      </c>
      <c r="AA609" s="10" t="s">
        <v>113</v>
      </c>
      <c r="AB609" s="10" t="s">
        <v>131</v>
      </c>
      <c r="AC609" s="10"/>
      <c r="AD609" s="9" t="s">
        <v>3483</v>
      </c>
      <c r="AE609" s="10" t="s">
        <v>3526</v>
      </c>
      <c r="AF609" s="10" t="s">
        <v>686</v>
      </c>
      <c r="AG609" s="10" t="s">
        <v>324</v>
      </c>
      <c r="AH609" s="10" t="s">
        <v>722</v>
      </c>
      <c r="AI609" s="10" t="s">
        <v>370</v>
      </c>
      <c r="AJ609" s="10">
        <v>801448854</v>
      </c>
      <c r="AK609" s="10" t="s">
        <v>105</v>
      </c>
      <c r="AL609" s="10"/>
      <c r="AM609" s="10"/>
      <c r="AN609" s="11" t="s">
        <v>390</v>
      </c>
      <c r="AO609" s="10" t="s">
        <v>394</v>
      </c>
      <c r="AP609" s="10" t="s">
        <v>6331</v>
      </c>
      <c r="AQ609" s="10" t="s">
        <v>4976</v>
      </c>
      <c r="AR609" s="2">
        <v>45451</v>
      </c>
      <c r="AS609" s="10">
        <v>60000</v>
      </c>
      <c r="AT609" s="10" t="s">
        <v>293</v>
      </c>
      <c r="AU609" s="10" t="s">
        <v>3266</v>
      </c>
      <c r="AV609" s="36" t="s">
        <v>3570</v>
      </c>
      <c r="AW609" s="1">
        <v>46211</v>
      </c>
    </row>
    <row r="610" spans="1:49" x14ac:dyDescent="0.25">
      <c r="A610" s="9" t="s">
        <v>3916</v>
      </c>
      <c r="B610" s="10" t="s">
        <v>3981</v>
      </c>
      <c r="C610" s="10">
        <v>0</v>
      </c>
      <c r="D610" s="10" t="s">
        <v>91</v>
      </c>
      <c r="E610" s="10"/>
      <c r="F610" s="10"/>
      <c r="G610" s="10"/>
      <c r="H610" s="10" t="s">
        <v>52</v>
      </c>
      <c r="I610" s="10">
        <v>20</v>
      </c>
      <c r="J610" s="10" t="s">
        <v>4046</v>
      </c>
      <c r="K610" s="10" t="s">
        <v>42</v>
      </c>
      <c r="L610" s="10">
        <f>Table1[[#This Row],[ENR]]-Table1[[#This Row],[CREDIT]]</f>
        <v>16480.580000000016</v>
      </c>
      <c r="M610" s="36">
        <v>380000</v>
      </c>
      <c r="N610" s="26">
        <v>396480.58</v>
      </c>
      <c r="O610" s="38">
        <v>304890.26</v>
      </c>
      <c r="P610" s="25">
        <v>91590.32</v>
      </c>
      <c r="Q610" s="25">
        <v>72301.77</v>
      </c>
      <c r="R610" s="10">
        <v>65700</v>
      </c>
      <c r="S610" s="39">
        <v>23990</v>
      </c>
      <c r="T610" s="10" t="s">
        <v>44</v>
      </c>
      <c r="U610" s="10" t="s">
        <v>45</v>
      </c>
      <c r="V610" s="10">
        <v>0</v>
      </c>
      <c r="W610" s="25">
        <f>Table1[[#This Row],[STAB]]-Table1[[#This Row],[AMOUNT]]</f>
        <v>23990</v>
      </c>
      <c r="X610" s="10">
        <v>0</v>
      </c>
      <c r="Y610" s="10" t="s">
        <v>79</v>
      </c>
      <c r="Z610" s="10">
        <v>0</v>
      </c>
      <c r="AA610" s="10" t="s">
        <v>113</v>
      </c>
      <c r="AB610" s="36" t="s">
        <v>376</v>
      </c>
      <c r="AC610" s="10"/>
      <c r="AD610" s="9" t="s">
        <v>4111</v>
      </c>
      <c r="AE610" s="10" t="s">
        <v>4175</v>
      </c>
      <c r="AF610" s="10" t="s">
        <v>1319</v>
      </c>
      <c r="AG610" s="10" t="s">
        <v>54</v>
      </c>
      <c r="AH610" s="10" t="s">
        <v>59</v>
      </c>
      <c r="AI610" s="10" t="s">
        <v>956</v>
      </c>
      <c r="AJ610" s="10">
        <v>802551967</v>
      </c>
      <c r="AK610" s="10" t="s">
        <v>362</v>
      </c>
      <c r="AL610" s="10"/>
      <c r="AM610" s="10"/>
      <c r="AN610" s="11" t="s">
        <v>390</v>
      </c>
      <c r="AO610" s="10" t="s">
        <v>392</v>
      </c>
      <c r="AP610" s="10" t="s">
        <v>6332</v>
      </c>
      <c r="AQ610" s="10" t="s">
        <v>4976</v>
      </c>
      <c r="AR610" s="2">
        <v>45841</v>
      </c>
      <c r="AS610" s="10">
        <v>72013</v>
      </c>
      <c r="AT610" s="10" t="s">
        <v>47</v>
      </c>
      <c r="AU610" s="10" t="s">
        <v>4205</v>
      </c>
      <c r="AV610" s="36" t="s">
        <v>4241</v>
      </c>
      <c r="AW610" s="1">
        <v>46211</v>
      </c>
    </row>
    <row r="611" spans="1:49" x14ac:dyDescent="0.25">
      <c r="A611" s="9" t="s">
        <v>3353</v>
      </c>
      <c r="B611" s="10" t="s">
        <v>3396</v>
      </c>
      <c r="C611" s="10">
        <v>0</v>
      </c>
      <c r="D611" s="10" t="s">
        <v>91</v>
      </c>
      <c r="E611" s="10"/>
      <c r="F611" s="10"/>
      <c r="G611" s="10"/>
      <c r="H611" s="10" t="s">
        <v>52</v>
      </c>
      <c r="I611" s="10">
        <v>20</v>
      </c>
      <c r="J611" s="10" t="s">
        <v>3439</v>
      </c>
      <c r="K611" s="10" t="s">
        <v>42</v>
      </c>
      <c r="L611" s="10">
        <f>Table1[[#This Row],[ENR]]-Table1[[#This Row],[CREDIT]]</f>
        <v>28525.159999999974</v>
      </c>
      <c r="M611" s="36">
        <v>300000</v>
      </c>
      <c r="N611" s="26">
        <v>328525.15999999997</v>
      </c>
      <c r="O611" s="38" t="s">
        <v>43</v>
      </c>
      <c r="P611" s="25">
        <v>328525.15999999997</v>
      </c>
      <c r="Q611" s="25">
        <v>297995.93</v>
      </c>
      <c r="R611" s="10">
        <v>75760</v>
      </c>
      <c r="S611" s="39">
        <v>31440</v>
      </c>
      <c r="T611" s="10" t="s">
        <v>44</v>
      </c>
      <c r="U611" s="10" t="s">
        <v>45</v>
      </c>
      <c r="V611" s="10">
        <v>0</v>
      </c>
      <c r="W611" s="25">
        <f>Table1[[#This Row],[STAB]]-Table1[[#This Row],[AMOUNT]]</f>
        <v>31440</v>
      </c>
      <c r="X611" s="10">
        <v>0</v>
      </c>
      <c r="Y611" s="10" t="s">
        <v>79</v>
      </c>
      <c r="Z611" s="10">
        <v>0</v>
      </c>
      <c r="AA611" s="10" t="s">
        <v>113</v>
      </c>
      <c r="AB611" s="36" t="s">
        <v>375</v>
      </c>
      <c r="AC611" s="10"/>
      <c r="AD611" s="9" t="s">
        <v>3482</v>
      </c>
      <c r="AE611" s="10" t="s">
        <v>3525</v>
      </c>
      <c r="AF611" s="10" t="s">
        <v>500</v>
      </c>
      <c r="AG611" s="10" t="s">
        <v>324</v>
      </c>
      <c r="AH611" s="10" t="s">
        <v>355</v>
      </c>
      <c r="AI611" s="10" t="s">
        <v>372</v>
      </c>
      <c r="AJ611" s="10">
        <v>801597759</v>
      </c>
      <c r="AK611" s="10" t="s">
        <v>362</v>
      </c>
      <c r="AL611" s="10"/>
      <c r="AM611" s="10"/>
      <c r="AN611" s="11" t="s">
        <v>390</v>
      </c>
      <c r="AO611" s="10" t="s">
        <v>392</v>
      </c>
      <c r="AP611" s="10" t="s">
        <v>5019</v>
      </c>
      <c r="AQ611" s="10" t="s">
        <v>4993</v>
      </c>
      <c r="AR611" s="2">
        <v>46120</v>
      </c>
      <c r="AS611" s="10">
        <v>30420</v>
      </c>
      <c r="AT611" s="10" t="s">
        <v>294</v>
      </c>
      <c r="AU611" s="10" t="s">
        <v>3266</v>
      </c>
      <c r="AV611" s="36" t="s">
        <v>3569</v>
      </c>
      <c r="AW611" s="1">
        <v>46211</v>
      </c>
    </row>
    <row r="612" spans="1:49" x14ac:dyDescent="0.25">
      <c r="A612" s="9" t="s">
        <v>3347</v>
      </c>
      <c r="B612" s="10" t="s">
        <v>3390</v>
      </c>
      <c r="C612" s="10">
        <v>0</v>
      </c>
      <c r="D612" s="10" t="s">
        <v>91</v>
      </c>
      <c r="E612" s="10">
        <v>1</v>
      </c>
      <c r="F612" s="10"/>
      <c r="G612" s="10"/>
      <c r="H612" s="10" t="s">
        <v>52</v>
      </c>
      <c r="I612" s="10">
        <v>20</v>
      </c>
      <c r="J612" s="10" t="s">
        <v>3433</v>
      </c>
      <c r="K612" s="10" t="s">
        <v>42</v>
      </c>
      <c r="L612" s="10">
        <f>Table1[[#This Row],[ENR]]-Table1[[#This Row],[CREDIT]]</f>
        <v>14981.690000000002</v>
      </c>
      <c r="M612" s="36">
        <v>300000</v>
      </c>
      <c r="N612" s="26">
        <v>314981.69</v>
      </c>
      <c r="O612" s="38" t="s">
        <v>43</v>
      </c>
      <c r="P612" s="25">
        <v>314981.69</v>
      </c>
      <c r="Q612" s="25">
        <v>294994</v>
      </c>
      <c r="R612" s="10">
        <v>62990</v>
      </c>
      <c r="S612" s="39">
        <v>14750</v>
      </c>
      <c r="T612" s="10" t="s">
        <v>44</v>
      </c>
      <c r="U612" s="10" t="s">
        <v>45</v>
      </c>
      <c r="V612" s="10">
        <v>0</v>
      </c>
      <c r="W612" s="25">
        <f>Table1[[#This Row],[STAB]]-Table1[[#This Row],[AMOUNT]]</f>
        <v>14750</v>
      </c>
      <c r="X612" s="10">
        <v>0</v>
      </c>
      <c r="Y612" s="10" t="s">
        <v>79</v>
      </c>
      <c r="Z612" s="10">
        <v>0</v>
      </c>
      <c r="AA612" s="10" t="s">
        <v>113</v>
      </c>
      <c r="AB612" s="36" t="s">
        <v>374</v>
      </c>
      <c r="AC612" s="10"/>
      <c r="AD612" s="9" t="s">
        <v>3476</v>
      </c>
      <c r="AE612" s="10" t="s">
        <v>3519</v>
      </c>
      <c r="AF612" s="10" t="s">
        <v>286</v>
      </c>
      <c r="AG612" s="10" t="s">
        <v>54</v>
      </c>
      <c r="AH612" s="10" t="s">
        <v>58</v>
      </c>
      <c r="AI612" s="10" t="s">
        <v>133</v>
      </c>
      <c r="AJ612" s="10">
        <v>802555024</v>
      </c>
      <c r="AK612" s="10" t="s">
        <v>362</v>
      </c>
      <c r="AL612" s="10"/>
      <c r="AM612" s="10"/>
      <c r="AN612" s="11" t="s">
        <v>46</v>
      </c>
      <c r="AO612" s="10"/>
      <c r="AP612" s="10"/>
      <c r="AQ612" s="10"/>
      <c r="AR612" s="2">
        <v>45496</v>
      </c>
      <c r="AS612" s="10">
        <v>250000</v>
      </c>
      <c r="AT612" s="10" t="s">
        <v>47</v>
      </c>
      <c r="AU612" s="10" t="s">
        <v>3266</v>
      </c>
      <c r="AV612" s="36" t="s">
        <v>3563</v>
      </c>
      <c r="AW612" s="1">
        <v>46211</v>
      </c>
    </row>
    <row r="613" spans="1:49" x14ac:dyDescent="0.25">
      <c r="A613" s="9" t="s">
        <v>3357</v>
      </c>
      <c r="B613" s="10" t="s">
        <v>3400</v>
      </c>
      <c r="C613" s="10">
        <v>0</v>
      </c>
      <c r="D613" s="10" t="s">
        <v>91</v>
      </c>
      <c r="E613" s="10"/>
      <c r="F613" s="10"/>
      <c r="G613" s="10"/>
      <c r="H613" s="10" t="s">
        <v>52</v>
      </c>
      <c r="I613" s="10">
        <v>20</v>
      </c>
      <c r="J613" s="10" t="s">
        <v>3443</v>
      </c>
      <c r="K613" s="10" t="s">
        <v>42</v>
      </c>
      <c r="L613" s="10">
        <f>Table1[[#This Row],[ENR]]-Table1[[#This Row],[CREDIT]]</f>
        <v>34156.010000000009</v>
      </c>
      <c r="M613" s="36">
        <v>270000</v>
      </c>
      <c r="N613" s="26">
        <v>304156.01</v>
      </c>
      <c r="O613" s="38" t="s">
        <v>43</v>
      </c>
      <c r="P613" s="25">
        <v>304156.01</v>
      </c>
      <c r="Q613" s="25">
        <v>268408.17</v>
      </c>
      <c r="R613" s="10">
        <v>93440</v>
      </c>
      <c r="S613" s="39">
        <v>53500</v>
      </c>
      <c r="T613" s="10" t="s">
        <v>44</v>
      </c>
      <c r="U613" s="10" t="s">
        <v>45</v>
      </c>
      <c r="V613" s="10">
        <v>0</v>
      </c>
      <c r="W613" s="25">
        <f>Table1[[#This Row],[STAB]]-Table1[[#This Row],[AMOUNT]]</f>
        <v>53500</v>
      </c>
      <c r="X613" s="10">
        <v>0</v>
      </c>
      <c r="Y613" s="10" t="s">
        <v>79</v>
      </c>
      <c r="Z613" s="10">
        <v>0</v>
      </c>
      <c r="AA613" s="10" t="s">
        <v>113</v>
      </c>
      <c r="AB613" s="10" t="s">
        <v>376</v>
      </c>
      <c r="AC613" s="10"/>
      <c r="AD613" s="9" t="s">
        <v>3486</v>
      </c>
      <c r="AE613" s="10" t="s">
        <v>3529</v>
      </c>
      <c r="AF613" s="10" t="s">
        <v>275</v>
      </c>
      <c r="AG613" s="10" t="s">
        <v>80</v>
      </c>
      <c r="AH613" s="10" t="s">
        <v>87</v>
      </c>
      <c r="AI613" s="10" t="s">
        <v>368</v>
      </c>
      <c r="AJ613" s="10">
        <v>802823175</v>
      </c>
      <c r="AK613" s="10" t="s">
        <v>105</v>
      </c>
      <c r="AL613" s="10"/>
      <c r="AM613" s="10"/>
      <c r="AN613" s="11" t="s">
        <v>390</v>
      </c>
      <c r="AO613" s="10" t="s">
        <v>394</v>
      </c>
      <c r="AP613" s="10" t="s">
        <v>6649</v>
      </c>
      <c r="AQ613" s="10" t="s">
        <v>6399</v>
      </c>
      <c r="AR613" s="2">
        <v>46158</v>
      </c>
      <c r="AS613" s="10">
        <v>19500</v>
      </c>
      <c r="AT613" s="10" t="s">
        <v>292</v>
      </c>
      <c r="AU613" s="10" t="s">
        <v>3266</v>
      </c>
      <c r="AV613" s="36" t="s">
        <v>3572</v>
      </c>
      <c r="AW613" s="1">
        <v>46211</v>
      </c>
    </row>
    <row r="614" spans="1:49" x14ac:dyDescent="0.25">
      <c r="A614" s="9" t="s">
        <v>3341</v>
      </c>
      <c r="B614" s="10" t="s">
        <v>3384</v>
      </c>
      <c r="C614" s="10">
        <v>0</v>
      </c>
      <c r="D614" s="10" t="s">
        <v>91</v>
      </c>
      <c r="E614" s="10"/>
      <c r="F614" s="10"/>
      <c r="G614" s="10"/>
      <c r="H614" s="10" t="s">
        <v>84</v>
      </c>
      <c r="I614" s="10">
        <v>20</v>
      </c>
      <c r="J614" s="10" t="s">
        <v>3427</v>
      </c>
      <c r="K614" s="10" t="s">
        <v>42</v>
      </c>
      <c r="L614" s="10">
        <f>Table1[[#This Row],[ENR]]-Table1[[#This Row],[CREDIT]]</f>
        <v>12898.849999999977</v>
      </c>
      <c r="M614" s="36">
        <v>290000</v>
      </c>
      <c r="N614" s="26">
        <v>302898.84999999998</v>
      </c>
      <c r="O614" s="38">
        <v>10574.63</v>
      </c>
      <c r="P614" s="25">
        <v>292324.21999999997</v>
      </c>
      <c r="Q614" s="25">
        <v>270637.96000000002</v>
      </c>
      <c r="R614" s="10">
        <v>81060</v>
      </c>
      <c r="S614" s="39">
        <v>42890</v>
      </c>
      <c r="T614" s="10" t="s">
        <v>44</v>
      </c>
      <c r="U614" s="10" t="s">
        <v>45</v>
      </c>
      <c r="V614" s="10">
        <v>0</v>
      </c>
      <c r="W614" s="25">
        <f>Table1[[#This Row],[STAB]]-Table1[[#This Row],[AMOUNT]]</f>
        <v>42890</v>
      </c>
      <c r="X614" s="10">
        <v>0</v>
      </c>
      <c r="Y614" s="10" t="s">
        <v>79</v>
      </c>
      <c r="Z614" s="10">
        <v>0</v>
      </c>
      <c r="AA614" s="10" t="s">
        <v>113</v>
      </c>
      <c r="AB614" s="36" t="s">
        <v>376</v>
      </c>
      <c r="AC614" s="10"/>
      <c r="AD614" s="9" t="s">
        <v>3470</v>
      </c>
      <c r="AE614" s="10" t="s">
        <v>3513</v>
      </c>
      <c r="AF614" s="10" t="s">
        <v>275</v>
      </c>
      <c r="AG614" s="10" t="s">
        <v>80</v>
      </c>
      <c r="AH614" s="10" t="s">
        <v>87</v>
      </c>
      <c r="AI614" s="10" t="s">
        <v>368</v>
      </c>
      <c r="AJ614" s="10">
        <v>802823175</v>
      </c>
      <c r="AK614" s="10" t="s">
        <v>105</v>
      </c>
      <c r="AL614" s="10"/>
      <c r="AM614" s="10"/>
      <c r="AN614" s="11" t="s">
        <v>390</v>
      </c>
      <c r="AO614" s="10" t="s">
        <v>392</v>
      </c>
      <c r="AP614" s="10" t="s">
        <v>6355</v>
      </c>
      <c r="AQ614" s="10" t="s">
        <v>4976</v>
      </c>
      <c r="AR614" s="2">
        <v>45797</v>
      </c>
      <c r="AS614" s="10">
        <v>13000</v>
      </c>
      <c r="AT614" s="10" t="s">
        <v>503</v>
      </c>
      <c r="AU614" s="10" t="s">
        <v>3266</v>
      </c>
      <c r="AV614" s="36" t="s">
        <v>3557</v>
      </c>
      <c r="AW614" s="1">
        <v>46211</v>
      </c>
    </row>
    <row r="615" spans="1:49" x14ac:dyDescent="0.25">
      <c r="A615" s="9" t="s">
        <v>3887</v>
      </c>
      <c r="B615" s="10" t="s">
        <v>3952</v>
      </c>
      <c r="C615" s="10">
        <v>0</v>
      </c>
      <c r="D615" s="10" t="s">
        <v>91</v>
      </c>
      <c r="E615" s="10"/>
      <c r="F615" s="10"/>
      <c r="G615" s="10"/>
      <c r="H615" s="10" t="s">
        <v>84</v>
      </c>
      <c r="I615" s="10">
        <v>20</v>
      </c>
      <c r="J615" s="10" t="s">
        <v>4017</v>
      </c>
      <c r="K615" s="10" t="s">
        <v>42</v>
      </c>
      <c r="L615" s="10">
        <f>Table1[[#This Row],[ENR]]-Table1[[#This Row],[CREDIT]]</f>
        <v>-69457.729999999981</v>
      </c>
      <c r="M615" s="36">
        <v>360000</v>
      </c>
      <c r="N615" s="26">
        <v>290542.27</v>
      </c>
      <c r="O615" s="38" t="s">
        <v>43</v>
      </c>
      <c r="P615" s="25">
        <v>290542.27</v>
      </c>
      <c r="Q615" s="25">
        <v>266044.81</v>
      </c>
      <c r="R615" s="10">
        <v>53670</v>
      </c>
      <c r="S615" s="39">
        <v>26740</v>
      </c>
      <c r="T615" s="10" t="s">
        <v>44</v>
      </c>
      <c r="U615" s="10" t="s">
        <v>45</v>
      </c>
      <c r="V615" s="10">
        <v>0</v>
      </c>
      <c r="W615" s="25">
        <f>Table1[[#This Row],[STAB]]-Table1[[#This Row],[AMOUNT]]</f>
        <v>26740</v>
      </c>
      <c r="X615" s="10">
        <v>0</v>
      </c>
      <c r="Y615" s="10" t="s">
        <v>79</v>
      </c>
      <c r="Z615" s="10">
        <v>0</v>
      </c>
      <c r="AA615" s="10" t="s">
        <v>113</v>
      </c>
      <c r="AB615" s="36" t="s">
        <v>374</v>
      </c>
      <c r="AC615" s="10"/>
      <c r="AD615" s="9" t="s">
        <v>4082</v>
      </c>
      <c r="AE615" s="10" t="s">
        <v>4147</v>
      </c>
      <c r="AF615" s="10" t="s">
        <v>685</v>
      </c>
      <c r="AG615" s="10" t="s">
        <v>54</v>
      </c>
      <c r="AH615" s="10" t="s">
        <v>1398</v>
      </c>
      <c r="AI615" s="10" t="s">
        <v>162</v>
      </c>
      <c r="AJ615" s="10">
        <v>801772794</v>
      </c>
      <c r="AK615" s="10" t="s">
        <v>361</v>
      </c>
      <c r="AL615" s="10"/>
      <c r="AM615" s="10"/>
      <c r="AN615" s="11" t="s">
        <v>390</v>
      </c>
      <c r="AO615" s="10" t="s">
        <v>398</v>
      </c>
      <c r="AP615" s="10" t="s">
        <v>5578</v>
      </c>
      <c r="AQ615" s="10" t="s">
        <v>4931</v>
      </c>
      <c r="AR615" s="2">
        <v>45473</v>
      </c>
      <c r="AS615" s="10">
        <v>81931.05</v>
      </c>
      <c r="AT615" s="10" t="s">
        <v>291</v>
      </c>
      <c r="AU615" s="10" t="s">
        <v>4205</v>
      </c>
      <c r="AV615" s="36" t="s">
        <v>4212</v>
      </c>
      <c r="AW615" s="1">
        <v>46211</v>
      </c>
    </row>
    <row r="616" spans="1:49" x14ac:dyDescent="0.25">
      <c r="A616" s="9" t="s">
        <v>3899</v>
      </c>
      <c r="B616" s="10" t="s">
        <v>3964</v>
      </c>
      <c r="C616" s="10">
        <v>0</v>
      </c>
      <c r="D616" s="10" t="s">
        <v>91</v>
      </c>
      <c r="E616" s="10"/>
      <c r="F616" s="10"/>
      <c r="G616" s="10"/>
      <c r="H616" s="10" t="s">
        <v>52</v>
      </c>
      <c r="I616" s="10">
        <v>20</v>
      </c>
      <c r="J616" s="10" t="s">
        <v>4029</v>
      </c>
      <c r="K616" s="10" t="s">
        <v>42</v>
      </c>
      <c r="L616" s="10">
        <f>Table1[[#This Row],[ENR]]-Table1[[#This Row],[CREDIT]]</f>
        <v>12038.660000000003</v>
      </c>
      <c r="M616" s="36">
        <v>247000</v>
      </c>
      <c r="N616" s="26">
        <v>259038.66</v>
      </c>
      <c r="O616" s="38" t="s">
        <v>43</v>
      </c>
      <c r="P616" s="25">
        <v>259038.66</v>
      </c>
      <c r="Q616" s="25">
        <v>238090.71</v>
      </c>
      <c r="R616" s="10">
        <v>50600</v>
      </c>
      <c r="S616" s="39">
        <v>13600</v>
      </c>
      <c r="T616" s="10" t="s">
        <v>44</v>
      </c>
      <c r="U616" s="10" t="s">
        <v>45</v>
      </c>
      <c r="V616" s="10">
        <v>0</v>
      </c>
      <c r="W616" s="25">
        <f>Table1[[#This Row],[STAB]]-Table1[[#This Row],[AMOUNT]]</f>
        <v>13600</v>
      </c>
      <c r="X616" s="10">
        <v>0</v>
      </c>
      <c r="Y616" s="10" t="s">
        <v>79</v>
      </c>
      <c r="Z616" s="10">
        <v>0</v>
      </c>
      <c r="AA616" s="10" t="s">
        <v>113</v>
      </c>
      <c r="AB616" s="36" t="s">
        <v>375</v>
      </c>
      <c r="AC616" s="10"/>
      <c r="AD616" s="9" t="s">
        <v>4094</v>
      </c>
      <c r="AE616" s="10" t="s">
        <v>4159</v>
      </c>
      <c r="AF616" s="10" t="s">
        <v>283</v>
      </c>
      <c r="AG616" s="10" t="s">
        <v>53</v>
      </c>
      <c r="AH616" s="10" t="s">
        <v>5582</v>
      </c>
      <c r="AI616" s="10" t="s">
        <v>2962</v>
      </c>
      <c r="AJ616" s="10">
        <v>801601134</v>
      </c>
      <c r="AK616" s="10" t="s">
        <v>104</v>
      </c>
      <c r="AL616" s="10"/>
      <c r="AM616" s="10"/>
      <c r="AN616" s="11" t="s">
        <v>390</v>
      </c>
      <c r="AO616" s="10" t="s">
        <v>398</v>
      </c>
      <c r="AP616" s="10" t="s">
        <v>6413</v>
      </c>
      <c r="AQ616" s="10" t="s">
        <v>6399</v>
      </c>
      <c r="AR616" s="2">
        <v>45875</v>
      </c>
      <c r="AS616" s="10">
        <v>162493</v>
      </c>
      <c r="AT616" s="10" t="s">
        <v>48</v>
      </c>
      <c r="AU616" s="10" t="s">
        <v>4205</v>
      </c>
      <c r="AV616" s="36" t="s">
        <v>4224</v>
      </c>
      <c r="AW616" s="1">
        <v>46211</v>
      </c>
    </row>
    <row r="617" spans="1:49" x14ac:dyDescent="0.25">
      <c r="A617" s="9" t="s">
        <v>4307</v>
      </c>
      <c r="B617" s="10" t="s">
        <v>4350</v>
      </c>
      <c r="C617" s="10">
        <v>0</v>
      </c>
      <c r="D617" s="10" t="s">
        <v>1993</v>
      </c>
      <c r="E617" s="10"/>
      <c r="F617" s="10"/>
      <c r="G617" s="10"/>
      <c r="H617" s="10" t="s">
        <v>52</v>
      </c>
      <c r="I617" s="10">
        <v>20</v>
      </c>
      <c r="J617" s="10" t="s">
        <v>4393</v>
      </c>
      <c r="K617" s="10" t="s">
        <v>42</v>
      </c>
      <c r="L617" s="10">
        <f>Table1[[#This Row],[ENR]]-Table1[[#This Row],[CREDIT]]</f>
        <v>25709.549999999988</v>
      </c>
      <c r="M617" s="36">
        <v>230000</v>
      </c>
      <c r="N617" s="26">
        <v>255709.55</v>
      </c>
      <c r="O617" s="38" t="s">
        <v>43</v>
      </c>
      <c r="P617" s="25">
        <v>255709.55</v>
      </c>
      <c r="Q617" s="25">
        <v>229231.9</v>
      </c>
      <c r="R617" s="10">
        <v>61880</v>
      </c>
      <c r="S617" s="39">
        <v>26820</v>
      </c>
      <c r="T617" s="10" t="s">
        <v>57</v>
      </c>
      <c r="U617" s="10" t="s">
        <v>13</v>
      </c>
      <c r="V617" s="10">
        <v>255709.55</v>
      </c>
      <c r="W617" s="25">
        <f>Table1[[#This Row],[STAB]]-Table1[[#This Row],[AMOUNT]]</f>
        <v>-228889.55</v>
      </c>
      <c r="X617" s="10" t="s">
        <v>4601</v>
      </c>
      <c r="Y617" s="10" t="s">
        <v>402</v>
      </c>
      <c r="Z617" s="10" t="s">
        <v>403</v>
      </c>
      <c r="AA617" s="10" t="s">
        <v>113</v>
      </c>
      <c r="AB617" s="10" t="s">
        <v>113</v>
      </c>
      <c r="AC617" s="10"/>
      <c r="AD617" s="9" t="s">
        <v>4436</v>
      </c>
      <c r="AE617" s="10" t="s">
        <v>4476</v>
      </c>
      <c r="AF617" s="10" t="s">
        <v>3544</v>
      </c>
      <c r="AG617" s="10" t="s">
        <v>324</v>
      </c>
      <c r="AH617" s="10" t="s">
        <v>1956</v>
      </c>
      <c r="AI617" s="10" t="s">
        <v>1403</v>
      </c>
      <c r="AJ617" s="10">
        <v>802631601</v>
      </c>
      <c r="AK617" s="10" t="s">
        <v>362</v>
      </c>
      <c r="AL617" s="10"/>
      <c r="AM617" s="10"/>
      <c r="AN617" s="11" t="s">
        <v>390</v>
      </c>
      <c r="AO617" s="10"/>
      <c r="AP617" s="10"/>
      <c r="AQ617" s="10"/>
      <c r="AR617" s="2">
        <v>45635</v>
      </c>
      <c r="AS617" s="10">
        <v>69263</v>
      </c>
      <c r="AT617" s="10" t="s">
        <v>288</v>
      </c>
      <c r="AU617" s="10" t="s">
        <v>4485</v>
      </c>
      <c r="AV617" s="36" t="s">
        <v>4519</v>
      </c>
      <c r="AW617" s="1">
        <v>46211</v>
      </c>
    </row>
    <row r="618" spans="1:49" x14ac:dyDescent="0.25">
      <c r="A618" s="9" t="s">
        <v>3890</v>
      </c>
      <c r="B618" s="10" t="s">
        <v>3955</v>
      </c>
      <c r="C618" s="10">
        <v>0</v>
      </c>
      <c r="D618" s="10" t="s">
        <v>91</v>
      </c>
      <c r="E618" s="10"/>
      <c r="F618" s="10"/>
      <c r="G618" s="10"/>
      <c r="H618" s="10" t="s">
        <v>84</v>
      </c>
      <c r="I618" s="10">
        <v>20</v>
      </c>
      <c r="J618" s="10" t="s">
        <v>4020</v>
      </c>
      <c r="K618" s="10" t="s">
        <v>42</v>
      </c>
      <c r="L618" s="10">
        <f>Table1[[#This Row],[ENR]]-Table1[[#This Row],[CREDIT]]</f>
        <v>-8037.3999999999942</v>
      </c>
      <c r="M618" s="36">
        <v>260000</v>
      </c>
      <c r="N618" s="26">
        <v>251962.6</v>
      </c>
      <c r="O618" s="38">
        <v>203039.69</v>
      </c>
      <c r="P618" s="25">
        <v>48922.91</v>
      </c>
      <c r="Q618" s="25">
        <v>41755.410000000003</v>
      </c>
      <c r="R618" s="10">
        <v>33950</v>
      </c>
      <c r="S618" s="39">
        <v>16230</v>
      </c>
      <c r="T618" s="10" t="s">
        <v>57</v>
      </c>
      <c r="U618" s="10" t="s">
        <v>13</v>
      </c>
      <c r="V618" s="10">
        <v>34000</v>
      </c>
      <c r="W618" s="25">
        <f>Table1[[#This Row],[STAB]]-Table1[[#This Row],[AMOUNT]]</f>
        <v>-17770</v>
      </c>
      <c r="X618" s="10" t="s">
        <v>6364</v>
      </c>
      <c r="Y618" s="10" t="s">
        <v>79</v>
      </c>
      <c r="Z618" s="10" t="s">
        <v>403</v>
      </c>
      <c r="AA618" s="10" t="s">
        <v>113</v>
      </c>
      <c r="AB618" s="36" t="s">
        <v>131</v>
      </c>
      <c r="AC618" s="10"/>
      <c r="AD618" s="9" t="s">
        <v>4085</v>
      </c>
      <c r="AE618" s="10" t="s">
        <v>4150</v>
      </c>
      <c r="AF618" s="10" t="s">
        <v>1738</v>
      </c>
      <c r="AG618" s="10" t="s">
        <v>324</v>
      </c>
      <c r="AH618" s="10" t="s">
        <v>1361</v>
      </c>
      <c r="AI618" s="10" t="s">
        <v>1404</v>
      </c>
      <c r="AJ618" s="10">
        <v>802852449</v>
      </c>
      <c r="AK618" s="10" t="s">
        <v>104</v>
      </c>
      <c r="AL618" s="10"/>
      <c r="AM618" s="10"/>
      <c r="AN618" s="11" t="s">
        <v>390</v>
      </c>
      <c r="AO618" s="10" t="s">
        <v>394</v>
      </c>
      <c r="AP618" s="10" t="s">
        <v>4982</v>
      </c>
      <c r="AQ618" s="10" t="s">
        <v>4923</v>
      </c>
      <c r="AR618" s="2">
        <v>45827</v>
      </c>
      <c r="AS618" s="10">
        <v>76700</v>
      </c>
      <c r="AT618" s="10" t="s">
        <v>291</v>
      </c>
      <c r="AU618" s="10" t="s">
        <v>4205</v>
      </c>
      <c r="AV618" s="36" t="s">
        <v>4215</v>
      </c>
      <c r="AW618" s="1">
        <v>46211</v>
      </c>
    </row>
    <row r="619" spans="1:49" x14ac:dyDescent="0.25">
      <c r="A619" s="9" t="s">
        <v>3914</v>
      </c>
      <c r="B619" s="10" t="s">
        <v>3979</v>
      </c>
      <c r="C619" s="10">
        <v>0</v>
      </c>
      <c r="D619" s="10" t="s">
        <v>91</v>
      </c>
      <c r="E619" s="10"/>
      <c r="F619" s="10"/>
      <c r="G619" s="10" t="s">
        <v>4953</v>
      </c>
      <c r="H619" s="10" t="s">
        <v>84</v>
      </c>
      <c r="I619" s="10">
        <v>20</v>
      </c>
      <c r="J619" s="10" t="s">
        <v>4044</v>
      </c>
      <c r="K619" s="10" t="s">
        <v>42</v>
      </c>
      <c r="L619" s="10">
        <f>Table1[[#This Row],[ENR]]-Table1[[#This Row],[CREDIT]]</f>
        <v>31939.97</v>
      </c>
      <c r="M619" s="36">
        <v>220000</v>
      </c>
      <c r="N619" s="26">
        <v>251939.97</v>
      </c>
      <c r="O619" s="38">
        <v>120409.94</v>
      </c>
      <c r="P619" s="25">
        <v>131530.03</v>
      </c>
      <c r="Q619" s="25">
        <v>123516.47</v>
      </c>
      <c r="R619" s="10">
        <v>41470</v>
      </c>
      <c r="S619" s="39">
        <v>20700</v>
      </c>
      <c r="T619" s="10" t="s">
        <v>57</v>
      </c>
      <c r="U619" s="10" t="s">
        <v>14</v>
      </c>
      <c r="V619" s="10">
        <v>21000</v>
      </c>
      <c r="W619" s="25">
        <f>Table1[[#This Row],[STAB]]-Table1[[#This Row],[AMOUNT]]</f>
        <v>-300</v>
      </c>
      <c r="X619" s="10" t="s">
        <v>4976</v>
      </c>
      <c r="Y619" s="10" t="s">
        <v>396</v>
      </c>
      <c r="Z619" s="10" t="s">
        <v>1968</v>
      </c>
      <c r="AA619" s="10" t="s">
        <v>113</v>
      </c>
      <c r="AB619" s="41" t="s">
        <v>133</v>
      </c>
      <c r="AC619" s="10"/>
      <c r="AD619" s="9" t="s">
        <v>4109</v>
      </c>
      <c r="AE619" s="10" t="s">
        <v>4173</v>
      </c>
      <c r="AF619" s="10" t="s">
        <v>274</v>
      </c>
      <c r="AG619" s="10" t="s">
        <v>53</v>
      </c>
      <c r="AH619" s="10" t="s">
        <v>55</v>
      </c>
      <c r="AI619" s="10" t="s">
        <v>365</v>
      </c>
      <c r="AJ619" s="10">
        <v>802824019</v>
      </c>
      <c r="AK619" s="10" t="s">
        <v>360</v>
      </c>
      <c r="AL619" s="10"/>
      <c r="AM619" s="10"/>
      <c r="AN619" s="11" t="s">
        <v>390</v>
      </c>
      <c r="AO619" s="10"/>
      <c r="AP619" s="10"/>
      <c r="AQ619" s="10"/>
      <c r="AR619" s="2">
        <v>46185</v>
      </c>
      <c r="AS619" s="10">
        <v>3200</v>
      </c>
      <c r="AT619" s="10" t="s">
        <v>47</v>
      </c>
      <c r="AU619" s="10" t="s">
        <v>4205</v>
      </c>
      <c r="AV619" s="36" t="s">
        <v>4239</v>
      </c>
      <c r="AW619" s="1">
        <v>46211</v>
      </c>
    </row>
    <row r="620" spans="1:49" x14ac:dyDescent="0.25">
      <c r="A620" s="9" t="s">
        <v>3941</v>
      </c>
      <c r="B620" s="10" t="s">
        <v>4006</v>
      </c>
      <c r="C620" s="10">
        <v>0</v>
      </c>
      <c r="D620" s="10" t="s">
        <v>91</v>
      </c>
      <c r="E620" s="10"/>
      <c r="F620" s="10"/>
      <c r="G620" s="10"/>
      <c r="H620" s="10" t="s">
        <v>84</v>
      </c>
      <c r="I620" s="10">
        <v>20</v>
      </c>
      <c r="J620" s="10" t="s">
        <v>4071</v>
      </c>
      <c r="K620" s="10" t="s">
        <v>42</v>
      </c>
      <c r="L620" s="10">
        <f>Table1[[#This Row],[ENR]]-Table1[[#This Row],[CREDIT]]</f>
        <v>4253.7699999999895</v>
      </c>
      <c r="M620" s="36">
        <v>230000</v>
      </c>
      <c r="N620" s="26">
        <v>234253.77</v>
      </c>
      <c r="O620" s="38">
        <v>72666.87</v>
      </c>
      <c r="P620" s="25">
        <v>161586.9</v>
      </c>
      <c r="Q620" s="25">
        <v>151364.98000000001</v>
      </c>
      <c r="R620" s="10">
        <v>53560</v>
      </c>
      <c r="S620" s="39">
        <v>30590</v>
      </c>
      <c r="T620" s="10" t="s">
        <v>44</v>
      </c>
      <c r="U620" s="10" t="s">
        <v>45</v>
      </c>
      <c r="V620" s="10">
        <v>0</v>
      </c>
      <c r="W620" s="25">
        <f>Table1[[#This Row],[STAB]]-Table1[[#This Row],[AMOUNT]]</f>
        <v>30590</v>
      </c>
      <c r="X620" s="10">
        <v>0</v>
      </c>
      <c r="Y620" s="10" t="s">
        <v>79</v>
      </c>
      <c r="Z620" s="10">
        <v>0</v>
      </c>
      <c r="AA620" s="10" t="s">
        <v>113</v>
      </c>
      <c r="AB620" s="41" t="s">
        <v>376</v>
      </c>
      <c r="AC620" s="10"/>
      <c r="AD620" s="9" t="s">
        <v>4136</v>
      </c>
      <c r="AE620" s="10" t="s">
        <v>4200</v>
      </c>
      <c r="AF620" s="10" t="s">
        <v>864</v>
      </c>
      <c r="AG620" s="10" t="s">
        <v>54</v>
      </c>
      <c r="AH620" s="10" t="s">
        <v>1398</v>
      </c>
      <c r="AI620" s="10" t="s">
        <v>162</v>
      </c>
      <c r="AJ620" s="10">
        <v>801772794</v>
      </c>
      <c r="AK620" s="10" t="s">
        <v>361</v>
      </c>
      <c r="AL620" s="10"/>
      <c r="AM620" s="10"/>
      <c r="AN620" s="11" t="s">
        <v>46</v>
      </c>
      <c r="AO620" s="10"/>
      <c r="AP620" s="10"/>
      <c r="AQ620" s="10"/>
      <c r="AR620" s="2">
        <v>45736</v>
      </c>
      <c r="AS620" s="10">
        <v>5900</v>
      </c>
      <c r="AT620" s="10" t="s">
        <v>937</v>
      </c>
      <c r="AU620" s="10" t="s">
        <v>4205</v>
      </c>
      <c r="AV620" s="36" t="s">
        <v>4266</v>
      </c>
      <c r="AW620" s="1">
        <v>46211</v>
      </c>
    </row>
    <row r="621" spans="1:49" x14ac:dyDescent="0.25">
      <c r="A621" s="9" t="s">
        <v>4308</v>
      </c>
      <c r="B621" s="10" t="s">
        <v>4351</v>
      </c>
      <c r="C621" s="10">
        <v>0</v>
      </c>
      <c r="D621" s="10" t="s">
        <v>1993</v>
      </c>
      <c r="E621" s="10"/>
      <c r="F621" s="10"/>
      <c r="G621" s="10"/>
      <c r="H621" s="10" t="s">
        <v>52</v>
      </c>
      <c r="I621" s="10">
        <v>20</v>
      </c>
      <c r="J621" s="10" t="s">
        <v>4394</v>
      </c>
      <c r="K621" s="10" t="s">
        <v>42</v>
      </c>
      <c r="L621" s="10">
        <f>Table1[[#This Row],[ENR]]-Table1[[#This Row],[CREDIT]]</f>
        <v>-205771.12</v>
      </c>
      <c r="M621" s="36">
        <v>420000</v>
      </c>
      <c r="N621" s="26">
        <v>214228.88</v>
      </c>
      <c r="O621" s="38" t="s">
        <v>43</v>
      </c>
      <c r="P621" s="25">
        <v>214228.88</v>
      </c>
      <c r="Q621" s="25">
        <v>185822.07</v>
      </c>
      <c r="R621" s="10">
        <v>46530</v>
      </c>
      <c r="S621" s="39">
        <v>27030</v>
      </c>
      <c r="T621" s="10" t="s">
        <v>57</v>
      </c>
      <c r="U621" s="10" t="s">
        <v>13</v>
      </c>
      <c r="V621" s="10">
        <v>214228.88</v>
      </c>
      <c r="W621" s="25">
        <f>Table1[[#This Row],[STAB]]-Table1[[#This Row],[AMOUNT]]</f>
        <v>-187198.88</v>
      </c>
      <c r="X621" s="10" t="s">
        <v>4591</v>
      </c>
      <c r="Y621" s="10" t="s">
        <v>396</v>
      </c>
      <c r="Z621" s="10" t="s">
        <v>403</v>
      </c>
      <c r="AA621" s="10" t="s">
        <v>113</v>
      </c>
      <c r="AB621" s="10" t="s">
        <v>113</v>
      </c>
      <c r="AC621" s="10"/>
      <c r="AD621" s="9" t="s">
        <v>4437</v>
      </c>
      <c r="AE621" s="10" t="s">
        <v>4477</v>
      </c>
      <c r="AF621" s="10" t="s">
        <v>281</v>
      </c>
      <c r="AG621" s="10" t="s">
        <v>54</v>
      </c>
      <c r="AH621" s="10" t="s">
        <v>99</v>
      </c>
      <c r="AI621" s="10" t="s">
        <v>363</v>
      </c>
      <c r="AJ621" s="10">
        <v>802913252</v>
      </c>
      <c r="AK621" s="10" t="s">
        <v>104</v>
      </c>
      <c r="AL621" s="10"/>
      <c r="AM621" s="10"/>
      <c r="AN621" s="11" t="s">
        <v>390</v>
      </c>
      <c r="AO621" s="10"/>
      <c r="AP621" s="10"/>
      <c r="AQ621" s="10"/>
      <c r="AR621" s="2">
        <v>46155</v>
      </c>
      <c r="AS621" s="10">
        <v>9790</v>
      </c>
      <c r="AT621" s="10" t="s">
        <v>48</v>
      </c>
      <c r="AU621" s="10" t="s">
        <v>4485</v>
      </c>
      <c r="AV621" s="36" t="s">
        <v>4520</v>
      </c>
      <c r="AW621" s="1">
        <v>46211</v>
      </c>
    </row>
    <row r="622" spans="1:49" x14ac:dyDescent="0.25">
      <c r="A622" s="9" t="s">
        <v>3909</v>
      </c>
      <c r="B622" s="10" t="s">
        <v>3974</v>
      </c>
      <c r="C622" s="10">
        <v>0</v>
      </c>
      <c r="D622" s="10" t="s">
        <v>91</v>
      </c>
      <c r="E622" s="10"/>
      <c r="F622" s="10"/>
      <c r="G622" s="10"/>
      <c r="H622" s="10" t="s">
        <v>84</v>
      </c>
      <c r="I622" s="10">
        <v>20</v>
      </c>
      <c r="J622" s="10" t="s">
        <v>4039</v>
      </c>
      <c r="K622" s="10" t="s">
        <v>42</v>
      </c>
      <c r="L622" s="10">
        <f>Table1[[#This Row],[ENR]]-Table1[[#This Row],[CREDIT]]</f>
        <v>-17008.399999999994</v>
      </c>
      <c r="M622" s="36">
        <v>220000</v>
      </c>
      <c r="N622" s="26">
        <v>202991.6</v>
      </c>
      <c r="O622" s="38">
        <v>116639.46</v>
      </c>
      <c r="P622" s="25">
        <v>86352.14</v>
      </c>
      <c r="Q622" s="25">
        <v>79289.789999999994</v>
      </c>
      <c r="R622" s="10">
        <v>41090</v>
      </c>
      <c r="S622" s="39">
        <v>20840</v>
      </c>
      <c r="T622" s="10" t="s">
        <v>57</v>
      </c>
      <c r="U622" s="10" t="s">
        <v>14</v>
      </c>
      <c r="V622" s="25">
        <v>28500</v>
      </c>
      <c r="W622" s="25">
        <f>Table1[[#This Row],[STAB]]-Table1[[#This Row],[AMOUNT]]</f>
        <v>-7660</v>
      </c>
      <c r="X622" s="10" t="s">
        <v>4936</v>
      </c>
      <c r="Y622" s="10" t="s">
        <v>402</v>
      </c>
      <c r="Z622" s="10" t="s">
        <v>403</v>
      </c>
      <c r="AA622" s="10" t="s">
        <v>113</v>
      </c>
      <c r="AB622" s="36" t="s">
        <v>374</v>
      </c>
      <c r="AC622" s="10"/>
      <c r="AD622" s="9" t="s">
        <v>4104</v>
      </c>
      <c r="AE622" s="10" t="s">
        <v>4168</v>
      </c>
      <c r="AF622" s="10" t="s">
        <v>85</v>
      </c>
      <c r="AG622" s="10" t="s">
        <v>54</v>
      </c>
      <c r="AH622" s="10" t="s">
        <v>89</v>
      </c>
      <c r="AI622" s="10" t="s">
        <v>106</v>
      </c>
      <c r="AJ622" s="10">
        <v>802370852</v>
      </c>
      <c r="AK622" s="10" t="s">
        <v>105</v>
      </c>
      <c r="AL622" s="10"/>
      <c r="AM622" s="10"/>
      <c r="AN622" s="11" t="s">
        <v>390</v>
      </c>
      <c r="AO622" s="10"/>
      <c r="AP622" s="10"/>
      <c r="AQ622" s="10"/>
      <c r="AR622" s="2">
        <v>45920</v>
      </c>
      <c r="AS622" s="10">
        <v>2530</v>
      </c>
      <c r="AT622" s="10" t="s">
        <v>47</v>
      </c>
      <c r="AU622" s="10" t="s">
        <v>4205</v>
      </c>
      <c r="AV622" s="36" t="s">
        <v>4234</v>
      </c>
      <c r="AW622" s="1">
        <v>46211</v>
      </c>
    </row>
    <row r="623" spans="1:49" x14ac:dyDescent="0.25">
      <c r="A623" s="9" t="s">
        <v>3911</v>
      </c>
      <c r="B623" s="10" t="s">
        <v>3976</v>
      </c>
      <c r="C623" s="10">
        <v>0</v>
      </c>
      <c r="D623" s="10" t="s">
        <v>91</v>
      </c>
      <c r="E623" s="10"/>
      <c r="F623" s="10"/>
      <c r="G623" s="10"/>
      <c r="H623" s="10" t="s">
        <v>52</v>
      </c>
      <c r="I623" s="10">
        <v>20</v>
      </c>
      <c r="J623" s="10" t="s">
        <v>4041</v>
      </c>
      <c r="K623" s="10" t="s">
        <v>42</v>
      </c>
      <c r="L623" s="10">
        <f>Table1[[#This Row],[ENR]]-Table1[[#This Row],[CREDIT]]</f>
        <v>16603.700000000012</v>
      </c>
      <c r="M623" s="36">
        <v>170000</v>
      </c>
      <c r="N623" s="26">
        <v>186603.7</v>
      </c>
      <c r="O623" s="38" t="s">
        <v>43</v>
      </c>
      <c r="P623" s="25">
        <v>186603.7</v>
      </c>
      <c r="Q623" s="25">
        <v>169893.72</v>
      </c>
      <c r="R623" s="10">
        <v>43200</v>
      </c>
      <c r="S623" s="39">
        <v>16680</v>
      </c>
      <c r="T623" s="10" t="s">
        <v>44</v>
      </c>
      <c r="U623" s="10" t="s">
        <v>45</v>
      </c>
      <c r="V623" s="10">
        <v>7316</v>
      </c>
      <c r="W623" s="25">
        <f>Table1[[#This Row],[STAB]]-Table1[[#This Row],[AMOUNT]]</f>
        <v>9364</v>
      </c>
      <c r="X623" s="10">
        <v>0</v>
      </c>
      <c r="Y623" s="10" t="s">
        <v>79</v>
      </c>
      <c r="Z623" s="10" t="s">
        <v>963</v>
      </c>
      <c r="AA623" s="10" t="s">
        <v>113</v>
      </c>
      <c r="AB623" s="36" t="s">
        <v>375</v>
      </c>
      <c r="AC623" s="10"/>
      <c r="AD623" s="9" t="s">
        <v>4106</v>
      </c>
      <c r="AE623" s="10" t="s">
        <v>4170</v>
      </c>
      <c r="AF623" s="10" t="s">
        <v>687</v>
      </c>
      <c r="AG623" s="10" t="s">
        <v>53</v>
      </c>
      <c r="AH623" s="10" t="s">
        <v>83</v>
      </c>
      <c r="AI623" s="10" t="s">
        <v>728</v>
      </c>
      <c r="AJ623" s="10">
        <v>802349062</v>
      </c>
      <c r="AK623" s="10" t="s">
        <v>104</v>
      </c>
      <c r="AL623" s="10"/>
      <c r="AM623" s="10"/>
      <c r="AN623" s="11" t="s">
        <v>46</v>
      </c>
      <c r="AO623" s="10"/>
      <c r="AP623" s="10"/>
      <c r="AQ623" s="10"/>
      <c r="AR623" s="2">
        <v>46135</v>
      </c>
      <c r="AS623" s="10">
        <v>42900</v>
      </c>
      <c r="AT623" s="10" t="s">
        <v>47</v>
      </c>
      <c r="AU623" s="10" t="s">
        <v>4205</v>
      </c>
      <c r="AV623" s="36" t="s">
        <v>4236</v>
      </c>
      <c r="AW623" s="1">
        <v>46211</v>
      </c>
    </row>
    <row r="624" spans="1:49" x14ac:dyDescent="0.25">
      <c r="A624" s="9" t="s">
        <v>3944</v>
      </c>
      <c r="B624" s="10" t="s">
        <v>4009</v>
      </c>
      <c r="C624" s="10">
        <v>0</v>
      </c>
      <c r="D624" s="10" t="s">
        <v>91</v>
      </c>
      <c r="E624" s="10"/>
      <c r="F624" s="10"/>
      <c r="G624" s="10"/>
      <c r="H624" s="10" t="s">
        <v>52</v>
      </c>
      <c r="I624" s="10">
        <v>20</v>
      </c>
      <c r="J624" s="10" t="s">
        <v>4074</v>
      </c>
      <c r="K624" s="10" t="s">
        <v>42</v>
      </c>
      <c r="L624" s="10">
        <f>Table1[[#This Row],[ENR]]-Table1[[#This Row],[CREDIT]]</f>
        <v>-29748.109999999986</v>
      </c>
      <c r="M624" s="36">
        <v>200000</v>
      </c>
      <c r="N624" s="26">
        <v>170251.89</v>
      </c>
      <c r="O624" s="38">
        <v>40561.410000000003</v>
      </c>
      <c r="P624" s="25">
        <v>129690.48</v>
      </c>
      <c r="Q624" s="25">
        <v>116371.65</v>
      </c>
      <c r="R624" s="10">
        <v>42990</v>
      </c>
      <c r="S624" s="39">
        <v>18540</v>
      </c>
      <c r="T624" s="10" t="s">
        <v>57</v>
      </c>
      <c r="U624" s="10" t="s">
        <v>13</v>
      </c>
      <c r="V624" s="10">
        <v>43000</v>
      </c>
      <c r="W624" s="25">
        <f>Table1[[#This Row],[STAB]]-Table1[[#This Row],[AMOUNT]]</f>
        <v>-24460</v>
      </c>
      <c r="X624" s="10" t="s">
        <v>6364</v>
      </c>
      <c r="Y624" s="10" t="s">
        <v>396</v>
      </c>
      <c r="Z624" s="10" t="s">
        <v>963</v>
      </c>
      <c r="AA624" s="10" t="s">
        <v>113</v>
      </c>
      <c r="AB624" s="10" t="s">
        <v>375</v>
      </c>
      <c r="AC624" s="10"/>
      <c r="AD624" s="9" t="s">
        <v>4139</v>
      </c>
      <c r="AE624" s="10" t="s">
        <v>4203</v>
      </c>
      <c r="AF624" s="10" t="s">
        <v>275</v>
      </c>
      <c r="AG624" s="10" t="s">
        <v>80</v>
      </c>
      <c r="AH624" s="10" t="s">
        <v>87</v>
      </c>
      <c r="AI624" s="10" t="s">
        <v>368</v>
      </c>
      <c r="AJ624" s="10">
        <v>802823175</v>
      </c>
      <c r="AK624" s="10" t="s">
        <v>105</v>
      </c>
      <c r="AL624" s="10"/>
      <c r="AM624" s="10"/>
      <c r="AN624" s="11" t="s">
        <v>390</v>
      </c>
      <c r="AO624" s="10" t="s">
        <v>394</v>
      </c>
      <c r="AP624" s="10" t="s">
        <v>6341</v>
      </c>
      <c r="AQ624" s="10" t="s">
        <v>4976</v>
      </c>
      <c r="AR624" s="2">
        <v>46003</v>
      </c>
      <c r="AS624" s="10">
        <v>12818</v>
      </c>
      <c r="AT624" s="10" t="s">
        <v>288</v>
      </c>
      <c r="AU624" s="10" t="s">
        <v>4205</v>
      </c>
      <c r="AV624" s="36" t="s">
        <v>4269</v>
      </c>
      <c r="AW624" s="1">
        <v>46211</v>
      </c>
    </row>
    <row r="625" spans="1:49" x14ac:dyDescent="0.25">
      <c r="A625" s="9" t="s">
        <v>3897</v>
      </c>
      <c r="B625" s="10" t="s">
        <v>3962</v>
      </c>
      <c r="C625" s="10">
        <v>0</v>
      </c>
      <c r="D625" s="10" t="s">
        <v>91</v>
      </c>
      <c r="E625" s="10"/>
      <c r="F625" s="10"/>
      <c r="G625" s="10"/>
      <c r="H625" s="10" t="s">
        <v>52</v>
      </c>
      <c r="I625" s="10">
        <v>20</v>
      </c>
      <c r="J625" s="10" t="s">
        <v>4027</v>
      </c>
      <c r="K625" s="10" t="s">
        <v>42</v>
      </c>
      <c r="L625" s="10">
        <f>Table1[[#This Row],[ENR]]-Table1[[#This Row],[CREDIT]]</f>
        <v>11164.109999999986</v>
      </c>
      <c r="M625" s="36">
        <v>150000</v>
      </c>
      <c r="N625" s="26">
        <v>161164.10999999999</v>
      </c>
      <c r="O625" s="38" t="s">
        <v>43</v>
      </c>
      <c r="P625" s="25">
        <v>161164.10999999999</v>
      </c>
      <c r="Q625" s="25">
        <v>148120.49</v>
      </c>
      <c r="R625" s="10">
        <v>38060</v>
      </c>
      <c r="S625" s="39">
        <v>9040</v>
      </c>
      <c r="T625" s="10" t="s">
        <v>44</v>
      </c>
      <c r="U625" s="10" t="s">
        <v>45</v>
      </c>
      <c r="V625" s="10">
        <v>259</v>
      </c>
      <c r="W625" s="25">
        <f>Table1[[#This Row],[STAB]]-Table1[[#This Row],[AMOUNT]]</f>
        <v>8781</v>
      </c>
      <c r="X625" s="10">
        <v>0</v>
      </c>
      <c r="Y625" s="10" t="s">
        <v>79</v>
      </c>
      <c r="Z625" s="10" t="s">
        <v>963</v>
      </c>
      <c r="AA625" s="10" t="s">
        <v>113</v>
      </c>
      <c r="AB625" s="36" t="s">
        <v>131</v>
      </c>
      <c r="AC625" s="10"/>
      <c r="AD625" s="9" t="s">
        <v>4092</v>
      </c>
      <c r="AE625" s="10" t="s">
        <v>4157</v>
      </c>
      <c r="AF625" s="10" t="s">
        <v>283</v>
      </c>
      <c r="AG625" s="10" t="s">
        <v>53</v>
      </c>
      <c r="AH625" s="10" t="s">
        <v>5582</v>
      </c>
      <c r="AI625" s="10" t="s">
        <v>2962</v>
      </c>
      <c r="AJ625" s="10">
        <v>801601134</v>
      </c>
      <c r="AK625" s="10" t="s">
        <v>104</v>
      </c>
      <c r="AL625" s="10"/>
      <c r="AM625" s="10"/>
      <c r="AN625" s="11" t="s">
        <v>46</v>
      </c>
      <c r="AO625" s="10"/>
      <c r="AP625" s="10"/>
      <c r="AQ625" s="10"/>
      <c r="AR625" s="2">
        <v>45785</v>
      </c>
      <c r="AS625" s="10">
        <v>50000</v>
      </c>
      <c r="AT625" s="10" t="s">
        <v>291</v>
      </c>
      <c r="AU625" s="10" t="s">
        <v>4205</v>
      </c>
      <c r="AV625" s="36" t="s">
        <v>4222</v>
      </c>
      <c r="AW625" s="1">
        <v>46211</v>
      </c>
    </row>
    <row r="626" spans="1:49" x14ac:dyDescent="0.25">
      <c r="A626" s="9" t="s">
        <v>3913</v>
      </c>
      <c r="B626" s="10" t="s">
        <v>3978</v>
      </c>
      <c r="C626" s="10">
        <v>0</v>
      </c>
      <c r="D626" s="10" t="s">
        <v>91</v>
      </c>
      <c r="E626" s="10"/>
      <c r="F626" s="10"/>
      <c r="G626" s="10"/>
      <c r="H626" s="10" t="s">
        <v>84</v>
      </c>
      <c r="I626" s="10">
        <v>20</v>
      </c>
      <c r="J626" s="10" t="s">
        <v>4043</v>
      </c>
      <c r="K626" s="10" t="s">
        <v>42</v>
      </c>
      <c r="L626" s="10">
        <f>Table1[[#This Row],[ENR]]-Table1[[#This Row],[CREDIT]]</f>
        <v>77434.929999999993</v>
      </c>
      <c r="M626" s="36">
        <v>80000</v>
      </c>
      <c r="N626" s="26">
        <v>157434.93</v>
      </c>
      <c r="O626" s="38">
        <v>88237.07</v>
      </c>
      <c r="P626" s="25">
        <v>69197.86</v>
      </c>
      <c r="Q626" s="25">
        <v>64009.94</v>
      </c>
      <c r="R626" s="10">
        <v>41140</v>
      </c>
      <c r="S626" s="39">
        <v>20500</v>
      </c>
      <c r="T626" s="10" t="s">
        <v>44</v>
      </c>
      <c r="U626" s="10" t="s">
        <v>45</v>
      </c>
      <c r="V626" s="10">
        <v>0</v>
      </c>
      <c r="W626" s="25">
        <f>Table1[[#This Row],[STAB]]-Table1[[#This Row],[AMOUNT]]</f>
        <v>20500</v>
      </c>
      <c r="X626" s="10">
        <v>0</v>
      </c>
      <c r="Y626" s="10" t="s">
        <v>79</v>
      </c>
      <c r="Z626" s="10">
        <v>0</v>
      </c>
      <c r="AA626" s="10" t="s">
        <v>113</v>
      </c>
      <c r="AB626" s="36" t="s">
        <v>376</v>
      </c>
      <c r="AC626" s="10"/>
      <c r="AD626" s="9" t="s">
        <v>4108</v>
      </c>
      <c r="AE626" s="10" t="s">
        <v>4172</v>
      </c>
      <c r="AF626" s="10" t="s">
        <v>111</v>
      </c>
      <c r="AG626" s="10" t="s">
        <v>53</v>
      </c>
      <c r="AH626" s="10" t="s">
        <v>92</v>
      </c>
      <c r="AI626" s="10" t="s">
        <v>113</v>
      </c>
      <c r="AJ626" s="10">
        <v>802388289</v>
      </c>
      <c r="AK626" s="10" t="s">
        <v>104</v>
      </c>
      <c r="AL626" s="10"/>
      <c r="AM626" s="10"/>
      <c r="AN626" s="11" t="s">
        <v>390</v>
      </c>
      <c r="AO626" s="10" t="s">
        <v>392</v>
      </c>
      <c r="AP626" s="10" t="s">
        <v>6369</v>
      </c>
      <c r="AQ626" s="10" t="s">
        <v>6364</v>
      </c>
      <c r="AR626" s="2">
        <v>45473</v>
      </c>
      <c r="AS626" s="10">
        <v>37504.67</v>
      </c>
      <c r="AT626" s="10" t="s">
        <v>47</v>
      </c>
      <c r="AU626" s="10" t="s">
        <v>4205</v>
      </c>
      <c r="AV626" s="36" t="s">
        <v>4238</v>
      </c>
      <c r="AW626" s="1">
        <v>46211</v>
      </c>
    </row>
    <row r="627" spans="1:49" x14ac:dyDescent="0.25">
      <c r="A627" s="9" t="s">
        <v>3910</v>
      </c>
      <c r="B627" s="10" t="s">
        <v>3975</v>
      </c>
      <c r="C627" s="10">
        <v>0</v>
      </c>
      <c r="D627" s="10" t="s">
        <v>91</v>
      </c>
      <c r="E627" s="10"/>
      <c r="F627" s="10"/>
      <c r="G627" s="10"/>
      <c r="H627" s="10" t="s">
        <v>52</v>
      </c>
      <c r="I627" s="10">
        <v>20</v>
      </c>
      <c r="J627" s="10" t="s">
        <v>4040</v>
      </c>
      <c r="K627" s="10" t="s">
        <v>42</v>
      </c>
      <c r="L627" s="10">
        <f>Table1[[#This Row],[ENR]]-Table1[[#This Row],[CREDIT]]</f>
        <v>13539.160000000003</v>
      </c>
      <c r="M627" s="36">
        <v>140000</v>
      </c>
      <c r="N627" s="26">
        <v>153539.16</v>
      </c>
      <c r="O627" s="38">
        <v>16852.64</v>
      </c>
      <c r="P627" s="25">
        <v>136686.51999999999</v>
      </c>
      <c r="Q627" s="25">
        <v>122034.27</v>
      </c>
      <c r="R627" s="10">
        <v>30970</v>
      </c>
      <c r="S627" s="39">
        <v>12488.08</v>
      </c>
      <c r="T627" s="10" t="s">
        <v>44</v>
      </c>
      <c r="U627" s="10" t="s">
        <v>45</v>
      </c>
      <c r="V627" s="10">
        <v>0</v>
      </c>
      <c r="W627" s="25">
        <f>Table1[[#This Row],[STAB]]-Table1[[#This Row],[AMOUNT]]</f>
        <v>12488.08</v>
      </c>
      <c r="X627" s="10">
        <v>0</v>
      </c>
      <c r="Y627" s="10" t="s">
        <v>79</v>
      </c>
      <c r="Z627" s="10">
        <v>0</v>
      </c>
      <c r="AA627" s="10" t="s">
        <v>113</v>
      </c>
      <c r="AB627" s="36" t="s">
        <v>132</v>
      </c>
      <c r="AC627" s="10"/>
      <c r="AD627" s="9" t="s">
        <v>4105</v>
      </c>
      <c r="AE627" s="10" t="s">
        <v>4169</v>
      </c>
      <c r="AF627" s="10" t="s">
        <v>278</v>
      </c>
      <c r="AG627" s="10" t="s">
        <v>54</v>
      </c>
      <c r="AH627" s="10" t="s">
        <v>86</v>
      </c>
      <c r="AI627" s="10" t="s">
        <v>369</v>
      </c>
      <c r="AJ627" s="10">
        <v>802823180</v>
      </c>
      <c r="AK627" s="10" t="s">
        <v>105</v>
      </c>
      <c r="AL627" s="10"/>
      <c r="AM627" s="10"/>
      <c r="AN627" s="11" t="s">
        <v>390</v>
      </c>
      <c r="AO627" s="10" t="s">
        <v>392</v>
      </c>
      <c r="AP627" s="10" t="s">
        <v>5018</v>
      </c>
      <c r="AQ627" s="10" t="s">
        <v>4993</v>
      </c>
      <c r="AR627" s="2">
        <v>45904</v>
      </c>
      <c r="AS627" s="10">
        <v>300</v>
      </c>
      <c r="AT627" s="10" t="s">
        <v>47</v>
      </c>
      <c r="AU627" s="10" t="s">
        <v>4205</v>
      </c>
      <c r="AV627" s="36" t="s">
        <v>4235</v>
      </c>
      <c r="AW627" s="1">
        <v>46211</v>
      </c>
    </row>
    <row r="628" spans="1:49" x14ac:dyDescent="0.25">
      <c r="A628" s="9" t="s">
        <v>3892</v>
      </c>
      <c r="B628" s="10" t="s">
        <v>3957</v>
      </c>
      <c r="C628" s="10">
        <v>0</v>
      </c>
      <c r="D628" s="10" t="s">
        <v>91</v>
      </c>
      <c r="E628" s="10"/>
      <c r="F628" s="10"/>
      <c r="G628" s="10"/>
      <c r="H628" s="10" t="s">
        <v>84</v>
      </c>
      <c r="I628" s="10">
        <v>20</v>
      </c>
      <c r="J628" s="10" t="s">
        <v>4022</v>
      </c>
      <c r="K628" s="10" t="s">
        <v>42</v>
      </c>
      <c r="L628" s="10">
        <f>Table1[[#This Row],[ENR]]-Table1[[#This Row],[CREDIT]]</f>
        <v>-93363.359999999986</v>
      </c>
      <c r="M628" s="36">
        <v>230000</v>
      </c>
      <c r="N628" s="26">
        <v>136636.64000000001</v>
      </c>
      <c r="O628" s="38" t="s">
        <v>43</v>
      </c>
      <c r="P628" s="25">
        <v>136636.64000000001</v>
      </c>
      <c r="Q628" s="25">
        <v>121695.39</v>
      </c>
      <c r="R628" s="10">
        <v>32310</v>
      </c>
      <c r="S628" s="39">
        <v>15820</v>
      </c>
      <c r="T628" s="10" t="s">
        <v>44</v>
      </c>
      <c r="U628" s="10" t="s">
        <v>45</v>
      </c>
      <c r="V628" s="10">
        <v>0</v>
      </c>
      <c r="W628" s="25">
        <f>Table1[[#This Row],[STAB]]-Table1[[#This Row],[AMOUNT]]</f>
        <v>15820</v>
      </c>
      <c r="X628" s="10">
        <v>0</v>
      </c>
      <c r="Y628" s="10" t="s">
        <v>79</v>
      </c>
      <c r="Z628" s="10">
        <v>0</v>
      </c>
      <c r="AA628" s="10" t="s">
        <v>113</v>
      </c>
      <c r="AB628" s="36" t="s">
        <v>374</v>
      </c>
      <c r="AC628" s="10"/>
      <c r="AD628" s="9" t="s">
        <v>4087</v>
      </c>
      <c r="AE628" s="10" t="s">
        <v>4152</v>
      </c>
      <c r="AF628" s="10" t="s">
        <v>281</v>
      </c>
      <c r="AG628" s="10" t="s">
        <v>54</v>
      </c>
      <c r="AH628" s="10" t="s">
        <v>58</v>
      </c>
      <c r="AI628" s="10" t="s">
        <v>133</v>
      </c>
      <c r="AJ628" s="10">
        <v>802555024</v>
      </c>
      <c r="AK628" s="10" t="s">
        <v>362</v>
      </c>
      <c r="AL628" s="10"/>
      <c r="AM628" s="10"/>
      <c r="AN628" s="11" t="s">
        <v>390</v>
      </c>
      <c r="AO628" s="10" t="s">
        <v>398</v>
      </c>
      <c r="AP628" s="10" t="s">
        <v>5593</v>
      </c>
      <c r="AQ628" s="10" t="s">
        <v>4931</v>
      </c>
      <c r="AR628" s="2">
        <v>46120</v>
      </c>
      <c r="AS628" s="10">
        <v>25000</v>
      </c>
      <c r="AT628" s="10" t="s">
        <v>291</v>
      </c>
      <c r="AU628" s="10" t="s">
        <v>4205</v>
      </c>
      <c r="AV628" s="36" t="s">
        <v>4217</v>
      </c>
      <c r="AW628" s="1">
        <v>46211</v>
      </c>
    </row>
    <row r="629" spans="1:49" x14ac:dyDescent="0.25">
      <c r="A629" s="9" t="s">
        <v>3893</v>
      </c>
      <c r="B629" s="10" t="s">
        <v>3958</v>
      </c>
      <c r="C629" s="10">
        <v>0</v>
      </c>
      <c r="D629" s="10" t="s">
        <v>91</v>
      </c>
      <c r="E629" s="10"/>
      <c r="F629" s="10"/>
      <c r="G629" s="10"/>
      <c r="H629" s="10" t="s">
        <v>52</v>
      </c>
      <c r="I629" s="10">
        <v>20</v>
      </c>
      <c r="J629" s="10" t="s">
        <v>4023</v>
      </c>
      <c r="K629" s="10" t="s">
        <v>42</v>
      </c>
      <c r="L629" s="10">
        <f>Table1[[#This Row],[ENR]]-Table1[[#This Row],[CREDIT]]</f>
        <v>12186.279999999999</v>
      </c>
      <c r="M629" s="36">
        <v>120000</v>
      </c>
      <c r="N629" s="26">
        <v>132186.28</v>
      </c>
      <c r="O629" s="38" t="s">
        <v>43</v>
      </c>
      <c r="P629" s="25">
        <v>132186.28</v>
      </c>
      <c r="Q629" s="25">
        <v>119999.78</v>
      </c>
      <c r="R629" s="10">
        <v>31380</v>
      </c>
      <c r="S629" s="39">
        <v>11780</v>
      </c>
      <c r="T629" s="10" t="s">
        <v>44</v>
      </c>
      <c r="U629" s="10" t="s">
        <v>45</v>
      </c>
      <c r="V629" s="10">
        <v>0</v>
      </c>
      <c r="W629" s="25">
        <f>Table1[[#This Row],[STAB]]-Table1[[#This Row],[AMOUNT]]</f>
        <v>11780</v>
      </c>
      <c r="X629" s="10">
        <v>0</v>
      </c>
      <c r="Y629" s="10" t="s">
        <v>79</v>
      </c>
      <c r="Z629" s="10">
        <v>0</v>
      </c>
      <c r="AA629" s="10" t="s">
        <v>113</v>
      </c>
      <c r="AB629" s="10" t="s">
        <v>375</v>
      </c>
      <c r="AC629" s="10"/>
      <c r="AD629" s="9" t="s">
        <v>4088</v>
      </c>
      <c r="AE629" s="10" t="s">
        <v>4153</v>
      </c>
      <c r="AF629" s="10" t="s">
        <v>275</v>
      </c>
      <c r="AG629" s="10" t="s">
        <v>80</v>
      </c>
      <c r="AH629" s="10" t="s">
        <v>87</v>
      </c>
      <c r="AI629" s="10" t="s">
        <v>368</v>
      </c>
      <c r="AJ629" s="10">
        <v>802823175</v>
      </c>
      <c r="AK629" s="10" t="s">
        <v>105</v>
      </c>
      <c r="AL629" s="10"/>
      <c r="AM629" s="10"/>
      <c r="AN629" s="11" t="s">
        <v>390</v>
      </c>
      <c r="AO629" s="10" t="s">
        <v>398</v>
      </c>
      <c r="AP629" s="10" t="s">
        <v>4922</v>
      </c>
      <c r="AQ629" s="10" t="s">
        <v>4923</v>
      </c>
      <c r="AR629" s="2">
        <v>45749</v>
      </c>
      <c r="AS629" s="10">
        <v>8200</v>
      </c>
      <c r="AT629" s="10" t="s">
        <v>48</v>
      </c>
      <c r="AU629" s="10" t="s">
        <v>4205</v>
      </c>
      <c r="AV629" s="36" t="s">
        <v>4218</v>
      </c>
      <c r="AW629" s="1">
        <v>46211</v>
      </c>
    </row>
    <row r="630" spans="1:49" x14ac:dyDescent="0.25">
      <c r="A630" s="9" t="s">
        <v>3943</v>
      </c>
      <c r="B630" s="10" t="s">
        <v>4008</v>
      </c>
      <c r="C630" s="10">
        <v>0</v>
      </c>
      <c r="D630" s="10" t="s">
        <v>91</v>
      </c>
      <c r="E630" s="10"/>
      <c r="F630" s="10"/>
      <c r="G630" s="10"/>
      <c r="H630" s="10" t="s">
        <v>52</v>
      </c>
      <c r="I630" s="10">
        <v>20</v>
      </c>
      <c r="J630" s="10" t="s">
        <v>4073</v>
      </c>
      <c r="K630" s="10" t="s">
        <v>42</v>
      </c>
      <c r="L630" s="10">
        <f>Table1[[#This Row],[ENR]]-Table1[[#This Row],[CREDIT]]</f>
        <v>7081.7100000000064</v>
      </c>
      <c r="M630" s="36">
        <v>120000</v>
      </c>
      <c r="N630" s="26">
        <v>127081.71</v>
      </c>
      <c r="O630" s="38" t="s">
        <v>43</v>
      </c>
      <c r="P630" s="25">
        <v>127081.71</v>
      </c>
      <c r="Q630" s="25">
        <v>113067.16</v>
      </c>
      <c r="R630" s="10">
        <v>26540</v>
      </c>
      <c r="S630" s="39">
        <v>7160</v>
      </c>
      <c r="T630" s="10" t="s">
        <v>57</v>
      </c>
      <c r="U630" s="10" t="s">
        <v>13</v>
      </c>
      <c r="V630" s="10">
        <v>27000</v>
      </c>
      <c r="W630" s="25">
        <f>Table1[[#This Row],[STAB]]-Table1[[#This Row],[AMOUNT]]</f>
        <v>-19840</v>
      </c>
      <c r="X630" s="10" t="s">
        <v>4937</v>
      </c>
      <c r="Y630" s="10" t="s">
        <v>402</v>
      </c>
      <c r="Z630" s="10" t="s">
        <v>403</v>
      </c>
      <c r="AA630" s="10" t="s">
        <v>113</v>
      </c>
      <c r="AB630" s="41" t="s">
        <v>131</v>
      </c>
      <c r="AC630" s="10"/>
      <c r="AD630" s="9" t="s">
        <v>4138</v>
      </c>
      <c r="AE630" s="10" t="s">
        <v>4202</v>
      </c>
      <c r="AF630" s="10" t="s">
        <v>281</v>
      </c>
      <c r="AG630" s="10" t="s">
        <v>54</v>
      </c>
      <c r="AH630" s="10" t="s">
        <v>724</v>
      </c>
      <c r="AI630" s="10" t="s">
        <v>365</v>
      </c>
      <c r="AJ630" s="10">
        <v>802824019</v>
      </c>
      <c r="AK630" s="10" t="s">
        <v>360</v>
      </c>
      <c r="AL630" s="10"/>
      <c r="AM630" s="10"/>
      <c r="AN630" s="11" t="s">
        <v>390</v>
      </c>
      <c r="AO630" s="10" t="s">
        <v>398</v>
      </c>
      <c r="AP630" s="10" t="s">
        <v>5600</v>
      </c>
      <c r="AQ630" s="10" t="s">
        <v>4931</v>
      </c>
      <c r="AR630" s="2">
        <v>45636</v>
      </c>
      <c r="AS630" s="10">
        <v>2000</v>
      </c>
      <c r="AT630" s="10" t="s">
        <v>288</v>
      </c>
      <c r="AU630" s="10" t="s">
        <v>4205</v>
      </c>
      <c r="AV630" s="36" t="s">
        <v>4268</v>
      </c>
      <c r="AW630" s="1">
        <v>46211</v>
      </c>
    </row>
    <row r="631" spans="1:49" x14ac:dyDescent="0.25">
      <c r="A631" s="9" t="s">
        <v>3882</v>
      </c>
      <c r="B631" s="10" t="s">
        <v>3947</v>
      </c>
      <c r="C631" s="10">
        <v>0</v>
      </c>
      <c r="D631" s="10" t="s">
        <v>91</v>
      </c>
      <c r="E631" s="10"/>
      <c r="F631" s="10"/>
      <c r="G631" s="10"/>
      <c r="H631" s="10" t="s">
        <v>84</v>
      </c>
      <c r="I631" s="10">
        <v>20</v>
      </c>
      <c r="J631" s="10" t="s">
        <v>4012</v>
      </c>
      <c r="K631" s="10" t="s">
        <v>42</v>
      </c>
      <c r="L631" s="10">
        <f>Table1[[#This Row],[ENR]]-Table1[[#This Row],[CREDIT]]</f>
        <v>9892.0899999999965</v>
      </c>
      <c r="M631" s="36">
        <v>110000</v>
      </c>
      <c r="N631" s="26">
        <v>119892.09</v>
      </c>
      <c r="O631" s="38" t="s">
        <v>43</v>
      </c>
      <c r="P631" s="25">
        <v>119892.09</v>
      </c>
      <c r="Q631" s="25">
        <v>109905.31</v>
      </c>
      <c r="R631" s="10">
        <v>34670</v>
      </c>
      <c r="S631" s="39">
        <v>22160</v>
      </c>
      <c r="T631" s="10" t="s">
        <v>44</v>
      </c>
      <c r="U631" s="10" t="s">
        <v>45</v>
      </c>
      <c r="V631" s="10">
        <v>0</v>
      </c>
      <c r="W631" s="25">
        <f>Table1[[#This Row],[STAB]]-Table1[[#This Row],[AMOUNT]]</f>
        <v>22160</v>
      </c>
      <c r="X631" s="10">
        <v>0</v>
      </c>
      <c r="Y631" s="10" t="s">
        <v>79</v>
      </c>
      <c r="Z631" s="10">
        <v>0</v>
      </c>
      <c r="AA631" s="10" t="s">
        <v>113</v>
      </c>
      <c r="AB631" s="36" t="s">
        <v>133</v>
      </c>
      <c r="AC631" s="10"/>
      <c r="AD631" s="9" t="s">
        <v>4077</v>
      </c>
      <c r="AE631" s="10" t="s">
        <v>4142</v>
      </c>
      <c r="AF631" s="10" t="s">
        <v>272</v>
      </c>
      <c r="AG631" s="10" t="s">
        <v>54</v>
      </c>
      <c r="AH631" s="10" t="s">
        <v>357</v>
      </c>
      <c r="AI631" s="10" t="s">
        <v>365</v>
      </c>
      <c r="AJ631" s="10">
        <v>802824019</v>
      </c>
      <c r="AK631" s="10" t="s">
        <v>360</v>
      </c>
      <c r="AL631" s="10"/>
      <c r="AM631" s="10"/>
      <c r="AN631" s="11" t="s">
        <v>390</v>
      </c>
      <c r="AO631" s="10" t="s">
        <v>392</v>
      </c>
      <c r="AP631" s="10" t="s">
        <v>6346</v>
      </c>
      <c r="AQ631" s="10" t="s">
        <v>4976</v>
      </c>
      <c r="AR631" s="2">
        <v>45859</v>
      </c>
      <c r="AS631" s="10">
        <v>17000</v>
      </c>
      <c r="AT631" s="10" t="s">
        <v>291</v>
      </c>
      <c r="AU631" s="10" t="s">
        <v>4205</v>
      </c>
      <c r="AV631" s="36" t="s">
        <v>4207</v>
      </c>
      <c r="AW631" s="1">
        <v>46211</v>
      </c>
    </row>
    <row r="632" spans="1:49" x14ac:dyDescent="0.25">
      <c r="A632" s="9" t="s">
        <v>3884</v>
      </c>
      <c r="B632" s="10" t="s">
        <v>3949</v>
      </c>
      <c r="C632" s="10">
        <v>0</v>
      </c>
      <c r="D632" s="10" t="s">
        <v>91</v>
      </c>
      <c r="E632" s="10"/>
      <c r="F632" s="10"/>
      <c r="G632" s="10"/>
      <c r="H632" s="10" t="s">
        <v>52</v>
      </c>
      <c r="I632" s="10">
        <v>20</v>
      </c>
      <c r="J632" s="10" t="s">
        <v>4014</v>
      </c>
      <c r="K632" s="10" t="s">
        <v>42</v>
      </c>
      <c r="L632" s="10">
        <f>Table1[[#This Row],[ENR]]-Table1[[#This Row],[CREDIT]]</f>
        <v>-30136.429999999993</v>
      </c>
      <c r="M632" s="36">
        <v>150000</v>
      </c>
      <c r="N632" s="26">
        <v>119863.57</v>
      </c>
      <c r="O632" s="38">
        <v>43616.53</v>
      </c>
      <c r="P632" s="25">
        <v>76247.039999999994</v>
      </c>
      <c r="Q632" s="25">
        <v>65487.29</v>
      </c>
      <c r="R632" s="10">
        <v>27440</v>
      </c>
      <c r="S632" s="39">
        <v>12360</v>
      </c>
      <c r="T632" s="10" t="s">
        <v>57</v>
      </c>
      <c r="U632" s="10" t="s">
        <v>14</v>
      </c>
      <c r="V632" s="10">
        <v>13000</v>
      </c>
      <c r="W632" s="25">
        <f>Table1[[#This Row],[STAB]]-Table1[[#This Row],[AMOUNT]]</f>
        <v>-640</v>
      </c>
      <c r="X632" s="10" t="s">
        <v>4976</v>
      </c>
      <c r="Y632" s="10" t="s">
        <v>402</v>
      </c>
      <c r="Z632" s="10" t="s">
        <v>403</v>
      </c>
      <c r="AA632" s="10" t="s">
        <v>113</v>
      </c>
      <c r="AB632" s="10" t="s">
        <v>132</v>
      </c>
      <c r="AC632" s="10"/>
      <c r="AD632" s="9" t="s">
        <v>4079</v>
      </c>
      <c r="AE632" s="10" t="s">
        <v>4144</v>
      </c>
      <c r="AF632" s="10" t="s">
        <v>278</v>
      </c>
      <c r="AG632" s="10" t="s">
        <v>54</v>
      </c>
      <c r="AH632" s="10" t="s">
        <v>86</v>
      </c>
      <c r="AI632" s="10" t="s">
        <v>369</v>
      </c>
      <c r="AJ632" s="10">
        <v>802823180</v>
      </c>
      <c r="AK632" s="10" t="s">
        <v>105</v>
      </c>
      <c r="AL632" s="10"/>
      <c r="AM632" s="10"/>
      <c r="AN632" s="11" t="s">
        <v>390</v>
      </c>
      <c r="AO632" s="10" t="s">
        <v>392</v>
      </c>
      <c r="AP632" s="10" t="s">
        <v>4930</v>
      </c>
      <c r="AQ632" s="10" t="s">
        <v>4923</v>
      </c>
      <c r="AR632" s="2">
        <v>45598</v>
      </c>
      <c r="AS632" s="10">
        <v>41000</v>
      </c>
      <c r="AT632" s="10" t="s">
        <v>1930</v>
      </c>
      <c r="AU632" s="10" t="s">
        <v>4205</v>
      </c>
      <c r="AV632" s="36" t="s">
        <v>4209</v>
      </c>
      <c r="AW632" s="1">
        <v>46211</v>
      </c>
    </row>
    <row r="633" spans="1:49" x14ac:dyDescent="0.25">
      <c r="A633" s="9" t="s">
        <v>3939</v>
      </c>
      <c r="B633" s="10" t="s">
        <v>4004</v>
      </c>
      <c r="C633" s="10">
        <v>0</v>
      </c>
      <c r="D633" s="10" t="s">
        <v>91</v>
      </c>
      <c r="E633" s="10"/>
      <c r="F633" s="10"/>
      <c r="G633" s="10" t="s">
        <v>4956</v>
      </c>
      <c r="H633" s="10" t="s">
        <v>52</v>
      </c>
      <c r="I633" s="10">
        <v>20</v>
      </c>
      <c r="J633" s="10" t="s">
        <v>4069</v>
      </c>
      <c r="K633" s="10" t="s">
        <v>42</v>
      </c>
      <c r="L633" s="10">
        <f>Table1[[#This Row],[ENR]]-Table1[[#This Row],[CREDIT]]</f>
        <v>7021.7700000000041</v>
      </c>
      <c r="M633" s="36">
        <v>100000</v>
      </c>
      <c r="N633" s="26">
        <v>107021.77</v>
      </c>
      <c r="O633" s="38">
        <v>92152.4</v>
      </c>
      <c r="P633" s="25">
        <v>14869.37</v>
      </c>
      <c r="Q633" s="25">
        <v>7701.6</v>
      </c>
      <c r="R633" s="10">
        <v>14869.37</v>
      </c>
      <c r="S633" s="39">
        <v>8100.85</v>
      </c>
      <c r="T633" s="10" t="s">
        <v>57</v>
      </c>
      <c r="U633" s="10" t="s">
        <v>13</v>
      </c>
      <c r="V633" s="10">
        <v>0</v>
      </c>
      <c r="W633" s="25">
        <f>Table1[[#This Row],[STAB]]-Table1[[#This Row],[AMOUNT]]</f>
        <v>8100.85</v>
      </c>
      <c r="X633" s="10">
        <v>0</v>
      </c>
      <c r="Y633" s="10" t="s">
        <v>79</v>
      </c>
      <c r="Z633" s="10" t="s">
        <v>963</v>
      </c>
      <c r="AA633" s="10" t="s">
        <v>113</v>
      </c>
      <c r="AB633" s="36" t="s">
        <v>374</v>
      </c>
      <c r="AC633" s="10"/>
      <c r="AD633" s="9" t="s">
        <v>4134</v>
      </c>
      <c r="AE633" s="10" t="s">
        <v>4198</v>
      </c>
      <c r="AF633" s="10" t="s">
        <v>499</v>
      </c>
      <c r="AG633" s="10" t="s">
        <v>53</v>
      </c>
      <c r="AH633" s="10" t="s">
        <v>55</v>
      </c>
      <c r="AI633" s="10" t="s">
        <v>365</v>
      </c>
      <c r="AJ633" s="10">
        <v>802824019</v>
      </c>
      <c r="AK633" s="10" t="s">
        <v>360</v>
      </c>
      <c r="AL633" s="10"/>
      <c r="AM633" s="10"/>
      <c r="AN633" s="11" t="s">
        <v>390</v>
      </c>
      <c r="AO633" s="10"/>
      <c r="AP633" s="10"/>
      <c r="AQ633" s="10"/>
      <c r="AR633" s="2">
        <v>46092</v>
      </c>
      <c r="AS633" s="10">
        <v>14220</v>
      </c>
      <c r="AT633" s="10" t="s">
        <v>937</v>
      </c>
      <c r="AU633" s="10" t="s">
        <v>4205</v>
      </c>
      <c r="AV633" s="36" t="s">
        <v>4264</v>
      </c>
      <c r="AW633" s="1">
        <v>46211</v>
      </c>
    </row>
    <row r="634" spans="1:49" x14ac:dyDescent="0.25">
      <c r="A634" s="9" t="s">
        <v>3906</v>
      </c>
      <c r="B634" s="10" t="s">
        <v>3971</v>
      </c>
      <c r="C634" s="10">
        <v>0</v>
      </c>
      <c r="D634" s="10" t="s">
        <v>91</v>
      </c>
      <c r="E634" s="10"/>
      <c r="F634" s="10"/>
      <c r="G634" s="10"/>
      <c r="H634" s="10" t="s">
        <v>52</v>
      </c>
      <c r="I634" s="10">
        <v>20</v>
      </c>
      <c r="J634" s="10" t="s">
        <v>4036</v>
      </c>
      <c r="K634" s="10" t="s">
        <v>42</v>
      </c>
      <c r="L634" s="10">
        <f>Table1[[#This Row],[ENR]]-Table1[[#This Row],[CREDIT]]</f>
        <v>6974.3600000000006</v>
      </c>
      <c r="M634" s="36">
        <v>100000</v>
      </c>
      <c r="N634" s="26">
        <v>106974.36</v>
      </c>
      <c r="O634" s="38" t="s">
        <v>43</v>
      </c>
      <c r="P634" s="25">
        <v>106974.36</v>
      </c>
      <c r="Q634" s="25">
        <v>94247.01</v>
      </c>
      <c r="R634" s="10">
        <v>25250</v>
      </c>
      <c r="S634" s="39">
        <v>5680</v>
      </c>
      <c r="T634" s="10" t="s">
        <v>44</v>
      </c>
      <c r="U634" s="10" t="s">
        <v>45</v>
      </c>
      <c r="V634" s="10">
        <v>2536</v>
      </c>
      <c r="W634" s="25">
        <f>Table1[[#This Row],[STAB]]-Table1[[#This Row],[AMOUNT]]</f>
        <v>3144</v>
      </c>
      <c r="X634" s="10">
        <v>0</v>
      </c>
      <c r="Y634" s="10" t="s">
        <v>79</v>
      </c>
      <c r="Z634" s="10" t="s">
        <v>963</v>
      </c>
      <c r="AA634" s="10" t="s">
        <v>113</v>
      </c>
      <c r="AB634" s="36" t="s">
        <v>132</v>
      </c>
      <c r="AC634" s="10"/>
      <c r="AD634" s="9" t="s">
        <v>4101</v>
      </c>
      <c r="AE634" s="10" t="s">
        <v>4166</v>
      </c>
      <c r="AF634" s="10" t="s">
        <v>272</v>
      </c>
      <c r="AG634" s="10" t="s">
        <v>54</v>
      </c>
      <c r="AH634" s="10" t="s">
        <v>357</v>
      </c>
      <c r="AI634" s="10" t="s">
        <v>365</v>
      </c>
      <c r="AJ634" s="10">
        <v>802824019</v>
      </c>
      <c r="AK634" s="10" t="s">
        <v>360</v>
      </c>
      <c r="AL634" s="10"/>
      <c r="AM634" s="10"/>
      <c r="AN634" s="11" t="s">
        <v>46</v>
      </c>
      <c r="AO634" s="10"/>
      <c r="AP634" s="10"/>
      <c r="AQ634" s="10"/>
      <c r="AR634" s="2">
        <v>46150</v>
      </c>
      <c r="AS634" s="10">
        <v>9190</v>
      </c>
      <c r="AT634" s="10" t="s">
        <v>293</v>
      </c>
      <c r="AU634" s="10" t="s">
        <v>4205</v>
      </c>
      <c r="AV634" s="36" t="s">
        <v>4231</v>
      </c>
      <c r="AW634" s="1">
        <v>46211</v>
      </c>
    </row>
    <row r="635" spans="1:49" x14ac:dyDescent="0.25">
      <c r="A635" s="9" t="s">
        <v>3898</v>
      </c>
      <c r="B635" s="10" t="s">
        <v>3963</v>
      </c>
      <c r="C635" s="10">
        <v>0</v>
      </c>
      <c r="D635" s="10" t="s">
        <v>91</v>
      </c>
      <c r="E635" s="10"/>
      <c r="F635" s="10"/>
      <c r="G635" s="10"/>
      <c r="H635" s="10" t="s">
        <v>52</v>
      </c>
      <c r="I635" s="10">
        <v>20</v>
      </c>
      <c r="J635" s="10" t="s">
        <v>4028</v>
      </c>
      <c r="K635" s="10" t="s">
        <v>42</v>
      </c>
      <c r="L635" s="10">
        <f>Table1[[#This Row],[ENR]]-Table1[[#This Row],[CREDIT]]</f>
        <v>1907.1999999999971</v>
      </c>
      <c r="M635" s="36">
        <v>100000</v>
      </c>
      <c r="N635" s="26">
        <v>101907.2</v>
      </c>
      <c r="O635" s="38">
        <v>68103.44</v>
      </c>
      <c r="P635" s="25">
        <v>33803.760000000002</v>
      </c>
      <c r="Q635" s="25">
        <v>20808.03</v>
      </c>
      <c r="R635" s="10">
        <v>33803.760000000002</v>
      </c>
      <c r="S635" s="39">
        <v>15434.51</v>
      </c>
      <c r="T635" s="10" t="s">
        <v>57</v>
      </c>
      <c r="U635" s="10" t="s">
        <v>14</v>
      </c>
      <c r="V635" s="10">
        <v>6000</v>
      </c>
      <c r="W635" s="25">
        <f>Table1[[#This Row],[STAB]]-Table1[[#This Row],[AMOUNT]]</f>
        <v>9434.51</v>
      </c>
      <c r="X635" s="10" t="s">
        <v>4937</v>
      </c>
      <c r="Y635" s="10" t="s">
        <v>402</v>
      </c>
      <c r="Z635" s="10" t="s">
        <v>403</v>
      </c>
      <c r="AA635" s="10" t="s">
        <v>113</v>
      </c>
      <c r="AB635" s="41" t="s">
        <v>133</v>
      </c>
      <c r="AC635" s="10"/>
      <c r="AD635" s="9" t="s">
        <v>4093</v>
      </c>
      <c r="AE635" s="10" t="s">
        <v>4158</v>
      </c>
      <c r="AF635" s="10" t="s">
        <v>498</v>
      </c>
      <c r="AG635" s="10" t="s">
        <v>53</v>
      </c>
      <c r="AH635" s="10" t="s">
        <v>90</v>
      </c>
      <c r="AI635" s="10" t="s">
        <v>162</v>
      </c>
      <c r="AJ635" s="10">
        <v>801772794</v>
      </c>
      <c r="AK635" s="10" t="s">
        <v>361</v>
      </c>
      <c r="AL635" s="10"/>
      <c r="AM635" s="10"/>
      <c r="AN635" s="11" t="s">
        <v>390</v>
      </c>
      <c r="AO635" s="10"/>
      <c r="AP635" s="10"/>
      <c r="AQ635" s="10"/>
      <c r="AR635" s="2">
        <v>45990</v>
      </c>
      <c r="AS635" s="10">
        <v>43000</v>
      </c>
      <c r="AT635" s="10" t="s">
        <v>291</v>
      </c>
      <c r="AU635" s="10" t="s">
        <v>4205</v>
      </c>
      <c r="AV635" s="36" t="s">
        <v>4223</v>
      </c>
      <c r="AW635" s="1">
        <v>46211</v>
      </c>
    </row>
    <row r="636" spans="1:49" x14ac:dyDescent="0.25">
      <c r="A636" s="9" t="s">
        <v>3937</v>
      </c>
      <c r="B636" s="10" t="s">
        <v>4002</v>
      </c>
      <c r="C636" s="10">
        <v>0</v>
      </c>
      <c r="D636" s="10" t="s">
        <v>91</v>
      </c>
      <c r="E636" s="10">
        <v>1</v>
      </c>
      <c r="F636" s="10"/>
      <c r="G636" s="10"/>
      <c r="H636" s="10" t="s">
        <v>52</v>
      </c>
      <c r="I636" s="10">
        <v>20</v>
      </c>
      <c r="J636" s="10" t="s">
        <v>4067</v>
      </c>
      <c r="K636" s="10" t="s">
        <v>42</v>
      </c>
      <c r="L636" s="10">
        <f>Table1[[#This Row],[ENR]]-Table1[[#This Row],[CREDIT]]</f>
        <v>-13404.210000000006</v>
      </c>
      <c r="M636" s="36">
        <v>110000</v>
      </c>
      <c r="N636" s="26">
        <v>96595.79</v>
      </c>
      <c r="O636" s="38">
        <v>42104.75</v>
      </c>
      <c r="P636" s="25">
        <v>54491.040000000001</v>
      </c>
      <c r="Q636" s="25">
        <v>47737.47</v>
      </c>
      <c r="R636" s="10">
        <v>21310</v>
      </c>
      <c r="S636" s="39">
        <v>8790</v>
      </c>
      <c r="T636" s="10" t="s">
        <v>44</v>
      </c>
      <c r="U636" s="10" t="s">
        <v>45</v>
      </c>
      <c r="V636" s="10">
        <v>0</v>
      </c>
      <c r="W636" s="25">
        <f>Table1[[#This Row],[STAB]]-Table1[[#This Row],[AMOUNT]]</f>
        <v>8790</v>
      </c>
      <c r="X636" s="10">
        <v>0</v>
      </c>
      <c r="Y636" s="10" t="s">
        <v>79</v>
      </c>
      <c r="Z636" s="10">
        <v>0</v>
      </c>
      <c r="AA636" s="10" t="s">
        <v>113</v>
      </c>
      <c r="AB636" s="41" t="s">
        <v>131</v>
      </c>
      <c r="AC636" s="10"/>
      <c r="AD636" s="9" t="s">
        <v>4132</v>
      </c>
      <c r="AE636" s="10" t="s">
        <v>4196</v>
      </c>
      <c r="AF636" s="10" t="s">
        <v>272</v>
      </c>
      <c r="AG636" s="10" t="s">
        <v>54</v>
      </c>
      <c r="AH636" s="10" t="s">
        <v>357</v>
      </c>
      <c r="AI636" s="10" t="s">
        <v>365</v>
      </c>
      <c r="AJ636" s="10">
        <v>802824019</v>
      </c>
      <c r="AK636" s="10" t="s">
        <v>360</v>
      </c>
      <c r="AL636" s="10"/>
      <c r="AM636" s="10"/>
      <c r="AN636" s="11" t="s">
        <v>390</v>
      </c>
      <c r="AO636" s="10" t="s">
        <v>392</v>
      </c>
      <c r="AP636" s="10" t="s">
        <v>5020</v>
      </c>
      <c r="AQ636" s="10" t="s">
        <v>4993</v>
      </c>
      <c r="AR636" s="2">
        <v>46144</v>
      </c>
      <c r="AS636" s="10">
        <v>44796.88</v>
      </c>
      <c r="AT636" s="10" t="s">
        <v>293</v>
      </c>
      <c r="AU636" s="10" t="s">
        <v>4205</v>
      </c>
      <c r="AV636" s="36" t="s">
        <v>4262</v>
      </c>
      <c r="AW636" s="1">
        <v>46211</v>
      </c>
    </row>
    <row r="637" spans="1:49" x14ac:dyDescent="0.25">
      <c r="A637" s="9" t="s">
        <v>3904</v>
      </c>
      <c r="B637" s="10" t="s">
        <v>3969</v>
      </c>
      <c r="C637" s="10">
        <v>0</v>
      </c>
      <c r="D637" s="10" t="s">
        <v>91</v>
      </c>
      <c r="E637" s="10"/>
      <c r="F637" s="10"/>
      <c r="G637" s="10"/>
      <c r="H637" s="10" t="s">
        <v>52</v>
      </c>
      <c r="I637" s="10">
        <v>20</v>
      </c>
      <c r="J637" s="10" t="s">
        <v>4034</v>
      </c>
      <c r="K637" s="10" t="s">
        <v>42</v>
      </c>
      <c r="L637" s="10">
        <f>Table1[[#This Row],[ENR]]-Table1[[#This Row],[CREDIT]]</f>
        <v>5934.6199999999953</v>
      </c>
      <c r="M637" s="36">
        <v>90000</v>
      </c>
      <c r="N637" s="26">
        <v>95934.62</v>
      </c>
      <c r="O637" s="38" t="s">
        <v>43</v>
      </c>
      <c r="P637" s="25">
        <v>95934.62</v>
      </c>
      <c r="Q637" s="25">
        <v>88261.41</v>
      </c>
      <c r="R637" s="10">
        <v>24310</v>
      </c>
      <c r="S637" s="39">
        <v>14880</v>
      </c>
      <c r="T637" s="10" t="s">
        <v>44</v>
      </c>
      <c r="U637" s="10" t="s">
        <v>45</v>
      </c>
      <c r="V637" s="10">
        <v>0</v>
      </c>
      <c r="W637" s="25">
        <f>Table1[[#This Row],[STAB]]-Table1[[#This Row],[AMOUNT]]</f>
        <v>14880</v>
      </c>
      <c r="X637" s="10">
        <v>0</v>
      </c>
      <c r="Y637" s="10" t="s">
        <v>79</v>
      </c>
      <c r="Z637" s="10">
        <v>0</v>
      </c>
      <c r="AA637" s="10" t="s">
        <v>113</v>
      </c>
      <c r="AB637" s="36" t="s">
        <v>375</v>
      </c>
      <c r="AC637" s="10"/>
      <c r="AD637" s="9" t="s">
        <v>4099</v>
      </c>
      <c r="AE637" s="10" t="s">
        <v>4164</v>
      </c>
      <c r="AF637" s="10" t="s">
        <v>685</v>
      </c>
      <c r="AG637" s="10" t="s">
        <v>54</v>
      </c>
      <c r="AH637" s="10" t="s">
        <v>1398</v>
      </c>
      <c r="AI637" s="10" t="s">
        <v>162</v>
      </c>
      <c r="AJ637" s="10">
        <v>801772794</v>
      </c>
      <c r="AK637" s="10" t="s">
        <v>361</v>
      </c>
      <c r="AL637" s="10"/>
      <c r="AM637" s="10"/>
      <c r="AN637" s="11" t="s">
        <v>46</v>
      </c>
      <c r="AO637" s="10"/>
      <c r="AP637" s="10"/>
      <c r="AQ637" s="10"/>
      <c r="AR637" s="2">
        <v>46169</v>
      </c>
      <c r="AS637" s="10">
        <v>7500</v>
      </c>
      <c r="AT637" s="10" t="s">
        <v>293</v>
      </c>
      <c r="AU637" s="10" t="s">
        <v>4205</v>
      </c>
      <c r="AV637" s="36" t="s">
        <v>4229</v>
      </c>
      <c r="AW637" s="1">
        <v>46211</v>
      </c>
    </row>
    <row r="638" spans="1:49" x14ac:dyDescent="0.25">
      <c r="A638" s="9" t="s">
        <v>3896</v>
      </c>
      <c r="B638" s="10" t="s">
        <v>3961</v>
      </c>
      <c r="C638" s="10">
        <v>0</v>
      </c>
      <c r="D638" s="10" t="s">
        <v>91</v>
      </c>
      <c r="E638" s="10"/>
      <c r="F638" s="10"/>
      <c r="G638" s="10"/>
      <c r="H638" s="10" t="s">
        <v>52</v>
      </c>
      <c r="I638" s="10">
        <v>20</v>
      </c>
      <c r="J638" s="10" t="s">
        <v>4026</v>
      </c>
      <c r="K638" s="10" t="s">
        <v>42</v>
      </c>
      <c r="L638" s="10">
        <f>Table1[[#This Row],[ENR]]-Table1[[#This Row],[CREDIT]]</f>
        <v>4646.1900000000023</v>
      </c>
      <c r="M638" s="36">
        <v>90000</v>
      </c>
      <c r="N638" s="26">
        <v>94646.19</v>
      </c>
      <c r="O638" s="38">
        <v>20586.91</v>
      </c>
      <c r="P638" s="25">
        <v>74059.28</v>
      </c>
      <c r="Q638" s="25">
        <v>64983.01</v>
      </c>
      <c r="R638" s="10">
        <v>31840</v>
      </c>
      <c r="S638" s="39">
        <v>14840</v>
      </c>
      <c r="T638" s="10" t="s">
        <v>44</v>
      </c>
      <c r="U638" s="10" t="s">
        <v>45</v>
      </c>
      <c r="V638" s="10">
        <v>0</v>
      </c>
      <c r="W638" s="25">
        <f>Table1[[#This Row],[STAB]]-Table1[[#This Row],[AMOUNT]]</f>
        <v>14840</v>
      </c>
      <c r="X638" s="10">
        <v>0</v>
      </c>
      <c r="Y638" s="10" t="s">
        <v>79</v>
      </c>
      <c r="Z638" s="10">
        <v>0</v>
      </c>
      <c r="AA638" s="10" t="s">
        <v>113</v>
      </c>
      <c r="AB638" s="36" t="s">
        <v>374</v>
      </c>
      <c r="AC638" s="10"/>
      <c r="AD638" s="9" t="s">
        <v>4091</v>
      </c>
      <c r="AE638" s="10" t="s">
        <v>4156</v>
      </c>
      <c r="AF638" s="10" t="s">
        <v>272</v>
      </c>
      <c r="AG638" s="10" t="s">
        <v>54</v>
      </c>
      <c r="AH638" s="10" t="s">
        <v>357</v>
      </c>
      <c r="AI638" s="10" t="s">
        <v>365</v>
      </c>
      <c r="AJ638" s="10">
        <v>802824019</v>
      </c>
      <c r="AK638" s="10" t="s">
        <v>360</v>
      </c>
      <c r="AL638" s="10"/>
      <c r="AM638" s="10"/>
      <c r="AN638" s="11" t="s">
        <v>390</v>
      </c>
      <c r="AO638" s="10" t="s">
        <v>392</v>
      </c>
      <c r="AP638" s="10" t="s">
        <v>5016</v>
      </c>
      <c r="AQ638" s="10" t="s">
        <v>4993</v>
      </c>
      <c r="AR638" s="2">
        <v>45699</v>
      </c>
      <c r="AS638" s="10">
        <v>44000</v>
      </c>
      <c r="AT638" s="10" t="s">
        <v>937</v>
      </c>
      <c r="AU638" s="10" t="s">
        <v>4205</v>
      </c>
      <c r="AV638" s="36" t="s">
        <v>4221</v>
      </c>
      <c r="AW638" s="1">
        <v>46211</v>
      </c>
    </row>
    <row r="639" spans="1:49" x14ac:dyDescent="0.25">
      <c r="A639" s="9" t="s">
        <v>3891</v>
      </c>
      <c r="B639" s="10" t="s">
        <v>3956</v>
      </c>
      <c r="C639" s="10">
        <v>0</v>
      </c>
      <c r="D639" s="10" t="s">
        <v>91</v>
      </c>
      <c r="E639" s="10"/>
      <c r="F639" s="10"/>
      <c r="G639" s="10"/>
      <c r="H639" s="10" t="s">
        <v>84</v>
      </c>
      <c r="I639" s="10">
        <v>20</v>
      </c>
      <c r="J639" s="10" t="s">
        <v>4021</v>
      </c>
      <c r="K639" s="10" t="s">
        <v>42</v>
      </c>
      <c r="L639" s="10">
        <f>Table1[[#This Row],[ENR]]-Table1[[#This Row],[CREDIT]]</f>
        <v>-9620.8000000000029</v>
      </c>
      <c r="M639" s="36">
        <v>100000</v>
      </c>
      <c r="N639" s="26">
        <v>90379.199999999997</v>
      </c>
      <c r="O639" s="38" t="s">
        <v>43</v>
      </c>
      <c r="P639" s="25">
        <v>90379.199999999997</v>
      </c>
      <c r="Q639" s="25">
        <v>80897.8</v>
      </c>
      <c r="R639" s="10">
        <v>18440</v>
      </c>
      <c r="S639" s="39">
        <v>9190</v>
      </c>
      <c r="T639" s="10" t="s">
        <v>57</v>
      </c>
      <c r="U639" s="10" t="s">
        <v>14</v>
      </c>
      <c r="V639" s="25">
        <v>10000</v>
      </c>
      <c r="W639" s="25">
        <f>Table1[[#This Row],[STAB]]-Table1[[#This Row],[AMOUNT]]</f>
        <v>-810</v>
      </c>
      <c r="X639" s="10" t="s">
        <v>4923</v>
      </c>
      <c r="Y639" s="10" t="s">
        <v>402</v>
      </c>
      <c r="Z639" s="10" t="s">
        <v>403</v>
      </c>
      <c r="AA639" s="10" t="s">
        <v>113</v>
      </c>
      <c r="AB639" s="10" t="s">
        <v>376</v>
      </c>
      <c r="AC639" s="10"/>
      <c r="AD639" s="9" t="s">
        <v>4086</v>
      </c>
      <c r="AE639" s="10" t="s">
        <v>4151</v>
      </c>
      <c r="AF639" s="10" t="s">
        <v>281</v>
      </c>
      <c r="AG639" s="10" t="s">
        <v>54</v>
      </c>
      <c r="AH639" s="10" t="s">
        <v>724</v>
      </c>
      <c r="AI639" s="10" t="s">
        <v>365</v>
      </c>
      <c r="AJ639" s="10">
        <v>802824019</v>
      </c>
      <c r="AK639" s="10" t="s">
        <v>360</v>
      </c>
      <c r="AL639" s="10"/>
      <c r="AM639" s="10"/>
      <c r="AN639" s="11" t="s">
        <v>390</v>
      </c>
      <c r="AO639" s="10"/>
      <c r="AP639" s="10"/>
      <c r="AQ639" s="10"/>
      <c r="AR639" s="2">
        <v>45635</v>
      </c>
      <c r="AS639" s="10">
        <v>40000</v>
      </c>
      <c r="AT639" s="10" t="s">
        <v>291</v>
      </c>
      <c r="AU639" s="10" t="s">
        <v>4205</v>
      </c>
      <c r="AV639" s="36" t="s">
        <v>4216</v>
      </c>
      <c r="AW639" s="1">
        <v>46211</v>
      </c>
    </row>
    <row r="640" spans="1:49" x14ac:dyDescent="0.25">
      <c r="A640" s="9" t="s">
        <v>3894</v>
      </c>
      <c r="B640" s="10" t="s">
        <v>3959</v>
      </c>
      <c r="C640" s="10">
        <v>0</v>
      </c>
      <c r="D640" s="10" t="s">
        <v>91</v>
      </c>
      <c r="E640" s="10"/>
      <c r="F640" s="10"/>
      <c r="G640" s="10" t="s">
        <v>4956</v>
      </c>
      <c r="H640" s="10" t="s">
        <v>52</v>
      </c>
      <c r="I640" s="10">
        <v>20</v>
      </c>
      <c r="J640" s="10" t="s">
        <v>4024</v>
      </c>
      <c r="K640" s="10" t="s">
        <v>42</v>
      </c>
      <c r="L640" s="10">
        <f>Table1[[#This Row],[ENR]]-Table1[[#This Row],[CREDIT]]</f>
        <v>-110870.69</v>
      </c>
      <c r="M640" s="36">
        <v>200000</v>
      </c>
      <c r="N640" s="26">
        <v>89129.31</v>
      </c>
      <c r="O640" s="38">
        <v>54753.45</v>
      </c>
      <c r="P640" s="25">
        <v>34375.86</v>
      </c>
      <c r="Q640" s="25">
        <v>23124.77</v>
      </c>
      <c r="R640" s="10">
        <v>34375.86</v>
      </c>
      <c r="S640" s="39">
        <v>19345.45</v>
      </c>
      <c r="T640" s="10" t="s">
        <v>44</v>
      </c>
      <c r="U640" s="10" t="s">
        <v>45</v>
      </c>
      <c r="V640" s="10">
        <v>0</v>
      </c>
      <c r="W640" s="25">
        <f>Table1[[#This Row],[STAB]]-Table1[[#This Row],[AMOUNT]]</f>
        <v>19345.45</v>
      </c>
      <c r="X640" s="10">
        <v>0</v>
      </c>
      <c r="Y640" s="10" t="s">
        <v>79</v>
      </c>
      <c r="Z640" s="10">
        <v>0</v>
      </c>
      <c r="AA640" s="10" t="s">
        <v>113</v>
      </c>
      <c r="AB640" s="36" t="s">
        <v>376</v>
      </c>
      <c r="AC640" s="10"/>
      <c r="AD640" s="9" t="s">
        <v>4089</v>
      </c>
      <c r="AE640" s="10" t="s">
        <v>4154</v>
      </c>
      <c r="AF640" s="10" t="s">
        <v>499</v>
      </c>
      <c r="AG640" s="10" t="s">
        <v>53</v>
      </c>
      <c r="AH640" s="10" t="s">
        <v>55</v>
      </c>
      <c r="AI640" s="10" t="s">
        <v>365</v>
      </c>
      <c r="AJ640" s="10">
        <v>802824019</v>
      </c>
      <c r="AK640" s="10" t="s">
        <v>360</v>
      </c>
      <c r="AL640" s="10"/>
      <c r="AM640" s="10"/>
      <c r="AN640" s="11" t="s">
        <v>46</v>
      </c>
      <c r="AO640" s="10"/>
      <c r="AP640" s="10"/>
      <c r="AQ640" s="10"/>
      <c r="AR640" s="2">
        <v>45922</v>
      </c>
      <c r="AS640" s="10">
        <v>40875.71</v>
      </c>
      <c r="AT640" s="10" t="s">
        <v>291</v>
      </c>
      <c r="AU640" s="10" t="s">
        <v>4205</v>
      </c>
      <c r="AV640" s="36" t="s">
        <v>4219</v>
      </c>
      <c r="AW640" s="1">
        <v>46211</v>
      </c>
    </row>
    <row r="641" spans="1:49" x14ac:dyDescent="0.25">
      <c r="A641" s="9" t="s">
        <v>3912</v>
      </c>
      <c r="B641" s="10" t="s">
        <v>3977</v>
      </c>
      <c r="C641" s="10">
        <v>0</v>
      </c>
      <c r="D641" s="10" t="s">
        <v>91</v>
      </c>
      <c r="E641" s="10"/>
      <c r="F641" s="10"/>
      <c r="G641" s="10"/>
      <c r="H641" s="10" t="s">
        <v>52</v>
      </c>
      <c r="I641" s="10">
        <v>20</v>
      </c>
      <c r="J641" s="10" t="s">
        <v>4042</v>
      </c>
      <c r="K641" s="10" t="s">
        <v>42</v>
      </c>
      <c r="L641" s="10">
        <f>Table1[[#This Row],[ENR]]-Table1[[#This Row],[CREDIT]]</f>
        <v>8488.6000000000058</v>
      </c>
      <c r="M641" s="36">
        <v>80000</v>
      </c>
      <c r="N641" s="26">
        <v>88488.6</v>
      </c>
      <c r="O641" s="38" t="s">
        <v>43</v>
      </c>
      <c r="P641" s="25">
        <v>88488.6</v>
      </c>
      <c r="Q641" s="25">
        <v>78354.11</v>
      </c>
      <c r="R641" s="10">
        <v>23090</v>
      </c>
      <c r="S641" s="39">
        <v>9240</v>
      </c>
      <c r="T641" s="10" t="s">
        <v>57</v>
      </c>
      <c r="U641" s="10" t="s">
        <v>13</v>
      </c>
      <c r="V641" s="10">
        <v>23090</v>
      </c>
      <c r="W641" s="25">
        <f>Table1[[#This Row],[STAB]]-Table1[[#This Row],[AMOUNT]]</f>
        <v>-13850</v>
      </c>
      <c r="X641" s="10" t="s">
        <v>4619</v>
      </c>
      <c r="Y641" s="10" t="s">
        <v>402</v>
      </c>
      <c r="Z641" s="10" t="s">
        <v>403</v>
      </c>
      <c r="AA641" s="10" t="s">
        <v>113</v>
      </c>
      <c r="AB641" s="36" t="s">
        <v>374</v>
      </c>
      <c r="AC641" s="10"/>
      <c r="AD641" s="9" t="s">
        <v>4107</v>
      </c>
      <c r="AE641" s="10" t="s">
        <v>4171</v>
      </c>
      <c r="AF641" s="10" t="s">
        <v>273</v>
      </c>
      <c r="AG641" s="10" t="s">
        <v>323</v>
      </c>
      <c r="AH641" s="10" t="s">
        <v>352</v>
      </c>
      <c r="AI641" s="10" t="s">
        <v>363</v>
      </c>
      <c r="AJ641" s="10">
        <v>802913252</v>
      </c>
      <c r="AK641" s="10" t="s">
        <v>104</v>
      </c>
      <c r="AL641" s="10"/>
      <c r="AM641" s="10"/>
      <c r="AN641" s="11" t="s">
        <v>390</v>
      </c>
      <c r="AO641" s="10"/>
      <c r="AP641" s="10"/>
      <c r="AQ641" s="10"/>
      <c r="AR641" s="2">
        <v>45456</v>
      </c>
      <c r="AS641" s="10">
        <v>15388</v>
      </c>
      <c r="AT641" s="10" t="s">
        <v>47</v>
      </c>
      <c r="AU641" s="10" t="s">
        <v>4205</v>
      </c>
      <c r="AV641" s="36" t="s">
        <v>4237</v>
      </c>
      <c r="AW641" s="1">
        <v>46211</v>
      </c>
    </row>
    <row r="642" spans="1:49" x14ac:dyDescent="0.25">
      <c r="A642" s="9" t="s">
        <v>3940</v>
      </c>
      <c r="B642" s="10" t="s">
        <v>4005</v>
      </c>
      <c r="C642" s="10">
        <v>0</v>
      </c>
      <c r="D642" s="10" t="s">
        <v>91</v>
      </c>
      <c r="E642" s="10"/>
      <c r="F642" s="10"/>
      <c r="G642" s="10"/>
      <c r="H642" s="10" t="s">
        <v>52</v>
      </c>
      <c r="I642" s="10">
        <v>20</v>
      </c>
      <c r="J642" s="10" t="s">
        <v>4070</v>
      </c>
      <c r="K642" s="10" t="s">
        <v>42</v>
      </c>
      <c r="L642" s="10">
        <f>Table1[[#This Row],[ENR]]-Table1[[#This Row],[CREDIT]]</f>
        <v>-124111.45</v>
      </c>
      <c r="M642" s="36">
        <v>210000</v>
      </c>
      <c r="N642" s="26">
        <v>85888.55</v>
      </c>
      <c r="O642" s="38" t="s">
        <v>43</v>
      </c>
      <c r="P642" s="25">
        <v>85888.55</v>
      </c>
      <c r="Q642" s="25">
        <v>78000</v>
      </c>
      <c r="R642" s="10">
        <v>15500</v>
      </c>
      <c r="S642" s="39">
        <v>3900</v>
      </c>
      <c r="T642" s="10" t="s">
        <v>44</v>
      </c>
      <c r="U642" s="10" t="s">
        <v>45</v>
      </c>
      <c r="V642" s="10">
        <v>0</v>
      </c>
      <c r="W642" s="25">
        <f>Table1[[#This Row],[STAB]]-Table1[[#This Row],[AMOUNT]]</f>
        <v>3900</v>
      </c>
      <c r="X642" s="10">
        <v>0</v>
      </c>
      <c r="Y642" s="10" t="s">
        <v>79</v>
      </c>
      <c r="Z642" s="10">
        <v>0</v>
      </c>
      <c r="AA642" s="10" t="s">
        <v>113</v>
      </c>
      <c r="AB642" s="36" t="s">
        <v>375</v>
      </c>
      <c r="AC642" s="10"/>
      <c r="AD642" s="9" t="s">
        <v>4135</v>
      </c>
      <c r="AE642" s="10" t="s">
        <v>4199</v>
      </c>
      <c r="AF642" s="10" t="s">
        <v>275</v>
      </c>
      <c r="AG642" s="10" t="s">
        <v>80</v>
      </c>
      <c r="AH642" s="10" t="s">
        <v>87</v>
      </c>
      <c r="AI642" s="10" t="s">
        <v>368</v>
      </c>
      <c r="AJ642" s="10">
        <v>802823175</v>
      </c>
      <c r="AK642" s="10" t="s">
        <v>105</v>
      </c>
      <c r="AL642" s="10"/>
      <c r="AM642" s="10"/>
      <c r="AN642" s="11" t="s">
        <v>390</v>
      </c>
      <c r="AO642" s="10" t="s">
        <v>398</v>
      </c>
      <c r="AP642" s="10" t="s">
        <v>4940</v>
      </c>
      <c r="AQ642" s="10" t="s">
        <v>4923</v>
      </c>
      <c r="AR642" s="2">
        <v>46120</v>
      </c>
      <c r="AS642" s="10">
        <v>66013</v>
      </c>
      <c r="AT642" s="10" t="s">
        <v>288</v>
      </c>
      <c r="AU642" s="10" t="s">
        <v>4205</v>
      </c>
      <c r="AV642" s="36" t="s">
        <v>4265</v>
      </c>
      <c r="AW642" s="1">
        <v>46211</v>
      </c>
    </row>
    <row r="643" spans="1:49" x14ac:dyDescent="0.25">
      <c r="A643" s="9" t="s">
        <v>3895</v>
      </c>
      <c r="B643" s="10" t="s">
        <v>3960</v>
      </c>
      <c r="C643" s="10">
        <v>0</v>
      </c>
      <c r="D643" s="10" t="s">
        <v>91</v>
      </c>
      <c r="E643" s="10"/>
      <c r="F643" s="10"/>
      <c r="G643" s="10"/>
      <c r="H643" s="10" t="s">
        <v>52</v>
      </c>
      <c r="I643" s="10">
        <v>20</v>
      </c>
      <c r="J643" s="10" t="s">
        <v>4025</v>
      </c>
      <c r="K643" s="10" t="s">
        <v>42</v>
      </c>
      <c r="L643" s="10">
        <f>Table1[[#This Row],[ENR]]-Table1[[#This Row],[CREDIT]]</f>
        <v>5318.4400000000023</v>
      </c>
      <c r="M643" s="36">
        <v>80000</v>
      </c>
      <c r="N643" s="26">
        <v>85318.44</v>
      </c>
      <c r="O643" s="38">
        <v>70572.63</v>
      </c>
      <c r="P643" s="25">
        <v>14745.81</v>
      </c>
      <c r="Q643" s="25">
        <v>7797.13</v>
      </c>
      <c r="R643" s="10">
        <v>14670</v>
      </c>
      <c r="S643" s="39">
        <v>8070</v>
      </c>
      <c r="T643" s="10" t="s">
        <v>44</v>
      </c>
      <c r="U643" s="10" t="s">
        <v>45</v>
      </c>
      <c r="V643" s="10">
        <v>0</v>
      </c>
      <c r="W643" s="25">
        <f>Table1[[#This Row],[STAB]]-Table1[[#This Row],[AMOUNT]]</f>
        <v>8070</v>
      </c>
      <c r="X643" s="10">
        <v>0</v>
      </c>
      <c r="Y643" s="10" t="s">
        <v>79</v>
      </c>
      <c r="Z643" s="10">
        <v>0</v>
      </c>
      <c r="AA643" s="10" t="s">
        <v>113</v>
      </c>
      <c r="AB643" s="36" t="s">
        <v>131</v>
      </c>
      <c r="AC643" s="10"/>
      <c r="AD643" s="9" t="s">
        <v>4090</v>
      </c>
      <c r="AE643" s="10" t="s">
        <v>4155</v>
      </c>
      <c r="AF643" s="10" t="s">
        <v>283</v>
      </c>
      <c r="AG643" s="10" t="s">
        <v>53</v>
      </c>
      <c r="AH643" s="10" t="s">
        <v>5582</v>
      </c>
      <c r="AI643" s="10" t="s">
        <v>2962</v>
      </c>
      <c r="AJ643" s="10">
        <v>801601134</v>
      </c>
      <c r="AK643" s="10" t="s">
        <v>104</v>
      </c>
      <c r="AL643" s="10"/>
      <c r="AM643" s="10"/>
      <c r="AN643" s="11" t="s">
        <v>46</v>
      </c>
      <c r="AO643" s="10"/>
      <c r="AP643" s="10"/>
      <c r="AQ643" s="10"/>
      <c r="AR643" s="2">
        <v>46171</v>
      </c>
      <c r="AS643" s="10">
        <v>3470</v>
      </c>
      <c r="AT643" s="10" t="s">
        <v>1930</v>
      </c>
      <c r="AU643" s="10" t="s">
        <v>4205</v>
      </c>
      <c r="AV643" s="36" t="s">
        <v>4220</v>
      </c>
      <c r="AW643" s="1">
        <v>46211</v>
      </c>
    </row>
    <row r="644" spans="1:49" x14ac:dyDescent="0.25">
      <c r="A644" s="9" t="s">
        <v>3885</v>
      </c>
      <c r="B644" s="10" t="s">
        <v>3950</v>
      </c>
      <c r="C644" s="10">
        <v>0</v>
      </c>
      <c r="D644" s="10" t="s">
        <v>91</v>
      </c>
      <c r="E644" s="10"/>
      <c r="F644" s="10"/>
      <c r="G644" s="10"/>
      <c r="H644" s="10" t="s">
        <v>52</v>
      </c>
      <c r="I644" s="10">
        <v>20</v>
      </c>
      <c r="J644" s="10" t="s">
        <v>4015</v>
      </c>
      <c r="K644" s="10" t="s">
        <v>42</v>
      </c>
      <c r="L644" s="10">
        <f>Table1[[#This Row],[ENR]]-Table1[[#This Row],[CREDIT]]</f>
        <v>2165.25</v>
      </c>
      <c r="M644" s="36">
        <v>80000</v>
      </c>
      <c r="N644" s="26">
        <v>82165.25</v>
      </c>
      <c r="O644" s="38" t="s">
        <v>43</v>
      </c>
      <c r="P644" s="25">
        <v>82165.25</v>
      </c>
      <c r="Q644" s="25">
        <v>73052.899999999994</v>
      </c>
      <c r="R644" s="10">
        <v>16830</v>
      </c>
      <c r="S644" s="39">
        <v>6720</v>
      </c>
      <c r="T644" s="10" t="s">
        <v>44</v>
      </c>
      <c r="U644" s="10" t="s">
        <v>45</v>
      </c>
      <c r="V644" s="10">
        <v>0</v>
      </c>
      <c r="W644" s="25">
        <f>Table1[[#This Row],[STAB]]-Table1[[#This Row],[AMOUNT]]</f>
        <v>6720</v>
      </c>
      <c r="X644" s="10">
        <v>0</v>
      </c>
      <c r="Y644" s="10" t="s">
        <v>79</v>
      </c>
      <c r="Z644" s="10">
        <v>0</v>
      </c>
      <c r="AA644" s="10" t="s">
        <v>113</v>
      </c>
      <c r="AB644" s="10" t="s">
        <v>131</v>
      </c>
      <c r="AC644" s="10"/>
      <c r="AD644" s="9" t="s">
        <v>4080</v>
      </c>
      <c r="AE644" s="10" t="s">
        <v>4145</v>
      </c>
      <c r="AF644" s="10" t="s">
        <v>85</v>
      </c>
      <c r="AG644" s="10" t="s">
        <v>54</v>
      </c>
      <c r="AH644" s="10" t="s">
        <v>59</v>
      </c>
      <c r="AI644" s="10" t="s">
        <v>956</v>
      </c>
      <c r="AJ644" s="10">
        <v>802551967</v>
      </c>
      <c r="AK644" s="10" t="s">
        <v>362</v>
      </c>
      <c r="AL644" s="10"/>
      <c r="AM644" s="10"/>
      <c r="AN644" s="11" t="s">
        <v>390</v>
      </c>
      <c r="AO644" s="10" t="s">
        <v>392</v>
      </c>
      <c r="AP644" s="10" t="s">
        <v>4989</v>
      </c>
      <c r="AQ644" s="10" t="s">
        <v>4936</v>
      </c>
      <c r="AR644" s="2">
        <v>45844</v>
      </c>
      <c r="AS644" s="10">
        <v>3420</v>
      </c>
      <c r="AT644" s="10" t="s">
        <v>291</v>
      </c>
      <c r="AU644" s="10" t="s">
        <v>4205</v>
      </c>
      <c r="AV644" s="36" t="s">
        <v>4210</v>
      </c>
      <c r="AW644" s="1">
        <v>46211</v>
      </c>
    </row>
    <row r="645" spans="1:49" x14ac:dyDescent="0.25">
      <c r="A645" s="9" t="s">
        <v>3919</v>
      </c>
      <c r="B645" s="10" t="s">
        <v>3984</v>
      </c>
      <c r="C645" s="10">
        <v>0</v>
      </c>
      <c r="D645" s="10" t="s">
        <v>91</v>
      </c>
      <c r="E645" s="10"/>
      <c r="F645" s="10"/>
      <c r="G645" s="10"/>
      <c r="H645" s="10" t="s">
        <v>84</v>
      </c>
      <c r="I645" s="10">
        <v>20</v>
      </c>
      <c r="J645" s="10" t="s">
        <v>4049</v>
      </c>
      <c r="K645" s="10" t="s">
        <v>42</v>
      </c>
      <c r="L645" s="10">
        <f>Table1[[#This Row],[ENR]]-Table1[[#This Row],[CREDIT]]</f>
        <v>1963.0500000000029</v>
      </c>
      <c r="M645" s="36">
        <v>80000</v>
      </c>
      <c r="N645" s="26">
        <v>81963.05</v>
      </c>
      <c r="O645" s="38" t="s">
        <v>43</v>
      </c>
      <c r="P645" s="25">
        <v>81963.05</v>
      </c>
      <c r="Q645" s="25">
        <v>76655.7</v>
      </c>
      <c r="R645" s="10">
        <v>30010</v>
      </c>
      <c r="S645" s="39">
        <v>16140</v>
      </c>
      <c r="T645" s="10" t="s">
        <v>44</v>
      </c>
      <c r="U645" s="10" t="s">
        <v>45</v>
      </c>
      <c r="V645" s="10">
        <v>4500</v>
      </c>
      <c r="W645" s="25">
        <f>Table1[[#This Row],[STAB]]-Table1[[#This Row],[AMOUNT]]</f>
        <v>11640</v>
      </c>
      <c r="X645" s="10">
        <v>0</v>
      </c>
      <c r="Y645" s="10" t="s">
        <v>79</v>
      </c>
      <c r="Z645" s="10">
        <v>0</v>
      </c>
      <c r="AA645" s="10" t="s">
        <v>113</v>
      </c>
      <c r="AB645" s="36" t="s">
        <v>133</v>
      </c>
      <c r="AC645" s="10"/>
      <c r="AD645" s="9" t="s">
        <v>4114</v>
      </c>
      <c r="AE645" s="10" t="s">
        <v>4178</v>
      </c>
      <c r="AF645" s="10" t="s">
        <v>1319</v>
      </c>
      <c r="AG645" s="10" t="s">
        <v>54</v>
      </c>
      <c r="AH645" s="10" t="s">
        <v>93</v>
      </c>
      <c r="AI645" s="10" t="s">
        <v>364</v>
      </c>
      <c r="AJ645" s="10">
        <v>802663344</v>
      </c>
      <c r="AK645" s="10" t="s">
        <v>105</v>
      </c>
      <c r="AL645" s="10"/>
      <c r="AM645" s="10"/>
      <c r="AN645" s="11" t="s">
        <v>390</v>
      </c>
      <c r="AO645" s="10" t="s">
        <v>392</v>
      </c>
      <c r="AP645" s="10" t="s">
        <v>1995</v>
      </c>
      <c r="AQ645" s="10" t="s">
        <v>4923</v>
      </c>
      <c r="AR645" s="2">
        <v>45785</v>
      </c>
      <c r="AS645" s="10">
        <v>23000</v>
      </c>
      <c r="AT645" s="10" t="s">
        <v>291</v>
      </c>
      <c r="AU645" s="10" t="s">
        <v>4205</v>
      </c>
      <c r="AV645" s="36" t="s">
        <v>4244</v>
      </c>
      <c r="AW645" s="1">
        <v>46211</v>
      </c>
    </row>
    <row r="646" spans="1:49" x14ac:dyDescent="0.25">
      <c r="A646" s="9" t="s">
        <v>3942</v>
      </c>
      <c r="B646" s="10" t="s">
        <v>4007</v>
      </c>
      <c r="C646" s="10">
        <v>0</v>
      </c>
      <c r="D646" s="10" t="s">
        <v>91</v>
      </c>
      <c r="E646" s="10"/>
      <c r="F646" s="10"/>
      <c r="G646" s="10"/>
      <c r="H646" s="10" t="s">
        <v>52</v>
      </c>
      <c r="I646" s="10">
        <v>20</v>
      </c>
      <c r="J646" s="10" t="s">
        <v>4072</v>
      </c>
      <c r="K646" s="10" t="s">
        <v>42</v>
      </c>
      <c r="L646" s="10">
        <f>Table1[[#This Row],[ENR]]-Table1[[#This Row],[CREDIT]]</f>
        <v>-21311.75</v>
      </c>
      <c r="M646" s="36">
        <v>100000</v>
      </c>
      <c r="N646" s="26">
        <v>78688.25</v>
      </c>
      <c r="O646" s="38" t="s">
        <v>43</v>
      </c>
      <c r="P646" s="25">
        <v>78688.25</v>
      </c>
      <c r="Q646" s="25">
        <v>73279.14</v>
      </c>
      <c r="R646" s="10">
        <v>13860</v>
      </c>
      <c r="S646" s="39">
        <v>8370</v>
      </c>
      <c r="T646" s="10" t="s">
        <v>57</v>
      </c>
      <c r="U646" s="10" t="s">
        <v>14</v>
      </c>
      <c r="V646" s="25">
        <v>10000</v>
      </c>
      <c r="W646" s="25">
        <f>Table1[[#This Row],[STAB]]-Table1[[#This Row],[AMOUNT]]</f>
        <v>-1630</v>
      </c>
      <c r="X646" s="10" t="s">
        <v>4993</v>
      </c>
      <c r="Y646" s="10" t="s">
        <v>402</v>
      </c>
      <c r="Z646" s="10" t="s">
        <v>403</v>
      </c>
      <c r="AA646" s="10" t="s">
        <v>113</v>
      </c>
      <c r="AB646" s="10" t="s">
        <v>374</v>
      </c>
      <c r="AC646" s="10"/>
      <c r="AD646" s="9" t="s">
        <v>4137</v>
      </c>
      <c r="AE646" s="10" t="s">
        <v>4201</v>
      </c>
      <c r="AF646" s="10" t="s">
        <v>500</v>
      </c>
      <c r="AG646" s="10" t="s">
        <v>324</v>
      </c>
      <c r="AH646" s="10" t="s">
        <v>355</v>
      </c>
      <c r="AI646" s="10" t="s">
        <v>372</v>
      </c>
      <c r="AJ646" s="10">
        <v>801597759</v>
      </c>
      <c r="AK646" s="10" t="s">
        <v>362</v>
      </c>
      <c r="AL646" s="10"/>
      <c r="AM646" s="10"/>
      <c r="AN646" s="11" t="s">
        <v>390</v>
      </c>
      <c r="AO646" s="10"/>
      <c r="AP646" s="10"/>
      <c r="AQ646" s="10"/>
      <c r="AR646" s="2">
        <v>45828</v>
      </c>
      <c r="AS646" s="10">
        <v>6500</v>
      </c>
      <c r="AT646" s="10" t="s">
        <v>288</v>
      </c>
      <c r="AU646" s="10" t="s">
        <v>4205</v>
      </c>
      <c r="AV646" s="36" t="s">
        <v>4267</v>
      </c>
      <c r="AW646" s="1">
        <v>46211</v>
      </c>
    </row>
    <row r="647" spans="1:49" x14ac:dyDescent="0.25">
      <c r="A647" s="9" t="s">
        <v>3920</v>
      </c>
      <c r="B647" s="10" t="s">
        <v>3985</v>
      </c>
      <c r="C647" s="10">
        <v>0</v>
      </c>
      <c r="D647" s="10" t="s">
        <v>91</v>
      </c>
      <c r="E647" s="10"/>
      <c r="F647" s="10"/>
      <c r="G647" s="10"/>
      <c r="H647" s="10" t="s">
        <v>52</v>
      </c>
      <c r="I647" s="10">
        <v>20</v>
      </c>
      <c r="J647" s="10" t="s">
        <v>4050</v>
      </c>
      <c r="K647" s="10" t="s">
        <v>42</v>
      </c>
      <c r="L647" s="10">
        <f>Table1[[#This Row],[ENR]]-Table1[[#This Row],[CREDIT]]</f>
        <v>7348.9799999999959</v>
      </c>
      <c r="M647" s="36">
        <v>70000</v>
      </c>
      <c r="N647" s="26">
        <v>77348.98</v>
      </c>
      <c r="O647" s="38" t="s">
        <v>43</v>
      </c>
      <c r="P647" s="25">
        <v>77348.98</v>
      </c>
      <c r="Q647" s="25">
        <v>69537.45</v>
      </c>
      <c r="R647" s="10">
        <v>29170</v>
      </c>
      <c r="S647" s="39">
        <v>9030</v>
      </c>
      <c r="T647" s="10" t="s">
        <v>44</v>
      </c>
      <c r="U647" s="10" t="s">
        <v>45</v>
      </c>
      <c r="V647" s="10">
        <v>0</v>
      </c>
      <c r="W647" s="25">
        <f>Table1[[#This Row],[STAB]]-Table1[[#This Row],[AMOUNT]]</f>
        <v>9030</v>
      </c>
      <c r="X647" s="10">
        <v>0</v>
      </c>
      <c r="Y647" s="10" t="s">
        <v>79</v>
      </c>
      <c r="Z647" s="10">
        <v>0</v>
      </c>
      <c r="AA647" s="10" t="s">
        <v>113</v>
      </c>
      <c r="AB647" s="36" t="s">
        <v>132</v>
      </c>
      <c r="AC647" s="10"/>
      <c r="AD647" s="9" t="s">
        <v>4115</v>
      </c>
      <c r="AE647" s="10" t="s">
        <v>4179</v>
      </c>
      <c r="AF647" s="10" t="s">
        <v>273</v>
      </c>
      <c r="AG647" s="10" t="s">
        <v>323</v>
      </c>
      <c r="AH647" s="10" t="s">
        <v>4528</v>
      </c>
      <c r="AI647" s="10" t="s">
        <v>363</v>
      </c>
      <c r="AJ647" s="10">
        <v>802913252</v>
      </c>
      <c r="AK647" s="10" t="s">
        <v>104</v>
      </c>
      <c r="AL647" s="10"/>
      <c r="AM647" s="10"/>
      <c r="AN647" s="11" t="s">
        <v>46</v>
      </c>
      <c r="AO647" s="10"/>
      <c r="AP647" s="10"/>
      <c r="AQ647" s="10"/>
      <c r="AR647" s="2">
        <v>46116</v>
      </c>
      <c r="AS647" s="10">
        <v>17880</v>
      </c>
      <c r="AT647" s="10" t="s">
        <v>291</v>
      </c>
      <c r="AU647" s="10" t="s">
        <v>4205</v>
      </c>
      <c r="AV647" s="36" t="s">
        <v>4245</v>
      </c>
      <c r="AW647" s="1">
        <v>46211</v>
      </c>
    </row>
    <row r="648" spans="1:49" x14ac:dyDescent="0.25">
      <c r="A648" s="9" t="s">
        <v>3915</v>
      </c>
      <c r="B648" s="10" t="s">
        <v>3980</v>
      </c>
      <c r="C648" s="10">
        <v>0</v>
      </c>
      <c r="D648" s="10" t="s">
        <v>91</v>
      </c>
      <c r="E648" s="10"/>
      <c r="F648" s="10"/>
      <c r="G648" s="10"/>
      <c r="H648" s="10" t="s">
        <v>52</v>
      </c>
      <c r="I648" s="10">
        <v>20</v>
      </c>
      <c r="J648" s="10" t="s">
        <v>4045</v>
      </c>
      <c r="K648" s="10" t="s">
        <v>42</v>
      </c>
      <c r="L648" s="10">
        <f>Table1[[#This Row],[ENR]]-Table1[[#This Row],[CREDIT]]</f>
        <v>56684.47</v>
      </c>
      <c r="M648" s="36">
        <v>20000</v>
      </c>
      <c r="N648" s="26">
        <v>76684.47</v>
      </c>
      <c r="O648" s="38">
        <v>65056.08</v>
      </c>
      <c r="P648" s="25">
        <v>11628.39</v>
      </c>
      <c r="Q648" s="25">
        <v>7627.46</v>
      </c>
      <c r="R648" s="10">
        <v>11628.39</v>
      </c>
      <c r="S648" s="39">
        <v>5071.78</v>
      </c>
      <c r="T648" s="10" t="s">
        <v>44</v>
      </c>
      <c r="U648" s="10" t="s">
        <v>45</v>
      </c>
      <c r="V648" s="10">
        <v>0</v>
      </c>
      <c r="W648" s="25">
        <f>Table1[[#This Row],[STAB]]-Table1[[#This Row],[AMOUNT]]</f>
        <v>5071.78</v>
      </c>
      <c r="X648" s="10">
        <v>0</v>
      </c>
      <c r="Y648" s="10" t="s">
        <v>79</v>
      </c>
      <c r="Z648" s="10">
        <v>0</v>
      </c>
      <c r="AA648" s="10" t="s">
        <v>113</v>
      </c>
      <c r="AB648" s="10" t="s">
        <v>132</v>
      </c>
      <c r="AC648" s="10"/>
      <c r="AD648" s="9" t="s">
        <v>4110</v>
      </c>
      <c r="AE648" s="10" t="s">
        <v>4174</v>
      </c>
      <c r="AF648" s="10" t="s">
        <v>686</v>
      </c>
      <c r="AG648" s="10" t="s">
        <v>324</v>
      </c>
      <c r="AH648" s="10" t="s">
        <v>722</v>
      </c>
      <c r="AI648" s="10" t="s">
        <v>370</v>
      </c>
      <c r="AJ648" s="10">
        <v>801448854</v>
      </c>
      <c r="AK648" s="10" t="s">
        <v>105</v>
      </c>
      <c r="AL648" s="10"/>
      <c r="AM648" s="10"/>
      <c r="AN648" s="11" t="s">
        <v>46</v>
      </c>
      <c r="AO648" s="10"/>
      <c r="AP648" s="10"/>
      <c r="AQ648" s="10"/>
      <c r="AR648" s="2">
        <v>46133</v>
      </c>
      <c r="AS648" s="10">
        <v>13162</v>
      </c>
      <c r="AT648" s="10" t="s">
        <v>47</v>
      </c>
      <c r="AU648" s="10" t="s">
        <v>4205</v>
      </c>
      <c r="AV648" s="36" t="s">
        <v>4240</v>
      </c>
      <c r="AW648" s="1">
        <v>46211</v>
      </c>
    </row>
    <row r="649" spans="1:49" x14ac:dyDescent="0.25">
      <c r="A649" s="9" t="s">
        <v>3907</v>
      </c>
      <c r="B649" s="10" t="s">
        <v>3972</v>
      </c>
      <c r="C649" s="10">
        <v>0</v>
      </c>
      <c r="D649" s="10" t="s">
        <v>91</v>
      </c>
      <c r="E649" s="10"/>
      <c r="F649" s="10"/>
      <c r="G649" s="10" t="s">
        <v>4955</v>
      </c>
      <c r="H649" s="10" t="s">
        <v>84</v>
      </c>
      <c r="I649" s="10">
        <v>20</v>
      </c>
      <c r="J649" s="10" t="s">
        <v>4037</v>
      </c>
      <c r="K649" s="10" t="s">
        <v>42</v>
      </c>
      <c r="L649" s="10">
        <f>Table1[[#This Row],[ENR]]-Table1[[#This Row],[CREDIT]]</f>
        <v>5639.2400000000052</v>
      </c>
      <c r="M649" s="36">
        <v>70000</v>
      </c>
      <c r="N649" s="26">
        <v>75639.240000000005</v>
      </c>
      <c r="O649" s="38" t="s">
        <v>43</v>
      </c>
      <c r="P649" s="25">
        <v>75639.240000000005</v>
      </c>
      <c r="Q649" s="25">
        <v>69971.039999999994</v>
      </c>
      <c r="R649" s="10">
        <v>17590</v>
      </c>
      <c r="S649" s="39">
        <v>12482</v>
      </c>
      <c r="T649" s="10" t="s">
        <v>57</v>
      </c>
      <c r="U649" s="10" t="s">
        <v>13</v>
      </c>
      <c r="V649" s="10">
        <v>7173</v>
      </c>
      <c r="W649" s="25">
        <f>Table1[[#This Row],[STAB]]-Table1[[#This Row],[AMOUNT]]</f>
        <v>5309</v>
      </c>
      <c r="X649" s="10" t="s">
        <v>4937</v>
      </c>
      <c r="Y649" s="10" t="s">
        <v>402</v>
      </c>
      <c r="Z649" s="10" t="s">
        <v>403</v>
      </c>
      <c r="AA649" s="10" t="s">
        <v>113</v>
      </c>
      <c r="AB649" s="36" t="s">
        <v>133</v>
      </c>
      <c r="AC649" s="10"/>
      <c r="AD649" s="9" t="s">
        <v>4102</v>
      </c>
      <c r="AE649" s="10" t="s">
        <v>4167</v>
      </c>
      <c r="AF649" s="10" t="s">
        <v>499</v>
      </c>
      <c r="AG649" s="10" t="s">
        <v>53</v>
      </c>
      <c r="AH649" s="10" t="s">
        <v>55</v>
      </c>
      <c r="AI649" s="10" t="s">
        <v>365</v>
      </c>
      <c r="AJ649" s="10">
        <v>802824019</v>
      </c>
      <c r="AK649" s="10" t="s">
        <v>360</v>
      </c>
      <c r="AL649" s="10"/>
      <c r="AM649" s="10"/>
      <c r="AN649" s="11" t="s">
        <v>390</v>
      </c>
      <c r="AO649" s="10"/>
      <c r="AP649" s="10"/>
      <c r="AQ649" s="10"/>
      <c r="AR649" s="2">
        <v>46190</v>
      </c>
      <c r="AS649" s="10">
        <v>158</v>
      </c>
      <c r="AT649" s="10" t="s">
        <v>293</v>
      </c>
      <c r="AU649" s="10" t="s">
        <v>4205</v>
      </c>
      <c r="AV649" s="36" t="s">
        <v>4232</v>
      </c>
      <c r="AW649" s="1">
        <v>46211</v>
      </c>
    </row>
    <row r="650" spans="1:49" x14ac:dyDescent="0.25">
      <c r="A650" s="9" t="s">
        <v>3917</v>
      </c>
      <c r="B650" s="10" t="s">
        <v>3982</v>
      </c>
      <c r="C650" s="10">
        <v>0</v>
      </c>
      <c r="D650" s="10" t="s">
        <v>91</v>
      </c>
      <c r="E650" s="10"/>
      <c r="F650" s="10"/>
      <c r="G650" s="10"/>
      <c r="H650" s="10" t="s">
        <v>84</v>
      </c>
      <c r="I650" s="10">
        <v>20</v>
      </c>
      <c r="J650" s="10" t="s">
        <v>4047</v>
      </c>
      <c r="K650" s="10" t="s">
        <v>42</v>
      </c>
      <c r="L650" s="10">
        <f>Table1[[#This Row],[ENR]]-Table1[[#This Row],[CREDIT]]</f>
        <v>-14988.199999999997</v>
      </c>
      <c r="M650" s="36">
        <v>90000</v>
      </c>
      <c r="N650" s="26">
        <v>75011.8</v>
      </c>
      <c r="O650" s="38" t="s">
        <v>43</v>
      </c>
      <c r="P650" s="25">
        <v>75011.8</v>
      </c>
      <c r="Q650" s="25">
        <v>70180.22</v>
      </c>
      <c r="R650" s="10">
        <v>10870</v>
      </c>
      <c r="S650" s="39">
        <v>5450</v>
      </c>
      <c r="T650" s="10" t="s">
        <v>57</v>
      </c>
      <c r="U650" s="10" t="s">
        <v>13</v>
      </c>
      <c r="V650" s="10">
        <v>11000</v>
      </c>
      <c r="W650" s="25">
        <f>Table1[[#This Row],[STAB]]-Table1[[#This Row],[AMOUNT]]</f>
        <v>-5550</v>
      </c>
      <c r="X650" s="10" t="s">
        <v>6364</v>
      </c>
      <c r="Y650" s="10" t="s">
        <v>402</v>
      </c>
      <c r="Z650" s="10" t="s">
        <v>403</v>
      </c>
      <c r="AA650" s="10" t="s">
        <v>113</v>
      </c>
      <c r="AB650" s="36" t="s">
        <v>131</v>
      </c>
      <c r="AC650" s="10"/>
      <c r="AD650" s="9" t="s">
        <v>4112</v>
      </c>
      <c r="AE650" s="10" t="s">
        <v>4176</v>
      </c>
      <c r="AF650" s="10" t="s">
        <v>286</v>
      </c>
      <c r="AG650" s="10" t="s">
        <v>54</v>
      </c>
      <c r="AH650" s="10" t="s">
        <v>358</v>
      </c>
      <c r="AI650" s="10" t="s">
        <v>365</v>
      </c>
      <c r="AJ650" s="10">
        <v>802824019</v>
      </c>
      <c r="AK650" s="10" t="s">
        <v>360</v>
      </c>
      <c r="AL650" s="10"/>
      <c r="AM650" s="10"/>
      <c r="AN650" s="11" t="s">
        <v>46</v>
      </c>
      <c r="AO650" s="10"/>
      <c r="AP650" s="10"/>
      <c r="AQ650" s="10"/>
      <c r="AR650" s="2">
        <v>45483</v>
      </c>
      <c r="AS650" s="10">
        <v>76451.53</v>
      </c>
      <c r="AT650" s="10" t="s">
        <v>291</v>
      </c>
      <c r="AU650" s="10" t="s">
        <v>4205</v>
      </c>
      <c r="AV650" s="36" t="s">
        <v>4242</v>
      </c>
      <c r="AW650" s="1">
        <v>46211</v>
      </c>
    </row>
    <row r="651" spans="1:49" x14ac:dyDescent="0.25">
      <c r="A651" s="9" t="s">
        <v>3918</v>
      </c>
      <c r="B651" s="10" t="s">
        <v>3983</v>
      </c>
      <c r="C651" s="10">
        <v>0</v>
      </c>
      <c r="D651" s="10" t="s">
        <v>91</v>
      </c>
      <c r="E651" s="10"/>
      <c r="F651" s="10"/>
      <c r="G651" s="10"/>
      <c r="H651" s="10" t="s">
        <v>52</v>
      </c>
      <c r="I651" s="10">
        <v>20</v>
      </c>
      <c r="J651" s="10" t="s">
        <v>4048</v>
      </c>
      <c r="K651" s="10" t="s">
        <v>42</v>
      </c>
      <c r="L651" s="10">
        <f>Table1[[#This Row],[ENR]]-Table1[[#This Row],[CREDIT]]</f>
        <v>-447867.64</v>
      </c>
      <c r="M651" s="36">
        <v>520000</v>
      </c>
      <c r="N651" s="26">
        <v>72132.36</v>
      </c>
      <c r="O651" s="38" t="s">
        <v>43</v>
      </c>
      <c r="P651" s="25">
        <v>72132.36</v>
      </c>
      <c r="Q651" s="25">
        <v>64225.51</v>
      </c>
      <c r="R651" s="10">
        <v>39760</v>
      </c>
      <c r="S651" s="39">
        <v>24020</v>
      </c>
      <c r="T651" s="10" t="s">
        <v>44</v>
      </c>
      <c r="U651" s="10" t="s">
        <v>45</v>
      </c>
      <c r="V651" s="10">
        <v>0</v>
      </c>
      <c r="W651" s="25">
        <f>Table1[[#This Row],[STAB]]-Table1[[#This Row],[AMOUNT]]</f>
        <v>24020</v>
      </c>
      <c r="X651" s="10">
        <v>0</v>
      </c>
      <c r="Y651" s="10" t="s">
        <v>79</v>
      </c>
      <c r="Z651" s="10">
        <v>0</v>
      </c>
      <c r="AA651" s="10" t="s">
        <v>113</v>
      </c>
      <c r="AB651" s="36" t="s">
        <v>131</v>
      </c>
      <c r="AC651" s="10"/>
      <c r="AD651" s="9" t="s">
        <v>4113</v>
      </c>
      <c r="AE651" s="10" t="s">
        <v>4177</v>
      </c>
      <c r="AF651" s="10" t="s">
        <v>280</v>
      </c>
      <c r="AG651" s="10" t="s">
        <v>54</v>
      </c>
      <c r="AH651" s="10" t="s">
        <v>280</v>
      </c>
      <c r="AI651" s="10" t="s">
        <v>365</v>
      </c>
      <c r="AJ651" s="10">
        <v>802824019</v>
      </c>
      <c r="AK651" s="10" t="s">
        <v>360</v>
      </c>
      <c r="AL651" s="10"/>
      <c r="AM651" s="10"/>
      <c r="AN651" s="11" t="s">
        <v>46</v>
      </c>
      <c r="AO651" s="10"/>
      <c r="AP651" s="10"/>
      <c r="AQ651" s="10"/>
      <c r="AR651" s="2">
        <v>45600</v>
      </c>
      <c r="AS651" s="10">
        <v>18590</v>
      </c>
      <c r="AT651" s="10" t="s">
        <v>3265</v>
      </c>
      <c r="AU651" s="10" t="s">
        <v>4205</v>
      </c>
      <c r="AV651" s="36" t="s">
        <v>4243</v>
      </c>
      <c r="AW651" s="1">
        <v>46211</v>
      </c>
    </row>
    <row r="652" spans="1:49" x14ac:dyDescent="0.25">
      <c r="A652" s="9" t="s">
        <v>3929</v>
      </c>
      <c r="B652" s="10" t="s">
        <v>3994</v>
      </c>
      <c r="C652" s="10">
        <v>0</v>
      </c>
      <c r="D652" s="10" t="s">
        <v>91</v>
      </c>
      <c r="E652" s="10"/>
      <c r="F652" s="10"/>
      <c r="G652" s="10"/>
      <c r="H652" s="10" t="s">
        <v>52</v>
      </c>
      <c r="I652" s="10">
        <v>20</v>
      </c>
      <c r="J652" s="10" t="s">
        <v>4059</v>
      </c>
      <c r="K652" s="10" t="s">
        <v>42</v>
      </c>
      <c r="L652" s="10">
        <f>Table1[[#This Row],[ENR]]-Table1[[#This Row],[CREDIT]]</f>
        <v>-451.83999999999651</v>
      </c>
      <c r="M652" s="36">
        <v>70000</v>
      </c>
      <c r="N652" s="26">
        <v>69548.160000000003</v>
      </c>
      <c r="O652" s="38">
        <v>40525.550000000003</v>
      </c>
      <c r="P652" s="25">
        <v>29022.61</v>
      </c>
      <c r="Q652" s="25">
        <v>25399.88</v>
      </c>
      <c r="R652" s="10">
        <v>11120</v>
      </c>
      <c r="S652" s="39">
        <v>3730</v>
      </c>
      <c r="T652" s="10" t="s">
        <v>44</v>
      </c>
      <c r="U652" s="10" t="s">
        <v>45</v>
      </c>
      <c r="V652" s="10">
        <v>0</v>
      </c>
      <c r="W652" s="25">
        <f>Table1[[#This Row],[STAB]]-Table1[[#This Row],[AMOUNT]]</f>
        <v>3730</v>
      </c>
      <c r="X652" s="10">
        <v>0</v>
      </c>
      <c r="Y652" s="10" t="s">
        <v>79</v>
      </c>
      <c r="Z652" s="10">
        <v>0</v>
      </c>
      <c r="AA652" s="10" t="s">
        <v>113</v>
      </c>
      <c r="AB652" s="36" t="s">
        <v>375</v>
      </c>
      <c r="AC652" s="10"/>
      <c r="AD652" s="9" t="s">
        <v>4124</v>
      </c>
      <c r="AE652" s="10" t="s">
        <v>4188</v>
      </c>
      <c r="AF652" s="10" t="s">
        <v>85</v>
      </c>
      <c r="AG652" s="10" t="s">
        <v>54</v>
      </c>
      <c r="AH652" s="10" t="s">
        <v>89</v>
      </c>
      <c r="AI652" s="10" t="s">
        <v>106</v>
      </c>
      <c r="AJ652" s="10">
        <v>802370852</v>
      </c>
      <c r="AK652" s="10" t="s">
        <v>105</v>
      </c>
      <c r="AL652" s="10"/>
      <c r="AM652" s="10"/>
      <c r="AN652" s="11" t="s">
        <v>390</v>
      </c>
      <c r="AO652" s="10" t="s">
        <v>392</v>
      </c>
      <c r="AP652" s="10" t="s">
        <v>6356</v>
      </c>
      <c r="AQ652" s="10" t="s">
        <v>4976</v>
      </c>
      <c r="AR652" s="2">
        <v>46053</v>
      </c>
      <c r="AS652" s="10">
        <v>5770</v>
      </c>
      <c r="AT652" s="10" t="s">
        <v>293</v>
      </c>
      <c r="AU652" s="10" t="s">
        <v>4205</v>
      </c>
      <c r="AV652" s="36" t="s">
        <v>4254</v>
      </c>
      <c r="AW652" s="1">
        <v>46211</v>
      </c>
    </row>
    <row r="653" spans="1:49" x14ac:dyDescent="0.25">
      <c r="A653" s="9" t="s">
        <v>3938</v>
      </c>
      <c r="B653" s="10" t="s">
        <v>4003</v>
      </c>
      <c r="C653" s="10">
        <v>0</v>
      </c>
      <c r="D653" s="10" t="s">
        <v>91</v>
      </c>
      <c r="E653" s="10"/>
      <c r="F653" s="10"/>
      <c r="G653" s="10" t="s">
        <v>4957</v>
      </c>
      <c r="H653" s="10" t="s">
        <v>52</v>
      </c>
      <c r="I653" s="10">
        <v>20</v>
      </c>
      <c r="J653" s="10" t="s">
        <v>4068</v>
      </c>
      <c r="K653" s="10" t="s">
        <v>42</v>
      </c>
      <c r="L653" s="10">
        <f>Table1[[#This Row],[ENR]]-Table1[[#This Row],[CREDIT]]</f>
        <v>7835.2700000000041</v>
      </c>
      <c r="M653" s="36">
        <v>60000</v>
      </c>
      <c r="N653" s="26">
        <v>67835.27</v>
      </c>
      <c r="O653" s="38" t="s">
        <v>43</v>
      </c>
      <c r="P653" s="25">
        <v>67835.27</v>
      </c>
      <c r="Q653" s="25">
        <v>59871.76</v>
      </c>
      <c r="R653" s="10">
        <v>18430</v>
      </c>
      <c r="S653" s="39">
        <v>7080</v>
      </c>
      <c r="T653" s="10" t="s">
        <v>44</v>
      </c>
      <c r="U653" s="10" t="s">
        <v>45</v>
      </c>
      <c r="V653" s="10">
        <v>0</v>
      </c>
      <c r="W653" s="25">
        <f>Table1[[#This Row],[STAB]]-Table1[[#This Row],[AMOUNT]]</f>
        <v>7080</v>
      </c>
      <c r="X653" s="10">
        <v>0</v>
      </c>
      <c r="Y653" s="10" t="s">
        <v>79</v>
      </c>
      <c r="Z653" s="10">
        <v>0</v>
      </c>
      <c r="AA653" s="10" t="s">
        <v>113</v>
      </c>
      <c r="AB653" s="36" t="s">
        <v>375</v>
      </c>
      <c r="AC653" s="10"/>
      <c r="AD653" s="9" t="s">
        <v>4133</v>
      </c>
      <c r="AE653" s="10" t="s">
        <v>4197</v>
      </c>
      <c r="AF653" s="10" t="s">
        <v>274</v>
      </c>
      <c r="AG653" s="10" t="s">
        <v>53</v>
      </c>
      <c r="AH653" s="10" t="s">
        <v>55</v>
      </c>
      <c r="AI653" s="10" t="s">
        <v>365</v>
      </c>
      <c r="AJ653" s="10">
        <v>802824019</v>
      </c>
      <c r="AK653" s="10" t="s">
        <v>360</v>
      </c>
      <c r="AL653" s="10"/>
      <c r="AM653" s="10"/>
      <c r="AN653" s="11" t="s">
        <v>46</v>
      </c>
      <c r="AO653" s="10"/>
      <c r="AP653" s="10"/>
      <c r="AQ653" s="10"/>
      <c r="AR653" s="2">
        <v>45543</v>
      </c>
      <c r="AS653" s="10">
        <v>0.6</v>
      </c>
      <c r="AT653" s="10" t="s">
        <v>690</v>
      </c>
      <c r="AU653" s="10" t="s">
        <v>4205</v>
      </c>
      <c r="AV653" s="36" t="s">
        <v>4263</v>
      </c>
      <c r="AW653" s="1">
        <v>46211</v>
      </c>
    </row>
    <row r="654" spans="1:49" x14ac:dyDescent="0.25">
      <c r="A654" s="9" t="s">
        <v>3900</v>
      </c>
      <c r="B654" s="10" t="s">
        <v>3965</v>
      </c>
      <c r="C654" s="10">
        <v>0</v>
      </c>
      <c r="D654" s="10" t="s">
        <v>91</v>
      </c>
      <c r="E654" s="10"/>
      <c r="F654" s="10"/>
      <c r="G654" s="10"/>
      <c r="H654" s="10" t="s">
        <v>52</v>
      </c>
      <c r="I654" s="10">
        <v>20</v>
      </c>
      <c r="J654" s="10" t="s">
        <v>4030</v>
      </c>
      <c r="K654" s="10" t="s">
        <v>42</v>
      </c>
      <c r="L654" s="10">
        <f>Table1[[#This Row],[ENR]]-Table1[[#This Row],[CREDIT]]</f>
        <v>6620.7100000000064</v>
      </c>
      <c r="M654" s="36">
        <v>60000</v>
      </c>
      <c r="N654" s="26">
        <v>66620.710000000006</v>
      </c>
      <c r="O654" s="38" t="s">
        <v>43</v>
      </c>
      <c r="P654" s="25">
        <v>66620.710000000006</v>
      </c>
      <c r="Q654" s="25">
        <v>59956.639999999999</v>
      </c>
      <c r="R654" s="10">
        <v>16910</v>
      </c>
      <c r="S654" s="39">
        <v>5630</v>
      </c>
      <c r="T654" s="10" t="s">
        <v>57</v>
      </c>
      <c r="U654" s="10" t="s">
        <v>14</v>
      </c>
      <c r="V654" s="10">
        <v>6000</v>
      </c>
      <c r="W654" s="25">
        <f>Table1[[#This Row],[STAB]]-Table1[[#This Row],[AMOUNT]]</f>
        <v>-370</v>
      </c>
      <c r="X654" s="10" t="s">
        <v>6399</v>
      </c>
      <c r="Y654" s="10" t="s">
        <v>402</v>
      </c>
      <c r="Z654" s="10">
        <v>0</v>
      </c>
      <c r="AA654" s="10" t="s">
        <v>113</v>
      </c>
      <c r="AB654" s="36" t="s">
        <v>374</v>
      </c>
      <c r="AC654" s="10"/>
      <c r="AD654" s="9" t="s">
        <v>4095</v>
      </c>
      <c r="AE654" s="10" t="s">
        <v>4160</v>
      </c>
      <c r="AF654" s="10" t="s">
        <v>283</v>
      </c>
      <c r="AG654" s="10" t="s">
        <v>53</v>
      </c>
      <c r="AH654" s="10" t="s">
        <v>5582</v>
      </c>
      <c r="AI654" s="10" t="s">
        <v>2962</v>
      </c>
      <c r="AJ654" s="10">
        <v>801601134</v>
      </c>
      <c r="AK654" s="10" t="s">
        <v>104</v>
      </c>
      <c r="AL654" s="10"/>
      <c r="AM654" s="10"/>
      <c r="AN654" s="11" t="s">
        <v>390</v>
      </c>
      <c r="AO654" s="10" t="s">
        <v>398</v>
      </c>
      <c r="AP654" s="10" t="s">
        <v>6324</v>
      </c>
      <c r="AQ654" s="10" t="s">
        <v>4937</v>
      </c>
      <c r="AR654" s="2">
        <v>45976</v>
      </c>
      <c r="AS654" s="10">
        <v>9000</v>
      </c>
      <c r="AT654" s="10" t="s">
        <v>291</v>
      </c>
      <c r="AU654" s="10" t="s">
        <v>4205</v>
      </c>
      <c r="AV654" s="36" t="s">
        <v>4225</v>
      </c>
      <c r="AW654" s="1">
        <v>46211</v>
      </c>
    </row>
    <row r="655" spans="1:49" x14ac:dyDescent="0.25">
      <c r="A655" s="9" t="s">
        <v>3936</v>
      </c>
      <c r="B655" s="10" t="s">
        <v>4001</v>
      </c>
      <c r="C655" s="10">
        <v>0</v>
      </c>
      <c r="D655" s="10" t="s">
        <v>91</v>
      </c>
      <c r="E655" s="10"/>
      <c r="F655" s="10"/>
      <c r="G655" s="10"/>
      <c r="H655" s="10" t="s">
        <v>52</v>
      </c>
      <c r="I655" s="10">
        <v>20</v>
      </c>
      <c r="J655" s="10" t="s">
        <v>4066</v>
      </c>
      <c r="K655" s="10" t="s">
        <v>42</v>
      </c>
      <c r="L655" s="10">
        <f>Table1[[#This Row],[ENR]]-Table1[[#This Row],[CREDIT]]</f>
        <v>3827.6100000000006</v>
      </c>
      <c r="M655" s="36">
        <v>60000</v>
      </c>
      <c r="N655" s="26">
        <v>63827.61</v>
      </c>
      <c r="O655" s="38" t="s">
        <v>43</v>
      </c>
      <c r="P655" s="25">
        <v>63827.61</v>
      </c>
      <c r="Q655" s="25">
        <v>55197.38</v>
      </c>
      <c r="R655" s="10">
        <v>15280</v>
      </c>
      <c r="S655" s="39">
        <v>4560</v>
      </c>
      <c r="T655" s="10" t="s">
        <v>57</v>
      </c>
      <c r="U655" s="10" t="s">
        <v>14</v>
      </c>
      <c r="V655" s="10">
        <v>5000</v>
      </c>
      <c r="W655" s="25">
        <f>Table1[[#This Row],[STAB]]-Table1[[#This Row],[AMOUNT]]</f>
        <v>-440</v>
      </c>
      <c r="X655" s="10" t="s">
        <v>6399</v>
      </c>
      <c r="Y655" s="10" t="s">
        <v>402</v>
      </c>
      <c r="Z655" s="10" t="s">
        <v>403</v>
      </c>
      <c r="AA655" s="10" t="s">
        <v>113</v>
      </c>
      <c r="AB655" s="10" t="s">
        <v>376</v>
      </c>
      <c r="AC655" s="10"/>
      <c r="AD655" s="9" t="s">
        <v>4131</v>
      </c>
      <c r="AE655" s="10" t="s">
        <v>4195</v>
      </c>
      <c r="AF655" s="10" t="s">
        <v>501</v>
      </c>
      <c r="AG655" s="10" t="s">
        <v>53</v>
      </c>
      <c r="AH655" s="10" t="s">
        <v>116</v>
      </c>
      <c r="AI655" s="10" t="s">
        <v>2961</v>
      </c>
      <c r="AJ655" s="10">
        <v>845041675</v>
      </c>
      <c r="AK655" s="10" t="s">
        <v>104</v>
      </c>
      <c r="AL655" s="10"/>
      <c r="AM655" s="10"/>
      <c r="AN655" s="11" t="s">
        <v>46</v>
      </c>
      <c r="AO655" s="10"/>
      <c r="AP655" s="10"/>
      <c r="AQ655" s="10"/>
      <c r="AR655" s="2">
        <v>45821</v>
      </c>
      <c r="AS655" s="10">
        <v>1034</v>
      </c>
      <c r="AT655" s="10" t="s">
        <v>293</v>
      </c>
      <c r="AU655" s="10" t="s">
        <v>4205</v>
      </c>
      <c r="AV655" s="36" t="s">
        <v>4261</v>
      </c>
      <c r="AW655" s="1">
        <v>46211</v>
      </c>
    </row>
    <row r="656" spans="1:49" x14ac:dyDescent="0.25">
      <c r="A656" s="40" t="s">
        <v>3926</v>
      </c>
      <c r="B656" s="11" t="s">
        <v>3991</v>
      </c>
      <c r="C656" s="10">
        <v>0</v>
      </c>
      <c r="D656" s="10" t="s">
        <v>91</v>
      </c>
      <c r="E656" s="11"/>
      <c r="F656" s="11"/>
      <c r="G656" s="11"/>
      <c r="H656" s="10" t="s">
        <v>52</v>
      </c>
      <c r="I656" s="11">
        <v>20</v>
      </c>
      <c r="J656" s="11" t="s">
        <v>4056</v>
      </c>
      <c r="K656" s="11" t="s">
        <v>42</v>
      </c>
      <c r="L656" s="11">
        <f>Table1[[#This Row],[ENR]]-Table1[[#This Row],[CREDIT]]</f>
        <v>-6484.32</v>
      </c>
      <c r="M656" s="41">
        <v>70000</v>
      </c>
      <c r="N656" s="42">
        <v>63515.68</v>
      </c>
      <c r="O656" s="43" t="s">
        <v>43</v>
      </c>
      <c r="P656" s="44">
        <v>63515.68</v>
      </c>
      <c r="Q656" s="44">
        <v>55320.79</v>
      </c>
      <c r="R656" s="11">
        <v>11660</v>
      </c>
      <c r="S656" s="45">
        <v>4800</v>
      </c>
      <c r="T656" s="10" t="s">
        <v>44</v>
      </c>
      <c r="U656" s="10" t="s">
        <v>45</v>
      </c>
      <c r="V656" s="10">
        <v>0</v>
      </c>
      <c r="W656" s="44">
        <f>Table1[[#This Row],[STAB]]-Table1[[#This Row],[AMOUNT]]</f>
        <v>4800</v>
      </c>
      <c r="X656" s="10">
        <v>0</v>
      </c>
      <c r="Y656" s="10" t="s">
        <v>79</v>
      </c>
      <c r="Z656" s="10">
        <v>0</v>
      </c>
      <c r="AA656" s="10" t="s">
        <v>113</v>
      </c>
      <c r="AB656" s="36" t="s">
        <v>376</v>
      </c>
      <c r="AC656" s="11"/>
      <c r="AD656" s="40" t="s">
        <v>4121</v>
      </c>
      <c r="AE656" s="11" t="s">
        <v>4185</v>
      </c>
      <c r="AF656" s="11" t="s">
        <v>501</v>
      </c>
      <c r="AG656" s="10" t="s">
        <v>53</v>
      </c>
      <c r="AH656" s="11" t="s">
        <v>116</v>
      </c>
      <c r="AI656" s="10" t="s">
        <v>2961</v>
      </c>
      <c r="AJ656" s="11">
        <v>845041675</v>
      </c>
      <c r="AK656" s="11" t="s">
        <v>104</v>
      </c>
      <c r="AL656" s="11"/>
      <c r="AM656" s="11"/>
      <c r="AN656" s="11" t="s">
        <v>46</v>
      </c>
      <c r="AO656" s="11"/>
      <c r="AP656" s="11"/>
      <c r="AQ656" s="11"/>
      <c r="AR656" s="46">
        <v>45940</v>
      </c>
      <c r="AS656" s="11">
        <v>11036</v>
      </c>
      <c r="AT656" s="11" t="s">
        <v>293</v>
      </c>
      <c r="AU656" s="10" t="s">
        <v>4205</v>
      </c>
      <c r="AV656" s="41" t="s">
        <v>4251</v>
      </c>
      <c r="AW656" s="47">
        <v>46211</v>
      </c>
    </row>
    <row r="657" spans="1:49" x14ac:dyDescent="0.25">
      <c r="A657" s="9" t="s">
        <v>3886</v>
      </c>
      <c r="B657" s="10" t="s">
        <v>3951</v>
      </c>
      <c r="C657" s="10">
        <v>0</v>
      </c>
      <c r="D657" s="10" t="s">
        <v>91</v>
      </c>
      <c r="E657" s="10"/>
      <c r="F657" s="10"/>
      <c r="G657" s="10"/>
      <c r="H657" s="10" t="s">
        <v>52</v>
      </c>
      <c r="I657" s="10">
        <v>20</v>
      </c>
      <c r="J657" s="10" t="s">
        <v>4016</v>
      </c>
      <c r="K657" s="10" t="s">
        <v>42</v>
      </c>
      <c r="L657" s="10">
        <f>Table1[[#This Row],[ENR]]-Table1[[#This Row],[CREDIT]]</f>
        <v>-159447.32</v>
      </c>
      <c r="M657" s="36">
        <v>220000</v>
      </c>
      <c r="N657" s="26">
        <v>60552.68</v>
      </c>
      <c r="O657" s="38" t="s">
        <v>43</v>
      </c>
      <c r="P657" s="25">
        <v>60552.68</v>
      </c>
      <c r="Q657" s="25">
        <v>55129.58</v>
      </c>
      <c r="R657" s="10">
        <v>14240</v>
      </c>
      <c r="S657" s="39">
        <v>8570.77</v>
      </c>
      <c r="T657" s="10" t="s">
        <v>44</v>
      </c>
      <c r="U657" s="10" t="s">
        <v>45</v>
      </c>
      <c r="V657" s="10">
        <v>2115</v>
      </c>
      <c r="W657" s="25">
        <f>Table1[[#This Row],[STAB]]-Table1[[#This Row],[AMOUNT]]</f>
        <v>6455.77</v>
      </c>
      <c r="X657" s="10">
        <v>0</v>
      </c>
      <c r="Y657" s="10" t="s">
        <v>79</v>
      </c>
      <c r="Z657" s="10" t="s">
        <v>963</v>
      </c>
      <c r="AA657" s="10" t="s">
        <v>113</v>
      </c>
      <c r="AB657" s="36" t="s">
        <v>374</v>
      </c>
      <c r="AC657" s="10"/>
      <c r="AD657" s="9" t="s">
        <v>4081</v>
      </c>
      <c r="AE657" s="10" t="s">
        <v>4146</v>
      </c>
      <c r="AF657" s="10" t="s">
        <v>146</v>
      </c>
      <c r="AG657" s="10" t="s">
        <v>54</v>
      </c>
      <c r="AH657" s="10" t="s">
        <v>4529</v>
      </c>
      <c r="AI657" s="10" t="s">
        <v>365</v>
      </c>
      <c r="AJ657" s="10">
        <v>802824019</v>
      </c>
      <c r="AK657" s="10" t="s">
        <v>360</v>
      </c>
      <c r="AL657" s="10"/>
      <c r="AM657" s="10"/>
      <c r="AN657" s="11" t="s">
        <v>46</v>
      </c>
      <c r="AO657" s="10"/>
      <c r="AP657" s="10"/>
      <c r="AQ657" s="10"/>
      <c r="AR657" s="2">
        <v>46174</v>
      </c>
      <c r="AS657" s="10">
        <v>8000</v>
      </c>
      <c r="AT657" s="10" t="s">
        <v>291</v>
      </c>
      <c r="AU657" s="10" t="s">
        <v>4205</v>
      </c>
      <c r="AV657" s="36" t="s">
        <v>4211</v>
      </c>
      <c r="AW657" s="1">
        <v>46211</v>
      </c>
    </row>
    <row r="658" spans="1:49" x14ac:dyDescent="0.25">
      <c r="A658" s="9" t="s">
        <v>3883</v>
      </c>
      <c r="B658" s="10" t="s">
        <v>3948</v>
      </c>
      <c r="C658" s="10">
        <v>0</v>
      </c>
      <c r="D658" s="10" t="s">
        <v>91</v>
      </c>
      <c r="E658" s="10"/>
      <c r="F658" s="10"/>
      <c r="G658" s="10"/>
      <c r="H658" s="10" t="s">
        <v>52</v>
      </c>
      <c r="I658" s="10">
        <v>20</v>
      </c>
      <c r="J658" s="10" t="s">
        <v>4013</v>
      </c>
      <c r="K658" s="10" t="s">
        <v>42</v>
      </c>
      <c r="L658" s="10">
        <f>Table1[[#This Row],[ENR]]-Table1[[#This Row],[CREDIT]]</f>
        <v>-23756</v>
      </c>
      <c r="M658" s="36">
        <v>83000</v>
      </c>
      <c r="N658" s="26">
        <v>59244</v>
      </c>
      <c r="O658" s="38" t="s">
        <v>43</v>
      </c>
      <c r="P658" s="25">
        <v>59244</v>
      </c>
      <c r="Q658" s="25">
        <v>52715.4</v>
      </c>
      <c r="R658" s="10">
        <v>9750</v>
      </c>
      <c r="S658" s="39">
        <v>3130</v>
      </c>
      <c r="T658" s="10" t="s">
        <v>57</v>
      </c>
      <c r="U658" s="10" t="s">
        <v>13</v>
      </c>
      <c r="V658" s="10">
        <v>9750</v>
      </c>
      <c r="W658" s="25">
        <f>Table1[[#This Row],[STAB]]-Table1[[#This Row],[AMOUNT]]</f>
        <v>-6620</v>
      </c>
      <c r="X658" s="10" t="s">
        <v>4923</v>
      </c>
      <c r="Y658" s="10" t="s">
        <v>396</v>
      </c>
      <c r="Z658" s="10" t="s">
        <v>1968</v>
      </c>
      <c r="AA658" s="10" t="s">
        <v>113</v>
      </c>
      <c r="AB658" s="10" t="s">
        <v>131</v>
      </c>
      <c r="AC658" s="10"/>
      <c r="AD658" s="9" t="s">
        <v>4078</v>
      </c>
      <c r="AE658" s="10" t="s">
        <v>4143</v>
      </c>
      <c r="AF658" s="10" t="s">
        <v>285</v>
      </c>
      <c r="AG658" s="10" t="s">
        <v>54</v>
      </c>
      <c r="AH658" s="10" t="s">
        <v>94</v>
      </c>
      <c r="AI658" s="10" t="s">
        <v>725</v>
      </c>
      <c r="AJ658" s="10">
        <v>802794852</v>
      </c>
      <c r="AK658" s="10" t="s">
        <v>104</v>
      </c>
      <c r="AL658" s="10"/>
      <c r="AM658" s="10"/>
      <c r="AN658" s="11" t="s">
        <v>390</v>
      </c>
      <c r="AO658" s="10"/>
      <c r="AP658" s="10"/>
      <c r="AQ658" s="10"/>
      <c r="AR658" s="2">
        <v>46144</v>
      </c>
      <c r="AS658" s="10">
        <v>19220</v>
      </c>
      <c r="AT658" s="10" t="s">
        <v>1930</v>
      </c>
      <c r="AU658" s="10" t="s">
        <v>4205</v>
      </c>
      <c r="AV658" s="36" t="s">
        <v>4208</v>
      </c>
      <c r="AW658" s="1">
        <v>46211</v>
      </c>
    </row>
    <row r="659" spans="1:49" x14ac:dyDescent="0.25">
      <c r="A659" s="9" t="s">
        <v>3934</v>
      </c>
      <c r="B659" s="10" t="s">
        <v>3999</v>
      </c>
      <c r="C659" s="10">
        <v>0</v>
      </c>
      <c r="D659" s="10" t="s">
        <v>91</v>
      </c>
      <c r="E659" s="10"/>
      <c r="F659" s="10"/>
      <c r="G659" s="10"/>
      <c r="H659" s="10" t="s">
        <v>52</v>
      </c>
      <c r="I659" s="10">
        <v>20</v>
      </c>
      <c r="J659" s="10" t="s">
        <v>4064</v>
      </c>
      <c r="K659" s="10" t="s">
        <v>42</v>
      </c>
      <c r="L659" s="10">
        <f>Table1[[#This Row],[ENR]]-Table1[[#This Row],[CREDIT]]</f>
        <v>8033.7699999999968</v>
      </c>
      <c r="M659" s="36">
        <v>50000</v>
      </c>
      <c r="N659" s="26">
        <v>58033.77</v>
      </c>
      <c r="O659" s="38" t="s">
        <v>43</v>
      </c>
      <c r="P659" s="25">
        <v>58033.77</v>
      </c>
      <c r="Q659" s="25">
        <v>47358.31</v>
      </c>
      <c r="R659" s="10">
        <v>22790</v>
      </c>
      <c r="S659" s="39">
        <v>10840</v>
      </c>
      <c r="T659" s="10" t="s">
        <v>44</v>
      </c>
      <c r="U659" s="10" t="s">
        <v>45</v>
      </c>
      <c r="V659" s="10">
        <v>0</v>
      </c>
      <c r="W659" s="25">
        <f>Table1[[#This Row],[STAB]]-Table1[[#This Row],[AMOUNT]]</f>
        <v>10840</v>
      </c>
      <c r="X659" s="10">
        <v>0</v>
      </c>
      <c r="Y659" s="10" t="s">
        <v>79</v>
      </c>
      <c r="Z659" s="10">
        <v>0</v>
      </c>
      <c r="AA659" s="10" t="s">
        <v>113</v>
      </c>
      <c r="AB659" s="36" t="s">
        <v>375</v>
      </c>
      <c r="AC659" s="10"/>
      <c r="AD659" s="9" t="s">
        <v>4129</v>
      </c>
      <c r="AE659" s="10" t="s">
        <v>4193</v>
      </c>
      <c r="AF659" s="10" t="s">
        <v>285</v>
      </c>
      <c r="AG659" s="10" t="s">
        <v>54</v>
      </c>
      <c r="AH659" s="10" t="s">
        <v>94</v>
      </c>
      <c r="AI659" s="10" t="s">
        <v>725</v>
      </c>
      <c r="AJ659" s="10">
        <v>802794852</v>
      </c>
      <c r="AK659" s="10" t="s">
        <v>104</v>
      </c>
      <c r="AL659" s="10"/>
      <c r="AM659" s="10"/>
      <c r="AN659" s="11" t="s">
        <v>390</v>
      </c>
      <c r="AO659" s="10" t="s">
        <v>531</v>
      </c>
      <c r="AP659" s="10" t="s">
        <v>4939</v>
      </c>
      <c r="AQ659" s="10" t="s">
        <v>4923</v>
      </c>
      <c r="AR659" s="2">
        <v>46042</v>
      </c>
      <c r="AS659" s="10">
        <v>6.22</v>
      </c>
      <c r="AT659" s="10" t="s">
        <v>293</v>
      </c>
      <c r="AU659" s="10" t="s">
        <v>4205</v>
      </c>
      <c r="AV659" s="36" t="s">
        <v>4259</v>
      </c>
      <c r="AW659" s="1">
        <v>46211</v>
      </c>
    </row>
    <row r="660" spans="1:49" x14ac:dyDescent="0.25">
      <c r="A660" s="9" t="s">
        <v>3924</v>
      </c>
      <c r="B660" s="10" t="s">
        <v>3989</v>
      </c>
      <c r="C660" s="10">
        <v>0</v>
      </c>
      <c r="D660" s="10" t="s">
        <v>91</v>
      </c>
      <c r="E660" s="10"/>
      <c r="F660" s="10"/>
      <c r="G660" s="10"/>
      <c r="H660" s="10" t="s">
        <v>52</v>
      </c>
      <c r="I660" s="10">
        <v>20</v>
      </c>
      <c r="J660" s="10" t="s">
        <v>4054</v>
      </c>
      <c r="K660" s="10" t="s">
        <v>42</v>
      </c>
      <c r="L660" s="10">
        <f>Table1[[#This Row],[ENR]]-Table1[[#This Row],[CREDIT]]</f>
        <v>-2444.3099999999977</v>
      </c>
      <c r="M660" s="36">
        <v>60000</v>
      </c>
      <c r="N660" s="26">
        <v>57555.69</v>
      </c>
      <c r="O660" s="38" t="s">
        <v>43</v>
      </c>
      <c r="P660" s="25">
        <v>57555.69</v>
      </c>
      <c r="Q660" s="25">
        <v>53246.05</v>
      </c>
      <c r="R660" s="10">
        <v>12670</v>
      </c>
      <c r="S660" s="39">
        <v>8350</v>
      </c>
      <c r="T660" s="10" t="s">
        <v>57</v>
      </c>
      <c r="U660" s="10" t="s">
        <v>13</v>
      </c>
      <c r="V660" s="10">
        <v>57555.69</v>
      </c>
      <c r="W660" s="25">
        <f>Table1[[#This Row],[STAB]]-Table1[[#This Row],[AMOUNT]]</f>
        <v>-49205.69</v>
      </c>
      <c r="X660" s="10" t="s">
        <v>4976</v>
      </c>
      <c r="Y660" s="10" t="s">
        <v>402</v>
      </c>
      <c r="Z660" s="10" t="s">
        <v>963</v>
      </c>
      <c r="AA660" s="10" t="s">
        <v>113</v>
      </c>
      <c r="AB660" s="36" t="s">
        <v>133</v>
      </c>
      <c r="AC660" s="10"/>
      <c r="AD660" s="9" t="s">
        <v>4119</v>
      </c>
      <c r="AE660" s="10" t="s">
        <v>4183</v>
      </c>
      <c r="AF660" s="10" t="s">
        <v>687</v>
      </c>
      <c r="AG660" s="10" t="s">
        <v>53</v>
      </c>
      <c r="AH660" s="10" t="s">
        <v>83</v>
      </c>
      <c r="AI660" s="10" t="s">
        <v>728</v>
      </c>
      <c r="AJ660" s="10">
        <v>802349062</v>
      </c>
      <c r="AK660" s="10" t="s">
        <v>104</v>
      </c>
      <c r="AL660" s="10"/>
      <c r="AM660" s="10"/>
      <c r="AN660" s="11" t="s">
        <v>390</v>
      </c>
      <c r="AO660" s="10"/>
      <c r="AP660" s="10"/>
      <c r="AQ660" s="10"/>
      <c r="AR660" s="2">
        <v>46144</v>
      </c>
      <c r="AS660" s="10">
        <v>17156.849999999999</v>
      </c>
      <c r="AT660" s="10" t="s">
        <v>157</v>
      </c>
      <c r="AU660" s="10" t="s">
        <v>4205</v>
      </c>
      <c r="AV660" s="36" t="s">
        <v>4249</v>
      </c>
      <c r="AW660" s="1">
        <v>46211</v>
      </c>
    </row>
    <row r="661" spans="1:49" x14ac:dyDescent="0.25">
      <c r="A661" s="9" t="s">
        <v>3923</v>
      </c>
      <c r="B661" s="10" t="s">
        <v>3988</v>
      </c>
      <c r="C661" s="10">
        <v>0</v>
      </c>
      <c r="D661" s="10" t="s">
        <v>91</v>
      </c>
      <c r="E661" s="10"/>
      <c r="F661" s="10"/>
      <c r="G661" s="10"/>
      <c r="H661" s="10" t="s">
        <v>52</v>
      </c>
      <c r="I661" s="10">
        <v>20</v>
      </c>
      <c r="J661" s="10" t="s">
        <v>4053</v>
      </c>
      <c r="K661" s="10" t="s">
        <v>42</v>
      </c>
      <c r="L661" s="10">
        <f>Table1[[#This Row],[ENR]]-Table1[[#This Row],[CREDIT]]</f>
        <v>7015.4599999999991</v>
      </c>
      <c r="M661" s="36">
        <v>50000</v>
      </c>
      <c r="N661" s="26">
        <v>57015.46</v>
      </c>
      <c r="O661" s="38" t="s">
        <v>43</v>
      </c>
      <c r="P661" s="25">
        <v>57015.46</v>
      </c>
      <c r="Q661" s="25">
        <v>49985</v>
      </c>
      <c r="R661" s="10">
        <v>18430</v>
      </c>
      <c r="S661" s="39">
        <v>8570</v>
      </c>
      <c r="T661" s="10" t="s">
        <v>57</v>
      </c>
      <c r="U661" s="10" t="s">
        <v>13</v>
      </c>
      <c r="V661" s="10">
        <v>0</v>
      </c>
      <c r="W661" s="25">
        <f>Table1[[#This Row],[STAB]]-Table1[[#This Row],[AMOUNT]]</f>
        <v>8570</v>
      </c>
      <c r="X661" s="10">
        <v>0</v>
      </c>
      <c r="Y661" s="10" t="s">
        <v>79</v>
      </c>
      <c r="Z661" s="10" t="s">
        <v>403</v>
      </c>
      <c r="AA661" s="10" t="s">
        <v>113</v>
      </c>
      <c r="AB661" s="10" t="s">
        <v>131</v>
      </c>
      <c r="AC661" s="10"/>
      <c r="AD661" s="9" t="s">
        <v>4118</v>
      </c>
      <c r="AE661" s="10" t="s">
        <v>4182</v>
      </c>
      <c r="AF661" s="10" t="s">
        <v>1319</v>
      </c>
      <c r="AG661" s="10" t="s">
        <v>54</v>
      </c>
      <c r="AH661" s="10" t="s">
        <v>93</v>
      </c>
      <c r="AI661" s="10" t="s">
        <v>364</v>
      </c>
      <c r="AJ661" s="10">
        <v>802663344</v>
      </c>
      <c r="AK661" s="10" t="s">
        <v>105</v>
      </c>
      <c r="AL661" s="10"/>
      <c r="AM661" s="10"/>
      <c r="AN661" s="11" t="s">
        <v>390</v>
      </c>
      <c r="AO661" s="10" t="s">
        <v>392</v>
      </c>
      <c r="AP661" s="10" t="s">
        <v>4978</v>
      </c>
      <c r="AQ661" s="10" t="s">
        <v>4923</v>
      </c>
      <c r="AR661" s="2">
        <v>45880</v>
      </c>
      <c r="AS661" s="10">
        <v>2500</v>
      </c>
      <c r="AT661" s="10" t="s">
        <v>293</v>
      </c>
      <c r="AU661" s="10" t="s">
        <v>4205</v>
      </c>
      <c r="AV661" s="36" t="s">
        <v>4248</v>
      </c>
      <c r="AW661" s="1">
        <v>46211</v>
      </c>
    </row>
    <row r="662" spans="1:49" x14ac:dyDescent="0.25">
      <c r="A662" s="9" t="s">
        <v>3889</v>
      </c>
      <c r="B662" s="10" t="s">
        <v>3954</v>
      </c>
      <c r="C662" s="10">
        <v>0</v>
      </c>
      <c r="D662" s="10" t="s">
        <v>91</v>
      </c>
      <c r="E662" s="10"/>
      <c r="F662" s="10"/>
      <c r="G662" s="10" t="s">
        <v>4956</v>
      </c>
      <c r="H662" s="10" t="s">
        <v>52</v>
      </c>
      <c r="I662" s="10">
        <v>20</v>
      </c>
      <c r="J662" s="10" t="s">
        <v>4019</v>
      </c>
      <c r="K662" s="10" t="s">
        <v>42</v>
      </c>
      <c r="L662" s="10">
        <f>Table1[[#This Row],[ENR]]-Table1[[#This Row],[CREDIT]]</f>
        <v>6980.0299999999988</v>
      </c>
      <c r="M662" s="36">
        <v>50000</v>
      </c>
      <c r="N662" s="26">
        <v>56980.03</v>
      </c>
      <c r="O662" s="38" t="s">
        <v>43</v>
      </c>
      <c r="P662" s="25">
        <v>56980.03</v>
      </c>
      <c r="Q662" s="25">
        <v>47488.29</v>
      </c>
      <c r="R662" s="10">
        <v>21220</v>
      </c>
      <c r="S662" s="39">
        <v>7150</v>
      </c>
      <c r="T662" s="10" t="s">
        <v>44</v>
      </c>
      <c r="U662" s="10" t="s">
        <v>45</v>
      </c>
      <c r="V662" s="10">
        <v>0</v>
      </c>
      <c r="W662" s="25">
        <f>Table1[[#This Row],[STAB]]-Table1[[#This Row],[AMOUNT]]</f>
        <v>7150</v>
      </c>
      <c r="X662" s="10">
        <v>0</v>
      </c>
      <c r="Y662" s="10" t="s">
        <v>79</v>
      </c>
      <c r="Z662" s="10">
        <v>0</v>
      </c>
      <c r="AA662" s="10" t="s">
        <v>113</v>
      </c>
      <c r="AB662" s="36" t="s">
        <v>132</v>
      </c>
      <c r="AC662" s="10"/>
      <c r="AD662" s="9" t="s">
        <v>4084</v>
      </c>
      <c r="AE662" s="10" t="s">
        <v>4149</v>
      </c>
      <c r="AF662" s="10" t="s">
        <v>274</v>
      </c>
      <c r="AG662" s="10" t="s">
        <v>53</v>
      </c>
      <c r="AH662" s="10" t="s">
        <v>55</v>
      </c>
      <c r="AI662" s="10" t="s">
        <v>365</v>
      </c>
      <c r="AJ662" s="10">
        <v>802824019</v>
      </c>
      <c r="AK662" s="10" t="s">
        <v>360</v>
      </c>
      <c r="AL662" s="10"/>
      <c r="AM662" s="10"/>
      <c r="AN662" s="11" t="s">
        <v>46</v>
      </c>
      <c r="AO662" s="10"/>
      <c r="AP662" s="10"/>
      <c r="AQ662" s="10"/>
      <c r="AR662" s="2">
        <v>45843</v>
      </c>
      <c r="AS662" s="10">
        <v>5005</v>
      </c>
      <c r="AT662" s="10" t="s">
        <v>291</v>
      </c>
      <c r="AU662" s="10" t="s">
        <v>4205</v>
      </c>
      <c r="AV662" s="36" t="s">
        <v>4214</v>
      </c>
      <c r="AW662" s="1">
        <v>46211</v>
      </c>
    </row>
    <row r="663" spans="1:49" x14ac:dyDescent="0.25">
      <c r="A663" s="9" t="s">
        <v>3928</v>
      </c>
      <c r="B663" s="10" t="s">
        <v>3993</v>
      </c>
      <c r="C663" s="10">
        <v>0</v>
      </c>
      <c r="D663" s="10" t="s">
        <v>91</v>
      </c>
      <c r="E663" s="10"/>
      <c r="F663" s="10"/>
      <c r="G663" s="10" t="s">
        <v>4956</v>
      </c>
      <c r="H663" s="10" t="s">
        <v>52</v>
      </c>
      <c r="I663" s="10">
        <v>20</v>
      </c>
      <c r="J663" s="10" t="s">
        <v>4058</v>
      </c>
      <c r="K663" s="10" t="s">
        <v>42</v>
      </c>
      <c r="L663" s="10">
        <f>Table1[[#This Row],[ENR]]-Table1[[#This Row],[CREDIT]]</f>
        <v>6743.6999999999971</v>
      </c>
      <c r="M663" s="36">
        <v>50000</v>
      </c>
      <c r="N663" s="26">
        <v>56743.7</v>
      </c>
      <c r="O663" s="38" t="s">
        <v>43</v>
      </c>
      <c r="P663" s="25">
        <v>56743.7</v>
      </c>
      <c r="Q663" s="25">
        <v>46951.57</v>
      </c>
      <c r="R663" s="10">
        <v>19080</v>
      </c>
      <c r="S663" s="39">
        <v>6720</v>
      </c>
      <c r="T663" s="10" t="s">
        <v>57</v>
      </c>
      <c r="U663" s="10" t="s">
        <v>14</v>
      </c>
      <c r="V663" s="10">
        <v>6720</v>
      </c>
      <c r="W663" s="25">
        <f>Table1[[#This Row],[STAB]]-Table1[[#This Row],[AMOUNT]]</f>
        <v>0</v>
      </c>
      <c r="X663" s="10" t="s">
        <v>6399</v>
      </c>
      <c r="Y663" s="10" t="s">
        <v>396</v>
      </c>
      <c r="Z663" s="10">
        <v>0</v>
      </c>
      <c r="AA663" s="10" t="s">
        <v>113</v>
      </c>
      <c r="AB663" s="36" t="s">
        <v>374</v>
      </c>
      <c r="AC663" s="10"/>
      <c r="AD663" s="9" t="s">
        <v>4123</v>
      </c>
      <c r="AE663" s="10" t="s">
        <v>4187</v>
      </c>
      <c r="AF663" s="10" t="s">
        <v>499</v>
      </c>
      <c r="AG663" s="10" t="s">
        <v>53</v>
      </c>
      <c r="AH663" s="10" t="s">
        <v>55</v>
      </c>
      <c r="AI663" s="10" t="s">
        <v>365</v>
      </c>
      <c r="AJ663" s="10">
        <v>802824019</v>
      </c>
      <c r="AK663" s="10" t="s">
        <v>360</v>
      </c>
      <c r="AL663" s="10"/>
      <c r="AM663" s="10"/>
      <c r="AN663" s="11" t="s">
        <v>46</v>
      </c>
      <c r="AO663" s="10"/>
      <c r="AP663" s="10"/>
      <c r="AQ663" s="10"/>
      <c r="AR663" s="2">
        <v>46155</v>
      </c>
      <c r="AS663" s="10">
        <v>2820</v>
      </c>
      <c r="AT663" s="10" t="s">
        <v>293</v>
      </c>
      <c r="AU663" s="10" t="s">
        <v>4205</v>
      </c>
      <c r="AV663" s="36" t="s">
        <v>4253</v>
      </c>
      <c r="AW663" s="1">
        <v>46211</v>
      </c>
    </row>
    <row r="664" spans="1:49" x14ac:dyDescent="0.25">
      <c r="A664" s="9" t="s">
        <v>3905</v>
      </c>
      <c r="B664" s="10" t="s">
        <v>3970</v>
      </c>
      <c r="C664" s="10">
        <v>0</v>
      </c>
      <c r="D664" s="10" t="s">
        <v>91</v>
      </c>
      <c r="E664" s="10"/>
      <c r="F664" s="10"/>
      <c r="G664" s="10"/>
      <c r="H664" s="10" t="s">
        <v>52</v>
      </c>
      <c r="I664" s="10">
        <v>20</v>
      </c>
      <c r="J664" s="10" t="s">
        <v>4035</v>
      </c>
      <c r="K664" s="10" t="s">
        <v>42</v>
      </c>
      <c r="L664" s="10">
        <f>Table1[[#This Row],[ENR]]-Table1[[#This Row],[CREDIT]]</f>
        <v>6288.6500000000015</v>
      </c>
      <c r="M664" s="36">
        <v>50000</v>
      </c>
      <c r="N664" s="26">
        <v>56288.65</v>
      </c>
      <c r="O664" s="38" t="s">
        <v>43</v>
      </c>
      <c r="P664" s="25">
        <v>56288.65</v>
      </c>
      <c r="Q664" s="25">
        <v>50000</v>
      </c>
      <c r="R664" s="10">
        <v>19170</v>
      </c>
      <c r="S664" s="39">
        <v>11880</v>
      </c>
      <c r="T664" s="10" t="s">
        <v>44</v>
      </c>
      <c r="U664" s="10" t="s">
        <v>45</v>
      </c>
      <c r="V664" s="10">
        <v>0</v>
      </c>
      <c r="W664" s="25">
        <f>Table1[[#This Row],[STAB]]-Table1[[#This Row],[AMOUNT]]</f>
        <v>11880</v>
      </c>
      <c r="X664" s="10">
        <v>0</v>
      </c>
      <c r="Y664" s="10" t="s">
        <v>79</v>
      </c>
      <c r="Z664" s="10" t="s">
        <v>403</v>
      </c>
      <c r="AA664" s="10" t="s">
        <v>113</v>
      </c>
      <c r="AB664" s="36" t="s">
        <v>131</v>
      </c>
      <c r="AC664" s="10"/>
      <c r="AD664" s="9" t="s">
        <v>4100</v>
      </c>
      <c r="AE664" s="10" t="s">
        <v>4165</v>
      </c>
      <c r="AF664" s="10" t="s">
        <v>500</v>
      </c>
      <c r="AG664" s="10" t="s">
        <v>324</v>
      </c>
      <c r="AH664" s="10" t="s">
        <v>355</v>
      </c>
      <c r="AI664" s="10" t="s">
        <v>372</v>
      </c>
      <c r="AJ664" s="10">
        <v>801597759</v>
      </c>
      <c r="AK664" s="10" t="s">
        <v>362</v>
      </c>
      <c r="AL664" s="10"/>
      <c r="AM664" s="10"/>
      <c r="AN664" s="11" t="s">
        <v>46</v>
      </c>
      <c r="AO664" s="10"/>
      <c r="AP664" s="10"/>
      <c r="AQ664" s="10"/>
      <c r="AR664" s="2">
        <v>46116</v>
      </c>
      <c r="AS664" s="10">
        <v>40000</v>
      </c>
      <c r="AT664" s="10" t="s">
        <v>293</v>
      </c>
      <c r="AU664" s="10" t="s">
        <v>4205</v>
      </c>
      <c r="AV664" s="36" t="s">
        <v>4230</v>
      </c>
      <c r="AW664" s="1">
        <v>46211</v>
      </c>
    </row>
    <row r="665" spans="1:49" x14ac:dyDescent="0.25">
      <c r="A665" s="9" t="s">
        <v>3901</v>
      </c>
      <c r="B665" s="10" t="s">
        <v>3966</v>
      </c>
      <c r="C665" s="10">
        <v>0</v>
      </c>
      <c r="D665" s="10" t="s">
        <v>91</v>
      </c>
      <c r="E665" s="10"/>
      <c r="F665" s="10"/>
      <c r="G665" s="10"/>
      <c r="H665" s="10" t="s">
        <v>52</v>
      </c>
      <c r="I665" s="10">
        <v>20</v>
      </c>
      <c r="J665" s="10" t="s">
        <v>4031</v>
      </c>
      <c r="K665" s="10" t="s">
        <v>42</v>
      </c>
      <c r="L665" s="10">
        <f>Table1[[#This Row],[ENR]]-Table1[[#This Row],[CREDIT]]</f>
        <v>5945.9000000000015</v>
      </c>
      <c r="M665" s="36">
        <v>50000</v>
      </c>
      <c r="N665" s="26">
        <v>55945.9</v>
      </c>
      <c r="O665" s="38" t="s">
        <v>43</v>
      </c>
      <c r="P665" s="25">
        <v>55945.9</v>
      </c>
      <c r="Q665" s="25">
        <v>48328.480000000003</v>
      </c>
      <c r="R665" s="10">
        <v>16190</v>
      </c>
      <c r="S665" s="39">
        <v>6490</v>
      </c>
      <c r="T665" s="10" t="s">
        <v>57</v>
      </c>
      <c r="U665" s="10" t="s">
        <v>13</v>
      </c>
      <c r="V665" s="10">
        <v>17000</v>
      </c>
      <c r="W665" s="25">
        <f>Table1[[#This Row],[STAB]]-Table1[[#This Row],[AMOUNT]]</f>
        <v>-10510</v>
      </c>
      <c r="X665" s="10" t="s">
        <v>4937</v>
      </c>
      <c r="Y665" s="10" t="s">
        <v>396</v>
      </c>
      <c r="Z665" s="10" t="s">
        <v>403</v>
      </c>
      <c r="AA665" s="10" t="s">
        <v>113</v>
      </c>
      <c r="AB665" s="36" t="s">
        <v>133</v>
      </c>
      <c r="AC665" s="10"/>
      <c r="AD665" s="9" t="s">
        <v>4096</v>
      </c>
      <c r="AE665" s="10" t="s">
        <v>4161</v>
      </c>
      <c r="AF665" s="10" t="s">
        <v>284</v>
      </c>
      <c r="AG665" s="10" t="s">
        <v>324</v>
      </c>
      <c r="AH665" s="10" t="s">
        <v>355</v>
      </c>
      <c r="AI665" s="10" t="s">
        <v>372</v>
      </c>
      <c r="AJ665" s="10">
        <v>801597759</v>
      </c>
      <c r="AK665" s="10" t="s">
        <v>362</v>
      </c>
      <c r="AL665" s="10"/>
      <c r="AM665" s="10"/>
      <c r="AN665" s="11" t="s">
        <v>390</v>
      </c>
      <c r="AO665" s="10" t="s">
        <v>392</v>
      </c>
      <c r="AP665" s="10" t="s">
        <v>5013</v>
      </c>
      <c r="AQ665" s="10" t="s">
        <v>4993</v>
      </c>
      <c r="AR665" s="2" t="s">
        <v>43</v>
      </c>
      <c r="AS665" s="10">
        <v>0</v>
      </c>
      <c r="AT665" s="10" t="s">
        <v>48</v>
      </c>
      <c r="AU665" s="10" t="s">
        <v>4205</v>
      </c>
      <c r="AV665" s="36" t="s">
        <v>4226</v>
      </c>
      <c r="AW665" s="1">
        <v>46211</v>
      </c>
    </row>
    <row r="666" spans="1:49" x14ac:dyDescent="0.25">
      <c r="A666" s="9" t="s">
        <v>3930</v>
      </c>
      <c r="B666" s="10" t="s">
        <v>3995</v>
      </c>
      <c r="C666" s="10">
        <v>0</v>
      </c>
      <c r="D666" s="10" t="s">
        <v>91</v>
      </c>
      <c r="E666" s="10"/>
      <c r="F666" s="10"/>
      <c r="G666" s="10"/>
      <c r="H666" s="10" t="s">
        <v>52</v>
      </c>
      <c r="I666" s="10">
        <v>20</v>
      </c>
      <c r="J666" s="10" t="s">
        <v>4060</v>
      </c>
      <c r="K666" s="10" t="s">
        <v>42</v>
      </c>
      <c r="L666" s="10">
        <f>Table1[[#This Row],[ENR]]-Table1[[#This Row],[CREDIT]]</f>
        <v>-4733.0299999999988</v>
      </c>
      <c r="M666" s="36">
        <v>60000</v>
      </c>
      <c r="N666" s="26">
        <v>55266.97</v>
      </c>
      <c r="O666" s="38" t="s">
        <v>43</v>
      </c>
      <c r="P666" s="25">
        <v>55266.97</v>
      </c>
      <c r="Q666" s="25">
        <v>46332.19</v>
      </c>
      <c r="R666" s="10">
        <v>13990</v>
      </c>
      <c r="S666" s="39">
        <v>6840</v>
      </c>
      <c r="T666" s="10" t="s">
        <v>44</v>
      </c>
      <c r="U666" s="10" t="s">
        <v>45</v>
      </c>
      <c r="V666" s="10">
        <v>4820</v>
      </c>
      <c r="W666" s="25">
        <f>Table1[[#This Row],[STAB]]-Table1[[#This Row],[AMOUNT]]</f>
        <v>2020</v>
      </c>
      <c r="X666" s="10">
        <v>0</v>
      </c>
      <c r="Y666" s="10" t="s">
        <v>79</v>
      </c>
      <c r="Z666" s="10" t="s">
        <v>963</v>
      </c>
      <c r="AA666" s="10" t="s">
        <v>113</v>
      </c>
      <c r="AB666" s="41" t="s">
        <v>376</v>
      </c>
      <c r="AC666" s="10"/>
      <c r="AD666" s="9" t="s">
        <v>4125</v>
      </c>
      <c r="AE666" s="10" t="s">
        <v>4189</v>
      </c>
      <c r="AF666" s="10" t="s">
        <v>685</v>
      </c>
      <c r="AG666" s="10" t="s">
        <v>54</v>
      </c>
      <c r="AH666" s="10" t="s">
        <v>1398</v>
      </c>
      <c r="AI666" s="10" t="s">
        <v>162</v>
      </c>
      <c r="AJ666" s="10">
        <v>801772794</v>
      </c>
      <c r="AK666" s="10" t="s">
        <v>361</v>
      </c>
      <c r="AL666" s="10"/>
      <c r="AM666" s="10"/>
      <c r="AN666" s="11" t="s">
        <v>46</v>
      </c>
      <c r="AO666" s="10"/>
      <c r="AP666" s="10"/>
      <c r="AQ666" s="10"/>
      <c r="AR666" s="2">
        <v>46164</v>
      </c>
      <c r="AS666" s="10">
        <v>2740</v>
      </c>
      <c r="AT666" s="10" t="s">
        <v>293</v>
      </c>
      <c r="AU666" s="10" t="s">
        <v>4205</v>
      </c>
      <c r="AV666" s="36" t="s">
        <v>4255</v>
      </c>
      <c r="AW666" s="1">
        <v>46211</v>
      </c>
    </row>
    <row r="667" spans="1:49" x14ac:dyDescent="0.25">
      <c r="A667" s="9" t="s">
        <v>3931</v>
      </c>
      <c r="B667" s="10" t="s">
        <v>3996</v>
      </c>
      <c r="C667" s="10">
        <v>0</v>
      </c>
      <c r="D667" s="10" t="s">
        <v>91</v>
      </c>
      <c r="E667" s="10"/>
      <c r="F667" s="10"/>
      <c r="G667" s="10"/>
      <c r="H667" s="10" t="s">
        <v>84</v>
      </c>
      <c r="I667" s="10">
        <v>20</v>
      </c>
      <c r="J667" s="10" t="s">
        <v>4061</v>
      </c>
      <c r="K667" s="10" t="s">
        <v>42</v>
      </c>
      <c r="L667" s="10">
        <f>Table1[[#This Row],[ENR]]-Table1[[#This Row],[CREDIT]]</f>
        <v>4843.43</v>
      </c>
      <c r="M667" s="36">
        <v>50000</v>
      </c>
      <c r="N667" s="26">
        <v>54843.43</v>
      </c>
      <c r="O667" s="38" t="s">
        <v>43</v>
      </c>
      <c r="P667" s="25">
        <v>54843.43</v>
      </c>
      <c r="Q667" s="25">
        <v>49999</v>
      </c>
      <c r="R667" s="10">
        <v>15710</v>
      </c>
      <c r="S667" s="39">
        <v>9720</v>
      </c>
      <c r="T667" s="10" t="s">
        <v>57</v>
      </c>
      <c r="U667" s="10" t="s">
        <v>13</v>
      </c>
      <c r="V667" s="10">
        <v>18000</v>
      </c>
      <c r="W667" s="25">
        <f>Table1[[#This Row],[STAB]]-Table1[[#This Row],[AMOUNT]]</f>
        <v>-8280</v>
      </c>
      <c r="X667" s="10" t="s">
        <v>4601</v>
      </c>
      <c r="Y667" s="10" t="s">
        <v>396</v>
      </c>
      <c r="Z667" s="10" t="s">
        <v>403</v>
      </c>
      <c r="AA667" s="10" t="s">
        <v>113</v>
      </c>
      <c r="AB667" s="36" t="s">
        <v>131</v>
      </c>
      <c r="AC667" s="10"/>
      <c r="AD667" s="9" t="s">
        <v>4126</v>
      </c>
      <c r="AE667" s="10" t="s">
        <v>4190</v>
      </c>
      <c r="AF667" s="10" t="s">
        <v>287</v>
      </c>
      <c r="AG667" s="10" t="s">
        <v>324</v>
      </c>
      <c r="AH667" s="10" t="s">
        <v>56</v>
      </c>
      <c r="AI667" s="10" t="s">
        <v>370</v>
      </c>
      <c r="AJ667" s="10">
        <v>801448854</v>
      </c>
      <c r="AK667" s="10" t="s">
        <v>105</v>
      </c>
      <c r="AL667" s="10"/>
      <c r="AM667" s="10"/>
      <c r="AN667" s="11" t="s">
        <v>390</v>
      </c>
      <c r="AO667" s="10"/>
      <c r="AP667" s="10"/>
      <c r="AQ667" s="10"/>
      <c r="AR667" s="2">
        <v>45521</v>
      </c>
      <c r="AS667" s="10">
        <v>3000</v>
      </c>
      <c r="AT667" s="10" t="s">
        <v>293</v>
      </c>
      <c r="AU667" s="10" t="s">
        <v>4205</v>
      </c>
      <c r="AV667" s="36" t="s">
        <v>4256</v>
      </c>
      <c r="AW667" s="1">
        <v>46211</v>
      </c>
    </row>
    <row r="668" spans="1:49" x14ac:dyDescent="0.25">
      <c r="A668" s="9" t="s">
        <v>3881</v>
      </c>
      <c r="B668" s="10" t="s">
        <v>3946</v>
      </c>
      <c r="C668" s="10">
        <v>0</v>
      </c>
      <c r="D668" s="10" t="s">
        <v>91</v>
      </c>
      <c r="E668" s="10"/>
      <c r="F668" s="10"/>
      <c r="G668" s="10"/>
      <c r="H668" s="10" t="s">
        <v>84</v>
      </c>
      <c r="I668" s="10">
        <v>20</v>
      </c>
      <c r="J668" s="10" t="s">
        <v>4011</v>
      </c>
      <c r="K668" s="10" t="s">
        <v>42</v>
      </c>
      <c r="L668" s="10">
        <f>Table1[[#This Row],[ENR]]-Table1[[#This Row],[CREDIT]]</f>
        <v>4803.6299999999974</v>
      </c>
      <c r="M668" s="36">
        <v>50000</v>
      </c>
      <c r="N668" s="26">
        <v>54803.63</v>
      </c>
      <c r="O668" s="38" t="s">
        <v>43</v>
      </c>
      <c r="P668" s="25">
        <v>54803.63</v>
      </c>
      <c r="Q668" s="25">
        <v>49783.8</v>
      </c>
      <c r="R668" s="10">
        <v>15720</v>
      </c>
      <c r="S668" s="39">
        <v>9720</v>
      </c>
      <c r="T668" s="10" t="s">
        <v>57</v>
      </c>
      <c r="U668" s="10" t="s">
        <v>14</v>
      </c>
      <c r="V668" s="10">
        <v>10000</v>
      </c>
      <c r="W668" s="25">
        <f>Table1[[#This Row],[STAB]]-Table1[[#This Row],[AMOUNT]]</f>
        <v>-280</v>
      </c>
      <c r="X668" s="10" t="s">
        <v>6364</v>
      </c>
      <c r="Y668" s="10" t="s">
        <v>402</v>
      </c>
      <c r="Z668" s="10" t="s">
        <v>1967</v>
      </c>
      <c r="AA668" s="10" t="s">
        <v>113</v>
      </c>
      <c r="AB668" s="36" t="s">
        <v>133</v>
      </c>
      <c r="AC668" s="10"/>
      <c r="AD668" s="9" t="s">
        <v>4076</v>
      </c>
      <c r="AE668" s="10" t="s">
        <v>4141</v>
      </c>
      <c r="AF668" s="10" t="s">
        <v>146</v>
      </c>
      <c r="AG668" s="10" t="s">
        <v>54</v>
      </c>
      <c r="AH668" s="10" t="s">
        <v>4529</v>
      </c>
      <c r="AI668" s="10" t="s">
        <v>365</v>
      </c>
      <c r="AJ668" s="10">
        <v>802824019</v>
      </c>
      <c r="AK668" s="10" t="s">
        <v>360</v>
      </c>
      <c r="AL668" s="10"/>
      <c r="AM668" s="10"/>
      <c r="AN668" s="11" t="s">
        <v>390</v>
      </c>
      <c r="AO668" s="10"/>
      <c r="AP668" s="10"/>
      <c r="AQ668" s="10"/>
      <c r="AR668" s="2">
        <v>45973</v>
      </c>
      <c r="AS668" s="10">
        <v>6000</v>
      </c>
      <c r="AT668" s="10" t="s">
        <v>291</v>
      </c>
      <c r="AU668" s="10" t="s">
        <v>4205</v>
      </c>
      <c r="AV668" s="36" t="s">
        <v>4206</v>
      </c>
      <c r="AW668" s="1">
        <v>46211</v>
      </c>
    </row>
    <row r="669" spans="1:49" x14ac:dyDescent="0.25">
      <c r="A669" s="9" t="s">
        <v>3902</v>
      </c>
      <c r="B669" s="10" t="s">
        <v>3967</v>
      </c>
      <c r="C669" s="10">
        <v>0</v>
      </c>
      <c r="D669" s="10" t="s">
        <v>91</v>
      </c>
      <c r="E669" s="10"/>
      <c r="F669" s="10"/>
      <c r="G669" s="10" t="s">
        <v>4956</v>
      </c>
      <c r="H669" s="10" t="s">
        <v>52</v>
      </c>
      <c r="I669" s="10">
        <v>20</v>
      </c>
      <c r="J669" s="10" t="s">
        <v>4032</v>
      </c>
      <c r="K669" s="10" t="s">
        <v>42</v>
      </c>
      <c r="L669" s="10">
        <f>Table1[[#This Row],[ENR]]-Table1[[#This Row],[CREDIT]]</f>
        <v>4524.2300000000032</v>
      </c>
      <c r="M669" s="36">
        <v>50000</v>
      </c>
      <c r="N669" s="26">
        <v>54524.23</v>
      </c>
      <c r="O669" s="38" t="s">
        <v>43</v>
      </c>
      <c r="P669" s="25">
        <v>54524.23</v>
      </c>
      <c r="Q669" s="25">
        <v>49744</v>
      </c>
      <c r="R669" s="10">
        <v>13920</v>
      </c>
      <c r="S669" s="39">
        <v>2470</v>
      </c>
      <c r="T669" s="10" t="s">
        <v>57</v>
      </c>
      <c r="U669" s="10" t="s">
        <v>14</v>
      </c>
      <c r="V669" s="10">
        <v>2500</v>
      </c>
      <c r="W669" s="25">
        <f>Table1[[#This Row],[STAB]]-Table1[[#This Row],[AMOUNT]]</f>
        <v>-30</v>
      </c>
      <c r="X669" s="10" t="s">
        <v>6399</v>
      </c>
      <c r="Y669" s="10" t="s">
        <v>402</v>
      </c>
      <c r="Z669" s="10">
        <v>0</v>
      </c>
      <c r="AA669" s="10" t="s">
        <v>113</v>
      </c>
      <c r="AB669" s="36" t="s">
        <v>375</v>
      </c>
      <c r="AC669" s="10"/>
      <c r="AD669" s="9" t="s">
        <v>4097</v>
      </c>
      <c r="AE669" s="10" t="s">
        <v>4162</v>
      </c>
      <c r="AF669" s="10" t="s">
        <v>383</v>
      </c>
      <c r="AG669" s="10" t="s">
        <v>53</v>
      </c>
      <c r="AH669" s="10" t="s">
        <v>55</v>
      </c>
      <c r="AI669" s="10" t="s">
        <v>365</v>
      </c>
      <c r="AJ669" s="10">
        <v>802824019</v>
      </c>
      <c r="AK669" s="10" t="s">
        <v>360</v>
      </c>
      <c r="AL669" s="10"/>
      <c r="AM669" s="10"/>
      <c r="AN669" s="11" t="s">
        <v>390</v>
      </c>
      <c r="AO669" s="10" t="s">
        <v>392</v>
      </c>
      <c r="AP669" s="10" t="s">
        <v>958</v>
      </c>
      <c r="AQ669" s="10" t="s">
        <v>4923</v>
      </c>
      <c r="AR669" s="2" t="s">
        <v>43</v>
      </c>
      <c r="AS669" s="10">
        <v>0</v>
      </c>
      <c r="AT669" s="10" t="s">
        <v>291</v>
      </c>
      <c r="AU669" s="10" t="s">
        <v>4205</v>
      </c>
      <c r="AV669" s="36" t="s">
        <v>4227</v>
      </c>
      <c r="AW669" s="1">
        <v>46211</v>
      </c>
    </row>
    <row r="670" spans="1:49" x14ac:dyDescent="0.25">
      <c r="A670" s="9" t="s">
        <v>3927</v>
      </c>
      <c r="B670" s="10" t="s">
        <v>3992</v>
      </c>
      <c r="C670" s="10">
        <v>0</v>
      </c>
      <c r="D670" s="10" t="s">
        <v>91</v>
      </c>
      <c r="E670" s="10"/>
      <c r="F670" s="10"/>
      <c r="G670" s="10"/>
      <c r="H670" s="10" t="s">
        <v>52</v>
      </c>
      <c r="I670" s="10">
        <v>20</v>
      </c>
      <c r="J670" s="10" t="s">
        <v>4057</v>
      </c>
      <c r="K670" s="10" t="s">
        <v>42</v>
      </c>
      <c r="L670" s="10">
        <f>Table1[[#This Row],[ENR]]-Table1[[#This Row],[CREDIT]]</f>
        <v>-2720.3199999999997</v>
      </c>
      <c r="M670" s="36">
        <v>57000</v>
      </c>
      <c r="N670" s="26">
        <v>54279.68</v>
      </c>
      <c r="O670" s="38" t="s">
        <v>43</v>
      </c>
      <c r="P670" s="25">
        <v>54279.68</v>
      </c>
      <c r="Q670" s="25">
        <v>45197.65</v>
      </c>
      <c r="R670" s="10">
        <v>14010</v>
      </c>
      <c r="S670" s="39">
        <v>6629.99</v>
      </c>
      <c r="T670" s="10" t="s">
        <v>57</v>
      </c>
      <c r="U670" s="10" t="s">
        <v>13</v>
      </c>
      <c r="V670" s="10">
        <v>14010</v>
      </c>
      <c r="W670" s="25">
        <f>Table1[[#This Row],[STAB]]-Table1[[#This Row],[AMOUNT]]</f>
        <v>-7380.01</v>
      </c>
      <c r="X670" s="10" t="s">
        <v>4936</v>
      </c>
      <c r="Y670" s="10" t="s">
        <v>402</v>
      </c>
      <c r="Z670" s="10" t="s">
        <v>403</v>
      </c>
      <c r="AA670" s="10" t="s">
        <v>113</v>
      </c>
      <c r="AB670" s="36" t="s">
        <v>374</v>
      </c>
      <c r="AC670" s="10"/>
      <c r="AD670" s="9" t="s">
        <v>4122</v>
      </c>
      <c r="AE670" s="10" t="s">
        <v>4186</v>
      </c>
      <c r="AF670" s="10" t="s">
        <v>278</v>
      </c>
      <c r="AG670" s="10" t="s">
        <v>54</v>
      </c>
      <c r="AH670" s="10" t="s">
        <v>358</v>
      </c>
      <c r="AI670" s="10" t="s">
        <v>365</v>
      </c>
      <c r="AJ670" s="10">
        <v>802824019</v>
      </c>
      <c r="AK670" s="10" t="s">
        <v>360</v>
      </c>
      <c r="AL670" s="10"/>
      <c r="AM670" s="10"/>
      <c r="AN670" s="11" t="s">
        <v>390</v>
      </c>
      <c r="AO670" s="10"/>
      <c r="AP670" s="10"/>
      <c r="AQ670" s="10"/>
      <c r="AR670" s="2">
        <v>46174</v>
      </c>
      <c r="AS670" s="10">
        <v>2000.01</v>
      </c>
      <c r="AT670" s="10" t="s">
        <v>157</v>
      </c>
      <c r="AU670" s="10" t="s">
        <v>4205</v>
      </c>
      <c r="AV670" s="36" t="s">
        <v>4252</v>
      </c>
      <c r="AW670" s="1">
        <v>46211</v>
      </c>
    </row>
    <row r="671" spans="1:49" x14ac:dyDescent="0.25">
      <c r="A671" s="9" t="s">
        <v>3925</v>
      </c>
      <c r="B671" s="10" t="s">
        <v>3990</v>
      </c>
      <c r="C671" s="10">
        <v>0</v>
      </c>
      <c r="D671" s="10" t="s">
        <v>91</v>
      </c>
      <c r="E671" s="10"/>
      <c r="F671" s="10"/>
      <c r="G671" s="10"/>
      <c r="H671" s="10" t="s">
        <v>52</v>
      </c>
      <c r="I671" s="10">
        <v>20</v>
      </c>
      <c r="J671" s="10" t="s">
        <v>4055</v>
      </c>
      <c r="K671" s="10" t="s">
        <v>42</v>
      </c>
      <c r="L671" s="10">
        <f>Table1[[#This Row],[ENR]]-Table1[[#This Row],[CREDIT]]</f>
        <v>4255.9700000000012</v>
      </c>
      <c r="M671" s="36">
        <v>50000</v>
      </c>
      <c r="N671" s="26">
        <v>54255.97</v>
      </c>
      <c r="O671" s="38" t="s">
        <v>43</v>
      </c>
      <c r="P671" s="25">
        <v>54255.97</v>
      </c>
      <c r="Q671" s="25">
        <v>47716.63</v>
      </c>
      <c r="R671" s="10">
        <v>13430</v>
      </c>
      <c r="S671" s="39">
        <v>2480</v>
      </c>
      <c r="T671" s="10" t="s">
        <v>44</v>
      </c>
      <c r="U671" s="10" t="s">
        <v>45</v>
      </c>
      <c r="V671" s="10">
        <v>0</v>
      </c>
      <c r="W671" s="25">
        <f>Table1[[#This Row],[STAB]]-Table1[[#This Row],[AMOUNT]]</f>
        <v>2480</v>
      </c>
      <c r="X671" s="10">
        <v>0</v>
      </c>
      <c r="Y671" s="10" t="s">
        <v>79</v>
      </c>
      <c r="Z671" s="10">
        <v>0</v>
      </c>
      <c r="AA671" s="10" t="s">
        <v>113</v>
      </c>
      <c r="AB671" s="10" t="s">
        <v>376</v>
      </c>
      <c r="AC671" s="10"/>
      <c r="AD671" s="9" t="s">
        <v>4120</v>
      </c>
      <c r="AE671" s="10" t="s">
        <v>4184</v>
      </c>
      <c r="AF671" s="10" t="s">
        <v>1739</v>
      </c>
      <c r="AG671" s="10" t="s">
        <v>53</v>
      </c>
      <c r="AH671" s="10" t="s">
        <v>1364</v>
      </c>
      <c r="AI671" s="10" t="s">
        <v>1405</v>
      </c>
      <c r="AJ671" s="10">
        <v>802175739</v>
      </c>
      <c r="AK671" s="10" t="s">
        <v>104</v>
      </c>
      <c r="AL671" s="10"/>
      <c r="AM671" s="10"/>
      <c r="AN671" s="11" t="s">
        <v>46</v>
      </c>
      <c r="AO671" s="10"/>
      <c r="AP671" s="10"/>
      <c r="AQ671" s="10"/>
      <c r="AR671" s="2">
        <v>45931</v>
      </c>
      <c r="AS671" s="10">
        <v>15632</v>
      </c>
      <c r="AT671" s="10" t="s">
        <v>293</v>
      </c>
      <c r="AU671" s="10" t="s">
        <v>4205</v>
      </c>
      <c r="AV671" s="36" t="s">
        <v>4250</v>
      </c>
      <c r="AW671" s="1">
        <v>46211</v>
      </c>
    </row>
    <row r="672" spans="1:49" x14ac:dyDescent="0.25">
      <c r="A672" s="9" t="s">
        <v>3908</v>
      </c>
      <c r="B672" s="10" t="s">
        <v>3973</v>
      </c>
      <c r="C672" s="10">
        <v>0</v>
      </c>
      <c r="D672" s="10" t="s">
        <v>91</v>
      </c>
      <c r="E672" s="10"/>
      <c r="F672" s="10"/>
      <c r="G672" s="10"/>
      <c r="H672" s="10" t="s">
        <v>52</v>
      </c>
      <c r="I672" s="10">
        <v>20</v>
      </c>
      <c r="J672" s="10" t="s">
        <v>4038</v>
      </c>
      <c r="K672" s="10" t="s">
        <v>42</v>
      </c>
      <c r="L672" s="10">
        <f>Table1[[#This Row],[ENR]]-Table1[[#This Row],[CREDIT]]</f>
        <v>3957.2699999999968</v>
      </c>
      <c r="M672" s="36">
        <v>50000</v>
      </c>
      <c r="N672" s="26">
        <v>53957.27</v>
      </c>
      <c r="O672" s="38" t="s">
        <v>43</v>
      </c>
      <c r="P672" s="25">
        <v>53957.27</v>
      </c>
      <c r="Q672" s="25">
        <v>48566.400000000001</v>
      </c>
      <c r="R672" s="10">
        <v>13900</v>
      </c>
      <c r="S672" s="39">
        <v>2910</v>
      </c>
      <c r="T672" s="10" t="s">
        <v>44</v>
      </c>
      <c r="U672" s="10" t="s">
        <v>45</v>
      </c>
      <c r="V672" s="10">
        <v>0</v>
      </c>
      <c r="W672" s="25">
        <f>Table1[[#This Row],[STAB]]-Table1[[#This Row],[AMOUNT]]</f>
        <v>2910</v>
      </c>
      <c r="X672" s="10">
        <v>0</v>
      </c>
      <c r="Y672" s="10" t="s">
        <v>79</v>
      </c>
      <c r="Z672" s="10">
        <v>0</v>
      </c>
      <c r="AA672" s="10" t="s">
        <v>113</v>
      </c>
      <c r="AB672" s="36" t="s">
        <v>376</v>
      </c>
      <c r="AC672" s="10"/>
      <c r="AD672" s="9" t="s">
        <v>4103</v>
      </c>
      <c r="AE672" s="10" t="s">
        <v>826</v>
      </c>
      <c r="AF672" s="10" t="s">
        <v>85</v>
      </c>
      <c r="AG672" s="10" t="s">
        <v>54</v>
      </c>
      <c r="AH672" s="10" t="s">
        <v>89</v>
      </c>
      <c r="AI672" s="10" t="s">
        <v>106</v>
      </c>
      <c r="AJ672" s="10">
        <v>802370852</v>
      </c>
      <c r="AK672" s="10" t="s">
        <v>105</v>
      </c>
      <c r="AL672" s="10"/>
      <c r="AM672" s="10"/>
      <c r="AN672" s="11" t="s">
        <v>46</v>
      </c>
      <c r="AO672" s="10"/>
      <c r="AP672" s="10"/>
      <c r="AQ672" s="10"/>
      <c r="AR672" s="2" t="s">
        <v>43</v>
      </c>
      <c r="AS672" s="10">
        <v>0</v>
      </c>
      <c r="AT672" s="10" t="s">
        <v>293</v>
      </c>
      <c r="AU672" s="10" t="s">
        <v>4205</v>
      </c>
      <c r="AV672" s="36" t="s">
        <v>4233</v>
      </c>
      <c r="AW672" s="1">
        <v>46211</v>
      </c>
    </row>
    <row r="673" spans="1:49" x14ac:dyDescent="0.25">
      <c r="A673" s="9" t="s">
        <v>3888</v>
      </c>
      <c r="B673" s="10" t="s">
        <v>3953</v>
      </c>
      <c r="C673" s="10">
        <v>0</v>
      </c>
      <c r="D673" s="10" t="s">
        <v>91</v>
      </c>
      <c r="E673" s="10"/>
      <c r="F673" s="10"/>
      <c r="G673" s="10"/>
      <c r="H673" s="10" t="s">
        <v>52</v>
      </c>
      <c r="I673" s="10">
        <v>20</v>
      </c>
      <c r="J673" s="10" t="s">
        <v>4018</v>
      </c>
      <c r="K673" s="10" t="s">
        <v>42</v>
      </c>
      <c r="L673" s="10">
        <f>Table1[[#This Row],[ENR]]-Table1[[#This Row],[CREDIT]]</f>
        <v>3933.6100000000006</v>
      </c>
      <c r="M673" s="36">
        <v>50000</v>
      </c>
      <c r="N673" s="26">
        <v>53933.61</v>
      </c>
      <c r="O673" s="38">
        <v>428.64</v>
      </c>
      <c r="P673" s="25">
        <v>53504.97</v>
      </c>
      <c r="Q673" s="25">
        <v>46439.24</v>
      </c>
      <c r="R673" s="10">
        <v>14140</v>
      </c>
      <c r="S673" s="39">
        <v>3650</v>
      </c>
      <c r="T673" s="10" t="s">
        <v>44</v>
      </c>
      <c r="U673" s="10" t="s">
        <v>45</v>
      </c>
      <c r="V673" s="10">
        <v>0</v>
      </c>
      <c r="W673" s="25">
        <f>Table1[[#This Row],[STAB]]-Table1[[#This Row],[AMOUNT]]</f>
        <v>3650</v>
      </c>
      <c r="X673" s="10">
        <v>0</v>
      </c>
      <c r="Y673" s="10" t="s">
        <v>79</v>
      </c>
      <c r="Z673" s="10">
        <v>0</v>
      </c>
      <c r="AA673" s="10" t="s">
        <v>113</v>
      </c>
      <c r="AB673" s="36" t="s">
        <v>375</v>
      </c>
      <c r="AC673" s="10"/>
      <c r="AD673" s="9" t="s">
        <v>4083</v>
      </c>
      <c r="AE673" s="10" t="s">
        <v>4148</v>
      </c>
      <c r="AF673" s="10" t="s">
        <v>2618</v>
      </c>
      <c r="AG673" s="10" t="s">
        <v>324</v>
      </c>
      <c r="AH673" s="10" t="s">
        <v>3588</v>
      </c>
      <c r="AI673" s="10" t="s">
        <v>367</v>
      </c>
      <c r="AJ673" s="10">
        <v>801436997</v>
      </c>
      <c r="AK673" s="10" t="s">
        <v>104</v>
      </c>
      <c r="AL673" s="10"/>
      <c r="AM673" s="10"/>
      <c r="AN673" s="11" t="s">
        <v>46</v>
      </c>
      <c r="AO673" s="10"/>
      <c r="AP673" s="10"/>
      <c r="AQ673" s="10"/>
      <c r="AR673" s="2">
        <v>45646</v>
      </c>
      <c r="AS673" s="10">
        <v>4.01</v>
      </c>
      <c r="AT673" s="10" t="s">
        <v>291</v>
      </c>
      <c r="AU673" s="10" t="s">
        <v>4205</v>
      </c>
      <c r="AV673" s="36" t="s">
        <v>4213</v>
      </c>
      <c r="AW673" s="1">
        <v>46211</v>
      </c>
    </row>
    <row r="674" spans="1:49" x14ac:dyDescent="0.25">
      <c r="A674" s="9" t="s">
        <v>3935</v>
      </c>
      <c r="B674" s="10" t="s">
        <v>4000</v>
      </c>
      <c r="C674" s="10">
        <v>0</v>
      </c>
      <c r="D674" s="10" t="s">
        <v>91</v>
      </c>
      <c r="E674" s="10"/>
      <c r="F674" s="10"/>
      <c r="G674" s="10" t="s">
        <v>4956</v>
      </c>
      <c r="H674" s="10" t="s">
        <v>52</v>
      </c>
      <c r="I674" s="10">
        <v>20</v>
      </c>
      <c r="J674" s="10" t="s">
        <v>4065</v>
      </c>
      <c r="K674" s="10" t="s">
        <v>42</v>
      </c>
      <c r="L674" s="10">
        <f>Table1[[#This Row],[ENR]]-Table1[[#This Row],[CREDIT]]</f>
        <v>3880.3099999999977</v>
      </c>
      <c r="M674" s="36">
        <v>50000</v>
      </c>
      <c r="N674" s="26">
        <v>53880.31</v>
      </c>
      <c r="O674" s="38" t="s">
        <v>43</v>
      </c>
      <c r="P674" s="25">
        <v>53880.31</v>
      </c>
      <c r="Q674" s="25">
        <v>50000</v>
      </c>
      <c r="R674" s="10">
        <v>13600</v>
      </c>
      <c r="S674" s="39">
        <v>5701.13</v>
      </c>
      <c r="T674" s="10" t="s">
        <v>44</v>
      </c>
      <c r="U674" s="10" t="s">
        <v>45</v>
      </c>
      <c r="V674" s="10">
        <v>0</v>
      </c>
      <c r="W674" s="25">
        <f>Table1[[#This Row],[STAB]]-Table1[[#This Row],[AMOUNT]]</f>
        <v>5701.13</v>
      </c>
      <c r="X674" s="10">
        <v>0</v>
      </c>
      <c r="Y674" s="10" t="s">
        <v>79</v>
      </c>
      <c r="Z674" s="10">
        <v>0</v>
      </c>
      <c r="AA674" s="10" t="s">
        <v>113</v>
      </c>
      <c r="AB674" s="10" t="s">
        <v>374</v>
      </c>
      <c r="AC674" s="10"/>
      <c r="AD674" s="9" t="s">
        <v>4130</v>
      </c>
      <c r="AE674" s="10" t="s">
        <v>4194</v>
      </c>
      <c r="AF674" s="10" t="s">
        <v>274</v>
      </c>
      <c r="AG674" s="10" t="s">
        <v>53</v>
      </c>
      <c r="AH674" s="10" t="s">
        <v>55</v>
      </c>
      <c r="AI674" s="10" t="s">
        <v>365</v>
      </c>
      <c r="AJ674" s="10">
        <v>802824019</v>
      </c>
      <c r="AK674" s="10" t="s">
        <v>360</v>
      </c>
      <c r="AL674" s="10"/>
      <c r="AM674" s="10"/>
      <c r="AN674" s="11" t="s">
        <v>46</v>
      </c>
      <c r="AO674" s="10"/>
      <c r="AP674" s="10"/>
      <c r="AQ674" s="10"/>
      <c r="AR674" s="2">
        <v>46094</v>
      </c>
      <c r="AS674" s="10">
        <v>39473</v>
      </c>
      <c r="AT674" s="10" t="s">
        <v>96</v>
      </c>
      <c r="AU674" s="10" t="s">
        <v>4205</v>
      </c>
      <c r="AV674" s="36" t="s">
        <v>4260</v>
      </c>
      <c r="AW674" s="1">
        <v>46211</v>
      </c>
    </row>
    <row r="675" spans="1:49" x14ac:dyDescent="0.25">
      <c r="A675" s="9" t="s">
        <v>3903</v>
      </c>
      <c r="B675" s="10" t="s">
        <v>3968</v>
      </c>
      <c r="C675" s="10">
        <v>0</v>
      </c>
      <c r="D675" s="10" t="s">
        <v>91</v>
      </c>
      <c r="E675" s="10"/>
      <c r="F675" s="10"/>
      <c r="G675" s="10"/>
      <c r="H675" s="10" t="s">
        <v>52</v>
      </c>
      <c r="I675" s="10">
        <v>20</v>
      </c>
      <c r="J675" s="10" t="s">
        <v>4033</v>
      </c>
      <c r="K675" s="10" t="s">
        <v>42</v>
      </c>
      <c r="L675" s="10">
        <f>Table1[[#This Row],[ENR]]-Table1[[#This Row],[CREDIT]]</f>
        <v>3624.6100000000006</v>
      </c>
      <c r="M675" s="36">
        <v>50000</v>
      </c>
      <c r="N675" s="26">
        <v>53624.61</v>
      </c>
      <c r="O675" s="38">
        <v>25275.34</v>
      </c>
      <c r="P675" s="25">
        <v>28349.27</v>
      </c>
      <c r="Q675" s="25">
        <v>24242.57</v>
      </c>
      <c r="R675" s="10">
        <v>12020</v>
      </c>
      <c r="S675" s="39">
        <v>6170</v>
      </c>
      <c r="T675" s="10" t="s">
        <v>57</v>
      </c>
      <c r="U675" s="10" t="s">
        <v>13</v>
      </c>
      <c r="V675" s="10">
        <v>12020</v>
      </c>
      <c r="W675" s="25">
        <f>Table1[[#This Row],[STAB]]-Table1[[#This Row],[AMOUNT]]</f>
        <v>-5850</v>
      </c>
      <c r="X675" s="10">
        <v>0</v>
      </c>
      <c r="Y675" s="10" t="s">
        <v>388</v>
      </c>
      <c r="Z675" s="10" t="s">
        <v>963</v>
      </c>
      <c r="AA675" s="10" t="s">
        <v>113</v>
      </c>
      <c r="AB675" s="10" t="s">
        <v>133</v>
      </c>
      <c r="AC675" s="10"/>
      <c r="AD675" s="9" t="s">
        <v>4098</v>
      </c>
      <c r="AE675" s="10" t="s">
        <v>4163</v>
      </c>
      <c r="AF675" s="10" t="s">
        <v>685</v>
      </c>
      <c r="AG675" s="10" t="s">
        <v>54</v>
      </c>
      <c r="AH675" s="10" t="s">
        <v>1398</v>
      </c>
      <c r="AI675" s="10" t="s">
        <v>162</v>
      </c>
      <c r="AJ675" s="10">
        <v>801772794</v>
      </c>
      <c r="AK675" s="10" t="s">
        <v>361</v>
      </c>
      <c r="AL675" s="10"/>
      <c r="AM675" s="10"/>
      <c r="AN675" s="11" t="s">
        <v>390</v>
      </c>
      <c r="AO675" s="10"/>
      <c r="AP675" s="10"/>
      <c r="AQ675" s="10"/>
      <c r="AR675" s="2">
        <v>46164</v>
      </c>
      <c r="AS675" s="10">
        <v>3320</v>
      </c>
      <c r="AT675" s="10" t="s">
        <v>293</v>
      </c>
      <c r="AU675" s="10" t="s">
        <v>4205</v>
      </c>
      <c r="AV675" s="36" t="s">
        <v>4228</v>
      </c>
      <c r="AW675" s="1">
        <v>46211</v>
      </c>
    </row>
    <row r="676" spans="1:49" x14ac:dyDescent="0.25">
      <c r="A676" s="9" t="s">
        <v>3932</v>
      </c>
      <c r="B676" s="10" t="s">
        <v>3997</v>
      </c>
      <c r="C676" s="10">
        <v>0</v>
      </c>
      <c r="D676" s="10" t="s">
        <v>91</v>
      </c>
      <c r="E676" s="10"/>
      <c r="F676" s="10"/>
      <c r="G676" s="10"/>
      <c r="H676" s="10" t="s">
        <v>52</v>
      </c>
      <c r="I676" s="10">
        <v>20</v>
      </c>
      <c r="J676" s="10" t="s">
        <v>4062</v>
      </c>
      <c r="K676" s="10" t="s">
        <v>42</v>
      </c>
      <c r="L676" s="10">
        <f>Table1[[#This Row],[ENR]]-Table1[[#This Row],[CREDIT]]</f>
        <v>1586.5500000000029</v>
      </c>
      <c r="M676" s="36">
        <v>50000</v>
      </c>
      <c r="N676" s="26">
        <v>51586.55</v>
      </c>
      <c r="O676" s="38" t="s">
        <v>43</v>
      </c>
      <c r="P676" s="25">
        <v>51586.55</v>
      </c>
      <c r="Q676" s="25">
        <v>46824.51</v>
      </c>
      <c r="R676" s="10">
        <v>16350</v>
      </c>
      <c r="S676" s="39">
        <v>9370</v>
      </c>
      <c r="T676" s="10" t="s">
        <v>44</v>
      </c>
      <c r="U676" s="10" t="s">
        <v>45</v>
      </c>
      <c r="V676" s="10">
        <v>1219</v>
      </c>
      <c r="W676" s="25">
        <f>Table1[[#This Row],[STAB]]-Table1[[#This Row],[AMOUNT]]</f>
        <v>8151</v>
      </c>
      <c r="X676" s="10">
        <v>0</v>
      </c>
      <c r="Y676" s="10" t="s">
        <v>79</v>
      </c>
      <c r="Z676" s="10" t="s">
        <v>963</v>
      </c>
      <c r="AA676" s="10" t="s">
        <v>113</v>
      </c>
      <c r="AB676" s="36" t="s">
        <v>375</v>
      </c>
      <c r="AC676" s="10"/>
      <c r="AD676" s="9" t="s">
        <v>4127</v>
      </c>
      <c r="AE676" s="10" t="s">
        <v>4191</v>
      </c>
      <c r="AF676" s="10" t="s">
        <v>2918</v>
      </c>
      <c r="AG676" s="10" t="s">
        <v>53</v>
      </c>
      <c r="AH676" s="10" t="s">
        <v>116</v>
      </c>
      <c r="AI676" s="10" t="s">
        <v>2961</v>
      </c>
      <c r="AJ676" s="10">
        <v>845041675</v>
      </c>
      <c r="AK676" s="10" t="s">
        <v>104</v>
      </c>
      <c r="AL676" s="10"/>
      <c r="AM676" s="10"/>
      <c r="AN676" s="11" t="s">
        <v>46</v>
      </c>
      <c r="AO676" s="10"/>
      <c r="AP676" s="10"/>
      <c r="AQ676" s="10"/>
      <c r="AR676" s="2">
        <v>46180</v>
      </c>
      <c r="AS676" s="10">
        <v>6040</v>
      </c>
      <c r="AT676" s="10" t="s">
        <v>293</v>
      </c>
      <c r="AU676" s="10" t="s">
        <v>4205</v>
      </c>
      <c r="AV676" s="36" t="s">
        <v>4257</v>
      </c>
      <c r="AW676" s="1">
        <v>46211</v>
      </c>
    </row>
    <row r="677" spans="1:49" x14ac:dyDescent="0.25">
      <c r="A677" s="9" t="s">
        <v>3933</v>
      </c>
      <c r="B677" s="10" t="s">
        <v>3998</v>
      </c>
      <c r="C677" s="10">
        <v>0</v>
      </c>
      <c r="D677" s="10" t="s">
        <v>91</v>
      </c>
      <c r="E677" s="10"/>
      <c r="F677" s="10"/>
      <c r="G677" s="10"/>
      <c r="H677" s="10" t="s">
        <v>52</v>
      </c>
      <c r="I677" s="10">
        <v>20</v>
      </c>
      <c r="J677" s="10" t="s">
        <v>4063</v>
      </c>
      <c r="K677" s="10" t="s">
        <v>42</v>
      </c>
      <c r="L677" s="10">
        <f>Table1[[#This Row],[ENR]]-Table1[[#This Row],[CREDIT]]</f>
        <v>1363.7799999999988</v>
      </c>
      <c r="M677" s="36">
        <v>50000</v>
      </c>
      <c r="N677" s="26">
        <v>51363.78</v>
      </c>
      <c r="O677" s="38" t="s">
        <v>43</v>
      </c>
      <c r="P677" s="25">
        <v>51363.78</v>
      </c>
      <c r="Q677" s="25">
        <v>47829.3</v>
      </c>
      <c r="R677" s="10">
        <v>12990</v>
      </c>
      <c r="S677" s="39">
        <v>7961.74</v>
      </c>
      <c r="T677" s="10" t="s">
        <v>44</v>
      </c>
      <c r="U677" s="10" t="s">
        <v>45</v>
      </c>
      <c r="V677" s="10">
        <v>0</v>
      </c>
      <c r="W677" s="25">
        <f>Table1[[#This Row],[STAB]]-Table1[[#This Row],[AMOUNT]]</f>
        <v>7961.74</v>
      </c>
      <c r="X677" s="10">
        <v>0</v>
      </c>
      <c r="Y677" s="10" t="s">
        <v>79</v>
      </c>
      <c r="Z677" s="10">
        <v>0</v>
      </c>
      <c r="AA677" s="10" t="s">
        <v>113</v>
      </c>
      <c r="AB677" s="36" t="s">
        <v>131</v>
      </c>
      <c r="AC677" s="10"/>
      <c r="AD677" s="9" t="s">
        <v>4128</v>
      </c>
      <c r="AE677" s="10" t="s">
        <v>4192</v>
      </c>
      <c r="AF677" s="10" t="s">
        <v>283</v>
      </c>
      <c r="AG677" s="10" t="s">
        <v>53</v>
      </c>
      <c r="AH677" s="10" t="s">
        <v>5582</v>
      </c>
      <c r="AI677" s="10" t="s">
        <v>2962</v>
      </c>
      <c r="AJ677" s="10">
        <v>801601134</v>
      </c>
      <c r="AK677" s="10" t="s">
        <v>104</v>
      </c>
      <c r="AL677" s="10"/>
      <c r="AM677" s="10"/>
      <c r="AN677" s="11" t="s">
        <v>46</v>
      </c>
      <c r="AO677" s="10"/>
      <c r="AP677" s="10"/>
      <c r="AQ677" s="10"/>
      <c r="AR677" s="2">
        <v>46175</v>
      </c>
      <c r="AS677" s="10">
        <v>8148.26</v>
      </c>
      <c r="AT677" s="10" t="s">
        <v>293</v>
      </c>
      <c r="AU677" s="10" t="s">
        <v>4205</v>
      </c>
      <c r="AV677" s="36" t="s">
        <v>4258</v>
      </c>
      <c r="AW677" s="1">
        <v>46211</v>
      </c>
    </row>
    <row r="678" spans="1:49" x14ac:dyDescent="0.25">
      <c r="A678" s="9" t="s">
        <v>3945</v>
      </c>
      <c r="B678" s="10" t="s">
        <v>4010</v>
      </c>
      <c r="C678" s="10">
        <v>0</v>
      </c>
      <c r="D678" s="10" t="s">
        <v>91</v>
      </c>
      <c r="E678" s="10"/>
      <c r="F678" s="10"/>
      <c r="G678" s="10"/>
      <c r="H678" s="10" t="s">
        <v>52</v>
      </c>
      <c r="I678" s="10">
        <v>20</v>
      </c>
      <c r="J678" s="10" t="s">
        <v>4075</v>
      </c>
      <c r="K678" s="10" t="s">
        <v>42</v>
      </c>
      <c r="L678" s="10">
        <f>Table1[[#This Row],[ENR]]-Table1[[#This Row],[CREDIT]]</f>
        <v>1071.9199999999983</v>
      </c>
      <c r="M678" s="36">
        <v>50000</v>
      </c>
      <c r="N678" s="26">
        <v>51071.92</v>
      </c>
      <c r="O678" s="38">
        <v>26387.360000000001</v>
      </c>
      <c r="P678" s="25">
        <v>24684.560000000001</v>
      </c>
      <c r="Q678" s="25">
        <v>21801.95</v>
      </c>
      <c r="R678" s="10">
        <v>11340</v>
      </c>
      <c r="S678" s="39">
        <v>6400</v>
      </c>
      <c r="T678" s="10" t="s">
        <v>57</v>
      </c>
      <c r="U678" s="10" t="s">
        <v>13</v>
      </c>
      <c r="V678" s="10">
        <v>11340</v>
      </c>
      <c r="W678" s="25">
        <f>Table1[[#This Row],[STAB]]-Table1[[#This Row],[AMOUNT]]</f>
        <v>-4940</v>
      </c>
      <c r="X678" s="10" t="s">
        <v>4931</v>
      </c>
      <c r="Y678" s="10" t="s">
        <v>402</v>
      </c>
      <c r="Z678" s="10" t="s">
        <v>403</v>
      </c>
      <c r="AA678" s="10" t="s">
        <v>113</v>
      </c>
      <c r="AB678" s="36" t="s">
        <v>131</v>
      </c>
      <c r="AC678" s="10"/>
      <c r="AD678" s="9" t="s">
        <v>4140</v>
      </c>
      <c r="AE678" s="10" t="s">
        <v>4204</v>
      </c>
      <c r="AF678" s="10" t="s">
        <v>272</v>
      </c>
      <c r="AG678" s="10" t="s">
        <v>54</v>
      </c>
      <c r="AH678" s="10" t="s">
        <v>58</v>
      </c>
      <c r="AI678" s="10" t="s">
        <v>133</v>
      </c>
      <c r="AJ678" s="10">
        <v>802555024</v>
      </c>
      <c r="AK678" s="10" t="s">
        <v>362</v>
      </c>
      <c r="AL678" s="10"/>
      <c r="AM678" s="10"/>
      <c r="AN678" s="11" t="s">
        <v>390</v>
      </c>
      <c r="AO678" s="10"/>
      <c r="AP678" s="10"/>
      <c r="AQ678" s="10"/>
      <c r="AR678" s="2">
        <v>46129</v>
      </c>
      <c r="AS678" s="10">
        <v>2</v>
      </c>
      <c r="AT678" s="10" t="s">
        <v>1930</v>
      </c>
      <c r="AU678" s="10" t="s">
        <v>4205</v>
      </c>
      <c r="AV678" s="36" t="s">
        <v>4270</v>
      </c>
      <c r="AW678" s="1">
        <v>46211</v>
      </c>
    </row>
    <row r="679" spans="1:49" x14ac:dyDescent="0.25">
      <c r="A679" s="9" t="s">
        <v>3359</v>
      </c>
      <c r="B679" s="10" t="s">
        <v>3402</v>
      </c>
      <c r="C679" s="10">
        <v>0</v>
      </c>
      <c r="D679" s="10" t="s">
        <v>91</v>
      </c>
      <c r="E679" s="10"/>
      <c r="F679" s="10"/>
      <c r="G679" s="10" t="s">
        <v>4965</v>
      </c>
      <c r="H679" s="10" t="s">
        <v>52</v>
      </c>
      <c r="I679" s="10">
        <v>21</v>
      </c>
      <c r="J679" s="10" t="s">
        <v>3445</v>
      </c>
      <c r="K679" s="10" t="s">
        <v>42</v>
      </c>
      <c r="L679" s="10">
        <f>Table1[[#This Row],[ENR]]-Table1[[#This Row],[CREDIT]]</f>
        <v>41822.680000000051</v>
      </c>
      <c r="M679" s="36">
        <v>630000</v>
      </c>
      <c r="N679" s="26">
        <v>671822.68</v>
      </c>
      <c r="O679" s="38">
        <v>162250.91</v>
      </c>
      <c r="P679" s="25">
        <v>509571.77</v>
      </c>
      <c r="Q679" s="25">
        <v>457700.44</v>
      </c>
      <c r="R679" s="10">
        <v>135490</v>
      </c>
      <c r="S679" s="39">
        <v>63370</v>
      </c>
      <c r="T679" s="10" t="s">
        <v>57</v>
      </c>
      <c r="U679" s="10" t="s">
        <v>13</v>
      </c>
      <c r="V679" s="10">
        <v>364997</v>
      </c>
      <c r="W679" s="25">
        <f>Table1[[#This Row],[STAB]]-Table1[[#This Row],[AMOUNT]]</f>
        <v>-301627</v>
      </c>
      <c r="X679" s="10" t="s">
        <v>4923</v>
      </c>
      <c r="Y679" s="10" t="s">
        <v>402</v>
      </c>
      <c r="Z679" s="10" t="s">
        <v>403</v>
      </c>
      <c r="AA679" s="10" t="s">
        <v>162</v>
      </c>
      <c r="AB679" s="36" t="s">
        <v>733</v>
      </c>
      <c r="AC679" s="10"/>
      <c r="AD679" s="9" t="s">
        <v>3488</v>
      </c>
      <c r="AE679" s="10" t="s">
        <v>3531</v>
      </c>
      <c r="AF679" s="10" t="s">
        <v>934</v>
      </c>
      <c r="AG679" s="10" t="s">
        <v>53</v>
      </c>
      <c r="AH679" s="10" t="s">
        <v>55</v>
      </c>
      <c r="AI679" s="10" t="s">
        <v>365</v>
      </c>
      <c r="AJ679" s="10">
        <v>802824019</v>
      </c>
      <c r="AK679" s="10" t="s">
        <v>360</v>
      </c>
      <c r="AL679" s="10"/>
      <c r="AM679" s="10"/>
      <c r="AN679" s="11" t="s">
        <v>390</v>
      </c>
      <c r="AO679" s="10"/>
      <c r="AP679" s="10"/>
      <c r="AQ679" s="10"/>
      <c r="AR679" s="2">
        <v>45546</v>
      </c>
      <c r="AS679" s="10">
        <v>16164.49</v>
      </c>
      <c r="AT679" s="10" t="s">
        <v>289</v>
      </c>
      <c r="AU679" s="10" t="s">
        <v>3266</v>
      </c>
      <c r="AV679" s="36" t="s">
        <v>3574</v>
      </c>
      <c r="AW679" s="1">
        <v>46212</v>
      </c>
    </row>
    <row r="680" spans="1:49" x14ac:dyDescent="0.25">
      <c r="A680" s="9" t="s">
        <v>3369</v>
      </c>
      <c r="B680" s="10" t="s">
        <v>3412</v>
      </c>
      <c r="C680" s="10">
        <v>0</v>
      </c>
      <c r="D680" s="10" t="s">
        <v>91</v>
      </c>
      <c r="E680" s="10"/>
      <c r="F680" s="10"/>
      <c r="G680" s="10"/>
      <c r="H680" s="10" t="s">
        <v>52</v>
      </c>
      <c r="I680" s="10">
        <v>21</v>
      </c>
      <c r="J680" s="10" t="s">
        <v>3455</v>
      </c>
      <c r="K680" s="10" t="s">
        <v>42</v>
      </c>
      <c r="L680" s="10">
        <f>Table1[[#This Row],[ENR]]-Table1[[#This Row],[CREDIT]]</f>
        <v>36775.189999999944</v>
      </c>
      <c r="M680" s="36">
        <v>530000</v>
      </c>
      <c r="N680" s="26">
        <v>566775.18999999994</v>
      </c>
      <c r="O680" s="38" t="s">
        <v>43</v>
      </c>
      <c r="P680" s="25">
        <v>566775.18999999994</v>
      </c>
      <c r="Q680" s="25">
        <v>529979.94999999995</v>
      </c>
      <c r="R680" s="10">
        <v>127930</v>
      </c>
      <c r="S680" s="39">
        <v>31260</v>
      </c>
      <c r="T680" s="10" t="s">
        <v>44</v>
      </c>
      <c r="U680" s="10" t="s">
        <v>45</v>
      </c>
      <c r="V680" s="10">
        <v>0</v>
      </c>
      <c r="W680" s="25">
        <f>Table1[[#This Row],[STAB]]-Table1[[#This Row],[AMOUNT]]</f>
        <v>31260</v>
      </c>
      <c r="X680" s="10">
        <v>0</v>
      </c>
      <c r="Y680" s="10" t="s">
        <v>79</v>
      </c>
      <c r="Z680" s="10">
        <v>0</v>
      </c>
      <c r="AA680" s="10" t="s">
        <v>162</v>
      </c>
      <c r="AB680" s="10" t="s">
        <v>735</v>
      </c>
      <c r="AC680" s="10"/>
      <c r="AD680" s="9" t="s">
        <v>3498</v>
      </c>
      <c r="AE680" s="10" t="s">
        <v>3541</v>
      </c>
      <c r="AF680" s="10" t="s">
        <v>272</v>
      </c>
      <c r="AG680" s="10" t="s">
        <v>54</v>
      </c>
      <c r="AH680" s="10" t="s">
        <v>523</v>
      </c>
      <c r="AI680" s="10" t="s">
        <v>371</v>
      </c>
      <c r="AJ680" s="10">
        <v>802835406</v>
      </c>
      <c r="AK680" s="10" t="s">
        <v>362</v>
      </c>
      <c r="AL680" s="10"/>
      <c r="AM680" s="10"/>
      <c r="AN680" s="11" t="s">
        <v>390</v>
      </c>
      <c r="AO680" s="10" t="s">
        <v>392</v>
      </c>
      <c r="AP680" s="10" t="s">
        <v>4991</v>
      </c>
      <c r="AQ680" s="10" t="s">
        <v>4936</v>
      </c>
      <c r="AR680" s="2">
        <v>45525</v>
      </c>
      <c r="AS680" s="10">
        <v>3000</v>
      </c>
      <c r="AT680" s="10" t="s">
        <v>290</v>
      </c>
      <c r="AU680" s="10" t="s">
        <v>3266</v>
      </c>
      <c r="AV680" s="36" t="s">
        <v>3584</v>
      </c>
      <c r="AW680" s="1">
        <v>46212</v>
      </c>
    </row>
    <row r="681" spans="1:49" x14ac:dyDescent="0.25">
      <c r="A681" s="9" t="s">
        <v>4690</v>
      </c>
      <c r="B681" s="10" t="s">
        <v>4735</v>
      </c>
      <c r="C681" s="10">
        <v>0</v>
      </c>
      <c r="D681" s="10" t="s">
        <v>91</v>
      </c>
      <c r="E681" s="10"/>
      <c r="F681" s="10"/>
      <c r="G681" s="10"/>
      <c r="H681" s="10" t="s">
        <v>52</v>
      </c>
      <c r="I681" s="10">
        <v>21</v>
      </c>
      <c r="J681" s="10" t="s">
        <v>3130</v>
      </c>
      <c r="K681" s="10" t="s">
        <v>42</v>
      </c>
      <c r="L681" s="10">
        <f>Table1[[#This Row],[ENR]]-Table1[[#This Row],[CREDIT]]</f>
        <v>32341.960000000021</v>
      </c>
      <c r="M681" s="36">
        <v>480000</v>
      </c>
      <c r="N681" s="26">
        <v>512341.96</v>
      </c>
      <c r="O681" s="38" t="s">
        <v>43</v>
      </c>
      <c r="P681" s="25">
        <v>512341.96</v>
      </c>
      <c r="Q681" s="25">
        <v>479941</v>
      </c>
      <c r="R681" s="10">
        <v>109930</v>
      </c>
      <c r="S681" s="39">
        <v>24000</v>
      </c>
      <c r="T681" s="10" t="s">
        <v>44</v>
      </c>
      <c r="U681" s="10" t="s">
        <v>45</v>
      </c>
      <c r="V681" s="10">
        <v>0</v>
      </c>
      <c r="W681" s="25">
        <f>Table1[[#This Row],[STAB]]-Table1[[#This Row],[AMOUNT]]</f>
        <v>24000</v>
      </c>
      <c r="X681" s="10">
        <v>0</v>
      </c>
      <c r="Y681" s="10" t="s">
        <v>79</v>
      </c>
      <c r="Z681" s="10">
        <v>0</v>
      </c>
      <c r="AA681" s="10" t="s">
        <v>162</v>
      </c>
      <c r="AB681" s="10" t="s">
        <v>735</v>
      </c>
      <c r="AC681" s="10"/>
      <c r="AD681" s="9" t="s">
        <v>4824</v>
      </c>
      <c r="AE681" s="10" t="s">
        <v>4869</v>
      </c>
      <c r="AF681" s="10" t="s">
        <v>85</v>
      </c>
      <c r="AG681" s="10" t="s">
        <v>54</v>
      </c>
      <c r="AH681" s="10" t="s">
        <v>89</v>
      </c>
      <c r="AI681" s="10" t="s">
        <v>106</v>
      </c>
      <c r="AJ681" s="10">
        <v>802370852</v>
      </c>
      <c r="AK681" s="10" t="s">
        <v>105</v>
      </c>
      <c r="AL681" s="10"/>
      <c r="AM681" s="10"/>
      <c r="AN681" s="11" t="s">
        <v>390</v>
      </c>
      <c r="AO681" s="10" t="s">
        <v>398</v>
      </c>
      <c r="AP681" s="10" t="s">
        <v>4997</v>
      </c>
      <c r="AQ681" s="10" t="s">
        <v>4993</v>
      </c>
      <c r="AR681" s="2" t="s">
        <v>43</v>
      </c>
      <c r="AS681" s="10">
        <v>0</v>
      </c>
      <c r="AT681" s="10" t="s">
        <v>290</v>
      </c>
      <c r="AU681" s="10" t="s">
        <v>4875</v>
      </c>
      <c r="AV681" s="36" t="s">
        <v>4917</v>
      </c>
      <c r="AW681" s="1">
        <v>46212</v>
      </c>
    </row>
    <row r="682" spans="1:49" x14ac:dyDescent="0.25">
      <c r="A682" s="9" t="s">
        <v>3367</v>
      </c>
      <c r="B682" s="10" t="s">
        <v>3410</v>
      </c>
      <c r="C682" s="10">
        <v>0</v>
      </c>
      <c r="D682" s="10" t="s">
        <v>91</v>
      </c>
      <c r="E682" s="10"/>
      <c r="F682" s="10"/>
      <c r="G682" s="10"/>
      <c r="H682" s="10" t="s">
        <v>52</v>
      </c>
      <c r="I682" s="10">
        <v>21</v>
      </c>
      <c r="J682" s="10" t="s">
        <v>3453</v>
      </c>
      <c r="K682" s="10" t="s">
        <v>42</v>
      </c>
      <c r="L682" s="10">
        <f>Table1[[#This Row],[ENR]]-Table1[[#This Row],[CREDIT]]</f>
        <v>20834.929999999993</v>
      </c>
      <c r="M682" s="36">
        <v>480000</v>
      </c>
      <c r="N682" s="26">
        <v>500834.93</v>
      </c>
      <c r="O682" s="38">
        <v>411071.4</v>
      </c>
      <c r="P682" s="25">
        <v>89763.53</v>
      </c>
      <c r="Q682" s="25">
        <v>68133.539999999994</v>
      </c>
      <c r="R682" s="10">
        <v>89763.53</v>
      </c>
      <c r="S682" s="39">
        <v>44629.27</v>
      </c>
      <c r="T682" s="10" t="s">
        <v>57</v>
      </c>
      <c r="U682" s="10" t="s">
        <v>13</v>
      </c>
      <c r="V682" s="10">
        <v>49500</v>
      </c>
      <c r="W682" s="25">
        <f>Table1[[#This Row],[STAB]]-Table1[[#This Row],[AMOUNT]]</f>
        <v>-4870.7300000000032</v>
      </c>
      <c r="X682" s="10" t="s">
        <v>4937</v>
      </c>
      <c r="Y682" s="10" t="s">
        <v>402</v>
      </c>
      <c r="Z682" s="10" t="s">
        <v>403</v>
      </c>
      <c r="AA682" s="10" t="s">
        <v>162</v>
      </c>
      <c r="AB682" s="36" t="s">
        <v>734</v>
      </c>
      <c r="AC682" s="10"/>
      <c r="AD682" s="9" t="s">
        <v>3496</v>
      </c>
      <c r="AE682" s="10" t="s">
        <v>3539</v>
      </c>
      <c r="AF682" s="10" t="s">
        <v>111</v>
      </c>
      <c r="AG682" s="10" t="s">
        <v>80</v>
      </c>
      <c r="AH682" s="10" t="s">
        <v>1957</v>
      </c>
      <c r="AI682" s="10" t="s">
        <v>82</v>
      </c>
      <c r="AJ682" s="10">
        <v>801723195</v>
      </c>
      <c r="AK682" s="10" t="s">
        <v>105</v>
      </c>
      <c r="AL682" s="10"/>
      <c r="AM682" s="10"/>
      <c r="AN682" s="11" t="s">
        <v>390</v>
      </c>
      <c r="AO682" s="10"/>
      <c r="AP682" s="10"/>
      <c r="AQ682" s="10"/>
      <c r="AR682" s="2">
        <v>45632</v>
      </c>
      <c r="AS682" s="10">
        <v>27713.75</v>
      </c>
      <c r="AT682" s="10" t="s">
        <v>690</v>
      </c>
      <c r="AU682" s="10" t="s">
        <v>3266</v>
      </c>
      <c r="AV682" s="36" t="s">
        <v>3582</v>
      </c>
      <c r="AW682" s="1">
        <v>46212</v>
      </c>
    </row>
    <row r="683" spans="1:49" x14ac:dyDescent="0.25">
      <c r="A683" s="9" t="s">
        <v>3370</v>
      </c>
      <c r="B683" s="10" t="s">
        <v>3413</v>
      </c>
      <c r="C683" s="10">
        <v>0</v>
      </c>
      <c r="D683" s="10" t="s">
        <v>91</v>
      </c>
      <c r="E683" s="10"/>
      <c r="F683" s="10"/>
      <c r="G683" s="10" t="s">
        <v>4965</v>
      </c>
      <c r="H683" s="10" t="s">
        <v>84</v>
      </c>
      <c r="I683" s="10">
        <v>21</v>
      </c>
      <c r="J683" s="10" t="s">
        <v>3456</v>
      </c>
      <c r="K683" s="10" t="s">
        <v>42</v>
      </c>
      <c r="L683" s="10">
        <f>Table1[[#This Row],[ENR]]-Table1[[#This Row],[CREDIT]]</f>
        <v>-4095.4199999999837</v>
      </c>
      <c r="M683" s="36">
        <v>500000</v>
      </c>
      <c r="N683" s="26">
        <v>495904.58</v>
      </c>
      <c r="O683" s="38">
        <v>233889.62</v>
      </c>
      <c r="P683" s="25">
        <v>262014.96</v>
      </c>
      <c r="Q683" s="25">
        <v>245485.41</v>
      </c>
      <c r="R683" s="10">
        <v>123400</v>
      </c>
      <c r="S683" s="39">
        <v>61030</v>
      </c>
      <c r="T683" s="10" t="s">
        <v>57</v>
      </c>
      <c r="U683" s="10" t="s">
        <v>13</v>
      </c>
      <c r="V683" s="10">
        <v>61100</v>
      </c>
      <c r="W683" s="25">
        <f>Table1[[#This Row],[STAB]]-Table1[[#This Row],[AMOUNT]]</f>
        <v>-70</v>
      </c>
      <c r="X683" s="10" t="s">
        <v>4931</v>
      </c>
      <c r="Y683" s="10" t="s">
        <v>396</v>
      </c>
      <c r="Z683" s="10" t="s">
        <v>962</v>
      </c>
      <c r="AA683" s="10" t="s">
        <v>162</v>
      </c>
      <c r="AB683" s="10" t="s">
        <v>735</v>
      </c>
      <c r="AC683" s="10"/>
      <c r="AD683" s="9" t="s">
        <v>3499</v>
      </c>
      <c r="AE683" s="10" t="s">
        <v>3542</v>
      </c>
      <c r="AF683" s="10" t="s">
        <v>274</v>
      </c>
      <c r="AG683" s="10" t="s">
        <v>53</v>
      </c>
      <c r="AH683" s="10" t="s">
        <v>55</v>
      </c>
      <c r="AI683" s="10" t="s">
        <v>365</v>
      </c>
      <c r="AJ683" s="10">
        <v>802824019</v>
      </c>
      <c r="AK683" s="10" t="s">
        <v>360</v>
      </c>
      <c r="AL683" s="10"/>
      <c r="AM683" s="10"/>
      <c r="AN683" s="11" t="s">
        <v>390</v>
      </c>
      <c r="AO683" s="10" t="s">
        <v>392</v>
      </c>
      <c r="AP683" s="10" t="s">
        <v>5590</v>
      </c>
      <c r="AQ683" s="10" t="s">
        <v>4931</v>
      </c>
      <c r="AR683" s="2">
        <v>45595</v>
      </c>
      <c r="AS683" s="10">
        <v>7000</v>
      </c>
      <c r="AT683" s="10" t="s">
        <v>938</v>
      </c>
      <c r="AU683" s="10" t="s">
        <v>3266</v>
      </c>
      <c r="AV683" s="36" t="s">
        <v>3585</v>
      </c>
      <c r="AW683" s="1">
        <v>46212</v>
      </c>
    </row>
    <row r="684" spans="1:49" x14ac:dyDescent="0.25">
      <c r="A684" s="9" t="s">
        <v>3365</v>
      </c>
      <c r="B684" s="10" t="s">
        <v>3408</v>
      </c>
      <c r="C684" s="10">
        <v>0</v>
      </c>
      <c r="D684" s="10" t="s">
        <v>91</v>
      </c>
      <c r="E684" s="10"/>
      <c r="F684" s="10"/>
      <c r="G684" s="10"/>
      <c r="H684" s="10" t="s">
        <v>52</v>
      </c>
      <c r="I684" s="10">
        <v>21</v>
      </c>
      <c r="J684" s="10" t="s">
        <v>3451</v>
      </c>
      <c r="K684" s="10" t="s">
        <v>244</v>
      </c>
      <c r="L684" s="10">
        <f>Table1[[#This Row],[ENR]]-Table1[[#This Row],[CREDIT]]</f>
        <v>329887.46000000002</v>
      </c>
      <c r="M684" s="36">
        <v>150000</v>
      </c>
      <c r="N684" s="26">
        <v>479887.46</v>
      </c>
      <c r="O684" s="38">
        <v>424347.73</v>
      </c>
      <c r="P684" s="25">
        <v>55539.73</v>
      </c>
      <c r="Q684" s="25">
        <v>52284.28</v>
      </c>
      <c r="R684" s="10">
        <v>45450</v>
      </c>
      <c r="S684" s="39">
        <v>22730</v>
      </c>
      <c r="T684" s="10" t="s">
        <v>57</v>
      </c>
      <c r="U684" s="10" t="s">
        <v>14</v>
      </c>
      <c r="V684" s="10">
        <v>23000</v>
      </c>
      <c r="W684" s="25">
        <f>Table1[[#This Row],[STAB]]-Table1[[#This Row],[AMOUNT]]</f>
        <v>-270</v>
      </c>
      <c r="X684" s="10" t="s">
        <v>4937</v>
      </c>
      <c r="Y684" s="10" t="s">
        <v>402</v>
      </c>
      <c r="Z684" s="10" t="s">
        <v>403</v>
      </c>
      <c r="AA684" s="10" t="s">
        <v>162</v>
      </c>
      <c r="AB684" s="36" t="s">
        <v>736</v>
      </c>
      <c r="AC684" s="10"/>
      <c r="AD684" s="9" t="s">
        <v>3494</v>
      </c>
      <c r="AE684" s="10" t="s">
        <v>3537</v>
      </c>
      <c r="AF684" s="10" t="s">
        <v>276</v>
      </c>
      <c r="AG684" s="10" t="s">
        <v>324</v>
      </c>
      <c r="AH684" s="10" t="s">
        <v>354</v>
      </c>
      <c r="AI684" s="10" t="s">
        <v>367</v>
      </c>
      <c r="AJ684" s="10">
        <v>801436997</v>
      </c>
      <c r="AK684" s="10" t="s">
        <v>104</v>
      </c>
      <c r="AL684" s="10"/>
      <c r="AM684" s="10"/>
      <c r="AN684" s="11" t="s">
        <v>390</v>
      </c>
      <c r="AO684" s="10" t="s">
        <v>394</v>
      </c>
      <c r="AP684" s="10" t="s">
        <v>5007</v>
      </c>
      <c r="AQ684" s="10" t="s">
        <v>4993</v>
      </c>
      <c r="AR684" s="2">
        <v>46156</v>
      </c>
      <c r="AS684" s="10">
        <v>2000</v>
      </c>
      <c r="AT684" s="10" t="s">
        <v>690</v>
      </c>
      <c r="AU684" s="10" t="s">
        <v>3266</v>
      </c>
      <c r="AV684" s="36" t="s">
        <v>3580</v>
      </c>
      <c r="AW684" s="1">
        <v>46212</v>
      </c>
    </row>
    <row r="685" spans="1:49" x14ac:dyDescent="0.25">
      <c r="A685" s="9" t="s">
        <v>3371</v>
      </c>
      <c r="B685" s="10" t="s">
        <v>3414</v>
      </c>
      <c r="C685" s="10">
        <v>0</v>
      </c>
      <c r="D685" s="10" t="s">
        <v>91</v>
      </c>
      <c r="E685" s="10"/>
      <c r="F685" s="10"/>
      <c r="G685" s="10"/>
      <c r="H685" s="10" t="s">
        <v>84</v>
      </c>
      <c r="I685" s="10">
        <v>21</v>
      </c>
      <c r="J685" s="10" t="s">
        <v>3457</v>
      </c>
      <c r="K685" s="10" t="s">
        <v>42</v>
      </c>
      <c r="L685" s="10">
        <f>Table1[[#This Row],[ENR]]-Table1[[#This Row],[CREDIT]]</f>
        <v>-15645.210000000021</v>
      </c>
      <c r="M685" s="36">
        <v>450000</v>
      </c>
      <c r="N685" s="26">
        <v>434354.79</v>
      </c>
      <c r="O685" s="38">
        <v>312121.15999999997</v>
      </c>
      <c r="P685" s="25">
        <v>122233.63</v>
      </c>
      <c r="Q685" s="25">
        <v>109484.38</v>
      </c>
      <c r="R685" s="10">
        <v>97620</v>
      </c>
      <c r="S685" s="39">
        <v>48870</v>
      </c>
      <c r="T685" s="10" t="s">
        <v>57</v>
      </c>
      <c r="U685" s="10" t="s">
        <v>13</v>
      </c>
      <c r="V685" s="10">
        <v>49000</v>
      </c>
      <c r="W685" s="25">
        <f>Table1[[#This Row],[STAB]]-Table1[[#This Row],[AMOUNT]]</f>
        <v>-130</v>
      </c>
      <c r="X685" s="10" t="s">
        <v>4976</v>
      </c>
      <c r="Y685" s="10" t="s">
        <v>396</v>
      </c>
      <c r="Z685" s="10" t="s">
        <v>962</v>
      </c>
      <c r="AA685" s="10" t="s">
        <v>162</v>
      </c>
      <c r="AB685" s="10" t="s">
        <v>735</v>
      </c>
      <c r="AC685" s="10"/>
      <c r="AD685" s="9" t="s">
        <v>3500</v>
      </c>
      <c r="AE685" s="10" t="s">
        <v>3543</v>
      </c>
      <c r="AF685" s="10" t="s">
        <v>1104</v>
      </c>
      <c r="AG685" s="10" t="s">
        <v>324</v>
      </c>
      <c r="AH685" s="10" t="s">
        <v>1361</v>
      </c>
      <c r="AI685" s="10" t="s">
        <v>1404</v>
      </c>
      <c r="AJ685" s="10">
        <v>802852449</v>
      </c>
      <c r="AK685" s="10" t="s">
        <v>104</v>
      </c>
      <c r="AL685" s="10"/>
      <c r="AM685" s="10"/>
      <c r="AN685" s="11" t="s">
        <v>390</v>
      </c>
      <c r="AO685" s="10" t="s">
        <v>392</v>
      </c>
      <c r="AP685" s="10" t="s">
        <v>5592</v>
      </c>
      <c r="AQ685" s="10" t="s">
        <v>4931</v>
      </c>
      <c r="AR685" s="2" t="s">
        <v>43</v>
      </c>
      <c r="AS685" s="10">
        <v>0</v>
      </c>
      <c r="AT685" s="10" t="s">
        <v>290</v>
      </c>
      <c r="AU685" s="10" t="s">
        <v>3266</v>
      </c>
      <c r="AV685" s="36" t="s">
        <v>3586</v>
      </c>
      <c r="AW685" s="1">
        <v>46212</v>
      </c>
    </row>
    <row r="686" spans="1:49" x14ac:dyDescent="0.25">
      <c r="A686" s="9" t="s">
        <v>3360</v>
      </c>
      <c r="B686" s="10" t="s">
        <v>3403</v>
      </c>
      <c r="C686" s="10">
        <v>0</v>
      </c>
      <c r="D686" s="10" t="s">
        <v>91</v>
      </c>
      <c r="E686" s="10"/>
      <c r="F686" s="10"/>
      <c r="G686" s="10"/>
      <c r="H686" s="10" t="s">
        <v>52</v>
      </c>
      <c r="I686" s="10">
        <v>21</v>
      </c>
      <c r="J686" s="10" t="s">
        <v>3446</v>
      </c>
      <c r="K686" s="10" t="s">
        <v>42</v>
      </c>
      <c r="L686" s="10">
        <f>Table1[[#This Row],[ENR]]-Table1[[#This Row],[CREDIT]]</f>
        <v>-178804.14</v>
      </c>
      <c r="M686" s="36">
        <v>610000</v>
      </c>
      <c r="N686" s="26">
        <v>431195.86</v>
      </c>
      <c r="O686" s="38" t="s">
        <v>43</v>
      </c>
      <c r="P686" s="25">
        <v>431195.86</v>
      </c>
      <c r="Q686" s="25">
        <v>393493.29</v>
      </c>
      <c r="R686" s="10">
        <v>62520</v>
      </c>
      <c r="S686" s="39">
        <v>23130</v>
      </c>
      <c r="T686" s="10" t="s">
        <v>44</v>
      </c>
      <c r="U686" s="10" t="s">
        <v>45</v>
      </c>
      <c r="V686" s="10">
        <v>0</v>
      </c>
      <c r="W686" s="25">
        <f>Table1[[#This Row],[STAB]]-Table1[[#This Row],[AMOUNT]]</f>
        <v>23130</v>
      </c>
      <c r="X686" s="10">
        <v>0</v>
      </c>
      <c r="Y686" s="10" t="s">
        <v>79</v>
      </c>
      <c r="Z686" s="10">
        <v>0</v>
      </c>
      <c r="AA686" s="10" t="s">
        <v>162</v>
      </c>
      <c r="AB686" s="36" t="s">
        <v>734</v>
      </c>
      <c r="AC686" s="10"/>
      <c r="AD686" s="9" t="s">
        <v>3489</v>
      </c>
      <c r="AE686" s="10" t="s">
        <v>3532</v>
      </c>
      <c r="AF686" s="10" t="s">
        <v>272</v>
      </c>
      <c r="AG686" s="10" t="s">
        <v>54</v>
      </c>
      <c r="AH686" s="10" t="s">
        <v>114</v>
      </c>
      <c r="AI686" s="10" t="s">
        <v>726</v>
      </c>
      <c r="AJ686" s="10">
        <v>801772792</v>
      </c>
      <c r="AK686" s="10" t="s">
        <v>105</v>
      </c>
      <c r="AL686" s="10"/>
      <c r="AM686" s="10"/>
      <c r="AN686" s="11" t="s">
        <v>390</v>
      </c>
      <c r="AO686" s="10" t="s">
        <v>392</v>
      </c>
      <c r="AP686" s="10" t="s">
        <v>6391</v>
      </c>
      <c r="AQ686" s="10" t="s">
        <v>6364</v>
      </c>
      <c r="AR686" s="2">
        <v>46153</v>
      </c>
      <c r="AS686" s="10">
        <v>22920</v>
      </c>
      <c r="AT686" s="10" t="s">
        <v>289</v>
      </c>
      <c r="AU686" s="10" t="s">
        <v>3266</v>
      </c>
      <c r="AV686" s="36" t="s">
        <v>3575</v>
      </c>
      <c r="AW686" s="1">
        <v>46212</v>
      </c>
    </row>
    <row r="687" spans="1:49" x14ac:dyDescent="0.25">
      <c r="A687" s="9" t="s">
        <v>4677</v>
      </c>
      <c r="B687" s="10" t="s">
        <v>4722</v>
      </c>
      <c r="C687" s="10">
        <v>0</v>
      </c>
      <c r="D687" s="10" t="s">
        <v>91</v>
      </c>
      <c r="E687" s="10"/>
      <c r="F687" s="10"/>
      <c r="G687" s="10"/>
      <c r="H687" s="10" t="s">
        <v>52</v>
      </c>
      <c r="I687" s="10">
        <v>21</v>
      </c>
      <c r="J687" s="10" t="s">
        <v>4767</v>
      </c>
      <c r="K687" s="10" t="s">
        <v>42</v>
      </c>
      <c r="L687" s="10">
        <f>Table1[[#This Row],[ENR]]-Table1[[#This Row],[CREDIT]]</f>
        <v>12046.780000000028</v>
      </c>
      <c r="M687" s="36">
        <v>410000</v>
      </c>
      <c r="N687" s="26">
        <v>422046.78</v>
      </c>
      <c r="O687" s="38" t="s">
        <v>43</v>
      </c>
      <c r="P687" s="25">
        <v>422046.78</v>
      </c>
      <c r="Q687" s="25">
        <v>383721.37</v>
      </c>
      <c r="R687" s="10">
        <v>73980</v>
      </c>
      <c r="S687" s="39">
        <v>24090</v>
      </c>
      <c r="T687" s="10" t="s">
        <v>44</v>
      </c>
      <c r="U687" s="10" t="s">
        <v>45</v>
      </c>
      <c r="V687" s="10">
        <v>15100</v>
      </c>
      <c r="W687" s="25">
        <f>Table1[[#This Row],[STAB]]-Table1[[#This Row],[AMOUNT]]</f>
        <v>8990</v>
      </c>
      <c r="X687" s="10">
        <v>0</v>
      </c>
      <c r="Y687" s="10" t="s">
        <v>79</v>
      </c>
      <c r="Z687" s="10" t="s">
        <v>403</v>
      </c>
      <c r="AA687" s="10" t="s">
        <v>162</v>
      </c>
      <c r="AB687" s="36" t="s">
        <v>736</v>
      </c>
      <c r="AC687" s="10"/>
      <c r="AD687" s="9" t="s">
        <v>4811</v>
      </c>
      <c r="AE687" s="10" t="s">
        <v>4856</v>
      </c>
      <c r="AF687" s="10" t="s">
        <v>1319</v>
      </c>
      <c r="AG687" s="10" t="s">
        <v>54</v>
      </c>
      <c r="AH687" s="10" t="s">
        <v>93</v>
      </c>
      <c r="AI687" s="10" t="s">
        <v>364</v>
      </c>
      <c r="AJ687" s="10">
        <v>802663344</v>
      </c>
      <c r="AK687" s="10" t="s">
        <v>105</v>
      </c>
      <c r="AL687" s="10"/>
      <c r="AM687" s="10"/>
      <c r="AN687" s="11" t="s">
        <v>46</v>
      </c>
      <c r="AO687" s="10"/>
      <c r="AP687" s="10"/>
      <c r="AQ687" s="10"/>
      <c r="AR687" s="2">
        <v>45481</v>
      </c>
      <c r="AS687" s="10">
        <v>41000</v>
      </c>
      <c r="AT687" s="10" t="s">
        <v>290</v>
      </c>
      <c r="AU687" s="10" t="s">
        <v>4875</v>
      </c>
      <c r="AV687" s="36" t="s">
        <v>4904</v>
      </c>
      <c r="AW687" s="1">
        <v>46212</v>
      </c>
    </row>
    <row r="688" spans="1:49" x14ac:dyDescent="0.25">
      <c r="A688" s="9" t="s">
        <v>3368</v>
      </c>
      <c r="B688" s="10" t="s">
        <v>3411</v>
      </c>
      <c r="C688" s="10">
        <v>0</v>
      </c>
      <c r="D688" s="10" t="s">
        <v>91</v>
      </c>
      <c r="E688" s="10"/>
      <c r="F688" s="10"/>
      <c r="G688" s="10"/>
      <c r="H688" s="10" t="s">
        <v>52</v>
      </c>
      <c r="I688" s="10">
        <v>21</v>
      </c>
      <c r="J688" s="10" t="s">
        <v>3454</v>
      </c>
      <c r="K688" s="10" t="s">
        <v>42</v>
      </c>
      <c r="L688" s="10">
        <f>Table1[[#This Row],[ENR]]-Table1[[#This Row],[CREDIT]]</f>
        <v>351209.83</v>
      </c>
      <c r="M688" s="36">
        <v>70000</v>
      </c>
      <c r="N688" s="26">
        <v>421209.83</v>
      </c>
      <c r="O688" s="38">
        <v>347562.37</v>
      </c>
      <c r="P688" s="25">
        <v>73647.460000000006</v>
      </c>
      <c r="Q688" s="25">
        <v>66261.27</v>
      </c>
      <c r="R688" s="10">
        <v>44500</v>
      </c>
      <c r="S688" s="39">
        <v>18200</v>
      </c>
      <c r="T688" s="10" t="s">
        <v>44</v>
      </c>
      <c r="U688" s="10" t="s">
        <v>45</v>
      </c>
      <c r="V688" s="10">
        <v>0</v>
      </c>
      <c r="W688" s="25">
        <f>Table1[[#This Row],[STAB]]-Table1[[#This Row],[AMOUNT]]</f>
        <v>18200</v>
      </c>
      <c r="X688" s="10">
        <v>0</v>
      </c>
      <c r="Y688" s="10" t="s">
        <v>79</v>
      </c>
      <c r="Z688" s="10">
        <v>0</v>
      </c>
      <c r="AA688" s="10" t="s">
        <v>162</v>
      </c>
      <c r="AB688" s="36" t="s">
        <v>733</v>
      </c>
      <c r="AC688" s="10"/>
      <c r="AD688" s="9" t="s">
        <v>3497</v>
      </c>
      <c r="AE688" s="10" t="s">
        <v>3540</v>
      </c>
      <c r="AF688" s="10" t="s">
        <v>276</v>
      </c>
      <c r="AG688" s="10" t="s">
        <v>324</v>
      </c>
      <c r="AH688" s="10" t="s">
        <v>3588</v>
      </c>
      <c r="AI688" s="10" t="s">
        <v>367</v>
      </c>
      <c r="AJ688" s="10">
        <v>801436997</v>
      </c>
      <c r="AK688" s="10" t="s">
        <v>104</v>
      </c>
      <c r="AL688" s="10"/>
      <c r="AM688" s="10"/>
      <c r="AN688" s="11" t="s">
        <v>46</v>
      </c>
      <c r="AO688" s="10"/>
      <c r="AP688" s="10"/>
      <c r="AQ688" s="10"/>
      <c r="AR688" s="2">
        <v>45539</v>
      </c>
      <c r="AS688" s="10">
        <v>46573.83</v>
      </c>
      <c r="AT688" s="10" t="s">
        <v>690</v>
      </c>
      <c r="AU688" s="10" t="s">
        <v>3266</v>
      </c>
      <c r="AV688" s="36" t="s">
        <v>3583</v>
      </c>
      <c r="AW688" s="1">
        <v>46212</v>
      </c>
    </row>
    <row r="689" spans="1:49" x14ac:dyDescent="0.25">
      <c r="A689" s="9" t="s">
        <v>4657</v>
      </c>
      <c r="B689" s="10" t="s">
        <v>4703</v>
      </c>
      <c r="C689" s="10">
        <v>0</v>
      </c>
      <c r="D689" s="10" t="s">
        <v>91</v>
      </c>
      <c r="E689" s="10"/>
      <c r="F689" s="10"/>
      <c r="G689" s="10"/>
      <c r="H689" s="10" t="s">
        <v>52</v>
      </c>
      <c r="I689" s="10">
        <v>21</v>
      </c>
      <c r="J689" s="10" t="s">
        <v>4748</v>
      </c>
      <c r="K689" s="10" t="s">
        <v>42</v>
      </c>
      <c r="L689" s="10">
        <f>Table1[[#This Row],[ENR]]-Table1[[#This Row],[CREDIT]]</f>
        <v>349626.34</v>
      </c>
      <c r="M689" s="36">
        <v>60000</v>
      </c>
      <c r="N689" s="26">
        <v>409626.34</v>
      </c>
      <c r="O689" s="38">
        <v>305286.95</v>
      </c>
      <c r="P689" s="25">
        <v>104339.39</v>
      </c>
      <c r="Q689" s="25">
        <v>95727.69</v>
      </c>
      <c r="R689" s="10">
        <v>98530</v>
      </c>
      <c r="S689" s="39">
        <v>41480</v>
      </c>
      <c r="T689" s="10" t="s">
        <v>44</v>
      </c>
      <c r="U689" s="10" t="s">
        <v>45</v>
      </c>
      <c r="V689" s="10">
        <v>260</v>
      </c>
      <c r="W689" s="25">
        <f>Table1[[#This Row],[STAB]]-Table1[[#This Row],[AMOUNT]]</f>
        <v>41220</v>
      </c>
      <c r="X689" s="10">
        <v>0</v>
      </c>
      <c r="Y689" s="10" t="s">
        <v>79</v>
      </c>
      <c r="Z689" s="10" t="s">
        <v>963</v>
      </c>
      <c r="AA689" s="10" t="s">
        <v>162</v>
      </c>
      <c r="AB689" s="36" t="s">
        <v>733</v>
      </c>
      <c r="AC689" s="10"/>
      <c r="AD689" s="9" t="s">
        <v>4792</v>
      </c>
      <c r="AE689" s="10" t="s">
        <v>4837</v>
      </c>
      <c r="AF689" s="10" t="s">
        <v>285</v>
      </c>
      <c r="AG689" s="10" t="s">
        <v>54</v>
      </c>
      <c r="AH689" s="10" t="s">
        <v>94</v>
      </c>
      <c r="AI689" s="10" t="s">
        <v>725</v>
      </c>
      <c r="AJ689" s="10">
        <v>802794852</v>
      </c>
      <c r="AK689" s="10" t="s">
        <v>104</v>
      </c>
      <c r="AL689" s="10"/>
      <c r="AM689" s="10"/>
      <c r="AN689" s="11" t="s">
        <v>390</v>
      </c>
      <c r="AO689" s="10" t="s">
        <v>398</v>
      </c>
      <c r="AP689" s="10" t="s">
        <v>5003</v>
      </c>
      <c r="AQ689" s="10" t="s">
        <v>4993</v>
      </c>
      <c r="AR689" s="2">
        <v>46146</v>
      </c>
      <c r="AS689" s="10">
        <v>80590</v>
      </c>
      <c r="AT689" s="10" t="s">
        <v>289</v>
      </c>
      <c r="AU689" s="10" t="s">
        <v>4875</v>
      </c>
      <c r="AV689" s="36" t="s">
        <v>4884</v>
      </c>
      <c r="AW689" s="1">
        <v>46212</v>
      </c>
    </row>
    <row r="690" spans="1:49" x14ac:dyDescent="0.25">
      <c r="A690" s="40" t="s">
        <v>4658</v>
      </c>
      <c r="B690" s="11" t="s">
        <v>4704</v>
      </c>
      <c r="C690" s="10">
        <v>0</v>
      </c>
      <c r="D690" s="10" t="s">
        <v>91</v>
      </c>
      <c r="E690" s="11"/>
      <c r="F690" s="11"/>
      <c r="G690" s="11"/>
      <c r="H690" s="10" t="s">
        <v>52</v>
      </c>
      <c r="I690" s="11">
        <v>21</v>
      </c>
      <c r="J690" s="11" t="s">
        <v>4749</v>
      </c>
      <c r="K690" s="11" t="s">
        <v>42</v>
      </c>
      <c r="L690" s="11">
        <f>Table1[[#This Row],[ENR]]-Table1[[#This Row],[CREDIT]]</f>
        <v>189747.46999999997</v>
      </c>
      <c r="M690" s="41">
        <v>210000</v>
      </c>
      <c r="N690" s="42">
        <v>399747.47</v>
      </c>
      <c r="O690" s="43">
        <v>214148.96</v>
      </c>
      <c r="P690" s="44">
        <v>185598.51</v>
      </c>
      <c r="Q690" s="44">
        <v>166971.76</v>
      </c>
      <c r="R690" s="11">
        <v>45280</v>
      </c>
      <c r="S690" s="45">
        <v>19440</v>
      </c>
      <c r="T690" s="10" t="s">
        <v>44</v>
      </c>
      <c r="U690" s="10" t="s">
        <v>45</v>
      </c>
      <c r="V690" s="10">
        <v>0</v>
      </c>
      <c r="W690" s="44">
        <f>Table1[[#This Row],[STAB]]-Table1[[#This Row],[AMOUNT]]</f>
        <v>19440</v>
      </c>
      <c r="X690" s="10">
        <v>0</v>
      </c>
      <c r="Y690" s="10" t="s">
        <v>79</v>
      </c>
      <c r="Z690" s="10">
        <v>0</v>
      </c>
      <c r="AA690" s="10" t="s">
        <v>162</v>
      </c>
      <c r="AB690" s="36" t="s">
        <v>734</v>
      </c>
      <c r="AC690" s="11"/>
      <c r="AD690" s="40" t="s">
        <v>4793</v>
      </c>
      <c r="AE690" s="11" t="s">
        <v>4838</v>
      </c>
      <c r="AF690" s="11" t="s">
        <v>272</v>
      </c>
      <c r="AG690" s="10" t="s">
        <v>54</v>
      </c>
      <c r="AH690" s="10" t="s">
        <v>114</v>
      </c>
      <c r="AI690" s="10" t="s">
        <v>726</v>
      </c>
      <c r="AJ690" s="11">
        <v>801772792</v>
      </c>
      <c r="AK690" s="11" t="s">
        <v>105</v>
      </c>
      <c r="AL690" s="11"/>
      <c r="AM690" s="11"/>
      <c r="AN690" s="11" t="s">
        <v>390</v>
      </c>
      <c r="AO690" s="11" t="s">
        <v>392</v>
      </c>
      <c r="AP690" s="11" t="s">
        <v>6648</v>
      </c>
      <c r="AQ690" s="11" t="s">
        <v>6399</v>
      </c>
      <c r="AR690" s="46">
        <v>45472</v>
      </c>
      <c r="AS690" s="11">
        <v>20753.259999999998</v>
      </c>
      <c r="AT690" s="11" t="s">
        <v>690</v>
      </c>
      <c r="AU690" s="10" t="s">
        <v>4875</v>
      </c>
      <c r="AV690" s="41" t="s">
        <v>4885</v>
      </c>
      <c r="AW690" s="47">
        <v>46212</v>
      </c>
    </row>
    <row r="691" spans="1:49" x14ac:dyDescent="0.25">
      <c r="A691" s="40" t="s">
        <v>3358</v>
      </c>
      <c r="B691" s="11" t="s">
        <v>3401</v>
      </c>
      <c r="C691" s="10">
        <v>0</v>
      </c>
      <c r="D691" s="10" t="s">
        <v>91</v>
      </c>
      <c r="E691" s="11"/>
      <c r="F691" s="11"/>
      <c r="G691" s="11"/>
      <c r="H691" s="10" t="s">
        <v>52</v>
      </c>
      <c r="I691" s="11">
        <v>21</v>
      </c>
      <c r="J691" s="11" t="s">
        <v>3444</v>
      </c>
      <c r="K691" s="11" t="s">
        <v>42</v>
      </c>
      <c r="L691" s="11">
        <f>Table1[[#This Row],[ENR]]-Table1[[#This Row],[CREDIT]]</f>
        <v>24659.789999999979</v>
      </c>
      <c r="M691" s="41">
        <v>350000</v>
      </c>
      <c r="N691" s="42">
        <v>374659.79</v>
      </c>
      <c r="O691" s="43" t="s">
        <v>43</v>
      </c>
      <c r="P691" s="44">
        <v>374659.79</v>
      </c>
      <c r="Q691" s="44">
        <v>331384.18</v>
      </c>
      <c r="R691" s="11">
        <v>98680</v>
      </c>
      <c r="S691" s="45">
        <v>49220</v>
      </c>
      <c r="T691" s="10" t="s">
        <v>44</v>
      </c>
      <c r="U691" s="10" t="s">
        <v>45</v>
      </c>
      <c r="V691" s="10">
        <v>0</v>
      </c>
      <c r="W691" s="44">
        <f>Table1[[#This Row],[STAB]]-Table1[[#This Row],[AMOUNT]]</f>
        <v>49220</v>
      </c>
      <c r="X691" s="10">
        <v>0</v>
      </c>
      <c r="Y691" s="10" t="s">
        <v>79</v>
      </c>
      <c r="Z691" s="10">
        <v>0</v>
      </c>
      <c r="AA691" s="10" t="s">
        <v>162</v>
      </c>
      <c r="AB691" s="36" t="s">
        <v>736</v>
      </c>
      <c r="AC691" s="11"/>
      <c r="AD691" s="40" t="s">
        <v>3487</v>
      </c>
      <c r="AE691" s="11" t="s">
        <v>3530</v>
      </c>
      <c r="AF691" s="11" t="s">
        <v>85</v>
      </c>
      <c r="AG691" s="11" t="s">
        <v>54</v>
      </c>
      <c r="AH691" s="11" t="s">
        <v>89</v>
      </c>
      <c r="AI691" s="10" t="s">
        <v>106</v>
      </c>
      <c r="AJ691" s="11">
        <v>802370852</v>
      </c>
      <c r="AK691" s="11" t="s">
        <v>105</v>
      </c>
      <c r="AL691" s="11"/>
      <c r="AM691" s="11"/>
      <c r="AN691" s="11" t="s">
        <v>390</v>
      </c>
      <c r="AO691" s="11" t="s">
        <v>392</v>
      </c>
      <c r="AP691" s="11" t="s">
        <v>6402</v>
      </c>
      <c r="AQ691" s="11" t="s">
        <v>6399</v>
      </c>
      <c r="AR691" s="46">
        <v>45777</v>
      </c>
      <c r="AS691" s="11">
        <v>44000</v>
      </c>
      <c r="AT691" s="11" t="s">
        <v>47</v>
      </c>
      <c r="AU691" s="10" t="s">
        <v>3266</v>
      </c>
      <c r="AV691" s="41" t="s">
        <v>3573</v>
      </c>
      <c r="AW691" s="47">
        <v>46212</v>
      </c>
    </row>
    <row r="692" spans="1:49" x14ac:dyDescent="0.25">
      <c r="A692" s="9" t="s">
        <v>3364</v>
      </c>
      <c r="B692" s="10" t="s">
        <v>3407</v>
      </c>
      <c r="C692" s="10" t="s">
        <v>97</v>
      </c>
      <c r="D692" s="10" t="s">
        <v>91</v>
      </c>
      <c r="E692" s="10"/>
      <c r="F692" s="10"/>
      <c r="G692" s="10"/>
      <c r="H692" s="10" t="s">
        <v>84</v>
      </c>
      <c r="I692" s="10">
        <v>21</v>
      </c>
      <c r="J692" s="10" t="s">
        <v>3450</v>
      </c>
      <c r="K692" s="10" t="s">
        <v>42</v>
      </c>
      <c r="L692" s="10">
        <f>Table1[[#This Row],[ENR]]-Table1[[#This Row],[CREDIT]]</f>
        <v>147648.90999999997</v>
      </c>
      <c r="M692" s="36">
        <v>220000</v>
      </c>
      <c r="N692" s="26">
        <v>367648.91</v>
      </c>
      <c r="O692" s="38">
        <v>141315.72</v>
      </c>
      <c r="P692" s="25">
        <v>226333.19</v>
      </c>
      <c r="Q692" s="25">
        <v>213729.67</v>
      </c>
      <c r="R692" s="10">
        <v>81380</v>
      </c>
      <c r="S692" s="39">
        <v>44940</v>
      </c>
      <c r="T692" s="10" t="s">
        <v>44</v>
      </c>
      <c r="U692" s="10" t="s">
        <v>45</v>
      </c>
      <c r="V692" s="10">
        <v>10000</v>
      </c>
      <c r="W692" s="25">
        <f>Table1[[#This Row],[STAB]]-Table1[[#This Row],[AMOUNT]]</f>
        <v>34940</v>
      </c>
      <c r="X692" s="10">
        <v>0</v>
      </c>
      <c r="Y692" s="10" t="s">
        <v>79</v>
      </c>
      <c r="Z692" s="10" t="s">
        <v>403</v>
      </c>
      <c r="AA692" s="10" t="s">
        <v>162</v>
      </c>
      <c r="AB692" s="36" t="s">
        <v>733</v>
      </c>
      <c r="AC692" s="10"/>
      <c r="AD692" s="9" t="s">
        <v>3493</v>
      </c>
      <c r="AE692" s="10" t="s">
        <v>3536</v>
      </c>
      <c r="AF692" s="10" t="s">
        <v>276</v>
      </c>
      <c r="AG692" s="10" t="s">
        <v>324</v>
      </c>
      <c r="AH692" s="10" t="s">
        <v>354</v>
      </c>
      <c r="AI692" s="10" t="s">
        <v>367</v>
      </c>
      <c r="AJ692" s="10">
        <v>801436997</v>
      </c>
      <c r="AK692" s="10" t="s">
        <v>104</v>
      </c>
      <c r="AL692" s="10"/>
      <c r="AM692" s="10"/>
      <c r="AN692" s="11" t="s">
        <v>390</v>
      </c>
      <c r="AO692" s="10" t="s">
        <v>398</v>
      </c>
      <c r="AP692" s="10" t="s">
        <v>6334</v>
      </c>
      <c r="AQ692" s="10" t="s">
        <v>4976</v>
      </c>
      <c r="AR692" s="2">
        <v>46044</v>
      </c>
      <c r="AS692" s="10">
        <v>30000</v>
      </c>
      <c r="AT692" s="10" t="s">
        <v>690</v>
      </c>
      <c r="AU692" s="10" t="s">
        <v>3266</v>
      </c>
      <c r="AV692" s="36" t="s">
        <v>3579</v>
      </c>
      <c r="AW692" s="1">
        <v>46212</v>
      </c>
    </row>
    <row r="693" spans="1:49" x14ac:dyDescent="0.25">
      <c r="A693" s="9" t="s">
        <v>4650</v>
      </c>
      <c r="B693" s="10" t="s">
        <v>4696</v>
      </c>
      <c r="C693" s="10">
        <v>0</v>
      </c>
      <c r="D693" s="10" t="s">
        <v>91</v>
      </c>
      <c r="E693" s="10"/>
      <c r="F693" s="10"/>
      <c r="G693" s="10"/>
      <c r="H693" s="10" t="s">
        <v>52</v>
      </c>
      <c r="I693" s="10">
        <v>21</v>
      </c>
      <c r="J693" s="10" t="s">
        <v>4741</v>
      </c>
      <c r="K693" s="10" t="s">
        <v>42</v>
      </c>
      <c r="L693" s="10">
        <f>Table1[[#This Row],[ENR]]-Table1[[#This Row],[CREDIT]]</f>
        <v>150967.79999999999</v>
      </c>
      <c r="M693" s="36">
        <v>200000</v>
      </c>
      <c r="N693" s="26">
        <v>350967.8</v>
      </c>
      <c r="O693" s="38">
        <v>317856.05</v>
      </c>
      <c r="P693" s="25">
        <v>33111.75</v>
      </c>
      <c r="Q693" s="25">
        <v>29719.74</v>
      </c>
      <c r="R693" s="10">
        <v>32620</v>
      </c>
      <c r="S693" s="39">
        <v>16275</v>
      </c>
      <c r="T693" s="10" t="s">
        <v>44</v>
      </c>
      <c r="U693" s="10" t="s">
        <v>45</v>
      </c>
      <c r="V693" s="10">
        <v>10000</v>
      </c>
      <c r="W693" s="25">
        <f>Table1[[#This Row],[STAB]]-Table1[[#This Row],[AMOUNT]]</f>
        <v>6275</v>
      </c>
      <c r="X693" s="10">
        <v>0</v>
      </c>
      <c r="Y693" s="10" t="s">
        <v>79</v>
      </c>
      <c r="Z693" s="10">
        <v>0</v>
      </c>
      <c r="AA693" s="10" t="s">
        <v>162</v>
      </c>
      <c r="AB693" s="36" t="s">
        <v>736</v>
      </c>
      <c r="AC693" s="10"/>
      <c r="AD693" s="9" t="s">
        <v>4785</v>
      </c>
      <c r="AE693" s="10" t="s">
        <v>4830</v>
      </c>
      <c r="AF693" s="10" t="s">
        <v>286</v>
      </c>
      <c r="AG693" s="10" t="s">
        <v>54</v>
      </c>
      <c r="AH693" s="10" t="s">
        <v>58</v>
      </c>
      <c r="AI693" s="10" t="s">
        <v>133</v>
      </c>
      <c r="AJ693" s="10">
        <v>802555024</v>
      </c>
      <c r="AK693" s="10" t="s">
        <v>362</v>
      </c>
      <c r="AL693" s="10"/>
      <c r="AM693" s="10"/>
      <c r="AN693" s="11" t="s">
        <v>390</v>
      </c>
      <c r="AO693" s="10" t="s">
        <v>394</v>
      </c>
      <c r="AP693" s="10" t="s">
        <v>6406</v>
      </c>
      <c r="AQ693" s="10" t="s">
        <v>6399</v>
      </c>
      <c r="AR693" s="2">
        <v>46009</v>
      </c>
      <c r="AS693" s="10">
        <v>14440</v>
      </c>
      <c r="AT693" s="10" t="s">
        <v>688</v>
      </c>
      <c r="AU693" s="10" t="s">
        <v>4875</v>
      </c>
      <c r="AV693" s="36" t="s">
        <v>4877</v>
      </c>
      <c r="AW693" s="1">
        <v>46212</v>
      </c>
    </row>
    <row r="694" spans="1:49" x14ac:dyDescent="0.25">
      <c r="A694" s="9" t="s">
        <v>3361</v>
      </c>
      <c r="B694" s="10" t="s">
        <v>3404</v>
      </c>
      <c r="C694" s="10">
        <v>0</v>
      </c>
      <c r="D694" s="10" t="s">
        <v>91</v>
      </c>
      <c r="E694" s="10"/>
      <c r="F694" s="10"/>
      <c r="G694" s="10"/>
      <c r="H694" s="10" t="s">
        <v>52</v>
      </c>
      <c r="I694" s="10">
        <v>21</v>
      </c>
      <c r="J694" s="10" t="s">
        <v>3447</v>
      </c>
      <c r="K694" s="10" t="s">
        <v>42</v>
      </c>
      <c r="L694" s="10">
        <f>Table1[[#This Row],[ENR]]-Table1[[#This Row],[CREDIT]]</f>
        <v>40759.179999999993</v>
      </c>
      <c r="M694" s="36">
        <v>310000</v>
      </c>
      <c r="N694" s="26">
        <v>350759.18</v>
      </c>
      <c r="O694" s="38">
        <v>93771.57</v>
      </c>
      <c r="P694" s="25">
        <v>256987.61</v>
      </c>
      <c r="Q694" s="25">
        <v>215961.64</v>
      </c>
      <c r="R694" s="10">
        <v>92500</v>
      </c>
      <c r="S694" s="39">
        <v>48200</v>
      </c>
      <c r="T694" s="10" t="s">
        <v>57</v>
      </c>
      <c r="U694" s="10" t="s">
        <v>13</v>
      </c>
      <c r="V694" s="10">
        <v>52000</v>
      </c>
      <c r="W694" s="25">
        <f>Table1[[#This Row],[STAB]]-Table1[[#This Row],[AMOUNT]]</f>
        <v>-3800</v>
      </c>
      <c r="X694" s="10" t="s">
        <v>6364</v>
      </c>
      <c r="Y694" s="10" t="s">
        <v>402</v>
      </c>
      <c r="Z694" s="10" t="s">
        <v>403</v>
      </c>
      <c r="AA694" s="10" t="s">
        <v>162</v>
      </c>
      <c r="AB694" s="36" t="s">
        <v>736</v>
      </c>
      <c r="AC694" s="10"/>
      <c r="AD694" s="9" t="s">
        <v>3490</v>
      </c>
      <c r="AE694" s="10" t="s">
        <v>3533</v>
      </c>
      <c r="AF694" s="10" t="s">
        <v>686</v>
      </c>
      <c r="AG694" s="10" t="s">
        <v>324</v>
      </c>
      <c r="AH694" s="10" t="s">
        <v>722</v>
      </c>
      <c r="AI694" s="10" t="s">
        <v>370</v>
      </c>
      <c r="AJ694" s="10">
        <v>801448854</v>
      </c>
      <c r="AK694" s="10" t="s">
        <v>105</v>
      </c>
      <c r="AL694" s="10"/>
      <c r="AM694" s="10"/>
      <c r="AN694" s="11" t="s">
        <v>390</v>
      </c>
      <c r="AO694" s="10"/>
      <c r="AP694" s="10"/>
      <c r="AQ694" s="10"/>
      <c r="AR694" s="2">
        <v>45997</v>
      </c>
      <c r="AS694" s="10">
        <v>15516.89</v>
      </c>
      <c r="AT694" s="10" t="s">
        <v>289</v>
      </c>
      <c r="AU694" s="10" t="s">
        <v>3266</v>
      </c>
      <c r="AV694" s="36" t="s">
        <v>3576</v>
      </c>
      <c r="AW694" s="1">
        <v>46212</v>
      </c>
    </row>
    <row r="695" spans="1:49" x14ac:dyDescent="0.25">
      <c r="A695" s="9" t="s">
        <v>3363</v>
      </c>
      <c r="B695" s="10" t="s">
        <v>3406</v>
      </c>
      <c r="C695" s="10">
        <v>0</v>
      </c>
      <c r="D695" s="10" t="s">
        <v>91</v>
      </c>
      <c r="E695" s="10"/>
      <c r="F695" s="10"/>
      <c r="G695" s="10"/>
      <c r="H695" s="10" t="s">
        <v>52</v>
      </c>
      <c r="I695" s="10">
        <v>21</v>
      </c>
      <c r="J695" s="10" t="s">
        <v>3449</v>
      </c>
      <c r="K695" s="10" t="s">
        <v>42</v>
      </c>
      <c r="L695" s="10">
        <f>Table1[[#This Row],[ENR]]-Table1[[#This Row],[CREDIT]]</f>
        <v>9324.4000000000233</v>
      </c>
      <c r="M695" s="36">
        <v>320000</v>
      </c>
      <c r="N695" s="26">
        <v>329324.40000000002</v>
      </c>
      <c r="O695" s="38">
        <v>184488.1</v>
      </c>
      <c r="P695" s="25">
        <v>144836.29999999999</v>
      </c>
      <c r="Q695" s="25">
        <v>126030.64</v>
      </c>
      <c r="R695" s="10">
        <v>72490</v>
      </c>
      <c r="S695" s="39">
        <v>34580</v>
      </c>
      <c r="T695" s="10" t="s">
        <v>57</v>
      </c>
      <c r="U695" s="10" t="s">
        <v>13</v>
      </c>
      <c r="V695" s="10">
        <v>144836.29999999999</v>
      </c>
      <c r="W695" s="25">
        <f>Table1[[#This Row],[STAB]]-Table1[[#This Row],[AMOUNT]]</f>
        <v>-110256.29999999999</v>
      </c>
      <c r="X695" s="10">
        <v>0</v>
      </c>
      <c r="Y695" s="10" t="s">
        <v>388</v>
      </c>
      <c r="Z695" s="10" t="s">
        <v>403</v>
      </c>
      <c r="AA695" s="10" t="s">
        <v>162</v>
      </c>
      <c r="AB695" s="36" t="s">
        <v>734</v>
      </c>
      <c r="AC695" s="10"/>
      <c r="AD695" s="9" t="s">
        <v>3492</v>
      </c>
      <c r="AE695" s="10" t="s">
        <v>3535</v>
      </c>
      <c r="AF695" s="10" t="s">
        <v>111</v>
      </c>
      <c r="AG695" s="10" t="s">
        <v>53</v>
      </c>
      <c r="AH695" s="10" t="s">
        <v>92</v>
      </c>
      <c r="AI695" s="10" t="s">
        <v>113</v>
      </c>
      <c r="AJ695" s="10">
        <v>802388289</v>
      </c>
      <c r="AK695" s="10" t="s">
        <v>104</v>
      </c>
      <c r="AL695" s="10"/>
      <c r="AM695" s="10"/>
      <c r="AN695" s="11" t="s">
        <v>390</v>
      </c>
      <c r="AO695" s="10"/>
      <c r="AP695" s="10"/>
      <c r="AQ695" s="10"/>
      <c r="AR695" s="2">
        <v>45481</v>
      </c>
      <c r="AS695" s="10">
        <v>20056.89</v>
      </c>
      <c r="AT695" s="10" t="s">
        <v>690</v>
      </c>
      <c r="AU695" s="10" t="s">
        <v>3266</v>
      </c>
      <c r="AV695" s="36" t="s">
        <v>3578</v>
      </c>
      <c r="AW695" s="1">
        <v>46212</v>
      </c>
    </row>
    <row r="696" spans="1:49" x14ac:dyDescent="0.25">
      <c r="A696" s="9" t="s">
        <v>3362</v>
      </c>
      <c r="B696" s="10" t="s">
        <v>3405</v>
      </c>
      <c r="C696" s="10">
        <v>0</v>
      </c>
      <c r="D696" s="10" t="s">
        <v>91</v>
      </c>
      <c r="E696" s="10"/>
      <c r="F696" s="10"/>
      <c r="G696" s="10"/>
      <c r="H696" s="10" t="s">
        <v>52</v>
      </c>
      <c r="I696" s="10">
        <v>21</v>
      </c>
      <c r="J696" s="10" t="s">
        <v>3448</v>
      </c>
      <c r="K696" s="10" t="s">
        <v>42</v>
      </c>
      <c r="L696" s="10">
        <f>Table1[[#This Row],[ENR]]-Table1[[#This Row],[CREDIT]]</f>
        <v>23746.549999999988</v>
      </c>
      <c r="M696" s="36">
        <v>290000</v>
      </c>
      <c r="N696" s="26">
        <v>313746.55</v>
      </c>
      <c r="O696" s="38">
        <v>44682.400000000001</v>
      </c>
      <c r="P696" s="25">
        <v>269064.15000000002</v>
      </c>
      <c r="Q696" s="25">
        <v>242702.57</v>
      </c>
      <c r="R696" s="10">
        <v>44700</v>
      </c>
      <c r="S696" s="39">
        <v>17310</v>
      </c>
      <c r="T696" s="10" t="s">
        <v>57</v>
      </c>
      <c r="U696" s="10" t="s">
        <v>13</v>
      </c>
      <c r="V696" s="10">
        <v>17310</v>
      </c>
      <c r="W696" s="25">
        <f>Table1[[#This Row],[STAB]]-Table1[[#This Row],[AMOUNT]]</f>
        <v>0</v>
      </c>
      <c r="X696" s="10" t="s">
        <v>6364</v>
      </c>
      <c r="Y696" s="10" t="s">
        <v>402</v>
      </c>
      <c r="Z696" s="10" t="s">
        <v>403</v>
      </c>
      <c r="AA696" s="10" t="s">
        <v>162</v>
      </c>
      <c r="AB696" s="10" t="s">
        <v>735</v>
      </c>
      <c r="AC696" s="10"/>
      <c r="AD696" s="9" t="s">
        <v>3491</v>
      </c>
      <c r="AE696" s="10" t="s">
        <v>3534</v>
      </c>
      <c r="AF696" s="10" t="s">
        <v>272</v>
      </c>
      <c r="AG696" s="10" t="s">
        <v>54</v>
      </c>
      <c r="AH696" s="10" t="s">
        <v>523</v>
      </c>
      <c r="AI696" s="10" t="s">
        <v>371</v>
      </c>
      <c r="AJ696" s="10">
        <v>802835406</v>
      </c>
      <c r="AK696" s="10" t="s">
        <v>362</v>
      </c>
      <c r="AL696" s="10"/>
      <c r="AM696" s="10"/>
      <c r="AN696" s="11" t="s">
        <v>390</v>
      </c>
      <c r="AO696" s="10" t="s">
        <v>392</v>
      </c>
      <c r="AP696" s="10" t="s">
        <v>5585</v>
      </c>
      <c r="AQ696" s="10" t="s">
        <v>4931</v>
      </c>
      <c r="AR696" s="2">
        <v>46000</v>
      </c>
      <c r="AS696" s="10">
        <v>40000</v>
      </c>
      <c r="AT696" s="10" t="s">
        <v>690</v>
      </c>
      <c r="AU696" s="10" t="s">
        <v>3266</v>
      </c>
      <c r="AV696" s="36" t="s">
        <v>3577</v>
      </c>
      <c r="AW696" s="1">
        <v>46212</v>
      </c>
    </row>
    <row r="697" spans="1:49" x14ac:dyDescent="0.25">
      <c r="A697" s="9" t="s">
        <v>3366</v>
      </c>
      <c r="B697" s="10" t="s">
        <v>3409</v>
      </c>
      <c r="C697" s="10">
        <v>0</v>
      </c>
      <c r="D697" s="10" t="s">
        <v>91</v>
      </c>
      <c r="E697" s="10"/>
      <c r="F697" s="10"/>
      <c r="G697" s="10"/>
      <c r="H697" s="10" t="s">
        <v>52</v>
      </c>
      <c r="I697" s="10">
        <v>21</v>
      </c>
      <c r="J697" s="10" t="s">
        <v>3452</v>
      </c>
      <c r="K697" s="10" t="s">
        <v>42</v>
      </c>
      <c r="L697" s="10">
        <f>Table1[[#This Row],[ENR]]-Table1[[#This Row],[CREDIT]]</f>
        <v>25343.440000000002</v>
      </c>
      <c r="M697" s="36">
        <v>280000</v>
      </c>
      <c r="N697" s="26">
        <v>305343.44</v>
      </c>
      <c r="O697" s="38" t="s">
        <v>43</v>
      </c>
      <c r="P697" s="25">
        <v>305343.44</v>
      </c>
      <c r="Q697" s="25">
        <v>88315.3</v>
      </c>
      <c r="R697" s="10">
        <v>257960</v>
      </c>
      <c r="S697" s="39">
        <v>226340</v>
      </c>
      <c r="T697" s="10" t="s">
        <v>44</v>
      </c>
      <c r="U697" s="10" t="s">
        <v>45</v>
      </c>
      <c r="V697" s="10">
        <v>0</v>
      </c>
      <c r="W697" s="25">
        <f>Table1[[#This Row],[STAB]]-Table1[[#This Row],[AMOUNT]]</f>
        <v>226340</v>
      </c>
      <c r="X697" s="10">
        <v>0</v>
      </c>
      <c r="Y697" s="10" t="s">
        <v>79</v>
      </c>
      <c r="Z697" s="10">
        <v>0</v>
      </c>
      <c r="AA697" s="10" t="s">
        <v>162</v>
      </c>
      <c r="AB697" s="36" t="s">
        <v>736</v>
      </c>
      <c r="AC697" s="10"/>
      <c r="AD697" s="9" t="s">
        <v>3495</v>
      </c>
      <c r="AE697" s="10" t="s">
        <v>3538</v>
      </c>
      <c r="AF697" s="10" t="s">
        <v>498</v>
      </c>
      <c r="AG697" s="10" t="s">
        <v>53</v>
      </c>
      <c r="AH697" s="10" t="s">
        <v>90</v>
      </c>
      <c r="AI697" s="10" t="s">
        <v>162</v>
      </c>
      <c r="AJ697" s="10">
        <v>801772794</v>
      </c>
      <c r="AK697" s="10" t="s">
        <v>361</v>
      </c>
      <c r="AL697" s="10"/>
      <c r="AM697" s="10"/>
      <c r="AN697" s="11" t="s">
        <v>46</v>
      </c>
      <c r="AO697" s="10"/>
      <c r="AP697" s="10"/>
      <c r="AQ697" s="10"/>
      <c r="AR697" s="2">
        <v>45540</v>
      </c>
      <c r="AS697" s="10">
        <v>14270</v>
      </c>
      <c r="AT697" s="10" t="s">
        <v>690</v>
      </c>
      <c r="AU697" s="10" t="s">
        <v>3266</v>
      </c>
      <c r="AV697" s="36" t="s">
        <v>3581</v>
      </c>
      <c r="AW697" s="1">
        <v>46212</v>
      </c>
    </row>
    <row r="698" spans="1:49" x14ac:dyDescent="0.25">
      <c r="A698" s="9" t="s">
        <v>4660</v>
      </c>
      <c r="B698" s="10" t="s">
        <v>4706</v>
      </c>
      <c r="C698" s="10">
        <v>0</v>
      </c>
      <c r="D698" s="10" t="s">
        <v>91</v>
      </c>
      <c r="E698" s="10"/>
      <c r="F698" s="10"/>
      <c r="G698" s="10"/>
      <c r="H698" s="10" t="s">
        <v>52</v>
      </c>
      <c r="I698" s="10">
        <v>21</v>
      </c>
      <c r="J698" s="10" t="s">
        <v>4751</v>
      </c>
      <c r="K698" s="10" t="s">
        <v>42</v>
      </c>
      <c r="L698" s="10">
        <f>Table1[[#This Row],[ENR]]-Table1[[#This Row],[CREDIT]]</f>
        <v>6068.7600000000093</v>
      </c>
      <c r="M698" s="36">
        <v>290000</v>
      </c>
      <c r="N698" s="26">
        <v>296068.76</v>
      </c>
      <c r="O698" s="38" t="s">
        <v>43</v>
      </c>
      <c r="P698" s="25">
        <v>296068.76</v>
      </c>
      <c r="Q698" s="25">
        <v>275999</v>
      </c>
      <c r="R698" s="10">
        <v>52750</v>
      </c>
      <c r="S698" s="39">
        <v>13800</v>
      </c>
      <c r="T698" s="10" t="s">
        <v>57</v>
      </c>
      <c r="U698" s="10" t="s">
        <v>14</v>
      </c>
      <c r="V698" s="10">
        <v>14000</v>
      </c>
      <c r="W698" s="25">
        <f>Table1[[#This Row],[STAB]]-Table1[[#This Row],[AMOUNT]]</f>
        <v>-200</v>
      </c>
      <c r="X698" s="10" t="s">
        <v>6364</v>
      </c>
      <c r="Y698" s="10" t="s">
        <v>402</v>
      </c>
      <c r="Z698" s="10" t="s">
        <v>403</v>
      </c>
      <c r="AA698" s="10" t="s">
        <v>162</v>
      </c>
      <c r="AB698" s="36" t="s">
        <v>736</v>
      </c>
      <c r="AC698" s="10"/>
      <c r="AD698" s="9" t="s">
        <v>4795</v>
      </c>
      <c r="AE698" s="10" t="s">
        <v>4840</v>
      </c>
      <c r="AF698" s="10" t="s">
        <v>272</v>
      </c>
      <c r="AG698" s="10" t="s">
        <v>54</v>
      </c>
      <c r="AH698" s="10" t="s">
        <v>114</v>
      </c>
      <c r="AI698" s="10" t="s">
        <v>726</v>
      </c>
      <c r="AJ698" s="10">
        <v>801772792</v>
      </c>
      <c r="AK698" s="10" t="s">
        <v>105</v>
      </c>
      <c r="AL698" s="10"/>
      <c r="AM698" s="10"/>
      <c r="AN698" s="11" t="s">
        <v>390</v>
      </c>
      <c r="AO698" s="10"/>
      <c r="AP698" s="10"/>
      <c r="AQ698" s="10"/>
      <c r="AR698" s="2">
        <v>45537</v>
      </c>
      <c r="AS698" s="10">
        <v>79999</v>
      </c>
      <c r="AT698" s="10" t="s">
        <v>689</v>
      </c>
      <c r="AU698" s="10" t="s">
        <v>4875</v>
      </c>
      <c r="AV698" s="36" t="s">
        <v>4887</v>
      </c>
      <c r="AW698" s="1">
        <v>46212</v>
      </c>
    </row>
    <row r="699" spans="1:49" x14ac:dyDescent="0.25">
      <c r="A699" s="40" t="s">
        <v>4669</v>
      </c>
      <c r="B699" s="11" t="s">
        <v>4715</v>
      </c>
      <c r="C699" s="10">
        <v>0</v>
      </c>
      <c r="D699" s="10" t="s">
        <v>91</v>
      </c>
      <c r="E699" s="11"/>
      <c r="F699" s="11"/>
      <c r="G699" s="11"/>
      <c r="H699" s="10" t="s">
        <v>52</v>
      </c>
      <c r="I699" s="11">
        <v>21</v>
      </c>
      <c r="J699" s="11" t="s">
        <v>4760</v>
      </c>
      <c r="K699" s="11" t="s">
        <v>42</v>
      </c>
      <c r="L699" s="11">
        <f>Table1[[#This Row],[ENR]]-Table1[[#This Row],[CREDIT]]</f>
        <v>18263.710000000021</v>
      </c>
      <c r="M699" s="41">
        <v>260000</v>
      </c>
      <c r="N699" s="42">
        <v>278263.71000000002</v>
      </c>
      <c r="O699" s="43" t="s">
        <v>43</v>
      </c>
      <c r="P699" s="44">
        <v>278263.71000000002</v>
      </c>
      <c r="Q699" s="44">
        <v>254100.28</v>
      </c>
      <c r="R699" s="11">
        <v>60740</v>
      </c>
      <c r="S699" s="45">
        <v>17440</v>
      </c>
      <c r="T699" s="10" t="s">
        <v>44</v>
      </c>
      <c r="U699" s="10" t="s">
        <v>45</v>
      </c>
      <c r="V699" s="10">
        <v>0</v>
      </c>
      <c r="W699" s="44">
        <f>Table1[[#This Row],[STAB]]-Table1[[#This Row],[AMOUNT]]</f>
        <v>17440</v>
      </c>
      <c r="X699" s="10">
        <v>0</v>
      </c>
      <c r="Y699" s="10" t="s">
        <v>79</v>
      </c>
      <c r="Z699" s="10">
        <v>0</v>
      </c>
      <c r="AA699" s="10" t="s">
        <v>162</v>
      </c>
      <c r="AB699" s="10" t="s">
        <v>735</v>
      </c>
      <c r="AC699" s="11"/>
      <c r="AD699" s="40" t="s">
        <v>4804</v>
      </c>
      <c r="AE699" s="11" t="s">
        <v>4849</v>
      </c>
      <c r="AF699" s="11" t="s">
        <v>864</v>
      </c>
      <c r="AG699" s="10" t="s">
        <v>54</v>
      </c>
      <c r="AH699" s="10" t="s">
        <v>1398</v>
      </c>
      <c r="AI699" s="10" t="s">
        <v>162</v>
      </c>
      <c r="AJ699" s="11">
        <v>801772794</v>
      </c>
      <c r="AK699" s="11" t="s">
        <v>361</v>
      </c>
      <c r="AL699" s="11"/>
      <c r="AM699" s="11"/>
      <c r="AN699" s="11" t="s">
        <v>46</v>
      </c>
      <c r="AO699" s="11"/>
      <c r="AP699" s="11"/>
      <c r="AQ699" s="11"/>
      <c r="AR699" s="46">
        <v>45490</v>
      </c>
      <c r="AS699" s="11">
        <v>38920</v>
      </c>
      <c r="AT699" s="11" t="s">
        <v>690</v>
      </c>
      <c r="AU699" s="10" t="s">
        <v>4875</v>
      </c>
      <c r="AV699" s="41" t="s">
        <v>4896</v>
      </c>
      <c r="AW699" s="47">
        <v>46212</v>
      </c>
    </row>
    <row r="700" spans="1:49" x14ac:dyDescent="0.25">
      <c r="A700" s="9" t="s">
        <v>4659</v>
      </c>
      <c r="B700" s="10" t="s">
        <v>4705</v>
      </c>
      <c r="C700" s="10">
        <v>0</v>
      </c>
      <c r="D700" s="10" t="s">
        <v>91</v>
      </c>
      <c r="E700" s="10"/>
      <c r="F700" s="10"/>
      <c r="G700" s="10"/>
      <c r="H700" s="10" t="s">
        <v>52</v>
      </c>
      <c r="I700" s="10">
        <v>21</v>
      </c>
      <c r="J700" s="10" t="s">
        <v>4750</v>
      </c>
      <c r="K700" s="10" t="s">
        <v>42</v>
      </c>
      <c r="L700" s="10">
        <f>Table1[[#This Row],[ENR]]-Table1[[#This Row],[CREDIT]]</f>
        <v>12060.709999999992</v>
      </c>
      <c r="M700" s="36">
        <v>250000</v>
      </c>
      <c r="N700" s="26">
        <v>262060.71</v>
      </c>
      <c r="O700" s="38">
        <v>103802.69</v>
      </c>
      <c r="P700" s="25">
        <v>158258.01999999999</v>
      </c>
      <c r="Q700" s="25">
        <v>143645.1</v>
      </c>
      <c r="R700" s="10">
        <v>55870</v>
      </c>
      <c r="S700" s="39">
        <v>26750</v>
      </c>
      <c r="T700" s="10" t="s">
        <v>44</v>
      </c>
      <c r="U700" s="10" t="s">
        <v>45</v>
      </c>
      <c r="V700" s="10">
        <v>0</v>
      </c>
      <c r="W700" s="25">
        <f>Table1[[#This Row],[STAB]]-Table1[[#This Row],[AMOUNT]]</f>
        <v>26750</v>
      </c>
      <c r="X700" s="10">
        <v>0</v>
      </c>
      <c r="Y700" s="10" t="s">
        <v>79</v>
      </c>
      <c r="Z700" s="10">
        <v>0</v>
      </c>
      <c r="AA700" s="10" t="s">
        <v>162</v>
      </c>
      <c r="AB700" s="36" t="s">
        <v>734</v>
      </c>
      <c r="AC700" s="10"/>
      <c r="AD700" s="9" t="s">
        <v>4794</v>
      </c>
      <c r="AE700" s="10" t="s">
        <v>4839</v>
      </c>
      <c r="AF700" s="10" t="s">
        <v>685</v>
      </c>
      <c r="AG700" s="10" t="s">
        <v>54</v>
      </c>
      <c r="AH700" s="10" t="s">
        <v>1398</v>
      </c>
      <c r="AI700" s="10" t="s">
        <v>162</v>
      </c>
      <c r="AJ700" s="10">
        <v>801772794</v>
      </c>
      <c r="AK700" s="10" t="s">
        <v>361</v>
      </c>
      <c r="AL700" s="10"/>
      <c r="AM700" s="10"/>
      <c r="AN700" s="11" t="s">
        <v>46</v>
      </c>
      <c r="AO700" s="10"/>
      <c r="AP700" s="10"/>
      <c r="AQ700" s="10"/>
      <c r="AR700" s="2">
        <v>46151</v>
      </c>
      <c r="AS700" s="10">
        <v>53111</v>
      </c>
      <c r="AT700" s="10" t="s">
        <v>690</v>
      </c>
      <c r="AU700" s="10" t="s">
        <v>4875</v>
      </c>
      <c r="AV700" s="36" t="s">
        <v>4886</v>
      </c>
      <c r="AW700" s="1">
        <v>46212</v>
      </c>
    </row>
    <row r="701" spans="1:49" x14ac:dyDescent="0.25">
      <c r="A701" s="9" t="s">
        <v>4680</v>
      </c>
      <c r="B701" s="10" t="s">
        <v>4725</v>
      </c>
      <c r="C701" s="10">
        <v>0</v>
      </c>
      <c r="D701" s="10" t="s">
        <v>91</v>
      </c>
      <c r="E701" s="10"/>
      <c r="F701" s="10"/>
      <c r="G701" s="10"/>
      <c r="H701" s="10" t="s">
        <v>52</v>
      </c>
      <c r="I701" s="10">
        <v>21</v>
      </c>
      <c r="J701" s="10" t="s">
        <v>4770</v>
      </c>
      <c r="K701" s="10" t="s">
        <v>42</v>
      </c>
      <c r="L701" s="10">
        <f>Table1[[#This Row],[ENR]]-Table1[[#This Row],[CREDIT]]</f>
        <v>22990.399999999994</v>
      </c>
      <c r="M701" s="36">
        <v>230000</v>
      </c>
      <c r="N701" s="26">
        <v>252990.4</v>
      </c>
      <c r="O701" s="38" t="s">
        <v>43</v>
      </c>
      <c r="P701" s="25">
        <v>252990.4</v>
      </c>
      <c r="Q701" s="25">
        <v>229982.97</v>
      </c>
      <c r="R701" s="10">
        <v>58610</v>
      </c>
      <c r="S701" s="39">
        <v>23720</v>
      </c>
      <c r="T701" s="10" t="s">
        <v>44</v>
      </c>
      <c r="U701" s="10" t="s">
        <v>45</v>
      </c>
      <c r="V701" s="10">
        <v>0</v>
      </c>
      <c r="W701" s="25">
        <f>Table1[[#This Row],[STAB]]-Table1[[#This Row],[AMOUNT]]</f>
        <v>23720</v>
      </c>
      <c r="X701" s="10">
        <v>0</v>
      </c>
      <c r="Y701" s="10" t="s">
        <v>79</v>
      </c>
      <c r="Z701" s="10">
        <v>0</v>
      </c>
      <c r="AA701" s="10" t="s">
        <v>162</v>
      </c>
      <c r="AB701" s="36" t="s">
        <v>733</v>
      </c>
      <c r="AC701" s="10"/>
      <c r="AD701" s="9" t="s">
        <v>4814</v>
      </c>
      <c r="AE701" s="10" t="s">
        <v>4859</v>
      </c>
      <c r="AF701" s="10" t="s">
        <v>272</v>
      </c>
      <c r="AG701" s="10" t="s">
        <v>54</v>
      </c>
      <c r="AH701" s="10" t="s">
        <v>523</v>
      </c>
      <c r="AI701" s="10" t="s">
        <v>371</v>
      </c>
      <c r="AJ701" s="10">
        <v>802835406</v>
      </c>
      <c r="AK701" s="10" t="s">
        <v>362</v>
      </c>
      <c r="AL701" s="10"/>
      <c r="AM701" s="10"/>
      <c r="AN701" s="11" t="s">
        <v>46</v>
      </c>
      <c r="AO701" s="10"/>
      <c r="AP701" s="10"/>
      <c r="AQ701" s="10"/>
      <c r="AR701" s="2">
        <v>45829</v>
      </c>
      <c r="AS701" s="10">
        <v>13000</v>
      </c>
      <c r="AT701" s="10" t="s">
        <v>290</v>
      </c>
      <c r="AU701" s="10" t="s">
        <v>4875</v>
      </c>
      <c r="AV701" s="36" t="s">
        <v>4907</v>
      </c>
      <c r="AW701" s="1">
        <v>46212</v>
      </c>
    </row>
    <row r="702" spans="1:49" x14ac:dyDescent="0.25">
      <c r="A702" s="9" t="s">
        <v>4662</v>
      </c>
      <c r="B702" s="10" t="s">
        <v>4708</v>
      </c>
      <c r="C702" s="10">
        <v>0</v>
      </c>
      <c r="D702" s="10" t="s">
        <v>91</v>
      </c>
      <c r="E702" s="10"/>
      <c r="F702" s="10"/>
      <c r="G702" s="10"/>
      <c r="H702" s="10" t="s">
        <v>52</v>
      </c>
      <c r="I702" s="10">
        <v>21</v>
      </c>
      <c r="J702" s="10" t="s">
        <v>4753</v>
      </c>
      <c r="K702" s="10" t="s">
        <v>42</v>
      </c>
      <c r="L702" s="10">
        <f>Table1[[#This Row],[ENR]]-Table1[[#This Row],[CREDIT]]</f>
        <v>10397.510000000009</v>
      </c>
      <c r="M702" s="36">
        <v>210000</v>
      </c>
      <c r="N702" s="26">
        <v>220397.51</v>
      </c>
      <c r="O702" s="38">
        <v>43021.06</v>
      </c>
      <c r="P702" s="25">
        <v>177376.45</v>
      </c>
      <c r="Q702" s="25">
        <v>152580.34</v>
      </c>
      <c r="R702" s="10">
        <v>60000</v>
      </c>
      <c r="S702" s="39">
        <v>32790</v>
      </c>
      <c r="T702" s="10" t="s">
        <v>44</v>
      </c>
      <c r="U702" s="10" t="s">
        <v>45</v>
      </c>
      <c r="V702" s="10">
        <v>0</v>
      </c>
      <c r="W702" s="25">
        <f>Table1[[#This Row],[STAB]]-Table1[[#This Row],[AMOUNT]]</f>
        <v>32790</v>
      </c>
      <c r="X702" s="10">
        <v>0</v>
      </c>
      <c r="Y702" s="10" t="s">
        <v>79</v>
      </c>
      <c r="Z702" s="10">
        <v>0</v>
      </c>
      <c r="AA702" s="10" t="s">
        <v>162</v>
      </c>
      <c r="AB702" s="10" t="s">
        <v>735</v>
      </c>
      <c r="AC702" s="10"/>
      <c r="AD702" s="9" t="s">
        <v>4797</v>
      </c>
      <c r="AE702" s="10" t="s">
        <v>4842</v>
      </c>
      <c r="AF702" s="10" t="s">
        <v>272</v>
      </c>
      <c r="AG702" s="10" t="s">
        <v>54</v>
      </c>
      <c r="AH702" s="10" t="s">
        <v>114</v>
      </c>
      <c r="AI702" s="10" t="s">
        <v>726</v>
      </c>
      <c r="AJ702" s="10">
        <v>801772792</v>
      </c>
      <c r="AK702" s="10" t="s">
        <v>105</v>
      </c>
      <c r="AL702" s="10"/>
      <c r="AM702" s="10"/>
      <c r="AN702" s="11" t="s">
        <v>390</v>
      </c>
      <c r="AO702" s="10" t="s">
        <v>392</v>
      </c>
      <c r="AP702" s="10" t="s">
        <v>6407</v>
      </c>
      <c r="AQ702" s="10" t="s">
        <v>6399</v>
      </c>
      <c r="AR702" s="2">
        <v>45999</v>
      </c>
      <c r="AS702" s="10">
        <v>33300</v>
      </c>
      <c r="AT702" s="10" t="s">
        <v>689</v>
      </c>
      <c r="AU702" s="10" t="s">
        <v>4875</v>
      </c>
      <c r="AV702" s="36" t="s">
        <v>4889</v>
      </c>
      <c r="AW702" s="1">
        <v>46212</v>
      </c>
    </row>
    <row r="703" spans="1:49" x14ac:dyDescent="0.25">
      <c r="A703" s="9" t="s">
        <v>4688</v>
      </c>
      <c r="B703" s="10" t="s">
        <v>4733</v>
      </c>
      <c r="C703" s="10">
        <v>0</v>
      </c>
      <c r="D703" s="10" t="s">
        <v>91</v>
      </c>
      <c r="E703" s="10"/>
      <c r="F703" s="10"/>
      <c r="G703" s="10"/>
      <c r="H703" s="10" t="s">
        <v>52</v>
      </c>
      <c r="I703" s="10">
        <v>21</v>
      </c>
      <c r="J703" s="10" t="s">
        <v>4778</v>
      </c>
      <c r="K703" s="10" t="s">
        <v>42</v>
      </c>
      <c r="L703" s="10">
        <f>Table1[[#This Row],[ENR]]-Table1[[#This Row],[CREDIT]]</f>
        <v>16687.079999999987</v>
      </c>
      <c r="M703" s="36">
        <v>200000</v>
      </c>
      <c r="N703" s="26">
        <v>216687.08</v>
      </c>
      <c r="O703" s="38" t="s">
        <v>43</v>
      </c>
      <c r="P703" s="25">
        <v>216687.08</v>
      </c>
      <c r="Q703" s="25">
        <v>196097.22</v>
      </c>
      <c r="R703" s="10">
        <v>48900</v>
      </c>
      <c r="S703" s="39">
        <v>18650</v>
      </c>
      <c r="T703" s="10" t="s">
        <v>44</v>
      </c>
      <c r="U703" s="10" t="s">
        <v>45</v>
      </c>
      <c r="V703" s="10">
        <v>0</v>
      </c>
      <c r="W703" s="25">
        <f>Table1[[#This Row],[STAB]]-Table1[[#This Row],[AMOUNT]]</f>
        <v>18650</v>
      </c>
      <c r="X703" s="10">
        <v>0</v>
      </c>
      <c r="Y703" s="10" t="s">
        <v>79</v>
      </c>
      <c r="Z703" s="10">
        <v>0</v>
      </c>
      <c r="AA703" s="10" t="s">
        <v>162</v>
      </c>
      <c r="AB703" s="36" t="s">
        <v>733</v>
      </c>
      <c r="AC703" s="10"/>
      <c r="AD703" s="9" t="s">
        <v>4822</v>
      </c>
      <c r="AE703" s="10" t="s">
        <v>4867</v>
      </c>
      <c r="AF703" s="10" t="s">
        <v>687</v>
      </c>
      <c r="AG703" s="10" t="s">
        <v>53</v>
      </c>
      <c r="AH703" s="10" t="s">
        <v>83</v>
      </c>
      <c r="AI703" s="10" t="s">
        <v>728</v>
      </c>
      <c r="AJ703" s="10">
        <v>802349062</v>
      </c>
      <c r="AK703" s="10" t="s">
        <v>104</v>
      </c>
      <c r="AL703" s="10"/>
      <c r="AM703" s="10"/>
      <c r="AN703" s="11" t="s">
        <v>46</v>
      </c>
      <c r="AO703" s="10"/>
      <c r="AP703" s="10"/>
      <c r="AQ703" s="10"/>
      <c r="AR703" s="2">
        <v>46035</v>
      </c>
      <c r="AS703" s="10">
        <v>10000</v>
      </c>
      <c r="AT703" s="10" t="s">
        <v>290</v>
      </c>
      <c r="AU703" s="10" t="s">
        <v>4875</v>
      </c>
      <c r="AV703" s="36" t="s">
        <v>4915</v>
      </c>
      <c r="AW703" s="1">
        <v>46212</v>
      </c>
    </row>
    <row r="704" spans="1:49" x14ac:dyDescent="0.25">
      <c r="A704" s="9" t="s">
        <v>4655</v>
      </c>
      <c r="B704" s="10" t="s">
        <v>4701</v>
      </c>
      <c r="C704" s="10">
        <v>0</v>
      </c>
      <c r="D704" s="10" t="s">
        <v>91</v>
      </c>
      <c r="E704" s="10"/>
      <c r="F704" s="10"/>
      <c r="G704" s="10"/>
      <c r="H704" s="10" t="s">
        <v>52</v>
      </c>
      <c r="I704" s="10">
        <v>21</v>
      </c>
      <c r="J704" s="10" t="s">
        <v>4746</v>
      </c>
      <c r="K704" s="10" t="s">
        <v>42</v>
      </c>
      <c r="L704" s="10">
        <f>Table1[[#This Row],[ENR]]-Table1[[#This Row],[CREDIT]]</f>
        <v>17917.420000000013</v>
      </c>
      <c r="M704" s="36">
        <v>180000</v>
      </c>
      <c r="N704" s="26">
        <v>197917.42</v>
      </c>
      <c r="O704" s="38" t="s">
        <v>43</v>
      </c>
      <c r="P704" s="25">
        <v>197917.42</v>
      </c>
      <c r="Q704" s="25">
        <v>179883.18</v>
      </c>
      <c r="R704" s="10">
        <v>46060</v>
      </c>
      <c r="S704" s="39">
        <v>18130</v>
      </c>
      <c r="T704" s="10" t="s">
        <v>57</v>
      </c>
      <c r="U704" s="10" t="s">
        <v>13</v>
      </c>
      <c r="V704" s="10">
        <v>46060</v>
      </c>
      <c r="W704" s="25">
        <f>Table1[[#This Row],[STAB]]-Table1[[#This Row],[AMOUNT]]</f>
        <v>-27930</v>
      </c>
      <c r="X704" s="10" t="s">
        <v>4976</v>
      </c>
      <c r="Y704" s="10" t="s">
        <v>402</v>
      </c>
      <c r="Z704" s="10" t="s">
        <v>403</v>
      </c>
      <c r="AA704" s="10" t="s">
        <v>162</v>
      </c>
      <c r="AB704" s="36" t="s">
        <v>733</v>
      </c>
      <c r="AC704" s="10"/>
      <c r="AD704" s="9" t="s">
        <v>4790</v>
      </c>
      <c r="AE704" s="10" t="s">
        <v>4835</v>
      </c>
      <c r="AF704" s="10" t="s">
        <v>272</v>
      </c>
      <c r="AG704" s="10" t="s">
        <v>54</v>
      </c>
      <c r="AH704" s="10" t="s">
        <v>114</v>
      </c>
      <c r="AI704" s="10" t="s">
        <v>726</v>
      </c>
      <c r="AJ704" s="10">
        <v>801772792</v>
      </c>
      <c r="AK704" s="10" t="s">
        <v>105</v>
      </c>
      <c r="AL704" s="10"/>
      <c r="AM704" s="10"/>
      <c r="AN704" s="11" t="s">
        <v>390</v>
      </c>
      <c r="AO704" s="10"/>
      <c r="AP704" s="10"/>
      <c r="AQ704" s="10"/>
      <c r="AR704" s="2">
        <v>45678</v>
      </c>
      <c r="AS704" s="10">
        <v>100</v>
      </c>
      <c r="AT704" s="10" t="s">
        <v>289</v>
      </c>
      <c r="AU704" s="10" t="s">
        <v>4875</v>
      </c>
      <c r="AV704" s="36" t="s">
        <v>4882</v>
      </c>
      <c r="AW704" s="1">
        <v>46212</v>
      </c>
    </row>
    <row r="705" spans="1:49" x14ac:dyDescent="0.25">
      <c r="A705" s="9" t="s">
        <v>4666</v>
      </c>
      <c r="B705" s="10" t="s">
        <v>4712</v>
      </c>
      <c r="C705" s="10">
        <v>0</v>
      </c>
      <c r="D705" s="10" t="s">
        <v>91</v>
      </c>
      <c r="E705" s="10"/>
      <c r="F705" s="10"/>
      <c r="G705" s="10"/>
      <c r="H705" s="10" t="s">
        <v>52</v>
      </c>
      <c r="I705" s="10">
        <v>21</v>
      </c>
      <c r="J705" s="10" t="s">
        <v>4757</v>
      </c>
      <c r="K705" s="10" t="s">
        <v>42</v>
      </c>
      <c r="L705" s="10">
        <f>Table1[[#This Row],[ENR]]-Table1[[#This Row],[CREDIT]]</f>
        <v>9718.0100000000093</v>
      </c>
      <c r="M705" s="36">
        <v>180000</v>
      </c>
      <c r="N705" s="26">
        <v>189718.01</v>
      </c>
      <c r="O705" s="38" t="s">
        <v>43</v>
      </c>
      <c r="P705" s="25">
        <v>189718.01</v>
      </c>
      <c r="Q705" s="25">
        <v>179503.79</v>
      </c>
      <c r="R705" s="10">
        <v>47410</v>
      </c>
      <c r="S705" s="39">
        <v>27340</v>
      </c>
      <c r="T705" s="10" t="s">
        <v>44</v>
      </c>
      <c r="U705" s="10" t="s">
        <v>45</v>
      </c>
      <c r="V705" s="10">
        <v>0</v>
      </c>
      <c r="W705" s="25">
        <f>Table1[[#This Row],[STAB]]-Table1[[#This Row],[AMOUNT]]</f>
        <v>27340</v>
      </c>
      <c r="X705" s="10">
        <v>0</v>
      </c>
      <c r="Y705" s="10" t="s">
        <v>79</v>
      </c>
      <c r="Z705" s="10">
        <v>0</v>
      </c>
      <c r="AA705" s="10" t="s">
        <v>162</v>
      </c>
      <c r="AB705" s="36" t="s">
        <v>736</v>
      </c>
      <c r="AC705" s="10"/>
      <c r="AD705" s="9" t="s">
        <v>4801</v>
      </c>
      <c r="AE705" s="10" t="s">
        <v>4846</v>
      </c>
      <c r="AF705" s="10" t="s">
        <v>864</v>
      </c>
      <c r="AG705" s="10" t="s">
        <v>54</v>
      </c>
      <c r="AH705" s="10" t="s">
        <v>1398</v>
      </c>
      <c r="AI705" s="10" t="s">
        <v>162</v>
      </c>
      <c r="AJ705" s="10">
        <v>801772794</v>
      </c>
      <c r="AK705" s="10" t="s">
        <v>361</v>
      </c>
      <c r="AL705" s="10"/>
      <c r="AM705" s="10"/>
      <c r="AN705" s="11" t="s">
        <v>46</v>
      </c>
      <c r="AO705" s="10"/>
      <c r="AP705" s="10"/>
      <c r="AQ705" s="10"/>
      <c r="AR705" s="2">
        <v>46192</v>
      </c>
      <c r="AS705" s="10">
        <v>14600</v>
      </c>
      <c r="AT705" s="10" t="s">
        <v>690</v>
      </c>
      <c r="AU705" s="10" t="s">
        <v>4875</v>
      </c>
      <c r="AV705" s="36" t="s">
        <v>4893</v>
      </c>
      <c r="AW705" s="1">
        <v>46212</v>
      </c>
    </row>
    <row r="706" spans="1:49" x14ac:dyDescent="0.25">
      <c r="A706" s="9" t="s">
        <v>4686</v>
      </c>
      <c r="B706" s="10" t="s">
        <v>4731</v>
      </c>
      <c r="C706" s="10">
        <v>0</v>
      </c>
      <c r="D706" s="10" t="s">
        <v>91</v>
      </c>
      <c r="E706" s="10"/>
      <c r="F706" s="10"/>
      <c r="G706" s="10"/>
      <c r="H706" s="10" t="s">
        <v>52</v>
      </c>
      <c r="I706" s="10">
        <v>21</v>
      </c>
      <c r="J706" s="10" t="s">
        <v>4776</v>
      </c>
      <c r="K706" s="10" t="s">
        <v>244</v>
      </c>
      <c r="L706" s="10">
        <f>Table1[[#This Row],[ENR]]-Table1[[#This Row],[CREDIT]]</f>
        <v>-75772.88</v>
      </c>
      <c r="M706" s="36">
        <v>250000</v>
      </c>
      <c r="N706" s="26">
        <v>174227.12</v>
      </c>
      <c r="O706" s="38" t="s">
        <v>43</v>
      </c>
      <c r="P706" s="25">
        <v>174227.12</v>
      </c>
      <c r="Q706" s="25">
        <v>159090.85</v>
      </c>
      <c r="R706" s="10">
        <v>24800</v>
      </c>
      <c r="S706" s="39">
        <v>9450</v>
      </c>
      <c r="T706" s="10" t="s">
        <v>44</v>
      </c>
      <c r="U706" s="10" t="s">
        <v>45</v>
      </c>
      <c r="V706" s="10">
        <v>0</v>
      </c>
      <c r="W706" s="25">
        <f>Table1[[#This Row],[STAB]]-Table1[[#This Row],[AMOUNT]]</f>
        <v>9450</v>
      </c>
      <c r="X706" s="10">
        <v>0</v>
      </c>
      <c r="Y706" s="10" t="s">
        <v>79</v>
      </c>
      <c r="Z706" s="10">
        <v>0</v>
      </c>
      <c r="AA706" s="10" t="s">
        <v>162</v>
      </c>
      <c r="AB706" s="10" t="s">
        <v>735</v>
      </c>
      <c r="AC706" s="10"/>
      <c r="AD706" s="9" t="s">
        <v>4820</v>
      </c>
      <c r="AE706" s="10" t="s">
        <v>4865</v>
      </c>
      <c r="AF706" s="10" t="s">
        <v>275</v>
      </c>
      <c r="AG706" s="10" t="s">
        <v>80</v>
      </c>
      <c r="AH706" s="10" t="s">
        <v>115</v>
      </c>
      <c r="AI706" s="10" t="s">
        <v>368</v>
      </c>
      <c r="AJ706" s="10">
        <v>802823175</v>
      </c>
      <c r="AK706" s="10" t="s">
        <v>105</v>
      </c>
      <c r="AL706" s="10"/>
      <c r="AM706" s="10"/>
      <c r="AN706" s="11" t="s">
        <v>390</v>
      </c>
      <c r="AO706" s="10" t="s">
        <v>398</v>
      </c>
      <c r="AP706" s="10" t="s">
        <v>6228</v>
      </c>
      <c r="AQ706" s="10" t="s">
        <v>4937</v>
      </c>
      <c r="AR706" s="2">
        <v>45540</v>
      </c>
      <c r="AS706" s="10">
        <v>27640</v>
      </c>
      <c r="AT706" s="10" t="s">
        <v>290</v>
      </c>
      <c r="AU706" s="10" t="s">
        <v>4875</v>
      </c>
      <c r="AV706" s="36" t="s">
        <v>4913</v>
      </c>
      <c r="AW706" s="1">
        <v>46212</v>
      </c>
    </row>
    <row r="707" spans="1:49" x14ac:dyDescent="0.25">
      <c r="A707" s="9" t="s">
        <v>4681</v>
      </c>
      <c r="B707" s="10" t="s">
        <v>4726</v>
      </c>
      <c r="C707" s="10">
        <v>0</v>
      </c>
      <c r="D707" s="10" t="s">
        <v>91</v>
      </c>
      <c r="E707" s="10"/>
      <c r="F707" s="10" t="s">
        <v>112</v>
      </c>
      <c r="G707" s="10"/>
      <c r="H707" s="10" t="s">
        <v>52</v>
      </c>
      <c r="I707" s="10">
        <v>21</v>
      </c>
      <c r="J707" s="10" t="s">
        <v>4771</v>
      </c>
      <c r="K707" s="10" t="s">
        <v>42</v>
      </c>
      <c r="L707" s="10">
        <f>Table1[[#This Row],[ENR]]-Table1[[#This Row],[CREDIT]]</f>
        <v>-29418.619999999995</v>
      </c>
      <c r="M707" s="36">
        <v>200000</v>
      </c>
      <c r="N707" s="26">
        <v>170581.38</v>
      </c>
      <c r="O707" s="38" t="s">
        <v>43</v>
      </c>
      <c r="P707" s="25">
        <v>170581.38</v>
      </c>
      <c r="Q707" s="25">
        <v>158199.6</v>
      </c>
      <c r="R707" s="10">
        <v>26600</v>
      </c>
      <c r="S707" s="39">
        <v>16490</v>
      </c>
      <c r="T707" s="10" t="s">
        <v>57</v>
      </c>
      <c r="U707" s="10" t="s">
        <v>13</v>
      </c>
      <c r="V707" s="10">
        <v>170581.38</v>
      </c>
      <c r="W707" s="25">
        <f>Table1[[#This Row],[STAB]]-Table1[[#This Row],[AMOUNT]]</f>
        <v>-154091.38</v>
      </c>
      <c r="X707" s="10" t="s">
        <v>6364</v>
      </c>
      <c r="Y707" s="10" t="s">
        <v>402</v>
      </c>
      <c r="Z707" s="10" t="s">
        <v>403</v>
      </c>
      <c r="AA707" s="10" t="s">
        <v>162</v>
      </c>
      <c r="AB707" s="36" t="s">
        <v>733</v>
      </c>
      <c r="AC707" s="10"/>
      <c r="AD707" s="9" t="s">
        <v>4815</v>
      </c>
      <c r="AE707" s="10" t="s">
        <v>4860</v>
      </c>
      <c r="AF707" s="10" t="s">
        <v>499</v>
      </c>
      <c r="AG707" s="10" t="s">
        <v>53</v>
      </c>
      <c r="AH707" s="10" t="s">
        <v>55</v>
      </c>
      <c r="AI707" s="10" t="s">
        <v>365</v>
      </c>
      <c r="AJ707" s="10">
        <v>802824019</v>
      </c>
      <c r="AK707" s="10" t="s">
        <v>360</v>
      </c>
      <c r="AL707" s="10"/>
      <c r="AM707" s="10"/>
      <c r="AN707" s="11" t="s">
        <v>390</v>
      </c>
      <c r="AO707" s="10"/>
      <c r="AP707" s="10"/>
      <c r="AQ707" s="10"/>
      <c r="AR707" s="2">
        <v>46071</v>
      </c>
      <c r="AS707" s="10">
        <v>85948</v>
      </c>
      <c r="AT707" s="10" t="s">
        <v>290</v>
      </c>
      <c r="AU707" s="10" t="s">
        <v>4875</v>
      </c>
      <c r="AV707" s="36" t="s">
        <v>4908</v>
      </c>
      <c r="AW707" s="1">
        <v>46212</v>
      </c>
    </row>
    <row r="708" spans="1:49" x14ac:dyDescent="0.25">
      <c r="A708" s="9" t="s">
        <v>4685</v>
      </c>
      <c r="B708" s="10" t="s">
        <v>4730</v>
      </c>
      <c r="C708" s="10">
        <v>0</v>
      </c>
      <c r="D708" s="10" t="s">
        <v>91</v>
      </c>
      <c r="E708" s="10"/>
      <c r="F708" s="10"/>
      <c r="G708" s="10"/>
      <c r="H708" s="10" t="s">
        <v>52</v>
      </c>
      <c r="I708" s="10">
        <v>21</v>
      </c>
      <c r="J708" s="10" t="s">
        <v>4775</v>
      </c>
      <c r="K708" s="10" t="s">
        <v>42</v>
      </c>
      <c r="L708" s="10">
        <f>Table1[[#This Row],[ENR]]-Table1[[#This Row],[CREDIT]]</f>
        <v>19029.709999999992</v>
      </c>
      <c r="M708" s="36">
        <v>150000</v>
      </c>
      <c r="N708" s="26">
        <v>169029.71</v>
      </c>
      <c r="O708" s="38" t="s">
        <v>43</v>
      </c>
      <c r="P708" s="25">
        <v>169029.71</v>
      </c>
      <c r="Q708" s="25">
        <v>148369.24</v>
      </c>
      <c r="R708" s="10">
        <v>47910</v>
      </c>
      <c r="S708" s="39">
        <v>17160</v>
      </c>
      <c r="T708" s="10" t="s">
        <v>44</v>
      </c>
      <c r="U708" s="10" t="s">
        <v>45</v>
      </c>
      <c r="V708" s="10">
        <v>0</v>
      </c>
      <c r="W708" s="25">
        <f>Table1[[#This Row],[STAB]]-Table1[[#This Row],[AMOUNT]]</f>
        <v>17160</v>
      </c>
      <c r="X708" s="10">
        <v>0</v>
      </c>
      <c r="Y708" s="10" t="s">
        <v>79</v>
      </c>
      <c r="Z708" s="10">
        <v>0</v>
      </c>
      <c r="AA708" s="10" t="s">
        <v>162</v>
      </c>
      <c r="AB708" s="36" t="s">
        <v>734</v>
      </c>
      <c r="AC708" s="10"/>
      <c r="AD708" s="9" t="s">
        <v>4819</v>
      </c>
      <c r="AE708" s="10" t="s">
        <v>4864</v>
      </c>
      <c r="AF708" s="10" t="s">
        <v>285</v>
      </c>
      <c r="AG708" s="10" t="s">
        <v>54</v>
      </c>
      <c r="AH708" s="10" t="s">
        <v>98</v>
      </c>
      <c r="AI708" s="10" t="s">
        <v>727</v>
      </c>
      <c r="AJ708" s="10">
        <v>802898520</v>
      </c>
      <c r="AK708" s="10" t="s">
        <v>104</v>
      </c>
      <c r="AL708" s="10"/>
      <c r="AM708" s="10"/>
      <c r="AN708" s="11" t="s">
        <v>390</v>
      </c>
      <c r="AO708" s="10" t="s">
        <v>531</v>
      </c>
      <c r="AP708" s="10" t="s">
        <v>6647</v>
      </c>
      <c r="AQ708" s="10" t="s">
        <v>6399</v>
      </c>
      <c r="AR708" s="2">
        <v>46070</v>
      </c>
      <c r="AS708" s="10">
        <v>49000</v>
      </c>
      <c r="AT708" s="10" t="s">
        <v>290</v>
      </c>
      <c r="AU708" s="10" t="s">
        <v>4875</v>
      </c>
      <c r="AV708" s="36" t="s">
        <v>4912</v>
      </c>
      <c r="AW708" s="1">
        <v>46212</v>
      </c>
    </row>
    <row r="709" spans="1:49" x14ac:dyDescent="0.25">
      <c r="A709" s="9" t="s">
        <v>4676</v>
      </c>
      <c r="B709" s="10" t="s">
        <v>4721</v>
      </c>
      <c r="C709" s="10" t="s">
        <v>97</v>
      </c>
      <c r="D709" s="10" t="s">
        <v>91</v>
      </c>
      <c r="E709" s="10">
        <v>1</v>
      </c>
      <c r="F709" s="10" t="s">
        <v>112</v>
      </c>
      <c r="G709" s="10"/>
      <c r="H709" s="10" t="s">
        <v>84</v>
      </c>
      <c r="I709" s="10">
        <v>21</v>
      </c>
      <c r="J709" s="10" t="s">
        <v>4766</v>
      </c>
      <c r="K709" s="10" t="s">
        <v>42</v>
      </c>
      <c r="L709" s="10">
        <f>Table1[[#This Row],[ENR]]-Table1[[#This Row],[CREDIT]]</f>
        <v>2147.8800000000047</v>
      </c>
      <c r="M709" s="36">
        <v>160000</v>
      </c>
      <c r="N709" s="26">
        <v>162147.88</v>
      </c>
      <c r="O709" s="38" t="s">
        <v>43</v>
      </c>
      <c r="P709" s="25">
        <v>162147.88</v>
      </c>
      <c r="Q709" s="25">
        <v>147112.4</v>
      </c>
      <c r="R709" s="10">
        <v>35060</v>
      </c>
      <c r="S709" s="39">
        <v>17530</v>
      </c>
      <c r="T709" s="10" t="s">
        <v>44</v>
      </c>
      <c r="U709" s="10" t="s">
        <v>45</v>
      </c>
      <c r="V709" s="10">
        <v>0</v>
      </c>
      <c r="W709" s="25">
        <f>Table1[[#This Row],[STAB]]-Table1[[#This Row],[AMOUNT]]</f>
        <v>17530</v>
      </c>
      <c r="X709" s="10">
        <v>0</v>
      </c>
      <c r="Y709" s="10" t="s">
        <v>79</v>
      </c>
      <c r="Z709" s="10">
        <v>0</v>
      </c>
      <c r="AA709" s="10" t="s">
        <v>162</v>
      </c>
      <c r="AB709" s="36" t="s">
        <v>736</v>
      </c>
      <c r="AC709" s="10"/>
      <c r="AD709" s="9" t="s">
        <v>4810</v>
      </c>
      <c r="AE709" s="10" t="s">
        <v>4855</v>
      </c>
      <c r="AF709" s="10" t="s">
        <v>147</v>
      </c>
      <c r="AG709" s="10" t="s">
        <v>148</v>
      </c>
      <c r="AH709" s="10" t="s">
        <v>60</v>
      </c>
      <c r="AI709" s="10" t="s">
        <v>366</v>
      </c>
      <c r="AJ709" s="10">
        <v>802789320</v>
      </c>
      <c r="AK709" s="10" t="s">
        <v>104</v>
      </c>
      <c r="AL709" s="10"/>
      <c r="AM709" s="10"/>
      <c r="AN709" s="11" t="s">
        <v>390</v>
      </c>
      <c r="AO709" s="10" t="s">
        <v>398</v>
      </c>
      <c r="AP709" s="10" t="s">
        <v>4994</v>
      </c>
      <c r="AQ709" s="10" t="s">
        <v>4993</v>
      </c>
      <c r="AR709" s="2">
        <v>46021</v>
      </c>
      <c r="AS709" s="10">
        <v>48676</v>
      </c>
      <c r="AT709" s="10" t="s">
        <v>290</v>
      </c>
      <c r="AU709" s="10" t="s">
        <v>4875</v>
      </c>
      <c r="AV709" s="36" t="s">
        <v>4903</v>
      </c>
      <c r="AW709" s="1">
        <v>46212</v>
      </c>
    </row>
    <row r="710" spans="1:49" x14ac:dyDescent="0.25">
      <c r="A710" s="9" t="s">
        <v>4689</v>
      </c>
      <c r="B710" s="10" t="s">
        <v>4734</v>
      </c>
      <c r="C710" s="10">
        <v>0</v>
      </c>
      <c r="D710" s="10" t="s">
        <v>91</v>
      </c>
      <c r="E710" s="10"/>
      <c r="F710" s="10"/>
      <c r="G710" s="10"/>
      <c r="H710" s="10" t="s">
        <v>52</v>
      </c>
      <c r="I710" s="10">
        <v>21</v>
      </c>
      <c r="J710" s="10" t="s">
        <v>4779</v>
      </c>
      <c r="K710" s="10" t="s">
        <v>42</v>
      </c>
      <c r="L710" s="10">
        <f>Table1[[#This Row],[ENR]]-Table1[[#This Row],[CREDIT]]</f>
        <v>-8462.4200000000128</v>
      </c>
      <c r="M710" s="36">
        <v>169000</v>
      </c>
      <c r="N710" s="26">
        <v>160537.57999999999</v>
      </c>
      <c r="O710" s="38" t="s">
        <v>43</v>
      </c>
      <c r="P710" s="25">
        <v>160537.57999999999</v>
      </c>
      <c r="Q710" s="25">
        <v>146702</v>
      </c>
      <c r="R710" s="10">
        <v>23970</v>
      </c>
      <c r="S710" s="39">
        <v>8410</v>
      </c>
      <c r="T710" s="10" t="s">
        <v>44</v>
      </c>
      <c r="U710" s="10" t="s">
        <v>45</v>
      </c>
      <c r="V710" s="10">
        <v>0</v>
      </c>
      <c r="W710" s="25">
        <f>Table1[[#This Row],[STAB]]-Table1[[#This Row],[AMOUNT]]</f>
        <v>8410</v>
      </c>
      <c r="X710" s="10">
        <v>0</v>
      </c>
      <c r="Y710" s="10" t="s">
        <v>79</v>
      </c>
      <c r="Z710" s="10">
        <v>0</v>
      </c>
      <c r="AA710" s="10" t="s">
        <v>162</v>
      </c>
      <c r="AB710" s="36" t="s">
        <v>733</v>
      </c>
      <c r="AC710" s="10"/>
      <c r="AD710" s="9" t="s">
        <v>4823</v>
      </c>
      <c r="AE710" s="10" t="s">
        <v>4868</v>
      </c>
      <c r="AF710" s="10" t="s">
        <v>2618</v>
      </c>
      <c r="AG710" s="10" t="s">
        <v>324</v>
      </c>
      <c r="AH710" s="10" t="s">
        <v>3588</v>
      </c>
      <c r="AI710" s="10" t="s">
        <v>367</v>
      </c>
      <c r="AJ710" s="10">
        <v>801436997</v>
      </c>
      <c r="AK710" s="10" t="s">
        <v>104</v>
      </c>
      <c r="AL710" s="10"/>
      <c r="AM710" s="10"/>
      <c r="AN710" s="11" t="s">
        <v>46</v>
      </c>
      <c r="AO710" s="10"/>
      <c r="AP710" s="10"/>
      <c r="AQ710" s="10"/>
      <c r="AR710" s="2">
        <v>45525</v>
      </c>
      <c r="AS710" s="10">
        <v>11050</v>
      </c>
      <c r="AT710" s="10" t="s">
        <v>290</v>
      </c>
      <c r="AU710" s="10" t="s">
        <v>4875</v>
      </c>
      <c r="AV710" s="36" t="s">
        <v>4916</v>
      </c>
      <c r="AW710" s="1">
        <v>46212</v>
      </c>
    </row>
    <row r="711" spans="1:49" x14ac:dyDescent="0.25">
      <c r="A711" s="9" t="s">
        <v>4667</v>
      </c>
      <c r="B711" s="10" t="s">
        <v>4713</v>
      </c>
      <c r="C711" s="10" t="s">
        <v>97</v>
      </c>
      <c r="D711" s="10" t="s">
        <v>91</v>
      </c>
      <c r="E711" s="10">
        <v>1</v>
      </c>
      <c r="F711" s="10" t="s">
        <v>112</v>
      </c>
      <c r="G711" s="10"/>
      <c r="H711" s="10" t="s">
        <v>84</v>
      </c>
      <c r="I711" s="10">
        <v>21</v>
      </c>
      <c r="J711" s="10" t="s">
        <v>4758</v>
      </c>
      <c r="K711" s="10" t="s">
        <v>42</v>
      </c>
      <c r="L711" s="10">
        <f>Table1[[#This Row],[ENR]]-Table1[[#This Row],[CREDIT]]</f>
        <v>7047.8999999999942</v>
      </c>
      <c r="M711" s="36">
        <v>150000</v>
      </c>
      <c r="N711" s="26">
        <v>157047.9</v>
      </c>
      <c r="O711" s="38" t="s">
        <v>43</v>
      </c>
      <c r="P711" s="25">
        <v>157047.9</v>
      </c>
      <c r="Q711" s="25">
        <v>148380.78</v>
      </c>
      <c r="R711" s="10">
        <v>38870</v>
      </c>
      <c r="S711" s="39">
        <v>22980</v>
      </c>
      <c r="T711" s="10" t="s">
        <v>44</v>
      </c>
      <c r="U711" s="10" t="s">
        <v>45</v>
      </c>
      <c r="V711" s="10">
        <v>0</v>
      </c>
      <c r="W711" s="25">
        <f>Table1[[#This Row],[STAB]]-Table1[[#This Row],[AMOUNT]]</f>
        <v>22980</v>
      </c>
      <c r="X711" s="10">
        <v>0</v>
      </c>
      <c r="Y711" s="10" t="s">
        <v>79</v>
      </c>
      <c r="Z711" s="10">
        <v>0</v>
      </c>
      <c r="AA711" s="10" t="s">
        <v>162</v>
      </c>
      <c r="AB711" s="36" t="s">
        <v>734</v>
      </c>
      <c r="AC711" s="10"/>
      <c r="AD711" s="9" t="s">
        <v>4802</v>
      </c>
      <c r="AE711" s="10" t="s">
        <v>4847</v>
      </c>
      <c r="AF711" s="10" t="s">
        <v>272</v>
      </c>
      <c r="AG711" s="10" t="s">
        <v>54</v>
      </c>
      <c r="AH711" s="10" t="s">
        <v>114</v>
      </c>
      <c r="AI711" s="10" t="s">
        <v>726</v>
      </c>
      <c r="AJ711" s="10">
        <v>801772792</v>
      </c>
      <c r="AK711" s="10" t="s">
        <v>105</v>
      </c>
      <c r="AL711" s="10"/>
      <c r="AM711" s="10"/>
      <c r="AN711" s="11" t="s">
        <v>46</v>
      </c>
      <c r="AO711" s="10"/>
      <c r="AP711" s="10"/>
      <c r="AQ711" s="10"/>
      <c r="AR711" s="2">
        <v>45607</v>
      </c>
      <c r="AS711" s="10">
        <v>11770</v>
      </c>
      <c r="AT711" s="10" t="s">
        <v>690</v>
      </c>
      <c r="AU711" s="10" t="s">
        <v>4875</v>
      </c>
      <c r="AV711" s="36" t="s">
        <v>4894</v>
      </c>
      <c r="AW711" s="1">
        <v>46212</v>
      </c>
    </row>
    <row r="712" spans="1:49" x14ac:dyDescent="0.25">
      <c r="A712" s="9" t="s">
        <v>4693</v>
      </c>
      <c r="B712" s="10" t="s">
        <v>4738</v>
      </c>
      <c r="C712" s="10">
        <v>0</v>
      </c>
      <c r="D712" s="10" t="s">
        <v>91</v>
      </c>
      <c r="E712" s="10"/>
      <c r="F712" s="10"/>
      <c r="G712" s="10"/>
      <c r="H712" s="10" t="s">
        <v>52</v>
      </c>
      <c r="I712" s="10">
        <v>21</v>
      </c>
      <c r="J712" s="10" t="s">
        <v>4782</v>
      </c>
      <c r="K712" s="10" t="s">
        <v>42</v>
      </c>
      <c r="L712" s="10">
        <f>Table1[[#This Row],[ENR]]-Table1[[#This Row],[CREDIT]]</f>
        <v>3934.4800000000105</v>
      </c>
      <c r="M712" s="36">
        <v>150000</v>
      </c>
      <c r="N712" s="26">
        <v>153934.48000000001</v>
      </c>
      <c r="O712" s="38">
        <v>120493.7</v>
      </c>
      <c r="P712" s="25">
        <v>33440.78</v>
      </c>
      <c r="Q712" s="25">
        <v>23608.79</v>
      </c>
      <c r="R712" s="10">
        <v>20310</v>
      </c>
      <c r="S712" s="39">
        <v>10540</v>
      </c>
      <c r="T712" s="10" t="s">
        <v>57</v>
      </c>
      <c r="U712" s="10" t="s">
        <v>13</v>
      </c>
      <c r="V712" s="10">
        <v>20310</v>
      </c>
      <c r="W712" s="25">
        <f>Table1[[#This Row],[STAB]]-Table1[[#This Row],[AMOUNT]]</f>
        <v>-9770</v>
      </c>
      <c r="X712" s="10" t="s">
        <v>4976</v>
      </c>
      <c r="Y712" s="10" t="s">
        <v>402</v>
      </c>
      <c r="Z712" s="10" t="s">
        <v>1968</v>
      </c>
      <c r="AA712" s="10" t="s">
        <v>162</v>
      </c>
      <c r="AB712" s="36" t="s">
        <v>734</v>
      </c>
      <c r="AC712" s="10"/>
      <c r="AD712" s="9" t="s">
        <v>4827</v>
      </c>
      <c r="AE712" s="10" t="s">
        <v>4872</v>
      </c>
      <c r="AF712" s="10" t="s">
        <v>111</v>
      </c>
      <c r="AG712" s="10" t="s">
        <v>53</v>
      </c>
      <c r="AH712" s="10" t="s">
        <v>92</v>
      </c>
      <c r="AI712" s="10" t="s">
        <v>113</v>
      </c>
      <c r="AJ712" s="10">
        <v>802388289</v>
      </c>
      <c r="AK712" s="10" t="s">
        <v>104</v>
      </c>
      <c r="AL712" s="10"/>
      <c r="AM712" s="10"/>
      <c r="AN712" s="11" t="s">
        <v>390</v>
      </c>
      <c r="AO712" s="10"/>
      <c r="AP712" s="10"/>
      <c r="AQ712" s="10"/>
      <c r="AR712" s="2" t="s">
        <v>43</v>
      </c>
      <c r="AS712" s="10">
        <v>0</v>
      </c>
      <c r="AT712" s="10" t="s">
        <v>292</v>
      </c>
      <c r="AU712" s="10" t="s">
        <v>4875</v>
      </c>
      <c r="AV712" s="36" t="s">
        <v>4920</v>
      </c>
      <c r="AW712" s="1">
        <v>46212</v>
      </c>
    </row>
    <row r="713" spans="1:49" x14ac:dyDescent="0.25">
      <c r="A713" s="9" t="s">
        <v>4679</v>
      </c>
      <c r="B713" s="10" t="s">
        <v>4724</v>
      </c>
      <c r="C713" s="10">
        <v>0</v>
      </c>
      <c r="D713" s="10" t="s">
        <v>91</v>
      </c>
      <c r="E713" s="10"/>
      <c r="F713" s="10"/>
      <c r="G713" s="10"/>
      <c r="H713" s="10" t="s">
        <v>52</v>
      </c>
      <c r="I713" s="10">
        <v>21</v>
      </c>
      <c r="J713" s="10" t="s">
        <v>4769</v>
      </c>
      <c r="K713" s="10" t="s">
        <v>42</v>
      </c>
      <c r="L713" s="10">
        <f>Table1[[#This Row],[ENR]]-Table1[[#This Row],[CREDIT]]</f>
        <v>5083.25</v>
      </c>
      <c r="M713" s="36">
        <v>140000</v>
      </c>
      <c r="N713" s="26">
        <v>145083.25</v>
      </c>
      <c r="O713" s="38" t="s">
        <v>43</v>
      </c>
      <c r="P713" s="25">
        <v>145083.25</v>
      </c>
      <c r="Q713" s="25">
        <v>137588.31</v>
      </c>
      <c r="R713" s="10">
        <v>27670</v>
      </c>
      <c r="S713" s="39">
        <v>13960</v>
      </c>
      <c r="T713" s="10" t="s">
        <v>44</v>
      </c>
      <c r="U713" s="10" t="s">
        <v>45</v>
      </c>
      <c r="V713" s="10">
        <v>0</v>
      </c>
      <c r="W713" s="25">
        <f>Table1[[#This Row],[STAB]]-Table1[[#This Row],[AMOUNT]]</f>
        <v>13960</v>
      </c>
      <c r="X713" s="10">
        <v>0</v>
      </c>
      <c r="Y713" s="10" t="s">
        <v>79</v>
      </c>
      <c r="Z713" s="10">
        <v>0</v>
      </c>
      <c r="AA713" s="10" t="s">
        <v>162</v>
      </c>
      <c r="AB713" s="10" t="s">
        <v>735</v>
      </c>
      <c r="AC713" s="10"/>
      <c r="AD713" s="9" t="s">
        <v>4813</v>
      </c>
      <c r="AE713" s="10" t="s">
        <v>4858</v>
      </c>
      <c r="AF713" s="10" t="s">
        <v>85</v>
      </c>
      <c r="AG713" s="10" t="s">
        <v>54</v>
      </c>
      <c r="AH713" s="10" t="s">
        <v>89</v>
      </c>
      <c r="AI713" s="10" t="s">
        <v>106</v>
      </c>
      <c r="AJ713" s="10">
        <v>802370852</v>
      </c>
      <c r="AK713" s="10" t="s">
        <v>105</v>
      </c>
      <c r="AL713" s="10"/>
      <c r="AM713" s="10"/>
      <c r="AN713" s="11" t="s">
        <v>390</v>
      </c>
      <c r="AO713" s="10" t="s">
        <v>392</v>
      </c>
      <c r="AP713" s="10" t="s">
        <v>6400</v>
      </c>
      <c r="AQ713" s="10" t="s">
        <v>6399</v>
      </c>
      <c r="AR713" s="2">
        <v>46087</v>
      </c>
      <c r="AS713" s="10">
        <v>10000</v>
      </c>
      <c r="AT713" s="10" t="s">
        <v>290</v>
      </c>
      <c r="AU713" s="10" t="s">
        <v>4875</v>
      </c>
      <c r="AV713" s="36" t="s">
        <v>4906</v>
      </c>
      <c r="AW713" s="1">
        <v>46212</v>
      </c>
    </row>
    <row r="714" spans="1:49" x14ac:dyDescent="0.25">
      <c r="A714" s="9" t="s">
        <v>4668</v>
      </c>
      <c r="B714" s="10" t="s">
        <v>4714</v>
      </c>
      <c r="C714" s="10">
        <v>0</v>
      </c>
      <c r="D714" s="10" t="s">
        <v>91</v>
      </c>
      <c r="E714" s="10"/>
      <c r="F714" s="10"/>
      <c r="G714" s="10"/>
      <c r="H714" s="10" t="s">
        <v>52</v>
      </c>
      <c r="I714" s="10">
        <v>21</v>
      </c>
      <c r="J714" s="10" t="s">
        <v>4759</v>
      </c>
      <c r="K714" s="10" t="s">
        <v>42</v>
      </c>
      <c r="L714" s="10">
        <f>Table1[[#This Row],[ENR]]-Table1[[#This Row],[CREDIT]]</f>
        <v>63780.97</v>
      </c>
      <c r="M714" s="36">
        <v>80000</v>
      </c>
      <c r="N714" s="26">
        <v>143780.97</v>
      </c>
      <c r="O714" s="38">
        <v>91220.08</v>
      </c>
      <c r="P714" s="25">
        <v>52560.89</v>
      </c>
      <c r="Q714" s="25">
        <v>47935.66</v>
      </c>
      <c r="R714" s="10">
        <v>32320</v>
      </c>
      <c r="S714" s="39">
        <v>16140</v>
      </c>
      <c r="T714" s="10" t="s">
        <v>44</v>
      </c>
      <c r="U714" s="10" t="s">
        <v>45</v>
      </c>
      <c r="V714" s="10">
        <v>0</v>
      </c>
      <c r="W714" s="25">
        <f>Table1[[#This Row],[STAB]]-Table1[[#This Row],[AMOUNT]]</f>
        <v>16140</v>
      </c>
      <c r="X714" s="10">
        <v>0</v>
      </c>
      <c r="Y714" s="10" t="s">
        <v>79</v>
      </c>
      <c r="Z714" s="10">
        <v>0</v>
      </c>
      <c r="AA714" s="10" t="s">
        <v>162</v>
      </c>
      <c r="AB714" s="36" t="s">
        <v>733</v>
      </c>
      <c r="AC714" s="10"/>
      <c r="AD714" s="9" t="s">
        <v>4803</v>
      </c>
      <c r="AE714" s="10" t="s">
        <v>4848</v>
      </c>
      <c r="AF714" s="10" t="s">
        <v>85</v>
      </c>
      <c r="AG714" s="10" t="s">
        <v>54</v>
      </c>
      <c r="AH714" s="10" t="s">
        <v>89</v>
      </c>
      <c r="AI714" s="10" t="s">
        <v>106</v>
      </c>
      <c r="AJ714" s="10">
        <v>802370852</v>
      </c>
      <c r="AK714" s="10" t="s">
        <v>105</v>
      </c>
      <c r="AL714" s="10"/>
      <c r="AM714" s="10"/>
      <c r="AN714" s="11" t="s">
        <v>390</v>
      </c>
      <c r="AO714" s="10" t="s">
        <v>392</v>
      </c>
      <c r="AP714" s="10" t="s">
        <v>6405</v>
      </c>
      <c r="AQ714" s="10" t="s">
        <v>6399</v>
      </c>
      <c r="AR714" s="2">
        <v>46193</v>
      </c>
      <c r="AS714" s="10">
        <v>16000</v>
      </c>
      <c r="AT714" s="10" t="s">
        <v>690</v>
      </c>
      <c r="AU714" s="10" t="s">
        <v>4875</v>
      </c>
      <c r="AV714" s="36" t="s">
        <v>4895</v>
      </c>
      <c r="AW714" s="1">
        <v>46212</v>
      </c>
    </row>
    <row r="715" spans="1:49" x14ac:dyDescent="0.25">
      <c r="A715" s="9" t="s">
        <v>4652</v>
      </c>
      <c r="B715" s="10" t="s">
        <v>4698</v>
      </c>
      <c r="C715" s="10">
        <v>0</v>
      </c>
      <c r="D715" s="10" t="s">
        <v>91</v>
      </c>
      <c r="E715" s="10"/>
      <c r="F715" s="10"/>
      <c r="G715" s="10"/>
      <c r="H715" s="10" t="s">
        <v>52</v>
      </c>
      <c r="I715" s="10">
        <v>21</v>
      </c>
      <c r="J715" s="10" t="s">
        <v>4743</v>
      </c>
      <c r="K715" s="10" t="s">
        <v>42</v>
      </c>
      <c r="L715" s="10">
        <f>Table1[[#This Row],[ENR]]-Table1[[#This Row],[CREDIT]]</f>
        <v>14143.149999999994</v>
      </c>
      <c r="M715" s="36">
        <v>120000</v>
      </c>
      <c r="N715" s="26">
        <v>134143.15</v>
      </c>
      <c r="O715" s="38" t="s">
        <v>43</v>
      </c>
      <c r="P715" s="25">
        <v>134143.15</v>
      </c>
      <c r="Q715" s="25">
        <v>118871.73</v>
      </c>
      <c r="R715" s="10">
        <v>34430</v>
      </c>
      <c r="S715" s="39">
        <v>14820</v>
      </c>
      <c r="T715" s="10" t="s">
        <v>57</v>
      </c>
      <c r="U715" s="10" t="s">
        <v>14</v>
      </c>
      <c r="V715" s="10">
        <v>15020</v>
      </c>
      <c r="W715" s="25">
        <f>Table1[[#This Row],[STAB]]-Table1[[#This Row],[AMOUNT]]</f>
        <v>-200</v>
      </c>
      <c r="X715" s="10" t="s">
        <v>4931</v>
      </c>
      <c r="Y715" s="10" t="s">
        <v>402</v>
      </c>
      <c r="Z715" s="10" t="s">
        <v>1968</v>
      </c>
      <c r="AA715" s="10" t="s">
        <v>162</v>
      </c>
      <c r="AB715" s="36" t="s">
        <v>736</v>
      </c>
      <c r="AC715" s="10"/>
      <c r="AD715" s="9" t="s">
        <v>4787</v>
      </c>
      <c r="AE715" s="10" t="s">
        <v>4832</v>
      </c>
      <c r="AF715" s="10" t="s">
        <v>146</v>
      </c>
      <c r="AG715" s="10" t="s">
        <v>54</v>
      </c>
      <c r="AH715" s="10" t="s">
        <v>4529</v>
      </c>
      <c r="AI715" s="10" t="s">
        <v>365</v>
      </c>
      <c r="AJ715" s="10">
        <v>802824019</v>
      </c>
      <c r="AK715" s="10" t="s">
        <v>360</v>
      </c>
      <c r="AL715" s="10"/>
      <c r="AM715" s="10"/>
      <c r="AN715" s="11" t="s">
        <v>390</v>
      </c>
      <c r="AO715" s="10" t="s">
        <v>392</v>
      </c>
      <c r="AP715" s="10" t="s">
        <v>5589</v>
      </c>
      <c r="AQ715" s="10" t="s">
        <v>4931</v>
      </c>
      <c r="AR715" s="2">
        <v>46065</v>
      </c>
      <c r="AS715" s="10">
        <v>21979</v>
      </c>
      <c r="AT715" s="10" t="s">
        <v>289</v>
      </c>
      <c r="AU715" s="10" t="s">
        <v>4875</v>
      </c>
      <c r="AV715" s="36" t="s">
        <v>4879</v>
      </c>
      <c r="AW715" s="1">
        <v>46212</v>
      </c>
    </row>
    <row r="716" spans="1:49" x14ac:dyDescent="0.25">
      <c r="A716" s="9" t="s">
        <v>4651</v>
      </c>
      <c r="B716" s="10" t="s">
        <v>4697</v>
      </c>
      <c r="C716" s="10">
        <v>0</v>
      </c>
      <c r="D716" s="10" t="s">
        <v>91</v>
      </c>
      <c r="E716" s="10"/>
      <c r="F716" s="10"/>
      <c r="G716" s="10"/>
      <c r="H716" s="10" t="s">
        <v>52</v>
      </c>
      <c r="I716" s="10">
        <v>21</v>
      </c>
      <c r="J716" s="10" t="s">
        <v>4742</v>
      </c>
      <c r="K716" s="10" t="s">
        <v>42</v>
      </c>
      <c r="L716" s="10">
        <f>Table1[[#This Row],[ENR]]-Table1[[#This Row],[CREDIT]]</f>
        <v>-2541.9900000000052</v>
      </c>
      <c r="M716" s="36">
        <v>130000</v>
      </c>
      <c r="N716" s="26">
        <v>127458.01</v>
      </c>
      <c r="O716" s="38" t="s">
        <v>43</v>
      </c>
      <c r="P716" s="25">
        <v>127458.01</v>
      </c>
      <c r="Q716" s="25">
        <v>115343.16</v>
      </c>
      <c r="R716" s="10">
        <v>19410</v>
      </c>
      <c r="S716" s="39">
        <v>6780</v>
      </c>
      <c r="T716" s="10" t="s">
        <v>44</v>
      </c>
      <c r="U716" s="10" t="s">
        <v>45</v>
      </c>
      <c r="V716" s="10">
        <v>0</v>
      </c>
      <c r="W716" s="25">
        <f>Table1[[#This Row],[STAB]]-Table1[[#This Row],[AMOUNT]]</f>
        <v>6780</v>
      </c>
      <c r="X716" s="10">
        <v>0</v>
      </c>
      <c r="Y716" s="10" t="s">
        <v>79</v>
      </c>
      <c r="Z716" s="10">
        <v>0</v>
      </c>
      <c r="AA716" s="10" t="s">
        <v>162</v>
      </c>
      <c r="AB716" s="36" t="s">
        <v>734</v>
      </c>
      <c r="AC716" s="10"/>
      <c r="AD716" s="9" t="s">
        <v>4786</v>
      </c>
      <c r="AE716" s="10" t="s">
        <v>4831</v>
      </c>
      <c r="AF716" s="10" t="s">
        <v>1319</v>
      </c>
      <c r="AG716" s="10" t="s">
        <v>54</v>
      </c>
      <c r="AH716" s="10" t="s">
        <v>59</v>
      </c>
      <c r="AI716" s="10" t="s">
        <v>956</v>
      </c>
      <c r="AJ716" s="10">
        <v>802551967</v>
      </c>
      <c r="AK716" s="10" t="s">
        <v>362</v>
      </c>
      <c r="AL716" s="10"/>
      <c r="AM716" s="10"/>
      <c r="AN716" s="11" t="s">
        <v>390</v>
      </c>
      <c r="AO716" s="10" t="s">
        <v>392</v>
      </c>
      <c r="AP716" s="10" t="s">
        <v>6367</v>
      </c>
      <c r="AQ716" s="10" t="s">
        <v>6364</v>
      </c>
      <c r="AR716" s="2">
        <v>45479</v>
      </c>
      <c r="AS716" s="10">
        <v>12187.44</v>
      </c>
      <c r="AT716" s="10" t="s">
        <v>688</v>
      </c>
      <c r="AU716" s="10" t="s">
        <v>4875</v>
      </c>
      <c r="AV716" s="36" t="s">
        <v>4878</v>
      </c>
      <c r="AW716" s="1">
        <v>46212</v>
      </c>
    </row>
    <row r="717" spans="1:49" x14ac:dyDescent="0.25">
      <c r="A717" s="9" t="s">
        <v>4661</v>
      </c>
      <c r="B717" s="10" t="s">
        <v>4707</v>
      </c>
      <c r="C717" s="10">
        <v>0</v>
      </c>
      <c r="D717" s="10" t="s">
        <v>91</v>
      </c>
      <c r="E717" s="10"/>
      <c r="F717" s="10"/>
      <c r="G717" s="10"/>
      <c r="H717" s="10" t="s">
        <v>52</v>
      </c>
      <c r="I717" s="10">
        <v>21</v>
      </c>
      <c r="J717" s="10" t="s">
        <v>4752</v>
      </c>
      <c r="K717" s="10" t="s">
        <v>42</v>
      </c>
      <c r="L717" s="10">
        <f>Table1[[#This Row],[ENR]]-Table1[[#This Row],[CREDIT]]</f>
        <v>106374.13</v>
      </c>
      <c r="M717" s="36">
        <v>20000</v>
      </c>
      <c r="N717" s="26">
        <v>126374.13</v>
      </c>
      <c r="O717" s="38">
        <v>100850.43</v>
      </c>
      <c r="P717" s="25">
        <v>25523.7</v>
      </c>
      <c r="Q717" s="25">
        <v>18891.669999999998</v>
      </c>
      <c r="R717" s="10">
        <v>25523.7</v>
      </c>
      <c r="S717" s="39">
        <v>15242.1</v>
      </c>
      <c r="T717" s="10" t="s">
        <v>44</v>
      </c>
      <c r="U717" s="10" t="s">
        <v>45</v>
      </c>
      <c r="V717" s="10">
        <v>0</v>
      </c>
      <c r="W717" s="25">
        <f>Table1[[#This Row],[STAB]]-Table1[[#This Row],[AMOUNT]]</f>
        <v>15242.1</v>
      </c>
      <c r="X717" s="10">
        <v>0</v>
      </c>
      <c r="Y717" s="10" t="s">
        <v>79</v>
      </c>
      <c r="Z717" s="10">
        <v>0</v>
      </c>
      <c r="AA717" s="10" t="s">
        <v>162</v>
      </c>
      <c r="AB717" s="10" t="s">
        <v>735</v>
      </c>
      <c r="AC717" s="10"/>
      <c r="AD717" s="9" t="s">
        <v>4796</v>
      </c>
      <c r="AE717" s="10" t="s">
        <v>4841</v>
      </c>
      <c r="AF717" s="10" t="s">
        <v>273</v>
      </c>
      <c r="AG717" s="10" t="s">
        <v>323</v>
      </c>
      <c r="AH717" s="10" t="s">
        <v>4528</v>
      </c>
      <c r="AI717" s="10" t="s">
        <v>363</v>
      </c>
      <c r="AJ717" s="10">
        <v>802913252</v>
      </c>
      <c r="AK717" s="10" t="s">
        <v>104</v>
      </c>
      <c r="AL717" s="10"/>
      <c r="AM717" s="10"/>
      <c r="AN717" s="11" t="s">
        <v>46</v>
      </c>
      <c r="AO717" s="10"/>
      <c r="AP717" s="10"/>
      <c r="AQ717" s="10"/>
      <c r="AR717" s="2">
        <v>45665</v>
      </c>
      <c r="AS717" s="10">
        <v>10</v>
      </c>
      <c r="AT717" s="10" t="s">
        <v>690</v>
      </c>
      <c r="AU717" s="10" t="s">
        <v>4875</v>
      </c>
      <c r="AV717" s="36" t="s">
        <v>4888</v>
      </c>
      <c r="AW717" s="1">
        <v>46212</v>
      </c>
    </row>
    <row r="718" spans="1:49" x14ac:dyDescent="0.25">
      <c r="A718" s="9" t="s">
        <v>4672</v>
      </c>
      <c r="B718" s="10" t="s">
        <v>4718</v>
      </c>
      <c r="C718" s="10">
        <v>0</v>
      </c>
      <c r="D718" s="10" t="s">
        <v>91</v>
      </c>
      <c r="E718" s="10"/>
      <c r="F718" s="10"/>
      <c r="G718" s="10"/>
      <c r="H718" s="10" t="s">
        <v>52</v>
      </c>
      <c r="I718" s="10">
        <v>21</v>
      </c>
      <c r="J718" s="10" t="s">
        <v>4763</v>
      </c>
      <c r="K718" s="10" t="s">
        <v>42</v>
      </c>
      <c r="L718" s="10">
        <f>Table1[[#This Row],[ENR]]-Table1[[#This Row],[CREDIT]]</f>
        <v>-48829.100000000006</v>
      </c>
      <c r="M718" s="36">
        <v>170000</v>
      </c>
      <c r="N718" s="26">
        <v>121170.9</v>
      </c>
      <c r="O718" s="38" t="s">
        <v>43</v>
      </c>
      <c r="P718" s="25">
        <v>121170.9</v>
      </c>
      <c r="Q718" s="25">
        <v>108788.87</v>
      </c>
      <c r="R718" s="10">
        <v>18240</v>
      </c>
      <c r="S718" s="39">
        <v>6203</v>
      </c>
      <c r="T718" s="10" t="s">
        <v>57</v>
      </c>
      <c r="U718" s="10" t="s">
        <v>13</v>
      </c>
      <c r="V718" s="10">
        <v>18240</v>
      </c>
      <c r="W718" s="25">
        <f>Table1[[#This Row],[STAB]]-Table1[[#This Row],[AMOUNT]]</f>
        <v>-12037</v>
      </c>
      <c r="X718" s="10" t="s">
        <v>4976</v>
      </c>
      <c r="Y718" s="10" t="s">
        <v>396</v>
      </c>
      <c r="Z718" s="10" t="s">
        <v>403</v>
      </c>
      <c r="AA718" s="10" t="s">
        <v>162</v>
      </c>
      <c r="AB718" s="36" t="s">
        <v>733</v>
      </c>
      <c r="AC718" s="10"/>
      <c r="AD718" s="9" t="s">
        <v>4807</v>
      </c>
      <c r="AE718" s="10" t="s">
        <v>4852</v>
      </c>
      <c r="AF718" s="10" t="s">
        <v>286</v>
      </c>
      <c r="AG718" s="10" t="s">
        <v>54</v>
      </c>
      <c r="AH718" s="10" t="s">
        <v>58</v>
      </c>
      <c r="AI718" s="10" t="s">
        <v>133</v>
      </c>
      <c r="AJ718" s="10">
        <v>802555024</v>
      </c>
      <c r="AK718" s="10" t="s">
        <v>362</v>
      </c>
      <c r="AL718" s="10"/>
      <c r="AM718" s="10"/>
      <c r="AN718" s="11" t="s">
        <v>390</v>
      </c>
      <c r="AO718" s="10"/>
      <c r="AP718" s="10"/>
      <c r="AQ718" s="10"/>
      <c r="AR718" s="2">
        <v>45729</v>
      </c>
      <c r="AS718" s="10">
        <v>59740</v>
      </c>
      <c r="AT718" s="10" t="s">
        <v>690</v>
      </c>
      <c r="AU718" s="10" t="s">
        <v>4875</v>
      </c>
      <c r="AV718" s="36" t="s">
        <v>4899</v>
      </c>
      <c r="AW718" s="1">
        <v>46212</v>
      </c>
    </row>
    <row r="719" spans="1:49" x14ac:dyDescent="0.25">
      <c r="A719" s="9" t="s">
        <v>4673</v>
      </c>
      <c r="B719" s="10" t="s">
        <v>4719</v>
      </c>
      <c r="C719" s="10" t="s">
        <v>97</v>
      </c>
      <c r="D719" s="10" t="s">
        <v>91</v>
      </c>
      <c r="E719" s="10">
        <v>1</v>
      </c>
      <c r="F719" s="10" t="s">
        <v>112</v>
      </c>
      <c r="G719" s="10"/>
      <c r="H719" s="10" t="s">
        <v>84</v>
      </c>
      <c r="I719" s="10">
        <v>21</v>
      </c>
      <c r="J719" s="10" t="s">
        <v>4764</v>
      </c>
      <c r="K719" s="10" t="s">
        <v>42</v>
      </c>
      <c r="L719" s="10">
        <f>Table1[[#This Row],[ENR]]-Table1[[#This Row],[CREDIT]]</f>
        <v>-2911.5</v>
      </c>
      <c r="M719" s="36">
        <v>120000</v>
      </c>
      <c r="N719" s="26">
        <v>117088.5</v>
      </c>
      <c r="O719" s="38">
        <v>31791.81</v>
      </c>
      <c r="P719" s="25">
        <v>85296.69</v>
      </c>
      <c r="Q719" s="25">
        <v>79435.58</v>
      </c>
      <c r="R719" s="10">
        <v>28660</v>
      </c>
      <c r="S719" s="39">
        <v>15240</v>
      </c>
      <c r="T719" s="10" t="s">
        <v>57</v>
      </c>
      <c r="U719" s="10" t="s">
        <v>13</v>
      </c>
      <c r="V719" s="10">
        <v>29389</v>
      </c>
      <c r="W719" s="25">
        <f>Table1[[#This Row],[STAB]]-Table1[[#This Row],[AMOUNT]]</f>
        <v>-14149</v>
      </c>
      <c r="X719" s="10" t="s">
        <v>4931</v>
      </c>
      <c r="Y719" s="10" t="s">
        <v>402</v>
      </c>
      <c r="Z719" s="10">
        <v>0</v>
      </c>
      <c r="AA719" s="10" t="s">
        <v>162</v>
      </c>
      <c r="AB719" s="10" t="s">
        <v>735</v>
      </c>
      <c r="AC719" s="10"/>
      <c r="AD719" s="9" t="s">
        <v>4808</v>
      </c>
      <c r="AE719" s="10" t="s">
        <v>4853</v>
      </c>
      <c r="AF719" s="10" t="s">
        <v>272</v>
      </c>
      <c r="AG719" s="10" t="s">
        <v>54</v>
      </c>
      <c r="AH719" s="10" t="s">
        <v>114</v>
      </c>
      <c r="AI719" s="10" t="s">
        <v>726</v>
      </c>
      <c r="AJ719" s="10">
        <v>801772792</v>
      </c>
      <c r="AK719" s="10" t="s">
        <v>105</v>
      </c>
      <c r="AL719" s="10"/>
      <c r="AM719" s="10"/>
      <c r="AN719" s="11" t="s">
        <v>390</v>
      </c>
      <c r="AO719" s="10"/>
      <c r="AP719" s="10"/>
      <c r="AQ719" s="10"/>
      <c r="AR719" s="2">
        <v>45482</v>
      </c>
      <c r="AS719" s="10">
        <v>114876.7</v>
      </c>
      <c r="AT719" s="10" t="s">
        <v>690</v>
      </c>
      <c r="AU719" s="10" t="s">
        <v>4875</v>
      </c>
      <c r="AV719" s="36" t="s">
        <v>4900</v>
      </c>
      <c r="AW719" s="1">
        <v>46212</v>
      </c>
    </row>
    <row r="720" spans="1:49" x14ac:dyDescent="0.25">
      <c r="A720" s="9" t="s">
        <v>4692</v>
      </c>
      <c r="B720" s="10" t="s">
        <v>4737</v>
      </c>
      <c r="C720" s="10">
        <v>0</v>
      </c>
      <c r="D720" s="10" t="s">
        <v>91</v>
      </c>
      <c r="E720" s="10"/>
      <c r="F720" s="10"/>
      <c r="G720" s="10"/>
      <c r="H720" s="10" t="s">
        <v>52</v>
      </c>
      <c r="I720" s="10">
        <v>21</v>
      </c>
      <c r="J720" s="10" t="s">
        <v>4781</v>
      </c>
      <c r="K720" s="10" t="s">
        <v>42</v>
      </c>
      <c r="L720" s="10">
        <f>Table1[[#This Row],[ENR]]-Table1[[#This Row],[CREDIT]]</f>
        <v>5919.3300000000017</v>
      </c>
      <c r="M720" s="36">
        <v>110000</v>
      </c>
      <c r="N720" s="26">
        <v>115919.33</v>
      </c>
      <c r="O720" s="38">
        <v>59340.4</v>
      </c>
      <c r="P720" s="25">
        <v>56578.93</v>
      </c>
      <c r="Q720" s="25">
        <v>49477.25</v>
      </c>
      <c r="R720" s="10">
        <v>18710</v>
      </c>
      <c r="S720" s="39">
        <v>7010</v>
      </c>
      <c r="T720" s="10" t="s">
        <v>44</v>
      </c>
      <c r="U720" s="10" t="s">
        <v>45</v>
      </c>
      <c r="V720" s="10">
        <v>0</v>
      </c>
      <c r="W720" s="25">
        <f>Table1[[#This Row],[STAB]]-Table1[[#This Row],[AMOUNT]]</f>
        <v>7010</v>
      </c>
      <c r="X720" s="10">
        <v>0</v>
      </c>
      <c r="Y720" s="10" t="s">
        <v>79</v>
      </c>
      <c r="Z720" s="10">
        <v>0</v>
      </c>
      <c r="AA720" s="10" t="s">
        <v>162</v>
      </c>
      <c r="AB720" s="36" t="s">
        <v>734</v>
      </c>
      <c r="AC720" s="10"/>
      <c r="AD720" s="9" t="s">
        <v>4826</v>
      </c>
      <c r="AE720" s="10" t="s">
        <v>4871</v>
      </c>
      <c r="AF720" s="10" t="s">
        <v>1102</v>
      </c>
      <c r="AG720" s="10" t="s">
        <v>324</v>
      </c>
      <c r="AH720" s="10" t="s">
        <v>1956</v>
      </c>
      <c r="AI720" s="10" t="s">
        <v>1403</v>
      </c>
      <c r="AJ720" s="10">
        <v>802631601</v>
      </c>
      <c r="AK720" s="10" t="s">
        <v>362</v>
      </c>
      <c r="AL720" s="10"/>
      <c r="AM720" s="10"/>
      <c r="AN720" s="11" t="s">
        <v>390</v>
      </c>
      <c r="AO720" s="10" t="s">
        <v>398</v>
      </c>
      <c r="AP720" s="10" t="s">
        <v>6384</v>
      </c>
      <c r="AQ720" s="10" t="s">
        <v>6364</v>
      </c>
      <c r="AR720" s="2" t="s">
        <v>43</v>
      </c>
      <c r="AS720" s="10">
        <v>0</v>
      </c>
      <c r="AT720" s="10" t="s">
        <v>292</v>
      </c>
      <c r="AU720" s="10" t="s">
        <v>4875</v>
      </c>
      <c r="AV720" s="36" t="s">
        <v>4919</v>
      </c>
      <c r="AW720" s="1">
        <v>46212</v>
      </c>
    </row>
    <row r="721" spans="1:49" x14ac:dyDescent="0.25">
      <c r="A721" s="9" t="s">
        <v>4656</v>
      </c>
      <c r="B721" s="10" t="s">
        <v>4702</v>
      </c>
      <c r="C721" s="10">
        <v>0</v>
      </c>
      <c r="D721" s="10" t="s">
        <v>91</v>
      </c>
      <c r="E721" s="10"/>
      <c r="F721" s="10"/>
      <c r="G721" s="10"/>
      <c r="H721" s="10" t="s">
        <v>52</v>
      </c>
      <c r="I721" s="10">
        <v>21</v>
      </c>
      <c r="J721" s="10" t="s">
        <v>4747</v>
      </c>
      <c r="K721" s="10" t="s">
        <v>42</v>
      </c>
      <c r="L721" s="10">
        <f>Table1[[#This Row],[ENR]]-Table1[[#This Row],[CREDIT]]</f>
        <v>-24640.990000000005</v>
      </c>
      <c r="M721" s="36">
        <v>140000</v>
      </c>
      <c r="N721" s="26">
        <v>115359.01</v>
      </c>
      <c r="O721" s="38" t="s">
        <v>43</v>
      </c>
      <c r="P721" s="25">
        <v>115359.01</v>
      </c>
      <c r="Q721" s="25">
        <v>104173.01</v>
      </c>
      <c r="R721" s="10">
        <v>17150</v>
      </c>
      <c r="S721" s="39">
        <v>5380</v>
      </c>
      <c r="T721" s="10" t="s">
        <v>44</v>
      </c>
      <c r="U721" s="10" t="s">
        <v>45</v>
      </c>
      <c r="V721" s="10">
        <v>0</v>
      </c>
      <c r="W721" s="25">
        <f>Table1[[#This Row],[STAB]]-Table1[[#This Row],[AMOUNT]]</f>
        <v>5380</v>
      </c>
      <c r="X721" s="10">
        <v>0</v>
      </c>
      <c r="Y721" s="10" t="s">
        <v>79</v>
      </c>
      <c r="Z721" s="10">
        <v>0</v>
      </c>
      <c r="AA721" s="10" t="s">
        <v>162</v>
      </c>
      <c r="AB721" s="36" t="s">
        <v>736</v>
      </c>
      <c r="AC721" s="10"/>
      <c r="AD721" s="9" t="s">
        <v>4791</v>
      </c>
      <c r="AE721" s="10" t="s">
        <v>4836</v>
      </c>
      <c r="AF721" s="10" t="s">
        <v>85</v>
      </c>
      <c r="AG721" s="10" t="s">
        <v>54</v>
      </c>
      <c r="AH721" s="10" t="s">
        <v>89</v>
      </c>
      <c r="AI721" s="10" t="s">
        <v>106</v>
      </c>
      <c r="AJ721" s="10">
        <v>802370852</v>
      </c>
      <c r="AK721" s="10" t="s">
        <v>105</v>
      </c>
      <c r="AL721" s="10"/>
      <c r="AM721" s="10"/>
      <c r="AN721" s="11" t="s">
        <v>46</v>
      </c>
      <c r="AO721" s="10"/>
      <c r="AP721" s="10"/>
      <c r="AQ721" s="10"/>
      <c r="AR721" s="2">
        <v>46133</v>
      </c>
      <c r="AS721" s="10">
        <v>7300</v>
      </c>
      <c r="AT721" s="10" t="s">
        <v>289</v>
      </c>
      <c r="AU721" s="10" t="s">
        <v>4875</v>
      </c>
      <c r="AV721" s="36" t="s">
        <v>4883</v>
      </c>
      <c r="AW721" s="1">
        <v>46212</v>
      </c>
    </row>
    <row r="722" spans="1:49" x14ac:dyDescent="0.25">
      <c r="A722" s="9" t="s">
        <v>4691</v>
      </c>
      <c r="B722" s="10" t="s">
        <v>4736</v>
      </c>
      <c r="C722" s="10">
        <v>0</v>
      </c>
      <c r="D722" s="10" t="s">
        <v>91</v>
      </c>
      <c r="E722" s="10"/>
      <c r="F722" s="10"/>
      <c r="G722" s="10"/>
      <c r="H722" s="10" t="s">
        <v>52</v>
      </c>
      <c r="I722" s="10">
        <v>21</v>
      </c>
      <c r="J722" s="10" t="s">
        <v>4780</v>
      </c>
      <c r="K722" s="10" t="s">
        <v>42</v>
      </c>
      <c r="L722" s="10">
        <f>Table1[[#This Row],[ENR]]-Table1[[#This Row],[CREDIT]]</f>
        <v>14917.059999999998</v>
      </c>
      <c r="M722" s="36">
        <v>100000</v>
      </c>
      <c r="N722" s="26">
        <v>114917.06</v>
      </c>
      <c r="O722" s="38" t="s">
        <v>43</v>
      </c>
      <c r="P722" s="25">
        <v>114917.06</v>
      </c>
      <c r="Q722" s="25">
        <v>99499.91</v>
      </c>
      <c r="R722" s="10">
        <v>35000</v>
      </c>
      <c r="S722" s="39">
        <v>12740</v>
      </c>
      <c r="T722" s="10" t="s">
        <v>44</v>
      </c>
      <c r="U722" s="10" t="s">
        <v>45</v>
      </c>
      <c r="V722" s="10">
        <v>0</v>
      </c>
      <c r="W722" s="25">
        <f>Table1[[#This Row],[STAB]]-Table1[[#This Row],[AMOUNT]]</f>
        <v>12740</v>
      </c>
      <c r="X722" s="10">
        <v>0</v>
      </c>
      <c r="Y722" s="10" t="s">
        <v>79</v>
      </c>
      <c r="Z722" s="10">
        <v>0</v>
      </c>
      <c r="AA722" s="10" t="s">
        <v>162</v>
      </c>
      <c r="AB722" s="36" t="s">
        <v>733</v>
      </c>
      <c r="AC722" s="10"/>
      <c r="AD722" s="9" t="s">
        <v>4825</v>
      </c>
      <c r="AE722" s="10" t="s">
        <v>4870</v>
      </c>
      <c r="AF722" s="10" t="s">
        <v>285</v>
      </c>
      <c r="AG722" s="10" t="s">
        <v>54</v>
      </c>
      <c r="AH722" s="10" t="s">
        <v>94</v>
      </c>
      <c r="AI722" s="10" t="s">
        <v>725</v>
      </c>
      <c r="AJ722" s="10">
        <v>802794852</v>
      </c>
      <c r="AK722" s="10" t="s">
        <v>104</v>
      </c>
      <c r="AL722" s="10"/>
      <c r="AM722" s="10"/>
      <c r="AN722" s="11" t="s">
        <v>390</v>
      </c>
      <c r="AO722" s="10" t="s">
        <v>392</v>
      </c>
      <c r="AP722" s="10" t="s">
        <v>5579</v>
      </c>
      <c r="AQ722" s="10" t="s">
        <v>4931</v>
      </c>
      <c r="AR722" s="2">
        <v>45877</v>
      </c>
      <c r="AS722" s="10">
        <v>0.01</v>
      </c>
      <c r="AT722" s="10" t="s">
        <v>292</v>
      </c>
      <c r="AU722" s="10" t="s">
        <v>4875</v>
      </c>
      <c r="AV722" s="36" t="s">
        <v>4918</v>
      </c>
      <c r="AW722" s="1">
        <v>46212</v>
      </c>
    </row>
    <row r="723" spans="1:49" x14ac:dyDescent="0.25">
      <c r="A723" s="9" t="s">
        <v>4674</v>
      </c>
      <c r="B723" s="10" t="s">
        <v>4720</v>
      </c>
      <c r="C723" s="10">
        <v>0</v>
      </c>
      <c r="D723" s="10" t="s">
        <v>91</v>
      </c>
      <c r="E723" s="10"/>
      <c r="F723" s="10"/>
      <c r="G723" s="10"/>
      <c r="H723" s="10" t="s">
        <v>52</v>
      </c>
      <c r="I723" s="10">
        <v>21</v>
      </c>
      <c r="J723" s="10" t="s">
        <v>4765</v>
      </c>
      <c r="K723" s="10" t="s">
        <v>42</v>
      </c>
      <c r="L723" s="10">
        <f>Table1[[#This Row],[ENR]]-Table1[[#This Row],[CREDIT]]</f>
        <v>3128.070000000007</v>
      </c>
      <c r="M723" s="36">
        <v>110000</v>
      </c>
      <c r="N723" s="26">
        <v>113128.07</v>
      </c>
      <c r="O723" s="38">
        <v>50820.12</v>
      </c>
      <c r="P723" s="25">
        <v>62307.95</v>
      </c>
      <c r="Q723" s="25">
        <v>52256.23</v>
      </c>
      <c r="R723" s="10">
        <v>29670</v>
      </c>
      <c r="S723" s="39">
        <v>14980</v>
      </c>
      <c r="T723" s="10" t="s">
        <v>44</v>
      </c>
      <c r="U723" s="10" t="s">
        <v>45</v>
      </c>
      <c r="V723" s="10">
        <v>0</v>
      </c>
      <c r="W723" s="25">
        <f>Table1[[#This Row],[STAB]]-Table1[[#This Row],[AMOUNT]]</f>
        <v>14980</v>
      </c>
      <c r="X723" s="10">
        <v>0</v>
      </c>
      <c r="Y723" s="10" t="s">
        <v>79</v>
      </c>
      <c r="Z723" s="10">
        <v>0</v>
      </c>
      <c r="AA723" s="10" t="s">
        <v>162</v>
      </c>
      <c r="AB723" s="36" t="s">
        <v>734</v>
      </c>
      <c r="AC723" s="10"/>
      <c r="AD723" s="9" t="s">
        <v>4809</v>
      </c>
      <c r="AE723" s="10" t="s">
        <v>4854</v>
      </c>
      <c r="AF723" s="10" t="s">
        <v>276</v>
      </c>
      <c r="AG723" s="10" t="s">
        <v>324</v>
      </c>
      <c r="AH723" s="10" t="s">
        <v>354</v>
      </c>
      <c r="AI723" s="10" t="s">
        <v>367</v>
      </c>
      <c r="AJ723" s="10">
        <v>801436997</v>
      </c>
      <c r="AK723" s="10" t="s">
        <v>104</v>
      </c>
      <c r="AL723" s="10"/>
      <c r="AM723" s="10"/>
      <c r="AN723" s="11" t="s">
        <v>46</v>
      </c>
      <c r="AO723" s="10"/>
      <c r="AP723" s="10"/>
      <c r="AQ723" s="10"/>
      <c r="AR723" s="2">
        <v>45607</v>
      </c>
      <c r="AS723" s="10">
        <v>8000</v>
      </c>
      <c r="AT723" s="10" t="s">
        <v>48</v>
      </c>
      <c r="AU723" s="10" t="s">
        <v>4875</v>
      </c>
      <c r="AV723" s="36" t="s">
        <v>4901</v>
      </c>
      <c r="AW723" s="1">
        <v>46212</v>
      </c>
    </row>
    <row r="724" spans="1:49" x14ac:dyDescent="0.25">
      <c r="A724" s="9" t="s">
        <v>4683</v>
      </c>
      <c r="B724" s="10" t="s">
        <v>4728</v>
      </c>
      <c r="C724" s="10">
        <v>0</v>
      </c>
      <c r="D724" s="10" t="s">
        <v>91</v>
      </c>
      <c r="E724" s="10"/>
      <c r="F724" s="10"/>
      <c r="G724" s="10"/>
      <c r="H724" s="10" t="s">
        <v>52</v>
      </c>
      <c r="I724" s="10">
        <v>21</v>
      </c>
      <c r="J724" s="10" t="s">
        <v>4773</v>
      </c>
      <c r="K724" s="10" t="s">
        <v>42</v>
      </c>
      <c r="L724" s="10">
        <f>Table1[[#This Row],[ENR]]-Table1[[#This Row],[CREDIT]]</f>
        <v>12462.11</v>
      </c>
      <c r="M724" s="36">
        <v>100000</v>
      </c>
      <c r="N724" s="26">
        <v>112462.11</v>
      </c>
      <c r="O724" s="38" t="s">
        <v>43</v>
      </c>
      <c r="P724" s="25">
        <v>112462.11</v>
      </c>
      <c r="Q724" s="25">
        <v>99962</v>
      </c>
      <c r="R724" s="10">
        <v>33800</v>
      </c>
      <c r="S724" s="39">
        <v>17080</v>
      </c>
      <c r="T724" s="10" t="s">
        <v>44</v>
      </c>
      <c r="U724" s="10" t="s">
        <v>45</v>
      </c>
      <c r="V724" s="10">
        <v>0</v>
      </c>
      <c r="W724" s="25">
        <f>Table1[[#This Row],[STAB]]-Table1[[#This Row],[AMOUNT]]</f>
        <v>17080</v>
      </c>
      <c r="X724" s="10">
        <v>0</v>
      </c>
      <c r="Y724" s="10" t="s">
        <v>79</v>
      </c>
      <c r="Z724" s="10">
        <v>0</v>
      </c>
      <c r="AA724" s="10" t="s">
        <v>162</v>
      </c>
      <c r="AB724" s="10" t="s">
        <v>735</v>
      </c>
      <c r="AC724" s="10"/>
      <c r="AD724" s="9" t="s">
        <v>4817</v>
      </c>
      <c r="AE724" s="10" t="s">
        <v>4862</v>
      </c>
      <c r="AF724" s="10" t="s">
        <v>935</v>
      </c>
      <c r="AG724" s="10" t="s">
        <v>80</v>
      </c>
      <c r="AH724" s="10" t="s">
        <v>1407</v>
      </c>
      <c r="AI724" s="10" t="s">
        <v>82</v>
      </c>
      <c r="AJ724" s="10">
        <v>801723195</v>
      </c>
      <c r="AK724" s="10" t="s">
        <v>105</v>
      </c>
      <c r="AL724" s="10"/>
      <c r="AM724" s="10"/>
      <c r="AN724" s="11" t="s">
        <v>46</v>
      </c>
      <c r="AO724" s="10"/>
      <c r="AP724" s="10"/>
      <c r="AQ724" s="10"/>
      <c r="AR724" s="2">
        <v>46088</v>
      </c>
      <c r="AS724" s="10">
        <v>20000</v>
      </c>
      <c r="AT724" s="10" t="s">
        <v>290</v>
      </c>
      <c r="AU724" s="10" t="s">
        <v>4875</v>
      </c>
      <c r="AV724" s="36" t="s">
        <v>4910</v>
      </c>
      <c r="AW724" s="1">
        <v>46212</v>
      </c>
    </row>
    <row r="725" spans="1:49" x14ac:dyDescent="0.25">
      <c r="A725" s="9" t="s">
        <v>4678</v>
      </c>
      <c r="B725" s="10" t="s">
        <v>4723</v>
      </c>
      <c r="C725" s="10">
        <v>0</v>
      </c>
      <c r="D725" s="10" t="s">
        <v>91</v>
      </c>
      <c r="E725" s="10"/>
      <c r="F725" s="10"/>
      <c r="G725" s="10"/>
      <c r="H725" s="10" t="s">
        <v>52</v>
      </c>
      <c r="I725" s="10">
        <v>21</v>
      </c>
      <c r="J725" s="10" t="s">
        <v>4768</v>
      </c>
      <c r="K725" s="10" t="s">
        <v>42</v>
      </c>
      <c r="L725" s="10">
        <f>Table1[[#This Row],[ENR]]-Table1[[#This Row],[CREDIT]]</f>
        <v>12023.429999999993</v>
      </c>
      <c r="M725" s="36">
        <v>100000</v>
      </c>
      <c r="N725" s="26">
        <v>112023.43</v>
      </c>
      <c r="O725" s="38" t="s">
        <v>43</v>
      </c>
      <c r="P725" s="25">
        <v>112023.43</v>
      </c>
      <c r="Q725" s="25">
        <v>99999.19</v>
      </c>
      <c r="R725" s="10">
        <v>29400</v>
      </c>
      <c r="S725" s="39">
        <v>12590</v>
      </c>
      <c r="T725" s="10" t="s">
        <v>44</v>
      </c>
      <c r="U725" s="10" t="s">
        <v>45</v>
      </c>
      <c r="V725" s="10">
        <v>0</v>
      </c>
      <c r="W725" s="25">
        <f>Table1[[#This Row],[STAB]]-Table1[[#This Row],[AMOUNT]]</f>
        <v>12590</v>
      </c>
      <c r="X725" s="10">
        <v>0</v>
      </c>
      <c r="Y725" s="10" t="s">
        <v>79</v>
      </c>
      <c r="Z725" s="10">
        <v>0</v>
      </c>
      <c r="AA725" s="10" t="s">
        <v>162</v>
      </c>
      <c r="AB725" s="36" t="s">
        <v>733</v>
      </c>
      <c r="AC725" s="10"/>
      <c r="AD725" s="9" t="s">
        <v>4812</v>
      </c>
      <c r="AE725" s="10" t="s">
        <v>4857</v>
      </c>
      <c r="AF725" s="10" t="s">
        <v>285</v>
      </c>
      <c r="AG725" s="10" t="s">
        <v>54</v>
      </c>
      <c r="AH725" s="10" t="s">
        <v>98</v>
      </c>
      <c r="AI725" s="10" t="s">
        <v>727</v>
      </c>
      <c r="AJ725" s="10">
        <v>802898520</v>
      </c>
      <c r="AK725" s="10" t="s">
        <v>104</v>
      </c>
      <c r="AL725" s="10"/>
      <c r="AM725" s="10"/>
      <c r="AN725" s="11" t="s">
        <v>46</v>
      </c>
      <c r="AO725" s="10"/>
      <c r="AP725" s="10"/>
      <c r="AQ725" s="10"/>
      <c r="AR725" s="2">
        <v>45755</v>
      </c>
      <c r="AS725" s="10">
        <v>10000</v>
      </c>
      <c r="AT725" s="10" t="s">
        <v>290</v>
      </c>
      <c r="AU725" s="10" t="s">
        <v>4875</v>
      </c>
      <c r="AV725" s="36" t="s">
        <v>4905</v>
      </c>
      <c r="AW725" s="1">
        <v>46212</v>
      </c>
    </row>
    <row r="726" spans="1:49" x14ac:dyDescent="0.25">
      <c r="A726" s="9" t="s">
        <v>4653</v>
      </c>
      <c r="B726" s="10" t="s">
        <v>4699</v>
      </c>
      <c r="C726" s="10">
        <v>0</v>
      </c>
      <c r="D726" s="10" t="s">
        <v>91</v>
      </c>
      <c r="E726" s="10"/>
      <c r="F726" s="10"/>
      <c r="G726" s="10"/>
      <c r="H726" s="10" t="s">
        <v>52</v>
      </c>
      <c r="I726" s="10">
        <v>21</v>
      </c>
      <c r="J726" s="10" t="s">
        <v>4744</v>
      </c>
      <c r="K726" s="10" t="s">
        <v>42</v>
      </c>
      <c r="L726" s="10">
        <f>Table1[[#This Row],[ENR]]-Table1[[#This Row],[CREDIT]]</f>
        <v>10538.369999999995</v>
      </c>
      <c r="M726" s="36">
        <v>100000</v>
      </c>
      <c r="N726" s="26">
        <v>110538.37</v>
      </c>
      <c r="O726" s="38" t="s">
        <v>43</v>
      </c>
      <c r="P726" s="25">
        <v>110538.37</v>
      </c>
      <c r="Q726" s="25">
        <v>99554.9</v>
      </c>
      <c r="R726" s="10">
        <v>28110</v>
      </c>
      <c r="S726" s="39">
        <v>13750</v>
      </c>
      <c r="T726" s="10" t="s">
        <v>44</v>
      </c>
      <c r="U726" s="10" t="s">
        <v>45</v>
      </c>
      <c r="V726" s="10">
        <v>0</v>
      </c>
      <c r="W726" s="25">
        <f>Table1[[#This Row],[STAB]]-Table1[[#This Row],[AMOUNT]]</f>
        <v>13750</v>
      </c>
      <c r="X726" s="10">
        <v>0</v>
      </c>
      <c r="Y726" s="10" t="s">
        <v>79</v>
      </c>
      <c r="Z726" s="10">
        <v>0</v>
      </c>
      <c r="AA726" s="10" t="s">
        <v>162</v>
      </c>
      <c r="AB726" s="36" t="s">
        <v>736</v>
      </c>
      <c r="AC726" s="10"/>
      <c r="AD726" s="9" t="s">
        <v>4788</v>
      </c>
      <c r="AE726" s="10" t="s">
        <v>4833</v>
      </c>
      <c r="AF726" s="10" t="s">
        <v>273</v>
      </c>
      <c r="AG726" s="10" t="s">
        <v>323</v>
      </c>
      <c r="AH726" s="10" t="s">
        <v>4528</v>
      </c>
      <c r="AI726" s="10" t="s">
        <v>363</v>
      </c>
      <c r="AJ726" s="10">
        <v>802913252</v>
      </c>
      <c r="AK726" s="10" t="s">
        <v>104</v>
      </c>
      <c r="AL726" s="10"/>
      <c r="AM726" s="10"/>
      <c r="AN726" s="11" t="s">
        <v>390</v>
      </c>
      <c r="AO726" s="10" t="s">
        <v>398</v>
      </c>
      <c r="AP726" s="10" t="s">
        <v>6335</v>
      </c>
      <c r="AQ726" s="10" t="s">
        <v>4976</v>
      </c>
      <c r="AR726" s="2">
        <v>45443</v>
      </c>
      <c r="AS726" s="10">
        <v>92566.35</v>
      </c>
      <c r="AT726" s="10" t="s">
        <v>289</v>
      </c>
      <c r="AU726" s="10" t="s">
        <v>4875</v>
      </c>
      <c r="AV726" s="36" t="s">
        <v>4880</v>
      </c>
      <c r="AW726" s="1">
        <v>46212</v>
      </c>
    </row>
    <row r="727" spans="1:49" x14ac:dyDescent="0.25">
      <c r="A727" s="9" t="s">
        <v>4670</v>
      </c>
      <c r="B727" s="10" t="s">
        <v>4716</v>
      </c>
      <c r="C727" s="10">
        <v>0</v>
      </c>
      <c r="D727" s="10" t="s">
        <v>91</v>
      </c>
      <c r="E727" s="10"/>
      <c r="F727" s="10"/>
      <c r="G727" s="10"/>
      <c r="H727" s="10" t="s">
        <v>52</v>
      </c>
      <c r="I727" s="10">
        <v>21</v>
      </c>
      <c r="J727" s="10" t="s">
        <v>4761</v>
      </c>
      <c r="K727" s="10" t="s">
        <v>42</v>
      </c>
      <c r="L727" s="10">
        <f>Table1[[#This Row],[ENR]]-Table1[[#This Row],[CREDIT]]</f>
        <v>8853.3500000000058</v>
      </c>
      <c r="M727" s="36">
        <v>100000</v>
      </c>
      <c r="N727" s="26">
        <v>108853.35</v>
      </c>
      <c r="O727" s="38" t="s">
        <v>43</v>
      </c>
      <c r="P727" s="25">
        <v>108853.35</v>
      </c>
      <c r="Q727" s="25">
        <v>95578.58</v>
      </c>
      <c r="R727" s="10">
        <v>27670</v>
      </c>
      <c r="S727" s="39">
        <v>10190</v>
      </c>
      <c r="T727" s="10" t="s">
        <v>57</v>
      </c>
      <c r="U727" s="10" t="s">
        <v>13</v>
      </c>
      <c r="V727" s="10">
        <v>11000</v>
      </c>
      <c r="W727" s="25">
        <f>Table1[[#This Row],[STAB]]-Table1[[#This Row],[AMOUNT]]</f>
        <v>-810</v>
      </c>
      <c r="X727" s="10" t="s">
        <v>4937</v>
      </c>
      <c r="Y727" s="10" t="s">
        <v>396</v>
      </c>
      <c r="Z727" s="10" t="s">
        <v>403</v>
      </c>
      <c r="AA727" s="10" t="s">
        <v>162</v>
      </c>
      <c r="AB727" s="36" t="s">
        <v>736</v>
      </c>
      <c r="AC727" s="10"/>
      <c r="AD727" s="9" t="s">
        <v>4805</v>
      </c>
      <c r="AE727" s="10" t="s">
        <v>4850</v>
      </c>
      <c r="AF727" s="10" t="s">
        <v>281</v>
      </c>
      <c r="AG727" s="10" t="s">
        <v>54</v>
      </c>
      <c r="AH727" s="10" t="s">
        <v>58</v>
      </c>
      <c r="AI727" s="10" t="s">
        <v>133</v>
      </c>
      <c r="AJ727" s="10">
        <v>802555024</v>
      </c>
      <c r="AK727" s="10" t="s">
        <v>362</v>
      </c>
      <c r="AL727" s="10"/>
      <c r="AM727" s="10"/>
      <c r="AN727" s="11" t="s">
        <v>390</v>
      </c>
      <c r="AO727" s="10"/>
      <c r="AP727" s="10"/>
      <c r="AQ727" s="10"/>
      <c r="AR727" s="2">
        <v>45493</v>
      </c>
      <c r="AS727" s="10">
        <v>22000</v>
      </c>
      <c r="AT727" s="10" t="s">
        <v>690</v>
      </c>
      <c r="AU727" s="10" t="s">
        <v>4875</v>
      </c>
      <c r="AV727" s="36" t="s">
        <v>4897</v>
      </c>
      <c r="AW727" s="1">
        <v>46212</v>
      </c>
    </row>
    <row r="728" spans="1:49" x14ac:dyDescent="0.25">
      <c r="A728" s="9" t="s">
        <v>4671</v>
      </c>
      <c r="B728" s="10" t="s">
        <v>4717</v>
      </c>
      <c r="C728" s="10">
        <v>0</v>
      </c>
      <c r="D728" s="10" t="s">
        <v>91</v>
      </c>
      <c r="E728" s="10"/>
      <c r="F728" s="10"/>
      <c r="G728" s="10"/>
      <c r="H728" s="10" t="s">
        <v>52</v>
      </c>
      <c r="I728" s="10">
        <v>21</v>
      </c>
      <c r="J728" s="10" t="s">
        <v>4762</v>
      </c>
      <c r="K728" s="10" t="s">
        <v>42</v>
      </c>
      <c r="L728" s="10">
        <f>Table1[[#This Row],[ENR]]-Table1[[#This Row],[CREDIT]]</f>
        <v>8116.8000000000029</v>
      </c>
      <c r="M728" s="36">
        <v>100000</v>
      </c>
      <c r="N728" s="26">
        <v>108116.8</v>
      </c>
      <c r="O728" s="38" t="s">
        <v>43</v>
      </c>
      <c r="P728" s="25">
        <v>108116.8</v>
      </c>
      <c r="Q728" s="25">
        <v>97713.2</v>
      </c>
      <c r="R728" s="10">
        <v>24270</v>
      </c>
      <c r="S728" s="39">
        <v>7630</v>
      </c>
      <c r="T728" s="10" t="s">
        <v>57</v>
      </c>
      <c r="U728" s="10" t="s">
        <v>13</v>
      </c>
      <c r="V728" s="10">
        <v>24270</v>
      </c>
      <c r="W728" s="25">
        <f>Table1[[#This Row],[STAB]]-Table1[[#This Row],[AMOUNT]]</f>
        <v>-16640</v>
      </c>
      <c r="X728" s="10" t="s">
        <v>4976</v>
      </c>
      <c r="Y728" s="10" t="s">
        <v>402</v>
      </c>
      <c r="Z728" s="10" t="s">
        <v>403</v>
      </c>
      <c r="AA728" s="10" t="s">
        <v>162</v>
      </c>
      <c r="AB728" s="10" t="s">
        <v>735</v>
      </c>
      <c r="AC728" s="10"/>
      <c r="AD728" s="9" t="s">
        <v>4806</v>
      </c>
      <c r="AE728" s="10" t="s">
        <v>4851</v>
      </c>
      <c r="AF728" s="10" t="s">
        <v>501</v>
      </c>
      <c r="AG728" s="10" t="s">
        <v>53</v>
      </c>
      <c r="AH728" s="10" t="s">
        <v>116</v>
      </c>
      <c r="AI728" s="10" t="s">
        <v>2961</v>
      </c>
      <c r="AJ728" s="10">
        <v>845041675</v>
      </c>
      <c r="AK728" s="10" t="s">
        <v>104</v>
      </c>
      <c r="AL728" s="10"/>
      <c r="AM728" s="10"/>
      <c r="AN728" s="11" t="s">
        <v>390</v>
      </c>
      <c r="AO728" s="10"/>
      <c r="AP728" s="10"/>
      <c r="AQ728" s="10"/>
      <c r="AR728" s="2" t="s">
        <v>43</v>
      </c>
      <c r="AS728" s="10">
        <v>0</v>
      </c>
      <c r="AT728" s="10" t="s">
        <v>690</v>
      </c>
      <c r="AU728" s="10" t="s">
        <v>4875</v>
      </c>
      <c r="AV728" s="36" t="s">
        <v>4898</v>
      </c>
      <c r="AW728" s="1">
        <v>46212</v>
      </c>
    </row>
    <row r="729" spans="1:49" x14ac:dyDescent="0.25">
      <c r="A729" s="9" t="s">
        <v>4649</v>
      </c>
      <c r="B729" s="10" t="s">
        <v>4695</v>
      </c>
      <c r="C729" s="10">
        <v>0</v>
      </c>
      <c r="D729" s="10" t="s">
        <v>91</v>
      </c>
      <c r="E729" s="10"/>
      <c r="F729" s="10"/>
      <c r="G729" s="10"/>
      <c r="H729" s="10" t="s">
        <v>52</v>
      </c>
      <c r="I729" s="10">
        <v>21</v>
      </c>
      <c r="J729" s="10" t="s">
        <v>4740</v>
      </c>
      <c r="K729" s="10" t="s">
        <v>42</v>
      </c>
      <c r="L729" s="10">
        <f>Table1[[#This Row],[ENR]]-Table1[[#This Row],[CREDIT]]</f>
        <v>-44208.78</v>
      </c>
      <c r="M729" s="36">
        <v>150000</v>
      </c>
      <c r="N729" s="26">
        <v>105791.22</v>
      </c>
      <c r="O729" s="38" t="s">
        <v>43</v>
      </c>
      <c r="P729" s="25">
        <v>105791.22</v>
      </c>
      <c r="Q729" s="25">
        <v>94985.08</v>
      </c>
      <c r="R729" s="10">
        <v>17620</v>
      </c>
      <c r="S729" s="39">
        <v>7030</v>
      </c>
      <c r="T729" s="10" t="s">
        <v>44</v>
      </c>
      <c r="U729" s="10" t="s">
        <v>45</v>
      </c>
      <c r="V729" s="10">
        <v>0</v>
      </c>
      <c r="W729" s="25">
        <f>Table1[[#This Row],[STAB]]-Table1[[#This Row],[AMOUNT]]</f>
        <v>7030</v>
      </c>
      <c r="X729" s="10">
        <v>0</v>
      </c>
      <c r="Y729" s="10" t="s">
        <v>79</v>
      </c>
      <c r="Z729" s="10">
        <v>0</v>
      </c>
      <c r="AA729" s="10" t="s">
        <v>162</v>
      </c>
      <c r="AB729" s="36" t="s">
        <v>733</v>
      </c>
      <c r="AC729" s="10"/>
      <c r="AD729" s="9" t="s">
        <v>4784</v>
      </c>
      <c r="AE729" s="10" t="s">
        <v>4829</v>
      </c>
      <c r="AF729" s="10" t="s">
        <v>272</v>
      </c>
      <c r="AG729" s="10" t="s">
        <v>54</v>
      </c>
      <c r="AH729" s="10" t="s">
        <v>114</v>
      </c>
      <c r="AI729" s="10" t="s">
        <v>726</v>
      </c>
      <c r="AJ729" s="10">
        <v>801772792</v>
      </c>
      <c r="AK729" s="10" t="s">
        <v>105</v>
      </c>
      <c r="AL729" s="10"/>
      <c r="AM729" s="10"/>
      <c r="AN729" s="11" t="s">
        <v>46</v>
      </c>
      <c r="AO729" s="10"/>
      <c r="AP729" s="10"/>
      <c r="AQ729" s="10"/>
      <c r="AR729" s="2">
        <v>46029</v>
      </c>
      <c r="AS729" s="10">
        <v>18000</v>
      </c>
      <c r="AT729" s="10" t="s">
        <v>688</v>
      </c>
      <c r="AU729" s="10" t="s">
        <v>4875</v>
      </c>
      <c r="AV729" s="36" t="s">
        <v>4876</v>
      </c>
      <c r="AW729" s="1">
        <v>46212</v>
      </c>
    </row>
    <row r="730" spans="1:49" x14ac:dyDescent="0.25">
      <c r="A730" s="9" t="s">
        <v>4664</v>
      </c>
      <c r="B730" s="10" t="s">
        <v>4710</v>
      </c>
      <c r="C730" s="10">
        <v>0</v>
      </c>
      <c r="D730" s="10" t="s">
        <v>91</v>
      </c>
      <c r="E730" s="10"/>
      <c r="F730" s="10"/>
      <c r="G730" s="10"/>
      <c r="H730" s="10" t="s">
        <v>52</v>
      </c>
      <c r="I730" s="10">
        <v>21</v>
      </c>
      <c r="J730" s="10" t="s">
        <v>4755</v>
      </c>
      <c r="K730" s="10" t="s">
        <v>42</v>
      </c>
      <c r="L730" s="10">
        <f>Table1[[#This Row],[ENR]]-Table1[[#This Row],[CREDIT]]</f>
        <v>11320.89</v>
      </c>
      <c r="M730" s="36">
        <v>90000</v>
      </c>
      <c r="N730" s="26">
        <v>101320.89</v>
      </c>
      <c r="O730" s="38" t="s">
        <v>43</v>
      </c>
      <c r="P730" s="25">
        <v>101320.89</v>
      </c>
      <c r="Q730" s="25">
        <v>88452.32</v>
      </c>
      <c r="R730" s="10">
        <v>31990</v>
      </c>
      <c r="S730" s="39">
        <v>16850</v>
      </c>
      <c r="T730" s="10" t="s">
        <v>44</v>
      </c>
      <c r="U730" s="10" t="s">
        <v>45</v>
      </c>
      <c r="V730" s="10">
        <v>0</v>
      </c>
      <c r="W730" s="25">
        <f>Table1[[#This Row],[STAB]]-Table1[[#This Row],[AMOUNT]]</f>
        <v>16850</v>
      </c>
      <c r="X730" s="10">
        <v>0</v>
      </c>
      <c r="Y730" s="10" t="s">
        <v>79</v>
      </c>
      <c r="Z730" s="10">
        <v>0</v>
      </c>
      <c r="AA730" s="10" t="s">
        <v>162</v>
      </c>
      <c r="AB730" s="36" t="s">
        <v>734</v>
      </c>
      <c r="AC730" s="10"/>
      <c r="AD730" s="9" t="s">
        <v>4799</v>
      </c>
      <c r="AE730" s="10" t="s">
        <v>4844</v>
      </c>
      <c r="AF730" s="10" t="s">
        <v>272</v>
      </c>
      <c r="AG730" s="10" t="s">
        <v>54</v>
      </c>
      <c r="AH730" s="10" t="s">
        <v>114</v>
      </c>
      <c r="AI730" s="10" t="s">
        <v>726</v>
      </c>
      <c r="AJ730" s="10">
        <v>801772792</v>
      </c>
      <c r="AK730" s="10" t="s">
        <v>105</v>
      </c>
      <c r="AL730" s="10"/>
      <c r="AM730" s="10"/>
      <c r="AN730" s="11" t="s">
        <v>390</v>
      </c>
      <c r="AO730" s="10" t="s">
        <v>392</v>
      </c>
      <c r="AP730" s="10" t="s">
        <v>5584</v>
      </c>
      <c r="AQ730" s="10" t="s">
        <v>4931</v>
      </c>
      <c r="AR730" s="2">
        <v>46011</v>
      </c>
      <c r="AS730" s="10">
        <v>12210</v>
      </c>
      <c r="AT730" s="10" t="s">
        <v>48</v>
      </c>
      <c r="AU730" s="10" t="s">
        <v>4875</v>
      </c>
      <c r="AV730" s="36" t="s">
        <v>4891</v>
      </c>
      <c r="AW730" s="1">
        <v>46212</v>
      </c>
    </row>
    <row r="731" spans="1:49" x14ac:dyDescent="0.25">
      <c r="A731" s="9" t="s">
        <v>4663</v>
      </c>
      <c r="B731" s="10" t="s">
        <v>4709</v>
      </c>
      <c r="C731" s="10">
        <v>0</v>
      </c>
      <c r="D731" s="10" t="s">
        <v>91</v>
      </c>
      <c r="E731" s="10"/>
      <c r="F731" s="10"/>
      <c r="G731" s="10"/>
      <c r="H731" s="10" t="s">
        <v>52</v>
      </c>
      <c r="I731" s="10">
        <v>21</v>
      </c>
      <c r="J731" s="10" t="s">
        <v>4754</v>
      </c>
      <c r="K731" s="10" t="s">
        <v>42</v>
      </c>
      <c r="L731" s="10">
        <f>Table1[[#This Row],[ENR]]-Table1[[#This Row],[CREDIT]]</f>
        <v>11834.259999999995</v>
      </c>
      <c r="M731" s="36">
        <v>79000</v>
      </c>
      <c r="N731" s="26">
        <v>90834.26</v>
      </c>
      <c r="O731" s="38" t="s">
        <v>43</v>
      </c>
      <c r="P731" s="25">
        <v>90834.26</v>
      </c>
      <c r="Q731" s="25">
        <v>78313.320000000007</v>
      </c>
      <c r="R731" s="10">
        <v>27410</v>
      </c>
      <c r="S731" s="39">
        <v>13560</v>
      </c>
      <c r="T731" s="10" t="s">
        <v>44</v>
      </c>
      <c r="U731" s="10" t="s">
        <v>45</v>
      </c>
      <c r="V731" s="10">
        <v>0</v>
      </c>
      <c r="W731" s="25">
        <f>Table1[[#This Row],[STAB]]-Table1[[#This Row],[AMOUNT]]</f>
        <v>13560</v>
      </c>
      <c r="X731" s="10">
        <v>0</v>
      </c>
      <c r="Y731" s="10" t="s">
        <v>79</v>
      </c>
      <c r="Z731" s="10">
        <v>0</v>
      </c>
      <c r="AA731" s="10" t="s">
        <v>162</v>
      </c>
      <c r="AB731" s="36" t="s">
        <v>736</v>
      </c>
      <c r="AC731" s="10"/>
      <c r="AD731" s="9" t="s">
        <v>4798</v>
      </c>
      <c r="AE731" s="10" t="s">
        <v>4843</v>
      </c>
      <c r="AF731" s="10" t="s">
        <v>286</v>
      </c>
      <c r="AG731" s="10" t="s">
        <v>54</v>
      </c>
      <c r="AH731" s="10" t="s">
        <v>286</v>
      </c>
      <c r="AI731" s="10" t="s">
        <v>365</v>
      </c>
      <c r="AJ731" s="10">
        <v>802824019</v>
      </c>
      <c r="AK731" s="10" t="s">
        <v>360</v>
      </c>
      <c r="AL731" s="10"/>
      <c r="AM731" s="10"/>
      <c r="AN731" s="11" t="s">
        <v>46</v>
      </c>
      <c r="AO731" s="10"/>
      <c r="AP731" s="10"/>
      <c r="AQ731" s="10"/>
      <c r="AR731" s="2">
        <v>45731</v>
      </c>
      <c r="AS731" s="10">
        <v>20000</v>
      </c>
      <c r="AT731" s="10" t="s">
        <v>690</v>
      </c>
      <c r="AU731" s="10" t="s">
        <v>4875</v>
      </c>
      <c r="AV731" s="36" t="s">
        <v>4890</v>
      </c>
      <c r="AW731" s="1">
        <v>46212</v>
      </c>
    </row>
    <row r="732" spans="1:49" x14ac:dyDescent="0.25">
      <c r="A732" s="9" t="s">
        <v>4654</v>
      </c>
      <c r="B732" s="10" t="s">
        <v>4700</v>
      </c>
      <c r="C732" s="10" t="s">
        <v>97</v>
      </c>
      <c r="D732" s="10" t="s">
        <v>91</v>
      </c>
      <c r="E732" s="10">
        <v>1</v>
      </c>
      <c r="F732" s="10" t="s">
        <v>112</v>
      </c>
      <c r="G732" s="10"/>
      <c r="H732" s="10" t="s">
        <v>84</v>
      </c>
      <c r="I732" s="10">
        <v>21</v>
      </c>
      <c r="J732" s="10" t="s">
        <v>4745</v>
      </c>
      <c r="K732" s="10" t="s">
        <v>42</v>
      </c>
      <c r="L732" s="10">
        <f>Table1[[#This Row],[ENR]]-Table1[[#This Row],[CREDIT]]</f>
        <v>-11165.520000000004</v>
      </c>
      <c r="M732" s="36">
        <v>100000</v>
      </c>
      <c r="N732" s="26">
        <v>88834.48</v>
      </c>
      <c r="O732" s="38" t="s">
        <v>43</v>
      </c>
      <c r="P732" s="25">
        <v>88834.48</v>
      </c>
      <c r="Q732" s="25">
        <v>79341.47</v>
      </c>
      <c r="R732" s="10">
        <v>18150</v>
      </c>
      <c r="S732" s="39">
        <v>9060</v>
      </c>
      <c r="T732" s="10" t="s">
        <v>57</v>
      </c>
      <c r="U732" s="10" t="s">
        <v>14</v>
      </c>
      <c r="V732" s="10">
        <v>9060</v>
      </c>
      <c r="W732" s="25">
        <f>Table1[[#This Row],[STAB]]-Table1[[#This Row],[AMOUNT]]</f>
        <v>0</v>
      </c>
      <c r="X732" s="10" t="s">
        <v>6364</v>
      </c>
      <c r="Y732" s="10" t="s">
        <v>402</v>
      </c>
      <c r="Z732" s="10">
        <v>0</v>
      </c>
      <c r="AA732" s="10" t="s">
        <v>162</v>
      </c>
      <c r="AB732" s="10" t="s">
        <v>735</v>
      </c>
      <c r="AC732" s="10"/>
      <c r="AD732" s="9" t="s">
        <v>4789</v>
      </c>
      <c r="AE732" s="10" t="s">
        <v>4834</v>
      </c>
      <c r="AF732" s="10" t="s">
        <v>278</v>
      </c>
      <c r="AG732" s="10" t="s">
        <v>54</v>
      </c>
      <c r="AH732" s="10" t="s">
        <v>86</v>
      </c>
      <c r="AI732" s="10" t="s">
        <v>369</v>
      </c>
      <c r="AJ732" s="10">
        <v>802823180</v>
      </c>
      <c r="AK732" s="10" t="s">
        <v>105</v>
      </c>
      <c r="AL732" s="10"/>
      <c r="AM732" s="10"/>
      <c r="AN732" s="11" t="s">
        <v>390</v>
      </c>
      <c r="AO732" s="10" t="s">
        <v>392</v>
      </c>
      <c r="AP732" s="10" t="s">
        <v>6372</v>
      </c>
      <c r="AQ732" s="10" t="s">
        <v>6364</v>
      </c>
      <c r="AR732" s="2">
        <v>45449</v>
      </c>
      <c r="AS732" s="10">
        <v>96707.31</v>
      </c>
      <c r="AT732" s="10" t="s">
        <v>289</v>
      </c>
      <c r="AU732" s="10" t="s">
        <v>4875</v>
      </c>
      <c r="AV732" s="36" t="s">
        <v>4881</v>
      </c>
      <c r="AW732" s="1">
        <v>46212</v>
      </c>
    </row>
    <row r="733" spans="1:49" x14ac:dyDescent="0.25">
      <c r="A733" s="9" t="s">
        <v>4684</v>
      </c>
      <c r="B733" s="10" t="s">
        <v>4729</v>
      </c>
      <c r="C733" s="10">
        <v>0</v>
      </c>
      <c r="D733" s="10" t="s">
        <v>91</v>
      </c>
      <c r="E733" s="10"/>
      <c r="F733" s="10"/>
      <c r="G733" s="10"/>
      <c r="H733" s="10" t="s">
        <v>52</v>
      </c>
      <c r="I733" s="10">
        <v>21</v>
      </c>
      <c r="J733" s="10" t="s">
        <v>4774</v>
      </c>
      <c r="K733" s="10" t="s">
        <v>42</v>
      </c>
      <c r="L733" s="10">
        <f>Table1[[#This Row],[ENR]]-Table1[[#This Row],[CREDIT]]</f>
        <v>-1727.9799999999959</v>
      </c>
      <c r="M733" s="36">
        <v>90000</v>
      </c>
      <c r="N733" s="26">
        <v>88272.02</v>
      </c>
      <c r="O733" s="38">
        <v>13141.58</v>
      </c>
      <c r="P733" s="25">
        <v>75130.44</v>
      </c>
      <c r="Q733" s="25">
        <v>70038.59</v>
      </c>
      <c r="R733" s="10">
        <v>11380</v>
      </c>
      <c r="S733" s="39">
        <v>3892.02</v>
      </c>
      <c r="T733" s="10" t="s">
        <v>44</v>
      </c>
      <c r="U733" s="10" t="s">
        <v>45</v>
      </c>
      <c r="V733" s="10">
        <v>0</v>
      </c>
      <c r="W733" s="25">
        <f>Table1[[#This Row],[STAB]]-Table1[[#This Row],[AMOUNT]]</f>
        <v>3892.02</v>
      </c>
      <c r="X733" s="10">
        <v>0</v>
      </c>
      <c r="Y733" s="10" t="s">
        <v>79</v>
      </c>
      <c r="Z733" s="10">
        <v>0</v>
      </c>
      <c r="AA733" s="10" t="s">
        <v>162</v>
      </c>
      <c r="AB733" s="36" t="s">
        <v>733</v>
      </c>
      <c r="AC733" s="10"/>
      <c r="AD733" s="9" t="s">
        <v>4818</v>
      </c>
      <c r="AE733" s="10" t="s">
        <v>4863</v>
      </c>
      <c r="AF733" s="10" t="s">
        <v>687</v>
      </c>
      <c r="AG733" s="10" t="s">
        <v>53</v>
      </c>
      <c r="AH733" s="10" t="s">
        <v>83</v>
      </c>
      <c r="AI733" s="10" t="s">
        <v>728</v>
      </c>
      <c r="AJ733" s="10">
        <v>802349062</v>
      </c>
      <c r="AK733" s="10" t="s">
        <v>104</v>
      </c>
      <c r="AL733" s="10"/>
      <c r="AM733" s="10"/>
      <c r="AN733" s="11" t="s">
        <v>46</v>
      </c>
      <c r="AO733" s="10"/>
      <c r="AP733" s="10"/>
      <c r="AQ733" s="10"/>
      <c r="AR733" s="2">
        <v>45500</v>
      </c>
      <c r="AS733" s="10">
        <v>3156.57</v>
      </c>
      <c r="AT733" s="10" t="s">
        <v>290</v>
      </c>
      <c r="AU733" s="10" t="s">
        <v>4875</v>
      </c>
      <c r="AV733" s="36" t="s">
        <v>4911</v>
      </c>
      <c r="AW733" s="1">
        <v>46212</v>
      </c>
    </row>
    <row r="734" spans="1:49" x14ac:dyDescent="0.25">
      <c r="A734" s="9" t="s">
        <v>4682</v>
      </c>
      <c r="B734" s="10" t="s">
        <v>4727</v>
      </c>
      <c r="C734" s="10">
        <v>0</v>
      </c>
      <c r="D734" s="10" t="s">
        <v>91</v>
      </c>
      <c r="E734" s="10"/>
      <c r="F734" s="10"/>
      <c r="G734" s="10"/>
      <c r="H734" s="10" t="s">
        <v>52</v>
      </c>
      <c r="I734" s="10">
        <v>21</v>
      </c>
      <c r="J734" s="10" t="s">
        <v>4772</v>
      </c>
      <c r="K734" s="10" t="s">
        <v>42</v>
      </c>
      <c r="L734" s="10">
        <f>Table1[[#This Row],[ENR]]-Table1[[#This Row],[CREDIT]]</f>
        <v>-3634.8300000000017</v>
      </c>
      <c r="M734" s="36">
        <v>80000</v>
      </c>
      <c r="N734" s="26">
        <v>76365.17</v>
      </c>
      <c r="O734" s="38" t="s">
        <v>43</v>
      </c>
      <c r="P734" s="25">
        <v>76365.17</v>
      </c>
      <c r="Q734" s="25">
        <v>71202.11</v>
      </c>
      <c r="R734" s="10">
        <v>14660</v>
      </c>
      <c r="S734" s="39">
        <v>9320</v>
      </c>
      <c r="T734" s="10" t="s">
        <v>44</v>
      </c>
      <c r="U734" s="10" t="s">
        <v>45</v>
      </c>
      <c r="V734" s="10">
        <v>0</v>
      </c>
      <c r="W734" s="25">
        <f>Table1[[#This Row],[STAB]]-Table1[[#This Row],[AMOUNT]]</f>
        <v>9320</v>
      </c>
      <c r="X734" s="10">
        <v>0</v>
      </c>
      <c r="Y734" s="10" t="s">
        <v>79</v>
      </c>
      <c r="Z734" s="10">
        <v>0</v>
      </c>
      <c r="AA734" s="10" t="s">
        <v>162</v>
      </c>
      <c r="AB734" s="36" t="s">
        <v>734</v>
      </c>
      <c r="AC734" s="10"/>
      <c r="AD734" s="9" t="s">
        <v>4816</v>
      </c>
      <c r="AE734" s="10" t="s">
        <v>4861</v>
      </c>
      <c r="AF734" s="10" t="s">
        <v>272</v>
      </c>
      <c r="AG734" s="10" t="s">
        <v>54</v>
      </c>
      <c r="AH734" s="10" t="s">
        <v>114</v>
      </c>
      <c r="AI734" s="10" t="s">
        <v>726</v>
      </c>
      <c r="AJ734" s="10">
        <v>801772792</v>
      </c>
      <c r="AK734" s="10" t="s">
        <v>105</v>
      </c>
      <c r="AL734" s="10"/>
      <c r="AM734" s="10"/>
      <c r="AN734" s="11" t="s">
        <v>390</v>
      </c>
      <c r="AO734" s="10" t="s">
        <v>392</v>
      </c>
      <c r="AP734" s="10" t="s">
        <v>5584</v>
      </c>
      <c r="AQ734" s="10" t="s">
        <v>4937</v>
      </c>
      <c r="AR734" s="2">
        <v>46190</v>
      </c>
      <c r="AS734" s="10">
        <v>13000</v>
      </c>
      <c r="AT734" s="10" t="s">
        <v>290</v>
      </c>
      <c r="AU734" s="10" t="s">
        <v>4875</v>
      </c>
      <c r="AV734" s="36" t="s">
        <v>4909</v>
      </c>
      <c r="AW734" s="1">
        <v>46212</v>
      </c>
    </row>
    <row r="735" spans="1:49" x14ac:dyDescent="0.25">
      <c r="A735" s="9" t="s">
        <v>4687</v>
      </c>
      <c r="B735" s="10" t="s">
        <v>4732</v>
      </c>
      <c r="C735" s="10">
        <v>0</v>
      </c>
      <c r="D735" s="10" t="s">
        <v>91</v>
      </c>
      <c r="E735" s="10"/>
      <c r="F735" s="10"/>
      <c r="G735" s="10"/>
      <c r="H735" s="10" t="s">
        <v>52</v>
      </c>
      <c r="I735" s="10">
        <v>21</v>
      </c>
      <c r="J735" s="10" t="s">
        <v>4777</v>
      </c>
      <c r="K735" s="10" t="s">
        <v>624</v>
      </c>
      <c r="L735" s="10">
        <f>Table1[[#This Row],[ENR]]-Table1[[#This Row],[CREDIT]]</f>
        <v>-76802.28</v>
      </c>
      <c r="M735" s="36">
        <v>150000</v>
      </c>
      <c r="N735" s="26">
        <v>73197.72</v>
      </c>
      <c r="O735" s="38" t="s">
        <v>43</v>
      </c>
      <c r="P735" s="25">
        <v>73197.72</v>
      </c>
      <c r="Q735" s="25">
        <v>67760.850000000006</v>
      </c>
      <c r="R735" s="10">
        <v>12880</v>
      </c>
      <c r="S735" s="39">
        <v>6410</v>
      </c>
      <c r="T735" s="10" t="s">
        <v>44</v>
      </c>
      <c r="U735" s="10" t="s">
        <v>45</v>
      </c>
      <c r="V735" s="10">
        <v>0</v>
      </c>
      <c r="W735" s="25">
        <f>Table1[[#This Row],[STAB]]-Table1[[#This Row],[AMOUNT]]</f>
        <v>6410</v>
      </c>
      <c r="X735" s="10">
        <v>0</v>
      </c>
      <c r="Y735" s="10" t="s">
        <v>79</v>
      </c>
      <c r="Z735" s="10">
        <v>0</v>
      </c>
      <c r="AA735" s="10" t="s">
        <v>162</v>
      </c>
      <c r="AB735" s="36" t="s">
        <v>736</v>
      </c>
      <c r="AC735" s="10"/>
      <c r="AD735" s="9" t="s">
        <v>4821</v>
      </c>
      <c r="AE735" s="10" t="s">
        <v>4866</v>
      </c>
      <c r="AF735" s="10" t="s">
        <v>283</v>
      </c>
      <c r="AG735" s="10" t="s">
        <v>53</v>
      </c>
      <c r="AH735" s="10" t="s">
        <v>5582</v>
      </c>
      <c r="AI735" s="10" t="s">
        <v>2962</v>
      </c>
      <c r="AJ735" s="10">
        <v>801601134</v>
      </c>
      <c r="AK735" s="10" t="s">
        <v>104</v>
      </c>
      <c r="AL735" s="10"/>
      <c r="AM735" s="10"/>
      <c r="AN735" s="11" t="s">
        <v>46</v>
      </c>
      <c r="AO735" s="10"/>
      <c r="AP735" s="10"/>
      <c r="AQ735" s="10"/>
      <c r="AR735" s="2">
        <v>45877</v>
      </c>
      <c r="AS735" s="10">
        <v>5000</v>
      </c>
      <c r="AT735" s="10" t="s">
        <v>290</v>
      </c>
      <c r="AU735" s="10" t="s">
        <v>4875</v>
      </c>
      <c r="AV735" s="36" t="s">
        <v>4914</v>
      </c>
      <c r="AW735" s="1">
        <v>46212</v>
      </c>
    </row>
    <row r="736" spans="1:49" x14ac:dyDescent="0.25">
      <c r="A736" s="9" t="s">
        <v>4665</v>
      </c>
      <c r="B736" s="10" t="s">
        <v>4711</v>
      </c>
      <c r="C736" s="10">
        <v>0</v>
      </c>
      <c r="D736" s="10" t="s">
        <v>91</v>
      </c>
      <c r="E736" s="10"/>
      <c r="F736" s="10"/>
      <c r="G736" s="10"/>
      <c r="H736" s="10" t="s">
        <v>84</v>
      </c>
      <c r="I736" s="10">
        <v>21</v>
      </c>
      <c r="J736" s="10" t="s">
        <v>4756</v>
      </c>
      <c r="K736" s="10" t="s">
        <v>42</v>
      </c>
      <c r="L736" s="10">
        <f>Table1[[#This Row],[ENR]]-Table1[[#This Row],[CREDIT]]</f>
        <v>4904.3899999999994</v>
      </c>
      <c r="M736" s="36">
        <v>65000</v>
      </c>
      <c r="N736" s="26">
        <v>69904.39</v>
      </c>
      <c r="O736" s="38" t="s">
        <v>43</v>
      </c>
      <c r="P736" s="25">
        <v>69904.39</v>
      </c>
      <c r="Q736" s="25">
        <v>64034.68</v>
      </c>
      <c r="R736" s="10">
        <v>18560</v>
      </c>
      <c r="S736" s="39">
        <v>11220</v>
      </c>
      <c r="T736" s="10" t="s">
        <v>44</v>
      </c>
      <c r="U736" s="10" t="s">
        <v>45</v>
      </c>
      <c r="V736" s="10">
        <v>0</v>
      </c>
      <c r="W736" s="25">
        <f>Table1[[#This Row],[STAB]]-Table1[[#This Row],[AMOUNT]]</f>
        <v>11220</v>
      </c>
      <c r="X736" s="10">
        <v>0</v>
      </c>
      <c r="Y736" s="10" t="s">
        <v>79</v>
      </c>
      <c r="Z736" s="10">
        <v>0</v>
      </c>
      <c r="AA736" s="10" t="s">
        <v>162</v>
      </c>
      <c r="AB736" s="36" t="s">
        <v>736</v>
      </c>
      <c r="AC736" s="10"/>
      <c r="AD736" s="9" t="s">
        <v>4800</v>
      </c>
      <c r="AE736" s="10" t="s">
        <v>4845</v>
      </c>
      <c r="AF736" s="10" t="s">
        <v>278</v>
      </c>
      <c r="AG736" s="10" t="s">
        <v>54</v>
      </c>
      <c r="AH736" s="10" t="s">
        <v>86</v>
      </c>
      <c r="AI736" s="10" t="s">
        <v>369</v>
      </c>
      <c r="AJ736" s="10">
        <v>802823180</v>
      </c>
      <c r="AK736" s="10" t="s">
        <v>105</v>
      </c>
      <c r="AL736" s="10"/>
      <c r="AM736" s="10"/>
      <c r="AN736" s="11" t="s">
        <v>390</v>
      </c>
      <c r="AO736" s="10" t="s">
        <v>392</v>
      </c>
      <c r="AP736" s="10" t="s">
        <v>5597</v>
      </c>
      <c r="AQ736" s="10" t="s">
        <v>4931</v>
      </c>
      <c r="AR736" s="2">
        <v>45476</v>
      </c>
      <c r="AS736" s="10">
        <v>40000</v>
      </c>
      <c r="AT736" s="10" t="s">
        <v>157</v>
      </c>
      <c r="AU736" s="10" t="s">
        <v>4875</v>
      </c>
      <c r="AV736" s="36" t="s">
        <v>4892</v>
      </c>
      <c r="AW736" s="1">
        <v>46212</v>
      </c>
    </row>
    <row r="737" spans="1:49" x14ac:dyDescent="0.25">
      <c r="A737" s="9" t="s">
        <v>4675</v>
      </c>
      <c r="B737" s="10" t="s">
        <v>198</v>
      </c>
      <c r="C737" s="10">
        <v>0</v>
      </c>
      <c r="D737" s="10" t="s">
        <v>91</v>
      </c>
      <c r="E737" s="10"/>
      <c r="F737" s="10"/>
      <c r="G737" s="10"/>
      <c r="H737" s="10" t="s">
        <v>52</v>
      </c>
      <c r="I737" s="10">
        <v>21</v>
      </c>
      <c r="J737" s="10" t="s">
        <v>225</v>
      </c>
      <c r="K737" s="10" t="s">
        <v>42</v>
      </c>
      <c r="L737" s="10">
        <f>Table1[[#This Row],[ENR]]-Table1[[#This Row],[CREDIT]]</f>
        <v>-405355.16000000003</v>
      </c>
      <c r="M737" s="36">
        <v>470000</v>
      </c>
      <c r="N737" s="26">
        <v>64644.84</v>
      </c>
      <c r="O737" s="38" t="s">
        <v>43</v>
      </c>
      <c r="P737" s="25">
        <v>64644.84</v>
      </c>
      <c r="Q737" s="25">
        <v>56515.91</v>
      </c>
      <c r="R737" s="10">
        <v>13650</v>
      </c>
      <c r="S737" s="39">
        <v>4590</v>
      </c>
      <c r="T737" s="10" t="s">
        <v>44</v>
      </c>
      <c r="U737" s="10" t="s">
        <v>45</v>
      </c>
      <c r="V737" s="10">
        <v>0</v>
      </c>
      <c r="W737" s="25">
        <f>Table1[[#This Row],[STAB]]-Table1[[#This Row],[AMOUNT]]</f>
        <v>4590</v>
      </c>
      <c r="X737" s="10">
        <v>0</v>
      </c>
      <c r="Y737" s="10" t="s">
        <v>79</v>
      </c>
      <c r="Z737" s="10">
        <v>0</v>
      </c>
      <c r="AA737" s="10" t="s">
        <v>162</v>
      </c>
      <c r="AB737" s="36" t="s">
        <v>733</v>
      </c>
      <c r="AC737" s="10"/>
      <c r="AD737" s="9" t="s">
        <v>326</v>
      </c>
      <c r="AE737" s="10" t="s">
        <v>253</v>
      </c>
      <c r="AF737" s="10" t="s">
        <v>85</v>
      </c>
      <c r="AG737" s="10" t="s">
        <v>54</v>
      </c>
      <c r="AH737" s="10" t="s">
        <v>93</v>
      </c>
      <c r="AI737" s="10" t="s">
        <v>364</v>
      </c>
      <c r="AJ737" s="10">
        <v>802663344</v>
      </c>
      <c r="AK737" s="10" t="s">
        <v>105</v>
      </c>
      <c r="AL737" s="10"/>
      <c r="AM737" s="10"/>
      <c r="AN737" s="11" t="s">
        <v>390</v>
      </c>
      <c r="AO737" s="10" t="s">
        <v>392</v>
      </c>
      <c r="AP737" s="10" t="s">
        <v>6339</v>
      </c>
      <c r="AQ737" s="10" t="s">
        <v>4976</v>
      </c>
      <c r="AR737" s="2">
        <v>45849</v>
      </c>
      <c r="AS737" s="10">
        <v>24641.84</v>
      </c>
      <c r="AT737" s="10" t="s">
        <v>4874</v>
      </c>
      <c r="AU737" s="10" t="s">
        <v>4875</v>
      </c>
      <c r="AV737" s="36" t="s">
        <v>4902</v>
      </c>
      <c r="AW737" s="1">
        <v>46212</v>
      </c>
    </row>
    <row r="738" spans="1:49" x14ac:dyDescent="0.25">
      <c r="A738" s="9" t="s">
        <v>4310</v>
      </c>
      <c r="B738" s="10" t="s">
        <v>4353</v>
      </c>
      <c r="C738" s="10">
        <v>0</v>
      </c>
      <c r="D738" s="10" t="s">
        <v>91</v>
      </c>
      <c r="E738" s="10"/>
      <c r="F738" s="10"/>
      <c r="G738" s="10"/>
      <c r="H738" s="10" t="s">
        <v>52</v>
      </c>
      <c r="I738" s="10">
        <v>22</v>
      </c>
      <c r="J738" s="10" t="s">
        <v>4396</v>
      </c>
      <c r="K738" s="10" t="s">
        <v>42</v>
      </c>
      <c r="L738" s="10">
        <f>Table1[[#This Row],[ENR]]-Table1[[#This Row],[CREDIT]]</f>
        <v>-58481.530000000028</v>
      </c>
      <c r="M738" s="36">
        <v>630000</v>
      </c>
      <c r="N738" s="26">
        <v>571518.47</v>
      </c>
      <c r="O738" s="38" t="s">
        <v>43</v>
      </c>
      <c r="P738" s="25">
        <v>571518.47</v>
      </c>
      <c r="Q738" s="25">
        <v>511032.52</v>
      </c>
      <c r="R738" s="10">
        <v>109320</v>
      </c>
      <c r="S738" s="39">
        <v>59370</v>
      </c>
      <c r="T738" s="10" t="s">
        <v>57</v>
      </c>
      <c r="U738" s="10" t="s">
        <v>13</v>
      </c>
      <c r="V738" s="10">
        <v>571518.47</v>
      </c>
      <c r="W738" s="25">
        <f>Table1[[#This Row],[STAB]]-Table1[[#This Row],[AMOUNT]]</f>
        <v>-512148.47</v>
      </c>
      <c r="X738" s="10">
        <v>0</v>
      </c>
      <c r="Y738" s="10" t="s">
        <v>388</v>
      </c>
      <c r="Z738" s="10" t="s">
        <v>403</v>
      </c>
      <c r="AA738" s="10" t="s">
        <v>162</v>
      </c>
      <c r="AB738" s="36" t="s">
        <v>736</v>
      </c>
      <c r="AC738" s="10"/>
      <c r="AD738" s="9" t="s">
        <v>4439</v>
      </c>
      <c r="AE738" s="10" t="s">
        <v>4479</v>
      </c>
      <c r="AF738" s="10" t="s">
        <v>111</v>
      </c>
      <c r="AG738" s="10" t="s">
        <v>53</v>
      </c>
      <c r="AH738" s="10" t="s">
        <v>92</v>
      </c>
      <c r="AI738" s="10" t="s">
        <v>113</v>
      </c>
      <c r="AJ738" s="10">
        <v>802388289</v>
      </c>
      <c r="AK738" s="10" t="s">
        <v>104</v>
      </c>
      <c r="AL738" s="10"/>
      <c r="AM738" s="10"/>
      <c r="AN738" s="11" t="s">
        <v>390</v>
      </c>
      <c r="AO738" s="10"/>
      <c r="AP738" s="10"/>
      <c r="AQ738" s="10"/>
      <c r="AR738" s="2">
        <v>46158</v>
      </c>
      <c r="AS738" s="10">
        <v>20580</v>
      </c>
      <c r="AT738" s="10" t="s">
        <v>503</v>
      </c>
      <c r="AU738" s="10" t="s">
        <v>4485</v>
      </c>
      <c r="AV738" s="36" t="s">
        <v>4522</v>
      </c>
      <c r="AW738" s="1">
        <v>46213</v>
      </c>
    </row>
    <row r="739" spans="1:49" x14ac:dyDescent="0.25">
      <c r="A739" s="9" t="s">
        <v>4309</v>
      </c>
      <c r="B739" s="10" t="s">
        <v>4352</v>
      </c>
      <c r="C739" s="10">
        <v>0</v>
      </c>
      <c r="D739" s="10" t="s">
        <v>91</v>
      </c>
      <c r="E739" s="10"/>
      <c r="F739" s="10"/>
      <c r="G739" s="10"/>
      <c r="H739" s="10" t="s">
        <v>52</v>
      </c>
      <c r="I739" s="10">
        <v>22</v>
      </c>
      <c r="J739" s="10" t="s">
        <v>4395</v>
      </c>
      <c r="K739" s="10" t="s">
        <v>42</v>
      </c>
      <c r="L739" s="10">
        <f>Table1[[#This Row],[ENR]]-Table1[[#This Row],[CREDIT]]</f>
        <v>3293.2099999999991</v>
      </c>
      <c r="M739" s="36">
        <v>60000</v>
      </c>
      <c r="N739" s="26">
        <v>63293.21</v>
      </c>
      <c r="O739" s="38" t="s">
        <v>43</v>
      </c>
      <c r="P739" s="25">
        <v>63293.21</v>
      </c>
      <c r="Q739" s="25">
        <v>58000</v>
      </c>
      <c r="R739" s="10">
        <v>11430</v>
      </c>
      <c r="S739" s="39">
        <v>3370</v>
      </c>
      <c r="T739" s="10" t="s">
        <v>44</v>
      </c>
      <c r="U739" s="10" t="s">
        <v>45</v>
      </c>
      <c r="V739" s="10">
        <v>0</v>
      </c>
      <c r="W739" s="25">
        <f>Table1[[#This Row],[STAB]]-Table1[[#This Row],[AMOUNT]]</f>
        <v>3370</v>
      </c>
      <c r="X739" s="10">
        <v>0</v>
      </c>
      <c r="Y739" s="10" t="s">
        <v>79</v>
      </c>
      <c r="Z739" s="10">
        <v>0</v>
      </c>
      <c r="AA739" s="10" t="s">
        <v>162</v>
      </c>
      <c r="AB739" s="36" t="s">
        <v>736</v>
      </c>
      <c r="AC739" s="10"/>
      <c r="AD739" s="9" t="s">
        <v>4438</v>
      </c>
      <c r="AE739" s="10" t="s">
        <v>4478</v>
      </c>
      <c r="AF739" s="10" t="s">
        <v>272</v>
      </c>
      <c r="AG739" s="10" t="s">
        <v>54</v>
      </c>
      <c r="AH739" s="10" t="s">
        <v>114</v>
      </c>
      <c r="AI739" s="10" t="s">
        <v>726</v>
      </c>
      <c r="AJ739" s="10">
        <v>801772792</v>
      </c>
      <c r="AK739" s="10" t="s">
        <v>105</v>
      </c>
      <c r="AL739" s="10"/>
      <c r="AM739" s="10"/>
      <c r="AN739" s="11" t="s">
        <v>46</v>
      </c>
      <c r="AO739" s="10"/>
      <c r="AP739" s="10"/>
      <c r="AQ739" s="10"/>
      <c r="AR739" s="2">
        <v>46002</v>
      </c>
      <c r="AS739" s="10">
        <v>55000</v>
      </c>
      <c r="AT739" s="10" t="s">
        <v>503</v>
      </c>
      <c r="AU739" s="10" t="s">
        <v>4485</v>
      </c>
      <c r="AV739" s="36" t="s">
        <v>4521</v>
      </c>
      <c r="AW739" s="1">
        <v>46213</v>
      </c>
    </row>
    <row r="740" spans="1:49" x14ac:dyDescent="0.25">
      <c r="A740" s="9" t="s">
        <v>4311</v>
      </c>
      <c r="B740" s="10" t="s">
        <v>4354</v>
      </c>
      <c r="C740" s="10">
        <v>0</v>
      </c>
      <c r="D740" s="10" t="s">
        <v>91</v>
      </c>
      <c r="E740" s="10"/>
      <c r="F740" s="10"/>
      <c r="G740" s="10"/>
      <c r="H740" s="10" t="s">
        <v>52</v>
      </c>
      <c r="I740" s="10">
        <v>23</v>
      </c>
      <c r="J740" s="10" t="s">
        <v>4397</v>
      </c>
      <c r="K740" s="10" t="s">
        <v>42</v>
      </c>
      <c r="L740" s="10">
        <f>Table1[[#This Row],[ENR]]-Table1[[#This Row],[CREDIT]]</f>
        <v>40454.089999999967</v>
      </c>
      <c r="M740" s="36">
        <v>500000</v>
      </c>
      <c r="N740" s="26">
        <v>540454.09</v>
      </c>
      <c r="O740" s="38" t="s">
        <v>43</v>
      </c>
      <c r="P740" s="25">
        <v>540454.09</v>
      </c>
      <c r="Q740" s="25">
        <v>499845</v>
      </c>
      <c r="R740" s="10">
        <v>127790</v>
      </c>
      <c r="S740" s="39">
        <v>25000</v>
      </c>
      <c r="T740" s="10" t="s">
        <v>44</v>
      </c>
      <c r="U740" s="10" t="s">
        <v>45</v>
      </c>
      <c r="V740" s="10">
        <v>0</v>
      </c>
      <c r="W740" s="25">
        <f>Table1[[#This Row],[STAB]]-Table1[[#This Row],[AMOUNT]]</f>
        <v>25000</v>
      </c>
      <c r="X740" s="10">
        <v>0</v>
      </c>
      <c r="Y740" s="10" t="s">
        <v>79</v>
      </c>
      <c r="Z740" s="10">
        <v>0</v>
      </c>
      <c r="AA740" s="10" t="s">
        <v>162</v>
      </c>
      <c r="AB740" s="36" t="s">
        <v>736</v>
      </c>
      <c r="AC740" s="10"/>
      <c r="AD740" s="9" t="s">
        <v>4440</v>
      </c>
      <c r="AE740" s="10" t="s">
        <v>4480</v>
      </c>
      <c r="AF740" s="10" t="s">
        <v>275</v>
      </c>
      <c r="AG740" s="10" t="s">
        <v>80</v>
      </c>
      <c r="AH740" s="10" t="s">
        <v>1999</v>
      </c>
      <c r="AI740" s="10" t="s">
        <v>368</v>
      </c>
      <c r="AJ740" s="10">
        <v>802823175</v>
      </c>
      <c r="AK740" s="10" t="s">
        <v>105</v>
      </c>
      <c r="AL740" s="10"/>
      <c r="AM740" s="10"/>
      <c r="AN740" s="11" t="s">
        <v>390</v>
      </c>
      <c r="AO740" s="10" t="s">
        <v>392</v>
      </c>
      <c r="AP740" s="10" t="s">
        <v>6238</v>
      </c>
      <c r="AQ740" s="10" t="s">
        <v>4937</v>
      </c>
      <c r="AR740" s="2">
        <v>46131</v>
      </c>
      <c r="AS740" s="10">
        <v>109.74</v>
      </c>
      <c r="AT740" s="10" t="s">
        <v>290</v>
      </c>
      <c r="AU740" s="10" t="s">
        <v>4485</v>
      </c>
      <c r="AV740" s="36" t="s">
        <v>4523</v>
      </c>
      <c r="AW740" s="1">
        <v>46214</v>
      </c>
    </row>
    <row r="741" spans="1:49" x14ac:dyDescent="0.25">
      <c r="A741" s="9" t="s">
        <v>4312</v>
      </c>
      <c r="B741" s="10" t="s">
        <v>4355</v>
      </c>
      <c r="C741" s="10">
        <v>0</v>
      </c>
      <c r="D741" s="10" t="s">
        <v>91</v>
      </c>
      <c r="E741" s="10"/>
      <c r="F741" s="10"/>
      <c r="G741" s="10"/>
      <c r="H741" s="10" t="s">
        <v>52</v>
      </c>
      <c r="I741" s="10">
        <v>23</v>
      </c>
      <c r="J741" s="10" t="s">
        <v>4398</v>
      </c>
      <c r="K741" s="10" t="s">
        <v>42</v>
      </c>
      <c r="L741" s="10">
        <f>Table1[[#This Row],[ENR]]-Table1[[#This Row],[CREDIT]]</f>
        <v>96033.539999999979</v>
      </c>
      <c r="M741" s="36">
        <v>250000</v>
      </c>
      <c r="N741" s="26">
        <v>346033.54</v>
      </c>
      <c r="O741" s="38">
        <v>193061.12</v>
      </c>
      <c r="P741" s="25">
        <v>152972.42000000001</v>
      </c>
      <c r="Q741" s="25">
        <v>138228.25</v>
      </c>
      <c r="R741" s="10">
        <v>80270</v>
      </c>
      <c r="S741" s="39">
        <v>34670</v>
      </c>
      <c r="T741" s="10" t="s">
        <v>44</v>
      </c>
      <c r="U741" s="10" t="s">
        <v>45</v>
      </c>
      <c r="V741" s="10">
        <v>0</v>
      </c>
      <c r="W741" s="25">
        <f>Table1[[#This Row],[STAB]]-Table1[[#This Row],[AMOUNT]]</f>
        <v>34670</v>
      </c>
      <c r="X741" s="10">
        <v>0</v>
      </c>
      <c r="Y741" s="10" t="s">
        <v>79</v>
      </c>
      <c r="Z741" s="10">
        <v>0</v>
      </c>
      <c r="AA741" s="10" t="s">
        <v>162</v>
      </c>
      <c r="AB741" s="36" t="s">
        <v>736</v>
      </c>
      <c r="AC741" s="10"/>
      <c r="AD741" s="9" t="s">
        <v>4441</v>
      </c>
      <c r="AE741" s="10" t="s">
        <v>4481</v>
      </c>
      <c r="AF741" s="10" t="s">
        <v>272</v>
      </c>
      <c r="AG741" s="10" t="s">
        <v>54</v>
      </c>
      <c r="AH741" s="10" t="s">
        <v>114</v>
      </c>
      <c r="AI741" s="10" t="s">
        <v>726</v>
      </c>
      <c r="AJ741" s="10">
        <v>801772792</v>
      </c>
      <c r="AK741" s="10" t="s">
        <v>105</v>
      </c>
      <c r="AL741" s="10"/>
      <c r="AM741" s="10"/>
      <c r="AN741" s="11" t="s">
        <v>46</v>
      </c>
      <c r="AO741" s="10"/>
      <c r="AP741" s="10"/>
      <c r="AQ741" s="10"/>
      <c r="AR741" s="2">
        <v>46153</v>
      </c>
      <c r="AS741" s="10">
        <v>0.35</v>
      </c>
      <c r="AT741" s="10" t="s">
        <v>503</v>
      </c>
      <c r="AU741" s="10" t="s">
        <v>4485</v>
      </c>
      <c r="AV741" s="36" t="s">
        <v>4524</v>
      </c>
      <c r="AW741" s="1">
        <v>46214</v>
      </c>
    </row>
    <row r="742" spans="1:49" x14ac:dyDescent="0.25">
      <c r="A742" s="9" t="s">
        <v>4313</v>
      </c>
      <c r="B742" s="10" t="s">
        <v>4356</v>
      </c>
      <c r="C742" s="10">
        <v>0</v>
      </c>
      <c r="D742" s="10" t="s">
        <v>91</v>
      </c>
      <c r="E742" s="10"/>
      <c r="F742" s="10"/>
      <c r="G742" s="10"/>
      <c r="H742" s="10" t="s">
        <v>52</v>
      </c>
      <c r="I742" s="10">
        <v>23</v>
      </c>
      <c r="J742" s="10" t="s">
        <v>4399</v>
      </c>
      <c r="K742" s="10" t="s">
        <v>42</v>
      </c>
      <c r="L742" s="10">
        <f>Table1[[#This Row],[ENR]]-Table1[[#This Row],[CREDIT]]</f>
        <v>23627.729999999981</v>
      </c>
      <c r="M742" s="36">
        <v>310000</v>
      </c>
      <c r="N742" s="26">
        <v>333627.73</v>
      </c>
      <c r="O742" s="38">
        <v>68269.009999999995</v>
      </c>
      <c r="P742" s="25">
        <v>265358.71999999997</v>
      </c>
      <c r="Q742" s="25">
        <v>239909.79</v>
      </c>
      <c r="R742" s="10">
        <v>53520</v>
      </c>
      <c r="S742" s="39">
        <v>21480</v>
      </c>
      <c r="T742" s="10" t="s">
        <v>44</v>
      </c>
      <c r="U742" s="10" t="s">
        <v>45</v>
      </c>
      <c r="V742" s="10">
        <v>0</v>
      </c>
      <c r="W742" s="25">
        <f>Table1[[#This Row],[STAB]]-Table1[[#This Row],[AMOUNT]]</f>
        <v>21480</v>
      </c>
      <c r="X742" s="10">
        <v>0</v>
      </c>
      <c r="Y742" s="10" t="s">
        <v>79</v>
      </c>
      <c r="Z742" s="10">
        <v>0</v>
      </c>
      <c r="AA742" s="10" t="s">
        <v>162</v>
      </c>
      <c r="AB742" s="36" t="s">
        <v>736</v>
      </c>
      <c r="AC742" s="10"/>
      <c r="AD742" s="9" t="s">
        <v>4442</v>
      </c>
      <c r="AE742" s="10" t="s">
        <v>4482</v>
      </c>
      <c r="AF742" s="10" t="s">
        <v>272</v>
      </c>
      <c r="AG742" s="10" t="s">
        <v>54</v>
      </c>
      <c r="AH742" s="10" t="s">
        <v>114</v>
      </c>
      <c r="AI742" s="10" t="s">
        <v>726</v>
      </c>
      <c r="AJ742" s="10">
        <v>801772792</v>
      </c>
      <c r="AK742" s="10" t="s">
        <v>105</v>
      </c>
      <c r="AL742" s="10"/>
      <c r="AM742" s="10"/>
      <c r="AN742" s="11" t="s">
        <v>390</v>
      </c>
      <c r="AO742" s="10" t="s">
        <v>398</v>
      </c>
      <c r="AP742" s="10" t="s">
        <v>6393</v>
      </c>
      <c r="AQ742" s="10" t="s">
        <v>6364</v>
      </c>
      <c r="AR742" s="2">
        <v>45636</v>
      </c>
      <c r="AS742" s="10">
        <v>15100</v>
      </c>
      <c r="AT742" s="10" t="s">
        <v>288</v>
      </c>
      <c r="AU742" s="10" t="s">
        <v>4485</v>
      </c>
      <c r="AV742" s="36" t="s">
        <v>4525</v>
      </c>
      <c r="AW742" s="1">
        <v>46214</v>
      </c>
    </row>
    <row r="743" spans="1:49" x14ac:dyDescent="0.25">
      <c r="A743" s="9" t="s">
        <v>4314</v>
      </c>
      <c r="B743" s="10" t="s">
        <v>4357</v>
      </c>
      <c r="C743" s="10">
        <v>0</v>
      </c>
      <c r="D743" s="10" t="s">
        <v>91</v>
      </c>
      <c r="E743" s="10"/>
      <c r="F743" s="10"/>
      <c r="G743" s="10"/>
      <c r="H743" s="10" t="s">
        <v>52</v>
      </c>
      <c r="I743" s="10">
        <v>24</v>
      </c>
      <c r="J743" s="10" t="s">
        <v>4400</v>
      </c>
      <c r="K743" s="10" t="s">
        <v>42</v>
      </c>
      <c r="L743" s="10">
        <f>Table1[[#This Row],[ENR]]-Table1[[#This Row],[CREDIT]]</f>
        <v>21748.679999999993</v>
      </c>
      <c r="M743" s="36">
        <v>210000</v>
      </c>
      <c r="N743" s="26">
        <v>231748.68</v>
      </c>
      <c r="O743" s="38" t="s">
        <v>43</v>
      </c>
      <c r="P743" s="25">
        <v>231748.68</v>
      </c>
      <c r="Q743" s="25">
        <v>209719</v>
      </c>
      <c r="R743" s="10">
        <v>63070</v>
      </c>
      <c r="S743" s="39">
        <v>13900</v>
      </c>
      <c r="T743" s="10" t="s">
        <v>57</v>
      </c>
      <c r="U743" s="10" t="s">
        <v>13</v>
      </c>
      <c r="V743" s="10">
        <v>231748.68</v>
      </c>
      <c r="W743" s="25">
        <f>Table1[[#This Row],[STAB]]-Table1[[#This Row],[AMOUNT]]</f>
        <v>-217848.68</v>
      </c>
      <c r="X743" s="10" t="s">
        <v>4923</v>
      </c>
      <c r="Y743" s="10" t="s">
        <v>402</v>
      </c>
      <c r="Z743" s="10" t="s">
        <v>403</v>
      </c>
      <c r="AA743" s="10" t="s">
        <v>162</v>
      </c>
      <c r="AB743" s="36" t="s">
        <v>736</v>
      </c>
      <c r="AC743" s="10"/>
      <c r="AD743" s="9" t="s">
        <v>4443</v>
      </c>
      <c r="AE743" s="10" t="s">
        <v>4483</v>
      </c>
      <c r="AF743" s="10" t="s">
        <v>272</v>
      </c>
      <c r="AG743" s="10" t="s">
        <v>54</v>
      </c>
      <c r="AH743" s="10" t="s">
        <v>114</v>
      </c>
      <c r="AI743" s="10" t="s">
        <v>726</v>
      </c>
      <c r="AJ743" s="10">
        <v>801772792</v>
      </c>
      <c r="AK743" s="10" t="s">
        <v>105</v>
      </c>
      <c r="AL743" s="10"/>
      <c r="AM743" s="10"/>
      <c r="AN743" s="11" t="s">
        <v>390</v>
      </c>
      <c r="AO743" s="10"/>
      <c r="AP743" s="10"/>
      <c r="AQ743" s="10"/>
      <c r="AR743" s="2">
        <v>45873</v>
      </c>
      <c r="AS743" s="10">
        <v>101171</v>
      </c>
      <c r="AT743" s="10" t="s">
        <v>3830</v>
      </c>
      <c r="AU743" s="10" t="s">
        <v>4485</v>
      </c>
      <c r="AV743" s="36" t="s">
        <v>4526</v>
      </c>
      <c r="AW743" s="1">
        <v>46215</v>
      </c>
    </row>
    <row r="744" spans="1:49" x14ac:dyDescent="0.25">
      <c r="A744" s="9" t="s">
        <v>4315</v>
      </c>
      <c r="B744" s="10" t="s">
        <v>4358</v>
      </c>
      <c r="C744" s="10">
        <v>0</v>
      </c>
      <c r="D744" s="10" t="s">
        <v>91</v>
      </c>
      <c r="E744" s="10"/>
      <c r="F744" s="10"/>
      <c r="G744" s="10"/>
      <c r="H744" s="10" t="s">
        <v>52</v>
      </c>
      <c r="I744" s="10">
        <v>24</v>
      </c>
      <c r="J744" s="10" t="s">
        <v>4401</v>
      </c>
      <c r="K744" s="10" t="s">
        <v>42</v>
      </c>
      <c r="L744" s="10">
        <f>Table1[[#This Row],[ENR]]-Table1[[#This Row],[CREDIT]]</f>
        <v>5232.260000000002</v>
      </c>
      <c r="M744" s="36">
        <v>50000</v>
      </c>
      <c r="N744" s="26">
        <v>55232.26</v>
      </c>
      <c r="O744" s="38" t="s">
        <v>43</v>
      </c>
      <c r="P744" s="25">
        <v>55232.26</v>
      </c>
      <c r="Q744" s="25">
        <v>47118.559999999998</v>
      </c>
      <c r="R744" s="10">
        <v>55232.26</v>
      </c>
      <c r="S744" s="39">
        <v>49620.55</v>
      </c>
      <c r="T744" s="10" t="s">
        <v>44</v>
      </c>
      <c r="U744" s="10" t="s">
        <v>45</v>
      </c>
      <c r="V744" s="10">
        <v>0</v>
      </c>
      <c r="W744" s="25">
        <f>Table1[[#This Row],[STAB]]-Table1[[#This Row],[AMOUNT]]</f>
        <v>49620.55</v>
      </c>
      <c r="X744" s="10">
        <v>0</v>
      </c>
      <c r="Y744" s="10" t="s">
        <v>79</v>
      </c>
      <c r="Z744" s="10">
        <v>0</v>
      </c>
      <c r="AA744" s="10" t="s">
        <v>162</v>
      </c>
      <c r="AB744" s="36" t="s">
        <v>736</v>
      </c>
      <c r="AC744" s="10"/>
      <c r="AD744" s="9" t="s">
        <v>4444</v>
      </c>
      <c r="AE744" s="10" t="s">
        <v>4484</v>
      </c>
      <c r="AF744" s="10" t="s">
        <v>281</v>
      </c>
      <c r="AG744" s="10" t="s">
        <v>54</v>
      </c>
      <c r="AH744" s="10" t="s">
        <v>99</v>
      </c>
      <c r="AI744" s="10" t="s">
        <v>363</v>
      </c>
      <c r="AJ744" s="10">
        <v>802913252</v>
      </c>
      <c r="AK744" s="10" t="s">
        <v>104</v>
      </c>
      <c r="AL744" s="10"/>
      <c r="AM744" s="10"/>
      <c r="AN744" s="11" t="s">
        <v>390</v>
      </c>
      <c r="AO744" s="10" t="s">
        <v>392</v>
      </c>
      <c r="AP744" s="10" t="s">
        <v>6179</v>
      </c>
      <c r="AQ744" s="10" t="s">
        <v>4931</v>
      </c>
      <c r="AR744" s="2">
        <v>45756</v>
      </c>
      <c r="AS744" s="10">
        <v>7000</v>
      </c>
      <c r="AT744" s="10" t="s">
        <v>293</v>
      </c>
      <c r="AU744" s="10" t="s">
        <v>4485</v>
      </c>
      <c r="AV744" s="36" t="s">
        <v>4527</v>
      </c>
      <c r="AW744" s="1">
        <v>46215</v>
      </c>
    </row>
    <row r="745" spans="1:49" x14ac:dyDescent="0.25">
      <c r="A745" s="40" t="s">
        <v>4694</v>
      </c>
      <c r="B745" s="11" t="s">
        <v>4739</v>
      </c>
      <c r="C745" s="10">
        <v>0</v>
      </c>
      <c r="D745" s="10" t="s">
        <v>91</v>
      </c>
      <c r="E745" s="11"/>
      <c r="F745" s="11"/>
      <c r="G745" s="11"/>
      <c r="H745" s="10" t="s">
        <v>52</v>
      </c>
      <c r="I745" s="11">
        <v>25</v>
      </c>
      <c r="J745" s="11" t="s">
        <v>4783</v>
      </c>
      <c r="K745" s="11" t="s">
        <v>42</v>
      </c>
      <c r="L745" s="11">
        <f>Table1[[#This Row],[ENR]]-Table1[[#This Row],[CREDIT]]</f>
        <v>-50585.900000000023</v>
      </c>
      <c r="M745" s="41">
        <v>400000</v>
      </c>
      <c r="N745" s="42">
        <v>349414.1</v>
      </c>
      <c r="O745" s="43" t="s">
        <v>43</v>
      </c>
      <c r="P745" s="44">
        <v>349414.1</v>
      </c>
      <c r="Q745" s="44">
        <v>321821.96000000002</v>
      </c>
      <c r="R745" s="11">
        <v>58840</v>
      </c>
      <c r="S745" s="45">
        <v>15950</v>
      </c>
      <c r="T745" s="10" t="s">
        <v>44</v>
      </c>
      <c r="U745" s="10" t="s">
        <v>45</v>
      </c>
      <c r="V745" s="10">
        <v>0</v>
      </c>
      <c r="W745" s="44">
        <f>Table1[[#This Row],[STAB]]-Table1[[#This Row],[AMOUNT]]</f>
        <v>15950</v>
      </c>
      <c r="X745" s="10">
        <v>0</v>
      </c>
      <c r="Y745" s="10" t="s">
        <v>79</v>
      </c>
      <c r="Z745" s="10">
        <v>0</v>
      </c>
      <c r="AA745" s="10" t="s">
        <v>162</v>
      </c>
      <c r="AB745" s="36" t="s">
        <v>734</v>
      </c>
      <c r="AC745" s="11"/>
      <c r="AD745" s="40" t="s">
        <v>4828</v>
      </c>
      <c r="AE745" s="11" t="s">
        <v>4873</v>
      </c>
      <c r="AF745" s="11" t="s">
        <v>1737</v>
      </c>
      <c r="AG745" s="11" t="s">
        <v>324</v>
      </c>
      <c r="AH745" s="10" t="s">
        <v>722</v>
      </c>
      <c r="AI745" s="10" t="s">
        <v>370</v>
      </c>
      <c r="AJ745" s="11">
        <v>801448854</v>
      </c>
      <c r="AK745" s="11" t="s">
        <v>105</v>
      </c>
      <c r="AL745" s="11"/>
      <c r="AM745" s="11"/>
      <c r="AN745" s="11" t="s">
        <v>390</v>
      </c>
      <c r="AO745" s="11" t="s">
        <v>531</v>
      </c>
      <c r="AP745" s="11" t="s">
        <v>6327</v>
      </c>
      <c r="AQ745" s="11" t="s">
        <v>4937</v>
      </c>
      <c r="AR745" s="46">
        <v>45831</v>
      </c>
      <c r="AS745" s="11">
        <v>45000</v>
      </c>
      <c r="AT745" s="11" t="s">
        <v>48</v>
      </c>
      <c r="AU745" s="10" t="s">
        <v>4875</v>
      </c>
      <c r="AV745" s="41" t="s">
        <v>4921</v>
      </c>
      <c r="AW745" s="47">
        <v>46216</v>
      </c>
    </row>
    <row r="746" spans="1:49" x14ac:dyDescent="0.25">
      <c r="A746" s="9" t="s">
        <v>5027</v>
      </c>
      <c r="B746" s="10" t="s">
        <v>5042</v>
      </c>
      <c r="C746" s="10">
        <v>0</v>
      </c>
      <c r="D746" s="10" t="s">
        <v>91</v>
      </c>
      <c r="E746" s="10"/>
      <c r="F746" s="10"/>
      <c r="G746" s="10"/>
      <c r="H746" s="10" t="s">
        <v>52</v>
      </c>
      <c r="I746" s="10">
        <v>16</v>
      </c>
      <c r="J746" s="10" t="s">
        <v>5057</v>
      </c>
      <c r="K746" s="10" t="s">
        <v>42</v>
      </c>
      <c r="L746" s="10">
        <f>Table1[[#This Row],[ENR]]-Table1[[#This Row],[CREDIT]]</f>
        <v>-110500.82999999999</v>
      </c>
      <c r="M746" s="36">
        <v>280000</v>
      </c>
      <c r="N746" s="26">
        <v>169499.17</v>
      </c>
      <c r="O746" s="38">
        <v>8675.64</v>
      </c>
      <c r="P746" s="25">
        <v>160823.53</v>
      </c>
      <c r="Q746" s="25">
        <v>145204.21</v>
      </c>
      <c r="R746" s="10">
        <v>44290</v>
      </c>
      <c r="S746" s="39">
        <v>21150</v>
      </c>
      <c r="T746" s="10" t="s">
        <v>44</v>
      </c>
      <c r="U746" s="10" t="s">
        <v>45</v>
      </c>
      <c r="V746" s="10">
        <v>3253</v>
      </c>
      <c r="W746" s="25">
        <f>Table1[[#This Row],[STAB]]-Table1[[#This Row],[AMOUNT]]</f>
        <v>17897</v>
      </c>
      <c r="X746" s="10">
        <v>0</v>
      </c>
      <c r="Y746" s="10" t="s">
        <v>79</v>
      </c>
      <c r="Z746" s="10" t="s">
        <v>963</v>
      </c>
      <c r="AA746" s="10" t="s">
        <v>113</v>
      </c>
      <c r="AB746" s="36" t="s">
        <v>374</v>
      </c>
      <c r="AC746" s="10"/>
      <c r="AD746" s="9" t="s">
        <v>5072</v>
      </c>
      <c r="AE746" s="10" t="s">
        <v>5087</v>
      </c>
      <c r="AF746" s="10" t="s">
        <v>283</v>
      </c>
      <c r="AG746" s="10" t="s">
        <v>53</v>
      </c>
      <c r="AH746" s="10" t="s">
        <v>5582</v>
      </c>
      <c r="AI746" s="10" t="s">
        <v>2962</v>
      </c>
      <c r="AJ746" s="10">
        <v>801601134</v>
      </c>
      <c r="AK746" s="10" t="s">
        <v>104</v>
      </c>
      <c r="AL746" s="10"/>
      <c r="AM746" s="10"/>
      <c r="AN746" s="11" t="s">
        <v>390</v>
      </c>
      <c r="AO746" s="10" t="s">
        <v>531</v>
      </c>
      <c r="AP746" s="10" t="s">
        <v>6325</v>
      </c>
      <c r="AQ746" s="10" t="s">
        <v>4937</v>
      </c>
      <c r="AR746" s="2">
        <v>46090</v>
      </c>
      <c r="AS746" s="10">
        <v>10</v>
      </c>
      <c r="AT746" s="10" t="s">
        <v>503</v>
      </c>
      <c r="AU746" s="10" t="s">
        <v>5102</v>
      </c>
      <c r="AV746" s="36" t="s">
        <v>5103</v>
      </c>
      <c r="AW746" s="1">
        <v>46207</v>
      </c>
    </row>
    <row r="747" spans="1:49" x14ac:dyDescent="0.25">
      <c r="A747" s="9" t="s">
        <v>5028</v>
      </c>
      <c r="B747" s="10" t="s">
        <v>5043</v>
      </c>
      <c r="C747" s="10">
        <v>0</v>
      </c>
      <c r="D747" s="10" t="s">
        <v>91</v>
      </c>
      <c r="E747" s="10"/>
      <c r="F747" s="10"/>
      <c r="G747" s="10"/>
      <c r="H747" s="10" t="s">
        <v>52</v>
      </c>
      <c r="I747" s="10">
        <v>16</v>
      </c>
      <c r="J747" s="10" t="s">
        <v>5058</v>
      </c>
      <c r="K747" s="10" t="s">
        <v>42</v>
      </c>
      <c r="L747" s="10">
        <f>Table1[[#This Row],[ENR]]-Table1[[#This Row],[CREDIT]]</f>
        <v>-210770.43</v>
      </c>
      <c r="M747" s="36">
        <v>320000</v>
      </c>
      <c r="N747" s="26">
        <v>109229.57</v>
      </c>
      <c r="O747" s="38" t="s">
        <v>43</v>
      </c>
      <c r="P747" s="25">
        <v>109229.57</v>
      </c>
      <c r="Q747" s="25">
        <v>100599.05</v>
      </c>
      <c r="R747" s="10">
        <v>18960</v>
      </c>
      <c r="S747" s="39">
        <v>7910</v>
      </c>
      <c r="T747" s="10" t="s">
        <v>44</v>
      </c>
      <c r="U747" s="10" t="s">
        <v>45</v>
      </c>
      <c r="V747" s="10">
        <v>0</v>
      </c>
      <c r="W747" s="25">
        <f>Table1[[#This Row],[STAB]]-Table1[[#This Row],[AMOUNT]]</f>
        <v>7910</v>
      </c>
      <c r="X747" s="10">
        <v>0</v>
      </c>
      <c r="Y747" s="10" t="s">
        <v>79</v>
      </c>
      <c r="Z747" s="10">
        <v>0</v>
      </c>
      <c r="AA747" s="10" t="s">
        <v>113</v>
      </c>
      <c r="AB747" s="36" t="s">
        <v>374</v>
      </c>
      <c r="AC747" s="10"/>
      <c r="AD747" s="9" t="s">
        <v>5073</v>
      </c>
      <c r="AE747" s="10" t="s">
        <v>5088</v>
      </c>
      <c r="AF747" s="10" t="s">
        <v>1319</v>
      </c>
      <c r="AG747" s="10" t="s">
        <v>54</v>
      </c>
      <c r="AH747" s="10" t="s">
        <v>59</v>
      </c>
      <c r="AI747" s="10" t="s">
        <v>956</v>
      </c>
      <c r="AJ747" s="10">
        <v>802551967</v>
      </c>
      <c r="AK747" s="10" t="s">
        <v>362</v>
      </c>
      <c r="AL747" s="10"/>
      <c r="AM747" s="10"/>
      <c r="AN747" s="11" t="s">
        <v>46</v>
      </c>
      <c r="AO747" s="10"/>
      <c r="AP747" s="10"/>
      <c r="AQ747" s="10"/>
      <c r="AR747" s="2">
        <v>46172</v>
      </c>
      <c r="AS747" s="10">
        <v>8960</v>
      </c>
      <c r="AT747" s="10" t="s">
        <v>503</v>
      </c>
      <c r="AU747" s="10" t="s">
        <v>5102</v>
      </c>
      <c r="AV747" s="36" t="s">
        <v>5104</v>
      </c>
      <c r="AW747" s="1">
        <v>46207</v>
      </c>
    </row>
    <row r="748" spans="1:49" x14ac:dyDescent="0.25">
      <c r="A748" s="9" t="s">
        <v>5029</v>
      </c>
      <c r="B748" s="10" t="s">
        <v>5044</v>
      </c>
      <c r="C748" s="10">
        <v>0</v>
      </c>
      <c r="D748" s="10" t="s">
        <v>91</v>
      </c>
      <c r="E748" s="10">
        <v>1</v>
      </c>
      <c r="F748" s="10"/>
      <c r="G748" s="10"/>
      <c r="H748" s="10" t="s">
        <v>52</v>
      </c>
      <c r="I748" s="10">
        <v>16</v>
      </c>
      <c r="J748" s="10" t="s">
        <v>5059</v>
      </c>
      <c r="K748" s="10" t="s">
        <v>42</v>
      </c>
      <c r="L748" s="10">
        <f>Table1[[#This Row],[ENR]]-Table1[[#This Row],[CREDIT]]</f>
        <v>-42020.210000000006</v>
      </c>
      <c r="M748" s="36">
        <v>150000</v>
      </c>
      <c r="N748" s="26">
        <v>107979.79</v>
      </c>
      <c r="O748" s="38">
        <v>62381.45</v>
      </c>
      <c r="P748" s="25">
        <v>45598.34</v>
      </c>
      <c r="Q748" s="25">
        <v>35608.519999999997</v>
      </c>
      <c r="R748" s="10">
        <v>43110</v>
      </c>
      <c r="S748" s="39">
        <v>18470</v>
      </c>
      <c r="T748" s="10" t="s">
        <v>44</v>
      </c>
      <c r="U748" s="10" t="s">
        <v>45</v>
      </c>
      <c r="V748" s="10">
        <v>0</v>
      </c>
      <c r="W748" s="25">
        <f>Table1[[#This Row],[STAB]]-Table1[[#This Row],[AMOUNT]]</f>
        <v>18470</v>
      </c>
      <c r="X748" s="10">
        <v>0</v>
      </c>
      <c r="Y748" s="10" t="s">
        <v>79</v>
      </c>
      <c r="Z748" s="10">
        <v>0</v>
      </c>
      <c r="AA748" s="10" t="s">
        <v>113</v>
      </c>
      <c r="AB748" s="36" t="s">
        <v>133</v>
      </c>
      <c r="AC748" s="10"/>
      <c r="AD748" s="9" t="s">
        <v>5074</v>
      </c>
      <c r="AE748" s="10" t="s">
        <v>5089</v>
      </c>
      <c r="AF748" s="10" t="s">
        <v>287</v>
      </c>
      <c r="AG748" s="10" t="s">
        <v>324</v>
      </c>
      <c r="AH748" s="10" t="s">
        <v>56</v>
      </c>
      <c r="AI748" s="10" t="s">
        <v>370</v>
      </c>
      <c r="AJ748" s="10">
        <v>801448854</v>
      </c>
      <c r="AK748" s="10" t="s">
        <v>105</v>
      </c>
      <c r="AL748" s="10"/>
      <c r="AM748" s="10"/>
      <c r="AN748" s="11" t="s">
        <v>46</v>
      </c>
      <c r="AO748" s="10"/>
      <c r="AP748" s="10"/>
      <c r="AQ748" s="10"/>
      <c r="AR748" s="2">
        <v>46154</v>
      </c>
      <c r="AS748" s="10">
        <v>11576.58</v>
      </c>
      <c r="AT748" s="10" t="s">
        <v>294</v>
      </c>
      <c r="AU748" s="10" t="s">
        <v>5102</v>
      </c>
      <c r="AV748" s="36" t="s">
        <v>5105</v>
      </c>
      <c r="AW748" s="1">
        <v>46207</v>
      </c>
    </row>
    <row r="749" spans="1:49" x14ac:dyDescent="0.25">
      <c r="A749" s="9" t="s">
        <v>5030</v>
      </c>
      <c r="B749" s="10" t="s">
        <v>5045</v>
      </c>
      <c r="C749" s="10">
        <v>0</v>
      </c>
      <c r="D749" s="10" t="s">
        <v>95</v>
      </c>
      <c r="E749" s="10">
        <v>1</v>
      </c>
      <c r="F749" s="10" t="s">
        <v>112</v>
      </c>
      <c r="G749" s="10"/>
      <c r="H749" s="10" t="s">
        <v>52</v>
      </c>
      <c r="I749" s="10">
        <v>16</v>
      </c>
      <c r="J749" s="10" t="s">
        <v>5060</v>
      </c>
      <c r="K749" s="10" t="s">
        <v>42</v>
      </c>
      <c r="L749" s="10">
        <f>Table1[[#This Row],[ENR]]-Table1[[#This Row],[CREDIT]]</f>
        <v>-2372.0499999999884</v>
      </c>
      <c r="M749" s="36">
        <v>150000</v>
      </c>
      <c r="N749" s="26">
        <v>147627.95000000001</v>
      </c>
      <c r="O749" s="38" t="s">
        <v>43</v>
      </c>
      <c r="P749" s="25">
        <v>147627.95000000001</v>
      </c>
      <c r="Q749" s="25">
        <v>139274.35</v>
      </c>
      <c r="R749" s="10">
        <v>22260</v>
      </c>
      <c r="S749" s="39">
        <v>13080</v>
      </c>
      <c r="T749" s="10" t="s">
        <v>44</v>
      </c>
      <c r="U749" s="10" t="s">
        <v>45</v>
      </c>
      <c r="V749" s="10">
        <v>0</v>
      </c>
      <c r="W749" s="25">
        <f>Table1[[#This Row],[STAB]]-Table1[[#This Row],[AMOUNT]]</f>
        <v>13080</v>
      </c>
      <c r="X749" s="10">
        <v>0</v>
      </c>
      <c r="Y749" s="10" t="s">
        <v>79</v>
      </c>
      <c r="Z749" s="10">
        <v>0</v>
      </c>
      <c r="AA749" s="10" t="s">
        <v>113</v>
      </c>
      <c r="AB749" s="36" t="s">
        <v>133</v>
      </c>
      <c r="AC749" s="10"/>
      <c r="AD749" s="9" t="s">
        <v>5075</v>
      </c>
      <c r="AE749" s="10" t="s">
        <v>5090</v>
      </c>
      <c r="AF749" s="10" t="s">
        <v>1319</v>
      </c>
      <c r="AG749" s="10" t="s">
        <v>54</v>
      </c>
      <c r="AH749" s="10" t="s">
        <v>94</v>
      </c>
      <c r="AI749" s="10" t="s">
        <v>725</v>
      </c>
      <c r="AJ749" s="10">
        <v>802794852</v>
      </c>
      <c r="AK749" s="10" t="s">
        <v>104</v>
      </c>
      <c r="AL749" s="10"/>
      <c r="AM749" s="10"/>
      <c r="AN749" s="11" t="s">
        <v>46</v>
      </c>
      <c r="AO749" s="10"/>
      <c r="AP749" s="10"/>
      <c r="AQ749" s="10"/>
      <c r="AR749" s="2">
        <v>45820</v>
      </c>
      <c r="AS749" s="10">
        <v>49000</v>
      </c>
      <c r="AT749" s="10" t="s">
        <v>503</v>
      </c>
      <c r="AU749" s="10" t="s">
        <v>5102</v>
      </c>
      <c r="AV749" s="36" t="s">
        <v>5106</v>
      </c>
      <c r="AW749" s="1">
        <v>46207</v>
      </c>
    </row>
    <row r="750" spans="1:49" x14ac:dyDescent="0.25">
      <c r="A750" s="9" t="s">
        <v>5031</v>
      </c>
      <c r="B750" s="10" t="s">
        <v>5046</v>
      </c>
      <c r="C750" s="10">
        <v>0</v>
      </c>
      <c r="D750" s="10" t="s">
        <v>91</v>
      </c>
      <c r="E750" s="10"/>
      <c r="F750" s="10"/>
      <c r="G750" s="10"/>
      <c r="H750" s="10" t="s">
        <v>52</v>
      </c>
      <c r="I750" s="10">
        <v>16</v>
      </c>
      <c r="J750" s="10" t="s">
        <v>5061</v>
      </c>
      <c r="K750" s="10" t="s">
        <v>42</v>
      </c>
      <c r="L750" s="10">
        <f>Table1[[#This Row],[ENR]]-Table1[[#This Row],[CREDIT]]</f>
        <v>-29423.820000000007</v>
      </c>
      <c r="M750" s="36">
        <v>210000</v>
      </c>
      <c r="N750" s="26">
        <v>180576.18</v>
      </c>
      <c r="O750" s="38">
        <v>81538.97</v>
      </c>
      <c r="P750" s="25">
        <v>99037.21</v>
      </c>
      <c r="Q750" s="25">
        <v>82307.62</v>
      </c>
      <c r="R750" s="10">
        <v>47300</v>
      </c>
      <c r="S750" s="39">
        <v>24240</v>
      </c>
      <c r="T750" s="10" t="s">
        <v>57</v>
      </c>
      <c r="U750" s="10" t="s">
        <v>14</v>
      </c>
      <c r="V750" s="10">
        <v>24240</v>
      </c>
      <c r="W750" s="25">
        <f>Table1[[#This Row],[STAB]]-Table1[[#This Row],[AMOUNT]]</f>
        <v>0</v>
      </c>
      <c r="X750" s="10" t="s">
        <v>4993</v>
      </c>
      <c r="Y750" s="10" t="s">
        <v>402</v>
      </c>
      <c r="Z750" s="10" t="s">
        <v>403</v>
      </c>
      <c r="AA750" s="10" t="s">
        <v>113</v>
      </c>
      <c r="AB750" s="36" t="s">
        <v>375</v>
      </c>
      <c r="AC750" s="10"/>
      <c r="AD750" s="9" t="s">
        <v>5076</v>
      </c>
      <c r="AE750" s="10" t="s">
        <v>5091</v>
      </c>
      <c r="AF750" s="10" t="s">
        <v>283</v>
      </c>
      <c r="AG750" s="10" t="s">
        <v>53</v>
      </c>
      <c r="AH750" s="10" t="s">
        <v>356</v>
      </c>
      <c r="AI750" s="10" t="s">
        <v>2962</v>
      </c>
      <c r="AJ750" s="10">
        <v>801601134</v>
      </c>
      <c r="AK750" s="10" t="s">
        <v>104</v>
      </c>
      <c r="AL750" s="10"/>
      <c r="AM750" s="10"/>
      <c r="AN750" s="11" t="s">
        <v>390</v>
      </c>
      <c r="AO750" s="10"/>
      <c r="AP750" s="10"/>
      <c r="AQ750" s="10"/>
      <c r="AR750" s="2">
        <v>46158</v>
      </c>
      <c r="AS750" s="10">
        <v>14.01</v>
      </c>
      <c r="AT750" s="10" t="s">
        <v>503</v>
      </c>
      <c r="AU750" s="10" t="s">
        <v>5102</v>
      </c>
      <c r="AV750" s="36" t="s">
        <v>5107</v>
      </c>
      <c r="AW750" s="1">
        <v>46207</v>
      </c>
    </row>
    <row r="751" spans="1:49" x14ac:dyDescent="0.25">
      <c r="A751" s="9" t="s">
        <v>5032</v>
      </c>
      <c r="B751" s="10" t="s">
        <v>5047</v>
      </c>
      <c r="C751" s="10">
        <v>0</v>
      </c>
      <c r="D751" s="10" t="s">
        <v>95</v>
      </c>
      <c r="E751" s="10">
        <v>1</v>
      </c>
      <c r="F751" s="10" t="s">
        <v>112</v>
      </c>
      <c r="G751" s="10"/>
      <c r="H751" s="10" t="s">
        <v>52</v>
      </c>
      <c r="I751" s="10">
        <v>16</v>
      </c>
      <c r="J751" s="10" t="s">
        <v>5062</v>
      </c>
      <c r="K751" s="10" t="s">
        <v>42</v>
      </c>
      <c r="L751" s="10">
        <f>Table1[[#This Row],[ENR]]-Table1[[#This Row],[CREDIT]]</f>
        <v>5318.8699999999953</v>
      </c>
      <c r="M751" s="36">
        <v>100000</v>
      </c>
      <c r="N751" s="26">
        <v>105318.87</v>
      </c>
      <c r="O751" s="38" t="s">
        <v>43</v>
      </c>
      <c r="P751" s="25">
        <v>105318.87</v>
      </c>
      <c r="Q751" s="25">
        <v>94709.13</v>
      </c>
      <c r="R751" s="10">
        <v>29830</v>
      </c>
      <c r="S751" s="39">
        <v>14480</v>
      </c>
      <c r="T751" s="10" t="s">
        <v>44</v>
      </c>
      <c r="U751" s="10" t="s">
        <v>45</v>
      </c>
      <c r="V751" s="10">
        <v>0</v>
      </c>
      <c r="W751" s="25">
        <f>Table1[[#This Row],[STAB]]-Table1[[#This Row],[AMOUNT]]</f>
        <v>14480</v>
      </c>
      <c r="X751" s="10">
        <v>0</v>
      </c>
      <c r="Y751" s="10" t="s">
        <v>79</v>
      </c>
      <c r="Z751" s="10">
        <v>0</v>
      </c>
      <c r="AA751" s="10" t="s">
        <v>113</v>
      </c>
      <c r="AB751" s="36" t="s">
        <v>132</v>
      </c>
      <c r="AC751" s="10"/>
      <c r="AD751" s="9" t="s">
        <v>5077</v>
      </c>
      <c r="AE751" s="10" t="s">
        <v>5092</v>
      </c>
      <c r="AF751" s="10" t="s">
        <v>686</v>
      </c>
      <c r="AG751" s="10" t="s">
        <v>324</v>
      </c>
      <c r="AH751" s="10" t="s">
        <v>722</v>
      </c>
      <c r="AI751" s="10" t="s">
        <v>370</v>
      </c>
      <c r="AJ751" s="10">
        <v>801448854</v>
      </c>
      <c r="AK751" s="10" t="s">
        <v>105</v>
      </c>
      <c r="AL751" s="10"/>
      <c r="AM751" s="10"/>
      <c r="AN751" s="11" t="s">
        <v>46</v>
      </c>
      <c r="AO751" s="10"/>
      <c r="AP751" s="10"/>
      <c r="AQ751" s="10"/>
      <c r="AR751" s="2" t="s">
        <v>43</v>
      </c>
      <c r="AS751" s="10">
        <v>0</v>
      </c>
      <c r="AT751" s="10" t="s">
        <v>503</v>
      </c>
      <c r="AU751" s="10" t="s">
        <v>5102</v>
      </c>
      <c r="AV751" s="36" t="s">
        <v>5108</v>
      </c>
      <c r="AW751" s="1">
        <v>46207</v>
      </c>
    </row>
    <row r="752" spans="1:49" x14ac:dyDescent="0.25">
      <c r="A752" s="9" t="s">
        <v>5033</v>
      </c>
      <c r="B752" s="10" t="s">
        <v>5048</v>
      </c>
      <c r="C752" s="10">
        <v>0</v>
      </c>
      <c r="D752" s="10" t="s">
        <v>91</v>
      </c>
      <c r="E752" s="10">
        <v>1</v>
      </c>
      <c r="F752" s="10"/>
      <c r="G752" s="10"/>
      <c r="H752" s="10" t="s">
        <v>52</v>
      </c>
      <c r="I752" s="10">
        <v>16</v>
      </c>
      <c r="J752" s="10" t="s">
        <v>5063</v>
      </c>
      <c r="K752" s="10" t="s">
        <v>42</v>
      </c>
      <c r="L752" s="10">
        <f>Table1[[#This Row],[ENR]]-Table1[[#This Row],[CREDIT]]</f>
        <v>25129.140000000014</v>
      </c>
      <c r="M752" s="36">
        <v>210000</v>
      </c>
      <c r="N752" s="26">
        <v>235129.14</v>
      </c>
      <c r="O752" s="38">
        <v>193703.77</v>
      </c>
      <c r="P752" s="25">
        <v>41425.370000000003</v>
      </c>
      <c r="Q752" s="25">
        <v>14663.23</v>
      </c>
      <c r="R752" s="10">
        <v>41425.370000000003</v>
      </c>
      <c r="S752" s="39">
        <v>28376.69</v>
      </c>
      <c r="T752" s="10" t="s">
        <v>57</v>
      </c>
      <c r="U752" s="10" t="s">
        <v>14</v>
      </c>
      <c r="V752" s="10">
        <v>28376.69</v>
      </c>
      <c r="W752" s="25">
        <f>Table1[[#This Row],[STAB]]-Table1[[#This Row],[AMOUNT]]</f>
        <v>0</v>
      </c>
      <c r="X752" s="10" t="s">
        <v>4976</v>
      </c>
      <c r="Y752" s="10" t="s">
        <v>402</v>
      </c>
      <c r="Z752" s="10" t="s">
        <v>403</v>
      </c>
      <c r="AA752" s="10" t="s">
        <v>113</v>
      </c>
      <c r="AB752" s="36" t="s">
        <v>133</v>
      </c>
      <c r="AC752" s="10"/>
      <c r="AD752" s="9" t="s">
        <v>5078</v>
      </c>
      <c r="AE752" s="10" t="s">
        <v>5093</v>
      </c>
      <c r="AF752" s="10" t="s">
        <v>281</v>
      </c>
      <c r="AG752" s="10" t="s">
        <v>54</v>
      </c>
      <c r="AH752" s="10" t="s">
        <v>99</v>
      </c>
      <c r="AI752" s="10" t="s">
        <v>363</v>
      </c>
      <c r="AJ752" s="10">
        <v>802913252</v>
      </c>
      <c r="AK752" s="10" t="s">
        <v>104</v>
      </c>
      <c r="AL752" s="10"/>
      <c r="AM752" s="10"/>
      <c r="AN752" s="11" t="s">
        <v>390</v>
      </c>
      <c r="AO752" s="10" t="s">
        <v>398</v>
      </c>
      <c r="AP752" s="10" t="s">
        <v>6330</v>
      </c>
      <c r="AQ752" s="10" t="s">
        <v>4976</v>
      </c>
      <c r="AR752" s="2">
        <v>45935</v>
      </c>
      <c r="AS752" s="10">
        <v>800</v>
      </c>
      <c r="AT752" s="10" t="s">
        <v>689</v>
      </c>
      <c r="AU752" s="10" t="s">
        <v>5102</v>
      </c>
      <c r="AV752" s="36" t="s">
        <v>5109</v>
      </c>
      <c r="AW752" s="1">
        <v>46207</v>
      </c>
    </row>
    <row r="753" spans="1:49" x14ac:dyDescent="0.25">
      <c r="A753" s="9" t="s">
        <v>5034</v>
      </c>
      <c r="B753" s="10" t="s">
        <v>5049</v>
      </c>
      <c r="C753" s="10">
        <v>0</v>
      </c>
      <c r="D753" s="10" t="s">
        <v>91</v>
      </c>
      <c r="E753" s="10"/>
      <c r="F753" s="10"/>
      <c r="G753" s="10"/>
      <c r="H753" s="10" t="s">
        <v>52</v>
      </c>
      <c r="I753" s="10">
        <v>16</v>
      </c>
      <c r="J753" s="10" t="s">
        <v>5064</v>
      </c>
      <c r="K753" s="10" t="s">
        <v>42</v>
      </c>
      <c r="L753" s="10">
        <f>Table1[[#This Row],[ENR]]-Table1[[#This Row],[CREDIT]]</f>
        <v>2570.5</v>
      </c>
      <c r="M753" s="36">
        <v>100000</v>
      </c>
      <c r="N753" s="26">
        <v>102570.5</v>
      </c>
      <c r="O753" s="38">
        <v>44912.36</v>
      </c>
      <c r="P753" s="25">
        <v>57658.14</v>
      </c>
      <c r="Q753" s="25">
        <v>51188.15</v>
      </c>
      <c r="R753" s="10">
        <v>17040</v>
      </c>
      <c r="S753" s="39">
        <v>6220</v>
      </c>
      <c r="T753" s="10" t="s">
        <v>57</v>
      </c>
      <c r="U753" s="10" t="s">
        <v>14</v>
      </c>
      <c r="V753" s="10">
        <v>3800</v>
      </c>
      <c r="W753" s="25">
        <f>Table1[[#This Row],[STAB]]-Table1[[#This Row],[AMOUNT]]</f>
        <v>2420</v>
      </c>
      <c r="X753" s="10" t="s">
        <v>4976</v>
      </c>
      <c r="Y753" s="10" t="s">
        <v>402</v>
      </c>
      <c r="Z753" s="10" t="s">
        <v>403</v>
      </c>
      <c r="AA753" s="10" t="s">
        <v>113</v>
      </c>
      <c r="AB753" s="36" t="s">
        <v>376</v>
      </c>
      <c r="AC753" s="10"/>
      <c r="AD753" s="9" t="s">
        <v>5079</v>
      </c>
      <c r="AE753" s="10" t="s">
        <v>5094</v>
      </c>
      <c r="AF753" s="10" t="s">
        <v>864</v>
      </c>
      <c r="AG753" s="10" t="s">
        <v>54</v>
      </c>
      <c r="AH753" s="10" t="s">
        <v>1398</v>
      </c>
      <c r="AI753" s="10" t="s">
        <v>162</v>
      </c>
      <c r="AJ753" s="10">
        <v>801772794</v>
      </c>
      <c r="AK753" s="10" t="s">
        <v>361</v>
      </c>
      <c r="AL753" s="10"/>
      <c r="AM753" s="10"/>
      <c r="AN753" s="11" t="s">
        <v>390</v>
      </c>
      <c r="AO753" s="10"/>
      <c r="AP753" s="10"/>
      <c r="AQ753" s="10"/>
      <c r="AR753" s="2">
        <v>45538</v>
      </c>
      <c r="AS753" s="10">
        <v>62226</v>
      </c>
      <c r="AT753" s="10" t="s">
        <v>503</v>
      </c>
      <c r="AU753" s="10" t="s">
        <v>5102</v>
      </c>
      <c r="AV753" s="36" t="s">
        <v>5110</v>
      </c>
      <c r="AW753" s="1">
        <v>46207</v>
      </c>
    </row>
    <row r="754" spans="1:49" x14ac:dyDescent="0.25">
      <c r="A754" s="9" t="s">
        <v>5035</v>
      </c>
      <c r="B754" s="10" t="s">
        <v>5050</v>
      </c>
      <c r="C754" s="10">
        <v>0</v>
      </c>
      <c r="D754" s="10" t="s">
        <v>91</v>
      </c>
      <c r="E754" s="10"/>
      <c r="F754" s="10" t="s">
        <v>112</v>
      </c>
      <c r="G754" s="10"/>
      <c r="H754" s="10" t="s">
        <v>52</v>
      </c>
      <c r="I754" s="10">
        <v>16</v>
      </c>
      <c r="J754" s="10" t="s">
        <v>5065</v>
      </c>
      <c r="K754" s="10" t="s">
        <v>42</v>
      </c>
      <c r="L754" s="10">
        <f>Table1[[#This Row],[ENR]]-Table1[[#This Row],[CREDIT]]</f>
        <v>-100527.35</v>
      </c>
      <c r="M754" s="36">
        <v>220000</v>
      </c>
      <c r="N754" s="26">
        <v>119472.65</v>
      </c>
      <c r="O754" s="38" t="s">
        <v>43</v>
      </c>
      <c r="P754" s="25">
        <v>119472.65</v>
      </c>
      <c r="Q754" s="25">
        <v>101659.54</v>
      </c>
      <c r="R754" s="10">
        <v>27740</v>
      </c>
      <c r="S754" s="39">
        <v>16340</v>
      </c>
      <c r="T754" s="10" t="s">
        <v>57</v>
      </c>
      <c r="U754" s="10" t="s">
        <v>13</v>
      </c>
      <c r="V754" s="10">
        <v>28000</v>
      </c>
      <c r="W754" s="25">
        <f>Table1[[#This Row],[STAB]]-Table1[[#This Row],[AMOUNT]]</f>
        <v>-11660</v>
      </c>
      <c r="X754" s="10" t="s">
        <v>4937</v>
      </c>
      <c r="Y754" s="10" t="s">
        <v>402</v>
      </c>
      <c r="Z754" s="10" t="s">
        <v>403</v>
      </c>
      <c r="AA754" s="10" t="s">
        <v>113</v>
      </c>
      <c r="AB754" s="36" t="s">
        <v>376</v>
      </c>
      <c r="AC754" s="10"/>
      <c r="AD754" s="9" t="s">
        <v>5080</v>
      </c>
      <c r="AE754" s="10" t="s">
        <v>5095</v>
      </c>
      <c r="AF754" s="10" t="s">
        <v>274</v>
      </c>
      <c r="AG754" s="10" t="s">
        <v>53</v>
      </c>
      <c r="AH754" s="10" t="s">
        <v>55</v>
      </c>
      <c r="AI754" s="10" t="s">
        <v>365</v>
      </c>
      <c r="AJ754" s="10">
        <v>802824019</v>
      </c>
      <c r="AK754" s="10" t="s">
        <v>360</v>
      </c>
      <c r="AL754" s="10"/>
      <c r="AM754" s="10"/>
      <c r="AN754" s="11" t="s">
        <v>390</v>
      </c>
      <c r="AO754" s="10"/>
      <c r="AP754" s="10"/>
      <c r="AQ754" s="10"/>
      <c r="AR754" s="2">
        <v>46144</v>
      </c>
      <c r="AS754" s="10">
        <v>34000</v>
      </c>
      <c r="AT754" s="10" t="s">
        <v>503</v>
      </c>
      <c r="AU754" s="10" t="s">
        <v>5102</v>
      </c>
      <c r="AV754" s="36" t="s">
        <v>5111</v>
      </c>
      <c r="AW754" s="1">
        <v>46207</v>
      </c>
    </row>
    <row r="755" spans="1:49" x14ac:dyDescent="0.25">
      <c r="A755" s="9" t="s">
        <v>5036</v>
      </c>
      <c r="B755" s="10" t="s">
        <v>5051</v>
      </c>
      <c r="C755" s="10">
        <v>0</v>
      </c>
      <c r="D755" s="10" t="s">
        <v>91</v>
      </c>
      <c r="E755" s="10"/>
      <c r="F755" s="10" t="s">
        <v>112</v>
      </c>
      <c r="G755" s="10"/>
      <c r="H755" s="10" t="s">
        <v>52</v>
      </c>
      <c r="I755" s="10">
        <v>16</v>
      </c>
      <c r="J755" s="10" t="s">
        <v>5066</v>
      </c>
      <c r="K755" s="10" t="s">
        <v>42</v>
      </c>
      <c r="L755" s="10">
        <f>Table1[[#This Row],[ENR]]-Table1[[#This Row],[CREDIT]]</f>
        <v>14268.390000000014</v>
      </c>
      <c r="M755" s="36">
        <v>140000</v>
      </c>
      <c r="N755" s="26">
        <v>154268.39000000001</v>
      </c>
      <c r="O755" s="38" t="s">
        <v>43</v>
      </c>
      <c r="P755" s="25">
        <v>154268.39000000001</v>
      </c>
      <c r="Q755" s="25">
        <v>138499</v>
      </c>
      <c r="R755" s="10">
        <v>37750</v>
      </c>
      <c r="S755" s="39">
        <v>15560</v>
      </c>
      <c r="T755" s="10" t="s">
        <v>44</v>
      </c>
      <c r="U755" s="10" t="s">
        <v>45</v>
      </c>
      <c r="V755" s="10">
        <v>0</v>
      </c>
      <c r="W755" s="25">
        <f>Table1[[#This Row],[STAB]]-Table1[[#This Row],[AMOUNT]]</f>
        <v>15560</v>
      </c>
      <c r="X755" s="10">
        <v>0</v>
      </c>
      <c r="Y755" s="10" t="s">
        <v>79</v>
      </c>
      <c r="Z755" s="10">
        <v>0</v>
      </c>
      <c r="AA755" s="10" t="s">
        <v>113</v>
      </c>
      <c r="AB755" s="36" t="s">
        <v>376</v>
      </c>
      <c r="AC755" s="10"/>
      <c r="AD755" s="9" t="s">
        <v>5081</v>
      </c>
      <c r="AE755" s="10" t="s">
        <v>5096</v>
      </c>
      <c r="AF755" s="10" t="s">
        <v>1102</v>
      </c>
      <c r="AG755" s="10" t="s">
        <v>324</v>
      </c>
      <c r="AH755" s="10" t="s">
        <v>1956</v>
      </c>
      <c r="AI755" s="10" t="s">
        <v>1403</v>
      </c>
      <c r="AJ755" s="10">
        <v>802631601</v>
      </c>
      <c r="AK755" s="10" t="s">
        <v>362</v>
      </c>
      <c r="AL755" s="10"/>
      <c r="AM755" s="10"/>
      <c r="AN755" s="11" t="s">
        <v>46</v>
      </c>
      <c r="AO755" s="10"/>
      <c r="AP755" s="10"/>
      <c r="AQ755" s="10"/>
      <c r="AR755" s="2" t="s">
        <v>43</v>
      </c>
      <c r="AS755" s="10">
        <v>0</v>
      </c>
      <c r="AT755" s="10" t="s">
        <v>503</v>
      </c>
      <c r="AU755" s="10" t="s">
        <v>5102</v>
      </c>
      <c r="AV755" s="36" t="s">
        <v>5112</v>
      </c>
      <c r="AW755" s="1">
        <v>46207</v>
      </c>
    </row>
    <row r="756" spans="1:49" x14ac:dyDescent="0.25">
      <c r="A756" s="9" t="s">
        <v>5037</v>
      </c>
      <c r="B756" s="10" t="s">
        <v>5052</v>
      </c>
      <c r="C756" s="10">
        <v>0</v>
      </c>
      <c r="D756" s="10" t="s">
        <v>91</v>
      </c>
      <c r="E756" s="10"/>
      <c r="F756" s="10"/>
      <c r="G756" s="10"/>
      <c r="H756" s="10" t="s">
        <v>52</v>
      </c>
      <c r="I756" s="10">
        <v>16</v>
      </c>
      <c r="J756" s="10" t="s">
        <v>5067</v>
      </c>
      <c r="K756" s="10" t="s">
        <v>42</v>
      </c>
      <c r="L756" s="10">
        <f>Table1[[#This Row],[ENR]]-Table1[[#This Row],[CREDIT]]</f>
        <v>-61042.950000000012</v>
      </c>
      <c r="M756" s="36">
        <v>250000</v>
      </c>
      <c r="N756" s="26">
        <v>188957.05</v>
      </c>
      <c r="O756" s="38">
        <v>49227.94</v>
      </c>
      <c r="P756" s="25">
        <v>139729.10999999999</v>
      </c>
      <c r="Q756" s="25">
        <v>122269.71</v>
      </c>
      <c r="R756" s="10">
        <v>53470</v>
      </c>
      <c r="S756" s="39">
        <v>24500</v>
      </c>
      <c r="T756" s="10" t="s">
        <v>57</v>
      </c>
      <c r="U756" s="10" t="s">
        <v>14</v>
      </c>
      <c r="V756" s="10">
        <v>15000</v>
      </c>
      <c r="W756" s="25">
        <f>Table1[[#This Row],[STAB]]-Table1[[#This Row],[AMOUNT]]</f>
        <v>9500</v>
      </c>
      <c r="X756" s="10" t="s">
        <v>4976</v>
      </c>
      <c r="Y756" s="10" t="s">
        <v>402</v>
      </c>
      <c r="Z756" s="10" t="s">
        <v>964</v>
      </c>
      <c r="AA756" s="10" t="s">
        <v>113</v>
      </c>
      <c r="AB756" s="36" t="s">
        <v>375</v>
      </c>
      <c r="AC756" s="10"/>
      <c r="AD756" s="9" t="s">
        <v>5082</v>
      </c>
      <c r="AE756" s="10" t="s">
        <v>5097</v>
      </c>
      <c r="AF756" s="10" t="s">
        <v>500</v>
      </c>
      <c r="AG756" s="10" t="s">
        <v>324</v>
      </c>
      <c r="AH756" s="10" t="s">
        <v>4528</v>
      </c>
      <c r="AI756" s="10" t="s">
        <v>372</v>
      </c>
      <c r="AJ756" s="10">
        <v>801597759</v>
      </c>
      <c r="AK756" s="10" t="s">
        <v>362</v>
      </c>
      <c r="AL756" s="10"/>
      <c r="AM756" s="10"/>
      <c r="AN756" s="11" t="s">
        <v>390</v>
      </c>
      <c r="AO756" s="10"/>
      <c r="AP756" s="10"/>
      <c r="AQ756" s="10"/>
      <c r="AR756" s="2">
        <v>45988</v>
      </c>
      <c r="AS756" s="10">
        <v>44440</v>
      </c>
      <c r="AT756" s="10" t="s">
        <v>3264</v>
      </c>
      <c r="AU756" s="10" t="s">
        <v>5102</v>
      </c>
      <c r="AV756" s="36" t="s">
        <v>5113</v>
      </c>
      <c r="AW756" s="1">
        <v>46207</v>
      </c>
    </row>
    <row r="757" spans="1:49" x14ac:dyDescent="0.25">
      <c r="A757" s="9" t="s">
        <v>5038</v>
      </c>
      <c r="B757" s="10" t="s">
        <v>5053</v>
      </c>
      <c r="C757" s="10">
        <v>0</v>
      </c>
      <c r="D757" s="10" t="s">
        <v>91</v>
      </c>
      <c r="E757" s="10"/>
      <c r="F757" s="10"/>
      <c r="G757" s="10"/>
      <c r="H757" s="10" t="s">
        <v>52</v>
      </c>
      <c r="I757" s="10">
        <v>16</v>
      </c>
      <c r="J757" s="10" t="s">
        <v>5068</v>
      </c>
      <c r="K757" s="10" t="s">
        <v>42</v>
      </c>
      <c r="L757" s="10">
        <f>Table1[[#This Row],[ENR]]-Table1[[#This Row],[CREDIT]]</f>
        <v>2693.929999999993</v>
      </c>
      <c r="M757" s="36">
        <v>100000</v>
      </c>
      <c r="N757" s="26">
        <v>102693.93</v>
      </c>
      <c r="O757" s="38" t="s">
        <v>43</v>
      </c>
      <c r="P757" s="25">
        <v>102693.93</v>
      </c>
      <c r="Q757" s="25">
        <v>91117.05</v>
      </c>
      <c r="R757" s="10">
        <v>25530</v>
      </c>
      <c r="S757" s="39">
        <v>12300.02</v>
      </c>
      <c r="T757" s="10" t="s">
        <v>44</v>
      </c>
      <c r="U757" s="10" t="s">
        <v>45</v>
      </c>
      <c r="V757" s="10">
        <v>0</v>
      </c>
      <c r="W757" s="25">
        <f>Table1[[#This Row],[STAB]]-Table1[[#This Row],[AMOUNT]]</f>
        <v>12300.02</v>
      </c>
      <c r="X757" s="10">
        <v>0</v>
      </c>
      <c r="Y757" s="10" t="s">
        <v>79</v>
      </c>
      <c r="Z757" s="10">
        <v>0</v>
      </c>
      <c r="AA757" s="10" t="s">
        <v>113</v>
      </c>
      <c r="AB757" s="36" t="s">
        <v>131</v>
      </c>
      <c r="AC757" s="10"/>
      <c r="AD757" s="9" t="s">
        <v>5083</v>
      </c>
      <c r="AE757" s="10" t="s">
        <v>5098</v>
      </c>
      <c r="AF757" s="10" t="s">
        <v>276</v>
      </c>
      <c r="AG757" s="10" t="s">
        <v>324</v>
      </c>
      <c r="AH757" s="10" t="s">
        <v>354</v>
      </c>
      <c r="AI757" s="10" t="s">
        <v>367</v>
      </c>
      <c r="AJ757" s="10">
        <v>801436997</v>
      </c>
      <c r="AK757" s="10" t="s">
        <v>104</v>
      </c>
      <c r="AL757" s="10"/>
      <c r="AM757" s="10"/>
      <c r="AN757" s="11" t="s">
        <v>390</v>
      </c>
      <c r="AO757" s="10" t="s">
        <v>398</v>
      </c>
      <c r="AP757" s="10" t="s">
        <v>6227</v>
      </c>
      <c r="AQ757" s="10" t="s">
        <v>4937</v>
      </c>
      <c r="AR757" s="2">
        <v>46160</v>
      </c>
      <c r="AS757" s="10">
        <v>5389.98</v>
      </c>
      <c r="AT757" s="10" t="s">
        <v>1931</v>
      </c>
      <c r="AU757" s="10" t="s">
        <v>5102</v>
      </c>
      <c r="AV757" s="36" t="s">
        <v>5114</v>
      </c>
      <c r="AW757" s="1">
        <v>46207</v>
      </c>
    </row>
    <row r="758" spans="1:49" x14ac:dyDescent="0.25">
      <c r="A758" s="9" t="s">
        <v>5039</v>
      </c>
      <c r="B758" s="10" t="s">
        <v>5054</v>
      </c>
      <c r="C758" s="10">
        <v>0</v>
      </c>
      <c r="D758" s="10" t="s">
        <v>91</v>
      </c>
      <c r="E758" s="10"/>
      <c r="F758" s="10"/>
      <c r="G758" s="10"/>
      <c r="H758" s="10" t="s">
        <v>52</v>
      </c>
      <c r="I758" s="10">
        <v>16</v>
      </c>
      <c r="J758" s="10" t="s">
        <v>5069</v>
      </c>
      <c r="K758" s="10" t="s">
        <v>42</v>
      </c>
      <c r="L758" s="10">
        <f>Table1[[#This Row],[ENR]]-Table1[[#This Row],[CREDIT]]</f>
        <v>10442.290000000008</v>
      </c>
      <c r="M758" s="36">
        <v>250000</v>
      </c>
      <c r="N758" s="26">
        <v>260442.29</v>
      </c>
      <c r="O758" s="38" t="s">
        <v>43</v>
      </c>
      <c r="P758" s="25">
        <v>260442.29</v>
      </c>
      <c r="Q758" s="25">
        <v>247367.08</v>
      </c>
      <c r="R758" s="10">
        <v>33650</v>
      </c>
      <c r="S758" s="39">
        <v>7970</v>
      </c>
      <c r="T758" s="10" t="s">
        <v>57</v>
      </c>
      <c r="U758" s="10" t="s">
        <v>13</v>
      </c>
      <c r="V758" s="10">
        <v>33650</v>
      </c>
      <c r="W758" s="25">
        <f>Table1[[#This Row],[STAB]]-Table1[[#This Row],[AMOUNT]]</f>
        <v>-25680</v>
      </c>
      <c r="X758" s="10" t="s">
        <v>4931</v>
      </c>
      <c r="Y758" s="10" t="s">
        <v>402</v>
      </c>
      <c r="Z758" s="10" t="s">
        <v>403</v>
      </c>
      <c r="AA758" s="10" t="s">
        <v>113</v>
      </c>
      <c r="AB758" s="36" t="s">
        <v>132</v>
      </c>
      <c r="AC758" s="10"/>
      <c r="AD758" s="9" t="s">
        <v>5084</v>
      </c>
      <c r="AE758" s="10" t="s">
        <v>5099</v>
      </c>
      <c r="AF758" s="10" t="s">
        <v>287</v>
      </c>
      <c r="AG758" s="10" t="s">
        <v>324</v>
      </c>
      <c r="AH758" s="10" t="s">
        <v>56</v>
      </c>
      <c r="AI758" s="10" t="s">
        <v>370</v>
      </c>
      <c r="AJ758" s="10">
        <v>801448854</v>
      </c>
      <c r="AK758" s="10" t="s">
        <v>105</v>
      </c>
      <c r="AL758" s="10"/>
      <c r="AM758" s="10"/>
      <c r="AN758" s="11" t="s">
        <v>390</v>
      </c>
      <c r="AO758" s="10" t="s">
        <v>392</v>
      </c>
      <c r="AP758" s="10" t="s">
        <v>6180</v>
      </c>
      <c r="AQ758" s="10" t="s">
        <v>4931</v>
      </c>
      <c r="AR758" s="2">
        <v>45626</v>
      </c>
      <c r="AS758" s="10">
        <v>6000</v>
      </c>
      <c r="AT758" s="10" t="s">
        <v>1931</v>
      </c>
      <c r="AU758" s="10" t="s">
        <v>5102</v>
      </c>
      <c r="AV758" s="36" t="s">
        <v>5115</v>
      </c>
      <c r="AW758" s="1">
        <v>46207</v>
      </c>
    </row>
    <row r="759" spans="1:49" x14ac:dyDescent="0.25">
      <c r="A759" s="9" t="s">
        <v>5040</v>
      </c>
      <c r="B759" s="10" t="s">
        <v>5055</v>
      </c>
      <c r="C759" s="10">
        <v>0</v>
      </c>
      <c r="D759" s="10" t="s">
        <v>91</v>
      </c>
      <c r="E759" s="10"/>
      <c r="F759" s="10"/>
      <c r="G759" s="10"/>
      <c r="H759" s="10" t="s">
        <v>52</v>
      </c>
      <c r="I759" s="10">
        <v>16</v>
      </c>
      <c r="J759" s="10" t="s">
        <v>5070</v>
      </c>
      <c r="K759" s="10" t="s">
        <v>42</v>
      </c>
      <c r="L759" s="10">
        <f>Table1[[#This Row],[ENR]]-Table1[[#This Row],[CREDIT]]</f>
        <v>-44576.84</v>
      </c>
      <c r="M759" s="36">
        <v>300000</v>
      </c>
      <c r="N759" s="26">
        <v>255423.16</v>
      </c>
      <c r="O759" s="38" t="s">
        <v>43</v>
      </c>
      <c r="P759" s="25">
        <v>255423.16</v>
      </c>
      <c r="Q759" s="25">
        <v>232500.12</v>
      </c>
      <c r="R759" s="10">
        <v>48180</v>
      </c>
      <c r="S759" s="39">
        <v>24170</v>
      </c>
      <c r="T759" s="10" t="s">
        <v>57</v>
      </c>
      <c r="U759" s="10" t="s">
        <v>13</v>
      </c>
      <c r="V759" s="10">
        <v>25000</v>
      </c>
      <c r="W759" s="25">
        <f>Table1[[#This Row],[STAB]]-Table1[[#This Row],[AMOUNT]]</f>
        <v>-830</v>
      </c>
      <c r="X759" s="10" t="s">
        <v>4931</v>
      </c>
      <c r="Y759" s="10" t="s">
        <v>402</v>
      </c>
      <c r="Z759" s="10" t="s">
        <v>962</v>
      </c>
      <c r="AA759" s="10" t="s">
        <v>113</v>
      </c>
      <c r="AB759" s="36" t="s">
        <v>131</v>
      </c>
      <c r="AC759" s="10"/>
      <c r="AD759" s="9" t="s">
        <v>5085</v>
      </c>
      <c r="AE759" s="10" t="s">
        <v>5100</v>
      </c>
      <c r="AF759" s="10" t="s">
        <v>935</v>
      </c>
      <c r="AG759" s="10" t="s">
        <v>80</v>
      </c>
      <c r="AH759" s="10" t="s">
        <v>2000</v>
      </c>
      <c r="AI759" s="10" t="s">
        <v>82</v>
      </c>
      <c r="AJ759" s="10">
        <v>801723195</v>
      </c>
      <c r="AK759" s="10" t="s">
        <v>105</v>
      </c>
      <c r="AL759" s="10"/>
      <c r="AM759" s="10"/>
      <c r="AN759" s="11" t="s">
        <v>390</v>
      </c>
      <c r="AO759" s="10"/>
      <c r="AP759" s="10"/>
      <c r="AQ759" s="10"/>
      <c r="AR759" s="2">
        <v>46162</v>
      </c>
      <c r="AS759" s="10">
        <v>15880</v>
      </c>
      <c r="AT759" s="10" t="s">
        <v>1931</v>
      </c>
      <c r="AU759" s="10" t="s">
        <v>5102</v>
      </c>
      <c r="AV759" s="36" t="s">
        <v>5116</v>
      </c>
      <c r="AW759" s="1">
        <v>46207</v>
      </c>
    </row>
    <row r="760" spans="1:49" x14ac:dyDescent="0.25">
      <c r="A760" s="40" t="s">
        <v>5041</v>
      </c>
      <c r="B760" s="11" t="s">
        <v>5056</v>
      </c>
      <c r="C760" s="10">
        <v>0</v>
      </c>
      <c r="D760" s="10" t="s">
        <v>91</v>
      </c>
      <c r="E760" s="11"/>
      <c r="F760" s="11"/>
      <c r="G760" s="11"/>
      <c r="H760" s="10" t="s">
        <v>52</v>
      </c>
      <c r="I760" s="11">
        <v>16</v>
      </c>
      <c r="J760" s="11" t="s">
        <v>5071</v>
      </c>
      <c r="K760" s="11" t="s">
        <v>42</v>
      </c>
      <c r="L760" s="11">
        <f>Table1[[#This Row],[ENR]]-Table1[[#This Row],[CREDIT]]</f>
        <v>100224.29999999999</v>
      </c>
      <c r="M760" s="41">
        <v>230000</v>
      </c>
      <c r="N760" s="42">
        <v>330224.3</v>
      </c>
      <c r="O760" s="43">
        <v>266516.19</v>
      </c>
      <c r="P760" s="44">
        <v>63708.11</v>
      </c>
      <c r="Q760" s="44">
        <v>56084.97</v>
      </c>
      <c r="R760" s="11">
        <v>63708.11</v>
      </c>
      <c r="S760" s="45">
        <v>29461.17</v>
      </c>
      <c r="T760" s="10" t="s">
        <v>44</v>
      </c>
      <c r="U760" s="10" t="s">
        <v>45</v>
      </c>
      <c r="V760" s="10">
        <v>0</v>
      </c>
      <c r="W760" s="44">
        <f>Table1[[#This Row],[STAB]]-Table1[[#This Row],[AMOUNT]]</f>
        <v>29461.17</v>
      </c>
      <c r="X760" s="10">
        <v>0</v>
      </c>
      <c r="Y760" s="10" t="s">
        <v>79</v>
      </c>
      <c r="Z760" s="10">
        <v>0</v>
      </c>
      <c r="AA760" s="10" t="s">
        <v>113</v>
      </c>
      <c r="AB760" s="36" t="s">
        <v>374</v>
      </c>
      <c r="AC760" s="11"/>
      <c r="AD760" s="40" t="s">
        <v>5086</v>
      </c>
      <c r="AE760" s="11" t="s">
        <v>5101</v>
      </c>
      <c r="AF760" s="11" t="s">
        <v>287</v>
      </c>
      <c r="AG760" s="11" t="s">
        <v>324</v>
      </c>
      <c r="AH760" s="11" t="s">
        <v>56</v>
      </c>
      <c r="AI760" s="10" t="s">
        <v>370</v>
      </c>
      <c r="AJ760" s="11">
        <v>801448854</v>
      </c>
      <c r="AK760" s="11" t="s">
        <v>105</v>
      </c>
      <c r="AL760" s="11"/>
      <c r="AM760" s="11"/>
      <c r="AN760" s="11" t="s">
        <v>390</v>
      </c>
      <c r="AO760" s="11" t="s">
        <v>398</v>
      </c>
      <c r="AP760" s="11" t="s">
        <v>6319</v>
      </c>
      <c r="AQ760" s="11" t="s">
        <v>4937</v>
      </c>
      <c r="AR760" s="46">
        <v>45905</v>
      </c>
      <c r="AS760" s="11">
        <v>12477.35</v>
      </c>
      <c r="AT760" s="11" t="s">
        <v>47</v>
      </c>
      <c r="AU760" s="10" t="s">
        <v>5102</v>
      </c>
      <c r="AV760" s="41" t="s">
        <v>5117</v>
      </c>
      <c r="AW760" s="47">
        <v>46207</v>
      </c>
    </row>
    <row r="761" spans="1:49" x14ac:dyDescent="0.25">
      <c r="A761" s="9" t="s">
        <v>5118</v>
      </c>
      <c r="B761" s="10" t="s">
        <v>5197</v>
      </c>
      <c r="C761" s="10">
        <v>0</v>
      </c>
      <c r="D761" s="10" t="s">
        <v>91</v>
      </c>
      <c r="E761" s="10"/>
      <c r="F761" s="10"/>
      <c r="G761" s="10"/>
      <c r="H761" s="10" t="s">
        <v>52</v>
      </c>
      <c r="I761" s="10">
        <v>20</v>
      </c>
      <c r="J761" s="10" t="s">
        <v>5273</v>
      </c>
      <c r="K761" s="10" t="s">
        <v>42</v>
      </c>
      <c r="L761" s="10">
        <f>Table1[[#This Row],[ENR]]-Table1[[#This Row],[CREDIT]]</f>
        <v>8517.25</v>
      </c>
      <c r="M761" s="36">
        <v>180000</v>
      </c>
      <c r="N761" s="26">
        <v>188517.25</v>
      </c>
      <c r="O761" s="38">
        <v>151065.15</v>
      </c>
      <c r="P761" s="25">
        <v>37452.1</v>
      </c>
      <c r="Q761" s="25">
        <v>28403.93</v>
      </c>
      <c r="R761" s="10">
        <v>37280</v>
      </c>
      <c r="S761" s="39">
        <v>17620</v>
      </c>
      <c r="T761" s="10" t="s">
        <v>44</v>
      </c>
      <c r="U761" s="10" t="s">
        <v>45</v>
      </c>
      <c r="V761" s="10">
        <v>0</v>
      </c>
      <c r="W761" s="25">
        <f>Table1[[#This Row],[STAB]]-Table1[[#This Row],[AMOUNT]]</f>
        <v>17620</v>
      </c>
      <c r="X761" s="10">
        <v>0</v>
      </c>
      <c r="Y761" s="10" t="s">
        <v>79</v>
      </c>
      <c r="Z761" s="10">
        <v>0</v>
      </c>
      <c r="AA761" s="10" t="s">
        <v>113</v>
      </c>
      <c r="AB761" s="36" t="s">
        <v>374</v>
      </c>
      <c r="AC761" s="10"/>
      <c r="AD761" s="9" t="s">
        <v>5348</v>
      </c>
      <c r="AE761" s="10" t="s">
        <v>5424</v>
      </c>
      <c r="AF761" s="10" t="s">
        <v>287</v>
      </c>
      <c r="AG761" s="10" t="s">
        <v>324</v>
      </c>
      <c r="AH761" s="10" t="s">
        <v>56</v>
      </c>
      <c r="AI761" s="10" t="s">
        <v>370</v>
      </c>
      <c r="AJ761" s="10">
        <v>801448854</v>
      </c>
      <c r="AK761" s="10" t="s">
        <v>105</v>
      </c>
      <c r="AL761" s="10"/>
      <c r="AM761" s="10"/>
      <c r="AN761" s="11" t="s">
        <v>390</v>
      </c>
      <c r="AO761" s="10" t="s">
        <v>394</v>
      </c>
      <c r="AP761" s="10" t="s">
        <v>6345</v>
      </c>
      <c r="AQ761" s="10" t="s">
        <v>4976</v>
      </c>
      <c r="AR761" s="2">
        <v>45811</v>
      </c>
      <c r="AS761" s="10">
        <v>52562</v>
      </c>
      <c r="AT761" s="10" t="s">
        <v>291</v>
      </c>
      <c r="AU761" s="10" t="s">
        <v>5102</v>
      </c>
      <c r="AV761" s="36" t="s">
        <v>5498</v>
      </c>
      <c r="AW761" s="1">
        <v>46211</v>
      </c>
    </row>
    <row r="762" spans="1:49" x14ac:dyDescent="0.25">
      <c r="A762" s="9" t="s">
        <v>5119</v>
      </c>
      <c r="B762" s="10" t="s">
        <v>5198</v>
      </c>
      <c r="C762" s="10">
        <v>0</v>
      </c>
      <c r="D762" s="10" t="s">
        <v>91</v>
      </c>
      <c r="E762" s="10"/>
      <c r="F762" s="10"/>
      <c r="G762" s="10"/>
      <c r="H762" s="10" t="s">
        <v>52</v>
      </c>
      <c r="I762" s="10">
        <v>20</v>
      </c>
      <c r="J762" s="10" t="s">
        <v>5274</v>
      </c>
      <c r="K762" s="10" t="s">
        <v>42</v>
      </c>
      <c r="L762" s="10">
        <f>Table1[[#This Row],[ENR]]-Table1[[#This Row],[CREDIT]]</f>
        <v>8943.2700000000041</v>
      </c>
      <c r="M762" s="36">
        <v>100000</v>
      </c>
      <c r="N762" s="26">
        <v>108943.27</v>
      </c>
      <c r="O762" s="38" t="s">
        <v>43</v>
      </c>
      <c r="P762" s="25">
        <v>108943.27</v>
      </c>
      <c r="Q762" s="25">
        <v>99941.42</v>
      </c>
      <c r="R762" s="10">
        <v>31350</v>
      </c>
      <c r="S762" s="39">
        <v>19800</v>
      </c>
      <c r="T762" s="10" t="s">
        <v>44</v>
      </c>
      <c r="U762" s="10" t="s">
        <v>45</v>
      </c>
      <c r="V762" s="10">
        <v>0</v>
      </c>
      <c r="W762" s="25">
        <f>Table1[[#This Row],[STAB]]-Table1[[#This Row],[AMOUNT]]</f>
        <v>19800</v>
      </c>
      <c r="X762" s="10">
        <v>0</v>
      </c>
      <c r="Y762" s="10" t="s">
        <v>79</v>
      </c>
      <c r="Z762" s="10">
        <v>0</v>
      </c>
      <c r="AA762" s="10" t="s">
        <v>113</v>
      </c>
      <c r="AB762" s="36" t="s">
        <v>131</v>
      </c>
      <c r="AC762" s="10"/>
      <c r="AD762" s="9" t="s">
        <v>5349</v>
      </c>
      <c r="AE762" s="10" t="s">
        <v>5425</v>
      </c>
      <c r="AF762" s="10" t="s">
        <v>286</v>
      </c>
      <c r="AG762" s="10" t="s">
        <v>54</v>
      </c>
      <c r="AH762" s="10" t="s">
        <v>358</v>
      </c>
      <c r="AI762" s="10" t="s">
        <v>365</v>
      </c>
      <c r="AJ762" s="10">
        <v>802824019</v>
      </c>
      <c r="AK762" s="10" t="s">
        <v>360</v>
      </c>
      <c r="AL762" s="10"/>
      <c r="AM762" s="10"/>
      <c r="AN762" s="11" t="s">
        <v>46</v>
      </c>
      <c r="AO762" s="10"/>
      <c r="AP762" s="10"/>
      <c r="AQ762" s="10"/>
      <c r="AR762" s="2">
        <v>45626</v>
      </c>
      <c r="AS762" s="10">
        <v>50000</v>
      </c>
      <c r="AT762" s="10" t="s">
        <v>291</v>
      </c>
      <c r="AU762" s="10" t="s">
        <v>5102</v>
      </c>
      <c r="AV762" s="36" t="s">
        <v>5499</v>
      </c>
      <c r="AW762" s="1">
        <v>46211</v>
      </c>
    </row>
    <row r="763" spans="1:49" x14ac:dyDescent="0.25">
      <c r="A763" s="9" t="s">
        <v>5120</v>
      </c>
      <c r="B763" s="10" t="s">
        <v>5199</v>
      </c>
      <c r="C763" s="10">
        <v>0</v>
      </c>
      <c r="D763" s="10" t="s">
        <v>91</v>
      </c>
      <c r="E763" s="10"/>
      <c r="F763" s="10"/>
      <c r="G763" s="10"/>
      <c r="H763" s="10" t="s">
        <v>52</v>
      </c>
      <c r="I763" s="10">
        <v>20</v>
      </c>
      <c r="J763" s="10" t="s">
        <v>5275</v>
      </c>
      <c r="K763" s="10" t="s">
        <v>42</v>
      </c>
      <c r="L763" s="10">
        <f>Table1[[#This Row],[ENR]]-Table1[[#This Row],[CREDIT]]</f>
        <v>-98043.56</v>
      </c>
      <c r="M763" s="36">
        <v>180000</v>
      </c>
      <c r="N763" s="26">
        <v>81956.44</v>
      </c>
      <c r="O763" s="38" t="s">
        <v>43</v>
      </c>
      <c r="P763" s="25">
        <v>81956.44</v>
      </c>
      <c r="Q763" s="25">
        <v>72603.320000000007</v>
      </c>
      <c r="R763" s="10">
        <v>13940</v>
      </c>
      <c r="S763" s="39">
        <v>3850</v>
      </c>
      <c r="T763" s="10" t="s">
        <v>57</v>
      </c>
      <c r="U763" s="10" t="s">
        <v>13</v>
      </c>
      <c r="V763" s="10">
        <v>50000</v>
      </c>
      <c r="W763" s="25">
        <f>Table1[[#This Row],[STAB]]-Table1[[#This Row],[AMOUNT]]</f>
        <v>-46150</v>
      </c>
      <c r="X763" s="10" t="s">
        <v>4931</v>
      </c>
      <c r="Y763" s="10" t="s">
        <v>402</v>
      </c>
      <c r="Z763" s="10" t="s">
        <v>403</v>
      </c>
      <c r="AA763" s="10" t="s">
        <v>113</v>
      </c>
      <c r="AB763" s="36" t="s">
        <v>131</v>
      </c>
      <c r="AC763" s="10"/>
      <c r="AD763" s="9" t="s">
        <v>5350</v>
      </c>
      <c r="AE763" s="10" t="s">
        <v>5426</v>
      </c>
      <c r="AF763" s="10" t="s">
        <v>1739</v>
      </c>
      <c r="AG763" s="10" t="s">
        <v>53</v>
      </c>
      <c r="AH763" s="10" t="s">
        <v>358</v>
      </c>
      <c r="AI763" s="10" t="s">
        <v>365</v>
      </c>
      <c r="AJ763" s="10">
        <v>802824019</v>
      </c>
      <c r="AK763" s="10" t="s">
        <v>360</v>
      </c>
      <c r="AL763" s="10"/>
      <c r="AM763" s="10"/>
      <c r="AN763" s="11" t="s">
        <v>390</v>
      </c>
      <c r="AO763" s="10"/>
      <c r="AP763" s="10"/>
      <c r="AQ763" s="10"/>
      <c r="AR763" s="2">
        <v>45876</v>
      </c>
      <c r="AS763" s="10">
        <v>1290</v>
      </c>
      <c r="AT763" s="10" t="s">
        <v>291</v>
      </c>
      <c r="AU763" s="10" t="s">
        <v>5102</v>
      </c>
      <c r="AV763" s="36" t="s">
        <v>5500</v>
      </c>
      <c r="AW763" s="1">
        <v>46211</v>
      </c>
    </row>
    <row r="764" spans="1:49" x14ac:dyDescent="0.25">
      <c r="A764" s="9" t="s">
        <v>5121</v>
      </c>
      <c r="B764" s="10" t="s">
        <v>5200</v>
      </c>
      <c r="C764" s="10">
        <v>0</v>
      </c>
      <c r="D764" s="10" t="s">
        <v>91</v>
      </c>
      <c r="E764" s="10"/>
      <c r="F764" s="10"/>
      <c r="G764" s="10"/>
      <c r="H764" s="10" t="s">
        <v>52</v>
      </c>
      <c r="I764" s="10">
        <v>20</v>
      </c>
      <c r="J764" s="10" t="s">
        <v>5276</v>
      </c>
      <c r="K764" s="10" t="s">
        <v>42</v>
      </c>
      <c r="L764" s="10">
        <f>Table1[[#This Row],[ENR]]-Table1[[#This Row],[CREDIT]]</f>
        <v>9463.4400000000023</v>
      </c>
      <c r="M764" s="36">
        <v>60000</v>
      </c>
      <c r="N764" s="26">
        <v>69463.44</v>
      </c>
      <c r="O764" s="38" t="s">
        <v>43</v>
      </c>
      <c r="P764" s="25">
        <v>69463.44</v>
      </c>
      <c r="Q764" s="25">
        <v>59960.51</v>
      </c>
      <c r="R764" s="10">
        <v>26740</v>
      </c>
      <c r="S764" s="39">
        <v>15859.31</v>
      </c>
      <c r="T764" s="10" t="s">
        <v>44</v>
      </c>
      <c r="U764" s="10" t="s">
        <v>45</v>
      </c>
      <c r="V764" s="10">
        <v>0</v>
      </c>
      <c r="W764" s="25">
        <f>Table1[[#This Row],[STAB]]-Table1[[#This Row],[AMOUNT]]</f>
        <v>15859.31</v>
      </c>
      <c r="X764" s="10">
        <v>0</v>
      </c>
      <c r="Y764" s="10" t="s">
        <v>79</v>
      </c>
      <c r="Z764" s="10">
        <v>0</v>
      </c>
      <c r="AA764" s="10" t="s">
        <v>113</v>
      </c>
      <c r="AB764" s="36" t="s">
        <v>374</v>
      </c>
      <c r="AC764" s="10"/>
      <c r="AD764" s="9" t="s">
        <v>5351</v>
      </c>
      <c r="AE764" s="10" t="s">
        <v>5427</v>
      </c>
      <c r="AF764" s="10" t="s">
        <v>1319</v>
      </c>
      <c r="AG764" s="10" t="s">
        <v>54</v>
      </c>
      <c r="AH764" s="10" t="s">
        <v>93</v>
      </c>
      <c r="AI764" s="10" t="s">
        <v>364</v>
      </c>
      <c r="AJ764" s="10">
        <v>802663344</v>
      </c>
      <c r="AK764" s="10" t="s">
        <v>105</v>
      </c>
      <c r="AL764" s="10"/>
      <c r="AM764" s="10"/>
      <c r="AN764" s="11" t="s">
        <v>46</v>
      </c>
      <c r="AO764" s="10"/>
      <c r="AP764" s="10"/>
      <c r="AQ764" s="10"/>
      <c r="AR764" s="2">
        <v>46174</v>
      </c>
      <c r="AS764" s="10">
        <v>3150.69</v>
      </c>
      <c r="AT764" s="10" t="s">
        <v>157</v>
      </c>
      <c r="AU764" s="10" t="s">
        <v>5102</v>
      </c>
      <c r="AV764" s="36" t="s">
        <v>5501</v>
      </c>
      <c r="AW764" s="1">
        <v>46211</v>
      </c>
    </row>
    <row r="765" spans="1:49" x14ac:dyDescent="0.25">
      <c r="A765" s="9" t="s">
        <v>5122</v>
      </c>
      <c r="B765" s="10" t="s">
        <v>4695</v>
      </c>
      <c r="C765" s="10">
        <v>0</v>
      </c>
      <c r="D765" s="10" t="s">
        <v>91</v>
      </c>
      <c r="E765" s="10"/>
      <c r="F765" s="10"/>
      <c r="G765" s="10"/>
      <c r="H765" s="10" t="s">
        <v>52</v>
      </c>
      <c r="I765" s="10">
        <v>20</v>
      </c>
      <c r="J765" s="10" t="s">
        <v>4740</v>
      </c>
      <c r="K765" s="10" t="s">
        <v>42</v>
      </c>
      <c r="L765" s="10">
        <f>Table1[[#This Row],[ENR]]-Table1[[#This Row],[CREDIT]]</f>
        <v>-97626.75</v>
      </c>
      <c r="M765" s="36">
        <v>150000</v>
      </c>
      <c r="N765" s="26">
        <v>52373.25</v>
      </c>
      <c r="O765" s="38" t="s">
        <v>43</v>
      </c>
      <c r="P765" s="25">
        <v>52373.25</v>
      </c>
      <c r="Q765" s="25">
        <v>48510.92</v>
      </c>
      <c r="R765" s="10">
        <v>5970</v>
      </c>
      <c r="S765" s="39">
        <v>1830</v>
      </c>
      <c r="T765" s="10" t="s">
        <v>44</v>
      </c>
      <c r="U765" s="10" t="s">
        <v>45</v>
      </c>
      <c r="V765" s="10">
        <v>0</v>
      </c>
      <c r="W765" s="25">
        <f>Table1[[#This Row],[STAB]]-Table1[[#This Row],[AMOUNT]]</f>
        <v>1830</v>
      </c>
      <c r="X765" s="10">
        <v>0</v>
      </c>
      <c r="Y765" s="10" t="s">
        <v>79</v>
      </c>
      <c r="Z765" s="10">
        <v>0</v>
      </c>
      <c r="AA765" s="10" t="s">
        <v>113</v>
      </c>
      <c r="AB765" s="36" t="s">
        <v>133</v>
      </c>
      <c r="AC765" s="10"/>
      <c r="AD765" s="9" t="s">
        <v>4784</v>
      </c>
      <c r="AE765" s="10" t="s">
        <v>4829</v>
      </c>
      <c r="AF765" s="10" t="s">
        <v>272</v>
      </c>
      <c r="AG765" s="10" t="s">
        <v>54</v>
      </c>
      <c r="AH765" s="10" t="s">
        <v>357</v>
      </c>
      <c r="AI765" s="10" t="s">
        <v>1960</v>
      </c>
      <c r="AJ765" s="10">
        <v>801264672</v>
      </c>
      <c r="AK765" s="10" t="s">
        <v>1959</v>
      </c>
      <c r="AL765" s="10"/>
      <c r="AM765" s="10"/>
      <c r="AN765" s="11" t="s">
        <v>46</v>
      </c>
      <c r="AO765" s="10"/>
      <c r="AP765" s="10"/>
      <c r="AQ765" s="10"/>
      <c r="AR765" s="2">
        <v>45323</v>
      </c>
      <c r="AS765" s="10">
        <v>71346</v>
      </c>
      <c r="AT765" s="10" t="s">
        <v>291</v>
      </c>
      <c r="AU765" s="10" t="s">
        <v>5102</v>
      </c>
      <c r="AV765" s="36" t="s">
        <v>5502</v>
      </c>
      <c r="AW765" s="1">
        <v>46211</v>
      </c>
    </row>
    <row r="766" spans="1:49" x14ac:dyDescent="0.25">
      <c r="A766" s="9" t="s">
        <v>5123</v>
      </c>
      <c r="B766" s="10" t="s">
        <v>5201</v>
      </c>
      <c r="C766" s="10">
        <v>0</v>
      </c>
      <c r="D766" s="10" t="s">
        <v>91</v>
      </c>
      <c r="E766" s="10"/>
      <c r="F766" s="10"/>
      <c r="G766" s="10"/>
      <c r="H766" s="10" t="s">
        <v>52</v>
      </c>
      <c r="I766" s="10">
        <v>20</v>
      </c>
      <c r="J766" s="10" t="s">
        <v>5277</v>
      </c>
      <c r="K766" s="10" t="s">
        <v>42</v>
      </c>
      <c r="L766" s="10">
        <f>Table1[[#This Row],[ENR]]-Table1[[#This Row],[CREDIT]]</f>
        <v>3580.5099999999948</v>
      </c>
      <c r="M766" s="36">
        <v>80000</v>
      </c>
      <c r="N766" s="26">
        <v>83580.509999999995</v>
      </c>
      <c r="O766" s="38" t="s">
        <v>43</v>
      </c>
      <c r="P766" s="25">
        <v>83580.509999999995</v>
      </c>
      <c r="Q766" s="25">
        <v>73901</v>
      </c>
      <c r="R766" s="10">
        <v>18010</v>
      </c>
      <c r="S766" s="39">
        <v>5990</v>
      </c>
      <c r="T766" s="10" t="s">
        <v>44</v>
      </c>
      <c r="U766" s="10" t="s">
        <v>45</v>
      </c>
      <c r="V766" s="10">
        <v>0</v>
      </c>
      <c r="W766" s="25">
        <f>Table1[[#This Row],[STAB]]-Table1[[#This Row],[AMOUNT]]</f>
        <v>5990</v>
      </c>
      <c r="X766" s="10">
        <v>0</v>
      </c>
      <c r="Y766" s="10" t="s">
        <v>79</v>
      </c>
      <c r="Z766" s="10">
        <v>0</v>
      </c>
      <c r="AA766" s="10" t="s">
        <v>113</v>
      </c>
      <c r="AB766" s="36" t="s">
        <v>132</v>
      </c>
      <c r="AC766" s="10"/>
      <c r="AD766" s="9" t="s">
        <v>5352</v>
      </c>
      <c r="AE766" s="10" t="s">
        <v>5428</v>
      </c>
      <c r="AF766" s="10" t="s">
        <v>111</v>
      </c>
      <c r="AG766" s="10" t="s">
        <v>80</v>
      </c>
      <c r="AH766" s="10" t="s">
        <v>1957</v>
      </c>
      <c r="AI766" s="10" t="s">
        <v>82</v>
      </c>
      <c r="AJ766" s="10">
        <v>801723195</v>
      </c>
      <c r="AK766" s="10" t="s">
        <v>105</v>
      </c>
      <c r="AL766" s="10"/>
      <c r="AM766" s="10"/>
      <c r="AN766" s="11" t="s">
        <v>46</v>
      </c>
      <c r="AO766" s="10"/>
      <c r="AP766" s="10"/>
      <c r="AQ766" s="10"/>
      <c r="AR766" s="2">
        <v>45749</v>
      </c>
      <c r="AS766" s="10">
        <v>70000</v>
      </c>
      <c r="AT766" s="10" t="s">
        <v>291</v>
      </c>
      <c r="AU766" s="10" t="s">
        <v>5102</v>
      </c>
      <c r="AV766" s="36" t="s">
        <v>5503</v>
      </c>
      <c r="AW766" s="1">
        <v>46211</v>
      </c>
    </row>
    <row r="767" spans="1:49" x14ac:dyDescent="0.25">
      <c r="A767" s="9" t="s">
        <v>5124</v>
      </c>
      <c r="B767" s="10" t="s">
        <v>5202</v>
      </c>
      <c r="C767" s="10">
        <v>0</v>
      </c>
      <c r="D767" s="10" t="s">
        <v>91</v>
      </c>
      <c r="E767" s="10"/>
      <c r="F767" s="10"/>
      <c r="G767" s="10"/>
      <c r="H767" s="10" t="s">
        <v>52</v>
      </c>
      <c r="I767" s="10">
        <v>20</v>
      </c>
      <c r="J767" s="10" t="s">
        <v>5278</v>
      </c>
      <c r="K767" s="10" t="s">
        <v>42</v>
      </c>
      <c r="L767" s="10">
        <f>Table1[[#This Row],[ENR]]-Table1[[#This Row],[CREDIT]]</f>
        <v>-992.27999999999884</v>
      </c>
      <c r="M767" s="36">
        <v>80000</v>
      </c>
      <c r="N767" s="26">
        <v>79007.72</v>
      </c>
      <c r="O767" s="38" t="s">
        <v>43</v>
      </c>
      <c r="P767" s="25">
        <v>79007.72</v>
      </c>
      <c r="Q767" s="25">
        <v>70972.27</v>
      </c>
      <c r="R767" s="10">
        <v>12530</v>
      </c>
      <c r="S767" s="39">
        <v>4170</v>
      </c>
      <c r="T767" s="10" t="s">
        <v>44</v>
      </c>
      <c r="U767" s="10" t="s">
        <v>45</v>
      </c>
      <c r="V767" s="10">
        <v>0</v>
      </c>
      <c r="W767" s="25">
        <f>Table1[[#This Row],[STAB]]-Table1[[#This Row],[AMOUNT]]</f>
        <v>4170</v>
      </c>
      <c r="X767" s="10">
        <v>0</v>
      </c>
      <c r="Y767" s="10" t="s">
        <v>79</v>
      </c>
      <c r="Z767" s="10">
        <v>0</v>
      </c>
      <c r="AA767" s="10" t="s">
        <v>113</v>
      </c>
      <c r="AB767" s="36" t="s">
        <v>375</v>
      </c>
      <c r="AC767" s="10"/>
      <c r="AD767" s="9" t="s">
        <v>5353</v>
      </c>
      <c r="AE767" s="10" t="s">
        <v>5429</v>
      </c>
      <c r="AF767" s="10" t="s">
        <v>283</v>
      </c>
      <c r="AG767" s="10" t="s">
        <v>53</v>
      </c>
      <c r="AH767" s="10" t="s">
        <v>5582</v>
      </c>
      <c r="AI767" s="10" t="s">
        <v>2962</v>
      </c>
      <c r="AJ767" s="10">
        <v>801601134</v>
      </c>
      <c r="AK767" s="10" t="s">
        <v>104</v>
      </c>
      <c r="AL767" s="10"/>
      <c r="AM767" s="10"/>
      <c r="AN767" s="11" t="s">
        <v>46</v>
      </c>
      <c r="AO767" s="10"/>
      <c r="AP767" s="10"/>
      <c r="AQ767" s="10"/>
      <c r="AR767" s="2">
        <v>45540</v>
      </c>
      <c r="AS767" s="10">
        <v>20000</v>
      </c>
      <c r="AT767" s="10" t="s">
        <v>294</v>
      </c>
      <c r="AU767" s="10" t="s">
        <v>5102</v>
      </c>
      <c r="AV767" s="36" t="s">
        <v>5504</v>
      </c>
      <c r="AW767" s="1">
        <v>46211</v>
      </c>
    </row>
    <row r="768" spans="1:49" x14ac:dyDescent="0.25">
      <c r="A768" s="9" t="s">
        <v>5125</v>
      </c>
      <c r="B768" s="10" t="s">
        <v>5203</v>
      </c>
      <c r="C768" s="10">
        <v>0</v>
      </c>
      <c r="D768" s="10" t="s">
        <v>91</v>
      </c>
      <c r="E768" s="10"/>
      <c r="F768" s="10"/>
      <c r="G768" s="10"/>
      <c r="H768" s="10" t="s">
        <v>52</v>
      </c>
      <c r="I768" s="10">
        <v>20</v>
      </c>
      <c r="J768" s="10" t="s">
        <v>5279</v>
      </c>
      <c r="K768" s="10" t="s">
        <v>42</v>
      </c>
      <c r="L768" s="10">
        <f>Table1[[#This Row],[ENR]]-Table1[[#This Row],[CREDIT]]</f>
        <v>5676.3700000000026</v>
      </c>
      <c r="M768" s="36">
        <v>50000</v>
      </c>
      <c r="N768" s="26">
        <v>55676.37</v>
      </c>
      <c r="O768" s="38" t="s">
        <v>43</v>
      </c>
      <c r="P768" s="25">
        <v>55676.37</v>
      </c>
      <c r="Q768" s="25">
        <v>49998</v>
      </c>
      <c r="R768" s="10">
        <v>15950</v>
      </c>
      <c r="S768" s="39">
        <v>2500</v>
      </c>
      <c r="T768" s="10" t="s">
        <v>44</v>
      </c>
      <c r="U768" s="10" t="s">
        <v>45</v>
      </c>
      <c r="V768" s="10">
        <v>0</v>
      </c>
      <c r="W768" s="25">
        <f>Table1[[#This Row],[STAB]]-Table1[[#This Row],[AMOUNT]]</f>
        <v>2500</v>
      </c>
      <c r="X768" s="10">
        <v>0</v>
      </c>
      <c r="Y768" s="10" t="s">
        <v>79</v>
      </c>
      <c r="Z768" s="10">
        <v>0</v>
      </c>
      <c r="AA768" s="10" t="s">
        <v>113</v>
      </c>
      <c r="AB768" s="36" t="s">
        <v>132</v>
      </c>
      <c r="AC768" s="10"/>
      <c r="AD768" s="9" t="s">
        <v>5354</v>
      </c>
      <c r="AE768" s="10" t="s">
        <v>5430</v>
      </c>
      <c r="AF768" s="10" t="s">
        <v>1102</v>
      </c>
      <c r="AG768" s="10" t="s">
        <v>324</v>
      </c>
      <c r="AH768" s="10" t="s">
        <v>1956</v>
      </c>
      <c r="AI768" s="10" t="s">
        <v>1403</v>
      </c>
      <c r="AJ768" s="10">
        <v>802631601</v>
      </c>
      <c r="AK768" s="10" t="s">
        <v>362</v>
      </c>
      <c r="AL768" s="10"/>
      <c r="AM768" s="10"/>
      <c r="AN768" s="11" t="s">
        <v>390</v>
      </c>
      <c r="AO768" s="10" t="s">
        <v>392</v>
      </c>
      <c r="AP768" s="10" t="s">
        <v>6414</v>
      </c>
      <c r="AQ768" s="10" t="s">
        <v>6399</v>
      </c>
      <c r="AR768" s="2">
        <v>46149</v>
      </c>
      <c r="AS768" s="10">
        <v>56257.17</v>
      </c>
      <c r="AT768" s="10" t="s">
        <v>503</v>
      </c>
      <c r="AU768" s="10" t="s">
        <v>5102</v>
      </c>
      <c r="AV768" s="36" t="s">
        <v>5505</v>
      </c>
      <c r="AW768" s="1">
        <v>46211</v>
      </c>
    </row>
    <row r="769" spans="1:49" x14ac:dyDescent="0.25">
      <c r="A769" s="9" t="s">
        <v>5126</v>
      </c>
      <c r="B769" s="10" t="s">
        <v>5204</v>
      </c>
      <c r="C769" s="10">
        <v>0</v>
      </c>
      <c r="D769" s="10" t="s">
        <v>91</v>
      </c>
      <c r="E769" s="10"/>
      <c r="F769" s="10"/>
      <c r="G769" s="10"/>
      <c r="H769" s="10" t="s">
        <v>52</v>
      </c>
      <c r="I769" s="10">
        <v>20</v>
      </c>
      <c r="J769" s="10" t="s">
        <v>5280</v>
      </c>
      <c r="K769" s="10" t="s">
        <v>42</v>
      </c>
      <c r="L769" s="10">
        <f>Table1[[#This Row],[ENR]]-Table1[[#This Row],[CREDIT]]</f>
        <v>8783.6999999999971</v>
      </c>
      <c r="M769" s="36">
        <v>60000</v>
      </c>
      <c r="N769" s="26">
        <v>68783.7</v>
      </c>
      <c r="O769" s="38" t="s">
        <v>43</v>
      </c>
      <c r="P769" s="25">
        <v>68783.7</v>
      </c>
      <c r="Q769" s="25">
        <v>59687.7</v>
      </c>
      <c r="R769" s="10">
        <v>23060</v>
      </c>
      <c r="S769" s="39">
        <v>11830</v>
      </c>
      <c r="T769" s="10" t="s">
        <v>44</v>
      </c>
      <c r="U769" s="10" t="s">
        <v>45</v>
      </c>
      <c r="V769" s="10">
        <v>0</v>
      </c>
      <c r="W769" s="25">
        <f>Table1[[#This Row],[STAB]]-Table1[[#This Row],[AMOUNT]]</f>
        <v>11830</v>
      </c>
      <c r="X769" s="10">
        <v>0</v>
      </c>
      <c r="Y769" s="10" t="s">
        <v>79</v>
      </c>
      <c r="Z769" s="10">
        <v>0</v>
      </c>
      <c r="AA769" s="10" t="s">
        <v>113</v>
      </c>
      <c r="AB769" s="36" t="s">
        <v>376</v>
      </c>
      <c r="AC769" s="10"/>
      <c r="AD769" s="9" t="s">
        <v>5355</v>
      </c>
      <c r="AE769" s="10" t="s">
        <v>5431</v>
      </c>
      <c r="AF769" s="10" t="s">
        <v>1739</v>
      </c>
      <c r="AG769" s="10" t="s">
        <v>53</v>
      </c>
      <c r="AH769" s="10" t="s">
        <v>1364</v>
      </c>
      <c r="AI769" s="10" t="s">
        <v>1405</v>
      </c>
      <c r="AJ769" s="10">
        <v>802175739</v>
      </c>
      <c r="AK769" s="10" t="s">
        <v>104</v>
      </c>
      <c r="AL769" s="10"/>
      <c r="AM769" s="10"/>
      <c r="AN769" s="11" t="s">
        <v>46</v>
      </c>
      <c r="AO769" s="10"/>
      <c r="AP769" s="10"/>
      <c r="AQ769" s="10"/>
      <c r="AR769" s="2">
        <v>45855</v>
      </c>
      <c r="AS769" s="10">
        <v>13647.91</v>
      </c>
      <c r="AT769" s="10" t="s">
        <v>291</v>
      </c>
      <c r="AU769" s="10" t="s">
        <v>5102</v>
      </c>
      <c r="AV769" s="36" t="s">
        <v>5506</v>
      </c>
      <c r="AW769" s="1">
        <v>46211</v>
      </c>
    </row>
    <row r="770" spans="1:49" x14ac:dyDescent="0.25">
      <c r="A770" s="9" t="s">
        <v>5127</v>
      </c>
      <c r="B770" s="10" t="s">
        <v>5205</v>
      </c>
      <c r="C770" s="10">
        <v>0</v>
      </c>
      <c r="D770" s="10" t="s">
        <v>91</v>
      </c>
      <c r="E770" s="10"/>
      <c r="F770" s="10"/>
      <c r="G770" s="10"/>
      <c r="H770" s="10" t="s">
        <v>52</v>
      </c>
      <c r="I770" s="10">
        <v>20</v>
      </c>
      <c r="J770" s="10" t="s">
        <v>5281</v>
      </c>
      <c r="K770" s="10" t="s">
        <v>42</v>
      </c>
      <c r="L770" s="10">
        <f>Table1[[#This Row],[ENR]]-Table1[[#This Row],[CREDIT]]</f>
        <v>5894.8399999999965</v>
      </c>
      <c r="M770" s="36">
        <v>50000</v>
      </c>
      <c r="N770" s="26">
        <v>55894.84</v>
      </c>
      <c r="O770" s="38" t="s">
        <v>43</v>
      </c>
      <c r="P770" s="25">
        <v>55894.84</v>
      </c>
      <c r="Q770" s="25">
        <v>49998.19</v>
      </c>
      <c r="R770" s="10">
        <v>14730</v>
      </c>
      <c r="S770" s="39">
        <v>4820</v>
      </c>
      <c r="T770" s="10" t="s">
        <v>44</v>
      </c>
      <c r="U770" s="10" t="s">
        <v>45</v>
      </c>
      <c r="V770" s="10">
        <v>0</v>
      </c>
      <c r="W770" s="25">
        <f>Table1[[#This Row],[STAB]]-Table1[[#This Row],[AMOUNT]]</f>
        <v>4820</v>
      </c>
      <c r="X770" s="10">
        <v>0</v>
      </c>
      <c r="Y770" s="10" t="s">
        <v>79</v>
      </c>
      <c r="Z770" s="10">
        <v>0</v>
      </c>
      <c r="AA770" s="10" t="s">
        <v>113</v>
      </c>
      <c r="AB770" s="36" t="s">
        <v>133</v>
      </c>
      <c r="AC770" s="10"/>
      <c r="AD770" s="9" t="s">
        <v>5356</v>
      </c>
      <c r="AE770" s="10" t="s">
        <v>5432</v>
      </c>
      <c r="AF770" s="10" t="s">
        <v>287</v>
      </c>
      <c r="AG770" s="10" t="s">
        <v>324</v>
      </c>
      <c r="AH770" s="10" t="s">
        <v>56</v>
      </c>
      <c r="AI770" s="10" t="s">
        <v>370</v>
      </c>
      <c r="AJ770" s="10">
        <v>801448854</v>
      </c>
      <c r="AK770" s="10" t="s">
        <v>105</v>
      </c>
      <c r="AL770" s="10"/>
      <c r="AM770" s="10"/>
      <c r="AN770" s="11" t="s">
        <v>46</v>
      </c>
      <c r="AO770" s="10"/>
      <c r="AP770" s="10"/>
      <c r="AQ770" s="10"/>
      <c r="AR770" s="2">
        <v>45846</v>
      </c>
      <c r="AS770" s="10">
        <v>20300</v>
      </c>
      <c r="AT770" s="10" t="s">
        <v>48</v>
      </c>
      <c r="AU770" s="10" t="s">
        <v>5102</v>
      </c>
      <c r="AV770" s="36" t="s">
        <v>5507</v>
      </c>
      <c r="AW770" s="1">
        <v>46211</v>
      </c>
    </row>
    <row r="771" spans="1:49" x14ac:dyDescent="0.25">
      <c r="A771" s="9" t="s">
        <v>5128</v>
      </c>
      <c r="B771" s="10" t="s">
        <v>5206</v>
      </c>
      <c r="C771" s="10">
        <v>0</v>
      </c>
      <c r="D771" s="10" t="s">
        <v>91</v>
      </c>
      <c r="E771" s="10"/>
      <c r="F771" s="10"/>
      <c r="G771" s="10"/>
      <c r="H771" s="10" t="s">
        <v>52</v>
      </c>
      <c r="I771" s="10">
        <v>20</v>
      </c>
      <c r="J771" s="10" t="s">
        <v>5282</v>
      </c>
      <c r="K771" s="10" t="s">
        <v>42</v>
      </c>
      <c r="L771" s="10">
        <f>Table1[[#This Row],[ENR]]-Table1[[#This Row],[CREDIT]]</f>
        <v>12879.340000000026</v>
      </c>
      <c r="M771" s="36">
        <v>260000</v>
      </c>
      <c r="N771" s="26">
        <v>272879.34000000003</v>
      </c>
      <c r="O771" s="38">
        <v>176350.61</v>
      </c>
      <c r="P771" s="25">
        <v>96528.73</v>
      </c>
      <c r="Q771" s="25">
        <v>80225.119999999995</v>
      </c>
      <c r="R771" s="10">
        <v>41500</v>
      </c>
      <c r="S771" s="39">
        <v>20310</v>
      </c>
      <c r="T771" s="10" t="s">
        <v>44</v>
      </c>
      <c r="U771" s="10" t="s">
        <v>45</v>
      </c>
      <c r="V771" s="10">
        <v>998</v>
      </c>
      <c r="W771" s="25">
        <f>Table1[[#This Row],[STAB]]-Table1[[#This Row],[AMOUNT]]</f>
        <v>19312</v>
      </c>
      <c r="X771" s="10">
        <v>0</v>
      </c>
      <c r="Y771" s="10" t="s">
        <v>79</v>
      </c>
      <c r="Z771" s="10" t="s">
        <v>963</v>
      </c>
      <c r="AA771" s="10" t="s">
        <v>113</v>
      </c>
      <c r="AB771" s="36" t="s">
        <v>375</v>
      </c>
      <c r="AC771" s="10"/>
      <c r="AD771" s="9" t="s">
        <v>5357</v>
      </c>
      <c r="AE771" s="10" t="s">
        <v>5433</v>
      </c>
      <c r="AF771" s="10" t="s">
        <v>286</v>
      </c>
      <c r="AG771" s="10" t="s">
        <v>54</v>
      </c>
      <c r="AH771" s="10" t="s">
        <v>358</v>
      </c>
      <c r="AI771" s="10" t="s">
        <v>365</v>
      </c>
      <c r="AJ771" s="10">
        <v>802824019</v>
      </c>
      <c r="AK771" s="10" t="s">
        <v>360</v>
      </c>
      <c r="AL771" s="10"/>
      <c r="AM771" s="10"/>
      <c r="AN771" s="11" t="s">
        <v>46</v>
      </c>
      <c r="AO771" s="10"/>
      <c r="AP771" s="10"/>
      <c r="AQ771" s="10"/>
      <c r="AR771" s="2">
        <v>46119</v>
      </c>
      <c r="AS771" s="10">
        <v>68037.78</v>
      </c>
      <c r="AT771" s="10" t="s">
        <v>291</v>
      </c>
      <c r="AU771" s="10" t="s">
        <v>5102</v>
      </c>
      <c r="AV771" s="36" t="s">
        <v>5508</v>
      </c>
      <c r="AW771" s="1">
        <v>46211</v>
      </c>
    </row>
    <row r="772" spans="1:49" x14ac:dyDescent="0.25">
      <c r="A772" s="9" t="s">
        <v>5129</v>
      </c>
      <c r="B772" s="10" t="s">
        <v>5207</v>
      </c>
      <c r="C772" s="10">
        <v>0</v>
      </c>
      <c r="D772" s="10" t="s">
        <v>91</v>
      </c>
      <c r="E772" s="10"/>
      <c r="F772" s="10"/>
      <c r="G772" s="10"/>
      <c r="H772" s="10" t="s">
        <v>52</v>
      </c>
      <c r="I772" s="10">
        <v>20</v>
      </c>
      <c r="J772" s="10" t="s">
        <v>5283</v>
      </c>
      <c r="K772" s="10" t="s">
        <v>42</v>
      </c>
      <c r="L772" s="10">
        <f>Table1[[#This Row],[ENR]]-Table1[[#This Row],[CREDIT]]</f>
        <v>5613.2100000000064</v>
      </c>
      <c r="M772" s="36">
        <v>80000</v>
      </c>
      <c r="N772" s="26">
        <v>85613.21</v>
      </c>
      <c r="O772" s="38" t="s">
        <v>43</v>
      </c>
      <c r="P772" s="25">
        <v>85613.21</v>
      </c>
      <c r="Q772" s="25">
        <v>75046.820000000007</v>
      </c>
      <c r="R772" s="10">
        <v>23210</v>
      </c>
      <c r="S772" s="39">
        <v>9660</v>
      </c>
      <c r="T772" s="10" t="s">
        <v>44</v>
      </c>
      <c r="U772" s="10" t="s">
        <v>45</v>
      </c>
      <c r="V772" s="10">
        <v>0</v>
      </c>
      <c r="W772" s="25">
        <f>Table1[[#This Row],[STAB]]-Table1[[#This Row],[AMOUNT]]</f>
        <v>9660</v>
      </c>
      <c r="X772" s="10">
        <v>0</v>
      </c>
      <c r="Y772" s="10" t="s">
        <v>79</v>
      </c>
      <c r="Z772" s="10">
        <v>0</v>
      </c>
      <c r="AA772" s="10" t="s">
        <v>113</v>
      </c>
      <c r="AB772" s="36" t="s">
        <v>375</v>
      </c>
      <c r="AC772" s="10"/>
      <c r="AD772" s="9" t="s">
        <v>5358</v>
      </c>
      <c r="AE772" s="10" t="s">
        <v>5434</v>
      </c>
      <c r="AF772" s="10" t="s">
        <v>111</v>
      </c>
      <c r="AG772" s="10" t="s">
        <v>53</v>
      </c>
      <c r="AH772" s="10" t="s">
        <v>92</v>
      </c>
      <c r="AI772" s="10" t="s">
        <v>113</v>
      </c>
      <c r="AJ772" s="10">
        <v>802388289</v>
      </c>
      <c r="AK772" s="10" t="s">
        <v>104</v>
      </c>
      <c r="AL772" s="10"/>
      <c r="AM772" s="10"/>
      <c r="AN772" s="11" t="s">
        <v>390</v>
      </c>
      <c r="AO772" s="10" t="s">
        <v>531</v>
      </c>
      <c r="AP772" s="10" t="s">
        <v>6378</v>
      </c>
      <c r="AQ772" s="10" t="s">
        <v>6364</v>
      </c>
      <c r="AR772" s="2">
        <v>46091</v>
      </c>
      <c r="AS772" s="10">
        <v>116.82</v>
      </c>
      <c r="AT772" s="10" t="s">
        <v>291</v>
      </c>
      <c r="AU772" s="10" t="s">
        <v>5102</v>
      </c>
      <c r="AV772" s="36" t="s">
        <v>5509</v>
      </c>
      <c r="AW772" s="1">
        <v>46211</v>
      </c>
    </row>
    <row r="773" spans="1:49" x14ac:dyDescent="0.25">
      <c r="A773" s="9" t="s">
        <v>5130</v>
      </c>
      <c r="B773" s="10" t="s">
        <v>5208</v>
      </c>
      <c r="C773" s="10">
        <v>0</v>
      </c>
      <c r="D773" s="10" t="s">
        <v>91</v>
      </c>
      <c r="E773" s="10"/>
      <c r="F773" s="10"/>
      <c r="G773" s="10"/>
      <c r="H773" s="10" t="s">
        <v>52</v>
      </c>
      <c r="I773" s="10">
        <v>20</v>
      </c>
      <c r="J773" s="10" t="s">
        <v>5284</v>
      </c>
      <c r="K773" s="10" t="s">
        <v>42</v>
      </c>
      <c r="L773" s="10">
        <f>Table1[[#This Row],[ENR]]-Table1[[#This Row],[CREDIT]]</f>
        <v>53074.5</v>
      </c>
      <c r="M773" s="36">
        <v>320000</v>
      </c>
      <c r="N773" s="26">
        <v>373074.5</v>
      </c>
      <c r="O773" s="38">
        <v>252029.15</v>
      </c>
      <c r="P773" s="25">
        <v>121045.35</v>
      </c>
      <c r="Q773" s="25">
        <v>109348.19</v>
      </c>
      <c r="R773" s="10">
        <v>63280</v>
      </c>
      <c r="S773" s="39">
        <v>31209</v>
      </c>
      <c r="T773" s="10" t="s">
        <v>44</v>
      </c>
      <c r="U773" s="10" t="s">
        <v>45</v>
      </c>
      <c r="V773" s="10">
        <v>0</v>
      </c>
      <c r="W773" s="25">
        <f>Table1[[#This Row],[STAB]]-Table1[[#This Row],[AMOUNT]]</f>
        <v>31209</v>
      </c>
      <c r="X773" s="10">
        <v>0</v>
      </c>
      <c r="Y773" s="10" t="s">
        <v>79</v>
      </c>
      <c r="Z773" s="10">
        <v>0</v>
      </c>
      <c r="AA773" s="10" t="s">
        <v>113</v>
      </c>
      <c r="AB773" s="36" t="s">
        <v>131</v>
      </c>
      <c r="AC773" s="10"/>
      <c r="AD773" s="9" t="s">
        <v>5359</v>
      </c>
      <c r="AE773" s="10" t="s">
        <v>5435</v>
      </c>
      <c r="AF773" s="10" t="s">
        <v>273</v>
      </c>
      <c r="AG773" s="10" t="s">
        <v>323</v>
      </c>
      <c r="AH773" s="10" t="s">
        <v>4528</v>
      </c>
      <c r="AI773" s="10" t="s">
        <v>368</v>
      </c>
      <c r="AJ773" s="10">
        <v>802823175</v>
      </c>
      <c r="AK773" s="10" t="s">
        <v>105</v>
      </c>
      <c r="AL773" s="10"/>
      <c r="AM773" s="10"/>
      <c r="AN773" s="11" t="s">
        <v>46</v>
      </c>
      <c r="AO773" s="10"/>
      <c r="AP773" s="10"/>
      <c r="AQ773" s="10"/>
      <c r="AR773" s="2">
        <v>45566</v>
      </c>
      <c r="AS773" s="10">
        <v>28170</v>
      </c>
      <c r="AT773" s="10" t="s">
        <v>48</v>
      </c>
      <c r="AU773" s="10" t="s">
        <v>5102</v>
      </c>
      <c r="AV773" s="36" t="s">
        <v>5510</v>
      </c>
      <c r="AW773" s="1">
        <v>46211</v>
      </c>
    </row>
    <row r="774" spans="1:49" x14ac:dyDescent="0.25">
      <c r="A774" s="9" t="s">
        <v>5131</v>
      </c>
      <c r="B774" s="10" t="s">
        <v>5209</v>
      </c>
      <c r="C774" s="10">
        <v>0</v>
      </c>
      <c r="D774" s="10" t="s">
        <v>91</v>
      </c>
      <c r="E774" s="10"/>
      <c r="F774" s="10"/>
      <c r="G774" s="10"/>
      <c r="H774" s="10" t="s">
        <v>52</v>
      </c>
      <c r="I774" s="10">
        <v>20</v>
      </c>
      <c r="J774" s="10" t="s">
        <v>5285</v>
      </c>
      <c r="K774" s="10" t="s">
        <v>42</v>
      </c>
      <c r="L774" s="10">
        <f>Table1[[#This Row],[ENR]]-Table1[[#This Row],[CREDIT]]</f>
        <v>8741.36</v>
      </c>
      <c r="M774" s="36">
        <v>80000</v>
      </c>
      <c r="N774" s="26">
        <v>88741.36</v>
      </c>
      <c r="O774" s="38" t="s">
        <v>43</v>
      </c>
      <c r="P774" s="25">
        <v>88741.36</v>
      </c>
      <c r="Q774" s="25">
        <v>79911.58</v>
      </c>
      <c r="R774" s="10">
        <v>22060</v>
      </c>
      <c r="S774" s="39">
        <v>7630</v>
      </c>
      <c r="T774" s="10" t="s">
        <v>44</v>
      </c>
      <c r="U774" s="10" t="s">
        <v>45</v>
      </c>
      <c r="V774" s="10">
        <v>0</v>
      </c>
      <c r="W774" s="25">
        <f>Table1[[#This Row],[STAB]]-Table1[[#This Row],[AMOUNT]]</f>
        <v>7630</v>
      </c>
      <c r="X774" s="10">
        <v>0</v>
      </c>
      <c r="Y774" s="10" t="s">
        <v>79</v>
      </c>
      <c r="Z774" s="10">
        <v>0</v>
      </c>
      <c r="AA774" s="10" t="s">
        <v>113</v>
      </c>
      <c r="AB774" s="36" t="s">
        <v>376</v>
      </c>
      <c r="AC774" s="10"/>
      <c r="AD774" s="9" t="s">
        <v>5360</v>
      </c>
      <c r="AE774" s="10" t="s">
        <v>5436</v>
      </c>
      <c r="AF774" s="10" t="s">
        <v>1102</v>
      </c>
      <c r="AG774" s="10" t="s">
        <v>324</v>
      </c>
      <c r="AH774" s="10" t="s">
        <v>1956</v>
      </c>
      <c r="AI774" s="10" t="s">
        <v>1403</v>
      </c>
      <c r="AJ774" s="10">
        <v>802631601</v>
      </c>
      <c r="AK774" s="10" t="s">
        <v>362</v>
      </c>
      <c r="AL774" s="10"/>
      <c r="AM774" s="10"/>
      <c r="AN774" s="11" t="s">
        <v>390</v>
      </c>
      <c r="AO774" s="10" t="s">
        <v>398</v>
      </c>
      <c r="AP774" s="10" t="s">
        <v>6235</v>
      </c>
      <c r="AQ774" s="10" t="s">
        <v>4937</v>
      </c>
      <c r="AR774" s="2">
        <v>46149</v>
      </c>
      <c r="AS774" s="10">
        <v>7850</v>
      </c>
      <c r="AT774" s="10" t="s">
        <v>292</v>
      </c>
      <c r="AU774" s="10" t="s">
        <v>5102</v>
      </c>
      <c r="AV774" s="36" t="s">
        <v>5511</v>
      </c>
      <c r="AW774" s="1">
        <v>46211</v>
      </c>
    </row>
    <row r="775" spans="1:49" x14ac:dyDescent="0.25">
      <c r="A775" s="9" t="s">
        <v>5132</v>
      </c>
      <c r="B775" s="10" t="s">
        <v>5210</v>
      </c>
      <c r="C775" s="10">
        <v>0</v>
      </c>
      <c r="D775" s="10" t="s">
        <v>91</v>
      </c>
      <c r="E775" s="10"/>
      <c r="F775" s="10"/>
      <c r="G775" s="10"/>
      <c r="H775" s="10" t="s">
        <v>52</v>
      </c>
      <c r="I775" s="10">
        <v>20</v>
      </c>
      <c r="J775" s="10" t="s">
        <v>5286</v>
      </c>
      <c r="K775" s="10" t="s">
        <v>42</v>
      </c>
      <c r="L775" s="10">
        <f>Table1[[#This Row],[ENR]]-Table1[[#This Row],[CREDIT]]</f>
        <v>6001.8000000000029</v>
      </c>
      <c r="M775" s="36">
        <v>100000</v>
      </c>
      <c r="N775" s="26">
        <v>106001.8</v>
      </c>
      <c r="O775" s="38" t="s">
        <v>43</v>
      </c>
      <c r="P775" s="25">
        <v>106001.8</v>
      </c>
      <c r="Q775" s="25">
        <v>97272.6</v>
      </c>
      <c r="R775" s="10">
        <v>23930</v>
      </c>
      <c r="S775" s="39">
        <v>5940</v>
      </c>
      <c r="T775" s="10" t="s">
        <v>44</v>
      </c>
      <c r="U775" s="10" t="s">
        <v>45</v>
      </c>
      <c r="V775" s="10">
        <v>0</v>
      </c>
      <c r="W775" s="25">
        <f>Table1[[#This Row],[STAB]]-Table1[[#This Row],[AMOUNT]]</f>
        <v>5940</v>
      </c>
      <c r="X775" s="10">
        <v>0</v>
      </c>
      <c r="Y775" s="10" t="s">
        <v>79</v>
      </c>
      <c r="Z775" s="10">
        <v>0</v>
      </c>
      <c r="AA775" s="10" t="s">
        <v>113</v>
      </c>
      <c r="AB775" s="36" t="s">
        <v>132</v>
      </c>
      <c r="AC775" s="10"/>
      <c r="AD775" s="9" t="s">
        <v>5361</v>
      </c>
      <c r="AE775" s="10" t="s">
        <v>5437</v>
      </c>
      <c r="AF775" s="10" t="s">
        <v>498</v>
      </c>
      <c r="AG775" s="10" t="s">
        <v>53</v>
      </c>
      <c r="AH775" s="10" t="s">
        <v>90</v>
      </c>
      <c r="AI775" s="10" t="s">
        <v>162</v>
      </c>
      <c r="AJ775" s="10">
        <v>801772794</v>
      </c>
      <c r="AK775" s="10" t="s">
        <v>361</v>
      </c>
      <c r="AL775" s="10"/>
      <c r="AM775" s="10"/>
      <c r="AN775" s="11" t="s">
        <v>390</v>
      </c>
      <c r="AO775" s="10" t="s">
        <v>398</v>
      </c>
      <c r="AP775" s="10" t="s">
        <v>6397</v>
      </c>
      <c r="AQ775" s="10" t="s">
        <v>6364</v>
      </c>
      <c r="AR775" s="2">
        <v>46150</v>
      </c>
      <c r="AS775" s="10">
        <v>54729.31</v>
      </c>
      <c r="AT775" s="10" t="s">
        <v>291</v>
      </c>
      <c r="AU775" s="10" t="s">
        <v>5102</v>
      </c>
      <c r="AV775" s="36" t="s">
        <v>5512</v>
      </c>
      <c r="AW775" s="1">
        <v>46211</v>
      </c>
    </row>
    <row r="776" spans="1:49" x14ac:dyDescent="0.25">
      <c r="A776" s="9" t="s">
        <v>5133</v>
      </c>
      <c r="B776" s="10" t="s">
        <v>5211</v>
      </c>
      <c r="C776" s="10">
        <v>0</v>
      </c>
      <c r="D776" s="10" t="s">
        <v>91</v>
      </c>
      <c r="E776" s="10"/>
      <c r="F776" s="10"/>
      <c r="G776" s="10"/>
      <c r="H776" s="10" t="s">
        <v>52</v>
      </c>
      <c r="I776" s="10">
        <v>20</v>
      </c>
      <c r="J776" s="10" t="s">
        <v>5287</v>
      </c>
      <c r="K776" s="10" t="s">
        <v>42</v>
      </c>
      <c r="L776" s="10">
        <f>Table1[[#This Row],[ENR]]-Table1[[#This Row],[CREDIT]]</f>
        <v>79177.3</v>
      </c>
      <c r="M776" s="36">
        <v>20000</v>
      </c>
      <c r="N776" s="26">
        <v>99177.3</v>
      </c>
      <c r="O776" s="38">
        <v>39880.519999999997</v>
      </c>
      <c r="P776" s="25">
        <v>59296.78</v>
      </c>
      <c r="Q776" s="25">
        <v>52784.160000000003</v>
      </c>
      <c r="R776" s="10">
        <v>59296.78</v>
      </c>
      <c r="S776" s="39">
        <v>32500</v>
      </c>
      <c r="T776" s="10" t="s">
        <v>44</v>
      </c>
      <c r="U776" s="10" t="s">
        <v>45</v>
      </c>
      <c r="V776" s="10">
        <v>17177</v>
      </c>
      <c r="W776" s="25">
        <f>Table1[[#This Row],[STAB]]-Table1[[#This Row],[AMOUNT]]</f>
        <v>15323</v>
      </c>
      <c r="X776" s="10">
        <v>0</v>
      </c>
      <c r="Y776" s="10" t="s">
        <v>79</v>
      </c>
      <c r="Z776" s="10" t="s">
        <v>963</v>
      </c>
      <c r="AA776" s="10" t="s">
        <v>113</v>
      </c>
      <c r="AB776" s="36" t="s">
        <v>376</v>
      </c>
      <c r="AC776" s="10"/>
      <c r="AD776" s="9" t="s">
        <v>5362</v>
      </c>
      <c r="AE776" s="10" t="s">
        <v>5438</v>
      </c>
      <c r="AF776" s="10" t="s">
        <v>281</v>
      </c>
      <c r="AG776" s="10" t="s">
        <v>54</v>
      </c>
      <c r="AH776" s="10" t="s">
        <v>99</v>
      </c>
      <c r="AI776" s="10" t="s">
        <v>363</v>
      </c>
      <c r="AJ776" s="10">
        <v>802913252</v>
      </c>
      <c r="AK776" s="10" t="s">
        <v>104</v>
      </c>
      <c r="AL776" s="10"/>
      <c r="AM776" s="10"/>
      <c r="AN776" s="11" t="s">
        <v>46</v>
      </c>
      <c r="AO776" s="10"/>
      <c r="AP776" s="10"/>
      <c r="AQ776" s="10"/>
      <c r="AR776" s="2">
        <v>46175</v>
      </c>
      <c r="AS776" s="10">
        <v>7000</v>
      </c>
      <c r="AT776" s="10" t="s">
        <v>48</v>
      </c>
      <c r="AU776" s="10" t="s">
        <v>5102</v>
      </c>
      <c r="AV776" s="36" t="s">
        <v>5513</v>
      </c>
      <c r="AW776" s="1">
        <v>46211</v>
      </c>
    </row>
    <row r="777" spans="1:49" x14ac:dyDescent="0.25">
      <c r="A777" s="9" t="s">
        <v>5134</v>
      </c>
      <c r="B777" s="10" t="s">
        <v>5212</v>
      </c>
      <c r="C777" s="10">
        <v>0</v>
      </c>
      <c r="D777" s="10" t="s">
        <v>91</v>
      </c>
      <c r="E777" s="10"/>
      <c r="F777" s="10"/>
      <c r="G777" s="10"/>
      <c r="H777" s="10" t="s">
        <v>52</v>
      </c>
      <c r="I777" s="10">
        <v>20</v>
      </c>
      <c r="J777" s="10" t="s">
        <v>5288</v>
      </c>
      <c r="K777" s="10" t="s">
        <v>42</v>
      </c>
      <c r="L777" s="10">
        <f>Table1[[#This Row],[ENR]]-Table1[[#This Row],[CREDIT]]</f>
        <v>3414.5099999999948</v>
      </c>
      <c r="M777" s="36">
        <v>110000</v>
      </c>
      <c r="N777" s="26">
        <v>113414.51</v>
      </c>
      <c r="O777" s="38">
        <v>87097.03</v>
      </c>
      <c r="P777" s="25">
        <v>26317.48</v>
      </c>
      <c r="Q777" s="25">
        <v>17972.32</v>
      </c>
      <c r="R777" s="10">
        <v>20290</v>
      </c>
      <c r="S777" s="39">
        <v>10004.36</v>
      </c>
      <c r="T777" s="10" t="s">
        <v>57</v>
      </c>
      <c r="U777" s="10" t="s">
        <v>13</v>
      </c>
      <c r="V777" s="10">
        <v>20290</v>
      </c>
      <c r="W777" s="25">
        <f>Table1[[#This Row],[STAB]]-Table1[[#This Row],[AMOUNT]]</f>
        <v>-10285.64</v>
      </c>
      <c r="X777" s="10" t="s">
        <v>6399</v>
      </c>
      <c r="Y777" s="10" t="s">
        <v>402</v>
      </c>
      <c r="Z777" s="10">
        <v>0</v>
      </c>
      <c r="AA777" s="10" t="s">
        <v>113</v>
      </c>
      <c r="AB777" s="36" t="s">
        <v>132</v>
      </c>
      <c r="AC777" s="10"/>
      <c r="AD777" s="9" t="s">
        <v>5363</v>
      </c>
      <c r="AE777" s="10" t="s">
        <v>5439</v>
      </c>
      <c r="AF777" s="10" t="s">
        <v>3829</v>
      </c>
      <c r="AG777" s="10" t="s">
        <v>1363</v>
      </c>
      <c r="AH777" s="10" t="s">
        <v>4271</v>
      </c>
      <c r="AI777" s="10" t="s">
        <v>365</v>
      </c>
      <c r="AJ777" s="10">
        <v>802824019</v>
      </c>
      <c r="AK777" s="10" t="s">
        <v>360</v>
      </c>
      <c r="AL777" s="10"/>
      <c r="AM777" s="10"/>
      <c r="AN777" s="11" t="s">
        <v>46</v>
      </c>
      <c r="AO777" s="10"/>
      <c r="AP777" s="10"/>
      <c r="AQ777" s="10"/>
      <c r="AR777" s="2">
        <v>46042</v>
      </c>
      <c r="AS777" s="10">
        <v>40000</v>
      </c>
      <c r="AT777" s="10" t="s">
        <v>293</v>
      </c>
      <c r="AU777" s="10" t="s">
        <v>5102</v>
      </c>
      <c r="AV777" s="36" t="s">
        <v>5514</v>
      </c>
      <c r="AW777" s="1">
        <v>46211</v>
      </c>
    </row>
    <row r="778" spans="1:49" x14ac:dyDescent="0.25">
      <c r="A778" s="9" t="s">
        <v>5135</v>
      </c>
      <c r="B778" s="10" t="s">
        <v>5213</v>
      </c>
      <c r="C778" s="10">
        <v>0</v>
      </c>
      <c r="D778" s="10" t="s">
        <v>91</v>
      </c>
      <c r="E778" s="10"/>
      <c r="F778" s="10"/>
      <c r="G778" s="10"/>
      <c r="H778" s="10" t="s">
        <v>52</v>
      </c>
      <c r="I778" s="10">
        <v>20</v>
      </c>
      <c r="J778" s="10" t="s">
        <v>5289</v>
      </c>
      <c r="K778" s="10" t="s">
        <v>42</v>
      </c>
      <c r="L778" s="10">
        <f>Table1[[#This Row],[ENR]]-Table1[[#This Row],[CREDIT]]</f>
        <v>13648.429999999993</v>
      </c>
      <c r="M778" s="36">
        <v>110000</v>
      </c>
      <c r="N778" s="26">
        <v>123648.43</v>
      </c>
      <c r="O778" s="38" t="s">
        <v>43</v>
      </c>
      <c r="P778" s="25">
        <v>123648.43</v>
      </c>
      <c r="Q778" s="25">
        <v>109282.6</v>
      </c>
      <c r="R778" s="10">
        <v>33890</v>
      </c>
      <c r="S778" s="39">
        <v>15850</v>
      </c>
      <c r="T778" s="10" t="s">
        <v>44</v>
      </c>
      <c r="U778" s="10" t="s">
        <v>45</v>
      </c>
      <c r="V778" s="10">
        <v>0</v>
      </c>
      <c r="W778" s="25">
        <f>Table1[[#This Row],[STAB]]-Table1[[#This Row],[AMOUNT]]</f>
        <v>15850</v>
      </c>
      <c r="X778" s="10">
        <v>0</v>
      </c>
      <c r="Y778" s="10" t="s">
        <v>79</v>
      </c>
      <c r="Z778" s="10">
        <v>0</v>
      </c>
      <c r="AA778" s="10" t="s">
        <v>113</v>
      </c>
      <c r="AB778" s="36" t="s">
        <v>375</v>
      </c>
      <c r="AC778" s="10"/>
      <c r="AD778" s="9" t="s">
        <v>5364</v>
      </c>
      <c r="AE778" s="10" t="s">
        <v>5440</v>
      </c>
      <c r="AF778" s="10" t="s">
        <v>286</v>
      </c>
      <c r="AG778" s="10" t="s">
        <v>54</v>
      </c>
      <c r="AH778" s="10" t="s">
        <v>286</v>
      </c>
      <c r="AI778" s="10" t="s">
        <v>365</v>
      </c>
      <c r="AJ778" s="10">
        <v>802824019</v>
      </c>
      <c r="AK778" s="10" t="s">
        <v>360</v>
      </c>
      <c r="AL778" s="10"/>
      <c r="AM778" s="10"/>
      <c r="AN778" s="11" t="s">
        <v>46</v>
      </c>
      <c r="AO778" s="10"/>
      <c r="AP778" s="10"/>
      <c r="AQ778" s="10"/>
      <c r="AR778" s="2">
        <v>45477</v>
      </c>
      <c r="AS778" s="10">
        <v>22264.91</v>
      </c>
      <c r="AT778" s="10" t="s">
        <v>291</v>
      </c>
      <c r="AU778" s="10" t="s">
        <v>5102</v>
      </c>
      <c r="AV778" s="36" t="s">
        <v>5515</v>
      </c>
      <c r="AW778" s="1">
        <v>46211</v>
      </c>
    </row>
    <row r="779" spans="1:49" x14ac:dyDescent="0.25">
      <c r="A779" s="9" t="s">
        <v>5136</v>
      </c>
      <c r="B779" s="10" t="s">
        <v>5214</v>
      </c>
      <c r="C779" s="10">
        <v>0</v>
      </c>
      <c r="D779" s="10" t="s">
        <v>91</v>
      </c>
      <c r="E779" s="10"/>
      <c r="F779" s="10"/>
      <c r="G779" s="10"/>
      <c r="H779" s="10" t="s">
        <v>52</v>
      </c>
      <c r="I779" s="10">
        <v>20</v>
      </c>
      <c r="J779" s="10" t="s">
        <v>5290</v>
      </c>
      <c r="K779" s="10" t="s">
        <v>42</v>
      </c>
      <c r="L779" s="10">
        <f>Table1[[#This Row],[ENR]]-Table1[[#This Row],[CREDIT]]</f>
        <v>32618.190000000002</v>
      </c>
      <c r="M779" s="36">
        <v>20000</v>
      </c>
      <c r="N779" s="26">
        <v>52618.19</v>
      </c>
      <c r="O779" s="38">
        <v>38644.800000000003</v>
      </c>
      <c r="P779" s="25">
        <v>13973.39</v>
      </c>
      <c r="Q779" s="25">
        <v>10898.11</v>
      </c>
      <c r="R779" s="10">
        <v>13973.39</v>
      </c>
      <c r="S779" s="39">
        <v>4648.9399999999996</v>
      </c>
      <c r="T779" s="10" t="s">
        <v>44</v>
      </c>
      <c r="U779" s="10" t="s">
        <v>45</v>
      </c>
      <c r="V779" s="10">
        <v>0</v>
      </c>
      <c r="W779" s="25">
        <f>Table1[[#This Row],[STAB]]-Table1[[#This Row],[AMOUNT]]</f>
        <v>4648.9399999999996</v>
      </c>
      <c r="X779" s="10">
        <v>0</v>
      </c>
      <c r="Y779" s="10" t="s">
        <v>79</v>
      </c>
      <c r="Z779" s="10">
        <v>0</v>
      </c>
      <c r="AA779" s="10" t="s">
        <v>113</v>
      </c>
      <c r="AB779" s="36" t="s">
        <v>375</v>
      </c>
      <c r="AC779" s="10"/>
      <c r="AD779" s="9" t="s">
        <v>5365</v>
      </c>
      <c r="AE779" s="10" t="s">
        <v>5441</v>
      </c>
      <c r="AF779" s="10" t="s">
        <v>272</v>
      </c>
      <c r="AG779" s="10" t="s">
        <v>54</v>
      </c>
      <c r="AH779" s="10" t="s">
        <v>114</v>
      </c>
      <c r="AI779" s="10" t="s">
        <v>726</v>
      </c>
      <c r="AJ779" s="10">
        <v>801772792</v>
      </c>
      <c r="AK779" s="10" t="s">
        <v>105</v>
      </c>
      <c r="AL779" s="10"/>
      <c r="AM779" s="10"/>
      <c r="AN779" s="11" t="s">
        <v>46</v>
      </c>
      <c r="AO779" s="10"/>
      <c r="AP779" s="10"/>
      <c r="AQ779" s="10"/>
      <c r="AR779" s="2">
        <v>45962</v>
      </c>
      <c r="AS779" s="10">
        <v>5889</v>
      </c>
      <c r="AT779" s="10" t="s">
        <v>291</v>
      </c>
      <c r="AU779" s="10" t="s">
        <v>5102</v>
      </c>
      <c r="AV779" s="36" t="s">
        <v>5516</v>
      </c>
      <c r="AW779" s="1">
        <v>46211</v>
      </c>
    </row>
    <row r="780" spans="1:49" x14ac:dyDescent="0.25">
      <c r="A780" s="9" t="s">
        <v>5137</v>
      </c>
      <c r="B780" s="10" t="s">
        <v>5215</v>
      </c>
      <c r="C780" s="10">
        <v>0</v>
      </c>
      <c r="D780" s="10" t="s">
        <v>91</v>
      </c>
      <c r="E780" s="10"/>
      <c r="F780" s="10"/>
      <c r="G780" s="10"/>
      <c r="H780" s="10" t="s">
        <v>52</v>
      </c>
      <c r="I780" s="10">
        <v>20</v>
      </c>
      <c r="J780" s="10" t="s">
        <v>5291</v>
      </c>
      <c r="K780" s="10" t="s">
        <v>42</v>
      </c>
      <c r="L780" s="10">
        <f>Table1[[#This Row],[ENR]]-Table1[[#This Row],[CREDIT]]</f>
        <v>-53780.209999999992</v>
      </c>
      <c r="M780" s="36">
        <v>250000</v>
      </c>
      <c r="N780" s="26">
        <v>196219.79</v>
      </c>
      <c r="O780" s="38" t="s">
        <v>43</v>
      </c>
      <c r="P780" s="25">
        <v>196219.79</v>
      </c>
      <c r="Q780" s="25">
        <v>179195.18</v>
      </c>
      <c r="R780" s="10">
        <v>28540</v>
      </c>
      <c r="S780" s="39">
        <v>10030</v>
      </c>
      <c r="T780" s="10" t="s">
        <v>57</v>
      </c>
      <c r="U780" s="10" t="s">
        <v>13</v>
      </c>
      <c r="V780" s="10">
        <v>50000</v>
      </c>
      <c r="W780" s="25">
        <f>Table1[[#This Row],[STAB]]-Table1[[#This Row],[AMOUNT]]</f>
        <v>-39970</v>
      </c>
      <c r="X780" s="10" t="s">
        <v>4976</v>
      </c>
      <c r="Y780" s="10" t="s">
        <v>402</v>
      </c>
      <c r="Z780" s="10" t="s">
        <v>962</v>
      </c>
      <c r="AA780" s="10" t="s">
        <v>113</v>
      </c>
      <c r="AB780" s="36" t="s">
        <v>132</v>
      </c>
      <c r="AC780" s="10"/>
      <c r="AD780" s="9" t="s">
        <v>5366</v>
      </c>
      <c r="AE780" s="10" t="s">
        <v>5442</v>
      </c>
      <c r="AF780" s="10" t="s">
        <v>1319</v>
      </c>
      <c r="AG780" s="10" t="s">
        <v>54</v>
      </c>
      <c r="AH780" s="10" t="s">
        <v>358</v>
      </c>
      <c r="AI780" s="10" t="s">
        <v>365</v>
      </c>
      <c r="AJ780" s="10">
        <v>802824019</v>
      </c>
      <c r="AK780" s="10" t="s">
        <v>360</v>
      </c>
      <c r="AL780" s="10"/>
      <c r="AM780" s="10"/>
      <c r="AN780" s="11" t="s">
        <v>390</v>
      </c>
      <c r="AO780" s="10"/>
      <c r="AP780" s="10"/>
      <c r="AQ780" s="10"/>
      <c r="AR780" s="2">
        <v>45490</v>
      </c>
      <c r="AS780" s="10">
        <v>8000</v>
      </c>
      <c r="AT780" s="10" t="s">
        <v>291</v>
      </c>
      <c r="AU780" s="10" t="s">
        <v>5102</v>
      </c>
      <c r="AV780" s="36" t="s">
        <v>5517</v>
      </c>
      <c r="AW780" s="1">
        <v>46211</v>
      </c>
    </row>
    <row r="781" spans="1:49" x14ac:dyDescent="0.25">
      <c r="A781" s="9" t="s">
        <v>5138</v>
      </c>
      <c r="B781" s="10" t="s">
        <v>5216</v>
      </c>
      <c r="C781" s="10">
        <v>0</v>
      </c>
      <c r="D781" s="10" t="s">
        <v>91</v>
      </c>
      <c r="E781" s="10"/>
      <c r="F781" s="10" t="s">
        <v>112</v>
      </c>
      <c r="G781" s="10"/>
      <c r="H781" s="10" t="s">
        <v>84</v>
      </c>
      <c r="I781" s="10">
        <v>20</v>
      </c>
      <c r="J781" s="10" t="s">
        <v>5292</v>
      </c>
      <c r="K781" s="10" t="s">
        <v>42</v>
      </c>
      <c r="L781" s="10">
        <f>Table1[[#This Row],[ENR]]-Table1[[#This Row],[CREDIT]]</f>
        <v>-405053.97</v>
      </c>
      <c r="M781" s="36">
        <v>610000</v>
      </c>
      <c r="N781" s="26">
        <v>204946.03</v>
      </c>
      <c r="O781" s="38">
        <v>2078.69</v>
      </c>
      <c r="P781" s="25">
        <v>202867.34</v>
      </c>
      <c r="Q781" s="25">
        <v>187045.34</v>
      </c>
      <c r="R781" s="10">
        <v>51030</v>
      </c>
      <c r="S781" s="39">
        <v>26801.24</v>
      </c>
      <c r="T781" s="10" t="s">
        <v>44</v>
      </c>
      <c r="U781" s="10" t="s">
        <v>45</v>
      </c>
      <c r="V781" s="10">
        <v>0</v>
      </c>
      <c r="W781" s="25">
        <f>Table1[[#This Row],[STAB]]-Table1[[#This Row],[AMOUNT]]</f>
        <v>26801.24</v>
      </c>
      <c r="X781" s="10">
        <v>0</v>
      </c>
      <c r="Y781" s="10" t="s">
        <v>79</v>
      </c>
      <c r="Z781" s="10">
        <v>0</v>
      </c>
      <c r="AA781" s="10" t="s">
        <v>113</v>
      </c>
      <c r="AB781" s="36" t="s">
        <v>375</v>
      </c>
      <c r="AC781" s="10"/>
      <c r="AD781" s="9" t="s">
        <v>5367</v>
      </c>
      <c r="AE781" s="10" t="s">
        <v>5443</v>
      </c>
      <c r="AF781" s="10" t="s">
        <v>687</v>
      </c>
      <c r="AG781" s="10" t="s">
        <v>53</v>
      </c>
      <c r="AH781" s="10" t="s">
        <v>55</v>
      </c>
      <c r="AI781" s="10" t="s">
        <v>365</v>
      </c>
      <c r="AJ781" s="10">
        <v>802824019</v>
      </c>
      <c r="AK781" s="10" t="s">
        <v>360</v>
      </c>
      <c r="AL781" s="10"/>
      <c r="AM781" s="10"/>
      <c r="AN781" s="11" t="s">
        <v>46</v>
      </c>
      <c r="AO781" s="10"/>
      <c r="AP781" s="10"/>
      <c r="AQ781" s="10"/>
      <c r="AR781" s="2">
        <v>46112</v>
      </c>
      <c r="AS781" s="10">
        <v>40000</v>
      </c>
      <c r="AT781" s="10" t="s">
        <v>48</v>
      </c>
      <c r="AU781" s="10" t="s">
        <v>5102</v>
      </c>
      <c r="AV781" s="36" t="s">
        <v>5518</v>
      </c>
      <c r="AW781" s="1">
        <v>46211</v>
      </c>
    </row>
    <row r="782" spans="1:49" x14ac:dyDescent="0.25">
      <c r="A782" s="9" t="s">
        <v>5139</v>
      </c>
      <c r="B782" s="10" t="s">
        <v>5217</v>
      </c>
      <c r="C782" s="10">
        <v>0</v>
      </c>
      <c r="D782" s="10" t="s">
        <v>91</v>
      </c>
      <c r="E782" s="10"/>
      <c r="F782" s="10"/>
      <c r="G782" s="10"/>
      <c r="H782" s="10" t="s">
        <v>84</v>
      </c>
      <c r="I782" s="10">
        <v>20</v>
      </c>
      <c r="J782" s="10" t="s">
        <v>5293</v>
      </c>
      <c r="K782" s="10" t="s">
        <v>42</v>
      </c>
      <c r="L782" s="10">
        <f>Table1[[#This Row],[ENR]]-Table1[[#This Row],[CREDIT]]</f>
        <v>293.18000000000029</v>
      </c>
      <c r="M782" s="36">
        <v>50000</v>
      </c>
      <c r="N782" s="26">
        <v>50293.18</v>
      </c>
      <c r="O782" s="38">
        <v>29283.66</v>
      </c>
      <c r="P782" s="25">
        <v>21009.52</v>
      </c>
      <c r="Q782" s="25">
        <v>18485.28</v>
      </c>
      <c r="R782" s="10">
        <v>9970</v>
      </c>
      <c r="S782" s="39">
        <v>4830</v>
      </c>
      <c r="T782" s="10" t="s">
        <v>44</v>
      </c>
      <c r="U782" s="10" t="s">
        <v>45</v>
      </c>
      <c r="V782" s="10">
        <v>0</v>
      </c>
      <c r="W782" s="25">
        <f>Table1[[#This Row],[STAB]]-Table1[[#This Row],[AMOUNT]]</f>
        <v>4830</v>
      </c>
      <c r="X782" s="10">
        <v>0</v>
      </c>
      <c r="Y782" s="10" t="s">
        <v>79</v>
      </c>
      <c r="Z782" s="10">
        <v>0</v>
      </c>
      <c r="AA782" s="10" t="s">
        <v>113</v>
      </c>
      <c r="AB782" s="36" t="s">
        <v>374</v>
      </c>
      <c r="AC782" s="10"/>
      <c r="AD782" s="9" t="s">
        <v>5368</v>
      </c>
      <c r="AE782" s="10" t="s">
        <v>5444</v>
      </c>
      <c r="AF782" s="10" t="s">
        <v>276</v>
      </c>
      <c r="AG782" s="10" t="s">
        <v>324</v>
      </c>
      <c r="AH782" s="10" t="s">
        <v>358</v>
      </c>
      <c r="AI782" s="10" t="s">
        <v>367</v>
      </c>
      <c r="AJ782" s="10">
        <v>801436997</v>
      </c>
      <c r="AK782" s="10" t="s">
        <v>104</v>
      </c>
      <c r="AL782" s="10"/>
      <c r="AM782" s="10"/>
      <c r="AN782" s="11" t="s">
        <v>46</v>
      </c>
      <c r="AO782" s="10"/>
      <c r="AP782" s="10"/>
      <c r="AQ782" s="10"/>
      <c r="AR782" s="2">
        <v>45815</v>
      </c>
      <c r="AS782" s="10">
        <v>50000.800000000003</v>
      </c>
      <c r="AT782" s="10" t="s">
        <v>503</v>
      </c>
      <c r="AU782" s="10" t="s">
        <v>5102</v>
      </c>
      <c r="AV782" s="36" t="s">
        <v>5519</v>
      </c>
      <c r="AW782" s="1">
        <v>46211</v>
      </c>
    </row>
    <row r="783" spans="1:49" x14ac:dyDescent="0.25">
      <c r="A783" s="9" t="s">
        <v>5140</v>
      </c>
      <c r="B783" s="10" t="s">
        <v>5218</v>
      </c>
      <c r="C783" s="10">
        <v>0</v>
      </c>
      <c r="D783" s="10" t="s">
        <v>91</v>
      </c>
      <c r="E783" s="10"/>
      <c r="F783" s="10"/>
      <c r="G783" s="10"/>
      <c r="H783" s="10" t="s">
        <v>52</v>
      </c>
      <c r="I783" s="10">
        <v>20</v>
      </c>
      <c r="J783" s="10" t="s">
        <v>5294</v>
      </c>
      <c r="K783" s="10" t="s">
        <v>42</v>
      </c>
      <c r="L783" s="10">
        <f>Table1[[#This Row],[ENR]]-Table1[[#This Row],[CREDIT]]</f>
        <v>5006.6900000000023</v>
      </c>
      <c r="M783" s="36">
        <v>50000</v>
      </c>
      <c r="N783" s="26">
        <v>55006.69</v>
      </c>
      <c r="O783" s="38" t="s">
        <v>43</v>
      </c>
      <c r="P783" s="25">
        <v>55006.69</v>
      </c>
      <c r="Q783" s="25">
        <v>49936.78</v>
      </c>
      <c r="R783" s="10">
        <v>14700</v>
      </c>
      <c r="S783" s="39">
        <v>2500</v>
      </c>
      <c r="T783" s="10" t="s">
        <v>44</v>
      </c>
      <c r="U783" s="10" t="s">
        <v>45</v>
      </c>
      <c r="V783" s="10">
        <v>0</v>
      </c>
      <c r="W783" s="25">
        <f>Table1[[#This Row],[STAB]]-Table1[[#This Row],[AMOUNT]]</f>
        <v>2500</v>
      </c>
      <c r="X783" s="10">
        <v>0</v>
      </c>
      <c r="Y783" s="10" t="s">
        <v>79</v>
      </c>
      <c r="Z783" s="10">
        <v>0</v>
      </c>
      <c r="AA783" s="10" t="s">
        <v>113</v>
      </c>
      <c r="AB783" s="36" t="s">
        <v>374</v>
      </c>
      <c r="AC783" s="10"/>
      <c r="AD783" s="9" t="s">
        <v>5369</v>
      </c>
      <c r="AE783" s="10" t="s">
        <v>5445</v>
      </c>
      <c r="AF783" s="10" t="s">
        <v>1102</v>
      </c>
      <c r="AG783" s="10" t="s">
        <v>324</v>
      </c>
      <c r="AH783" s="10" t="s">
        <v>1956</v>
      </c>
      <c r="AI783" s="10" t="s">
        <v>1403</v>
      </c>
      <c r="AJ783" s="10">
        <v>802631601</v>
      </c>
      <c r="AK783" s="10" t="s">
        <v>362</v>
      </c>
      <c r="AL783" s="10"/>
      <c r="AM783" s="10"/>
      <c r="AN783" s="11" t="s">
        <v>46</v>
      </c>
      <c r="AO783" s="10"/>
      <c r="AP783" s="10"/>
      <c r="AQ783" s="10"/>
      <c r="AR783" s="2" t="s">
        <v>43</v>
      </c>
      <c r="AS783" s="10">
        <v>0</v>
      </c>
      <c r="AT783" s="10" t="s">
        <v>48</v>
      </c>
      <c r="AU783" s="10" t="s">
        <v>5102</v>
      </c>
      <c r="AV783" s="36" t="s">
        <v>5520</v>
      </c>
      <c r="AW783" s="1">
        <v>46211</v>
      </c>
    </row>
    <row r="784" spans="1:49" x14ac:dyDescent="0.25">
      <c r="A784" s="9" t="s">
        <v>5141</v>
      </c>
      <c r="B784" s="10" t="s">
        <v>5219</v>
      </c>
      <c r="C784" s="10">
        <v>0</v>
      </c>
      <c r="D784" s="10" t="s">
        <v>91</v>
      </c>
      <c r="E784" s="10"/>
      <c r="F784" s="10"/>
      <c r="G784" s="10"/>
      <c r="H784" s="10" t="s">
        <v>52</v>
      </c>
      <c r="I784" s="10">
        <v>20</v>
      </c>
      <c r="J784" s="10" t="s">
        <v>5295</v>
      </c>
      <c r="K784" s="10" t="s">
        <v>42</v>
      </c>
      <c r="L784" s="10">
        <f>Table1[[#This Row],[ENR]]-Table1[[#This Row],[CREDIT]]</f>
        <v>4353.07</v>
      </c>
      <c r="M784" s="36">
        <v>50000</v>
      </c>
      <c r="N784" s="26">
        <v>54353.07</v>
      </c>
      <c r="O784" s="38" t="s">
        <v>43</v>
      </c>
      <c r="P784" s="25">
        <v>54353.07</v>
      </c>
      <c r="Q784" s="25">
        <v>50000</v>
      </c>
      <c r="R784" s="10">
        <v>10910</v>
      </c>
      <c r="S784" s="39">
        <v>2500</v>
      </c>
      <c r="T784" s="10" t="s">
        <v>57</v>
      </c>
      <c r="U784" s="10" t="s">
        <v>14</v>
      </c>
      <c r="V784" s="10">
        <v>2500</v>
      </c>
      <c r="W784" s="25">
        <f>Table1[[#This Row],[STAB]]-Table1[[#This Row],[AMOUNT]]</f>
        <v>0</v>
      </c>
      <c r="X784" s="10" t="s">
        <v>6399</v>
      </c>
      <c r="Y784" s="10" t="s">
        <v>396</v>
      </c>
      <c r="Z784" s="10" t="s">
        <v>963</v>
      </c>
      <c r="AA784" s="10" t="s">
        <v>113</v>
      </c>
      <c r="AB784" s="36" t="s">
        <v>376</v>
      </c>
      <c r="AC784" s="10"/>
      <c r="AD784" s="9" t="s">
        <v>5370</v>
      </c>
      <c r="AE784" s="10" t="s">
        <v>5446</v>
      </c>
      <c r="AF784" s="10" t="s">
        <v>285</v>
      </c>
      <c r="AG784" s="10" t="s">
        <v>54</v>
      </c>
      <c r="AH784" s="10" t="s">
        <v>94</v>
      </c>
      <c r="AI784" s="10" t="s">
        <v>725</v>
      </c>
      <c r="AJ784" s="10">
        <v>802794852</v>
      </c>
      <c r="AK784" s="10" t="s">
        <v>104</v>
      </c>
      <c r="AL784" s="10"/>
      <c r="AM784" s="10"/>
      <c r="AN784" s="11" t="s">
        <v>390</v>
      </c>
      <c r="AO784" s="10" t="s">
        <v>392</v>
      </c>
      <c r="AP784" s="10" t="s">
        <v>6323</v>
      </c>
      <c r="AQ784" s="10" t="s">
        <v>4937</v>
      </c>
      <c r="AR784" s="2" t="s">
        <v>43</v>
      </c>
      <c r="AS784" s="10">
        <v>0</v>
      </c>
      <c r="AT784" s="10" t="s">
        <v>48</v>
      </c>
      <c r="AU784" s="10" t="s">
        <v>5102</v>
      </c>
      <c r="AV784" s="36" t="s">
        <v>5521</v>
      </c>
      <c r="AW784" s="1">
        <v>46211</v>
      </c>
    </row>
    <row r="785" spans="1:49" x14ac:dyDescent="0.25">
      <c r="A785" s="9" t="s">
        <v>5142</v>
      </c>
      <c r="B785" s="10" t="s">
        <v>5220</v>
      </c>
      <c r="C785" s="10">
        <v>0</v>
      </c>
      <c r="D785" s="10" t="s">
        <v>91</v>
      </c>
      <c r="E785" s="10"/>
      <c r="F785" s="10"/>
      <c r="G785" s="10"/>
      <c r="H785" s="10" t="s">
        <v>52</v>
      </c>
      <c r="I785" s="10">
        <v>20</v>
      </c>
      <c r="J785" s="10" t="s">
        <v>5296</v>
      </c>
      <c r="K785" s="10" t="s">
        <v>42</v>
      </c>
      <c r="L785" s="10">
        <f>Table1[[#This Row],[ENR]]-Table1[[#This Row],[CREDIT]]</f>
        <v>9454.7899999999936</v>
      </c>
      <c r="M785" s="36">
        <v>70000</v>
      </c>
      <c r="N785" s="26">
        <v>79454.789999999994</v>
      </c>
      <c r="O785" s="38">
        <v>45030.28</v>
      </c>
      <c r="P785" s="25">
        <v>34424.51</v>
      </c>
      <c r="Q785" s="25">
        <v>25376.76</v>
      </c>
      <c r="R785" s="10">
        <v>34424.51</v>
      </c>
      <c r="S785" s="39">
        <v>12911.85</v>
      </c>
      <c r="T785" s="10" t="s">
        <v>44</v>
      </c>
      <c r="U785" s="10" t="s">
        <v>45</v>
      </c>
      <c r="V785" s="10">
        <v>0</v>
      </c>
      <c r="W785" s="25">
        <f>Table1[[#This Row],[STAB]]-Table1[[#This Row],[AMOUNT]]</f>
        <v>12911.85</v>
      </c>
      <c r="X785" s="10">
        <v>0</v>
      </c>
      <c r="Y785" s="10" t="s">
        <v>79</v>
      </c>
      <c r="Z785" s="10">
        <v>0</v>
      </c>
      <c r="AA785" s="10" t="s">
        <v>113</v>
      </c>
      <c r="AB785" s="36" t="s">
        <v>132</v>
      </c>
      <c r="AC785" s="10"/>
      <c r="AD785" s="9" t="s">
        <v>5371</v>
      </c>
      <c r="AE785" s="10" t="s">
        <v>5447</v>
      </c>
      <c r="AF785" s="10" t="s">
        <v>286</v>
      </c>
      <c r="AG785" s="10" t="s">
        <v>54</v>
      </c>
      <c r="AH785" s="10" t="s">
        <v>286</v>
      </c>
      <c r="AI785" s="10" t="s">
        <v>365</v>
      </c>
      <c r="AJ785" s="10">
        <v>802824019</v>
      </c>
      <c r="AK785" s="10" t="s">
        <v>360</v>
      </c>
      <c r="AL785" s="10"/>
      <c r="AM785" s="10"/>
      <c r="AN785" s="11" t="s">
        <v>46</v>
      </c>
      <c r="AO785" s="10"/>
      <c r="AP785" s="10"/>
      <c r="AQ785" s="10"/>
      <c r="AR785" s="2">
        <v>45857</v>
      </c>
      <c r="AS785" s="10">
        <v>10000</v>
      </c>
      <c r="AT785" s="10" t="s">
        <v>689</v>
      </c>
      <c r="AU785" s="10" t="s">
        <v>5102</v>
      </c>
      <c r="AV785" s="36" t="s">
        <v>5522</v>
      </c>
      <c r="AW785" s="1">
        <v>46211</v>
      </c>
    </row>
    <row r="786" spans="1:49" x14ac:dyDescent="0.25">
      <c r="A786" s="9" t="s">
        <v>5143</v>
      </c>
      <c r="B786" s="10" t="s">
        <v>5221</v>
      </c>
      <c r="C786" s="10">
        <v>0</v>
      </c>
      <c r="D786" s="10" t="s">
        <v>91</v>
      </c>
      <c r="E786" s="10"/>
      <c r="F786" s="10"/>
      <c r="G786" s="10"/>
      <c r="H786" s="10" t="s">
        <v>52</v>
      </c>
      <c r="I786" s="10">
        <v>20</v>
      </c>
      <c r="J786" s="10" t="s">
        <v>5297</v>
      </c>
      <c r="K786" s="10" t="s">
        <v>42</v>
      </c>
      <c r="L786" s="10">
        <f>Table1[[#This Row],[ENR]]-Table1[[#This Row],[CREDIT]]</f>
        <v>-11872.230000000003</v>
      </c>
      <c r="M786" s="36">
        <v>70000</v>
      </c>
      <c r="N786" s="26">
        <v>58127.77</v>
      </c>
      <c r="O786" s="38">
        <v>50467.31</v>
      </c>
      <c r="P786" s="25">
        <v>7660.46</v>
      </c>
      <c r="Q786" s="25">
        <v>4817.5200000000004</v>
      </c>
      <c r="R786" s="10">
        <v>7660.46</v>
      </c>
      <c r="S786" s="39">
        <v>3369.37</v>
      </c>
      <c r="T786" s="10" t="s">
        <v>44</v>
      </c>
      <c r="U786" s="10" t="s">
        <v>45</v>
      </c>
      <c r="V786" s="10">
        <v>0</v>
      </c>
      <c r="W786" s="25">
        <f>Table1[[#This Row],[STAB]]-Table1[[#This Row],[AMOUNT]]</f>
        <v>3369.37</v>
      </c>
      <c r="X786" s="10">
        <v>0</v>
      </c>
      <c r="Y786" s="10" t="s">
        <v>79</v>
      </c>
      <c r="Z786" s="10">
        <v>0</v>
      </c>
      <c r="AA786" s="10" t="s">
        <v>113</v>
      </c>
      <c r="AB786" s="36" t="s">
        <v>132</v>
      </c>
      <c r="AC786" s="10"/>
      <c r="AD786" s="9" t="s">
        <v>5372</v>
      </c>
      <c r="AE786" s="10" t="s">
        <v>5448</v>
      </c>
      <c r="AF786" s="10" t="s">
        <v>276</v>
      </c>
      <c r="AG786" s="10" t="s">
        <v>324</v>
      </c>
      <c r="AH786" s="10" t="s">
        <v>354</v>
      </c>
      <c r="AI786" s="10" t="s">
        <v>367</v>
      </c>
      <c r="AJ786" s="10">
        <v>801436997</v>
      </c>
      <c r="AK786" s="10" t="s">
        <v>104</v>
      </c>
      <c r="AL786" s="10"/>
      <c r="AM786" s="10"/>
      <c r="AN786" s="11" t="s">
        <v>46</v>
      </c>
      <c r="AO786" s="10"/>
      <c r="AP786" s="10"/>
      <c r="AQ786" s="10"/>
      <c r="AR786" s="2">
        <v>46092</v>
      </c>
      <c r="AS786" s="10">
        <v>4576.07</v>
      </c>
      <c r="AT786" s="10" t="s">
        <v>293</v>
      </c>
      <c r="AU786" s="10" t="s">
        <v>5102</v>
      </c>
      <c r="AV786" s="36" t="s">
        <v>5523</v>
      </c>
      <c r="AW786" s="1">
        <v>46211</v>
      </c>
    </row>
    <row r="787" spans="1:49" x14ac:dyDescent="0.25">
      <c r="A787" s="9" t="s">
        <v>5144</v>
      </c>
      <c r="B787" s="10" t="s">
        <v>5222</v>
      </c>
      <c r="C787" s="10">
        <v>0</v>
      </c>
      <c r="D787" s="10" t="s">
        <v>91</v>
      </c>
      <c r="E787" s="10"/>
      <c r="F787" s="10"/>
      <c r="G787" s="10"/>
      <c r="H787" s="10" t="s">
        <v>52</v>
      </c>
      <c r="I787" s="10">
        <v>20</v>
      </c>
      <c r="J787" s="10" t="s">
        <v>5298</v>
      </c>
      <c r="K787" s="10" t="s">
        <v>42</v>
      </c>
      <c r="L787" s="10">
        <f>Table1[[#This Row],[ENR]]-Table1[[#This Row],[CREDIT]]</f>
        <v>10239.979999999996</v>
      </c>
      <c r="M787" s="36">
        <v>60000</v>
      </c>
      <c r="N787" s="26">
        <v>70239.98</v>
      </c>
      <c r="O787" s="38" t="s">
        <v>43</v>
      </c>
      <c r="P787" s="25">
        <v>70239.98</v>
      </c>
      <c r="Q787" s="25">
        <v>59983.58</v>
      </c>
      <c r="R787" s="10">
        <v>22840</v>
      </c>
      <c r="S787" s="39">
        <v>8540</v>
      </c>
      <c r="T787" s="10" t="s">
        <v>44</v>
      </c>
      <c r="U787" s="10" t="s">
        <v>45</v>
      </c>
      <c r="V787" s="10">
        <v>3500</v>
      </c>
      <c r="W787" s="25">
        <f>Table1[[#This Row],[STAB]]-Table1[[#This Row],[AMOUNT]]</f>
        <v>5040</v>
      </c>
      <c r="X787" s="10">
        <v>0</v>
      </c>
      <c r="Y787" s="10" t="s">
        <v>79</v>
      </c>
      <c r="Z787" s="10" t="s">
        <v>403</v>
      </c>
      <c r="AA787" s="10" t="s">
        <v>113</v>
      </c>
      <c r="AB787" s="36" t="s">
        <v>374</v>
      </c>
      <c r="AC787" s="10"/>
      <c r="AD787" s="9" t="s">
        <v>5373</v>
      </c>
      <c r="AE787" s="10" t="s">
        <v>5449</v>
      </c>
      <c r="AF787" s="10" t="s">
        <v>1319</v>
      </c>
      <c r="AG787" s="10" t="s">
        <v>54</v>
      </c>
      <c r="AH787" s="10" t="s">
        <v>93</v>
      </c>
      <c r="AI787" s="10" t="s">
        <v>364</v>
      </c>
      <c r="AJ787" s="10">
        <v>802663344</v>
      </c>
      <c r="AK787" s="10" t="s">
        <v>105</v>
      </c>
      <c r="AL787" s="10"/>
      <c r="AM787" s="10"/>
      <c r="AN787" s="11" t="s">
        <v>46</v>
      </c>
      <c r="AO787" s="10"/>
      <c r="AP787" s="10"/>
      <c r="AQ787" s="10"/>
      <c r="AR787" s="2">
        <v>45930</v>
      </c>
      <c r="AS787" s="10">
        <v>17</v>
      </c>
      <c r="AT787" s="10" t="s">
        <v>96</v>
      </c>
      <c r="AU787" s="10" t="s">
        <v>5102</v>
      </c>
      <c r="AV787" s="36" t="s">
        <v>5524</v>
      </c>
      <c r="AW787" s="1">
        <v>46211</v>
      </c>
    </row>
    <row r="788" spans="1:49" x14ac:dyDescent="0.25">
      <c r="A788" s="9" t="s">
        <v>5145</v>
      </c>
      <c r="B788" s="10" t="s">
        <v>5223</v>
      </c>
      <c r="C788" s="10">
        <v>0</v>
      </c>
      <c r="D788" s="10" t="s">
        <v>91</v>
      </c>
      <c r="E788" s="10"/>
      <c r="F788" s="10"/>
      <c r="G788" s="10"/>
      <c r="H788" s="10" t="s">
        <v>52</v>
      </c>
      <c r="I788" s="10">
        <v>20</v>
      </c>
      <c r="J788" s="10" t="s">
        <v>5299</v>
      </c>
      <c r="K788" s="10" t="s">
        <v>42</v>
      </c>
      <c r="L788" s="10">
        <f>Table1[[#This Row],[ENR]]-Table1[[#This Row],[CREDIT]]</f>
        <v>4058.2699999999968</v>
      </c>
      <c r="M788" s="36">
        <v>50000</v>
      </c>
      <c r="N788" s="26">
        <v>54058.27</v>
      </c>
      <c r="O788" s="38" t="s">
        <v>43</v>
      </c>
      <c r="P788" s="25">
        <v>54058.27</v>
      </c>
      <c r="Q788" s="25">
        <v>49623.12</v>
      </c>
      <c r="R788" s="10">
        <v>13090</v>
      </c>
      <c r="S788" s="39">
        <v>2440</v>
      </c>
      <c r="T788" s="10" t="s">
        <v>44</v>
      </c>
      <c r="U788" s="10" t="s">
        <v>45</v>
      </c>
      <c r="V788" s="10">
        <v>0</v>
      </c>
      <c r="W788" s="25">
        <f>Table1[[#This Row],[STAB]]-Table1[[#This Row],[AMOUNT]]</f>
        <v>2440</v>
      </c>
      <c r="X788" s="10">
        <v>0</v>
      </c>
      <c r="Y788" s="10" t="s">
        <v>79</v>
      </c>
      <c r="Z788" s="10">
        <v>0</v>
      </c>
      <c r="AA788" s="10" t="s">
        <v>113</v>
      </c>
      <c r="AB788" s="36" t="s">
        <v>375</v>
      </c>
      <c r="AC788" s="10"/>
      <c r="AD788" s="9" t="s">
        <v>5374</v>
      </c>
      <c r="AE788" s="10" t="s">
        <v>5450</v>
      </c>
      <c r="AF788" s="10" t="s">
        <v>864</v>
      </c>
      <c r="AG788" s="10" t="s">
        <v>54</v>
      </c>
      <c r="AH788" s="10" t="s">
        <v>1398</v>
      </c>
      <c r="AI788" s="10" t="s">
        <v>162</v>
      </c>
      <c r="AJ788" s="10">
        <v>801772794</v>
      </c>
      <c r="AK788" s="10" t="s">
        <v>361</v>
      </c>
      <c r="AL788" s="10"/>
      <c r="AM788" s="10"/>
      <c r="AN788" s="11" t="s">
        <v>46</v>
      </c>
      <c r="AO788" s="10"/>
      <c r="AP788" s="10"/>
      <c r="AQ788" s="10"/>
      <c r="AR788" s="2">
        <v>46113</v>
      </c>
      <c r="AS788" s="10">
        <v>236</v>
      </c>
      <c r="AT788" s="10" t="s">
        <v>293</v>
      </c>
      <c r="AU788" s="10" t="s">
        <v>5102</v>
      </c>
      <c r="AV788" s="36" t="s">
        <v>5525</v>
      </c>
      <c r="AW788" s="1">
        <v>46211</v>
      </c>
    </row>
    <row r="789" spans="1:49" x14ac:dyDescent="0.25">
      <c r="A789" s="9" t="s">
        <v>5146</v>
      </c>
      <c r="B789" s="10" t="s">
        <v>5224</v>
      </c>
      <c r="C789" s="10">
        <v>0</v>
      </c>
      <c r="D789" s="10" t="s">
        <v>91</v>
      </c>
      <c r="E789" s="10"/>
      <c r="F789" s="10"/>
      <c r="G789" s="10"/>
      <c r="H789" s="10" t="s">
        <v>52</v>
      </c>
      <c r="I789" s="10">
        <v>20</v>
      </c>
      <c r="J789" s="10" t="s">
        <v>5300</v>
      </c>
      <c r="K789" s="10" t="s">
        <v>42</v>
      </c>
      <c r="L789" s="10">
        <f>Table1[[#This Row],[ENR]]-Table1[[#This Row],[CREDIT]]</f>
        <v>10218.119999999995</v>
      </c>
      <c r="M789" s="36">
        <v>90000</v>
      </c>
      <c r="N789" s="26">
        <v>100218.12</v>
      </c>
      <c r="O789" s="38" t="s">
        <v>43</v>
      </c>
      <c r="P789" s="25">
        <v>100218.12</v>
      </c>
      <c r="Q789" s="25">
        <v>90290.19</v>
      </c>
      <c r="R789" s="10">
        <v>45440</v>
      </c>
      <c r="S789" s="39">
        <v>35470</v>
      </c>
      <c r="T789" s="10" t="s">
        <v>44</v>
      </c>
      <c r="U789" s="10" t="s">
        <v>45</v>
      </c>
      <c r="V789" s="10">
        <v>0</v>
      </c>
      <c r="W789" s="25">
        <f>Table1[[#This Row],[STAB]]-Table1[[#This Row],[AMOUNT]]</f>
        <v>35470</v>
      </c>
      <c r="X789" s="10">
        <v>0</v>
      </c>
      <c r="Y789" s="10" t="s">
        <v>79</v>
      </c>
      <c r="Z789" s="10">
        <v>0</v>
      </c>
      <c r="AA789" s="10" t="s">
        <v>113</v>
      </c>
      <c r="AB789" s="36" t="s">
        <v>133</v>
      </c>
      <c r="AC789" s="10"/>
      <c r="AD789" s="9" t="s">
        <v>5375</v>
      </c>
      <c r="AE789" s="10" t="s">
        <v>5451</v>
      </c>
      <c r="AF789" s="10" t="s">
        <v>111</v>
      </c>
      <c r="AG789" s="10" t="s">
        <v>53</v>
      </c>
      <c r="AH789" s="10" t="s">
        <v>92</v>
      </c>
      <c r="AI789" s="10" t="s">
        <v>113</v>
      </c>
      <c r="AJ789" s="10">
        <v>802388289</v>
      </c>
      <c r="AK789" s="10" t="s">
        <v>104</v>
      </c>
      <c r="AL789" s="10"/>
      <c r="AM789" s="10"/>
      <c r="AN789" s="11" t="s">
        <v>390</v>
      </c>
      <c r="AO789" s="10" t="s">
        <v>531</v>
      </c>
      <c r="AP789" s="10" t="s">
        <v>6352</v>
      </c>
      <c r="AQ789" s="10" t="s">
        <v>4976</v>
      </c>
      <c r="AR789" s="2">
        <v>46113</v>
      </c>
      <c r="AS789" s="10">
        <v>3017</v>
      </c>
      <c r="AT789" s="10" t="s">
        <v>293</v>
      </c>
      <c r="AU789" s="10" t="s">
        <v>5102</v>
      </c>
      <c r="AV789" s="36" t="s">
        <v>5526</v>
      </c>
      <c r="AW789" s="1">
        <v>46211</v>
      </c>
    </row>
    <row r="790" spans="1:49" x14ac:dyDescent="0.25">
      <c r="A790" s="9" t="s">
        <v>5147</v>
      </c>
      <c r="B790" s="10" t="s">
        <v>5225</v>
      </c>
      <c r="C790" s="10">
        <v>0</v>
      </c>
      <c r="D790" s="10" t="s">
        <v>91</v>
      </c>
      <c r="E790" s="10"/>
      <c r="F790" s="10"/>
      <c r="G790" s="10"/>
      <c r="H790" s="10" t="s">
        <v>52</v>
      </c>
      <c r="I790" s="10">
        <v>20</v>
      </c>
      <c r="J790" s="10" t="s">
        <v>5301</v>
      </c>
      <c r="K790" s="10" t="s">
        <v>42</v>
      </c>
      <c r="L790" s="10">
        <f>Table1[[#This Row],[ENR]]-Table1[[#This Row],[CREDIT]]</f>
        <v>2801.6699999999983</v>
      </c>
      <c r="M790" s="36">
        <v>50000</v>
      </c>
      <c r="N790" s="26">
        <v>52801.67</v>
      </c>
      <c r="O790" s="38" t="s">
        <v>43</v>
      </c>
      <c r="P790" s="25">
        <v>52801.67</v>
      </c>
      <c r="Q790" s="25">
        <v>47900</v>
      </c>
      <c r="R790" s="10">
        <v>12250</v>
      </c>
      <c r="S790" s="39">
        <v>2520</v>
      </c>
      <c r="T790" s="10" t="s">
        <v>44</v>
      </c>
      <c r="U790" s="10" t="s">
        <v>45</v>
      </c>
      <c r="V790" s="10">
        <v>0</v>
      </c>
      <c r="W790" s="25">
        <f>Table1[[#This Row],[STAB]]-Table1[[#This Row],[AMOUNT]]</f>
        <v>2520</v>
      </c>
      <c r="X790" s="10">
        <v>0</v>
      </c>
      <c r="Y790" s="10" t="s">
        <v>79</v>
      </c>
      <c r="Z790" s="10">
        <v>0</v>
      </c>
      <c r="AA790" s="10" t="s">
        <v>113</v>
      </c>
      <c r="AB790" s="36" t="s">
        <v>131</v>
      </c>
      <c r="AC790" s="10"/>
      <c r="AD790" s="9" t="s">
        <v>5376</v>
      </c>
      <c r="AE790" s="10" t="s">
        <v>5452</v>
      </c>
      <c r="AF790" s="10" t="s">
        <v>864</v>
      </c>
      <c r="AG790" s="10" t="s">
        <v>54</v>
      </c>
      <c r="AH790" s="10" t="s">
        <v>1398</v>
      </c>
      <c r="AI790" s="10" t="s">
        <v>162</v>
      </c>
      <c r="AJ790" s="10">
        <v>801772794</v>
      </c>
      <c r="AK790" s="10" t="s">
        <v>361</v>
      </c>
      <c r="AL790" s="10"/>
      <c r="AM790" s="10"/>
      <c r="AN790" s="11" t="s">
        <v>46</v>
      </c>
      <c r="AO790" s="10"/>
      <c r="AP790" s="10"/>
      <c r="AQ790" s="10"/>
      <c r="AR790" s="2">
        <v>45540</v>
      </c>
      <c r="AS790" s="10">
        <v>19917.939999999999</v>
      </c>
      <c r="AT790" s="10" t="s">
        <v>48</v>
      </c>
      <c r="AU790" s="10" t="s">
        <v>5102</v>
      </c>
      <c r="AV790" s="36" t="s">
        <v>5527</v>
      </c>
      <c r="AW790" s="1">
        <v>46211</v>
      </c>
    </row>
    <row r="791" spans="1:49" x14ac:dyDescent="0.25">
      <c r="A791" s="9" t="s">
        <v>5148</v>
      </c>
      <c r="B791" s="10" t="s">
        <v>5226</v>
      </c>
      <c r="C791" s="10">
        <v>0</v>
      </c>
      <c r="D791" s="10" t="s">
        <v>91</v>
      </c>
      <c r="E791" s="10"/>
      <c r="F791" s="10"/>
      <c r="G791" s="10"/>
      <c r="H791" s="10" t="s">
        <v>52</v>
      </c>
      <c r="I791" s="10">
        <v>20</v>
      </c>
      <c r="J791" s="10" t="s">
        <v>5302</v>
      </c>
      <c r="K791" s="10" t="s">
        <v>42</v>
      </c>
      <c r="L791" s="10">
        <f>Table1[[#This Row],[ENR]]-Table1[[#This Row],[CREDIT]]</f>
        <v>5161.0800000000017</v>
      </c>
      <c r="M791" s="36">
        <v>60000</v>
      </c>
      <c r="N791" s="26">
        <v>65161.08</v>
      </c>
      <c r="O791" s="38">
        <v>18158.41</v>
      </c>
      <c r="P791" s="25">
        <v>47002.67</v>
      </c>
      <c r="Q791" s="25">
        <v>38734.6</v>
      </c>
      <c r="R791" s="10">
        <v>14130</v>
      </c>
      <c r="S791" s="39">
        <v>6800</v>
      </c>
      <c r="T791" s="10" t="s">
        <v>44</v>
      </c>
      <c r="U791" s="10" t="s">
        <v>45</v>
      </c>
      <c r="V791" s="10">
        <v>0</v>
      </c>
      <c r="W791" s="25">
        <f>Table1[[#This Row],[STAB]]-Table1[[#This Row],[AMOUNT]]</f>
        <v>6800</v>
      </c>
      <c r="X791" s="10">
        <v>0</v>
      </c>
      <c r="Y791" s="10" t="s">
        <v>79</v>
      </c>
      <c r="Z791" s="10">
        <v>0</v>
      </c>
      <c r="AA791" s="10" t="s">
        <v>113</v>
      </c>
      <c r="AB791" s="36" t="s">
        <v>375</v>
      </c>
      <c r="AC791" s="10"/>
      <c r="AD791" s="9" t="s">
        <v>5377</v>
      </c>
      <c r="AE791" s="10" t="s">
        <v>5453</v>
      </c>
      <c r="AF791" s="10" t="s">
        <v>686</v>
      </c>
      <c r="AG791" s="10" t="s">
        <v>324</v>
      </c>
      <c r="AH791" s="10" t="s">
        <v>722</v>
      </c>
      <c r="AI791" s="10" t="s">
        <v>370</v>
      </c>
      <c r="AJ791" s="10">
        <v>801448854</v>
      </c>
      <c r="AK791" s="10" t="s">
        <v>105</v>
      </c>
      <c r="AL791" s="10"/>
      <c r="AM791" s="10"/>
      <c r="AN791" s="11" t="s">
        <v>390</v>
      </c>
      <c r="AO791" s="10" t="s">
        <v>392</v>
      </c>
      <c r="AP791" s="10" t="s">
        <v>6239</v>
      </c>
      <c r="AQ791" s="10" t="s">
        <v>4937</v>
      </c>
      <c r="AR791" s="2">
        <v>45726</v>
      </c>
      <c r="AS791" s="10">
        <v>10.51</v>
      </c>
      <c r="AT791" s="10" t="s">
        <v>48</v>
      </c>
      <c r="AU791" s="10" t="s">
        <v>5102</v>
      </c>
      <c r="AV791" s="36" t="s">
        <v>5528</v>
      </c>
      <c r="AW791" s="1">
        <v>46211</v>
      </c>
    </row>
    <row r="792" spans="1:49" x14ac:dyDescent="0.25">
      <c r="A792" s="9" t="s">
        <v>5149</v>
      </c>
      <c r="B792" s="10" t="s">
        <v>5227</v>
      </c>
      <c r="C792" s="10">
        <v>0</v>
      </c>
      <c r="D792" s="10" t="s">
        <v>91</v>
      </c>
      <c r="E792" s="10"/>
      <c r="F792" s="10"/>
      <c r="G792" s="10"/>
      <c r="H792" s="10" t="s">
        <v>52</v>
      </c>
      <c r="I792" s="10">
        <v>20</v>
      </c>
      <c r="J792" s="10" t="s">
        <v>5303</v>
      </c>
      <c r="K792" s="10" t="s">
        <v>42</v>
      </c>
      <c r="L792" s="10">
        <f>Table1[[#This Row],[ENR]]-Table1[[#This Row],[CREDIT]]</f>
        <v>7689.929999999993</v>
      </c>
      <c r="M792" s="36">
        <v>60000</v>
      </c>
      <c r="N792" s="26">
        <v>67689.929999999993</v>
      </c>
      <c r="O792" s="38" t="s">
        <v>43</v>
      </c>
      <c r="P792" s="25">
        <v>67689.929999999993</v>
      </c>
      <c r="Q792" s="25">
        <v>59302.09</v>
      </c>
      <c r="R792" s="10">
        <v>21330</v>
      </c>
      <c r="S792" s="39">
        <v>10150</v>
      </c>
      <c r="T792" s="10" t="s">
        <v>57</v>
      </c>
      <c r="U792" s="10" t="s">
        <v>13</v>
      </c>
      <c r="V792" s="10">
        <v>21330</v>
      </c>
      <c r="W792" s="25">
        <f>Table1[[#This Row],[STAB]]-Table1[[#This Row],[AMOUNT]]</f>
        <v>-11180</v>
      </c>
      <c r="X792" s="10" t="s">
        <v>6364</v>
      </c>
      <c r="Y792" s="10" t="s">
        <v>402</v>
      </c>
      <c r="Z792" s="10" t="s">
        <v>403</v>
      </c>
      <c r="AA792" s="10" t="s">
        <v>113</v>
      </c>
      <c r="AB792" s="36" t="s">
        <v>133</v>
      </c>
      <c r="AC792" s="10"/>
      <c r="AD792" s="9" t="s">
        <v>5378</v>
      </c>
      <c r="AE792" s="10" t="s">
        <v>5454</v>
      </c>
      <c r="AF792" s="10" t="s">
        <v>85</v>
      </c>
      <c r="AG792" s="10" t="s">
        <v>54</v>
      </c>
      <c r="AH792" s="10" t="s">
        <v>89</v>
      </c>
      <c r="AI792" s="10" t="s">
        <v>106</v>
      </c>
      <c r="AJ792" s="10">
        <v>802370852</v>
      </c>
      <c r="AK792" s="10" t="s">
        <v>105</v>
      </c>
      <c r="AL792" s="10"/>
      <c r="AM792" s="10"/>
      <c r="AN792" s="11" t="s">
        <v>390</v>
      </c>
      <c r="AO792" s="10" t="s">
        <v>392</v>
      </c>
      <c r="AP792" s="10" t="s">
        <v>6366</v>
      </c>
      <c r="AQ792" s="10" t="s">
        <v>6364</v>
      </c>
      <c r="AR792" s="2">
        <v>46142</v>
      </c>
      <c r="AS792" s="10">
        <v>3880</v>
      </c>
      <c r="AT792" s="10" t="s">
        <v>48</v>
      </c>
      <c r="AU792" s="10" t="s">
        <v>5102</v>
      </c>
      <c r="AV792" s="36" t="s">
        <v>5529</v>
      </c>
      <c r="AW792" s="1">
        <v>46211</v>
      </c>
    </row>
    <row r="793" spans="1:49" x14ac:dyDescent="0.25">
      <c r="A793" s="9" t="s">
        <v>5150</v>
      </c>
      <c r="B793" s="10" t="s">
        <v>5228</v>
      </c>
      <c r="C793" s="10">
        <v>0</v>
      </c>
      <c r="D793" s="10" t="s">
        <v>91</v>
      </c>
      <c r="E793" s="10"/>
      <c r="F793" s="10"/>
      <c r="G793" s="10"/>
      <c r="H793" s="10" t="s">
        <v>52</v>
      </c>
      <c r="I793" s="10">
        <v>20</v>
      </c>
      <c r="J793" s="10" t="s">
        <v>5304</v>
      </c>
      <c r="K793" s="10" t="s">
        <v>42</v>
      </c>
      <c r="L793" s="10">
        <f>Table1[[#This Row],[ENR]]-Table1[[#This Row],[CREDIT]]</f>
        <v>3352.3399999999965</v>
      </c>
      <c r="M793" s="36">
        <v>60000</v>
      </c>
      <c r="N793" s="26">
        <v>63352.34</v>
      </c>
      <c r="O793" s="38" t="s">
        <v>43</v>
      </c>
      <c r="P793" s="25">
        <v>63352.34</v>
      </c>
      <c r="Q793" s="25">
        <v>55166.13</v>
      </c>
      <c r="R793" s="10">
        <v>14820</v>
      </c>
      <c r="S793" s="39">
        <v>4790</v>
      </c>
      <c r="T793" s="10" t="s">
        <v>44</v>
      </c>
      <c r="U793" s="10" t="s">
        <v>45</v>
      </c>
      <c r="V793" s="10">
        <v>0</v>
      </c>
      <c r="W793" s="25">
        <f>Table1[[#This Row],[STAB]]-Table1[[#This Row],[AMOUNT]]</f>
        <v>4790</v>
      </c>
      <c r="X793" s="10">
        <v>0</v>
      </c>
      <c r="Y793" s="10" t="s">
        <v>79</v>
      </c>
      <c r="Z793" s="10">
        <v>0</v>
      </c>
      <c r="AA793" s="10" t="s">
        <v>113</v>
      </c>
      <c r="AB793" s="36" t="s">
        <v>132</v>
      </c>
      <c r="AC793" s="10"/>
      <c r="AD793" s="9" t="s">
        <v>5379</v>
      </c>
      <c r="AE793" s="10" t="s">
        <v>5455</v>
      </c>
      <c r="AF793" s="10" t="s">
        <v>686</v>
      </c>
      <c r="AG793" s="10" t="s">
        <v>324</v>
      </c>
      <c r="AH793" s="10" t="s">
        <v>722</v>
      </c>
      <c r="AI793" s="10" t="s">
        <v>370</v>
      </c>
      <c r="AJ793" s="10">
        <v>801448854</v>
      </c>
      <c r="AK793" s="10" t="s">
        <v>105</v>
      </c>
      <c r="AL793" s="10"/>
      <c r="AM793" s="10"/>
      <c r="AN793" s="11" t="s">
        <v>390</v>
      </c>
      <c r="AO793" s="10" t="s">
        <v>394</v>
      </c>
      <c r="AP793" s="10" t="s">
        <v>6353</v>
      </c>
      <c r="AQ793" s="10" t="s">
        <v>4976</v>
      </c>
      <c r="AR793" s="2" t="s">
        <v>43</v>
      </c>
      <c r="AS793" s="10">
        <v>0</v>
      </c>
      <c r="AT793" s="10" t="s">
        <v>293</v>
      </c>
      <c r="AU793" s="10" t="s">
        <v>5102</v>
      </c>
      <c r="AV793" s="36" t="s">
        <v>5530</v>
      </c>
      <c r="AW793" s="1">
        <v>46211</v>
      </c>
    </row>
    <row r="794" spans="1:49" x14ac:dyDescent="0.25">
      <c r="A794" s="9" t="s">
        <v>5151</v>
      </c>
      <c r="B794" s="10" t="s">
        <v>5229</v>
      </c>
      <c r="C794" s="10">
        <v>0</v>
      </c>
      <c r="D794" s="10" t="s">
        <v>91</v>
      </c>
      <c r="E794" s="10"/>
      <c r="F794" s="10"/>
      <c r="G794" s="10"/>
      <c r="H794" s="10" t="s">
        <v>52</v>
      </c>
      <c r="I794" s="10">
        <v>20</v>
      </c>
      <c r="J794" s="10" t="s">
        <v>5305</v>
      </c>
      <c r="K794" s="10" t="s">
        <v>42</v>
      </c>
      <c r="L794" s="10">
        <f>Table1[[#This Row],[ENR]]-Table1[[#This Row],[CREDIT]]</f>
        <v>2902.0899999999965</v>
      </c>
      <c r="M794" s="36">
        <v>60000</v>
      </c>
      <c r="N794" s="26">
        <v>62902.09</v>
      </c>
      <c r="O794" s="38">
        <v>45858.51</v>
      </c>
      <c r="P794" s="25">
        <v>17043.580000000002</v>
      </c>
      <c r="Q794" s="25">
        <v>12211.73</v>
      </c>
      <c r="R794" s="10">
        <v>9980</v>
      </c>
      <c r="S794" s="39">
        <v>4850</v>
      </c>
      <c r="T794" s="10" t="s">
        <v>57</v>
      </c>
      <c r="U794" s="10" t="s">
        <v>14</v>
      </c>
      <c r="V794" s="10">
        <v>0</v>
      </c>
      <c r="W794" s="25">
        <f>Table1[[#This Row],[STAB]]-Table1[[#This Row],[AMOUNT]]</f>
        <v>4850</v>
      </c>
      <c r="X794" s="10">
        <v>0</v>
      </c>
      <c r="Y794" s="10" t="s">
        <v>388</v>
      </c>
      <c r="Z794" s="10" t="s">
        <v>963</v>
      </c>
      <c r="AA794" s="10" t="s">
        <v>113</v>
      </c>
      <c r="AB794" s="36" t="s">
        <v>131</v>
      </c>
      <c r="AC794" s="10"/>
      <c r="AD794" s="9" t="s">
        <v>5380</v>
      </c>
      <c r="AE794" s="10" t="s">
        <v>5456</v>
      </c>
      <c r="AF794" s="10" t="s">
        <v>276</v>
      </c>
      <c r="AG794" s="10" t="s">
        <v>324</v>
      </c>
      <c r="AH794" s="10" t="s">
        <v>354</v>
      </c>
      <c r="AI794" s="10" t="s">
        <v>367</v>
      </c>
      <c r="AJ794" s="10">
        <v>801436997</v>
      </c>
      <c r="AK794" s="10" t="s">
        <v>104</v>
      </c>
      <c r="AL794" s="10"/>
      <c r="AM794" s="10"/>
      <c r="AN794" s="11" t="s">
        <v>390</v>
      </c>
      <c r="AO794" s="10" t="s">
        <v>392</v>
      </c>
      <c r="AP794" s="10" t="s">
        <v>6381</v>
      </c>
      <c r="AQ794" s="10" t="s">
        <v>6364</v>
      </c>
      <c r="AR794" s="2" t="s">
        <v>43</v>
      </c>
      <c r="AS794" s="10">
        <v>0</v>
      </c>
      <c r="AT794" s="10" t="s">
        <v>293</v>
      </c>
      <c r="AU794" s="10" t="s">
        <v>5102</v>
      </c>
      <c r="AV794" s="36" t="s">
        <v>5531</v>
      </c>
      <c r="AW794" s="1">
        <v>46211</v>
      </c>
    </row>
    <row r="795" spans="1:49" x14ac:dyDescent="0.25">
      <c r="A795" s="9" t="s">
        <v>5152</v>
      </c>
      <c r="B795" s="10" t="s">
        <v>5230</v>
      </c>
      <c r="C795" s="10">
        <v>0</v>
      </c>
      <c r="D795" s="10" t="s">
        <v>91</v>
      </c>
      <c r="E795" s="10"/>
      <c r="F795" s="10"/>
      <c r="G795" s="10"/>
      <c r="H795" s="10" t="s">
        <v>52</v>
      </c>
      <c r="I795" s="10">
        <v>20</v>
      </c>
      <c r="J795" s="10" t="s">
        <v>5306</v>
      </c>
      <c r="K795" s="10" t="s">
        <v>42</v>
      </c>
      <c r="L795" s="10">
        <f>Table1[[#This Row],[ENR]]-Table1[[#This Row],[CREDIT]]</f>
        <v>2102.7099999999991</v>
      </c>
      <c r="M795" s="36">
        <v>50000</v>
      </c>
      <c r="N795" s="26">
        <v>52102.71</v>
      </c>
      <c r="O795" s="38">
        <v>36324.82</v>
      </c>
      <c r="P795" s="25">
        <v>15777.89</v>
      </c>
      <c r="Q795" s="25">
        <v>12744.87</v>
      </c>
      <c r="R795" s="10">
        <v>10980</v>
      </c>
      <c r="S795" s="39">
        <v>4720</v>
      </c>
      <c r="T795" s="10" t="s">
        <v>44</v>
      </c>
      <c r="U795" s="10" t="s">
        <v>45</v>
      </c>
      <c r="V795" s="10">
        <v>0</v>
      </c>
      <c r="W795" s="25">
        <f>Table1[[#This Row],[STAB]]-Table1[[#This Row],[AMOUNT]]</f>
        <v>4720</v>
      </c>
      <c r="X795" s="10">
        <v>0</v>
      </c>
      <c r="Y795" s="10" t="s">
        <v>79</v>
      </c>
      <c r="Z795" s="10">
        <v>0</v>
      </c>
      <c r="AA795" s="10" t="s">
        <v>113</v>
      </c>
      <c r="AB795" s="36" t="s">
        <v>376</v>
      </c>
      <c r="AC795" s="10"/>
      <c r="AD795" s="9" t="s">
        <v>5381</v>
      </c>
      <c r="AE795" s="10" t="s">
        <v>826</v>
      </c>
      <c r="AF795" s="10" t="s">
        <v>285</v>
      </c>
      <c r="AG795" s="10" t="s">
        <v>54</v>
      </c>
      <c r="AH795" s="10" t="s">
        <v>98</v>
      </c>
      <c r="AI795" s="10" t="s">
        <v>727</v>
      </c>
      <c r="AJ795" s="10">
        <v>802898520</v>
      </c>
      <c r="AK795" s="10" t="s">
        <v>104</v>
      </c>
      <c r="AL795" s="10"/>
      <c r="AM795" s="10"/>
      <c r="AN795" s="11" t="s">
        <v>46</v>
      </c>
      <c r="AO795" s="10"/>
      <c r="AP795" s="10"/>
      <c r="AQ795" s="10"/>
      <c r="AR795" s="2" t="s">
        <v>43</v>
      </c>
      <c r="AS795" s="10">
        <v>0</v>
      </c>
      <c r="AT795" s="10" t="s">
        <v>48</v>
      </c>
      <c r="AU795" s="10" t="s">
        <v>5102</v>
      </c>
      <c r="AV795" s="36" t="s">
        <v>5532</v>
      </c>
      <c r="AW795" s="1">
        <v>46211</v>
      </c>
    </row>
    <row r="796" spans="1:49" x14ac:dyDescent="0.25">
      <c r="A796" s="9" t="s">
        <v>5153</v>
      </c>
      <c r="B796" s="10" t="s">
        <v>5231</v>
      </c>
      <c r="C796" s="10">
        <v>0</v>
      </c>
      <c r="D796" s="10" t="s">
        <v>91</v>
      </c>
      <c r="E796" s="10"/>
      <c r="F796" s="10"/>
      <c r="G796" s="10"/>
      <c r="H796" s="10" t="s">
        <v>52</v>
      </c>
      <c r="I796" s="10">
        <v>20</v>
      </c>
      <c r="J796" s="10" t="s">
        <v>5307</v>
      </c>
      <c r="K796" s="10" t="s">
        <v>42</v>
      </c>
      <c r="L796" s="10">
        <f>Table1[[#This Row],[ENR]]-Table1[[#This Row],[CREDIT]]</f>
        <v>16511.690000000002</v>
      </c>
      <c r="M796" s="36">
        <v>170000</v>
      </c>
      <c r="N796" s="26">
        <v>186511.69</v>
      </c>
      <c r="O796" s="38" t="s">
        <v>43</v>
      </c>
      <c r="P796" s="25">
        <v>186511.69</v>
      </c>
      <c r="Q796" s="25">
        <v>167809.3</v>
      </c>
      <c r="R796" s="10">
        <v>43460</v>
      </c>
      <c r="S796" s="39">
        <v>9970</v>
      </c>
      <c r="T796" s="10" t="s">
        <v>44</v>
      </c>
      <c r="U796" s="10" t="s">
        <v>45</v>
      </c>
      <c r="V796" s="10">
        <v>0</v>
      </c>
      <c r="W796" s="25">
        <f>Table1[[#This Row],[STAB]]-Table1[[#This Row],[AMOUNT]]</f>
        <v>9970</v>
      </c>
      <c r="X796" s="10">
        <v>0</v>
      </c>
      <c r="Y796" s="10" t="s">
        <v>79</v>
      </c>
      <c r="Z796" s="10">
        <v>0</v>
      </c>
      <c r="AA796" s="10" t="s">
        <v>113</v>
      </c>
      <c r="AB796" s="36" t="s">
        <v>133</v>
      </c>
      <c r="AC796" s="10"/>
      <c r="AD796" s="9" t="s">
        <v>5382</v>
      </c>
      <c r="AE796" s="10" t="s">
        <v>5457</v>
      </c>
      <c r="AF796" s="10" t="s">
        <v>276</v>
      </c>
      <c r="AG796" s="10" t="s">
        <v>324</v>
      </c>
      <c r="AH796" s="10" t="s">
        <v>354</v>
      </c>
      <c r="AI796" s="10" t="s">
        <v>367</v>
      </c>
      <c r="AJ796" s="10">
        <v>801436997</v>
      </c>
      <c r="AK796" s="10" t="s">
        <v>104</v>
      </c>
      <c r="AL796" s="10"/>
      <c r="AM796" s="10"/>
      <c r="AN796" s="11" t="s">
        <v>46</v>
      </c>
      <c r="AO796" s="10"/>
      <c r="AP796" s="10"/>
      <c r="AQ796" s="10"/>
      <c r="AR796" s="2">
        <v>45946</v>
      </c>
      <c r="AS796" s="10">
        <v>6000</v>
      </c>
      <c r="AT796" s="10" t="s">
        <v>47</v>
      </c>
      <c r="AU796" s="10" t="s">
        <v>5102</v>
      </c>
      <c r="AV796" s="36" t="s">
        <v>5533</v>
      </c>
      <c r="AW796" s="1">
        <v>46211</v>
      </c>
    </row>
    <row r="797" spans="1:49" x14ac:dyDescent="0.25">
      <c r="A797" s="9" t="s">
        <v>5154</v>
      </c>
      <c r="B797" s="10" t="s">
        <v>5232</v>
      </c>
      <c r="C797" s="10">
        <v>0</v>
      </c>
      <c r="D797" s="10" t="s">
        <v>91</v>
      </c>
      <c r="E797" s="10"/>
      <c r="F797" s="10"/>
      <c r="G797" s="10"/>
      <c r="H797" s="10" t="s">
        <v>52</v>
      </c>
      <c r="I797" s="10">
        <v>20</v>
      </c>
      <c r="J797" s="10" t="s">
        <v>5308</v>
      </c>
      <c r="K797" s="10" t="s">
        <v>42</v>
      </c>
      <c r="L797" s="10">
        <f>Table1[[#This Row],[ENR]]-Table1[[#This Row],[CREDIT]]</f>
        <v>-35551.31</v>
      </c>
      <c r="M797" s="36">
        <v>220000</v>
      </c>
      <c r="N797" s="26">
        <v>184448.69</v>
      </c>
      <c r="O797" s="38">
        <v>3770.65</v>
      </c>
      <c r="P797" s="25">
        <v>180678.04</v>
      </c>
      <c r="Q797" s="25">
        <v>162499.09</v>
      </c>
      <c r="R797" s="10">
        <v>42190</v>
      </c>
      <c r="S797" s="39">
        <v>18050</v>
      </c>
      <c r="T797" s="10" t="s">
        <v>57</v>
      </c>
      <c r="U797" s="10" t="s">
        <v>14</v>
      </c>
      <c r="V797" s="10">
        <v>28000</v>
      </c>
      <c r="W797" s="25">
        <f>Table1[[#This Row],[STAB]]-Table1[[#This Row],[AMOUNT]]</f>
        <v>-9950</v>
      </c>
      <c r="X797" s="10" t="s">
        <v>6399</v>
      </c>
      <c r="Y797" s="10" t="s">
        <v>396</v>
      </c>
      <c r="Z797" s="10">
        <v>0</v>
      </c>
      <c r="AA797" s="10" t="s">
        <v>113</v>
      </c>
      <c r="AB797" s="36" t="s">
        <v>376</v>
      </c>
      <c r="AC797" s="10"/>
      <c r="AD797" s="9" t="s">
        <v>5383</v>
      </c>
      <c r="AE797" s="10" t="s">
        <v>5458</v>
      </c>
      <c r="AF797" s="10" t="s">
        <v>281</v>
      </c>
      <c r="AG797" s="10" t="s">
        <v>54</v>
      </c>
      <c r="AH797" s="10" t="s">
        <v>58</v>
      </c>
      <c r="AI797" s="10" t="s">
        <v>133</v>
      </c>
      <c r="AJ797" s="10">
        <v>802555024</v>
      </c>
      <c r="AK797" s="10" t="s">
        <v>362</v>
      </c>
      <c r="AL797" s="10"/>
      <c r="AM797" s="10"/>
      <c r="AN797" s="11" t="s">
        <v>390</v>
      </c>
      <c r="AO797" s="10" t="s">
        <v>398</v>
      </c>
      <c r="AP797" s="10" t="s">
        <v>6376</v>
      </c>
      <c r="AQ797" s="10" t="s">
        <v>6364</v>
      </c>
      <c r="AR797" s="2">
        <v>45395</v>
      </c>
      <c r="AS797" s="10">
        <v>10640</v>
      </c>
      <c r="AT797" s="10" t="s">
        <v>47</v>
      </c>
      <c r="AU797" s="10" t="s">
        <v>5102</v>
      </c>
      <c r="AV797" s="36" t="s">
        <v>5534</v>
      </c>
      <c r="AW797" s="1">
        <v>46211</v>
      </c>
    </row>
    <row r="798" spans="1:49" x14ac:dyDescent="0.25">
      <c r="A798" s="9" t="s">
        <v>5155</v>
      </c>
      <c r="B798" s="10" t="s">
        <v>5233</v>
      </c>
      <c r="C798" s="10">
        <v>0</v>
      </c>
      <c r="D798" s="10" t="s">
        <v>91</v>
      </c>
      <c r="E798" s="10"/>
      <c r="F798" s="10"/>
      <c r="G798" s="10"/>
      <c r="H798" s="10" t="s">
        <v>52</v>
      </c>
      <c r="I798" s="10">
        <v>20</v>
      </c>
      <c r="J798" s="10" t="s">
        <v>5309</v>
      </c>
      <c r="K798" s="10" t="s">
        <v>42</v>
      </c>
      <c r="L798" s="10">
        <f>Table1[[#This Row],[ENR]]-Table1[[#This Row],[CREDIT]]</f>
        <v>-3666.6499999999942</v>
      </c>
      <c r="M798" s="36">
        <v>100000</v>
      </c>
      <c r="N798" s="26">
        <v>96333.35</v>
      </c>
      <c r="O798" s="38">
        <v>73004.240000000005</v>
      </c>
      <c r="P798" s="25">
        <v>23329.11</v>
      </c>
      <c r="Q798" s="25">
        <v>18259.47</v>
      </c>
      <c r="R798" s="10">
        <v>12400</v>
      </c>
      <c r="S798" s="39">
        <v>5040</v>
      </c>
      <c r="T798" s="10" t="s">
        <v>44</v>
      </c>
      <c r="U798" s="10" t="s">
        <v>45</v>
      </c>
      <c r="V798" s="10">
        <v>0</v>
      </c>
      <c r="W798" s="25">
        <f>Table1[[#This Row],[STAB]]-Table1[[#This Row],[AMOUNT]]</f>
        <v>5040</v>
      </c>
      <c r="X798" s="10">
        <v>0</v>
      </c>
      <c r="Y798" s="10" t="s">
        <v>79</v>
      </c>
      <c r="Z798" s="10">
        <v>0</v>
      </c>
      <c r="AA798" s="10" t="s">
        <v>113</v>
      </c>
      <c r="AB798" s="36" t="s">
        <v>374</v>
      </c>
      <c r="AC798" s="10"/>
      <c r="AD798" s="9" t="s">
        <v>5384</v>
      </c>
      <c r="AE798" s="10" t="s">
        <v>5459</v>
      </c>
      <c r="AF798" s="10" t="s">
        <v>281</v>
      </c>
      <c r="AG798" s="10" t="s">
        <v>54</v>
      </c>
      <c r="AH798" s="10" t="s">
        <v>724</v>
      </c>
      <c r="AI798" s="10" t="s">
        <v>365</v>
      </c>
      <c r="AJ798" s="10">
        <v>802824019</v>
      </c>
      <c r="AK798" s="10" t="s">
        <v>360</v>
      </c>
      <c r="AL798" s="10"/>
      <c r="AM798" s="10"/>
      <c r="AN798" s="11" t="s">
        <v>390</v>
      </c>
      <c r="AO798" s="10" t="s">
        <v>394</v>
      </c>
      <c r="AP798" s="10" t="s">
        <v>6373</v>
      </c>
      <c r="AQ798" s="10" t="s">
        <v>6364</v>
      </c>
      <c r="AR798" s="2">
        <v>45504</v>
      </c>
      <c r="AS798" s="10">
        <v>2623</v>
      </c>
      <c r="AT798" s="10" t="s">
        <v>47</v>
      </c>
      <c r="AU798" s="10" t="s">
        <v>5102</v>
      </c>
      <c r="AV798" s="36" t="s">
        <v>5535</v>
      </c>
      <c r="AW798" s="1">
        <v>46211</v>
      </c>
    </row>
    <row r="799" spans="1:49" x14ac:dyDescent="0.25">
      <c r="A799" s="9" t="s">
        <v>5156</v>
      </c>
      <c r="B799" s="10" t="s">
        <v>5234</v>
      </c>
      <c r="C799" s="10">
        <v>0</v>
      </c>
      <c r="D799" s="10" t="s">
        <v>91</v>
      </c>
      <c r="E799" s="10"/>
      <c r="F799" s="10"/>
      <c r="G799" s="10"/>
      <c r="H799" s="10" t="s">
        <v>52</v>
      </c>
      <c r="I799" s="10">
        <v>20</v>
      </c>
      <c r="J799" s="10" t="s">
        <v>5310</v>
      </c>
      <c r="K799" s="10" t="s">
        <v>42</v>
      </c>
      <c r="L799" s="10">
        <f>Table1[[#This Row],[ENR]]-Table1[[#This Row],[CREDIT]]</f>
        <v>5784.1699999999983</v>
      </c>
      <c r="M799" s="36">
        <v>50000</v>
      </c>
      <c r="N799" s="26">
        <v>55784.17</v>
      </c>
      <c r="O799" s="38">
        <v>13503.99</v>
      </c>
      <c r="P799" s="25">
        <v>42280.18</v>
      </c>
      <c r="Q799" s="25">
        <v>36186.22</v>
      </c>
      <c r="R799" s="10">
        <v>12990</v>
      </c>
      <c r="S799" s="39">
        <v>6610</v>
      </c>
      <c r="T799" s="10" t="s">
        <v>57</v>
      </c>
      <c r="U799" s="10" t="s">
        <v>14</v>
      </c>
      <c r="V799" s="10">
        <v>6610</v>
      </c>
      <c r="W799" s="25">
        <f>Table1[[#This Row],[STAB]]-Table1[[#This Row],[AMOUNT]]</f>
        <v>0</v>
      </c>
      <c r="X799" s="10" t="s">
        <v>6364</v>
      </c>
      <c r="Y799" s="10" t="s">
        <v>402</v>
      </c>
      <c r="Z799" s="10" t="s">
        <v>403</v>
      </c>
      <c r="AA799" s="10" t="s">
        <v>113</v>
      </c>
      <c r="AB799" s="36" t="s">
        <v>376</v>
      </c>
      <c r="AC799" s="10"/>
      <c r="AD799" s="9" t="s">
        <v>5385</v>
      </c>
      <c r="AE799" s="10" t="s">
        <v>5460</v>
      </c>
      <c r="AF799" s="10" t="s">
        <v>286</v>
      </c>
      <c r="AG799" s="10" t="s">
        <v>54</v>
      </c>
      <c r="AH799" s="10" t="s">
        <v>358</v>
      </c>
      <c r="AI799" s="10" t="s">
        <v>133</v>
      </c>
      <c r="AJ799" s="10">
        <v>802555024</v>
      </c>
      <c r="AK799" s="10" t="s">
        <v>362</v>
      </c>
      <c r="AL799" s="10"/>
      <c r="AM799" s="10"/>
      <c r="AN799" s="11" t="s">
        <v>390</v>
      </c>
      <c r="AO799" s="10"/>
      <c r="AP799" s="10"/>
      <c r="AQ799" s="10"/>
      <c r="AR799" s="2">
        <v>45468</v>
      </c>
      <c r="AS799" s="10">
        <v>2597.11</v>
      </c>
      <c r="AT799" s="10" t="s">
        <v>47</v>
      </c>
      <c r="AU799" s="10" t="s">
        <v>5102</v>
      </c>
      <c r="AV799" s="36" t="s">
        <v>5536</v>
      </c>
      <c r="AW799" s="1">
        <v>46211</v>
      </c>
    </row>
    <row r="800" spans="1:49" x14ac:dyDescent="0.25">
      <c r="A800" s="9" t="s">
        <v>5157</v>
      </c>
      <c r="B800" s="10" t="s">
        <v>5235</v>
      </c>
      <c r="C800" s="10">
        <v>0</v>
      </c>
      <c r="D800" s="10" t="s">
        <v>91</v>
      </c>
      <c r="E800" s="10"/>
      <c r="F800" s="10"/>
      <c r="G800" s="10"/>
      <c r="H800" s="10" t="s">
        <v>52</v>
      </c>
      <c r="I800" s="10">
        <v>20</v>
      </c>
      <c r="J800" s="10" t="s">
        <v>5311</v>
      </c>
      <c r="K800" s="10" t="s">
        <v>42</v>
      </c>
      <c r="L800" s="10">
        <f>Table1[[#This Row],[ENR]]-Table1[[#This Row],[CREDIT]]</f>
        <v>-47213.64</v>
      </c>
      <c r="M800" s="36">
        <v>100000</v>
      </c>
      <c r="N800" s="26">
        <v>52786.36</v>
      </c>
      <c r="O800" s="38">
        <v>25751.57</v>
      </c>
      <c r="P800" s="25">
        <v>27034.79</v>
      </c>
      <c r="Q800" s="25">
        <v>24476.84</v>
      </c>
      <c r="R800" s="10">
        <v>9700</v>
      </c>
      <c r="S800" s="39">
        <v>2970</v>
      </c>
      <c r="T800" s="10" t="s">
        <v>44</v>
      </c>
      <c r="U800" s="10" t="s">
        <v>45</v>
      </c>
      <c r="V800" s="10">
        <v>0</v>
      </c>
      <c r="W800" s="25">
        <f>Table1[[#This Row],[STAB]]-Table1[[#This Row],[AMOUNT]]</f>
        <v>2970</v>
      </c>
      <c r="X800" s="10">
        <v>0</v>
      </c>
      <c r="Y800" s="10" t="s">
        <v>79</v>
      </c>
      <c r="Z800" s="10">
        <v>0</v>
      </c>
      <c r="AA800" s="10" t="s">
        <v>113</v>
      </c>
      <c r="AB800" s="36" t="s">
        <v>132</v>
      </c>
      <c r="AC800" s="10"/>
      <c r="AD800" s="9" t="s">
        <v>5386</v>
      </c>
      <c r="AE800" s="10" t="s">
        <v>5461</v>
      </c>
      <c r="AF800" s="10" t="s">
        <v>283</v>
      </c>
      <c r="AG800" s="10" t="s">
        <v>53</v>
      </c>
      <c r="AH800" s="10" t="s">
        <v>5582</v>
      </c>
      <c r="AI800" s="10" t="s">
        <v>2962</v>
      </c>
      <c r="AJ800" s="10">
        <v>801601134</v>
      </c>
      <c r="AK800" s="10" t="s">
        <v>104</v>
      </c>
      <c r="AL800" s="10"/>
      <c r="AM800" s="10"/>
      <c r="AN800" s="11" t="s">
        <v>46</v>
      </c>
      <c r="AO800" s="10"/>
      <c r="AP800" s="10"/>
      <c r="AQ800" s="10"/>
      <c r="AR800" s="2">
        <v>45484</v>
      </c>
      <c r="AS800" s="10">
        <v>28000</v>
      </c>
      <c r="AT800" s="10" t="s">
        <v>47</v>
      </c>
      <c r="AU800" s="10" t="s">
        <v>5102</v>
      </c>
      <c r="AV800" s="36" t="s">
        <v>5537</v>
      </c>
      <c r="AW800" s="1">
        <v>46211</v>
      </c>
    </row>
    <row r="801" spans="1:49" x14ac:dyDescent="0.25">
      <c r="A801" s="9" t="s">
        <v>5158</v>
      </c>
      <c r="B801" s="10" t="s">
        <v>5236</v>
      </c>
      <c r="C801" s="10">
        <v>0</v>
      </c>
      <c r="D801" s="10" t="s">
        <v>91</v>
      </c>
      <c r="E801" s="10"/>
      <c r="F801" s="10"/>
      <c r="G801" s="10"/>
      <c r="H801" s="10" t="s">
        <v>52</v>
      </c>
      <c r="I801" s="10">
        <v>20</v>
      </c>
      <c r="J801" s="10" t="s">
        <v>5312</v>
      </c>
      <c r="K801" s="10" t="s">
        <v>42</v>
      </c>
      <c r="L801" s="10">
        <f>Table1[[#This Row],[ENR]]-Table1[[#This Row],[CREDIT]]</f>
        <v>3248.6699999999983</v>
      </c>
      <c r="M801" s="36">
        <v>50000</v>
      </c>
      <c r="N801" s="26">
        <v>53248.67</v>
      </c>
      <c r="O801" s="38" t="s">
        <v>43</v>
      </c>
      <c r="P801" s="25">
        <v>53248.67</v>
      </c>
      <c r="Q801" s="25">
        <v>49648.29</v>
      </c>
      <c r="R801" s="10">
        <v>9090</v>
      </c>
      <c r="S801" s="39">
        <v>3260</v>
      </c>
      <c r="T801" s="10" t="s">
        <v>44</v>
      </c>
      <c r="U801" s="10" t="s">
        <v>45</v>
      </c>
      <c r="V801" s="10">
        <v>0</v>
      </c>
      <c r="W801" s="25">
        <f>Table1[[#This Row],[STAB]]-Table1[[#This Row],[AMOUNT]]</f>
        <v>3260</v>
      </c>
      <c r="X801" s="10">
        <v>0</v>
      </c>
      <c r="Y801" s="10" t="s">
        <v>79</v>
      </c>
      <c r="Z801" s="10">
        <v>0</v>
      </c>
      <c r="AA801" s="10" t="s">
        <v>113</v>
      </c>
      <c r="AB801" s="36" t="s">
        <v>132</v>
      </c>
      <c r="AC801" s="10"/>
      <c r="AD801" s="9" t="s">
        <v>5387</v>
      </c>
      <c r="AE801" s="10" t="s">
        <v>5462</v>
      </c>
      <c r="AF801" s="10" t="s">
        <v>281</v>
      </c>
      <c r="AG801" s="10" t="s">
        <v>54</v>
      </c>
      <c r="AH801" s="10" t="s">
        <v>724</v>
      </c>
      <c r="AI801" s="10" t="s">
        <v>365</v>
      </c>
      <c r="AJ801" s="10">
        <v>802824019</v>
      </c>
      <c r="AK801" s="10" t="s">
        <v>360</v>
      </c>
      <c r="AL801" s="10"/>
      <c r="AM801" s="10"/>
      <c r="AN801" s="11" t="s">
        <v>390</v>
      </c>
      <c r="AO801" s="10" t="s">
        <v>398</v>
      </c>
      <c r="AP801" s="10" t="s">
        <v>6336</v>
      </c>
      <c r="AQ801" s="10" t="s">
        <v>4976</v>
      </c>
      <c r="AR801" s="2">
        <v>45483</v>
      </c>
      <c r="AS801" s="10">
        <v>2052.33</v>
      </c>
      <c r="AT801" s="10" t="s">
        <v>938</v>
      </c>
      <c r="AU801" s="10" t="s">
        <v>5102</v>
      </c>
      <c r="AV801" s="36" t="s">
        <v>5538</v>
      </c>
      <c r="AW801" s="1">
        <v>46211</v>
      </c>
    </row>
    <row r="802" spans="1:49" x14ac:dyDescent="0.25">
      <c r="A802" s="9" t="s">
        <v>5159</v>
      </c>
      <c r="B802" s="10" t="s">
        <v>5237</v>
      </c>
      <c r="C802" s="10">
        <v>0</v>
      </c>
      <c r="D802" s="10" t="s">
        <v>91</v>
      </c>
      <c r="E802" s="10"/>
      <c r="F802" s="10"/>
      <c r="G802" s="10"/>
      <c r="H802" s="10" t="s">
        <v>52</v>
      </c>
      <c r="I802" s="10">
        <v>20</v>
      </c>
      <c r="J802" s="10" t="s">
        <v>5313</v>
      </c>
      <c r="K802" s="10" t="s">
        <v>42</v>
      </c>
      <c r="L802" s="10">
        <f>Table1[[#This Row],[ENR]]-Table1[[#This Row],[CREDIT]]</f>
        <v>9875.8999999999942</v>
      </c>
      <c r="M802" s="36">
        <v>100000</v>
      </c>
      <c r="N802" s="26">
        <v>109875.9</v>
      </c>
      <c r="O802" s="38" t="s">
        <v>43</v>
      </c>
      <c r="P802" s="25">
        <v>109875.9</v>
      </c>
      <c r="Q802" s="25">
        <v>99996</v>
      </c>
      <c r="R802" s="10">
        <v>33120</v>
      </c>
      <c r="S802" s="39">
        <v>21540</v>
      </c>
      <c r="T802" s="10" t="s">
        <v>44</v>
      </c>
      <c r="U802" s="10" t="s">
        <v>45</v>
      </c>
      <c r="V802" s="10">
        <v>0</v>
      </c>
      <c r="W802" s="25">
        <f>Table1[[#This Row],[STAB]]-Table1[[#This Row],[AMOUNT]]</f>
        <v>21540</v>
      </c>
      <c r="X802" s="10">
        <v>0</v>
      </c>
      <c r="Y802" s="10" t="s">
        <v>79</v>
      </c>
      <c r="Z802" s="10">
        <v>0</v>
      </c>
      <c r="AA802" s="10" t="s">
        <v>113</v>
      </c>
      <c r="AB802" s="36" t="s">
        <v>374</v>
      </c>
      <c r="AC802" s="10"/>
      <c r="AD802" s="9" t="s">
        <v>5388</v>
      </c>
      <c r="AE802" s="10" t="s">
        <v>5463</v>
      </c>
      <c r="AF802" s="10" t="s">
        <v>287</v>
      </c>
      <c r="AG802" s="10" t="s">
        <v>324</v>
      </c>
      <c r="AH802" s="10" t="s">
        <v>56</v>
      </c>
      <c r="AI802" s="10" t="s">
        <v>370</v>
      </c>
      <c r="AJ802" s="10">
        <v>801448854</v>
      </c>
      <c r="AK802" s="10" t="s">
        <v>105</v>
      </c>
      <c r="AL802" s="10"/>
      <c r="AM802" s="10"/>
      <c r="AN802" s="11" t="s">
        <v>46</v>
      </c>
      <c r="AO802" s="10"/>
      <c r="AP802" s="10"/>
      <c r="AQ802" s="10"/>
      <c r="AR802" s="2">
        <v>45901</v>
      </c>
      <c r="AS802" s="10">
        <v>19590</v>
      </c>
      <c r="AT802" s="10" t="s">
        <v>291</v>
      </c>
      <c r="AU802" s="10" t="s">
        <v>5102</v>
      </c>
      <c r="AV802" s="36" t="s">
        <v>5539</v>
      </c>
      <c r="AW802" s="1">
        <v>46211</v>
      </c>
    </row>
    <row r="803" spans="1:49" x14ac:dyDescent="0.25">
      <c r="A803" s="9" t="s">
        <v>5160</v>
      </c>
      <c r="B803" s="10" t="s">
        <v>5238</v>
      </c>
      <c r="C803" s="10">
        <v>0</v>
      </c>
      <c r="D803" s="10" t="s">
        <v>91</v>
      </c>
      <c r="E803" s="10"/>
      <c r="F803" s="10"/>
      <c r="G803" s="10"/>
      <c r="H803" s="10" t="s">
        <v>52</v>
      </c>
      <c r="I803" s="10">
        <v>20</v>
      </c>
      <c r="J803" s="10" t="s">
        <v>5314</v>
      </c>
      <c r="K803" s="10" t="s">
        <v>42</v>
      </c>
      <c r="L803" s="10">
        <f>Table1[[#This Row],[ENR]]-Table1[[#This Row],[CREDIT]]</f>
        <v>5191.4800000000032</v>
      </c>
      <c r="M803" s="36">
        <v>48000</v>
      </c>
      <c r="N803" s="26">
        <v>53191.48</v>
      </c>
      <c r="O803" s="38" t="s">
        <v>43</v>
      </c>
      <c r="P803" s="25">
        <v>53191.48</v>
      </c>
      <c r="Q803" s="25">
        <v>47823.99</v>
      </c>
      <c r="R803" s="10">
        <v>16650</v>
      </c>
      <c r="S803" s="39">
        <v>7670</v>
      </c>
      <c r="T803" s="10" t="s">
        <v>57</v>
      </c>
      <c r="U803" s="10" t="s">
        <v>13</v>
      </c>
      <c r="V803" s="10">
        <v>0</v>
      </c>
      <c r="W803" s="25">
        <f>Table1[[#This Row],[STAB]]-Table1[[#This Row],[AMOUNT]]</f>
        <v>7670</v>
      </c>
      <c r="X803" s="10">
        <v>0</v>
      </c>
      <c r="Y803" s="10" t="s">
        <v>388</v>
      </c>
      <c r="Z803" s="10" t="s">
        <v>963</v>
      </c>
      <c r="AA803" s="10" t="s">
        <v>113</v>
      </c>
      <c r="AB803" s="36" t="s">
        <v>131</v>
      </c>
      <c r="AC803" s="10"/>
      <c r="AD803" s="9" t="s">
        <v>5389</v>
      </c>
      <c r="AE803" s="10" t="s">
        <v>5464</v>
      </c>
      <c r="AF803" s="10" t="s">
        <v>864</v>
      </c>
      <c r="AG803" s="10" t="s">
        <v>54</v>
      </c>
      <c r="AH803" s="10" t="s">
        <v>1398</v>
      </c>
      <c r="AI803" s="10" t="s">
        <v>162</v>
      </c>
      <c r="AJ803" s="10">
        <v>801772794</v>
      </c>
      <c r="AK803" s="10" t="s">
        <v>361</v>
      </c>
      <c r="AL803" s="10"/>
      <c r="AM803" s="10"/>
      <c r="AN803" s="11" t="s">
        <v>390</v>
      </c>
      <c r="AO803" s="10"/>
      <c r="AP803" s="10"/>
      <c r="AQ803" s="10"/>
      <c r="AR803" s="2">
        <v>46148</v>
      </c>
      <c r="AS803" s="10">
        <v>20920</v>
      </c>
      <c r="AT803" s="10" t="s">
        <v>294</v>
      </c>
      <c r="AU803" s="10" t="s">
        <v>5102</v>
      </c>
      <c r="AV803" s="36" t="s">
        <v>5540</v>
      </c>
      <c r="AW803" s="1">
        <v>46211</v>
      </c>
    </row>
    <row r="804" spans="1:49" x14ac:dyDescent="0.25">
      <c r="A804" s="9" t="s">
        <v>5161</v>
      </c>
      <c r="B804" s="10" t="s">
        <v>5239</v>
      </c>
      <c r="C804" s="10">
        <v>0</v>
      </c>
      <c r="D804" s="10" t="s">
        <v>91</v>
      </c>
      <c r="E804" s="10"/>
      <c r="F804" s="10"/>
      <c r="G804" s="10"/>
      <c r="H804" s="10" t="s">
        <v>52</v>
      </c>
      <c r="I804" s="10">
        <v>20</v>
      </c>
      <c r="J804" s="10" t="s">
        <v>5315</v>
      </c>
      <c r="K804" s="10" t="s">
        <v>42</v>
      </c>
      <c r="L804" s="10">
        <f>Table1[[#This Row],[ENR]]-Table1[[#This Row],[CREDIT]]</f>
        <v>2067.0099999999948</v>
      </c>
      <c r="M804" s="36">
        <v>70000</v>
      </c>
      <c r="N804" s="26">
        <v>72067.009999999995</v>
      </c>
      <c r="O804" s="38" t="s">
        <v>43</v>
      </c>
      <c r="P804" s="25">
        <v>72067.009999999995</v>
      </c>
      <c r="Q804" s="25">
        <v>64655</v>
      </c>
      <c r="R804" s="10">
        <v>15690</v>
      </c>
      <c r="S804" s="39">
        <v>3470</v>
      </c>
      <c r="T804" s="10" t="s">
        <v>57</v>
      </c>
      <c r="U804" s="10" t="s">
        <v>13</v>
      </c>
      <c r="V804" s="10">
        <v>15690</v>
      </c>
      <c r="W804" s="25">
        <f>Table1[[#This Row],[STAB]]-Table1[[#This Row],[AMOUNT]]</f>
        <v>-12220</v>
      </c>
      <c r="X804" s="10" t="s">
        <v>4937</v>
      </c>
      <c r="Y804" s="10" t="s">
        <v>402</v>
      </c>
      <c r="Z804" s="10" t="s">
        <v>403</v>
      </c>
      <c r="AA804" s="10" t="s">
        <v>113</v>
      </c>
      <c r="AB804" s="36" t="s">
        <v>376</v>
      </c>
      <c r="AC804" s="10"/>
      <c r="AD804" s="9" t="s">
        <v>5390</v>
      </c>
      <c r="AE804" s="10" t="s">
        <v>5465</v>
      </c>
      <c r="AF804" s="10" t="s">
        <v>1739</v>
      </c>
      <c r="AG804" s="10" t="s">
        <v>53</v>
      </c>
      <c r="AH804" s="10" t="s">
        <v>116</v>
      </c>
      <c r="AI804" s="10" t="s">
        <v>2961</v>
      </c>
      <c r="AJ804" s="10">
        <v>845041675</v>
      </c>
      <c r="AK804" s="10" t="s">
        <v>104</v>
      </c>
      <c r="AL804" s="10"/>
      <c r="AM804" s="10"/>
      <c r="AN804" s="11" t="s">
        <v>390</v>
      </c>
      <c r="AO804" s="10"/>
      <c r="AP804" s="10"/>
      <c r="AQ804" s="10"/>
      <c r="AR804" s="2">
        <v>45483</v>
      </c>
      <c r="AS804" s="10">
        <v>2599.9699999999998</v>
      </c>
      <c r="AT804" s="10" t="s">
        <v>503</v>
      </c>
      <c r="AU804" s="10" t="s">
        <v>5102</v>
      </c>
      <c r="AV804" s="36" t="s">
        <v>5541</v>
      </c>
      <c r="AW804" s="1">
        <v>46211</v>
      </c>
    </row>
    <row r="805" spans="1:49" x14ac:dyDescent="0.25">
      <c r="A805" s="9" t="s">
        <v>5162</v>
      </c>
      <c r="B805" s="10" t="s">
        <v>5240</v>
      </c>
      <c r="C805" s="10">
        <v>0</v>
      </c>
      <c r="D805" s="10" t="s">
        <v>91</v>
      </c>
      <c r="E805" s="10"/>
      <c r="F805" s="10"/>
      <c r="G805" s="10"/>
      <c r="H805" s="10" t="s">
        <v>52</v>
      </c>
      <c r="I805" s="10">
        <v>20</v>
      </c>
      <c r="J805" s="10" t="s">
        <v>5316</v>
      </c>
      <c r="K805" s="10" t="s">
        <v>42</v>
      </c>
      <c r="L805" s="10">
        <f>Table1[[#This Row],[ENR]]-Table1[[#This Row],[CREDIT]]</f>
        <v>18181.260000000009</v>
      </c>
      <c r="M805" s="36">
        <v>200000</v>
      </c>
      <c r="N805" s="26">
        <v>218181.26</v>
      </c>
      <c r="O805" s="38" t="s">
        <v>43</v>
      </c>
      <c r="P805" s="25">
        <v>218181.26</v>
      </c>
      <c r="Q805" s="25">
        <v>199986.24</v>
      </c>
      <c r="R805" s="10">
        <v>54970</v>
      </c>
      <c r="S805" s="39">
        <v>10000</v>
      </c>
      <c r="T805" s="10" t="s">
        <v>57</v>
      </c>
      <c r="U805" s="10" t="s">
        <v>14</v>
      </c>
      <c r="V805" s="10">
        <v>10000</v>
      </c>
      <c r="W805" s="25">
        <f>Table1[[#This Row],[STAB]]-Table1[[#This Row],[AMOUNT]]</f>
        <v>0</v>
      </c>
      <c r="X805" s="10" t="s">
        <v>6364</v>
      </c>
      <c r="Y805" s="10" t="s">
        <v>402</v>
      </c>
      <c r="Z805" s="10" t="s">
        <v>403</v>
      </c>
      <c r="AA805" s="10" t="s">
        <v>113</v>
      </c>
      <c r="AB805" s="36" t="s">
        <v>132</v>
      </c>
      <c r="AC805" s="10"/>
      <c r="AD805" s="9" t="s">
        <v>5391</v>
      </c>
      <c r="AE805" s="10" t="s">
        <v>5466</v>
      </c>
      <c r="AF805" s="10" t="s">
        <v>864</v>
      </c>
      <c r="AG805" s="10" t="s">
        <v>54</v>
      </c>
      <c r="AH805" s="10" t="s">
        <v>358</v>
      </c>
      <c r="AI805" s="10" t="s">
        <v>162</v>
      </c>
      <c r="AJ805" s="10">
        <v>801772794</v>
      </c>
      <c r="AK805" s="10" t="s">
        <v>361</v>
      </c>
      <c r="AL805" s="10"/>
      <c r="AM805" s="10"/>
      <c r="AN805" s="11" t="s">
        <v>390</v>
      </c>
      <c r="AO805" s="10" t="s">
        <v>398</v>
      </c>
      <c r="AP805" s="10" t="s">
        <v>6225</v>
      </c>
      <c r="AQ805" s="10" t="s">
        <v>4937</v>
      </c>
      <c r="AR805" s="2">
        <v>46135</v>
      </c>
      <c r="AS805" s="10">
        <v>590</v>
      </c>
      <c r="AT805" s="10" t="s">
        <v>2620</v>
      </c>
      <c r="AU805" s="10" t="s">
        <v>5102</v>
      </c>
      <c r="AV805" s="36" t="s">
        <v>5542</v>
      </c>
      <c r="AW805" s="1">
        <v>46211</v>
      </c>
    </row>
    <row r="806" spans="1:49" x14ac:dyDescent="0.25">
      <c r="A806" s="9" t="s">
        <v>5163</v>
      </c>
      <c r="B806" s="10" t="s">
        <v>5241</v>
      </c>
      <c r="C806" s="10">
        <v>0</v>
      </c>
      <c r="D806" s="10" t="s">
        <v>91</v>
      </c>
      <c r="E806" s="10"/>
      <c r="F806" s="10"/>
      <c r="G806" s="10"/>
      <c r="H806" s="10" t="s">
        <v>52</v>
      </c>
      <c r="I806" s="10">
        <v>20</v>
      </c>
      <c r="J806" s="10" t="s">
        <v>5317</v>
      </c>
      <c r="K806" s="10" t="s">
        <v>42</v>
      </c>
      <c r="L806" s="10">
        <f>Table1[[#This Row],[ENR]]-Table1[[#This Row],[CREDIT]]</f>
        <v>185584</v>
      </c>
      <c r="M806" s="36">
        <v>33000</v>
      </c>
      <c r="N806" s="26">
        <v>218584</v>
      </c>
      <c r="O806" s="38">
        <v>151984.31</v>
      </c>
      <c r="P806" s="25">
        <v>66599.69</v>
      </c>
      <c r="Q806" s="25">
        <v>60161.4</v>
      </c>
      <c r="R806" s="10">
        <v>66599.69</v>
      </c>
      <c r="S806" s="39">
        <v>28870</v>
      </c>
      <c r="T806" s="10" t="s">
        <v>44</v>
      </c>
      <c r="U806" s="10" t="s">
        <v>45</v>
      </c>
      <c r="V806" s="10">
        <v>0</v>
      </c>
      <c r="W806" s="25">
        <f>Table1[[#This Row],[STAB]]-Table1[[#This Row],[AMOUNT]]</f>
        <v>28870</v>
      </c>
      <c r="X806" s="10">
        <v>0</v>
      </c>
      <c r="Y806" s="10" t="s">
        <v>79</v>
      </c>
      <c r="Z806" s="10">
        <v>0</v>
      </c>
      <c r="AA806" s="10" t="s">
        <v>113</v>
      </c>
      <c r="AB806" s="36" t="s">
        <v>376</v>
      </c>
      <c r="AC806" s="10"/>
      <c r="AD806" s="9" t="s">
        <v>5392</v>
      </c>
      <c r="AE806" s="10" t="s">
        <v>5467</v>
      </c>
      <c r="AF806" s="10" t="s">
        <v>272</v>
      </c>
      <c r="AG806" s="10" t="s">
        <v>54</v>
      </c>
      <c r="AH806" s="10" t="s">
        <v>357</v>
      </c>
      <c r="AI806" s="10" t="s">
        <v>1960</v>
      </c>
      <c r="AJ806" s="10">
        <v>801264672</v>
      </c>
      <c r="AK806" s="10" t="s">
        <v>1959</v>
      </c>
      <c r="AL806" s="10"/>
      <c r="AM806" s="10"/>
      <c r="AN806" s="11" t="s">
        <v>46</v>
      </c>
      <c r="AO806" s="10"/>
      <c r="AP806" s="10"/>
      <c r="AQ806" s="10"/>
      <c r="AR806" s="2">
        <v>46118</v>
      </c>
      <c r="AS806" s="10">
        <v>10</v>
      </c>
      <c r="AT806" s="10" t="s">
        <v>503</v>
      </c>
      <c r="AU806" s="10" t="s">
        <v>5102</v>
      </c>
      <c r="AV806" s="36" t="s">
        <v>5543</v>
      </c>
      <c r="AW806" s="1">
        <v>46211</v>
      </c>
    </row>
    <row r="807" spans="1:49" x14ac:dyDescent="0.25">
      <c r="A807" s="9" t="s">
        <v>5164</v>
      </c>
      <c r="B807" s="10" t="s">
        <v>5242</v>
      </c>
      <c r="C807" s="10">
        <v>0</v>
      </c>
      <c r="D807" s="10" t="s">
        <v>91</v>
      </c>
      <c r="E807" s="10"/>
      <c r="F807" s="10"/>
      <c r="G807" s="10"/>
      <c r="H807" s="10" t="s">
        <v>52</v>
      </c>
      <c r="I807" s="10">
        <v>20</v>
      </c>
      <c r="J807" s="10" t="s">
        <v>4070</v>
      </c>
      <c r="K807" s="10" t="s">
        <v>42</v>
      </c>
      <c r="L807" s="10">
        <f>Table1[[#This Row],[ENR]]-Table1[[#This Row],[CREDIT]]</f>
        <v>8403.0299999999988</v>
      </c>
      <c r="M807" s="36">
        <v>210000</v>
      </c>
      <c r="N807" s="26">
        <v>218403.03</v>
      </c>
      <c r="O807" s="38">
        <v>158661.74</v>
      </c>
      <c r="P807" s="25">
        <v>59741.29</v>
      </c>
      <c r="Q807" s="25">
        <v>43781.64</v>
      </c>
      <c r="R807" s="10">
        <v>42890</v>
      </c>
      <c r="S807" s="39">
        <v>16250</v>
      </c>
      <c r="T807" s="10" t="s">
        <v>44</v>
      </c>
      <c r="U807" s="10" t="s">
        <v>45</v>
      </c>
      <c r="V807" s="10">
        <v>0</v>
      </c>
      <c r="W807" s="25">
        <f>Table1[[#This Row],[STAB]]-Table1[[#This Row],[AMOUNT]]</f>
        <v>16250</v>
      </c>
      <c r="X807" s="10">
        <v>0</v>
      </c>
      <c r="Y807" s="10" t="s">
        <v>79</v>
      </c>
      <c r="Z807" s="10">
        <v>0</v>
      </c>
      <c r="AA807" s="10" t="s">
        <v>113</v>
      </c>
      <c r="AB807" s="36" t="s">
        <v>374</v>
      </c>
      <c r="AC807" s="10"/>
      <c r="AD807" s="9" t="s">
        <v>5393</v>
      </c>
      <c r="AE807" s="10" t="s">
        <v>5468</v>
      </c>
      <c r="AF807" s="10" t="s">
        <v>275</v>
      </c>
      <c r="AG807" s="10" t="s">
        <v>80</v>
      </c>
      <c r="AH807" s="10" t="s">
        <v>87</v>
      </c>
      <c r="AI807" s="10" t="s">
        <v>368</v>
      </c>
      <c r="AJ807" s="10">
        <v>802823175</v>
      </c>
      <c r="AK807" s="10" t="s">
        <v>105</v>
      </c>
      <c r="AL807" s="10"/>
      <c r="AM807" s="10"/>
      <c r="AN807" s="11" t="s">
        <v>46</v>
      </c>
      <c r="AO807" s="10"/>
      <c r="AP807" s="10"/>
      <c r="AQ807" s="10"/>
      <c r="AR807" s="2">
        <v>46120</v>
      </c>
      <c r="AS807" s="10">
        <v>23892</v>
      </c>
      <c r="AT807" s="10" t="s">
        <v>293</v>
      </c>
      <c r="AU807" s="10" t="s">
        <v>5102</v>
      </c>
      <c r="AV807" s="36" t="s">
        <v>5544</v>
      </c>
      <c r="AW807" s="1">
        <v>46211</v>
      </c>
    </row>
    <row r="808" spans="1:49" x14ac:dyDescent="0.25">
      <c r="A808" s="9" t="s">
        <v>5165</v>
      </c>
      <c r="B808" s="10" t="s">
        <v>5243</v>
      </c>
      <c r="C808" s="10">
        <v>0</v>
      </c>
      <c r="D808" s="10" t="s">
        <v>91</v>
      </c>
      <c r="E808" s="10"/>
      <c r="F808" s="10"/>
      <c r="G808" s="10"/>
      <c r="H808" s="10" t="s">
        <v>52</v>
      </c>
      <c r="I808" s="10">
        <v>20</v>
      </c>
      <c r="J808" s="10" t="s">
        <v>5318</v>
      </c>
      <c r="K808" s="10" t="s">
        <v>42</v>
      </c>
      <c r="L808" s="10">
        <f>Table1[[#This Row],[ENR]]-Table1[[#This Row],[CREDIT]]</f>
        <v>1473.5800000000017</v>
      </c>
      <c r="M808" s="36">
        <v>50000</v>
      </c>
      <c r="N808" s="26">
        <v>51473.58</v>
      </c>
      <c r="O808" s="38">
        <v>18240.759999999998</v>
      </c>
      <c r="P808" s="25">
        <v>33232.82</v>
      </c>
      <c r="Q808" s="25">
        <v>27713.02</v>
      </c>
      <c r="R808" s="10">
        <v>11370</v>
      </c>
      <c r="S808" s="39">
        <v>5040</v>
      </c>
      <c r="T808" s="10" t="s">
        <v>57</v>
      </c>
      <c r="U808" s="10" t="s">
        <v>14</v>
      </c>
      <c r="V808" s="10">
        <v>5050</v>
      </c>
      <c r="W808" s="25">
        <f>Table1[[#This Row],[STAB]]-Table1[[#This Row],[AMOUNT]]</f>
        <v>-10</v>
      </c>
      <c r="X808" s="10" t="s">
        <v>6399</v>
      </c>
      <c r="Y808" s="10" t="s">
        <v>402</v>
      </c>
      <c r="Z808" s="10">
        <v>0</v>
      </c>
      <c r="AA808" s="10" t="s">
        <v>113</v>
      </c>
      <c r="AB808" s="36" t="s">
        <v>374</v>
      </c>
      <c r="AC808" s="10"/>
      <c r="AD808" s="9" t="s">
        <v>5394</v>
      </c>
      <c r="AE808" s="10" t="s">
        <v>5469</v>
      </c>
      <c r="AF808" s="10" t="s">
        <v>685</v>
      </c>
      <c r="AG808" s="10" t="s">
        <v>54</v>
      </c>
      <c r="AH808" s="10" t="s">
        <v>1398</v>
      </c>
      <c r="AI808" s="10" t="s">
        <v>162</v>
      </c>
      <c r="AJ808" s="10">
        <v>801772794</v>
      </c>
      <c r="AK808" s="10" t="s">
        <v>361</v>
      </c>
      <c r="AL808" s="10"/>
      <c r="AM808" s="10"/>
      <c r="AN808" s="11" t="s">
        <v>46</v>
      </c>
      <c r="AO808" s="10"/>
      <c r="AP808" s="10"/>
      <c r="AQ808" s="10"/>
      <c r="AR808" s="2">
        <v>46158</v>
      </c>
      <c r="AS808" s="10">
        <v>3770</v>
      </c>
      <c r="AT808" s="10" t="s">
        <v>293</v>
      </c>
      <c r="AU808" s="10" t="s">
        <v>5102</v>
      </c>
      <c r="AV808" s="36" t="s">
        <v>5545</v>
      </c>
      <c r="AW808" s="1">
        <v>46211</v>
      </c>
    </row>
    <row r="809" spans="1:49" x14ac:dyDescent="0.25">
      <c r="A809" s="9" t="s">
        <v>5166</v>
      </c>
      <c r="B809" s="10" t="s">
        <v>5244</v>
      </c>
      <c r="C809" s="10">
        <v>0</v>
      </c>
      <c r="D809" s="10" t="s">
        <v>91</v>
      </c>
      <c r="E809" s="10"/>
      <c r="F809" s="10"/>
      <c r="G809" s="10"/>
      <c r="H809" s="10" t="s">
        <v>52</v>
      </c>
      <c r="I809" s="10">
        <v>20</v>
      </c>
      <c r="J809" s="10" t="s">
        <v>5319</v>
      </c>
      <c r="K809" s="10" t="s">
        <v>42</v>
      </c>
      <c r="L809" s="10">
        <f>Table1[[#This Row],[ENR]]-Table1[[#This Row],[CREDIT]]</f>
        <v>9002.36</v>
      </c>
      <c r="M809" s="36">
        <v>100000</v>
      </c>
      <c r="N809" s="26">
        <v>109002.36</v>
      </c>
      <c r="O809" s="38" t="s">
        <v>43</v>
      </c>
      <c r="P809" s="25">
        <v>109002.36</v>
      </c>
      <c r="Q809" s="25">
        <v>99882.19</v>
      </c>
      <c r="R809" s="10">
        <v>23820</v>
      </c>
      <c r="S809" s="39">
        <v>9970</v>
      </c>
      <c r="T809" s="10" t="s">
        <v>44</v>
      </c>
      <c r="U809" s="10" t="s">
        <v>45</v>
      </c>
      <c r="V809" s="10">
        <v>0</v>
      </c>
      <c r="W809" s="25">
        <f>Table1[[#This Row],[STAB]]-Table1[[#This Row],[AMOUNT]]</f>
        <v>9970</v>
      </c>
      <c r="X809" s="10">
        <v>0</v>
      </c>
      <c r="Y809" s="10" t="s">
        <v>79</v>
      </c>
      <c r="Z809" s="10">
        <v>0</v>
      </c>
      <c r="AA809" s="10" t="s">
        <v>113</v>
      </c>
      <c r="AB809" s="36" t="s">
        <v>131</v>
      </c>
      <c r="AC809" s="10"/>
      <c r="AD809" s="9" t="s">
        <v>5395</v>
      </c>
      <c r="AE809" s="10" t="s">
        <v>5470</v>
      </c>
      <c r="AF809" s="10" t="s">
        <v>285</v>
      </c>
      <c r="AG809" s="10" t="s">
        <v>54</v>
      </c>
      <c r="AH809" s="10" t="s">
        <v>94</v>
      </c>
      <c r="AI809" s="10" t="s">
        <v>725</v>
      </c>
      <c r="AJ809" s="10">
        <v>802794852</v>
      </c>
      <c r="AK809" s="10" t="s">
        <v>104</v>
      </c>
      <c r="AL809" s="10"/>
      <c r="AM809" s="10"/>
      <c r="AN809" s="11" t="s">
        <v>390</v>
      </c>
      <c r="AO809" s="10" t="s">
        <v>392</v>
      </c>
      <c r="AP809" s="10" t="s">
        <v>6320</v>
      </c>
      <c r="AQ809" s="10" t="s">
        <v>4937</v>
      </c>
      <c r="AR809" s="2">
        <v>45877</v>
      </c>
      <c r="AS809" s="10">
        <v>8038</v>
      </c>
      <c r="AT809" s="10" t="s">
        <v>938</v>
      </c>
      <c r="AU809" s="10" t="s">
        <v>5102</v>
      </c>
      <c r="AV809" s="36" t="s">
        <v>5546</v>
      </c>
      <c r="AW809" s="1">
        <v>46211</v>
      </c>
    </row>
    <row r="810" spans="1:49" x14ac:dyDescent="0.25">
      <c r="A810" s="9" t="s">
        <v>5167</v>
      </c>
      <c r="B810" s="10" t="s">
        <v>5245</v>
      </c>
      <c r="C810" s="10">
        <v>0</v>
      </c>
      <c r="D810" s="10" t="s">
        <v>91</v>
      </c>
      <c r="E810" s="10"/>
      <c r="F810" s="10"/>
      <c r="G810" s="10"/>
      <c r="H810" s="10" t="s">
        <v>52</v>
      </c>
      <c r="I810" s="10">
        <v>20</v>
      </c>
      <c r="J810" s="10" t="s">
        <v>5320</v>
      </c>
      <c r="K810" s="10" t="s">
        <v>42</v>
      </c>
      <c r="L810" s="10">
        <f>Table1[[#This Row],[ENR]]-Table1[[#This Row],[CREDIT]]</f>
        <v>-42734.149999999994</v>
      </c>
      <c r="M810" s="36">
        <v>220000</v>
      </c>
      <c r="N810" s="26">
        <v>177265.85</v>
      </c>
      <c r="O810" s="38">
        <v>102792.47</v>
      </c>
      <c r="P810" s="25">
        <v>74473.38</v>
      </c>
      <c r="Q810" s="25">
        <v>67105.67</v>
      </c>
      <c r="R810" s="10">
        <v>61180</v>
      </c>
      <c r="S810" s="39">
        <v>25209.79</v>
      </c>
      <c r="T810" s="10" t="s">
        <v>57</v>
      </c>
      <c r="U810" s="10" t="s">
        <v>14</v>
      </c>
      <c r="V810" s="10">
        <v>30000</v>
      </c>
      <c r="W810" s="25">
        <f>Table1[[#This Row],[STAB]]-Table1[[#This Row],[AMOUNT]]</f>
        <v>-4790.2099999999991</v>
      </c>
      <c r="X810" s="10" t="s">
        <v>4937</v>
      </c>
      <c r="Y810" s="10" t="s">
        <v>402</v>
      </c>
      <c r="Z810" s="10" t="s">
        <v>403</v>
      </c>
      <c r="AA810" s="10" t="s">
        <v>113</v>
      </c>
      <c r="AB810" s="36" t="s">
        <v>133</v>
      </c>
      <c r="AC810" s="10"/>
      <c r="AD810" s="9" t="s">
        <v>5396</v>
      </c>
      <c r="AE810" s="10" t="s">
        <v>5471</v>
      </c>
      <c r="AF810" s="10" t="s">
        <v>272</v>
      </c>
      <c r="AG810" s="10" t="s">
        <v>54</v>
      </c>
      <c r="AH810" s="10" t="s">
        <v>523</v>
      </c>
      <c r="AI810" s="10" t="s">
        <v>371</v>
      </c>
      <c r="AJ810" s="10">
        <v>802835406</v>
      </c>
      <c r="AK810" s="10" t="s">
        <v>362</v>
      </c>
      <c r="AL810" s="10"/>
      <c r="AM810" s="10"/>
      <c r="AN810" s="11" t="s">
        <v>390</v>
      </c>
      <c r="AO810" s="10"/>
      <c r="AP810" s="10"/>
      <c r="AQ810" s="10"/>
      <c r="AR810" s="2">
        <v>46148</v>
      </c>
      <c r="AS810" s="10">
        <v>60000</v>
      </c>
      <c r="AT810" s="10" t="s">
        <v>3830</v>
      </c>
      <c r="AU810" s="10" t="s">
        <v>5102</v>
      </c>
      <c r="AV810" s="36" t="s">
        <v>5547</v>
      </c>
      <c r="AW810" s="1">
        <v>46211</v>
      </c>
    </row>
    <row r="811" spans="1:49" x14ac:dyDescent="0.25">
      <c r="A811" s="9" t="s">
        <v>5168</v>
      </c>
      <c r="B811" s="10" t="s">
        <v>5246</v>
      </c>
      <c r="C811" s="10">
        <v>0</v>
      </c>
      <c r="D811" s="10" t="s">
        <v>91</v>
      </c>
      <c r="E811" s="10"/>
      <c r="F811" s="10"/>
      <c r="G811" s="10"/>
      <c r="H811" s="10" t="s">
        <v>52</v>
      </c>
      <c r="I811" s="10">
        <v>20</v>
      </c>
      <c r="J811" s="10" t="s">
        <v>5321</v>
      </c>
      <c r="K811" s="10" t="s">
        <v>42</v>
      </c>
      <c r="L811" s="10">
        <f>Table1[[#This Row],[ENR]]-Table1[[#This Row],[CREDIT]]</f>
        <v>20275.290000000008</v>
      </c>
      <c r="M811" s="36">
        <v>240000</v>
      </c>
      <c r="N811" s="26">
        <v>260275.29</v>
      </c>
      <c r="O811" s="38" t="s">
        <v>43</v>
      </c>
      <c r="P811" s="25">
        <v>260275.29</v>
      </c>
      <c r="Q811" s="25">
        <v>237002.29</v>
      </c>
      <c r="R811" s="10">
        <v>58440</v>
      </c>
      <c r="S811" s="39">
        <v>22660</v>
      </c>
      <c r="T811" s="10" t="s">
        <v>44</v>
      </c>
      <c r="U811" s="10" t="s">
        <v>45</v>
      </c>
      <c r="V811" s="10">
        <v>0</v>
      </c>
      <c r="W811" s="25">
        <f>Table1[[#This Row],[STAB]]-Table1[[#This Row],[AMOUNT]]</f>
        <v>22660</v>
      </c>
      <c r="X811" s="10">
        <v>0</v>
      </c>
      <c r="Y811" s="10" t="s">
        <v>79</v>
      </c>
      <c r="Z811" s="10">
        <v>0</v>
      </c>
      <c r="AA811" s="10" t="s">
        <v>113</v>
      </c>
      <c r="AB811" s="36" t="s">
        <v>133</v>
      </c>
      <c r="AC811" s="10"/>
      <c r="AD811" s="9" t="s">
        <v>5397</v>
      </c>
      <c r="AE811" s="10" t="s">
        <v>5472</v>
      </c>
      <c r="AF811" s="10" t="s">
        <v>287</v>
      </c>
      <c r="AG811" s="10" t="s">
        <v>324</v>
      </c>
      <c r="AH811" s="10" t="s">
        <v>56</v>
      </c>
      <c r="AI811" s="10" t="s">
        <v>370</v>
      </c>
      <c r="AJ811" s="10">
        <v>801448854</v>
      </c>
      <c r="AK811" s="10" t="s">
        <v>105</v>
      </c>
      <c r="AL811" s="10"/>
      <c r="AM811" s="10"/>
      <c r="AN811" s="11" t="s">
        <v>390</v>
      </c>
      <c r="AO811" s="10" t="s">
        <v>394</v>
      </c>
      <c r="AP811" s="10" t="s">
        <v>6317</v>
      </c>
      <c r="AQ811" s="10" t="s">
        <v>4937</v>
      </c>
      <c r="AR811" s="2">
        <v>45492</v>
      </c>
      <c r="AS811" s="10">
        <v>15000</v>
      </c>
      <c r="AT811" s="10" t="s">
        <v>291</v>
      </c>
      <c r="AU811" s="10" t="s">
        <v>5102</v>
      </c>
      <c r="AV811" s="36" t="s">
        <v>5548</v>
      </c>
      <c r="AW811" s="1">
        <v>46211</v>
      </c>
    </row>
    <row r="812" spans="1:49" x14ac:dyDescent="0.25">
      <c r="A812" s="9" t="s">
        <v>5169</v>
      </c>
      <c r="B812" s="10" t="s">
        <v>5247</v>
      </c>
      <c r="C812" s="10">
        <v>0</v>
      </c>
      <c r="D812" s="10" t="s">
        <v>91</v>
      </c>
      <c r="E812" s="10"/>
      <c r="F812" s="10" t="s">
        <v>112</v>
      </c>
      <c r="G812" s="10"/>
      <c r="H812" s="10" t="s">
        <v>52</v>
      </c>
      <c r="I812" s="10">
        <v>20</v>
      </c>
      <c r="J812" s="10" t="s">
        <v>5322</v>
      </c>
      <c r="K812" s="10" t="s">
        <v>460</v>
      </c>
      <c r="L812" s="10">
        <f>Table1[[#This Row],[ENR]]-Table1[[#This Row],[CREDIT]]</f>
        <v>-89692.700000000012</v>
      </c>
      <c r="M812" s="36">
        <v>300000</v>
      </c>
      <c r="N812" s="26">
        <v>210307.3</v>
      </c>
      <c r="O812" s="38" t="s">
        <v>43</v>
      </c>
      <c r="P812" s="25">
        <v>210307.3</v>
      </c>
      <c r="Q812" s="25">
        <v>191349.69</v>
      </c>
      <c r="R812" s="10">
        <v>30030</v>
      </c>
      <c r="S812" s="39">
        <v>11510</v>
      </c>
      <c r="T812" s="10" t="s">
        <v>57</v>
      </c>
      <c r="U812" s="10" t="s">
        <v>14</v>
      </c>
      <c r="V812" s="10">
        <v>15000</v>
      </c>
      <c r="W812" s="25">
        <f>Table1[[#This Row],[STAB]]-Table1[[#This Row],[AMOUNT]]</f>
        <v>-3490</v>
      </c>
      <c r="X812" s="10" t="s">
        <v>4976</v>
      </c>
      <c r="Y812" s="10" t="s">
        <v>402</v>
      </c>
      <c r="Z812" s="10" t="s">
        <v>403</v>
      </c>
      <c r="AA812" s="10" t="s">
        <v>113</v>
      </c>
      <c r="AB812" s="36" t="s">
        <v>376</v>
      </c>
      <c r="AC812" s="10"/>
      <c r="AD812" s="9" t="s">
        <v>5398</v>
      </c>
      <c r="AE812" s="10" t="s">
        <v>5473</v>
      </c>
      <c r="AF812" s="10" t="s">
        <v>274</v>
      </c>
      <c r="AG812" s="10" t="s">
        <v>53</v>
      </c>
      <c r="AH812" s="10" t="s">
        <v>55</v>
      </c>
      <c r="AI812" s="10" t="s">
        <v>365</v>
      </c>
      <c r="AJ812" s="10">
        <v>802824019</v>
      </c>
      <c r="AK812" s="10" t="s">
        <v>360</v>
      </c>
      <c r="AL812" s="10"/>
      <c r="AM812" s="10"/>
      <c r="AN812" s="11" t="s">
        <v>390</v>
      </c>
      <c r="AO812" s="10"/>
      <c r="AP812" s="10"/>
      <c r="AQ812" s="10"/>
      <c r="AR812" s="2">
        <v>46146</v>
      </c>
      <c r="AS812" s="10">
        <v>36500</v>
      </c>
      <c r="AT812" s="10" t="s">
        <v>293</v>
      </c>
      <c r="AU812" s="10" t="s">
        <v>5102</v>
      </c>
      <c r="AV812" s="36" t="s">
        <v>5549</v>
      </c>
      <c r="AW812" s="1">
        <v>46211</v>
      </c>
    </row>
    <row r="813" spans="1:49" x14ac:dyDescent="0.25">
      <c r="A813" s="9" t="s">
        <v>5170</v>
      </c>
      <c r="B813" s="10" t="s">
        <v>5248</v>
      </c>
      <c r="C813" s="10">
        <v>0</v>
      </c>
      <c r="D813" s="10" t="s">
        <v>91</v>
      </c>
      <c r="E813" s="10"/>
      <c r="F813" s="10"/>
      <c r="G813" s="10"/>
      <c r="H813" s="10" t="s">
        <v>52</v>
      </c>
      <c r="I813" s="10">
        <v>20</v>
      </c>
      <c r="J813" s="10" t="s">
        <v>5323</v>
      </c>
      <c r="K813" s="10" t="s">
        <v>42</v>
      </c>
      <c r="L813" s="10">
        <f>Table1[[#This Row],[ENR]]-Table1[[#This Row],[CREDIT]]</f>
        <v>2461.3000000000029</v>
      </c>
      <c r="M813" s="36">
        <v>100000</v>
      </c>
      <c r="N813" s="26">
        <v>102461.3</v>
      </c>
      <c r="O813" s="38" t="s">
        <v>43</v>
      </c>
      <c r="P813" s="25">
        <v>102461.3</v>
      </c>
      <c r="Q813" s="25">
        <v>94461.87</v>
      </c>
      <c r="R813" s="10">
        <v>24560</v>
      </c>
      <c r="S813" s="39">
        <v>13620</v>
      </c>
      <c r="T813" s="10" t="s">
        <v>57</v>
      </c>
      <c r="U813" s="10" t="s">
        <v>13</v>
      </c>
      <c r="V813" s="10">
        <v>24560</v>
      </c>
      <c r="W813" s="25">
        <f>Table1[[#This Row],[STAB]]-Table1[[#This Row],[AMOUNT]]</f>
        <v>-10940</v>
      </c>
      <c r="X813" s="10" t="s">
        <v>6364</v>
      </c>
      <c r="Y813" s="10" t="s">
        <v>402</v>
      </c>
      <c r="Z813" s="10" t="s">
        <v>403</v>
      </c>
      <c r="AA813" s="10" t="s">
        <v>113</v>
      </c>
      <c r="AB813" s="36" t="s">
        <v>375</v>
      </c>
      <c r="AC813" s="10"/>
      <c r="AD813" s="9" t="s">
        <v>5399</v>
      </c>
      <c r="AE813" s="10" t="s">
        <v>5474</v>
      </c>
      <c r="AF813" s="10" t="s">
        <v>275</v>
      </c>
      <c r="AG813" s="10" t="s">
        <v>80</v>
      </c>
      <c r="AH813" s="10" t="s">
        <v>87</v>
      </c>
      <c r="AI813" s="10" t="s">
        <v>368</v>
      </c>
      <c r="AJ813" s="10">
        <v>802823175</v>
      </c>
      <c r="AK813" s="10" t="s">
        <v>105</v>
      </c>
      <c r="AL813" s="10"/>
      <c r="AM813" s="10"/>
      <c r="AN813" s="11" t="s">
        <v>390</v>
      </c>
      <c r="AO813" s="10" t="s">
        <v>392</v>
      </c>
      <c r="AP813" s="10" t="s">
        <v>6365</v>
      </c>
      <c r="AQ813" s="10" t="s">
        <v>6364</v>
      </c>
      <c r="AR813" s="2">
        <v>46169</v>
      </c>
      <c r="AS813" s="10">
        <v>2000</v>
      </c>
      <c r="AT813" s="10" t="s">
        <v>293</v>
      </c>
      <c r="AU813" s="10" t="s">
        <v>5102</v>
      </c>
      <c r="AV813" s="36" t="s">
        <v>5550</v>
      </c>
      <c r="AW813" s="1">
        <v>46211</v>
      </c>
    </row>
    <row r="814" spans="1:49" x14ac:dyDescent="0.25">
      <c r="A814" s="9" t="s">
        <v>5171</v>
      </c>
      <c r="B814" s="10" t="s">
        <v>5249</v>
      </c>
      <c r="C814" s="10">
        <v>0</v>
      </c>
      <c r="D814" s="10" t="s">
        <v>91</v>
      </c>
      <c r="E814" s="10"/>
      <c r="F814" s="10"/>
      <c r="G814" s="10"/>
      <c r="H814" s="10" t="s">
        <v>52</v>
      </c>
      <c r="I814" s="10">
        <v>20</v>
      </c>
      <c r="J814" s="10" t="s">
        <v>5324</v>
      </c>
      <c r="K814" s="10" t="s">
        <v>42</v>
      </c>
      <c r="L814" s="10">
        <f>Table1[[#This Row],[ENR]]-Table1[[#This Row],[CREDIT]]</f>
        <v>6333.010000000002</v>
      </c>
      <c r="M814" s="36">
        <v>50000</v>
      </c>
      <c r="N814" s="26">
        <v>56333.01</v>
      </c>
      <c r="O814" s="38" t="s">
        <v>43</v>
      </c>
      <c r="P814" s="25">
        <v>56333.01</v>
      </c>
      <c r="Q814" s="25">
        <v>47282.37</v>
      </c>
      <c r="R814" s="10">
        <v>30140</v>
      </c>
      <c r="S814" s="39">
        <v>22030</v>
      </c>
      <c r="T814" s="10" t="s">
        <v>44</v>
      </c>
      <c r="U814" s="10" t="s">
        <v>45</v>
      </c>
      <c r="V814" s="10">
        <v>0</v>
      </c>
      <c r="W814" s="25">
        <f>Table1[[#This Row],[STAB]]-Table1[[#This Row],[AMOUNT]]</f>
        <v>22030</v>
      </c>
      <c r="X814" s="10">
        <v>0</v>
      </c>
      <c r="Y814" s="10" t="s">
        <v>79</v>
      </c>
      <c r="Z814" s="10">
        <v>0</v>
      </c>
      <c r="AA814" s="10" t="s">
        <v>113</v>
      </c>
      <c r="AB814" s="36" t="s">
        <v>375</v>
      </c>
      <c r="AC814" s="10"/>
      <c r="AD814" s="9" t="s">
        <v>5400</v>
      </c>
      <c r="AE814" s="10" t="s">
        <v>5475</v>
      </c>
      <c r="AF814" s="10" t="s">
        <v>275</v>
      </c>
      <c r="AG814" s="10" t="s">
        <v>80</v>
      </c>
      <c r="AH814" s="10" t="s">
        <v>87</v>
      </c>
      <c r="AI814" s="10" t="s">
        <v>368</v>
      </c>
      <c r="AJ814" s="10">
        <v>802823175</v>
      </c>
      <c r="AK814" s="10" t="s">
        <v>105</v>
      </c>
      <c r="AL814" s="10"/>
      <c r="AM814" s="10"/>
      <c r="AN814" s="11" t="s">
        <v>390</v>
      </c>
      <c r="AO814" s="10" t="s">
        <v>394</v>
      </c>
      <c r="AP814" s="10" t="s">
        <v>6241</v>
      </c>
      <c r="AQ814" s="10" t="s">
        <v>4937</v>
      </c>
      <c r="AR814" s="2">
        <v>45539</v>
      </c>
      <c r="AS814" s="10">
        <v>48999</v>
      </c>
      <c r="AT814" s="10" t="s">
        <v>293</v>
      </c>
      <c r="AU814" s="10" t="s">
        <v>5102</v>
      </c>
      <c r="AV814" s="36" t="s">
        <v>5551</v>
      </c>
      <c r="AW814" s="1">
        <v>46211</v>
      </c>
    </row>
    <row r="815" spans="1:49" x14ac:dyDescent="0.25">
      <c r="A815" s="9" t="s">
        <v>5172</v>
      </c>
      <c r="B815" s="10" t="s">
        <v>5250</v>
      </c>
      <c r="C815" s="10">
        <v>0</v>
      </c>
      <c r="D815" s="10" t="s">
        <v>91</v>
      </c>
      <c r="E815" s="10"/>
      <c r="F815" s="10"/>
      <c r="G815" s="10"/>
      <c r="H815" s="10" t="s">
        <v>52</v>
      </c>
      <c r="I815" s="10">
        <v>20</v>
      </c>
      <c r="J815" s="10" t="s">
        <v>5325</v>
      </c>
      <c r="K815" s="10" t="s">
        <v>42</v>
      </c>
      <c r="L815" s="10">
        <f>Table1[[#This Row],[ENR]]-Table1[[#This Row],[CREDIT]]</f>
        <v>6014.8300000000017</v>
      </c>
      <c r="M815" s="36">
        <v>70000</v>
      </c>
      <c r="N815" s="26">
        <v>76014.83</v>
      </c>
      <c r="O815" s="38" t="s">
        <v>43</v>
      </c>
      <c r="P815" s="25">
        <v>76014.83</v>
      </c>
      <c r="Q815" s="25">
        <v>63716.43</v>
      </c>
      <c r="R815" s="10">
        <v>22000</v>
      </c>
      <c r="S815" s="39">
        <v>6970</v>
      </c>
      <c r="T815" s="10" t="s">
        <v>44</v>
      </c>
      <c r="U815" s="10" t="s">
        <v>45</v>
      </c>
      <c r="V815" s="10">
        <v>0</v>
      </c>
      <c r="W815" s="25">
        <f>Table1[[#This Row],[STAB]]-Table1[[#This Row],[AMOUNT]]</f>
        <v>6970</v>
      </c>
      <c r="X815" s="10">
        <v>0</v>
      </c>
      <c r="Y815" s="10" t="s">
        <v>79</v>
      </c>
      <c r="Z815" s="10">
        <v>0</v>
      </c>
      <c r="AA815" s="10" t="s">
        <v>113</v>
      </c>
      <c r="AB815" s="36" t="s">
        <v>133</v>
      </c>
      <c r="AC815" s="10"/>
      <c r="AD815" s="9" t="s">
        <v>5401</v>
      </c>
      <c r="AE815" s="10" t="s">
        <v>5476</v>
      </c>
      <c r="AF815" s="10" t="s">
        <v>283</v>
      </c>
      <c r="AG815" s="10" t="s">
        <v>53</v>
      </c>
      <c r="AH815" s="10" t="s">
        <v>5582</v>
      </c>
      <c r="AI815" s="10" t="s">
        <v>2962</v>
      </c>
      <c r="AJ815" s="10">
        <v>801601134</v>
      </c>
      <c r="AK815" s="10" t="s">
        <v>104</v>
      </c>
      <c r="AL815" s="10"/>
      <c r="AM815" s="10"/>
      <c r="AN815" s="11" t="s">
        <v>390</v>
      </c>
      <c r="AO815" s="10" t="s">
        <v>398</v>
      </c>
      <c r="AP815" s="10" t="s">
        <v>6650</v>
      </c>
      <c r="AQ815" s="10" t="s">
        <v>6399</v>
      </c>
      <c r="AR815" s="2">
        <v>45473</v>
      </c>
      <c r="AS815" s="10">
        <v>50000</v>
      </c>
      <c r="AT815" s="10" t="s">
        <v>832</v>
      </c>
      <c r="AU815" s="10" t="s">
        <v>5102</v>
      </c>
      <c r="AV815" s="36" t="s">
        <v>5552</v>
      </c>
      <c r="AW815" s="1">
        <v>46211</v>
      </c>
    </row>
    <row r="816" spans="1:49" x14ac:dyDescent="0.25">
      <c r="A816" s="9" t="s">
        <v>5173</v>
      </c>
      <c r="B816" s="10" t="s">
        <v>5251</v>
      </c>
      <c r="C816" s="10">
        <v>0</v>
      </c>
      <c r="D816" s="10" t="s">
        <v>91</v>
      </c>
      <c r="E816" s="10"/>
      <c r="F816" s="10"/>
      <c r="G816" s="10"/>
      <c r="H816" s="10" t="s">
        <v>52</v>
      </c>
      <c r="I816" s="10">
        <v>20</v>
      </c>
      <c r="J816" s="10" t="s">
        <v>5326</v>
      </c>
      <c r="K816" s="10" t="s">
        <v>42</v>
      </c>
      <c r="L816" s="10">
        <f>Table1[[#This Row],[ENR]]-Table1[[#This Row],[CREDIT]]</f>
        <v>32938.080000000002</v>
      </c>
      <c r="M816" s="36">
        <v>50000</v>
      </c>
      <c r="N816" s="26">
        <v>82938.080000000002</v>
      </c>
      <c r="O816" s="38">
        <v>22541.23</v>
      </c>
      <c r="P816" s="25">
        <v>60396.85</v>
      </c>
      <c r="Q816" s="25">
        <v>52822.47</v>
      </c>
      <c r="R816" s="10">
        <v>23290</v>
      </c>
      <c r="S816" s="39">
        <v>7910</v>
      </c>
      <c r="T816" s="10" t="s">
        <v>57</v>
      </c>
      <c r="U816" s="10" t="s">
        <v>13</v>
      </c>
      <c r="V816" s="10">
        <v>18901</v>
      </c>
      <c r="W816" s="25">
        <f>Table1[[#This Row],[STAB]]-Table1[[#This Row],[AMOUNT]]</f>
        <v>-10991</v>
      </c>
      <c r="X816" s="10" t="s">
        <v>4931</v>
      </c>
      <c r="Y816" s="10" t="s">
        <v>402</v>
      </c>
      <c r="Z816" s="10" t="s">
        <v>403</v>
      </c>
      <c r="AA816" s="10" t="s">
        <v>113</v>
      </c>
      <c r="AB816" s="36" t="s">
        <v>131</v>
      </c>
      <c r="AC816" s="10"/>
      <c r="AD816" s="9" t="s">
        <v>5402</v>
      </c>
      <c r="AE816" s="10" t="s">
        <v>5477</v>
      </c>
      <c r="AF816" s="10" t="s">
        <v>279</v>
      </c>
      <c r="AG816" s="10" t="s">
        <v>54</v>
      </c>
      <c r="AH816" s="10" t="s">
        <v>358</v>
      </c>
      <c r="AI816" s="10" t="s">
        <v>365</v>
      </c>
      <c r="AJ816" s="10">
        <v>802824019</v>
      </c>
      <c r="AK816" s="10" t="s">
        <v>360</v>
      </c>
      <c r="AL816" s="10"/>
      <c r="AM816" s="10"/>
      <c r="AN816" s="11" t="s">
        <v>390</v>
      </c>
      <c r="AO816" s="10"/>
      <c r="AP816" s="10"/>
      <c r="AQ816" s="10"/>
      <c r="AR816" s="2">
        <v>46060</v>
      </c>
      <c r="AS816" s="10">
        <v>6540</v>
      </c>
      <c r="AT816" s="10" t="s">
        <v>293</v>
      </c>
      <c r="AU816" s="10" t="s">
        <v>5102</v>
      </c>
      <c r="AV816" s="36" t="s">
        <v>5553</v>
      </c>
      <c r="AW816" s="1">
        <v>46211</v>
      </c>
    </row>
    <row r="817" spans="1:49" x14ac:dyDescent="0.25">
      <c r="A817" s="9" t="s">
        <v>5174</v>
      </c>
      <c r="B817" s="10" t="s">
        <v>5252</v>
      </c>
      <c r="C817" s="10">
        <v>0</v>
      </c>
      <c r="D817" s="10" t="s">
        <v>91</v>
      </c>
      <c r="E817" s="10"/>
      <c r="F817" s="10"/>
      <c r="G817" s="10"/>
      <c r="H817" s="10" t="s">
        <v>52</v>
      </c>
      <c r="I817" s="10">
        <v>20</v>
      </c>
      <c r="J817" s="10" t="s">
        <v>5327</v>
      </c>
      <c r="K817" s="10" t="s">
        <v>42</v>
      </c>
      <c r="L817" s="10">
        <f>Table1[[#This Row],[ENR]]-Table1[[#This Row],[CREDIT]]</f>
        <v>5065.1600000000035</v>
      </c>
      <c r="M817" s="36">
        <v>50000</v>
      </c>
      <c r="N817" s="26">
        <v>55065.16</v>
      </c>
      <c r="O817" s="38" t="s">
        <v>43</v>
      </c>
      <c r="P817" s="25">
        <v>55065.16</v>
      </c>
      <c r="Q817" s="25">
        <v>49954.89</v>
      </c>
      <c r="R817" s="10">
        <v>14800</v>
      </c>
      <c r="S817" s="39">
        <v>2500</v>
      </c>
      <c r="T817" s="10" t="s">
        <v>44</v>
      </c>
      <c r="U817" s="10" t="s">
        <v>45</v>
      </c>
      <c r="V817" s="10">
        <v>0</v>
      </c>
      <c r="W817" s="25">
        <f>Table1[[#This Row],[STAB]]-Table1[[#This Row],[AMOUNT]]</f>
        <v>2500</v>
      </c>
      <c r="X817" s="10">
        <v>0</v>
      </c>
      <c r="Y817" s="10" t="s">
        <v>79</v>
      </c>
      <c r="Z817" s="10">
        <v>0</v>
      </c>
      <c r="AA817" s="10" t="s">
        <v>113</v>
      </c>
      <c r="AB817" s="36" t="s">
        <v>374</v>
      </c>
      <c r="AC817" s="10"/>
      <c r="AD817" s="9" t="s">
        <v>5403</v>
      </c>
      <c r="AE817" s="10" t="s">
        <v>5478</v>
      </c>
      <c r="AF817" s="10" t="s">
        <v>285</v>
      </c>
      <c r="AG817" s="10" t="s">
        <v>54</v>
      </c>
      <c r="AH817" s="10" t="s">
        <v>98</v>
      </c>
      <c r="AI817" s="10" t="s">
        <v>727</v>
      </c>
      <c r="AJ817" s="10">
        <v>802898520</v>
      </c>
      <c r="AK817" s="10" t="s">
        <v>104</v>
      </c>
      <c r="AL817" s="10"/>
      <c r="AM817" s="10"/>
      <c r="AN817" s="11" t="s">
        <v>46</v>
      </c>
      <c r="AO817" s="10"/>
      <c r="AP817" s="10"/>
      <c r="AQ817" s="10"/>
      <c r="AR817" s="2">
        <v>45566</v>
      </c>
      <c r="AS817" s="10">
        <v>49500</v>
      </c>
      <c r="AT817" s="10" t="s">
        <v>96</v>
      </c>
      <c r="AU817" s="10" t="s">
        <v>5102</v>
      </c>
      <c r="AV817" s="36" t="s">
        <v>5554</v>
      </c>
      <c r="AW817" s="1">
        <v>46211</v>
      </c>
    </row>
    <row r="818" spans="1:49" x14ac:dyDescent="0.25">
      <c r="A818" s="9" t="s">
        <v>5175</v>
      </c>
      <c r="B818" s="10" t="s">
        <v>5253</v>
      </c>
      <c r="C818" s="10">
        <v>0</v>
      </c>
      <c r="D818" s="10" t="s">
        <v>91</v>
      </c>
      <c r="E818" s="10"/>
      <c r="F818" s="10"/>
      <c r="G818" s="10"/>
      <c r="H818" s="10" t="s">
        <v>52</v>
      </c>
      <c r="I818" s="10">
        <v>20</v>
      </c>
      <c r="J818" s="10" t="s">
        <v>5328</v>
      </c>
      <c r="K818" s="10" t="s">
        <v>42</v>
      </c>
      <c r="L818" s="10">
        <f>Table1[[#This Row],[ENR]]-Table1[[#This Row],[CREDIT]]</f>
        <v>-20079.140000000014</v>
      </c>
      <c r="M818" s="36">
        <v>210000</v>
      </c>
      <c r="N818" s="26">
        <v>189920.86</v>
      </c>
      <c r="O818" s="38">
        <v>45341.58</v>
      </c>
      <c r="P818" s="25">
        <v>144579.28</v>
      </c>
      <c r="Q818" s="25">
        <v>133205.24</v>
      </c>
      <c r="R818" s="10">
        <v>30430</v>
      </c>
      <c r="S818" s="39">
        <v>13130</v>
      </c>
      <c r="T818" s="10" t="s">
        <v>44</v>
      </c>
      <c r="U818" s="10" t="s">
        <v>45</v>
      </c>
      <c r="V818" s="10">
        <v>0</v>
      </c>
      <c r="W818" s="25">
        <f>Table1[[#This Row],[STAB]]-Table1[[#This Row],[AMOUNT]]</f>
        <v>13130</v>
      </c>
      <c r="X818" s="10">
        <v>0</v>
      </c>
      <c r="Y818" s="10" t="s">
        <v>79</v>
      </c>
      <c r="Z818" s="10">
        <v>0</v>
      </c>
      <c r="AA818" s="10" t="s">
        <v>113</v>
      </c>
      <c r="AB818" s="36" t="s">
        <v>131</v>
      </c>
      <c r="AC818" s="10"/>
      <c r="AD818" s="9" t="s">
        <v>5404</v>
      </c>
      <c r="AE818" s="10" t="s">
        <v>5479</v>
      </c>
      <c r="AF818" s="10" t="s">
        <v>500</v>
      </c>
      <c r="AG818" s="10" t="s">
        <v>324</v>
      </c>
      <c r="AH818" s="10" t="s">
        <v>355</v>
      </c>
      <c r="AI818" s="10" t="s">
        <v>372</v>
      </c>
      <c r="AJ818" s="10">
        <v>801597759</v>
      </c>
      <c r="AK818" s="10" t="s">
        <v>362</v>
      </c>
      <c r="AL818" s="10"/>
      <c r="AM818" s="10"/>
      <c r="AN818" s="11" t="s">
        <v>390</v>
      </c>
      <c r="AO818" s="10" t="s">
        <v>398</v>
      </c>
      <c r="AP818" s="10" t="s">
        <v>6385</v>
      </c>
      <c r="AQ818" s="10" t="s">
        <v>6364</v>
      </c>
      <c r="AR818" s="2">
        <v>45477</v>
      </c>
      <c r="AS818" s="10">
        <v>87246.46</v>
      </c>
      <c r="AT818" s="10" t="s">
        <v>293</v>
      </c>
      <c r="AU818" s="10" t="s">
        <v>5102</v>
      </c>
      <c r="AV818" s="36" t="s">
        <v>5555</v>
      </c>
      <c r="AW818" s="1">
        <v>46211</v>
      </c>
    </row>
    <row r="819" spans="1:49" x14ac:dyDescent="0.25">
      <c r="A819" s="9" t="s">
        <v>5176</v>
      </c>
      <c r="B819" s="10" t="s">
        <v>5254</v>
      </c>
      <c r="C819" s="10">
        <v>0</v>
      </c>
      <c r="D819" s="10" t="s">
        <v>91</v>
      </c>
      <c r="E819" s="10"/>
      <c r="F819" s="10"/>
      <c r="G819" s="10"/>
      <c r="H819" s="10" t="s">
        <v>52</v>
      </c>
      <c r="I819" s="10">
        <v>20</v>
      </c>
      <c r="J819" s="10" t="s">
        <v>5329</v>
      </c>
      <c r="K819" s="10" t="s">
        <v>42</v>
      </c>
      <c r="L819" s="10">
        <f>Table1[[#This Row],[ENR]]-Table1[[#This Row],[CREDIT]]</f>
        <v>5467.0399999999936</v>
      </c>
      <c r="M819" s="36">
        <v>90000</v>
      </c>
      <c r="N819" s="26">
        <v>95467.04</v>
      </c>
      <c r="O819" s="38" t="s">
        <v>43</v>
      </c>
      <c r="P819" s="25">
        <v>95467.04</v>
      </c>
      <c r="Q819" s="25">
        <v>84390.52</v>
      </c>
      <c r="R819" s="10">
        <v>21670</v>
      </c>
      <c r="S819" s="39">
        <v>4840</v>
      </c>
      <c r="T819" s="10" t="s">
        <v>44</v>
      </c>
      <c r="U819" s="10" t="s">
        <v>45</v>
      </c>
      <c r="V819" s="10">
        <v>0</v>
      </c>
      <c r="W819" s="25">
        <f>Table1[[#This Row],[STAB]]-Table1[[#This Row],[AMOUNT]]</f>
        <v>4840</v>
      </c>
      <c r="X819" s="10">
        <v>0</v>
      </c>
      <c r="Y819" s="10" t="s">
        <v>79</v>
      </c>
      <c r="Z819" s="10">
        <v>0</v>
      </c>
      <c r="AA819" s="10" t="s">
        <v>113</v>
      </c>
      <c r="AB819" s="36" t="s">
        <v>374</v>
      </c>
      <c r="AC819" s="10"/>
      <c r="AD819" s="9" t="s">
        <v>5405</v>
      </c>
      <c r="AE819" s="10" t="s">
        <v>5480</v>
      </c>
      <c r="AF819" s="10" t="s">
        <v>280</v>
      </c>
      <c r="AG819" s="10" t="s">
        <v>54</v>
      </c>
      <c r="AH819" s="10" t="s">
        <v>523</v>
      </c>
      <c r="AI819" s="10" t="s">
        <v>371</v>
      </c>
      <c r="AJ819" s="10">
        <v>802835406</v>
      </c>
      <c r="AK819" s="10" t="s">
        <v>362</v>
      </c>
      <c r="AL819" s="10"/>
      <c r="AM819" s="10"/>
      <c r="AN819" s="11" t="s">
        <v>46</v>
      </c>
      <c r="AO819" s="10"/>
      <c r="AP819" s="10"/>
      <c r="AQ819" s="10"/>
      <c r="AR819" s="2">
        <v>46148</v>
      </c>
      <c r="AS819" s="10">
        <v>8070</v>
      </c>
      <c r="AT819" s="10" t="s">
        <v>290</v>
      </c>
      <c r="AU819" s="10" t="s">
        <v>5102</v>
      </c>
      <c r="AV819" s="36" t="s">
        <v>5556</v>
      </c>
      <c r="AW819" s="1">
        <v>46211</v>
      </c>
    </row>
    <row r="820" spans="1:49" x14ac:dyDescent="0.25">
      <c r="A820" s="9" t="s">
        <v>5177</v>
      </c>
      <c r="B820" s="10" t="s">
        <v>5255</v>
      </c>
      <c r="C820" s="10">
        <v>0</v>
      </c>
      <c r="D820" s="10" t="s">
        <v>91</v>
      </c>
      <c r="E820" s="10"/>
      <c r="F820" s="10"/>
      <c r="G820" s="10"/>
      <c r="H820" s="10" t="s">
        <v>52</v>
      </c>
      <c r="I820" s="10">
        <v>20</v>
      </c>
      <c r="J820" s="10" t="s">
        <v>5330</v>
      </c>
      <c r="K820" s="10" t="s">
        <v>42</v>
      </c>
      <c r="L820" s="10">
        <f>Table1[[#This Row],[ENR]]-Table1[[#This Row],[CREDIT]]</f>
        <v>347.06999999999971</v>
      </c>
      <c r="M820" s="36">
        <v>60000</v>
      </c>
      <c r="N820" s="26">
        <v>60347.07</v>
      </c>
      <c r="O820" s="38">
        <v>48407.24</v>
      </c>
      <c r="P820" s="25">
        <v>11939.83</v>
      </c>
      <c r="Q820" s="25">
        <v>9198.16</v>
      </c>
      <c r="R820" s="10">
        <v>9770</v>
      </c>
      <c r="S820" s="39">
        <v>3280</v>
      </c>
      <c r="T820" s="10" t="s">
        <v>57</v>
      </c>
      <c r="U820" s="10" t="s">
        <v>14</v>
      </c>
      <c r="V820" s="10">
        <v>3300</v>
      </c>
      <c r="W820" s="25">
        <f>Table1[[#This Row],[STAB]]-Table1[[#This Row],[AMOUNT]]</f>
        <v>-20</v>
      </c>
      <c r="X820" s="10" t="s">
        <v>4931</v>
      </c>
      <c r="Y820" s="10" t="s">
        <v>402</v>
      </c>
      <c r="Z820" s="10" t="s">
        <v>403</v>
      </c>
      <c r="AA820" s="10" t="s">
        <v>113</v>
      </c>
      <c r="AB820" s="36" t="s">
        <v>131</v>
      </c>
      <c r="AC820" s="10"/>
      <c r="AD820" s="9" t="s">
        <v>5406</v>
      </c>
      <c r="AE820" s="10" t="s">
        <v>5481</v>
      </c>
      <c r="AF820" s="10" t="s">
        <v>500</v>
      </c>
      <c r="AG820" s="10" t="s">
        <v>324</v>
      </c>
      <c r="AH820" s="10" t="s">
        <v>355</v>
      </c>
      <c r="AI820" s="10" t="s">
        <v>372</v>
      </c>
      <c r="AJ820" s="10">
        <v>801597759</v>
      </c>
      <c r="AK820" s="10" t="s">
        <v>362</v>
      </c>
      <c r="AL820" s="10"/>
      <c r="AM820" s="10"/>
      <c r="AN820" s="11" t="s">
        <v>390</v>
      </c>
      <c r="AO820" s="10"/>
      <c r="AP820" s="10"/>
      <c r="AQ820" s="10"/>
      <c r="AR820" s="2">
        <v>45907</v>
      </c>
      <c r="AS820" s="10">
        <v>3370</v>
      </c>
      <c r="AT820" s="10" t="s">
        <v>293</v>
      </c>
      <c r="AU820" s="10" t="s">
        <v>5102</v>
      </c>
      <c r="AV820" s="36" t="s">
        <v>5557</v>
      </c>
      <c r="AW820" s="1">
        <v>46211</v>
      </c>
    </row>
    <row r="821" spans="1:49" x14ac:dyDescent="0.25">
      <c r="A821" s="9" t="s">
        <v>5178</v>
      </c>
      <c r="B821" s="10" t="s">
        <v>5256</v>
      </c>
      <c r="C821" s="10">
        <v>0</v>
      </c>
      <c r="D821" s="10" t="s">
        <v>91</v>
      </c>
      <c r="E821" s="10"/>
      <c r="F821" s="10"/>
      <c r="G821" s="10"/>
      <c r="H821" s="10" t="s">
        <v>52</v>
      </c>
      <c r="I821" s="10">
        <v>20</v>
      </c>
      <c r="J821" s="10" t="s">
        <v>5331</v>
      </c>
      <c r="K821" s="10" t="s">
        <v>42</v>
      </c>
      <c r="L821" s="10">
        <f>Table1[[#This Row],[ENR]]-Table1[[#This Row],[CREDIT]]</f>
        <v>8538.4900000000052</v>
      </c>
      <c r="M821" s="36">
        <v>80000</v>
      </c>
      <c r="N821" s="26">
        <v>88538.49</v>
      </c>
      <c r="O821" s="38" t="s">
        <v>43</v>
      </c>
      <c r="P821" s="25">
        <v>88538.49</v>
      </c>
      <c r="Q821" s="25">
        <v>79747.179999999993</v>
      </c>
      <c r="R821" s="10">
        <v>22020</v>
      </c>
      <c r="S821" s="39">
        <v>7990</v>
      </c>
      <c r="T821" s="10" t="s">
        <v>44</v>
      </c>
      <c r="U821" s="10" t="s">
        <v>45</v>
      </c>
      <c r="V821" s="10">
        <v>0</v>
      </c>
      <c r="W821" s="25">
        <f>Table1[[#This Row],[STAB]]-Table1[[#This Row],[AMOUNT]]</f>
        <v>7990</v>
      </c>
      <c r="X821" s="10">
        <v>0</v>
      </c>
      <c r="Y821" s="10" t="s">
        <v>79</v>
      </c>
      <c r="Z821" s="10">
        <v>0</v>
      </c>
      <c r="AA821" s="10" t="s">
        <v>113</v>
      </c>
      <c r="AB821" s="36" t="s">
        <v>133</v>
      </c>
      <c r="AC821" s="10"/>
      <c r="AD821" s="9" t="s">
        <v>5407</v>
      </c>
      <c r="AE821" s="10" t="s">
        <v>5482</v>
      </c>
      <c r="AF821" s="10" t="s">
        <v>281</v>
      </c>
      <c r="AG821" s="10" t="s">
        <v>54</v>
      </c>
      <c r="AH821" s="10" t="s">
        <v>58</v>
      </c>
      <c r="AI821" s="10" t="s">
        <v>133</v>
      </c>
      <c r="AJ821" s="10">
        <v>802555024</v>
      </c>
      <c r="AK821" s="10" t="s">
        <v>362</v>
      </c>
      <c r="AL821" s="10"/>
      <c r="AM821" s="10"/>
      <c r="AN821" s="11" t="s">
        <v>390</v>
      </c>
      <c r="AO821" s="10" t="s">
        <v>392</v>
      </c>
      <c r="AP821" s="10" t="s">
        <v>6230</v>
      </c>
      <c r="AQ821" s="10" t="s">
        <v>4937</v>
      </c>
      <c r="AR821" s="2">
        <v>45603</v>
      </c>
      <c r="AS821" s="10">
        <v>7350</v>
      </c>
      <c r="AT821" s="10" t="s">
        <v>288</v>
      </c>
      <c r="AU821" s="10" t="s">
        <v>5102</v>
      </c>
      <c r="AV821" s="36" t="s">
        <v>5558</v>
      </c>
      <c r="AW821" s="1">
        <v>46211</v>
      </c>
    </row>
    <row r="822" spans="1:49" x14ac:dyDescent="0.25">
      <c r="A822" s="9" t="s">
        <v>5179</v>
      </c>
      <c r="B822" s="10" t="s">
        <v>5257</v>
      </c>
      <c r="C822" s="10">
        <v>0</v>
      </c>
      <c r="D822" s="10" t="s">
        <v>91</v>
      </c>
      <c r="E822" s="10"/>
      <c r="F822" s="10"/>
      <c r="G822" s="10"/>
      <c r="H822" s="10" t="s">
        <v>84</v>
      </c>
      <c r="I822" s="10">
        <v>20</v>
      </c>
      <c r="J822" s="10" t="s">
        <v>5332</v>
      </c>
      <c r="K822" s="10" t="s">
        <v>42</v>
      </c>
      <c r="L822" s="10">
        <f>Table1[[#This Row],[ENR]]-Table1[[#This Row],[CREDIT]]</f>
        <v>4068.5</v>
      </c>
      <c r="M822" s="36">
        <v>90000</v>
      </c>
      <c r="N822" s="26">
        <v>94068.5</v>
      </c>
      <c r="O822" s="38" t="s">
        <v>43</v>
      </c>
      <c r="P822" s="25">
        <v>94068.5</v>
      </c>
      <c r="Q822" s="25">
        <v>88185.94</v>
      </c>
      <c r="R822" s="10">
        <v>24170</v>
      </c>
      <c r="S822" s="39">
        <v>14220</v>
      </c>
      <c r="T822" s="10" t="s">
        <v>44</v>
      </c>
      <c r="U822" s="10" t="s">
        <v>45</v>
      </c>
      <c r="V822" s="10">
        <v>0</v>
      </c>
      <c r="W822" s="25">
        <f>Table1[[#This Row],[STAB]]-Table1[[#This Row],[AMOUNT]]</f>
        <v>14220</v>
      </c>
      <c r="X822" s="10">
        <v>0</v>
      </c>
      <c r="Y822" s="10" t="s">
        <v>79</v>
      </c>
      <c r="Z822" s="10">
        <v>0</v>
      </c>
      <c r="AA822" s="10" t="s">
        <v>113</v>
      </c>
      <c r="AB822" s="36" t="s">
        <v>132</v>
      </c>
      <c r="AC822" s="10"/>
      <c r="AD822" s="9" t="s">
        <v>5408</v>
      </c>
      <c r="AE822" s="10" t="s">
        <v>5483</v>
      </c>
      <c r="AF822" s="10" t="s">
        <v>687</v>
      </c>
      <c r="AG822" s="10" t="s">
        <v>53</v>
      </c>
      <c r="AH822" s="10" t="s">
        <v>83</v>
      </c>
      <c r="AI822" s="10" t="s">
        <v>728</v>
      </c>
      <c r="AJ822" s="10">
        <v>802349062</v>
      </c>
      <c r="AK822" s="10" t="s">
        <v>104</v>
      </c>
      <c r="AL822" s="10"/>
      <c r="AM822" s="10"/>
      <c r="AN822" s="11" t="s">
        <v>46</v>
      </c>
      <c r="AO822" s="10"/>
      <c r="AP822" s="10"/>
      <c r="AQ822" s="10"/>
      <c r="AR822" s="2">
        <v>46162</v>
      </c>
      <c r="AS822" s="10">
        <v>800</v>
      </c>
      <c r="AT822" s="10" t="s">
        <v>288</v>
      </c>
      <c r="AU822" s="10" t="s">
        <v>5102</v>
      </c>
      <c r="AV822" s="36" t="s">
        <v>5559</v>
      </c>
      <c r="AW822" s="1">
        <v>46211</v>
      </c>
    </row>
    <row r="823" spans="1:49" x14ac:dyDescent="0.25">
      <c r="A823" s="9" t="s">
        <v>5180</v>
      </c>
      <c r="B823" s="10" t="s">
        <v>5258</v>
      </c>
      <c r="C823" s="10">
        <v>0</v>
      </c>
      <c r="D823" s="10" t="s">
        <v>91</v>
      </c>
      <c r="E823" s="10"/>
      <c r="F823" s="10"/>
      <c r="G823" s="10"/>
      <c r="H823" s="10" t="s">
        <v>52</v>
      </c>
      <c r="I823" s="10">
        <v>20</v>
      </c>
      <c r="J823" s="10" t="s">
        <v>5333</v>
      </c>
      <c r="K823" s="10" t="s">
        <v>42</v>
      </c>
      <c r="L823" s="10">
        <f>Table1[[#This Row],[ENR]]-Table1[[#This Row],[CREDIT]]</f>
        <v>-15646.93</v>
      </c>
      <c r="M823" s="36">
        <v>70000</v>
      </c>
      <c r="N823" s="26">
        <v>54353.07</v>
      </c>
      <c r="O823" s="38" t="s">
        <v>43</v>
      </c>
      <c r="P823" s="25">
        <v>54353.07</v>
      </c>
      <c r="Q823" s="25">
        <v>50000</v>
      </c>
      <c r="R823" s="10">
        <v>6770</v>
      </c>
      <c r="S823" s="39">
        <v>2500</v>
      </c>
      <c r="T823" s="10" t="s">
        <v>44</v>
      </c>
      <c r="U823" s="10" t="s">
        <v>45</v>
      </c>
      <c r="V823" s="10">
        <v>0</v>
      </c>
      <c r="W823" s="25">
        <f>Table1[[#This Row],[STAB]]-Table1[[#This Row],[AMOUNT]]</f>
        <v>2500</v>
      </c>
      <c r="X823" s="10">
        <v>0</v>
      </c>
      <c r="Y823" s="10" t="s">
        <v>79</v>
      </c>
      <c r="Z823" s="10">
        <v>0</v>
      </c>
      <c r="AA823" s="10" t="s">
        <v>113</v>
      </c>
      <c r="AB823" s="36" t="s">
        <v>133</v>
      </c>
      <c r="AC823" s="10"/>
      <c r="AD823" s="9" t="s">
        <v>5409</v>
      </c>
      <c r="AE823" s="10" t="s">
        <v>5484</v>
      </c>
      <c r="AF823" s="10" t="s">
        <v>864</v>
      </c>
      <c r="AG823" s="10" t="s">
        <v>54</v>
      </c>
      <c r="AH823" s="10" t="s">
        <v>1398</v>
      </c>
      <c r="AI823" s="10" t="s">
        <v>162</v>
      </c>
      <c r="AJ823" s="10">
        <v>801772794</v>
      </c>
      <c r="AK823" s="10" t="s">
        <v>361</v>
      </c>
      <c r="AL823" s="10"/>
      <c r="AM823" s="10"/>
      <c r="AN823" s="11" t="s">
        <v>46</v>
      </c>
      <c r="AO823" s="10"/>
      <c r="AP823" s="10"/>
      <c r="AQ823" s="10"/>
      <c r="AR823" s="2" t="s">
        <v>43</v>
      </c>
      <c r="AS823" s="10">
        <v>0</v>
      </c>
      <c r="AT823" s="10" t="s">
        <v>48</v>
      </c>
      <c r="AU823" s="10" t="s">
        <v>5102</v>
      </c>
      <c r="AV823" s="36" t="s">
        <v>5560</v>
      </c>
      <c r="AW823" s="1">
        <v>46211</v>
      </c>
    </row>
    <row r="824" spans="1:49" x14ac:dyDescent="0.25">
      <c r="A824" s="9" t="s">
        <v>5181</v>
      </c>
      <c r="B824" s="10" t="s">
        <v>5259</v>
      </c>
      <c r="C824" s="10">
        <v>0</v>
      </c>
      <c r="D824" s="10" t="s">
        <v>91</v>
      </c>
      <c r="E824" s="10"/>
      <c r="F824" s="10"/>
      <c r="G824" s="10"/>
      <c r="H824" s="10" t="s">
        <v>52</v>
      </c>
      <c r="I824" s="10">
        <v>23</v>
      </c>
      <c r="J824" s="10" t="s">
        <v>5334</v>
      </c>
      <c r="K824" s="10" t="s">
        <v>42</v>
      </c>
      <c r="L824" s="10">
        <f>Table1[[#This Row],[ENR]]-Table1[[#This Row],[CREDIT]]</f>
        <v>10834.570000000007</v>
      </c>
      <c r="M824" s="36">
        <v>104000</v>
      </c>
      <c r="N824" s="26">
        <v>114834.57</v>
      </c>
      <c r="O824" s="38" t="s">
        <v>43</v>
      </c>
      <c r="P824" s="25">
        <v>114834.57</v>
      </c>
      <c r="Q824" s="25">
        <v>101405.54</v>
      </c>
      <c r="R824" s="10">
        <v>29930</v>
      </c>
      <c r="S824" s="39">
        <v>12420</v>
      </c>
      <c r="T824" s="10" t="s">
        <v>57</v>
      </c>
      <c r="U824" s="10" t="s">
        <v>13</v>
      </c>
      <c r="V824" s="10">
        <v>0</v>
      </c>
      <c r="W824" s="25">
        <f>Table1[[#This Row],[STAB]]-Table1[[#This Row],[AMOUNT]]</f>
        <v>12420</v>
      </c>
      <c r="X824" s="10">
        <v>0</v>
      </c>
      <c r="Y824" s="10" t="s">
        <v>388</v>
      </c>
      <c r="Z824" s="10" t="s">
        <v>403</v>
      </c>
      <c r="AA824" s="10" t="s">
        <v>162</v>
      </c>
      <c r="AB824" s="36" t="s">
        <v>734</v>
      </c>
      <c r="AC824" s="10"/>
      <c r="AD824" s="9" t="s">
        <v>5410</v>
      </c>
      <c r="AE824" s="10" t="s">
        <v>5485</v>
      </c>
      <c r="AF824" s="10" t="s">
        <v>275</v>
      </c>
      <c r="AG824" s="10" t="s">
        <v>80</v>
      </c>
      <c r="AH824" s="10" t="s">
        <v>1999</v>
      </c>
      <c r="AI824" s="10" t="s">
        <v>368</v>
      </c>
      <c r="AJ824" s="10">
        <v>802823175</v>
      </c>
      <c r="AK824" s="10" t="s">
        <v>105</v>
      </c>
      <c r="AL824" s="10"/>
      <c r="AM824" s="10"/>
      <c r="AN824" s="11" t="s">
        <v>390</v>
      </c>
      <c r="AO824" s="10"/>
      <c r="AP824" s="10"/>
      <c r="AQ824" s="10"/>
      <c r="AR824" s="2">
        <v>46030</v>
      </c>
      <c r="AS824" s="10">
        <v>9420</v>
      </c>
      <c r="AT824" s="10" t="s">
        <v>937</v>
      </c>
      <c r="AU824" s="10" t="s">
        <v>5102</v>
      </c>
      <c r="AV824" s="36" t="s">
        <v>5561</v>
      </c>
      <c r="AW824" s="1">
        <v>46214</v>
      </c>
    </row>
    <row r="825" spans="1:49" x14ac:dyDescent="0.25">
      <c r="A825" s="9" t="s">
        <v>5182</v>
      </c>
      <c r="B825" s="10" t="s">
        <v>5260</v>
      </c>
      <c r="C825" s="10">
        <v>0</v>
      </c>
      <c r="D825" s="10" t="s">
        <v>91</v>
      </c>
      <c r="E825" s="10"/>
      <c r="F825" s="10"/>
      <c r="G825" s="10"/>
      <c r="H825" s="10" t="s">
        <v>52</v>
      </c>
      <c r="I825" s="10">
        <v>23</v>
      </c>
      <c r="J825" s="10" t="s">
        <v>5335</v>
      </c>
      <c r="K825" s="10" t="s">
        <v>42</v>
      </c>
      <c r="L825" s="10">
        <f>Table1[[#This Row],[ENR]]-Table1[[#This Row],[CREDIT]]</f>
        <v>-285504.55</v>
      </c>
      <c r="M825" s="36">
        <v>430000</v>
      </c>
      <c r="N825" s="26">
        <v>144495.45000000001</v>
      </c>
      <c r="O825" s="38" t="s">
        <v>43</v>
      </c>
      <c r="P825" s="25">
        <v>144495.45000000001</v>
      </c>
      <c r="Q825" s="25">
        <v>132625.53</v>
      </c>
      <c r="R825" s="10">
        <v>23870</v>
      </c>
      <c r="S825" s="39">
        <v>5647.14</v>
      </c>
      <c r="T825" s="10" t="s">
        <v>44</v>
      </c>
      <c r="U825" s="10" t="s">
        <v>45</v>
      </c>
      <c r="V825" s="10">
        <v>0</v>
      </c>
      <c r="W825" s="25">
        <f>Table1[[#This Row],[STAB]]-Table1[[#This Row],[AMOUNT]]</f>
        <v>5647.14</v>
      </c>
      <c r="X825" s="10">
        <v>0</v>
      </c>
      <c r="Y825" s="10" t="s">
        <v>79</v>
      </c>
      <c r="Z825" s="10">
        <v>0</v>
      </c>
      <c r="AA825" s="10" t="s">
        <v>162</v>
      </c>
      <c r="AB825" s="36" t="s">
        <v>734</v>
      </c>
      <c r="AC825" s="10"/>
      <c r="AD825" s="9" t="s">
        <v>5411</v>
      </c>
      <c r="AE825" s="10" t="s">
        <v>5486</v>
      </c>
      <c r="AF825" s="10" t="s">
        <v>272</v>
      </c>
      <c r="AG825" s="10" t="s">
        <v>54</v>
      </c>
      <c r="AH825" s="10" t="s">
        <v>114</v>
      </c>
      <c r="AI825" s="10" t="s">
        <v>726</v>
      </c>
      <c r="AJ825" s="10">
        <v>801772792</v>
      </c>
      <c r="AK825" s="10" t="s">
        <v>105</v>
      </c>
      <c r="AL825" s="10"/>
      <c r="AM825" s="10"/>
      <c r="AN825" s="11" t="s">
        <v>46</v>
      </c>
      <c r="AO825" s="10"/>
      <c r="AP825" s="10"/>
      <c r="AQ825" s="10"/>
      <c r="AR825" s="2">
        <v>46154</v>
      </c>
      <c r="AS825" s="10">
        <v>39000</v>
      </c>
      <c r="AT825" s="10" t="s">
        <v>291</v>
      </c>
      <c r="AU825" s="10" t="s">
        <v>5102</v>
      </c>
      <c r="AV825" s="36" t="s">
        <v>5562</v>
      </c>
      <c r="AW825" s="1">
        <v>46214</v>
      </c>
    </row>
    <row r="826" spans="1:49" x14ac:dyDescent="0.25">
      <c r="A826" s="9" t="s">
        <v>5183</v>
      </c>
      <c r="B826" s="10" t="s">
        <v>5261</v>
      </c>
      <c r="C826" s="10">
        <v>0</v>
      </c>
      <c r="D826" s="10" t="s">
        <v>91</v>
      </c>
      <c r="E826" s="10"/>
      <c r="F826" s="10"/>
      <c r="G826" s="10"/>
      <c r="H826" s="10" t="s">
        <v>52</v>
      </c>
      <c r="I826" s="10">
        <v>23</v>
      </c>
      <c r="J826" s="10" t="s">
        <v>5336</v>
      </c>
      <c r="K826" s="10" t="s">
        <v>42</v>
      </c>
      <c r="L826" s="10">
        <f>Table1[[#This Row],[ENR]]-Table1[[#This Row],[CREDIT]]</f>
        <v>5829.1100000000006</v>
      </c>
      <c r="M826" s="36">
        <v>50000</v>
      </c>
      <c r="N826" s="26">
        <v>55829.11</v>
      </c>
      <c r="O826" s="38" t="s">
        <v>43</v>
      </c>
      <c r="P826" s="25">
        <v>55829.11</v>
      </c>
      <c r="Q826" s="25">
        <v>49941.09</v>
      </c>
      <c r="R826" s="10">
        <v>14660</v>
      </c>
      <c r="S826" s="39">
        <v>4760</v>
      </c>
      <c r="T826" s="10" t="s">
        <v>44</v>
      </c>
      <c r="U826" s="10" t="s">
        <v>45</v>
      </c>
      <c r="V826" s="10">
        <v>0</v>
      </c>
      <c r="W826" s="25">
        <f>Table1[[#This Row],[STAB]]-Table1[[#This Row],[AMOUNT]]</f>
        <v>4760</v>
      </c>
      <c r="X826" s="10">
        <v>0</v>
      </c>
      <c r="Y826" s="10" t="s">
        <v>79</v>
      </c>
      <c r="Z826" s="10">
        <v>0</v>
      </c>
      <c r="AA826" s="10" t="s">
        <v>162</v>
      </c>
      <c r="AB826" s="36" t="s">
        <v>734</v>
      </c>
      <c r="AC826" s="10"/>
      <c r="AD826" s="9" t="s">
        <v>5412</v>
      </c>
      <c r="AE826" s="10" t="s">
        <v>5487</v>
      </c>
      <c r="AF826" s="10" t="s">
        <v>272</v>
      </c>
      <c r="AG826" s="10" t="s">
        <v>54</v>
      </c>
      <c r="AH826" s="10" t="s">
        <v>114</v>
      </c>
      <c r="AI826" s="10" t="s">
        <v>726</v>
      </c>
      <c r="AJ826" s="10">
        <v>801772792</v>
      </c>
      <c r="AK826" s="10" t="s">
        <v>105</v>
      </c>
      <c r="AL826" s="10"/>
      <c r="AM826" s="10"/>
      <c r="AN826" s="11" t="s">
        <v>46</v>
      </c>
      <c r="AO826" s="10"/>
      <c r="AP826" s="10"/>
      <c r="AQ826" s="10"/>
      <c r="AR826" s="2">
        <v>45482</v>
      </c>
      <c r="AS826" s="10">
        <v>52331.79</v>
      </c>
      <c r="AT826" s="10" t="s">
        <v>1322</v>
      </c>
      <c r="AU826" s="10" t="s">
        <v>5102</v>
      </c>
      <c r="AV826" s="36" t="s">
        <v>5563</v>
      </c>
      <c r="AW826" s="1">
        <v>46214</v>
      </c>
    </row>
    <row r="827" spans="1:49" x14ac:dyDescent="0.25">
      <c r="A827" s="9" t="s">
        <v>5184</v>
      </c>
      <c r="B827" s="10" t="s">
        <v>5262</v>
      </c>
      <c r="C827" s="10" t="s">
        <v>97</v>
      </c>
      <c r="D827" s="10" t="s">
        <v>91</v>
      </c>
      <c r="E827" s="10">
        <v>1</v>
      </c>
      <c r="F827" s="10"/>
      <c r="G827" s="10"/>
      <c r="H827" s="10" t="s">
        <v>84</v>
      </c>
      <c r="I827" s="10">
        <v>23</v>
      </c>
      <c r="J827" s="10" t="s">
        <v>5337</v>
      </c>
      <c r="K827" s="10" t="s">
        <v>42</v>
      </c>
      <c r="L827" s="10">
        <f>Table1[[#This Row],[ENR]]-Table1[[#This Row],[CREDIT]]</f>
        <v>35125.440000000002</v>
      </c>
      <c r="M827" s="36">
        <v>480000</v>
      </c>
      <c r="N827" s="26">
        <v>515125.44</v>
      </c>
      <c r="O827" s="38" t="s">
        <v>43</v>
      </c>
      <c r="P827" s="25">
        <v>515125.44</v>
      </c>
      <c r="Q827" s="25">
        <v>470795.77</v>
      </c>
      <c r="R827" s="10">
        <v>178120</v>
      </c>
      <c r="S827" s="39">
        <v>88419.99</v>
      </c>
      <c r="T827" s="10" t="s">
        <v>44</v>
      </c>
      <c r="U827" s="10" t="s">
        <v>45</v>
      </c>
      <c r="V827" s="10">
        <v>0</v>
      </c>
      <c r="W827" s="25">
        <f>Table1[[#This Row],[STAB]]-Table1[[#This Row],[AMOUNT]]</f>
        <v>88419.99</v>
      </c>
      <c r="X827" s="10">
        <v>0</v>
      </c>
      <c r="Y827" s="10" t="s">
        <v>79</v>
      </c>
      <c r="Z827" s="10">
        <v>0</v>
      </c>
      <c r="AA827" s="10" t="s">
        <v>162</v>
      </c>
      <c r="AB827" s="36" t="s">
        <v>733</v>
      </c>
      <c r="AC827" s="10"/>
      <c r="AD827" s="9" t="s">
        <v>5413</v>
      </c>
      <c r="AE827" s="10" t="s">
        <v>5488</v>
      </c>
      <c r="AF827" s="10" t="s">
        <v>864</v>
      </c>
      <c r="AG827" s="10" t="s">
        <v>54</v>
      </c>
      <c r="AH827" s="10" t="s">
        <v>358</v>
      </c>
      <c r="AI827" s="10" t="s">
        <v>162</v>
      </c>
      <c r="AJ827" s="10">
        <v>801772794</v>
      </c>
      <c r="AK827" s="10" t="s">
        <v>361</v>
      </c>
      <c r="AL827" s="10"/>
      <c r="AM827" s="10"/>
      <c r="AN827" s="11" t="s">
        <v>390</v>
      </c>
      <c r="AO827" s="10" t="s">
        <v>392</v>
      </c>
      <c r="AP827" s="10" t="s">
        <v>6232</v>
      </c>
      <c r="AQ827" s="10" t="s">
        <v>4937</v>
      </c>
      <c r="AR827" s="2">
        <v>46188</v>
      </c>
      <c r="AS827" s="10">
        <v>1490.01</v>
      </c>
      <c r="AT827" s="10" t="s">
        <v>503</v>
      </c>
      <c r="AU827" s="10" t="s">
        <v>5102</v>
      </c>
      <c r="AV827" s="36" t="s">
        <v>5564</v>
      </c>
      <c r="AW827" s="1">
        <v>46214</v>
      </c>
    </row>
    <row r="828" spans="1:49" x14ac:dyDescent="0.25">
      <c r="A828" s="9" t="s">
        <v>5185</v>
      </c>
      <c r="B828" s="10" t="s">
        <v>5263</v>
      </c>
      <c r="C828" s="10">
        <v>0</v>
      </c>
      <c r="D828" s="10" t="s">
        <v>91</v>
      </c>
      <c r="E828" s="10"/>
      <c r="F828" s="10"/>
      <c r="G828" s="10"/>
      <c r="H828" s="10" t="s">
        <v>52</v>
      </c>
      <c r="I828" s="10">
        <v>23</v>
      </c>
      <c r="J828" s="10" t="s">
        <v>5338</v>
      </c>
      <c r="K828" s="10" t="s">
        <v>42</v>
      </c>
      <c r="L828" s="10">
        <f>Table1[[#This Row],[ENR]]-Table1[[#This Row],[CREDIT]]</f>
        <v>6747.429999999993</v>
      </c>
      <c r="M828" s="36">
        <v>60000</v>
      </c>
      <c r="N828" s="26">
        <v>66747.429999999993</v>
      </c>
      <c r="O828" s="38" t="s">
        <v>43</v>
      </c>
      <c r="P828" s="25">
        <v>66747.429999999993</v>
      </c>
      <c r="Q828" s="25">
        <v>60708</v>
      </c>
      <c r="R828" s="10">
        <v>18310</v>
      </c>
      <c r="S828" s="39">
        <v>5090</v>
      </c>
      <c r="T828" s="10" t="s">
        <v>44</v>
      </c>
      <c r="U828" s="10" t="s">
        <v>45</v>
      </c>
      <c r="V828" s="10">
        <v>0</v>
      </c>
      <c r="W828" s="25">
        <f>Table1[[#This Row],[STAB]]-Table1[[#This Row],[AMOUNT]]</f>
        <v>5090</v>
      </c>
      <c r="X828" s="10">
        <v>0</v>
      </c>
      <c r="Y828" s="10" t="s">
        <v>79</v>
      </c>
      <c r="Z828" s="10">
        <v>0</v>
      </c>
      <c r="AA828" s="10" t="s">
        <v>162</v>
      </c>
      <c r="AB828" s="36" t="s">
        <v>736</v>
      </c>
      <c r="AC828" s="10"/>
      <c r="AD828" s="9" t="s">
        <v>5414</v>
      </c>
      <c r="AE828" s="10" t="s">
        <v>5489</v>
      </c>
      <c r="AF828" s="10" t="s">
        <v>278</v>
      </c>
      <c r="AG828" s="10" t="s">
        <v>54</v>
      </c>
      <c r="AH828" s="10" t="s">
        <v>358</v>
      </c>
      <c r="AI828" s="10" t="s">
        <v>365</v>
      </c>
      <c r="AJ828" s="10">
        <v>802824019</v>
      </c>
      <c r="AK828" s="10" t="s">
        <v>360</v>
      </c>
      <c r="AL828" s="10"/>
      <c r="AM828" s="10"/>
      <c r="AN828" s="11" t="s">
        <v>46</v>
      </c>
      <c r="AO828" s="10"/>
      <c r="AP828" s="10"/>
      <c r="AQ828" s="10"/>
      <c r="AR828" s="2">
        <v>46154</v>
      </c>
      <c r="AS828" s="10">
        <v>60704.97</v>
      </c>
      <c r="AT828" s="10" t="s">
        <v>503</v>
      </c>
      <c r="AU828" s="10" t="s">
        <v>5102</v>
      </c>
      <c r="AV828" s="36" t="s">
        <v>5565</v>
      </c>
      <c r="AW828" s="1">
        <v>46214</v>
      </c>
    </row>
    <row r="829" spans="1:49" x14ac:dyDescent="0.25">
      <c r="A829" s="9" t="s">
        <v>5186</v>
      </c>
      <c r="B829" s="10" t="s">
        <v>5264</v>
      </c>
      <c r="C829" s="10">
        <v>0</v>
      </c>
      <c r="D829" s="10" t="s">
        <v>91</v>
      </c>
      <c r="E829" s="10"/>
      <c r="F829" s="10"/>
      <c r="G829" s="10"/>
      <c r="H829" s="10" t="s">
        <v>52</v>
      </c>
      <c r="I829" s="10">
        <v>23</v>
      </c>
      <c r="J829" s="10" t="s">
        <v>5339</v>
      </c>
      <c r="K829" s="10" t="s">
        <v>42</v>
      </c>
      <c r="L829" s="10">
        <f>Table1[[#This Row],[ENR]]-Table1[[#This Row],[CREDIT]]</f>
        <v>9419.7299999999959</v>
      </c>
      <c r="M829" s="36">
        <v>90000</v>
      </c>
      <c r="N829" s="26">
        <v>99419.73</v>
      </c>
      <c r="O829" s="38">
        <v>604.77</v>
      </c>
      <c r="P829" s="25">
        <v>98814.96</v>
      </c>
      <c r="Q829" s="25">
        <v>87153.22</v>
      </c>
      <c r="R829" s="10">
        <v>26630</v>
      </c>
      <c r="S829" s="39">
        <v>6110</v>
      </c>
      <c r="T829" s="10" t="s">
        <v>44</v>
      </c>
      <c r="U829" s="10" t="s">
        <v>45</v>
      </c>
      <c r="V829" s="10">
        <v>0</v>
      </c>
      <c r="W829" s="25">
        <f>Table1[[#This Row],[STAB]]-Table1[[#This Row],[AMOUNT]]</f>
        <v>6110</v>
      </c>
      <c r="X829" s="10">
        <v>0</v>
      </c>
      <c r="Y829" s="10" t="s">
        <v>79</v>
      </c>
      <c r="Z829" s="10">
        <v>0</v>
      </c>
      <c r="AA829" s="10" t="s">
        <v>162</v>
      </c>
      <c r="AB829" s="36" t="s">
        <v>736</v>
      </c>
      <c r="AC829" s="10"/>
      <c r="AD829" s="9" t="s">
        <v>5415</v>
      </c>
      <c r="AE829" s="10" t="s">
        <v>5490</v>
      </c>
      <c r="AF829" s="10" t="s">
        <v>276</v>
      </c>
      <c r="AG829" s="10" t="s">
        <v>324</v>
      </c>
      <c r="AH829" s="10" t="s">
        <v>354</v>
      </c>
      <c r="AI829" s="10" t="s">
        <v>367</v>
      </c>
      <c r="AJ829" s="10">
        <v>801436997</v>
      </c>
      <c r="AK829" s="10" t="s">
        <v>104</v>
      </c>
      <c r="AL829" s="10"/>
      <c r="AM829" s="10"/>
      <c r="AN829" s="11" t="s">
        <v>390</v>
      </c>
      <c r="AO829" s="10" t="s">
        <v>531</v>
      </c>
      <c r="AP829" s="10" t="s">
        <v>6403</v>
      </c>
      <c r="AQ829" s="10" t="s">
        <v>6399</v>
      </c>
      <c r="AR829" s="2">
        <v>46106</v>
      </c>
      <c r="AS829" s="10">
        <v>50000</v>
      </c>
      <c r="AT829" s="10" t="s">
        <v>503</v>
      </c>
      <c r="AU829" s="10" t="s">
        <v>5102</v>
      </c>
      <c r="AV829" s="36" t="s">
        <v>5566</v>
      </c>
      <c r="AW829" s="1">
        <v>46214</v>
      </c>
    </row>
    <row r="830" spans="1:49" x14ac:dyDescent="0.25">
      <c r="A830" s="9" t="s">
        <v>5187</v>
      </c>
      <c r="B830" s="10" t="s">
        <v>5265</v>
      </c>
      <c r="C830" s="10">
        <v>0</v>
      </c>
      <c r="D830" s="10" t="s">
        <v>91</v>
      </c>
      <c r="E830" s="10"/>
      <c r="F830" s="10"/>
      <c r="G830" s="10"/>
      <c r="H830" s="10" t="s">
        <v>52</v>
      </c>
      <c r="I830" s="10">
        <v>23</v>
      </c>
      <c r="J830" s="10" t="s">
        <v>5340</v>
      </c>
      <c r="K830" s="10" t="s">
        <v>42</v>
      </c>
      <c r="L830" s="10">
        <f>Table1[[#This Row],[ENR]]-Table1[[#This Row],[CREDIT]]</f>
        <v>26234.289999999979</v>
      </c>
      <c r="M830" s="36">
        <v>270000</v>
      </c>
      <c r="N830" s="26">
        <v>296234.28999999998</v>
      </c>
      <c r="O830" s="38" t="s">
        <v>43</v>
      </c>
      <c r="P830" s="25">
        <v>296234.28999999998</v>
      </c>
      <c r="Q830" s="25">
        <v>269980.46000000002</v>
      </c>
      <c r="R830" s="10">
        <v>67700</v>
      </c>
      <c r="S830" s="39">
        <v>27300</v>
      </c>
      <c r="T830" s="10" t="s">
        <v>44</v>
      </c>
      <c r="U830" s="10" t="s">
        <v>45</v>
      </c>
      <c r="V830" s="10">
        <v>0</v>
      </c>
      <c r="W830" s="25">
        <f>Table1[[#This Row],[STAB]]-Table1[[#This Row],[AMOUNT]]</f>
        <v>27300</v>
      </c>
      <c r="X830" s="10">
        <v>0</v>
      </c>
      <c r="Y830" s="10" t="s">
        <v>79</v>
      </c>
      <c r="Z830" s="10">
        <v>0</v>
      </c>
      <c r="AA830" s="10" t="s">
        <v>162</v>
      </c>
      <c r="AB830" s="36" t="s">
        <v>734</v>
      </c>
      <c r="AC830" s="10"/>
      <c r="AD830" s="9" t="s">
        <v>5416</v>
      </c>
      <c r="AE830" s="10" t="s">
        <v>5491</v>
      </c>
      <c r="AF830" s="10" t="s">
        <v>272</v>
      </c>
      <c r="AG830" s="10" t="s">
        <v>54</v>
      </c>
      <c r="AH830" s="10" t="s">
        <v>114</v>
      </c>
      <c r="AI830" s="10" t="s">
        <v>726</v>
      </c>
      <c r="AJ830" s="10">
        <v>801772792</v>
      </c>
      <c r="AK830" s="10" t="s">
        <v>105</v>
      </c>
      <c r="AL830" s="10"/>
      <c r="AM830" s="10"/>
      <c r="AN830" s="11" t="s">
        <v>46</v>
      </c>
      <c r="AO830" s="10"/>
      <c r="AP830" s="10"/>
      <c r="AQ830" s="10"/>
      <c r="AR830" s="2">
        <v>46112</v>
      </c>
      <c r="AS830" s="10">
        <v>36580</v>
      </c>
      <c r="AT830" s="10" t="s">
        <v>503</v>
      </c>
      <c r="AU830" s="10" t="s">
        <v>5102</v>
      </c>
      <c r="AV830" s="36" t="s">
        <v>5567</v>
      </c>
      <c r="AW830" s="1">
        <v>46214</v>
      </c>
    </row>
    <row r="831" spans="1:49" x14ac:dyDescent="0.25">
      <c r="A831" s="9" t="s">
        <v>5188</v>
      </c>
      <c r="B831" s="10" t="s">
        <v>589</v>
      </c>
      <c r="C831" s="10">
        <v>0</v>
      </c>
      <c r="D831" s="10" t="s">
        <v>91</v>
      </c>
      <c r="E831" s="10"/>
      <c r="F831" s="10" t="s">
        <v>112</v>
      </c>
      <c r="G831" s="10"/>
      <c r="H831" s="10" t="s">
        <v>52</v>
      </c>
      <c r="I831" s="10">
        <v>18</v>
      </c>
      <c r="J831" s="10" t="s">
        <v>619</v>
      </c>
      <c r="K831" s="10" t="s">
        <v>42</v>
      </c>
      <c r="L831" s="10">
        <f>Table1[[#This Row],[ENR]]-Table1[[#This Row],[CREDIT]]</f>
        <v>-10121.200000000012</v>
      </c>
      <c r="M831" s="36">
        <v>365000</v>
      </c>
      <c r="N831" s="26">
        <v>354878.8</v>
      </c>
      <c r="O831" s="38" t="s">
        <v>43</v>
      </c>
      <c r="P831" s="25">
        <v>354878.8</v>
      </c>
      <c r="Q831" s="25">
        <v>316530</v>
      </c>
      <c r="R831" s="10">
        <v>69220</v>
      </c>
      <c r="S831" s="39">
        <v>37520</v>
      </c>
      <c r="T831" s="10" t="s">
        <v>44</v>
      </c>
      <c r="U831" s="10" t="s">
        <v>45</v>
      </c>
      <c r="V831" s="10">
        <v>0</v>
      </c>
      <c r="W831" s="25">
        <f>Table1[[#This Row],[STAB]]-Table1[[#This Row],[AMOUNT]]</f>
        <v>37520</v>
      </c>
      <c r="X831" s="10">
        <v>0</v>
      </c>
      <c r="Y831" s="10" t="s">
        <v>79</v>
      </c>
      <c r="Z831" s="10">
        <v>0</v>
      </c>
      <c r="AA831" s="10" t="s">
        <v>162</v>
      </c>
      <c r="AB831" s="36" t="s">
        <v>736</v>
      </c>
      <c r="AC831" s="10"/>
      <c r="AD831" s="9" t="s">
        <v>650</v>
      </c>
      <c r="AE831" s="10" t="s">
        <v>680</v>
      </c>
      <c r="AF831" s="10" t="s">
        <v>278</v>
      </c>
      <c r="AG831" s="10" t="s">
        <v>54</v>
      </c>
      <c r="AH831" s="10" t="s">
        <v>86</v>
      </c>
      <c r="AI831" s="10" t="s">
        <v>369</v>
      </c>
      <c r="AJ831" s="10">
        <v>802823180</v>
      </c>
      <c r="AK831" s="10" t="s">
        <v>105</v>
      </c>
      <c r="AL831" s="10"/>
      <c r="AM831" s="10"/>
      <c r="AN831" s="11" t="s">
        <v>46</v>
      </c>
      <c r="AO831" s="10"/>
      <c r="AP831" s="10"/>
      <c r="AQ831" s="10"/>
      <c r="AR831" s="2">
        <v>45566</v>
      </c>
      <c r="AS831" s="10">
        <v>200000</v>
      </c>
      <c r="AT831" s="10" t="s">
        <v>47</v>
      </c>
      <c r="AU831" s="10" t="s">
        <v>5102</v>
      </c>
      <c r="AV831" s="36" t="s">
        <v>5568</v>
      </c>
      <c r="AW831" s="1">
        <v>46209</v>
      </c>
    </row>
    <row r="832" spans="1:49" x14ac:dyDescent="0.25">
      <c r="A832" s="9" t="s">
        <v>5189</v>
      </c>
      <c r="B832" s="10" t="s">
        <v>5266</v>
      </c>
      <c r="C832" s="10">
        <v>0</v>
      </c>
      <c r="D832" s="10" t="s">
        <v>91</v>
      </c>
      <c r="E832" s="10"/>
      <c r="F832" s="10" t="s">
        <v>112</v>
      </c>
      <c r="G832" s="10"/>
      <c r="H832" s="10" t="s">
        <v>52</v>
      </c>
      <c r="I832" s="10">
        <v>18</v>
      </c>
      <c r="J832" s="10" t="s">
        <v>5341</v>
      </c>
      <c r="K832" s="10" t="s">
        <v>42</v>
      </c>
      <c r="L832" s="10">
        <f>Table1[[#This Row],[ENR]]-Table1[[#This Row],[CREDIT]]</f>
        <v>-1846.2000000000116</v>
      </c>
      <c r="M832" s="36">
        <v>290000</v>
      </c>
      <c r="N832" s="26">
        <v>288153.8</v>
      </c>
      <c r="O832" s="38" t="s">
        <v>43</v>
      </c>
      <c r="P832" s="25">
        <v>288153.8</v>
      </c>
      <c r="Q832" s="25">
        <v>266062.02</v>
      </c>
      <c r="R832" s="10">
        <v>94580</v>
      </c>
      <c r="S832" s="39">
        <v>45999.79</v>
      </c>
      <c r="T832" s="10" t="s">
        <v>44</v>
      </c>
      <c r="U832" s="10" t="s">
        <v>45</v>
      </c>
      <c r="V832" s="10">
        <v>0</v>
      </c>
      <c r="W832" s="25">
        <f>Table1[[#This Row],[STAB]]-Table1[[#This Row],[AMOUNT]]</f>
        <v>45999.79</v>
      </c>
      <c r="X832" s="10">
        <v>0</v>
      </c>
      <c r="Y832" s="10" t="s">
        <v>79</v>
      </c>
      <c r="Z832" s="10">
        <v>0</v>
      </c>
      <c r="AA832" s="10" t="s">
        <v>162</v>
      </c>
      <c r="AB832" s="36" t="s">
        <v>733</v>
      </c>
      <c r="AC832" s="10"/>
      <c r="AD832" s="9" t="s">
        <v>5417</v>
      </c>
      <c r="AE832" s="10" t="s">
        <v>5492</v>
      </c>
      <c r="AF832" s="10" t="s">
        <v>498</v>
      </c>
      <c r="AG832" s="10" t="s">
        <v>53</v>
      </c>
      <c r="AH832" s="10" t="s">
        <v>90</v>
      </c>
      <c r="AI832" s="10" t="s">
        <v>162</v>
      </c>
      <c r="AJ832" s="10">
        <v>801772794</v>
      </c>
      <c r="AK832" s="10" t="s">
        <v>361</v>
      </c>
      <c r="AL832" s="10"/>
      <c r="AM832" s="10"/>
      <c r="AN832" s="11" t="s">
        <v>390</v>
      </c>
      <c r="AO832" s="10" t="s">
        <v>392</v>
      </c>
      <c r="AP832" s="10" t="s">
        <v>6362</v>
      </c>
      <c r="AQ832" s="10" t="s">
        <v>4976</v>
      </c>
      <c r="AR832" s="2">
        <v>46129</v>
      </c>
      <c r="AS832" s="10">
        <v>36410</v>
      </c>
      <c r="AT832" s="10" t="s">
        <v>294</v>
      </c>
      <c r="AU832" s="10" t="s">
        <v>5102</v>
      </c>
      <c r="AV832" s="36" t="s">
        <v>5569</v>
      </c>
      <c r="AW832" s="1">
        <v>46209</v>
      </c>
    </row>
    <row r="833" spans="1:49" x14ac:dyDescent="0.25">
      <c r="A833" s="9" t="s">
        <v>5190</v>
      </c>
      <c r="B833" s="10" t="s">
        <v>5267</v>
      </c>
      <c r="C833" s="10">
        <v>0</v>
      </c>
      <c r="D833" s="10" t="s">
        <v>91</v>
      </c>
      <c r="E833" s="10"/>
      <c r="F833" s="10" t="s">
        <v>112</v>
      </c>
      <c r="G833" s="10"/>
      <c r="H833" s="10" t="s">
        <v>84</v>
      </c>
      <c r="I833" s="10">
        <v>18</v>
      </c>
      <c r="J833" s="10" t="s">
        <v>5342</v>
      </c>
      <c r="K833" s="10" t="s">
        <v>42</v>
      </c>
      <c r="L833" s="10">
        <f>Table1[[#This Row],[ENR]]-Table1[[#This Row],[CREDIT]]</f>
        <v>-33524.960000000006</v>
      </c>
      <c r="M833" s="36">
        <v>103000</v>
      </c>
      <c r="N833" s="26">
        <v>69475.039999999994</v>
      </c>
      <c r="O833" s="38" t="s">
        <v>43</v>
      </c>
      <c r="P833" s="25">
        <v>69475.039999999994</v>
      </c>
      <c r="Q833" s="25">
        <v>64697.46</v>
      </c>
      <c r="R833" s="10">
        <v>19200</v>
      </c>
      <c r="S833" s="39">
        <v>9839</v>
      </c>
      <c r="T833" s="10" t="s">
        <v>57</v>
      </c>
      <c r="U833" s="10" t="s">
        <v>14</v>
      </c>
      <c r="V833" s="10">
        <v>10000</v>
      </c>
      <c r="W833" s="25">
        <f>Table1[[#This Row],[STAB]]-Table1[[#This Row],[AMOUNT]]</f>
        <v>-161</v>
      </c>
      <c r="X833" s="10" t="s">
        <v>6364</v>
      </c>
      <c r="Y833" s="10" t="s">
        <v>402</v>
      </c>
      <c r="Z833" s="10" t="s">
        <v>1968</v>
      </c>
      <c r="AA833" s="10" t="s">
        <v>162</v>
      </c>
      <c r="AB833" s="10" t="s">
        <v>735</v>
      </c>
      <c r="AC833" s="10"/>
      <c r="AD833" s="9" t="s">
        <v>5418</v>
      </c>
      <c r="AE833" s="10" t="s">
        <v>5493</v>
      </c>
      <c r="AF833" s="10" t="s">
        <v>287</v>
      </c>
      <c r="AG833" s="10" t="s">
        <v>324</v>
      </c>
      <c r="AH833" s="10" t="s">
        <v>56</v>
      </c>
      <c r="AI833" s="10" t="s">
        <v>370</v>
      </c>
      <c r="AJ833" s="10">
        <v>801448854</v>
      </c>
      <c r="AK833" s="10" t="s">
        <v>105</v>
      </c>
      <c r="AL833" s="10"/>
      <c r="AM833" s="10"/>
      <c r="AN833" s="11" t="s">
        <v>390</v>
      </c>
      <c r="AO833" s="10"/>
      <c r="AP833" s="10"/>
      <c r="AQ833" s="10"/>
      <c r="AR833" s="2">
        <v>46153</v>
      </c>
      <c r="AS833" s="10">
        <v>12030</v>
      </c>
      <c r="AT833" s="10" t="s">
        <v>294</v>
      </c>
      <c r="AU833" s="10" t="s">
        <v>5102</v>
      </c>
      <c r="AV833" s="36" t="s">
        <v>5570</v>
      </c>
      <c r="AW833" s="1">
        <v>46209</v>
      </c>
    </row>
    <row r="834" spans="1:49" x14ac:dyDescent="0.25">
      <c r="A834" s="9" t="s">
        <v>5191</v>
      </c>
      <c r="B834" s="10" t="s">
        <v>5268</v>
      </c>
      <c r="C834" s="10">
        <v>0</v>
      </c>
      <c r="D834" s="10" t="s">
        <v>91</v>
      </c>
      <c r="E834" s="10"/>
      <c r="F834" s="10" t="s">
        <v>112</v>
      </c>
      <c r="G834" s="10"/>
      <c r="H834" s="10" t="s">
        <v>52</v>
      </c>
      <c r="I834" s="10">
        <v>18</v>
      </c>
      <c r="J834" s="10" t="s">
        <v>5343</v>
      </c>
      <c r="K834" s="10" t="s">
        <v>42</v>
      </c>
      <c r="L834" s="10">
        <f>Table1[[#This Row],[ENR]]-Table1[[#This Row],[CREDIT]]</f>
        <v>5772.5199999999895</v>
      </c>
      <c r="M834" s="36">
        <v>210000</v>
      </c>
      <c r="N834" s="26">
        <v>215772.52</v>
      </c>
      <c r="O834" s="38">
        <v>884.51</v>
      </c>
      <c r="P834" s="25">
        <v>214888.01</v>
      </c>
      <c r="Q834" s="25">
        <v>203468.93</v>
      </c>
      <c r="R834" s="10">
        <v>46350</v>
      </c>
      <c r="S834" s="39">
        <v>29180</v>
      </c>
      <c r="T834" s="10" t="s">
        <v>57</v>
      </c>
      <c r="U834" s="10" t="s">
        <v>13</v>
      </c>
      <c r="V834" s="10">
        <v>29180</v>
      </c>
      <c r="W834" s="25">
        <f>Table1[[#This Row],[STAB]]-Table1[[#This Row],[AMOUNT]]</f>
        <v>0</v>
      </c>
      <c r="X834" s="10" t="s">
        <v>6399</v>
      </c>
      <c r="Y834" s="10" t="s">
        <v>402</v>
      </c>
      <c r="Z834" s="10" t="s">
        <v>403</v>
      </c>
      <c r="AA834" s="10" t="s">
        <v>162</v>
      </c>
      <c r="AB834" s="36" t="s">
        <v>736</v>
      </c>
      <c r="AC834" s="10"/>
      <c r="AD834" s="9" t="s">
        <v>5419</v>
      </c>
      <c r="AE834" s="10" t="s">
        <v>5494</v>
      </c>
      <c r="AF834" s="10" t="s">
        <v>1102</v>
      </c>
      <c r="AG834" s="10" t="s">
        <v>324</v>
      </c>
      <c r="AH834" s="10" t="s">
        <v>1956</v>
      </c>
      <c r="AI834" s="10" t="s">
        <v>1403</v>
      </c>
      <c r="AJ834" s="10">
        <v>802631601</v>
      </c>
      <c r="AK834" s="10" t="s">
        <v>362</v>
      </c>
      <c r="AL834" s="10"/>
      <c r="AM834" s="10"/>
      <c r="AN834" s="11" t="s">
        <v>390</v>
      </c>
      <c r="AO834" s="10" t="s">
        <v>394</v>
      </c>
      <c r="AP834" s="10" t="s">
        <v>5594</v>
      </c>
      <c r="AQ834" s="10" t="s">
        <v>4931</v>
      </c>
      <c r="AR834" s="2">
        <v>45632</v>
      </c>
      <c r="AS834" s="10">
        <v>21000</v>
      </c>
      <c r="AT834" s="10" t="s">
        <v>294</v>
      </c>
      <c r="AU834" s="10" t="s">
        <v>5102</v>
      </c>
      <c r="AV834" s="36" t="s">
        <v>5571</v>
      </c>
      <c r="AW834" s="1">
        <v>46209</v>
      </c>
    </row>
    <row r="835" spans="1:49" x14ac:dyDescent="0.25">
      <c r="A835" s="9" t="s">
        <v>5192</v>
      </c>
      <c r="B835" s="10" t="s">
        <v>5269</v>
      </c>
      <c r="C835" s="10">
        <v>0</v>
      </c>
      <c r="D835" s="10" t="s">
        <v>91</v>
      </c>
      <c r="E835" s="10"/>
      <c r="F835" s="10" t="s">
        <v>112</v>
      </c>
      <c r="G835" s="10"/>
      <c r="H835" s="10" t="s">
        <v>52</v>
      </c>
      <c r="I835" s="10">
        <v>18</v>
      </c>
      <c r="J835" s="10" t="s">
        <v>5344</v>
      </c>
      <c r="K835" s="10" t="s">
        <v>42</v>
      </c>
      <c r="L835" s="10">
        <f>Table1[[#This Row],[ENR]]-Table1[[#This Row],[CREDIT]]</f>
        <v>-42711.369999999995</v>
      </c>
      <c r="M835" s="36">
        <v>440000</v>
      </c>
      <c r="N835" s="26">
        <v>397288.63</v>
      </c>
      <c r="O835" s="38">
        <v>81754.3</v>
      </c>
      <c r="P835" s="25">
        <v>315534.33</v>
      </c>
      <c r="Q835" s="25">
        <v>292555.75</v>
      </c>
      <c r="R835" s="10">
        <v>86270</v>
      </c>
      <c r="S835" s="39">
        <v>46880</v>
      </c>
      <c r="T835" s="10" t="s">
        <v>57</v>
      </c>
      <c r="U835" s="10" t="s">
        <v>14</v>
      </c>
      <c r="V835" s="10">
        <v>12000</v>
      </c>
      <c r="W835" s="25">
        <f>Table1[[#This Row],[STAB]]-Table1[[#This Row],[AMOUNT]]</f>
        <v>34880</v>
      </c>
      <c r="X835" s="10" t="s">
        <v>6364</v>
      </c>
      <c r="Y835" s="10" t="s">
        <v>402</v>
      </c>
      <c r="Z835" s="10" t="s">
        <v>403</v>
      </c>
      <c r="AA835" s="10" t="s">
        <v>162</v>
      </c>
      <c r="AB835" s="36" t="s">
        <v>734</v>
      </c>
      <c r="AC835" s="10"/>
      <c r="AD835" s="9" t="s">
        <v>5420</v>
      </c>
      <c r="AE835" s="10" t="s">
        <v>5495</v>
      </c>
      <c r="AF835" s="10" t="s">
        <v>272</v>
      </c>
      <c r="AG835" s="10" t="s">
        <v>54</v>
      </c>
      <c r="AH835" s="10" t="s">
        <v>114</v>
      </c>
      <c r="AI835" s="10" t="s">
        <v>726</v>
      </c>
      <c r="AJ835" s="10">
        <v>801772792</v>
      </c>
      <c r="AK835" s="10" t="s">
        <v>105</v>
      </c>
      <c r="AL835" s="10"/>
      <c r="AM835" s="10"/>
      <c r="AN835" s="11" t="s">
        <v>390</v>
      </c>
      <c r="AO835" s="10" t="s">
        <v>394</v>
      </c>
      <c r="AP835" s="10" t="s">
        <v>6349</v>
      </c>
      <c r="AQ835" s="10" t="s">
        <v>4976</v>
      </c>
      <c r="AR835" s="2">
        <v>46168</v>
      </c>
      <c r="AS835" s="10">
        <v>63500</v>
      </c>
      <c r="AT835" s="10" t="s">
        <v>689</v>
      </c>
      <c r="AU835" s="10" t="s">
        <v>5102</v>
      </c>
      <c r="AV835" s="36" t="s">
        <v>5572</v>
      </c>
      <c r="AW835" s="1">
        <v>46209</v>
      </c>
    </row>
    <row r="836" spans="1:49" x14ac:dyDescent="0.25">
      <c r="A836" s="9" t="s">
        <v>5193</v>
      </c>
      <c r="B836" s="10" t="s">
        <v>5270</v>
      </c>
      <c r="C836" s="10">
        <v>0</v>
      </c>
      <c r="D836" s="10" t="s">
        <v>91</v>
      </c>
      <c r="E836" s="10"/>
      <c r="F836" s="10" t="s">
        <v>112</v>
      </c>
      <c r="G836" s="10"/>
      <c r="H836" s="10" t="s">
        <v>52</v>
      </c>
      <c r="I836" s="10">
        <v>18</v>
      </c>
      <c r="J836" s="10" t="s">
        <v>5345</v>
      </c>
      <c r="K836" s="10" t="s">
        <v>42</v>
      </c>
      <c r="L836" s="10">
        <f>Table1[[#This Row],[ENR]]-Table1[[#This Row],[CREDIT]]</f>
        <v>7214.6500000000233</v>
      </c>
      <c r="M836" s="36">
        <v>260000</v>
      </c>
      <c r="N836" s="26">
        <v>267214.65000000002</v>
      </c>
      <c r="O836" s="38">
        <v>99102.41</v>
      </c>
      <c r="P836" s="25">
        <v>168112.24</v>
      </c>
      <c r="Q836" s="25">
        <v>156602.74</v>
      </c>
      <c r="R836" s="10">
        <v>42540</v>
      </c>
      <c r="S836" s="39">
        <v>15180</v>
      </c>
      <c r="T836" s="10" t="s">
        <v>57</v>
      </c>
      <c r="U836" s="10" t="s">
        <v>13</v>
      </c>
      <c r="V836" s="10">
        <v>15500</v>
      </c>
      <c r="W836" s="25">
        <f>Table1[[#This Row],[STAB]]-Table1[[#This Row],[AMOUNT]]</f>
        <v>-320</v>
      </c>
      <c r="X836" s="10" t="s">
        <v>4976</v>
      </c>
      <c r="Y836" s="10" t="s">
        <v>402</v>
      </c>
      <c r="Z836" s="10" t="s">
        <v>962</v>
      </c>
      <c r="AA836" s="10" t="s">
        <v>162</v>
      </c>
      <c r="AB836" s="10" t="s">
        <v>735</v>
      </c>
      <c r="AC836" s="10"/>
      <c r="AD836" s="9" t="s">
        <v>5421</v>
      </c>
      <c r="AE836" s="10" t="s">
        <v>826</v>
      </c>
      <c r="AF836" s="10" t="s">
        <v>1102</v>
      </c>
      <c r="AG836" s="10" t="s">
        <v>324</v>
      </c>
      <c r="AH836" s="10" t="s">
        <v>1956</v>
      </c>
      <c r="AI836" s="10" t="s">
        <v>1403</v>
      </c>
      <c r="AJ836" s="10">
        <v>802631601</v>
      </c>
      <c r="AK836" s="10" t="s">
        <v>362</v>
      </c>
      <c r="AL836" s="10"/>
      <c r="AM836" s="10"/>
      <c r="AN836" s="11" t="s">
        <v>390</v>
      </c>
      <c r="AO836" s="10"/>
      <c r="AP836" s="10"/>
      <c r="AQ836" s="10"/>
      <c r="AR836" s="2">
        <v>46182</v>
      </c>
      <c r="AS836" s="10">
        <v>10600</v>
      </c>
      <c r="AT836" s="10" t="s">
        <v>292</v>
      </c>
      <c r="AU836" s="10" t="s">
        <v>5102</v>
      </c>
      <c r="AV836" s="36" t="s">
        <v>5573</v>
      </c>
      <c r="AW836" s="1">
        <v>46209</v>
      </c>
    </row>
    <row r="837" spans="1:49" x14ac:dyDescent="0.25">
      <c r="A837" s="9" t="s">
        <v>5194</v>
      </c>
      <c r="B837" s="10" t="s">
        <v>3403</v>
      </c>
      <c r="C837" s="10">
        <v>0</v>
      </c>
      <c r="D837" s="10" t="s">
        <v>91</v>
      </c>
      <c r="E837" s="10"/>
      <c r="F837" s="10"/>
      <c r="G837" s="10"/>
      <c r="H837" s="10" t="s">
        <v>52</v>
      </c>
      <c r="I837" s="10">
        <v>28</v>
      </c>
      <c r="J837" s="10" t="s">
        <v>3446</v>
      </c>
      <c r="K837" s="10" t="s">
        <v>42</v>
      </c>
      <c r="L837" s="10">
        <f>Table1[[#This Row],[ENR]]-Table1[[#This Row],[CREDIT]]</f>
        <v>-405681.33999999997</v>
      </c>
      <c r="M837" s="36">
        <v>610000</v>
      </c>
      <c r="N837" s="26">
        <v>204318.66</v>
      </c>
      <c r="O837" s="38" t="s">
        <v>43</v>
      </c>
      <c r="P837" s="25">
        <v>204318.66</v>
      </c>
      <c r="Q837" s="25">
        <v>185482.97</v>
      </c>
      <c r="R837" s="10">
        <v>25850</v>
      </c>
      <c r="S837" s="39">
        <v>6060</v>
      </c>
      <c r="T837" s="10" t="s">
        <v>57</v>
      </c>
      <c r="U837" s="10" t="s">
        <v>14</v>
      </c>
      <c r="V837" s="10">
        <v>6060</v>
      </c>
      <c r="W837" s="25">
        <f>Table1[[#This Row],[STAB]]-Table1[[#This Row],[AMOUNT]]</f>
        <v>0</v>
      </c>
      <c r="X837" s="10" t="s">
        <v>4931</v>
      </c>
      <c r="Y837" s="10" t="s">
        <v>402</v>
      </c>
      <c r="Z837" s="10" t="s">
        <v>403</v>
      </c>
      <c r="AA837" s="10" t="s">
        <v>162</v>
      </c>
      <c r="AB837" s="36" t="s">
        <v>733</v>
      </c>
      <c r="AC837" s="10"/>
      <c r="AD837" s="9" t="s">
        <v>3489</v>
      </c>
      <c r="AE837" s="10" t="s">
        <v>3532</v>
      </c>
      <c r="AF837" s="10" t="s">
        <v>272</v>
      </c>
      <c r="AG837" s="10" t="s">
        <v>54</v>
      </c>
      <c r="AH837" s="10" t="s">
        <v>114</v>
      </c>
      <c r="AI837" s="10" t="s">
        <v>726</v>
      </c>
      <c r="AJ837" s="10">
        <v>801772792</v>
      </c>
      <c r="AK837" s="10" t="s">
        <v>105</v>
      </c>
      <c r="AL837" s="10"/>
      <c r="AM837" s="10"/>
      <c r="AN837" s="11" t="s">
        <v>390</v>
      </c>
      <c r="AO837" s="10"/>
      <c r="AP837" s="10"/>
      <c r="AQ837" s="10"/>
      <c r="AR837" s="2">
        <v>46158</v>
      </c>
      <c r="AS837" s="10">
        <v>11170</v>
      </c>
      <c r="AT837" s="10" t="s">
        <v>47</v>
      </c>
      <c r="AU837" s="10" t="s">
        <v>5102</v>
      </c>
      <c r="AV837" s="36" t="s">
        <v>5574</v>
      </c>
      <c r="AW837" s="1">
        <v>46219</v>
      </c>
    </row>
    <row r="838" spans="1:49" x14ac:dyDescent="0.25">
      <c r="A838" s="9" t="s">
        <v>5195</v>
      </c>
      <c r="B838" s="10" t="s">
        <v>5271</v>
      </c>
      <c r="C838" s="10">
        <v>0</v>
      </c>
      <c r="D838" s="10" t="s">
        <v>91</v>
      </c>
      <c r="E838" s="10"/>
      <c r="F838" s="10"/>
      <c r="G838" s="10"/>
      <c r="H838" s="10" t="s">
        <v>52</v>
      </c>
      <c r="I838" s="10">
        <v>28</v>
      </c>
      <c r="J838" s="10" t="s">
        <v>5346</v>
      </c>
      <c r="K838" s="10" t="s">
        <v>42</v>
      </c>
      <c r="L838" s="10">
        <f>Table1[[#This Row],[ENR]]-Table1[[#This Row],[CREDIT]]</f>
        <v>-14901.219999999972</v>
      </c>
      <c r="M838" s="36">
        <v>600000</v>
      </c>
      <c r="N838" s="26">
        <v>585098.78</v>
      </c>
      <c r="O838" s="38">
        <v>46052.02</v>
      </c>
      <c r="P838" s="25">
        <v>539046.76</v>
      </c>
      <c r="Q838" s="25">
        <v>490861.82</v>
      </c>
      <c r="R838" s="10">
        <v>97250</v>
      </c>
      <c r="S838" s="39">
        <v>38720.589999999997</v>
      </c>
      <c r="T838" s="10" t="s">
        <v>57</v>
      </c>
      <c r="U838" s="10" t="s">
        <v>13</v>
      </c>
      <c r="V838" s="10">
        <v>0</v>
      </c>
      <c r="W838" s="25">
        <f>Table1[[#This Row],[STAB]]-Table1[[#This Row],[AMOUNT]]</f>
        <v>38720.589999999997</v>
      </c>
      <c r="X838" s="10">
        <v>0</v>
      </c>
      <c r="Y838" s="10" t="s">
        <v>388</v>
      </c>
      <c r="Z838" s="10" t="s">
        <v>962</v>
      </c>
      <c r="AA838" s="10" t="s">
        <v>162</v>
      </c>
      <c r="AB838" s="10" t="s">
        <v>735</v>
      </c>
      <c r="AC838" s="10"/>
      <c r="AD838" s="9" t="s">
        <v>5422</v>
      </c>
      <c r="AE838" s="10" t="s">
        <v>5496</v>
      </c>
      <c r="AF838" s="10" t="s">
        <v>111</v>
      </c>
      <c r="AG838" s="10" t="s">
        <v>53</v>
      </c>
      <c r="AH838" s="10" t="s">
        <v>92</v>
      </c>
      <c r="AI838" s="10" t="s">
        <v>113</v>
      </c>
      <c r="AJ838" s="10">
        <v>802388289</v>
      </c>
      <c r="AK838" s="10" t="s">
        <v>104</v>
      </c>
      <c r="AL838" s="10"/>
      <c r="AM838" s="10"/>
      <c r="AN838" s="11" t="s">
        <v>390</v>
      </c>
      <c r="AO838" s="10"/>
      <c r="AP838" s="10"/>
      <c r="AQ838" s="10"/>
      <c r="AR838" s="2">
        <v>45051</v>
      </c>
      <c r="AS838" s="10">
        <v>8470</v>
      </c>
      <c r="AT838" s="10" t="s">
        <v>47</v>
      </c>
      <c r="AU838" s="10" t="s">
        <v>5102</v>
      </c>
      <c r="AV838" s="36" t="s">
        <v>5575</v>
      </c>
      <c r="AW838" s="1">
        <v>46219</v>
      </c>
    </row>
    <row r="839" spans="1:49" x14ac:dyDescent="0.25">
      <c r="A839" s="40" t="s">
        <v>5196</v>
      </c>
      <c r="B839" s="11" t="s">
        <v>5272</v>
      </c>
      <c r="C839" s="10">
        <v>0</v>
      </c>
      <c r="D839" s="10" t="s">
        <v>91</v>
      </c>
      <c r="E839" s="11">
        <v>1</v>
      </c>
      <c r="F839" s="11"/>
      <c r="G839" s="11"/>
      <c r="H839" s="10" t="s">
        <v>84</v>
      </c>
      <c r="I839" s="11">
        <v>28</v>
      </c>
      <c r="J839" s="11" t="s">
        <v>5347</v>
      </c>
      <c r="K839" s="11" t="s">
        <v>42</v>
      </c>
      <c r="L839" s="11">
        <f>Table1[[#This Row],[ENR]]-Table1[[#This Row],[CREDIT]]</f>
        <v>20381.670000000013</v>
      </c>
      <c r="M839" s="41">
        <v>230000</v>
      </c>
      <c r="N839" s="42">
        <v>250381.67</v>
      </c>
      <c r="O839" s="43" t="s">
        <v>43</v>
      </c>
      <c r="P839" s="44">
        <v>250381.67</v>
      </c>
      <c r="Q839" s="44">
        <v>227993</v>
      </c>
      <c r="R839" s="11">
        <v>73370</v>
      </c>
      <c r="S839" s="45">
        <v>50310</v>
      </c>
      <c r="T839" s="10" t="s">
        <v>44</v>
      </c>
      <c r="U839" s="10" t="s">
        <v>45</v>
      </c>
      <c r="V839" s="10">
        <v>0</v>
      </c>
      <c r="W839" s="44">
        <f>Table1[[#This Row],[STAB]]-Table1[[#This Row],[AMOUNT]]</f>
        <v>50310</v>
      </c>
      <c r="X839" s="10">
        <v>0</v>
      </c>
      <c r="Y839" s="10" t="s">
        <v>79</v>
      </c>
      <c r="Z839" s="10">
        <v>0</v>
      </c>
      <c r="AA839" s="10" t="s">
        <v>162</v>
      </c>
      <c r="AB839" s="36" t="s">
        <v>736</v>
      </c>
      <c r="AC839" s="11"/>
      <c r="AD839" s="40" t="s">
        <v>5423</v>
      </c>
      <c r="AE839" s="11" t="s">
        <v>5497</v>
      </c>
      <c r="AF839" s="11" t="s">
        <v>276</v>
      </c>
      <c r="AG839" s="10" t="s">
        <v>324</v>
      </c>
      <c r="AH839" s="11" t="s">
        <v>354</v>
      </c>
      <c r="AI839" s="10" t="s">
        <v>1403</v>
      </c>
      <c r="AJ839" s="11">
        <v>802631601</v>
      </c>
      <c r="AK839" s="11" t="s">
        <v>362</v>
      </c>
      <c r="AL839" s="11"/>
      <c r="AM839" s="11"/>
      <c r="AN839" s="11" t="s">
        <v>46</v>
      </c>
      <c r="AO839" s="11"/>
      <c r="AP839" s="11"/>
      <c r="AQ839" s="11"/>
      <c r="AR839" s="46">
        <v>45848</v>
      </c>
      <c r="AS839" s="11">
        <v>116717</v>
      </c>
      <c r="AT839" s="11" t="s">
        <v>157</v>
      </c>
      <c r="AU839" s="10" t="s">
        <v>5102</v>
      </c>
      <c r="AV839" s="41" t="s">
        <v>5576</v>
      </c>
      <c r="AW839" s="47">
        <v>46219</v>
      </c>
    </row>
    <row r="840" spans="1:49" x14ac:dyDescent="0.25">
      <c r="A840" s="9" t="s">
        <v>5604</v>
      </c>
      <c r="B840" s="10" t="s">
        <v>5629</v>
      </c>
      <c r="C840" s="10">
        <v>0</v>
      </c>
      <c r="D840" s="10" t="s">
        <v>91</v>
      </c>
      <c r="E840" s="10"/>
      <c r="F840" s="10"/>
      <c r="G840" s="10"/>
      <c r="H840" s="10" t="s">
        <v>52</v>
      </c>
      <c r="I840" s="10">
        <v>25</v>
      </c>
      <c r="J840" s="10" t="s">
        <v>5654</v>
      </c>
      <c r="K840" s="10" t="s">
        <v>42</v>
      </c>
      <c r="L840" s="10">
        <f>Table1[[#This Row],[ENR]]-Table1[[#This Row],[CREDIT]]</f>
        <v>3484.0399999999936</v>
      </c>
      <c r="M840" s="36">
        <v>100000</v>
      </c>
      <c r="N840" s="26">
        <v>103484.04</v>
      </c>
      <c r="O840" s="38">
        <v>16072.9</v>
      </c>
      <c r="P840" s="25">
        <v>87411.14</v>
      </c>
      <c r="Q840" s="25">
        <v>80985.34</v>
      </c>
      <c r="R840" s="10">
        <v>24800</v>
      </c>
      <c r="S840" s="39">
        <v>13570</v>
      </c>
      <c r="T840" s="10" t="s">
        <v>44</v>
      </c>
      <c r="U840" s="10" t="s">
        <v>45</v>
      </c>
      <c r="V840" s="10">
        <v>0</v>
      </c>
      <c r="W840" s="25">
        <f>Table1[[#This Row],[STAB]]-Table1[[#This Row],[AMOUNT]]</f>
        <v>13570</v>
      </c>
      <c r="X840" s="10">
        <v>0</v>
      </c>
      <c r="Y840" s="10" t="s">
        <v>79</v>
      </c>
      <c r="Z840" s="10">
        <v>0</v>
      </c>
      <c r="AA840" s="10" t="s">
        <v>162</v>
      </c>
      <c r="AB840" s="36" t="s">
        <v>736</v>
      </c>
      <c r="AC840" s="10"/>
      <c r="AD840" s="9" t="s">
        <v>5679</v>
      </c>
      <c r="AE840" s="10" t="s">
        <v>5704</v>
      </c>
      <c r="AF840" s="10" t="s">
        <v>501</v>
      </c>
      <c r="AG840" s="10" t="s">
        <v>53</v>
      </c>
      <c r="AH840" s="10" t="s">
        <v>116</v>
      </c>
      <c r="AI840" s="10" t="s">
        <v>2961</v>
      </c>
      <c r="AJ840" s="10">
        <v>845041675</v>
      </c>
      <c r="AK840" s="10" t="s">
        <v>104</v>
      </c>
      <c r="AL840" s="10"/>
      <c r="AM840" s="10"/>
      <c r="AN840" s="11" t="s">
        <v>46</v>
      </c>
      <c r="AO840" s="10"/>
      <c r="AP840" s="10"/>
      <c r="AQ840" s="10"/>
      <c r="AR840" s="2">
        <v>46196</v>
      </c>
      <c r="AS840" s="10">
        <v>10000</v>
      </c>
      <c r="AT840" s="10" t="s">
        <v>503</v>
      </c>
      <c r="AU840" s="10" t="s">
        <v>5730</v>
      </c>
      <c r="AV840" s="36" t="s">
        <v>5731</v>
      </c>
      <c r="AW840" s="1">
        <v>46216</v>
      </c>
    </row>
    <row r="841" spans="1:49" x14ac:dyDescent="0.25">
      <c r="A841" s="9" t="s">
        <v>5605</v>
      </c>
      <c r="B841" s="10" t="s">
        <v>5630</v>
      </c>
      <c r="C841" s="10">
        <v>0</v>
      </c>
      <c r="D841" s="10" t="s">
        <v>91</v>
      </c>
      <c r="E841" s="10"/>
      <c r="F841" s="10"/>
      <c r="G841" s="10"/>
      <c r="H841" s="10" t="s">
        <v>52</v>
      </c>
      <c r="I841" s="10">
        <v>25</v>
      </c>
      <c r="J841" s="10" t="s">
        <v>5655</v>
      </c>
      <c r="K841" s="10" t="s">
        <v>42</v>
      </c>
      <c r="L841" s="10">
        <f>Table1[[#This Row],[ENR]]-Table1[[#This Row],[CREDIT]]</f>
        <v>19623.770000000019</v>
      </c>
      <c r="M841" s="36">
        <v>250000</v>
      </c>
      <c r="N841" s="26">
        <v>269623.77</v>
      </c>
      <c r="O841" s="38">
        <v>81679.740000000005</v>
      </c>
      <c r="P841" s="25">
        <v>187944.03</v>
      </c>
      <c r="Q841" s="25">
        <v>168249.83</v>
      </c>
      <c r="R841" s="10">
        <v>41780</v>
      </c>
      <c r="S841" s="39">
        <v>16920</v>
      </c>
      <c r="T841" s="10" t="s">
        <v>44</v>
      </c>
      <c r="U841" s="10" t="s">
        <v>45</v>
      </c>
      <c r="V841" s="10">
        <v>0</v>
      </c>
      <c r="W841" s="25">
        <f>Table1[[#This Row],[STAB]]-Table1[[#This Row],[AMOUNT]]</f>
        <v>16920</v>
      </c>
      <c r="X841" s="10">
        <v>0</v>
      </c>
      <c r="Y841" s="10" t="s">
        <v>79</v>
      </c>
      <c r="Z841" s="10">
        <v>0</v>
      </c>
      <c r="AA841" s="10" t="s">
        <v>162</v>
      </c>
      <c r="AB841" s="36" t="s">
        <v>734</v>
      </c>
      <c r="AC841" s="10"/>
      <c r="AD841" s="9" t="s">
        <v>5680</v>
      </c>
      <c r="AE841" s="10" t="s">
        <v>5705</v>
      </c>
      <c r="AF841" s="10" t="s">
        <v>274</v>
      </c>
      <c r="AG841" s="10" t="s">
        <v>53</v>
      </c>
      <c r="AH841" s="10" t="s">
        <v>55</v>
      </c>
      <c r="AI841" s="10" t="s">
        <v>365</v>
      </c>
      <c r="AJ841" s="10">
        <v>802824019</v>
      </c>
      <c r="AK841" s="10" t="s">
        <v>360</v>
      </c>
      <c r="AL841" s="10"/>
      <c r="AM841" s="10"/>
      <c r="AN841" s="11" t="s">
        <v>46</v>
      </c>
      <c r="AO841" s="10"/>
      <c r="AP841" s="10"/>
      <c r="AQ841" s="10"/>
      <c r="AR841" s="2">
        <v>46139</v>
      </c>
      <c r="AS841" s="10">
        <v>49180</v>
      </c>
      <c r="AT841" s="10" t="s">
        <v>48</v>
      </c>
      <c r="AU841" s="10" t="s">
        <v>5730</v>
      </c>
      <c r="AV841" s="36" t="s">
        <v>5732</v>
      </c>
      <c r="AW841" s="1">
        <v>46216</v>
      </c>
    </row>
    <row r="842" spans="1:49" x14ac:dyDescent="0.25">
      <c r="A842" s="9" t="s">
        <v>5606</v>
      </c>
      <c r="B842" s="10" t="s">
        <v>5631</v>
      </c>
      <c r="C842" s="10">
        <v>0</v>
      </c>
      <c r="D842" s="10" t="s">
        <v>91</v>
      </c>
      <c r="E842" s="10"/>
      <c r="F842" s="10"/>
      <c r="G842" s="10"/>
      <c r="H842" s="10" t="s">
        <v>52</v>
      </c>
      <c r="I842" s="10">
        <v>25</v>
      </c>
      <c r="J842" s="10" t="s">
        <v>5656</v>
      </c>
      <c r="K842" s="10" t="s">
        <v>42</v>
      </c>
      <c r="L842" s="10">
        <f>Table1[[#This Row],[ENR]]-Table1[[#This Row],[CREDIT]]</f>
        <v>8259.2899999999936</v>
      </c>
      <c r="M842" s="36">
        <v>100000</v>
      </c>
      <c r="N842" s="26">
        <v>108259.29</v>
      </c>
      <c r="O842" s="38">
        <v>3613.48</v>
      </c>
      <c r="P842" s="25">
        <v>104645.81</v>
      </c>
      <c r="Q842" s="25">
        <v>94371.8</v>
      </c>
      <c r="R842" s="10">
        <v>21940</v>
      </c>
      <c r="S842" s="39">
        <v>6240</v>
      </c>
      <c r="T842" s="10" t="s">
        <v>44</v>
      </c>
      <c r="U842" s="10" t="s">
        <v>45</v>
      </c>
      <c r="V842" s="10">
        <v>0</v>
      </c>
      <c r="W842" s="25">
        <f>Table1[[#This Row],[STAB]]-Table1[[#This Row],[AMOUNT]]</f>
        <v>6240</v>
      </c>
      <c r="X842" s="10">
        <v>0</v>
      </c>
      <c r="Y842" s="10" t="s">
        <v>79</v>
      </c>
      <c r="Z842" s="10">
        <v>0</v>
      </c>
      <c r="AA842" s="10" t="s">
        <v>162</v>
      </c>
      <c r="AB842" s="36" t="s">
        <v>733</v>
      </c>
      <c r="AC842" s="10"/>
      <c r="AD842" s="9" t="s">
        <v>5681</v>
      </c>
      <c r="AE842" s="10" t="s">
        <v>5706</v>
      </c>
      <c r="AF842" s="10" t="s">
        <v>499</v>
      </c>
      <c r="AG842" s="10" t="s">
        <v>53</v>
      </c>
      <c r="AH842" s="10" t="s">
        <v>55</v>
      </c>
      <c r="AI842" s="10" t="s">
        <v>365</v>
      </c>
      <c r="AJ842" s="10">
        <v>802824019</v>
      </c>
      <c r="AK842" s="10" t="s">
        <v>360</v>
      </c>
      <c r="AL842" s="10"/>
      <c r="AM842" s="10"/>
      <c r="AN842" s="11" t="s">
        <v>46</v>
      </c>
      <c r="AO842" s="10"/>
      <c r="AP842" s="10"/>
      <c r="AQ842" s="10"/>
      <c r="AR842" s="2">
        <v>45261</v>
      </c>
      <c r="AS842" s="10">
        <v>78874.320000000007</v>
      </c>
      <c r="AT842" s="10" t="s">
        <v>503</v>
      </c>
      <c r="AU842" s="10" t="s">
        <v>5730</v>
      </c>
      <c r="AV842" s="36" t="s">
        <v>5733</v>
      </c>
      <c r="AW842" s="1">
        <v>46216</v>
      </c>
    </row>
    <row r="843" spans="1:49" x14ac:dyDescent="0.25">
      <c r="A843" s="9" t="s">
        <v>5607</v>
      </c>
      <c r="B843" s="10" t="s">
        <v>5632</v>
      </c>
      <c r="C843" s="10">
        <v>0</v>
      </c>
      <c r="D843" s="10" t="s">
        <v>91</v>
      </c>
      <c r="E843" s="10"/>
      <c r="F843" s="10"/>
      <c r="G843" s="10"/>
      <c r="H843" s="10" t="s">
        <v>52</v>
      </c>
      <c r="I843" s="10">
        <v>25</v>
      </c>
      <c r="J843" s="10" t="s">
        <v>5657</v>
      </c>
      <c r="K843" s="10" t="s">
        <v>42</v>
      </c>
      <c r="L843" s="10">
        <f>Table1[[#This Row],[ENR]]-Table1[[#This Row],[CREDIT]]</f>
        <v>9514.1300000000047</v>
      </c>
      <c r="M843" s="36">
        <v>90000</v>
      </c>
      <c r="N843" s="26">
        <v>99514.13</v>
      </c>
      <c r="O843" s="38" t="s">
        <v>43</v>
      </c>
      <c r="P843" s="25">
        <v>99514.13</v>
      </c>
      <c r="Q843" s="25">
        <v>89755.04</v>
      </c>
      <c r="R843" s="10">
        <v>24300</v>
      </c>
      <c r="S843" s="39">
        <v>8860</v>
      </c>
      <c r="T843" s="10" t="s">
        <v>44</v>
      </c>
      <c r="U843" s="10" t="s">
        <v>45</v>
      </c>
      <c r="V843" s="10">
        <v>0</v>
      </c>
      <c r="W843" s="25">
        <f>Table1[[#This Row],[STAB]]-Table1[[#This Row],[AMOUNT]]</f>
        <v>8860</v>
      </c>
      <c r="X843" s="10">
        <v>0</v>
      </c>
      <c r="Y843" s="10" t="s">
        <v>79</v>
      </c>
      <c r="Z843" s="10">
        <v>0</v>
      </c>
      <c r="AA843" s="10" t="s">
        <v>162</v>
      </c>
      <c r="AB843" s="36" t="s">
        <v>733</v>
      </c>
      <c r="AC843" s="10"/>
      <c r="AD843" s="9" t="s">
        <v>5682</v>
      </c>
      <c r="AE843" s="10" t="s">
        <v>5707</v>
      </c>
      <c r="AF843" s="10" t="s">
        <v>497</v>
      </c>
      <c r="AG843" s="10" t="s">
        <v>148</v>
      </c>
      <c r="AH843" s="10" t="s">
        <v>1364</v>
      </c>
      <c r="AI843" s="10" t="s">
        <v>366</v>
      </c>
      <c r="AJ843" s="10">
        <v>802789320</v>
      </c>
      <c r="AK843" s="10" t="s">
        <v>104</v>
      </c>
      <c r="AL843" s="10"/>
      <c r="AM843" s="10"/>
      <c r="AN843" s="11" t="s">
        <v>46</v>
      </c>
      <c r="AO843" s="10"/>
      <c r="AP843" s="10"/>
      <c r="AQ843" s="10"/>
      <c r="AR843" s="2">
        <v>46156</v>
      </c>
      <c r="AS843" s="10">
        <v>9150</v>
      </c>
      <c r="AT843" s="10" t="s">
        <v>503</v>
      </c>
      <c r="AU843" s="10" t="s">
        <v>5730</v>
      </c>
      <c r="AV843" s="36" t="s">
        <v>5734</v>
      </c>
      <c r="AW843" s="1">
        <v>46216</v>
      </c>
    </row>
    <row r="844" spans="1:49" x14ac:dyDescent="0.25">
      <c r="A844" s="9" t="s">
        <v>5608</v>
      </c>
      <c r="B844" s="10" t="s">
        <v>5633</v>
      </c>
      <c r="C844" s="10">
        <v>0</v>
      </c>
      <c r="D844" s="10" t="s">
        <v>91</v>
      </c>
      <c r="E844" s="10"/>
      <c r="F844" s="10"/>
      <c r="G844" s="10"/>
      <c r="H844" s="10" t="s">
        <v>52</v>
      </c>
      <c r="I844" s="10">
        <v>25</v>
      </c>
      <c r="J844" s="10" t="s">
        <v>5658</v>
      </c>
      <c r="K844" s="10" t="s">
        <v>42</v>
      </c>
      <c r="L844" s="10">
        <f>Table1[[#This Row],[ENR]]-Table1[[#This Row],[CREDIT]]</f>
        <v>6005.239999999998</v>
      </c>
      <c r="M844" s="36">
        <v>50000</v>
      </c>
      <c r="N844" s="26">
        <v>56005.24</v>
      </c>
      <c r="O844" s="38" t="s">
        <v>43</v>
      </c>
      <c r="P844" s="25">
        <v>56005.24</v>
      </c>
      <c r="Q844" s="25">
        <v>48566.400000000001</v>
      </c>
      <c r="R844" s="10">
        <v>15480</v>
      </c>
      <c r="S844" s="39">
        <v>4480</v>
      </c>
      <c r="T844" s="10" t="s">
        <v>44</v>
      </c>
      <c r="U844" s="10" t="s">
        <v>45</v>
      </c>
      <c r="V844" s="10">
        <v>0</v>
      </c>
      <c r="W844" s="25">
        <f>Table1[[#This Row],[STAB]]-Table1[[#This Row],[AMOUNT]]</f>
        <v>4480</v>
      </c>
      <c r="X844" s="10">
        <v>0</v>
      </c>
      <c r="Y844" s="10" t="s">
        <v>79</v>
      </c>
      <c r="Z844" s="10" t="s">
        <v>963</v>
      </c>
      <c r="AA844" s="10" t="s">
        <v>162</v>
      </c>
      <c r="AB844" s="36" t="s">
        <v>736</v>
      </c>
      <c r="AC844" s="10"/>
      <c r="AD844" s="9" t="s">
        <v>5683</v>
      </c>
      <c r="AE844" s="10" t="s">
        <v>5708</v>
      </c>
      <c r="AF844" s="10" t="s">
        <v>280</v>
      </c>
      <c r="AG844" s="10" t="s">
        <v>54</v>
      </c>
      <c r="AH844" s="10" t="s">
        <v>280</v>
      </c>
      <c r="AI844" s="10" t="s">
        <v>365</v>
      </c>
      <c r="AJ844" s="10">
        <v>802824019</v>
      </c>
      <c r="AK844" s="10" t="s">
        <v>360</v>
      </c>
      <c r="AL844" s="10"/>
      <c r="AM844" s="10"/>
      <c r="AN844" s="11" t="s">
        <v>46</v>
      </c>
      <c r="AO844" s="10"/>
      <c r="AP844" s="10"/>
      <c r="AQ844" s="10"/>
      <c r="AR844" s="2">
        <v>46156</v>
      </c>
      <c r="AS844" s="10">
        <v>50156.2</v>
      </c>
      <c r="AT844" s="10" t="s">
        <v>2620</v>
      </c>
      <c r="AU844" s="10" t="s">
        <v>5730</v>
      </c>
      <c r="AV844" s="36" t="s">
        <v>5735</v>
      </c>
      <c r="AW844" s="1">
        <v>46216</v>
      </c>
    </row>
    <row r="845" spans="1:49" x14ac:dyDescent="0.25">
      <c r="A845" s="9" t="s">
        <v>5609</v>
      </c>
      <c r="B845" s="10" t="s">
        <v>5634</v>
      </c>
      <c r="C845" s="10">
        <v>0</v>
      </c>
      <c r="D845" s="10" t="s">
        <v>91</v>
      </c>
      <c r="E845" s="10"/>
      <c r="F845" s="10"/>
      <c r="G845" s="10"/>
      <c r="H845" s="10" t="s">
        <v>52</v>
      </c>
      <c r="I845" s="10">
        <v>25</v>
      </c>
      <c r="J845" s="10" t="s">
        <v>5659</v>
      </c>
      <c r="K845" s="10" t="s">
        <v>42</v>
      </c>
      <c r="L845" s="10">
        <f>Table1[[#This Row],[ENR]]-Table1[[#This Row],[CREDIT]]</f>
        <v>12181.950000000012</v>
      </c>
      <c r="M845" s="36">
        <v>120000</v>
      </c>
      <c r="N845" s="26">
        <v>132181.95000000001</v>
      </c>
      <c r="O845" s="38" t="s">
        <v>43</v>
      </c>
      <c r="P845" s="25">
        <v>132181.95000000001</v>
      </c>
      <c r="Q845" s="25">
        <v>119895.07</v>
      </c>
      <c r="R845" s="10">
        <v>31390</v>
      </c>
      <c r="S845" s="39">
        <v>11790</v>
      </c>
      <c r="T845" s="10" t="s">
        <v>44</v>
      </c>
      <c r="U845" s="10" t="s">
        <v>45</v>
      </c>
      <c r="V845" s="10">
        <v>0</v>
      </c>
      <c r="W845" s="25">
        <f>Table1[[#This Row],[STAB]]-Table1[[#This Row],[AMOUNT]]</f>
        <v>11790</v>
      </c>
      <c r="X845" s="10">
        <v>0</v>
      </c>
      <c r="Y845" s="10" t="s">
        <v>79</v>
      </c>
      <c r="Z845" s="10">
        <v>0</v>
      </c>
      <c r="AA845" s="10" t="s">
        <v>162</v>
      </c>
      <c r="AB845" s="36" t="s">
        <v>736</v>
      </c>
      <c r="AC845" s="10"/>
      <c r="AD845" s="9" t="s">
        <v>5684</v>
      </c>
      <c r="AE845" s="10" t="s">
        <v>5709</v>
      </c>
      <c r="AF845" s="10" t="s">
        <v>276</v>
      </c>
      <c r="AG845" s="10" t="s">
        <v>324</v>
      </c>
      <c r="AH845" s="10" t="s">
        <v>354</v>
      </c>
      <c r="AI845" s="10" t="s">
        <v>367</v>
      </c>
      <c r="AJ845" s="10">
        <v>801436997</v>
      </c>
      <c r="AK845" s="10" t="s">
        <v>104</v>
      </c>
      <c r="AL845" s="10"/>
      <c r="AM845" s="10"/>
      <c r="AN845" s="11" t="s">
        <v>390</v>
      </c>
      <c r="AO845" s="10" t="s">
        <v>398</v>
      </c>
      <c r="AP845" s="10" t="s">
        <v>6401</v>
      </c>
      <c r="AQ845" s="10" t="s">
        <v>6399</v>
      </c>
      <c r="AR845" s="2">
        <v>46153</v>
      </c>
      <c r="AS845" s="10">
        <v>14730</v>
      </c>
      <c r="AT845" s="10" t="s">
        <v>47</v>
      </c>
      <c r="AU845" s="10" t="s">
        <v>5730</v>
      </c>
      <c r="AV845" s="36" t="s">
        <v>5736</v>
      </c>
      <c r="AW845" s="1">
        <v>46216</v>
      </c>
    </row>
    <row r="846" spans="1:49" x14ac:dyDescent="0.25">
      <c r="A846" s="9" t="s">
        <v>5610</v>
      </c>
      <c r="B846" s="10" t="s">
        <v>5635</v>
      </c>
      <c r="C846" s="10">
        <v>0</v>
      </c>
      <c r="D846" s="10" t="s">
        <v>91</v>
      </c>
      <c r="E846" s="10"/>
      <c r="F846" s="10"/>
      <c r="G846" s="10"/>
      <c r="H846" s="10" t="s">
        <v>52</v>
      </c>
      <c r="I846" s="10">
        <v>25</v>
      </c>
      <c r="J846" s="10" t="s">
        <v>5660</v>
      </c>
      <c r="K846" s="10" t="s">
        <v>42</v>
      </c>
      <c r="L846" s="10">
        <f>Table1[[#This Row],[ENR]]-Table1[[#This Row],[CREDIT]]</f>
        <v>7152.0899999999965</v>
      </c>
      <c r="M846" s="36">
        <v>100000</v>
      </c>
      <c r="N846" s="26">
        <v>107152.09</v>
      </c>
      <c r="O846" s="38" t="s">
        <v>43</v>
      </c>
      <c r="P846" s="25">
        <v>107152.09</v>
      </c>
      <c r="Q846" s="25">
        <v>99400</v>
      </c>
      <c r="R846" s="10">
        <v>24240</v>
      </c>
      <c r="S846" s="39">
        <v>4968</v>
      </c>
      <c r="T846" s="10" t="s">
        <v>44</v>
      </c>
      <c r="U846" s="10" t="s">
        <v>45</v>
      </c>
      <c r="V846" s="10">
        <v>0</v>
      </c>
      <c r="W846" s="25">
        <f>Table1[[#This Row],[STAB]]-Table1[[#This Row],[AMOUNT]]</f>
        <v>4968</v>
      </c>
      <c r="X846" s="10">
        <v>0</v>
      </c>
      <c r="Y846" s="10" t="s">
        <v>79</v>
      </c>
      <c r="Z846" s="10">
        <v>0</v>
      </c>
      <c r="AA846" s="10" t="s">
        <v>162</v>
      </c>
      <c r="AB846" s="36" t="s">
        <v>734</v>
      </c>
      <c r="AC846" s="10"/>
      <c r="AD846" s="9" t="s">
        <v>5685</v>
      </c>
      <c r="AE846" s="10" t="s">
        <v>5710</v>
      </c>
      <c r="AF846" s="10" t="s">
        <v>273</v>
      </c>
      <c r="AG846" s="10" t="s">
        <v>80</v>
      </c>
      <c r="AH846" s="10" t="s">
        <v>6359</v>
      </c>
      <c r="AI846" s="10" t="s">
        <v>82</v>
      </c>
      <c r="AJ846" s="10">
        <v>801723195</v>
      </c>
      <c r="AK846" s="10" t="s">
        <v>105</v>
      </c>
      <c r="AL846" s="10"/>
      <c r="AM846" s="10"/>
      <c r="AN846" s="11" t="s">
        <v>46</v>
      </c>
      <c r="AO846" s="10"/>
      <c r="AP846" s="10"/>
      <c r="AQ846" s="10"/>
      <c r="AR846" s="2">
        <v>45958</v>
      </c>
      <c r="AS846" s="10">
        <v>600</v>
      </c>
      <c r="AT846" s="10" t="s">
        <v>47</v>
      </c>
      <c r="AU846" s="10" t="s">
        <v>5730</v>
      </c>
      <c r="AV846" s="36" t="s">
        <v>5737</v>
      </c>
      <c r="AW846" s="1">
        <v>46216</v>
      </c>
    </row>
    <row r="847" spans="1:49" x14ac:dyDescent="0.25">
      <c r="A847" s="9" t="s">
        <v>5611</v>
      </c>
      <c r="B847" s="10" t="s">
        <v>5636</v>
      </c>
      <c r="C847" s="10">
        <v>0</v>
      </c>
      <c r="D847" s="10" t="s">
        <v>91</v>
      </c>
      <c r="E847" s="10"/>
      <c r="F847" s="10"/>
      <c r="G847" s="10"/>
      <c r="H847" s="10" t="s">
        <v>52</v>
      </c>
      <c r="I847" s="10">
        <v>25</v>
      </c>
      <c r="J847" s="10" t="s">
        <v>5661</v>
      </c>
      <c r="K847" s="10" t="s">
        <v>42</v>
      </c>
      <c r="L847" s="10">
        <f>Table1[[#This Row],[ENR]]-Table1[[#This Row],[CREDIT]]</f>
        <v>-8812.14</v>
      </c>
      <c r="M847" s="36">
        <v>100000</v>
      </c>
      <c r="N847" s="26">
        <v>91187.86</v>
      </c>
      <c r="O847" s="38">
        <v>73713.240000000005</v>
      </c>
      <c r="P847" s="25">
        <v>17474.62</v>
      </c>
      <c r="Q847" s="25">
        <v>14236.78</v>
      </c>
      <c r="R847" s="10">
        <v>17474.62</v>
      </c>
      <c r="S847" s="39">
        <v>8695.74</v>
      </c>
      <c r="T847" s="10" t="s">
        <v>57</v>
      </c>
      <c r="U847" s="10" t="s">
        <v>13</v>
      </c>
      <c r="V847" s="10">
        <v>17474.62</v>
      </c>
      <c r="W847" s="25">
        <f>Table1[[#This Row],[STAB]]-Table1[[#This Row],[AMOUNT]]</f>
        <v>-8778.8799999999992</v>
      </c>
      <c r="X847" s="10" t="s">
        <v>4931</v>
      </c>
      <c r="Y847" s="10" t="s">
        <v>402</v>
      </c>
      <c r="Z847" s="10">
        <v>0</v>
      </c>
      <c r="AA847" s="10" t="s">
        <v>162</v>
      </c>
      <c r="AB847" s="36" t="s">
        <v>734</v>
      </c>
      <c r="AC847" s="10"/>
      <c r="AD847" s="9" t="s">
        <v>5686</v>
      </c>
      <c r="AE847" s="10" t="s">
        <v>5711</v>
      </c>
      <c r="AF847" s="10" t="s">
        <v>500</v>
      </c>
      <c r="AG847" s="10" t="s">
        <v>324</v>
      </c>
      <c r="AH847" s="10" t="s">
        <v>355</v>
      </c>
      <c r="AI847" s="10" t="s">
        <v>372</v>
      </c>
      <c r="AJ847" s="10">
        <v>801597759</v>
      </c>
      <c r="AK847" s="10" t="s">
        <v>362</v>
      </c>
      <c r="AL847" s="10"/>
      <c r="AM847" s="10"/>
      <c r="AN847" s="11" t="s">
        <v>390</v>
      </c>
      <c r="AO847" s="10"/>
      <c r="AP847" s="10"/>
      <c r="AQ847" s="10"/>
      <c r="AR847" s="2">
        <v>45556</v>
      </c>
      <c r="AS847" s="10">
        <v>10300</v>
      </c>
      <c r="AT847" s="10" t="s">
        <v>47</v>
      </c>
      <c r="AU847" s="10" t="s">
        <v>5730</v>
      </c>
      <c r="AV847" s="36" t="s">
        <v>5738</v>
      </c>
      <c r="AW847" s="1">
        <v>46216</v>
      </c>
    </row>
    <row r="848" spans="1:49" x14ac:dyDescent="0.25">
      <c r="A848" s="9" t="s">
        <v>5612</v>
      </c>
      <c r="B848" s="10" t="s">
        <v>5637</v>
      </c>
      <c r="C848" s="10">
        <v>0</v>
      </c>
      <c r="D848" s="10" t="s">
        <v>91</v>
      </c>
      <c r="E848" s="10"/>
      <c r="F848" s="10"/>
      <c r="G848" s="10"/>
      <c r="H848" s="10" t="s">
        <v>52</v>
      </c>
      <c r="I848" s="10">
        <v>25</v>
      </c>
      <c r="J848" s="10" t="s">
        <v>5662</v>
      </c>
      <c r="K848" s="10" t="s">
        <v>42</v>
      </c>
      <c r="L848" s="10">
        <f>Table1[[#This Row],[ENR]]-Table1[[#This Row],[CREDIT]]</f>
        <v>-15277.589999999997</v>
      </c>
      <c r="M848" s="36">
        <v>200000</v>
      </c>
      <c r="N848" s="26">
        <v>184722.41</v>
      </c>
      <c r="O848" s="38" t="s">
        <v>43</v>
      </c>
      <c r="P848" s="25">
        <v>184722.41</v>
      </c>
      <c r="Q848" s="25">
        <v>162373.03</v>
      </c>
      <c r="R848" s="10">
        <v>38190</v>
      </c>
      <c r="S848" s="39">
        <v>21100</v>
      </c>
      <c r="T848" s="10" t="s">
        <v>44</v>
      </c>
      <c r="U848" s="10" t="s">
        <v>45</v>
      </c>
      <c r="V848" s="10">
        <v>0</v>
      </c>
      <c r="W848" s="25">
        <f>Table1[[#This Row],[STAB]]-Table1[[#This Row],[AMOUNT]]</f>
        <v>21100</v>
      </c>
      <c r="X848" s="10">
        <v>0</v>
      </c>
      <c r="Y848" s="10" t="s">
        <v>79</v>
      </c>
      <c r="Z848" s="10">
        <v>0</v>
      </c>
      <c r="AA848" s="10" t="s">
        <v>162</v>
      </c>
      <c r="AB848" s="36" t="s">
        <v>734</v>
      </c>
      <c r="AC848" s="10"/>
      <c r="AD848" s="9" t="s">
        <v>5687</v>
      </c>
      <c r="AE848" s="10" t="s">
        <v>5712</v>
      </c>
      <c r="AF848" s="10" t="s">
        <v>85</v>
      </c>
      <c r="AG848" s="10" t="s">
        <v>54</v>
      </c>
      <c r="AH848" s="10" t="s">
        <v>89</v>
      </c>
      <c r="AI848" s="10" t="s">
        <v>106</v>
      </c>
      <c r="AJ848" s="10">
        <v>802370852</v>
      </c>
      <c r="AK848" s="10" t="s">
        <v>105</v>
      </c>
      <c r="AL848" s="10"/>
      <c r="AM848" s="10"/>
      <c r="AN848" s="11" t="s">
        <v>46</v>
      </c>
      <c r="AO848" s="10"/>
      <c r="AP848" s="10"/>
      <c r="AQ848" s="10"/>
      <c r="AR848" s="2">
        <v>45470</v>
      </c>
      <c r="AS848" s="10">
        <v>55702</v>
      </c>
      <c r="AT848" s="10" t="s">
        <v>47</v>
      </c>
      <c r="AU848" s="10" t="s">
        <v>5730</v>
      </c>
      <c r="AV848" s="36" t="s">
        <v>5739</v>
      </c>
      <c r="AW848" s="1">
        <v>46216</v>
      </c>
    </row>
    <row r="849" spans="1:49" x14ac:dyDescent="0.25">
      <c r="A849" s="9" t="s">
        <v>5613</v>
      </c>
      <c r="B849" s="10" t="s">
        <v>5638</v>
      </c>
      <c r="C849" s="10">
        <v>0</v>
      </c>
      <c r="D849" s="10" t="s">
        <v>91</v>
      </c>
      <c r="E849" s="10"/>
      <c r="F849" s="10"/>
      <c r="G849" s="10"/>
      <c r="H849" s="10" t="s">
        <v>52</v>
      </c>
      <c r="I849" s="10">
        <v>25</v>
      </c>
      <c r="J849" s="10" t="s">
        <v>5663</v>
      </c>
      <c r="K849" s="10" t="s">
        <v>42</v>
      </c>
      <c r="L849" s="10">
        <f>Table1[[#This Row],[ENR]]-Table1[[#This Row],[CREDIT]]</f>
        <v>16572.950000000012</v>
      </c>
      <c r="M849" s="36">
        <v>130000</v>
      </c>
      <c r="N849" s="26">
        <v>146572.95000000001</v>
      </c>
      <c r="O849" s="38" t="s">
        <v>43</v>
      </c>
      <c r="P849" s="25">
        <v>146572.95000000001</v>
      </c>
      <c r="Q849" s="25">
        <v>129874</v>
      </c>
      <c r="R849" s="10">
        <v>44700</v>
      </c>
      <c r="S849" s="39">
        <v>23840</v>
      </c>
      <c r="T849" s="10" t="s">
        <v>44</v>
      </c>
      <c r="U849" s="10" t="s">
        <v>45</v>
      </c>
      <c r="V849" s="10">
        <v>0</v>
      </c>
      <c r="W849" s="25">
        <f>Table1[[#This Row],[STAB]]-Table1[[#This Row],[AMOUNT]]</f>
        <v>23840</v>
      </c>
      <c r="X849" s="10">
        <v>0</v>
      </c>
      <c r="Y849" s="10" t="s">
        <v>79</v>
      </c>
      <c r="Z849" s="10">
        <v>0</v>
      </c>
      <c r="AA849" s="10" t="s">
        <v>162</v>
      </c>
      <c r="AB849" s="36" t="s">
        <v>733</v>
      </c>
      <c r="AC849" s="10"/>
      <c r="AD849" s="9" t="s">
        <v>5688</v>
      </c>
      <c r="AE849" s="10" t="s">
        <v>5713</v>
      </c>
      <c r="AF849" s="10" t="s">
        <v>1738</v>
      </c>
      <c r="AG849" s="10" t="s">
        <v>324</v>
      </c>
      <c r="AH849" s="10" t="s">
        <v>722</v>
      </c>
      <c r="AI849" s="10" t="s">
        <v>370</v>
      </c>
      <c r="AJ849" s="10">
        <v>801448854</v>
      </c>
      <c r="AK849" s="10" t="s">
        <v>105</v>
      </c>
      <c r="AL849" s="10"/>
      <c r="AM849" s="10"/>
      <c r="AN849" s="11" t="s">
        <v>46</v>
      </c>
      <c r="AO849" s="10"/>
      <c r="AP849" s="10"/>
      <c r="AQ849" s="10"/>
      <c r="AR849" s="2">
        <v>45894</v>
      </c>
      <c r="AS849" s="10">
        <v>4800</v>
      </c>
      <c r="AT849" s="10" t="s">
        <v>47</v>
      </c>
      <c r="AU849" s="10" t="s">
        <v>5730</v>
      </c>
      <c r="AV849" s="36" t="s">
        <v>5740</v>
      </c>
      <c r="AW849" s="1">
        <v>46216</v>
      </c>
    </row>
    <row r="850" spans="1:49" x14ac:dyDescent="0.25">
      <c r="A850" s="9" t="s">
        <v>5614</v>
      </c>
      <c r="B850" s="10" t="s">
        <v>5639</v>
      </c>
      <c r="C850" s="10">
        <v>0</v>
      </c>
      <c r="D850" s="10" t="s">
        <v>91</v>
      </c>
      <c r="E850" s="10"/>
      <c r="F850" s="10"/>
      <c r="G850" s="10"/>
      <c r="H850" s="10" t="s">
        <v>52</v>
      </c>
      <c r="I850" s="10">
        <v>25</v>
      </c>
      <c r="J850" s="10" t="s">
        <v>5664</v>
      </c>
      <c r="K850" s="10" t="s">
        <v>42</v>
      </c>
      <c r="L850" s="10">
        <f>Table1[[#This Row],[ENR]]-Table1[[#This Row],[CREDIT]]</f>
        <v>5239.8899999999994</v>
      </c>
      <c r="M850" s="36">
        <v>70000</v>
      </c>
      <c r="N850" s="26">
        <v>75239.89</v>
      </c>
      <c r="O850" s="38" t="s">
        <v>43</v>
      </c>
      <c r="P850" s="25">
        <v>75239.89</v>
      </c>
      <c r="Q850" s="25">
        <v>64645.25</v>
      </c>
      <c r="R850" s="10">
        <v>33200</v>
      </c>
      <c r="S850" s="39">
        <v>14810</v>
      </c>
      <c r="T850" s="10" t="s">
        <v>57</v>
      </c>
      <c r="U850" s="10" t="s">
        <v>13</v>
      </c>
      <c r="V850" s="10">
        <v>33200</v>
      </c>
      <c r="W850" s="25">
        <f>Table1[[#This Row],[STAB]]-Table1[[#This Row],[AMOUNT]]</f>
        <v>-18390</v>
      </c>
      <c r="X850" s="10" t="s">
        <v>4937</v>
      </c>
      <c r="Y850" s="10" t="s">
        <v>402</v>
      </c>
      <c r="Z850" s="10" t="s">
        <v>403</v>
      </c>
      <c r="AA850" s="10" t="s">
        <v>162</v>
      </c>
      <c r="AB850" s="10" t="s">
        <v>735</v>
      </c>
      <c r="AC850" s="10"/>
      <c r="AD850" s="9" t="s">
        <v>5689</v>
      </c>
      <c r="AE850" s="10" t="s">
        <v>5714</v>
      </c>
      <c r="AF850" s="10" t="s">
        <v>283</v>
      </c>
      <c r="AG850" s="10" t="s">
        <v>53</v>
      </c>
      <c r="AH850" s="10" t="s">
        <v>5582</v>
      </c>
      <c r="AI850" s="10" t="s">
        <v>2962</v>
      </c>
      <c r="AJ850" s="10">
        <v>801601134</v>
      </c>
      <c r="AK850" s="10" t="s">
        <v>104</v>
      </c>
      <c r="AL850" s="10"/>
      <c r="AM850" s="10"/>
      <c r="AN850" s="11" t="s">
        <v>390</v>
      </c>
      <c r="AO850" s="10"/>
      <c r="AP850" s="10"/>
      <c r="AQ850" s="10"/>
      <c r="AR850" s="2">
        <v>45540</v>
      </c>
      <c r="AS850" s="10">
        <v>69718</v>
      </c>
      <c r="AT850" s="10" t="s">
        <v>47</v>
      </c>
      <c r="AU850" s="10" t="s">
        <v>5730</v>
      </c>
      <c r="AV850" s="36" t="s">
        <v>5741</v>
      </c>
      <c r="AW850" s="1">
        <v>46216</v>
      </c>
    </row>
    <row r="851" spans="1:49" x14ac:dyDescent="0.25">
      <c r="A851" s="9" t="s">
        <v>5615</v>
      </c>
      <c r="B851" s="10" t="s">
        <v>5640</v>
      </c>
      <c r="C851" s="10">
        <v>0</v>
      </c>
      <c r="D851" s="10" t="s">
        <v>91</v>
      </c>
      <c r="E851" s="10"/>
      <c r="F851" s="10"/>
      <c r="G851" s="10"/>
      <c r="H851" s="10" t="s">
        <v>52</v>
      </c>
      <c r="I851" s="10">
        <v>25</v>
      </c>
      <c r="J851" s="10" t="s">
        <v>5665</v>
      </c>
      <c r="K851" s="10" t="s">
        <v>42</v>
      </c>
      <c r="L851" s="10">
        <f>Table1[[#This Row],[ENR]]-Table1[[#This Row],[CREDIT]]</f>
        <v>19902.170000000013</v>
      </c>
      <c r="M851" s="36">
        <v>200000</v>
      </c>
      <c r="N851" s="26">
        <v>219902.17</v>
      </c>
      <c r="O851" s="38" t="s">
        <v>43</v>
      </c>
      <c r="P851" s="25">
        <v>219902.17</v>
      </c>
      <c r="Q851" s="25">
        <v>198459.57</v>
      </c>
      <c r="R851" s="10">
        <v>52420</v>
      </c>
      <c r="S851" s="39">
        <v>21930</v>
      </c>
      <c r="T851" s="10" t="s">
        <v>44</v>
      </c>
      <c r="U851" s="10" t="s">
        <v>45</v>
      </c>
      <c r="V851" s="10">
        <v>0</v>
      </c>
      <c r="W851" s="25">
        <f>Table1[[#This Row],[STAB]]-Table1[[#This Row],[AMOUNT]]</f>
        <v>21930</v>
      </c>
      <c r="X851" s="10">
        <v>0</v>
      </c>
      <c r="Y851" s="10" t="s">
        <v>79</v>
      </c>
      <c r="Z851" s="10">
        <v>0</v>
      </c>
      <c r="AA851" s="10" t="s">
        <v>162</v>
      </c>
      <c r="AB851" s="10" t="s">
        <v>735</v>
      </c>
      <c r="AC851" s="10"/>
      <c r="AD851" s="9" t="s">
        <v>5690</v>
      </c>
      <c r="AE851" s="10" t="s">
        <v>5715</v>
      </c>
      <c r="AF851" s="10" t="s">
        <v>287</v>
      </c>
      <c r="AG851" s="10" t="s">
        <v>324</v>
      </c>
      <c r="AH851" s="10" t="s">
        <v>56</v>
      </c>
      <c r="AI851" s="10" t="s">
        <v>370</v>
      </c>
      <c r="AJ851" s="10">
        <v>801448854</v>
      </c>
      <c r="AK851" s="10" t="s">
        <v>105</v>
      </c>
      <c r="AL851" s="10"/>
      <c r="AM851" s="10"/>
      <c r="AN851" s="11" t="s">
        <v>390</v>
      </c>
      <c r="AO851" s="10" t="s">
        <v>398</v>
      </c>
      <c r="AP851" s="10" t="s">
        <v>6408</v>
      </c>
      <c r="AQ851" s="10" t="s">
        <v>6399</v>
      </c>
      <c r="AR851" s="2">
        <v>45624</v>
      </c>
      <c r="AS851" s="10">
        <v>163059.47</v>
      </c>
      <c r="AT851" s="10" t="s">
        <v>47</v>
      </c>
      <c r="AU851" s="10" t="s">
        <v>5730</v>
      </c>
      <c r="AV851" s="36" t="s">
        <v>5742</v>
      </c>
      <c r="AW851" s="1">
        <v>46216</v>
      </c>
    </row>
    <row r="852" spans="1:49" x14ac:dyDescent="0.25">
      <c r="A852" s="9" t="s">
        <v>5616</v>
      </c>
      <c r="B852" s="10" t="s">
        <v>5641</v>
      </c>
      <c r="C852" s="10">
        <v>0</v>
      </c>
      <c r="D852" s="10" t="s">
        <v>91</v>
      </c>
      <c r="E852" s="10"/>
      <c r="F852" s="10"/>
      <c r="G852" s="10"/>
      <c r="H852" s="10" t="s">
        <v>52</v>
      </c>
      <c r="I852" s="10">
        <v>25</v>
      </c>
      <c r="J852" s="10" t="s">
        <v>5666</v>
      </c>
      <c r="K852" s="10" t="s">
        <v>624</v>
      </c>
      <c r="L852" s="10">
        <f>Table1[[#This Row],[ENR]]-Table1[[#This Row],[CREDIT]]</f>
        <v>-57800.56</v>
      </c>
      <c r="M852" s="36">
        <v>120000</v>
      </c>
      <c r="N852" s="26">
        <v>62199.44</v>
      </c>
      <c r="O852" s="38" t="s">
        <v>43</v>
      </c>
      <c r="P852" s="25">
        <v>62199.44</v>
      </c>
      <c r="Q852" s="25">
        <v>52377.05</v>
      </c>
      <c r="R852" s="10">
        <v>14940</v>
      </c>
      <c r="S852" s="39">
        <v>12450</v>
      </c>
      <c r="T852" s="10" t="s">
        <v>44</v>
      </c>
      <c r="U852" s="10" t="s">
        <v>45</v>
      </c>
      <c r="V852" s="10">
        <v>0</v>
      </c>
      <c r="W852" s="25">
        <f>Table1[[#This Row],[STAB]]-Table1[[#This Row],[AMOUNT]]</f>
        <v>12450</v>
      </c>
      <c r="X852" s="10">
        <v>0</v>
      </c>
      <c r="Y852" s="10" t="s">
        <v>79</v>
      </c>
      <c r="Z852" s="10">
        <v>0</v>
      </c>
      <c r="AA852" s="10" t="s">
        <v>162</v>
      </c>
      <c r="AB852" s="36" t="s">
        <v>736</v>
      </c>
      <c r="AC852" s="10"/>
      <c r="AD852" s="9" t="s">
        <v>5691</v>
      </c>
      <c r="AE852" s="10" t="s">
        <v>5716</v>
      </c>
      <c r="AF852" s="10" t="s">
        <v>283</v>
      </c>
      <c r="AG852" s="10" t="s">
        <v>53</v>
      </c>
      <c r="AH852" s="10" t="s">
        <v>5582</v>
      </c>
      <c r="AI852" s="10" t="s">
        <v>2962</v>
      </c>
      <c r="AJ852" s="10">
        <v>801601134</v>
      </c>
      <c r="AK852" s="10" t="s">
        <v>104</v>
      </c>
      <c r="AL852" s="10"/>
      <c r="AM852" s="10"/>
      <c r="AN852" s="11" t="s">
        <v>46</v>
      </c>
      <c r="AO852" s="10"/>
      <c r="AP852" s="10"/>
      <c r="AQ852" s="10"/>
      <c r="AR852" s="2">
        <v>45594</v>
      </c>
      <c r="AS852" s="10">
        <v>25000</v>
      </c>
      <c r="AT852" s="10" t="s">
        <v>47</v>
      </c>
      <c r="AU852" s="10" t="s">
        <v>5730</v>
      </c>
      <c r="AV852" s="36" t="s">
        <v>5743</v>
      </c>
      <c r="AW852" s="1">
        <v>46216</v>
      </c>
    </row>
    <row r="853" spans="1:49" x14ac:dyDescent="0.25">
      <c r="A853" s="9" t="s">
        <v>5617</v>
      </c>
      <c r="B853" s="10" t="s">
        <v>5642</v>
      </c>
      <c r="C853" s="10">
        <v>0</v>
      </c>
      <c r="D853" s="10" t="s">
        <v>91</v>
      </c>
      <c r="E853" s="10"/>
      <c r="F853" s="10"/>
      <c r="G853" s="10"/>
      <c r="H853" s="10" t="s">
        <v>52</v>
      </c>
      <c r="I853" s="10">
        <v>25</v>
      </c>
      <c r="J853" s="10" t="s">
        <v>5667</v>
      </c>
      <c r="K853" s="10" t="s">
        <v>42</v>
      </c>
      <c r="L853" s="10">
        <f>Table1[[#This Row],[ENR]]-Table1[[#This Row],[CREDIT]]</f>
        <v>-67.489999999990687</v>
      </c>
      <c r="M853" s="36">
        <v>220000</v>
      </c>
      <c r="N853" s="26">
        <v>219932.51</v>
      </c>
      <c r="O853" s="38" t="s">
        <v>43</v>
      </c>
      <c r="P853" s="25">
        <v>219932.51</v>
      </c>
      <c r="Q853" s="25">
        <v>198849.17</v>
      </c>
      <c r="R853" s="10">
        <v>33550</v>
      </c>
      <c r="S853" s="39">
        <v>12880</v>
      </c>
      <c r="T853" s="10" t="s">
        <v>44</v>
      </c>
      <c r="U853" s="10" t="s">
        <v>45</v>
      </c>
      <c r="V853" s="10">
        <v>0</v>
      </c>
      <c r="W853" s="25">
        <f>Table1[[#This Row],[STAB]]-Table1[[#This Row],[AMOUNT]]</f>
        <v>12880</v>
      </c>
      <c r="X853" s="10">
        <v>0</v>
      </c>
      <c r="Y853" s="10" t="s">
        <v>79</v>
      </c>
      <c r="Z853" s="10">
        <v>0</v>
      </c>
      <c r="AA853" s="10" t="s">
        <v>162</v>
      </c>
      <c r="AB853" s="36" t="s">
        <v>736</v>
      </c>
      <c r="AC853" s="10"/>
      <c r="AD853" s="9" t="s">
        <v>5692</v>
      </c>
      <c r="AE853" s="10" t="s">
        <v>5717</v>
      </c>
      <c r="AF853" s="10" t="s">
        <v>276</v>
      </c>
      <c r="AG853" s="10" t="s">
        <v>324</v>
      </c>
      <c r="AH853" s="10" t="s">
        <v>354</v>
      </c>
      <c r="AI853" s="10" t="s">
        <v>367</v>
      </c>
      <c r="AJ853" s="10">
        <v>801436997</v>
      </c>
      <c r="AK853" s="10" t="s">
        <v>104</v>
      </c>
      <c r="AL853" s="10"/>
      <c r="AM853" s="10"/>
      <c r="AN853" s="11" t="s">
        <v>390</v>
      </c>
      <c r="AO853" s="10" t="s">
        <v>394</v>
      </c>
      <c r="AP853" s="10" t="s">
        <v>1970</v>
      </c>
      <c r="AQ853" s="10" t="s">
        <v>6399</v>
      </c>
      <c r="AR853" s="2">
        <v>45779</v>
      </c>
      <c r="AS853" s="10">
        <v>18000</v>
      </c>
      <c r="AT853" s="10" t="s">
        <v>47</v>
      </c>
      <c r="AU853" s="10" t="s">
        <v>5730</v>
      </c>
      <c r="AV853" s="36" t="s">
        <v>5744</v>
      </c>
      <c r="AW853" s="1">
        <v>46216</v>
      </c>
    </row>
    <row r="854" spans="1:49" x14ac:dyDescent="0.25">
      <c r="A854" s="9" t="s">
        <v>5618</v>
      </c>
      <c r="B854" s="10" t="s">
        <v>5643</v>
      </c>
      <c r="C854" s="10">
        <v>0</v>
      </c>
      <c r="D854" s="10" t="s">
        <v>91</v>
      </c>
      <c r="E854" s="10"/>
      <c r="F854" s="10"/>
      <c r="G854" s="10"/>
      <c r="H854" s="10" t="s">
        <v>52</v>
      </c>
      <c r="I854" s="10">
        <v>25</v>
      </c>
      <c r="J854" s="10" t="s">
        <v>5668</v>
      </c>
      <c r="K854" s="10" t="s">
        <v>42</v>
      </c>
      <c r="L854" s="10">
        <f>Table1[[#This Row],[ENR]]-Table1[[#This Row],[CREDIT]]</f>
        <v>24235.460000000021</v>
      </c>
      <c r="M854" s="36">
        <v>250000</v>
      </c>
      <c r="N854" s="26">
        <v>274235.46000000002</v>
      </c>
      <c r="O854" s="38" t="s">
        <v>43</v>
      </c>
      <c r="P854" s="25">
        <v>274235.46000000002</v>
      </c>
      <c r="Q854" s="25">
        <v>249928.11</v>
      </c>
      <c r="R854" s="10">
        <v>62720</v>
      </c>
      <c r="S854" s="39">
        <v>25100</v>
      </c>
      <c r="T854" s="10" t="s">
        <v>44</v>
      </c>
      <c r="U854" s="10" t="s">
        <v>45</v>
      </c>
      <c r="V854" s="10">
        <v>0</v>
      </c>
      <c r="W854" s="25">
        <f>Table1[[#This Row],[STAB]]-Table1[[#This Row],[AMOUNT]]</f>
        <v>25100</v>
      </c>
      <c r="X854" s="10">
        <v>0</v>
      </c>
      <c r="Y854" s="10" t="s">
        <v>79</v>
      </c>
      <c r="Z854" s="10">
        <v>0</v>
      </c>
      <c r="AA854" s="10" t="s">
        <v>162</v>
      </c>
      <c r="AB854" s="36" t="s">
        <v>736</v>
      </c>
      <c r="AC854" s="10"/>
      <c r="AD854" s="9" t="s">
        <v>5693</v>
      </c>
      <c r="AE854" s="10" t="s">
        <v>5718</v>
      </c>
      <c r="AF854" s="10" t="s">
        <v>5729</v>
      </c>
      <c r="AG854" s="10" t="s">
        <v>54</v>
      </c>
      <c r="AH854" s="10" t="s">
        <v>358</v>
      </c>
      <c r="AI854" s="10" t="s">
        <v>365</v>
      </c>
      <c r="AJ854" s="10">
        <v>802824019</v>
      </c>
      <c r="AK854" s="10" t="s">
        <v>360</v>
      </c>
      <c r="AL854" s="10"/>
      <c r="AM854" s="10"/>
      <c r="AN854" s="11" t="s">
        <v>46</v>
      </c>
      <c r="AO854" s="10"/>
      <c r="AP854" s="10"/>
      <c r="AQ854" s="10"/>
      <c r="AR854" s="2">
        <v>45709</v>
      </c>
      <c r="AS854" s="10">
        <v>82371.570000000007</v>
      </c>
      <c r="AT854" s="10" t="s">
        <v>503</v>
      </c>
      <c r="AU854" s="10" t="s">
        <v>5730</v>
      </c>
      <c r="AV854" s="36" t="s">
        <v>5745</v>
      </c>
      <c r="AW854" s="1">
        <v>46216</v>
      </c>
    </row>
    <row r="855" spans="1:49" x14ac:dyDescent="0.25">
      <c r="A855" s="9" t="s">
        <v>5619</v>
      </c>
      <c r="B855" s="10" t="s">
        <v>5644</v>
      </c>
      <c r="C855" s="10">
        <v>0</v>
      </c>
      <c r="D855" s="10" t="s">
        <v>91</v>
      </c>
      <c r="E855" s="10"/>
      <c r="F855" s="10"/>
      <c r="G855" s="10"/>
      <c r="H855" s="10" t="s">
        <v>52</v>
      </c>
      <c r="I855" s="10">
        <v>25</v>
      </c>
      <c r="J855" s="10" t="s">
        <v>5669</v>
      </c>
      <c r="K855" s="10" t="s">
        <v>42</v>
      </c>
      <c r="L855" s="10">
        <f>Table1[[#This Row],[ENR]]-Table1[[#This Row],[CREDIT]]</f>
        <v>-60556.669999999984</v>
      </c>
      <c r="M855" s="36">
        <v>500000</v>
      </c>
      <c r="N855" s="26">
        <v>439443.33</v>
      </c>
      <c r="O855" s="38" t="s">
        <v>43</v>
      </c>
      <c r="P855" s="25">
        <v>439443.33</v>
      </c>
      <c r="Q855" s="25">
        <v>384698</v>
      </c>
      <c r="R855" s="10">
        <v>92260</v>
      </c>
      <c r="S855" s="39">
        <v>44430</v>
      </c>
      <c r="T855" s="10" t="s">
        <v>44</v>
      </c>
      <c r="U855" s="10" t="s">
        <v>45</v>
      </c>
      <c r="V855" s="10">
        <v>0</v>
      </c>
      <c r="W855" s="25">
        <f>Table1[[#This Row],[STAB]]-Table1[[#This Row],[AMOUNT]]</f>
        <v>44430</v>
      </c>
      <c r="X855" s="10">
        <v>0</v>
      </c>
      <c r="Y855" s="10" t="s">
        <v>79</v>
      </c>
      <c r="Z855" s="10" t="s">
        <v>963</v>
      </c>
      <c r="AA855" s="10" t="s">
        <v>162</v>
      </c>
      <c r="AB855" s="36" t="s">
        <v>733</v>
      </c>
      <c r="AC855" s="10"/>
      <c r="AD855" s="9" t="s">
        <v>5694</v>
      </c>
      <c r="AE855" s="10" t="s">
        <v>5719</v>
      </c>
      <c r="AF855" s="10" t="s">
        <v>283</v>
      </c>
      <c r="AG855" s="10" t="s">
        <v>53</v>
      </c>
      <c r="AH855" s="10" t="s">
        <v>5582</v>
      </c>
      <c r="AI855" s="10" t="s">
        <v>2962</v>
      </c>
      <c r="AJ855" s="10">
        <v>801601134</v>
      </c>
      <c r="AK855" s="10" t="s">
        <v>104</v>
      </c>
      <c r="AL855" s="10"/>
      <c r="AM855" s="10"/>
      <c r="AN855" s="11" t="s">
        <v>390</v>
      </c>
      <c r="AO855" s="10" t="s">
        <v>398</v>
      </c>
      <c r="AP855" s="10" t="s">
        <v>6340</v>
      </c>
      <c r="AQ855" s="10" t="s">
        <v>4976</v>
      </c>
      <c r="AR855" s="2">
        <v>46155</v>
      </c>
      <c r="AS855" s="10">
        <v>19990</v>
      </c>
      <c r="AT855" s="10" t="s">
        <v>48</v>
      </c>
      <c r="AU855" s="10" t="s">
        <v>5730</v>
      </c>
      <c r="AV855" s="36" t="s">
        <v>5746</v>
      </c>
      <c r="AW855" s="1">
        <v>46216</v>
      </c>
    </row>
    <row r="856" spans="1:49" x14ac:dyDescent="0.25">
      <c r="A856" s="9" t="s">
        <v>5620</v>
      </c>
      <c r="B856" s="10" t="s">
        <v>5645</v>
      </c>
      <c r="C856" s="10">
        <v>0</v>
      </c>
      <c r="D856" s="10" t="s">
        <v>91</v>
      </c>
      <c r="E856" s="10"/>
      <c r="F856" s="10"/>
      <c r="G856" s="10"/>
      <c r="H856" s="10" t="s">
        <v>52</v>
      </c>
      <c r="I856" s="10">
        <v>25</v>
      </c>
      <c r="J856" s="10" t="s">
        <v>5670</v>
      </c>
      <c r="K856" s="10" t="s">
        <v>42</v>
      </c>
      <c r="L856" s="10">
        <f>Table1[[#This Row],[ENR]]-Table1[[#This Row],[CREDIT]]</f>
        <v>3555.1500000000015</v>
      </c>
      <c r="M856" s="36">
        <v>50000</v>
      </c>
      <c r="N856" s="26">
        <v>53555.15</v>
      </c>
      <c r="O856" s="38" t="s">
        <v>43</v>
      </c>
      <c r="P856" s="25">
        <v>53555.15</v>
      </c>
      <c r="Q856" s="25">
        <v>49968.54</v>
      </c>
      <c r="R856" s="10">
        <v>15990</v>
      </c>
      <c r="S856" s="39">
        <v>8813</v>
      </c>
      <c r="T856" s="10" t="s">
        <v>44</v>
      </c>
      <c r="U856" s="10" t="s">
        <v>45</v>
      </c>
      <c r="V856" s="10">
        <v>0</v>
      </c>
      <c r="W856" s="25">
        <f>Table1[[#This Row],[STAB]]-Table1[[#This Row],[AMOUNT]]</f>
        <v>8813</v>
      </c>
      <c r="X856" s="10">
        <v>0</v>
      </c>
      <c r="Y856" s="10" t="s">
        <v>79</v>
      </c>
      <c r="Z856" s="10">
        <v>0</v>
      </c>
      <c r="AA856" s="10" t="s">
        <v>162</v>
      </c>
      <c r="AB856" s="36" t="s">
        <v>733</v>
      </c>
      <c r="AC856" s="10"/>
      <c r="AD856" s="9" t="s">
        <v>5695</v>
      </c>
      <c r="AE856" s="10" t="s">
        <v>5720</v>
      </c>
      <c r="AF856" s="10" t="s">
        <v>273</v>
      </c>
      <c r="AG856" s="10" t="s">
        <v>323</v>
      </c>
      <c r="AH856" s="10" t="s">
        <v>4528</v>
      </c>
      <c r="AI856" s="10" t="s">
        <v>363</v>
      </c>
      <c r="AJ856" s="10">
        <v>802913252</v>
      </c>
      <c r="AK856" s="10" t="s">
        <v>104</v>
      </c>
      <c r="AL856" s="10"/>
      <c r="AM856" s="10"/>
      <c r="AN856" s="11" t="s">
        <v>46</v>
      </c>
      <c r="AO856" s="10"/>
      <c r="AP856" s="10"/>
      <c r="AQ856" s="10"/>
      <c r="AR856" s="2">
        <v>46116</v>
      </c>
      <c r="AS856" s="10">
        <v>15900</v>
      </c>
      <c r="AT856" s="10" t="s">
        <v>293</v>
      </c>
      <c r="AU856" s="10" t="s">
        <v>5730</v>
      </c>
      <c r="AV856" s="36" t="s">
        <v>5747</v>
      </c>
      <c r="AW856" s="1">
        <v>46216</v>
      </c>
    </row>
    <row r="857" spans="1:49" x14ac:dyDescent="0.25">
      <c r="A857" s="9" t="s">
        <v>5621</v>
      </c>
      <c r="B857" s="10" t="s">
        <v>5646</v>
      </c>
      <c r="C857" s="10">
        <v>0</v>
      </c>
      <c r="D857" s="10" t="s">
        <v>91</v>
      </c>
      <c r="E857" s="10"/>
      <c r="F857" s="10"/>
      <c r="G857" s="10"/>
      <c r="H857" s="10" t="s">
        <v>52</v>
      </c>
      <c r="I857" s="10">
        <v>25</v>
      </c>
      <c r="J857" s="10" t="s">
        <v>5671</v>
      </c>
      <c r="K857" s="10" t="s">
        <v>42</v>
      </c>
      <c r="L857" s="10">
        <f>Table1[[#This Row],[ENR]]-Table1[[#This Row],[CREDIT]]</f>
        <v>13171.050000000003</v>
      </c>
      <c r="M857" s="36">
        <v>100000</v>
      </c>
      <c r="N857" s="26">
        <v>113171.05</v>
      </c>
      <c r="O857" s="38" t="s">
        <v>43</v>
      </c>
      <c r="P857" s="25">
        <v>113171.05</v>
      </c>
      <c r="Q857" s="25">
        <v>99897.21</v>
      </c>
      <c r="R857" s="10">
        <v>35210</v>
      </c>
      <c r="S857" s="39">
        <v>18470</v>
      </c>
      <c r="T857" s="10" t="s">
        <v>44</v>
      </c>
      <c r="U857" s="10" t="s">
        <v>45</v>
      </c>
      <c r="V857" s="10">
        <v>0</v>
      </c>
      <c r="W857" s="25">
        <f>Table1[[#This Row],[STAB]]-Table1[[#This Row],[AMOUNT]]</f>
        <v>18470</v>
      </c>
      <c r="X857" s="10">
        <v>0</v>
      </c>
      <c r="Y857" s="10" t="s">
        <v>79</v>
      </c>
      <c r="Z857" s="10">
        <v>0</v>
      </c>
      <c r="AA857" s="10" t="s">
        <v>162</v>
      </c>
      <c r="AB857" s="10" t="s">
        <v>735</v>
      </c>
      <c r="AC857" s="10"/>
      <c r="AD857" s="9" t="s">
        <v>5696</v>
      </c>
      <c r="AE857" s="10" t="s">
        <v>5721</v>
      </c>
      <c r="AF857" s="10" t="s">
        <v>276</v>
      </c>
      <c r="AG857" s="10" t="s">
        <v>324</v>
      </c>
      <c r="AH857" s="10" t="s">
        <v>2955</v>
      </c>
      <c r="AI857" s="10" t="s">
        <v>365</v>
      </c>
      <c r="AJ857" s="10">
        <v>802824019</v>
      </c>
      <c r="AK857" s="10" t="s">
        <v>360</v>
      </c>
      <c r="AL857" s="10"/>
      <c r="AM857" s="10"/>
      <c r="AN857" s="11" t="s">
        <v>46</v>
      </c>
      <c r="AO857" s="10"/>
      <c r="AP857" s="10"/>
      <c r="AQ857" s="10"/>
      <c r="AR857" s="2">
        <v>45540</v>
      </c>
      <c r="AS857" s="10">
        <v>22425</v>
      </c>
      <c r="AT857" s="10" t="s">
        <v>157</v>
      </c>
      <c r="AU857" s="10" t="s">
        <v>5730</v>
      </c>
      <c r="AV857" s="36" t="s">
        <v>5748</v>
      </c>
      <c r="AW857" s="1">
        <v>46216</v>
      </c>
    </row>
    <row r="858" spans="1:49" x14ac:dyDescent="0.25">
      <c r="A858" s="9" t="s">
        <v>5622</v>
      </c>
      <c r="B858" s="10" t="s">
        <v>5647</v>
      </c>
      <c r="C858" s="10">
        <v>0</v>
      </c>
      <c r="D858" s="10" t="s">
        <v>91</v>
      </c>
      <c r="E858" s="10"/>
      <c r="F858" s="10"/>
      <c r="G858" s="10"/>
      <c r="H858" s="10" t="s">
        <v>52</v>
      </c>
      <c r="I858" s="10">
        <v>25</v>
      </c>
      <c r="J858" s="10" t="s">
        <v>5672</v>
      </c>
      <c r="K858" s="10" t="s">
        <v>42</v>
      </c>
      <c r="L858" s="10">
        <f>Table1[[#This Row],[ENR]]-Table1[[#This Row],[CREDIT]]</f>
        <v>21777.349999999977</v>
      </c>
      <c r="M858" s="36">
        <v>300000</v>
      </c>
      <c r="N858" s="26">
        <v>321777.34999999998</v>
      </c>
      <c r="O858" s="38" t="s">
        <v>43</v>
      </c>
      <c r="P858" s="25">
        <v>321777.34999999998</v>
      </c>
      <c r="Q858" s="25">
        <v>299109.52</v>
      </c>
      <c r="R858" s="10">
        <v>96250</v>
      </c>
      <c r="S858" s="39">
        <v>51755.79</v>
      </c>
      <c r="T858" s="10" t="s">
        <v>57</v>
      </c>
      <c r="U858" s="10" t="s">
        <v>13</v>
      </c>
      <c r="V858" s="10">
        <v>96250</v>
      </c>
      <c r="W858" s="25">
        <f>Table1[[#This Row],[STAB]]-Table1[[#This Row],[AMOUNT]]</f>
        <v>-44494.21</v>
      </c>
      <c r="X858" s="10" t="s">
        <v>4937</v>
      </c>
      <c r="Y858" s="10" t="s">
        <v>402</v>
      </c>
      <c r="Z858" s="10" t="s">
        <v>403</v>
      </c>
      <c r="AA858" s="10" t="s">
        <v>162</v>
      </c>
      <c r="AB858" s="10" t="s">
        <v>735</v>
      </c>
      <c r="AC858" s="10"/>
      <c r="AD858" s="9" t="s">
        <v>5697</v>
      </c>
      <c r="AE858" s="10" t="s">
        <v>5722</v>
      </c>
      <c r="AF858" s="10" t="s">
        <v>85</v>
      </c>
      <c r="AG858" s="10" t="s">
        <v>54</v>
      </c>
      <c r="AH858" s="10" t="s">
        <v>89</v>
      </c>
      <c r="AI858" s="10" t="s">
        <v>106</v>
      </c>
      <c r="AJ858" s="10">
        <v>802370852</v>
      </c>
      <c r="AK858" s="10" t="s">
        <v>105</v>
      </c>
      <c r="AL858" s="10"/>
      <c r="AM858" s="10"/>
      <c r="AN858" s="11" t="s">
        <v>390</v>
      </c>
      <c r="AO858" s="10"/>
      <c r="AP858" s="10"/>
      <c r="AQ858" s="10"/>
      <c r="AR858" s="2">
        <v>46181</v>
      </c>
      <c r="AS858" s="10">
        <v>37084.21</v>
      </c>
      <c r="AT858" s="10" t="s">
        <v>937</v>
      </c>
      <c r="AU858" s="10" t="s">
        <v>5730</v>
      </c>
      <c r="AV858" s="36" t="s">
        <v>5749</v>
      </c>
      <c r="AW858" s="1">
        <v>46216</v>
      </c>
    </row>
    <row r="859" spans="1:49" x14ac:dyDescent="0.25">
      <c r="A859" s="9" t="s">
        <v>5623</v>
      </c>
      <c r="B859" s="10" t="s">
        <v>5648</v>
      </c>
      <c r="C859" s="10">
        <v>0</v>
      </c>
      <c r="D859" s="10" t="s">
        <v>91</v>
      </c>
      <c r="E859" s="10"/>
      <c r="F859" s="10"/>
      <c r="G859" s="10"/>
      <c r="H859" s="10" t="s">
        <v>84</v>
      </c>
      <c r="I859" s="10">
        <v>25</v>
      </c>
      <c r="J859" s="10" t="s">
        <v>5673</v>
      </c>
      <c r="K859" s="10" t="s">
        <v>42</v>
      </c>
      <c r="L859" s="10">
        <f>Table1[[#This Row],[ENR]]-Table1[[#This Row],[CREDIT]]</f>
        <v>-179203.06</v>
      </c>
      <c r="M859" s="36">
        <v>320000</v>
      </c>
      <c r="N859" s="26">
        <v>140796.94</v>
      </c>
      <c r="O859" s="38" t="s">
        <v>43</v>
      </c>
      <c r="P859" s="25">
        <v>140796.94</v>
      </c>
      <c r="Q859" s="25">
        <v>132782.79999999999</v>
      </c>
      <c r="R859" s="10">
        <v>18020</v>
      </c>
      <c r="S859" s="39">
        <v>9030</v>
      </c>
      <c r="T859" s="10" t="s">
        <v>44</v>
      </c>
      <c r="U859" s="10" t="s">
        <v>45</v>
      </c>
      <c r="V859" s="10">
        <v>0</v>
      </c>
      <c r="W859" s="25">
        <f>Table1[[#This Row],[STAB]]-Table1[[#This Row],[AMOUNT]]</f>
        <v>9030</v>
      </c>
      <c r="X859" s="10">
        <v>0</v>
      </c>
      <c r="Y859" s="10" t="s">
        <v>79</v>
      </c>
      <c r="Z859" s="10">
        <v>0</v>
      </c>
      <c r="AA859" s="10" t="s">
        <v>162</v>
      </c>
      <c r="AB859" s="36" t="s">
        <v>734</v>
      </c>
      <c r="AC859" s="10"/>
      <c r="AD859" s="9" t="s">
        <v>5698</v>
      </c>
      <c r="AE859" s="10" t="s">
        <v>5723</v>
      </c>
      <c r="AF859" s="10" t="s">
        <v>285</v>
      </c>
      <c r="AG859" s="10" t="s">
        <v>54</v>
      </c>
      <c r="AH859" s="10" t="s">
        <v>98</v>
      </c>
      <c r="AI859" s="10" t="s">
        <v>727</v>
      </c>
      <c r="AJ859" s="10">
        <v>802898520</v>
      </c>
      <c r="AK859" s="10" t="s">
        <v>104</v>
      </c>
      <c r="AL859" s="10"/>
      <c r="AM859" s="10"/>
      <c r="AN859" s="11" t="s">
        <v>46</v>
      </c>
      <c r="AO859" s="10"/>
      <c r="AP859" s="10"/>
      <c r="AQ859" s="10"/>
      <c r="AR859" s="2">
        <v>45473</v>
      </c>
      <c r="AS859" s="10">
        <v>5390</v>
      </c>
      <c r="AT859" s="10" t="s">
        <v>288</v>
      </c>
      <c r="AU859" s="10" t="s">
        <v>5730</v>
      </c>
      <c r="AV859" s="36" t="s">
        <v>5750</v>
      </c>
      <c r="AW859" s="1">
        <v>46216</v>
      </c>
    </row>
    <row r="860" spans="1:49" x14ac:dyDescent="0.25">
      <c r="A860" s="9" t="s">
        <v>5624</v>
      </c>
      <c r="B860" s="10" t="s">
        <v>5649</v>
      </c>
      <c r="C860" s="10">
        <v>0</v>
      </c>
      <c r="D860" s="10" t="s">
        <v>91</v>
      </c>
      <c r="E860" s="10"/>
      <c r="F860" s="10"/>
      <c r="G860" s="10"/>
      <c r="H860" s="10" t="s">
        <v>52</v>
      </c>
      <c r="I860" s="10">
        <v>25</v>
      </c>
      <c r="J860" s="10" t="s">
        <v>5674</v>
      </c>
      <c r="K860" s="10" t="s">
        <v>42</v>
      </c>
      <c r="L860" s="10">
        <f>Table1[[#This Row],[ENR]]-Table1[[#This Row],[CREDIT]]</f>
        <v>6171.760000000002</v>
      </c>
      <c r="M860" s="36">
        <v>50000</v>
      </c>
      <c r="N860" s="26">
        <v>56171.76</v>
      </c>
      <c r="O860" s="38" t="s">
        <v>43</v>
      </c>
      <c r="P860" s="25">
        <v>56171.76</v>
      </c>
      <c r="Q860" s="25">
        <v>49642.65</v>
      </c>
      <c r="R860" s="10">
        <v>15530</v>
      </c>
      <c r="S860" s="39">
        <v>5680</v>
      </c>
      <c r="T860" s="10" t="s">
        <v>44</v>
      </c>
      <c r="U860" s="10" t="s">
        <v>45</v>
      </c>
      <c r="V860" s="10">
        <v>0</v>
      </c>
      <c r="W860" s="25">
        <f>Table1[[#This Row],[STAB]]-Table1[[#This Row],[AMOUNT]]</f>
        <v>5680</v>
      </c>
      <c r="X860" s="10">
        <v>0</v>
      </c>
      <c r="Y860" s="10" t="s">
        <v>79</v>
      </c>
      <c r="Z860" s="10">
        <v>0</v>
      </c>
      <c r="AA860" s="10" t="s">
        <v>162</v>
      </c>
      <c r="AB860" s="36" t="s">
        <v>733</v>
      </c>
      <c r="AC860" s="10"/>
      <c r="AD860" s="9" t="s">
        <v>5699</v>
      </c>
      <c r="AE860" s="10" t="s">
        <v>5724</v>
      </c>
      <c r="AF860" s="10" t="s">
        <v>85</v>
      </c>
      <c r="AG860" s="10" t="s">
        <v>54</v>
      </c>
      <c r="AH860" s="10" t="s">
        <v>89</v>
      </c>
      <c r="AI860" s="10" t="s">
        <v>106</v>
      </c>
      <c r="AJ860" s="10">
        <v>802370852</v>
      </c>
      <c r="AK860" s="10" t="s">
        <v>105</v>
      </c>
      <c r="AL860" s="10"/>
      <c r="AM860" s="10"/>
      <c r="AN860" s="11" t="s">
        <v>46</v>
      </c>
      <c r="AO860" s="10"/>
      <c r="AP860" s="10"/>
      <c r="AQ860" s="10"/>
      <c r="AR860" s="2">
        <v>46043</v>
      </c>
      <c r="AS860" s="10">
        <v>8300</v>
      </c>
      <c r="AT860" s="10" t="s">
        <v>157</v>
      </c>
      <c r="AU860" s="10" t="s">
        <v>5730</v>
      </c>
      <c r="AV860" s="36" t="s">
        <v>5751</v>
      </c>
      <c r="AW860" s="1">
        <v>46216</v>
      </c>
    </row>
    <row r="861" spans="1:49" x14ac:dyDescent="0.25">
      <c r="A861" s="9" t="s">
        <v>5625</v>
      </c>
      <c r="B861" s="10" t="s">
        <v>5650</v>
      </c>
      <c r="C861" s="10">
        <v>0</v>
      </c>
      <c r="D861" s="10" t="s">
        <v>91</v>
      </c>
      <c r="E861" s="10"/>
      <c r="F861" s="10"/>
      <c r="G861" s="10"/>
      <c r="H861" s="10" t="s">
        <v>52</v>
      </c>
      <c r="I861" s="10">
        <v>25</v>
      </c>
      <c r="J861" s="10" t="s">
        <v>5675</v>
      </c>
      <c r="K861" s="10" t="s">
        <v>42</v>
      </c>
      <c r="L861" s="10">
        <f>Table1[[#This Row],[ENR]]-Table1[[#This Row],[CREDIT]]</f>
        <v>5675.9700000000012</v>
      </c>
      <c r="M861" s="36">
        <v>100000</v>
      </c>
      <c r="N861" s="26">
        <v>105675.97</v>
      </c>
      <c r="O861" s="38" t="s">
        <v>43</v>
      </c>
      <c r="P861" s="25">
        <v>105675.97</v>
      </c>
      <c r="Q861" s="25">
        <v>93803.02</v>
      </c>
      <c r="R861" s="10">
        <v>23060</v>
      </c>
      <c r="S861" s="39">
        <v>7090</v>
      </c>
      <c r="T861" s="10" t="s">
        <v>44</v>
      </c>
      <c r="U861" s="10" t="s">
        <v>45</v>
      </c>
      <c r="V861" s="10">
        <v>0</v>
      </c>
      <c r="W861" s="25">
        <f>Table1[[#This Row],[STAB]]-Table1[[#This Row],[AMOUNT]]</f>
        <v>7090</v>
      </c>
      <c r="X861" s="10">
        <v>0</v>
      </c>
      <c r="Y861" s="10" t="s">
        <v>79</v>
      </c>
      <c r="Z861" s="10">
        <v>0</v>
      </c>
      <c r="AA861" s="10" t="s">
        <v>162</v>
      </c>
      <c r="AB861" s="36" t="s">
        <v>734</v>
      </c>
      <c r="AC861" s="10"/>
      <c r="AD861" s="9" t="s">
        <v>5700</v>
      </c>
      <c r="AE861" s="10" t="s">
        <v>5725</v>
      </c>
      <c r="AF861" s="10" t="s">
        <v>1319</v>
      </c>
      <c r="AG861" s="10" t="s">
        <v>54</v>
      </c>
      <c r="AH861" s="10" t="s">
        <v>59</v>
      </c>
      <c r="AI861" s="10" t="s">
        <v>956</v>
      </c>
      <c r="AJ861" s="10">
        <v>802551967</v>
      </c>
      <c r="AK861" s="10" t="s">
        <v>362</v>
      </c>
      <c r="AL861" s="10"/>
      <c r="AM861" s="10"/>
      <c r="AN861" s="11" t="s">
        <v>46</v>
      </c>
      <c r="AO861" s="10"/>
      <c r="AP861" s="10"/>
      <c r="AQ861" s="10"/>
      <c r="AR861" s="2">
        <v>45609</v>
      </c>
      <c r="AS861" s="10">
        <v>1000</v>
      </c>
      <c r="AT861" s="10" t="s">
        <v>290</v>
      </c>
      <c r="AU861" s="10" t="s">
        <v>5730</v>
      </c>
      <c r="AV861" s="36" t="s">
        <v>5752</v>
      </c>
      <c r="AW861" s="1">
        <v>46216</v>
      </c>
    </row>
    <row r="862" spans="1:49" x14ac:dyDescent="0.25">
      <c r="A862" s="9" t="s">
        <v>5626</v>
      </c>
      <c r="B862" s="10" t="s">
        <v>5651</v>
      </c>
      <c r="C862" s="10">
        <v>0</v>
      </c>
      <c r="D862" s="10" t="s">
        <v>91</v>
      </c>
      <c r="E862" s="10"/>
      <c r="F862" s="10"/>
      <c r="G862" s="10"/>
      <c r="H862" s="10" t="s">
        <v>52</v>
      </c>
      <c r="I862" s="10">
        <v>25</v>
      </c>
      <c r="J862" s="10" t="s">
        <v>5676</v>
      </c>
      <c r="K862" s="10" t="s">
        <v>42</v>
      </c>
      <c r="L862" s="10">
        <f>Table1[[#This Row],[ENR]]-Table1[[#This Row],[CREDIT]]</f>
        <v>24365.739999999991</v>
      </c>
      <c r="M862" s="36">
        <v>200000</v>
      </c>
      <c r="N862" s="26">
        <v>224365.74</v>
      </c>
      <c r="O862" s="38">
        <v>25067.8</v>
      </c>
      <c r="P862" s="25">
        <v>199297.94</v>
      </c>
      <c r="Q862" s="25">
        <v>174052.99</v>
      </c>
      <c r="R862" s="10">
        <v>52090</v>
      </c>
      <c r="S862" s="39">
        <v>31110</v>
      </c>
      <c r="T862" s="10" t="s">
        <v>44</v>
      </c>
      <c r="U862" s="10" t="s">
        <v>45</v>
      </c>
      <c r="V862" s="10">
        <v>0</v>
      </c>
      <c r="W862" s="25">
        <f>Table1[[#This Row],[STAB]]-Table1[[#This Row],[AMOUNT]]</f>
        <v>31110</v>
      </c>
      <c r="X862" s="10">
        <v>0</v>
      </c>
      <c r="Y862" s="10" t="s">
        <v>79</v>
      </c>
      <c r="Z862" s="10">
        <v>0</v>
      </c>
      <c r="AA862" s="10" t="s">
        <v>162</v>
      </c>
      <c r="AB862" s="36" t="s">
        <v>733</v>
      </c>
      <c r="AC862" s="10"/>
      <c r="AD862" s="9" t="s">
        <v>5701</v>
      </c>
      <c r="AE862" s="10" t="s">
        <v>5726</v>
      </c>
      <c r="AF862" s="10" t="s">
        <v>685</v>
      </c>
      <c r="AG862" s="10" t="s">
        <v>54</v>
      </c>
      <c r="AH862" s="10" t="s">
        <v>1398</v>
      </c>
      <c r="AI862" s="10" t="s">
        <v>162</v>
      </c>
      <c r="AJ862" s="10">
        <v>801772794</v>
      </c>
      <c r="AK862" s="10" t="s">
        <v>361</v>
      </c>
      <c r="AL862" s="10"/>
      <c r="AM862" s="10"/>
      <c r="AN862" s="11" t="s">
        <v>46</v>
      </c>
      <c r="AO862" s="10"/>
      <c r="AP862" s="10"/>
      <c r="AQ862" s="10"/>
      <c r="AR862" s="2">
        <v>45508</v>
      </c>
      <c r="AS862" s="10">
        <v>20000</v>
      </c>
      <c r="AT862" s="10" t="s">
        <v>290</v>
      </c>
      <c r="AU862" s="10" t="s">
        <v>5730</v>
      </c>
      <c r="AV862" s="36" t="s">
        <v>5753</v>
      </c>
      <c r="AW862" s="1">
        <v>46216</v>
      </c>
    </row>
    <row r="863" spans="1:49" x14ac:dyDescent="0.25">
      <c r="A863" s="9" t="s">
        <v>5627</v>
      </c>
      <c r="B863" s="10" t="s">
        <v>5652</v>
      </c>
      <c r="C863" s="10">
        <v>0</v>
      </c>
      <c r="D863" s="10" t="s">
        <v>91</v>
      </c>
      <c r="E863" s="10"/>
      <c r="F863" s="10"/>
      <c r="G863" s="10"/>
      <c r="H863" s="10" t="s">
        <v>52</v>
      </c>
      <c r="I863" s="10">
        <v>25</v>
      </c>
      <c r="J863" s="10" t="s">
        <v>5677</v>
      </c>
      <c r="K863" s="10" t="s">
        <v>42</v>
      </c>
      <c r="L863" s="10">
        <f>Table1[[#This Row],[ENR]]-Table1[[#This Row],[CREDIT]]</f>
        <v>-359976.08999999997</v>
      </c>
      <c r="M863" s="36">
        <v>420000</v>
      </c>
      <c r="N863" s="26">
        <v>60023.91</v>
      </c>
      <c r="O863" s="38">
        <v>13419.99</v>
      </c>
      <c r="P863" s="25">
        <v>46603.92</v>
      </c>
      <c r="Q863" s="25">
        <v>42303.41</v>
      </c>
      <c r="R863" s="10">
        <v>14110</v>
      </c>
      <c r="S863" s="39">
        <v>5510</v>
      </c>
      <c r="T863" s="10" t="s">
        <v>44</v>
      </c>
      <c r="U863" s="10" t="s">
        <v>45</v>
      </c>
      <c r="V863" s="10">
        <v>0</v>
      </c>
      <c r="W863" s="25">
        <f>Table1[[#This Row],[STAB]]-Table1[[#This Row],[AMOUNT]]</f>
        <v>5510</v>
      </c>
      <c r="X863" s="10">
        <v>0</v>
      </c>
      <c r="Y863" s="10" t="s">
        <v>79</v>
      </c>
      <c r="Z863" s="10">
        <v>0</v>
      </c>
      <c r="AA863" s="10" t="s">
        <v>162</v>
      </c>
      <c r="AB863" s="36" t="s">
        <v>734</v>
      </c>
      <c r="AC863" s="10"/>
      <c r="AD863" s="9" t="s">
        <v>5702</v>
      </c>
      <c r="AE863" s="10" t="s">
        <v>5727</v>
      </c>
      <c r="AF863" s="10" t="s">
        <v>499</v>
      </c>
      <c r="AG863" s="10" t="s">
        <v>53</v>
      </c>
      <c r="AH863" s="10" t="s">
        <v>55</v>
      </c>
      <c r="AI863" s="10" t="s">
        <v>365</v>
      </c>
      <c r="AJ863" s="10">
        <v>802824019</v>
      </c>
      <c r="AK863" s="10" t="s">
        <v>360</v>
      </c>
      <c r="AL863" s="10"/>
      <c r="AM863" s="10"/>
      <c r="AN863" s="11" t="s">
        <v>390</v>
      </c>
      <c r="AO863" s="10" t="s">
        <v>392</v>
      </c>
      <c r="AP863" s="10" t="s">
        <v>6342</v>
      </c>
      <c r="AQ863" s="10" t="s">
        <v>4976</v>
      </c>
      <c r="AR863" s="2" t="s">
        <v>43</v>
      </c>
      <c r="AS863" s="10">
        <v>0</v>
      </c>
      <c r="AT863" s="10" t="s">
        <v>48</v>
      </c>
      <c r="AU863" s="10" t="s">
        <v>5730</v>
      </c>
      <c r="AV863" s="36" t="s">
        <v>5754</v>
      </c>
      <c r="AW863" s="1">
        <v>46216</v>
      </c>
    </row>
    <row r="864" spans="1:49" x14ac:dyDescent="0.25">
      <c r="A864" s="40" t="s">
        <v>5628</v>
      </c>
      <c r="B864" s="11" t="s">
        <v>5653</v>
      </c>
      <c r="C864" s="10">
        <v>0</v>
      </c>
      <c r="D864" s="10" t="s">
        <v>91</v>
      </c>
      <c r="E864" s="11"/>
      <c r="F864" s="11"/>
      <c r="G864" s="11"/>
      <c r="H864" s="10" t="s">
        <v>52</v>
      </c>
      <c r="I864" s="11">
        <v>25</v>
      </c>
      <c r="J864" s="11" t="s">
        <v>5678</v>
      </c>
      <c r="K864" s="11" t="s">
        <v>42</v>
      </c>
      <c r="L864" s="11">
        <f>Table1[[#This Row],[ENR]]-Table1[[#This Row],[CREDIT]]</f>
        <v>22149.859999999986</v>
      </c>
      <c r="M864" s="41">
        <v>300000</v>
      </c>
      <c r="N864" s="42">
        <v>322149.86</v>
      </c>
      <c r="O864" s="43">
        <v>13870.45</v>
      </c>
      <c r="P864" s="44">
        <v>308279.40999999997</v>
      </c>
      <c r="Q864" s="44">
        <v>281347.49</v>
      </c>
      <c r="R864" s="11">
        <v>78320</v>
      </c>
      <c r="S864" s="45">
        <v>29280</v>
      </c>
      <c r="T864" s="10" t="s">
        <v>44</v>
      </c>
      <c r="U864" s="10" t="s">
        <v>45</v>
      </c>
      <c r="V864" s="10">
        <v>0</v>
      </c>
      <c r="W864" s="44">
        <f>Table1[[#This Row],[STAB]]-Table1[[#This Row],[AMOUNT]]</f>
        <v>29280</v>
      </c>
      <c r="X864" s="10">
        <v>0</v>
      </c>
      <c r="Y864" s="10" t="s">
        <v>79</v>
      </c>
      <c r="Z864" s="10">
        <v>0</v>
      </c>
      <c r="AA864" s="10" t="s">
        <v>162</v>
      </c>
      <c r="AB864" s="36" t="s">
        <v>734</v>
      </c>
      <c r="AC864" s="11"/>
      <c r="AD864" s="40" t="s">
        <v>5703</v>
      </c>
      <c r="AE864" s="11" t="s">
        <v>5728</v>
      </c>
      <c r="AF864" s="11" t="s">
        <v>111</v>
      </c>
      <c r="AG864" s="10" t="s">
        <v>80</v>
      </c>
      <c r="AH864" s="11" t="s">
        <v>1957</v>
      </c>
      <c r="AI864" s="10" t="s">
        <v>82</v>
      </c>
      <c r="AJ864" s="11">
        <v>801723195</v>
      </c>
      <c r="AK864" s="11" t="s">
        <v>105</v>
      </c>
      <c r="AL864" s="11"/>
      <c r="AM864" s="11"/>
      <c r="AN864" s="11" t="s">
        <v>46</v>
      </c>
      <c r="AO864" s="11"/>
      <c r="AP864" s="11"/>
      <c r="AQ864" s="11"/>
      <c r="AR864" s="46">
        <v>46157</v>
      </c>
      <c r="AS864" s="11">
        <v>23860</v>
      </c>
      <c r="AT864" s="11" t="s">
        <v>292</v>
      </c>
      <c r="AU864" s="10" t="s">
        <v>5730</v>
      </c>
      <c r="AV864" s="41" t="s">
        <v>5755</v>
      </c>
      <c r="AW864" s="47">
        <v>46216</v>
      </c>
    </row>
    <row r="865" spans="1:49" x14ac:dyDescent="0.25">
      <c r="A865" s="9" t="s">
        <v>5756</v>
      </c>
      <c r="B865" s="10" t="s">
        <v>5827</v>
      </c>
      <c r="C865" s="10">
        <v>0</v>
      </c>
      <c r="D865" s="10" t="s">
        <v>91</v>
      </c>
      <c r="E865" s="10"/>
      <c r="F865" s="10"/>
      <c r="G865" s="10"/>
      <c r="H865" s="10" t="s">
        <v>52</v>
      </c>
      <c r="I865" s="10">
        <v>21</v>
      </c>
      <c r="J865" s="10" t="s">
        <v>5896</v>
      </c>
      <c r="K865" s="10" t="s">
        <v>42</v>
      </c>
      <c r="L865" s="10">
        <f>Table1[[#This Row],[ENR]]-Table1[[#This Row],[CREDIT]]</f>
        <v>-8073.7799999999988</v>
      </c>
      <c r="M865" s="36">
        <v>100000</v>
      </c>
      <c r="N865" s="26">
        <v>91926.22</v>
      </c>
      <c r="O865" s="38" t="s">
        <v>43</v>
      </c>
      <c r="P865" s="25">
        <v>91926.22</v>
      </c>
      <c r="Q865" s="25">
        <v>81328.160000000003</v>
      </c>
      <c r="R865" s="10">
        <v>15700</v>
      </c>
      <c r="S865" s="39">
        <v>6330</v>
      </c>
      <c r="T865" s="10" t="s">
        <v>44</v>
      </c>
      <c r="U865" s="10" t="s">
        <v>45</v>
      </c>
      <c r="V865" s="10">
        <v>0</v>
      </c>
      <c r="W865" s="25">
        <f>Table1[[#This Row],[STAB]]-Table1[[#This Row],[AMOUNT]]</f>
        <v>6330</v>
      </c>
      <c r="X865" s="10">
        <v>0</v>
      </c>
      <c r="Y865" s="10" t="s">
        <v>79</v>
      </c>
      <c r="Z865" s="10">
        <v>0</v>
      </c>
      <c r="AA865" s="10" t="s">
        <v>162</v>
      </c>
      <c r="AB865" s="36" t="s">
        <v>6383</v>
      </c>
      <c r="AC865" s="10"/>
      <c r="AD865" s="9" t="s">
        <v>5966</v>
      </c>
      <c r="AE865" s="10" t="s">
        <v>6037</v>
      </c>
      <c r="AF865" s="10" t="s">
        <v>282</v>
      </c>
      <c r="AG865" s="10" t="s">
        <v>54</v>
      </c>
      <c r="AH865" s="10" t="s">
        <v>1398</v>
      </c>
      <c r="AI865" s="10" t="s">
        <v>162</v>
      </c>
      <c r="AJ865" s="10">
        <v>801772794</v>
      </c>
      <c r="AK865" s="10" t="s">
        <v>361</v>
      </c>
      <c r="AL865" s="10"/>
      <c r="AM865" s="10"/>
      <c r="AN865" s="11" t="s">
        <v>46</v>
      </c>
      <c r="AO865" s="10"/>
      <c r="AP865" s="10"/>
      <c r="AQ865" s="10"/>
      <c r="AR865" s="2">
        <v>46160</v>
      </c>
      <c r="AS865" s="10">
        <v>5850</v>
      </c>
      <c r="AT865" s="10" t="s">
        <v>832</v>
      </c>
      <c r="AU865" s="10" t="s">
        <v>5730</v>
      </c>
      <c r="AV865" s="36" t="s">
        <v>6108</v>
      </c>
      <c r="AW865" s="1">
        <v>46212</v>
      </c>
    </row>
    <row r="866" spans="1:49" x14ac:dyDescent="0.25">
      <c r="A866" s="9" t="s">
        <v>5757</v>
      </c>
      <c r="B866" s="10" t="s">
        <v>2146</v>
      </c>
      <c r="C866" s="10">
        <v>0</v>
      </c>
      <c r="D866" s="10" t="s">
        <v>91</v>
      </c>
      <c r="E866" s="10"/>
      <c r="F866" s="10"/>
      <c r="G866" s="10"/>
      <c r="H866" s="10" t="s">
        <v>52</v>
      </c>
      <c r="I866" s="10">
        <v>21</v>
      </c>
      <c r="J866" s="10" t="s">
        <v>2269</v>
      </c>
      <c r="K866" s="10" t="s">
        <v>42</v>
      </c>
      <c r="L866" s="10">
        <f>Table1[[#This Row],[ENR]]-Table1[[#This Row],[CREDIT]]</f>
        <v>7074.8600000000006</v>
      </c>
      <c r="M866" s="36">
        <v>90000</v>
      </c>
      <c r="N866" s="26">
        <v>97074.86</v>
      </c>
      <c r="O866" s="38" t="s">
        <v>43</v>
      </c>
      <c r="P866" s="25">
        <v>97074.86</v>
      </c>
      <c r="Q866" s="25">
        <v>84529.5</v>
      </c>
      <c r="R866" s="10">
        <v>27450</v>
      </c>
      <c r="S866" s="39">
        <v>12540</v>
      </c>
      <c r="T866" s="10" t="s">
        <v>44</v>
      </c>
      <c r="U866" s="10" t="s">
        <v>45</v>
      </c>
      <c r="V866" s="10">
        <v>0</v>
      </c>
      <c r="W866" s="25">
        <f>Table1[[#This Row],[STAB]]-Table1[[#This Row],[AMOUNT]]</f>
        <v>12540</v>
      </c>
      <c r="X866" s="10">
        <v>0</v>
      </c>
      <c r="Y866" s="10" t="s">
        <v>79</v>
      </c>
      <c r="Z866" s="10">
        <v>0</v>
      </c>
      <c r="AA866" s="10" t="s">
        <v>162</v>
      </c>
      <c r="AB866" s="36" t="s">
        <v>6383</v>
      </c>
      <c r="AC866" s="10"/>
      <c r="AD866" s="9" t="s">
        <v>5967</v>
      </c>
      <c r="AE866" s="10" t="s">
        <v>6038</v>
      </c>
      <c r="AF866" s="10" t="s">
        <v>273</v>
      </c>
      <c r="AG866" s="10" t="s">
        <v>323</v>
      </c>
      <c r="AH866" s="10" t="s">
        <v>4528</v>
      </c>
      <c r="AI866" s="10" t="s">
        <v>363</v>
      </c>
      <c r="AJ866" s="10">
        <v>802913252</v>
      </c>
      <c r="AK866" s="10" t="s">
        <v>104</v>
      </c>
      <c r="AL866" s="10"/>
      <c r="AM866" s="10"/>
      <c r="AN866" s="11" t="s">
        <v>46</v>
      </c>
      <c r="AO866" s="10"/>
      <c r="AP866" s="10"/>
      <c r="AQ866" s="10"/>
      <c r="AR866" s="2">
        <v>45683</v>
      </c>
      <c r="AS866" s="10">
        <v>24000</v>
      </c>
      <c r="AT866" s="10" t="s">
        <v>688</v>
      </c>
      <c r="AU866" s="10" t="s">
        <v>5730</v>
      </c>
      <c r="AV866" s="36" t="s">
        <v>6109</v>
      </c>
      <c r="AW866" s="1">
        <v>46212</v>
      </c>
    </row>
    <row r="867" spans="1:49" x14ac:dyDescent="0.25">
      <c r="A867" s="9" t="s">
        <v>5758</v>
      </c>
      <c r="B867" s="10" t="s">
        <v>5828</v>
      </c>
      <c r="C867" s="10">
        <v>0</v>
      </c>
      <c r="D867" s="10" t="s">
        <v>91</v>
      </c>
      <c r="E867" s="10"/>
      <c r="F867" s="10"/>
      <c r="G867" s="10"/>
      <c r="H867" s="10" t="s">
        <v>52</v>
      </c>
      <c r="I867" s="10">
        <v>21</v>
      </c>
      <c r="J867" s="10" t="s">
        <v>5897</v>
      </c>
      <c r="K867" s="10" t="s">
        <v>42</v>
      </c>
      <c r="L867" s="10">
        <f>Table1[[#This Row],[ENR]]-Table1[[#This Row],[CREDIT]]</f>
        <v>7228.2400000000052</v>
      </c>
      <c r="M867" s="36">
        <v>120000</v>
      </c>
      <c r="N867" s="26">
        <v>127228.24</v>
      </c>
      <c r="O867" s="38" t="s">
        <v>43</v>
      </c>
      <c r="P867" s="25">
        <v>127228.24</v>
      </c>
      <c r="Q867" s="25">
        <v>116907.77</v>
      </c>
      <c r="R867" s="10">
        <v>31290</v>
      </c>
      <c r="S867" s="39">
        <v>19020</v>
      </c>
      <c r="T867" s="10" t="s">
        <v>44</v>
      </c>
      <c r="U867" s="10" t="s">
        <v>45</v>
      </c>
      <c r="V867" s="10">
        <v>0</v>
      </c>
      <c r="W867" s="25">
        <f>Table1[[#This Row],[STAB]]-Table1[[#This Row],[AMOUNT]]</f>
        <v>19020</v>
      </c>
      <c r="X867" s="10">
        <v>0</v>
      </c>
      <c r="Y867" s="10" t="s">
        <v>79</v>
      </c>
      <c r="Z867" s="10">
        <v>0</v>
      </c>
      <c r="AA867" s="10" t="s">
        <v>162</v>
      </c>
      <c r="AB867" s="10" t="s">
        <v>735</v>
      </c>
      <c r="AC867" s="10"/>
      <c r="AD867" s="9" t="s">
        <v>5968</v>
      </c>
      <c r="AE867" s="10" t="s">
        <v>6039</v>
      </c>
      <c r="AF867" s="10" t="s">
        <v>85</v>
      </c>
      <c r="AG867" s="10" t="s">
        <v>54</v>
      </c>
      <c r="AH867" s="10" t="s">
        <v>89</v>
      </c>
      <c r="AI867" s="10" t="s">
        <v>106</v>
      </c>
      <c r="AJ867" s="10">
        <v>802370852</v>
      </c>
      <c r="AK867" s="10" t="s">
        <v>105</v>
      </c>
      <c r="AL867" s="10"/>
      <c r="AM867" s="10"/>
      <c r="AN867" s="11" t="s">
        <v>46</v>
      </c>
      <c r="AO867" s="10"/>
      <c r="AP867" s="10"/>
      <c r="AQ867" s="10"/>
      <c r="AR867" s="2">
        <v>45665</v>
      </c>
      <c r="AS867" s="10">
        <v>29000</v>
      </c>
      <c r="AT867" s="10" t="s">
        <v>688</v>
      </c>
      <c r="AU867" s="10" t="s">
        <v>5730</v>
      </c>
      <c r="AV867" s="36" t="s">
        <v>6110</v>
      </c>
      <c r="AW867" s="1">
        <v>46212</v>
      </c>
    </row>
    <row r="868" spans="1:49" x14ac:dyDescent="0.25">
      <c r="A868" s="9" t="s">
        <v>5759</v>
      </c>
      <c r="B868" s="10" t="s">
        <v>5829</v>
      </c>
      <c r="C868" s="10">
        <v>0</v>
      </c>
      <c r="D868" s="10" t="s">
        <v>91</v>
      </c>
      <c r="E868" s="10"/>
      <c r="F868" s="10"/>
      <c r="G868" s="10"/>
      <c r="H868" s="10" t="s">
        <v>52</v>
      </c>
      <c r="I868" s="10">
        <v>21</v>
      </c>
      <c r="J868" s="10" t="s">
        <v>5898</v>
      </c>
      <c r="K868" s="10" t="s">
        <v>42</v>
      </c>
      <c r="L868" s="10">
        <f>Table1[[#This Row],[ENR]]-Table1[[#This Row],[CREDIT]]</f>
        <v>166415.70000000001</v>
      </c>
      <c r="M868" s="36">
        <v>210000</v>
      </c>
      <c r="N868" s="26">
        <v>376415.7</v>
      </c>
      <c r="O868" s="38">
        <v>154211.71</v>
      </c>
      <c r="P868" s="25">
        <v>222203.99</v>
      </c>
      <c r="Q868" s="25">
        <v>207336.89</v>
      </c>
      <c r="R868" s="10">
        <v>55290</v>
      </c>
      <c r="S868" s="39">
        <v>15970</v>
      </c>
      <c r="T868" s="10" t="s">
        <v>44</v>
      </c>
      <c r="U868" s="10" t="s">
        <v>45</v>
      </c>
      <c r="V868" s="10">
        <v>10000</v>
      </c>
      <c r="W868" s="25">
        <f>Table1[[#This Row],[STAB]]-Table1[[#This Row],[AMOUNT]]</f>
        <v>5970</v>
      </c>
      <c r="X868" s="10">
        <v>0</v>
      </c>
      <c r="Y868" s="10" t="s">
        <v>79</v>
      </c>
      <c r="Z868" s="10" t="s">
        <v>403</v>
      </c>
      <c r="AA868" s="10" t="s">
        <v>162</v>
      </c>
      <c r="AB868" s="36" t="s">
        <v>733</v>
      </c>
      <c r="AC868" s="10"/>
      <c r="AD868" s="9" t="s">
        <v>5969</v>
      </c>
      <c r="AE868" s="10" t="s">
        <v>6040</v>
      </c>
      <c r="AF868" s="10" t="s">
        <v>281</v>
      </c>
      <c r="AG868" s="10" t="s">
        <v>54</v>
      </c>
      <c r="AH868" s="10" t="s">
        <v>58</v>
      </c>
      <c r="AI868" s="10" t="s">
        <v>133</v>
      </c>
      <c r="AJ868" s="10">
        <v>802555024</v>
      </c>
      <c r="AK868" s="10" t="s">
        <v>362</v>
      </c>
      <c r="AL868" s="10"/>
      <c r="AM868" s="10"/>
      <c r="AN868" s="11" t="s">
        <v>390</v>
      </c>
      <c r="AO868" s="10" t="s">
        <v>392</v>
      </c>
      <c r="AP868" s="10" t="s">
        <v>6322</v>
      </c>
      <c r="AQ868" s="10" t="s">
        <v>4937</v>
      </c>
      <c r="AR868" s="2">
        <v>45508</v>
      </c>
      <c r="AS868" s="10">
        <v>60000</v>
      </c>
      <c r="AT868" s="10" t="s">
        <v>688</v>
      </c>
      <c r="AU868" s="10" t="s">
        <v>5730</v>
      </c>
      <c r="AV868" s="36" t="s">
        <v>6111</v>
      </c>
      <c r="AW868" s="1">
        <v>46212</v>
      </c>
    </row>
    <row r="869" spans="1:49" x14ac:dyDescent="0.25">
      <c r="A869" s="9" t="s">
        <v>5760</v>
      </c>
      <c r="B869" s="10" t="s">
        <v>1205</v>
      </c>
      <c r="C869" s="10">
        <v>0</v>
      </c>
      <c r="D869" s="10" t="s">
        <v>91</v>
      </c>
      <c r="E869" s="10"/>
      <c r="F869" s="10"/>
      <c r="G869" s="10"/>
      <c r="H869" s="10" t="s">
        <v>52</v>
      </c>
      <c r="I869" s="10">
        <v>21</v>
      </c>
      <c r="J869" s="10" t="s">
        <v>5899</v>
      </c>
      <c r="K869" s="10" t="s">
        <v>42</v>
      </c>
      <c r="L869" s="10">
        <f>Table1[[#This Row],[ENR]]-Table1[[#This Row],[CREDIT]]</f>
        <v>-24229.839999999997</v>
      </c>
      <c r="M869" s="36">
        <v>180000</v>
      </c>
      <c r="N869" s="26">
        <v>155770.16</v>
      </c>
      <c r="O869" s="38">
        <v>113194.64</v>
      </c>
      <c r="P869" s="25">
        <v>42575.519999999997</v>
      </c>
      <c r="Q869" s="25">
        <v>39003.08</v>
      </c>
      <c r="R869" s="10">
        <v>42575.519999999997</v>
      </c>
      <c r="S869" s="39">
        <v>20096.150000000001</v>
      </c>
      <c r="T869" s="10" t="s">
        <v>44</v>
      </c>
      <c r="U869" s="10" t="s">
        <v>45</v>
      </c>
      <c r="V869" s="10">
        <v>0</v>
      </c>
      <c r="W869" s="25">
        <f>Table1[[#This Row],[STAB]]-Table1[[#This Row],[AMOUNT]]</f>
        <v>20096.150000000001</v>
      </c>
      <c r="X869" s="10">
        <v>0</v>
      </c>
      <c r="Y869" s="10" t="s">
        <v>79</v>
      </c>
      <c r="Z869" s="10">
        <v>0</v>
      </c>
      <c r="AA869" s="10" t="s">
        <v>162</v>
      </c>
      <c r="AB869" s="36" t="s">
        <v>733</v>
      </c>
      <c r="AC869" s="10"/>
      <c r="AD869" s="9" t="s">
        <v>5970</v>
      </c>
      <c r="AE869" s="10" t="s">
        <v>6041</v>
      </c>
      <c r="AF869" s="10" t="s">
        <v>85</v>
      </c>
      <c r="AG869" s="10" t="s">
        <v>54</v>
      </c>
      <c r="AH869" s="10" t="s">
        <v>89</v>
      </c>
      <c r="AI869" s="10" t="s">
        <v>106</v>
      </c>
      <c r="AJ869" s="10">
        <v>802370852</v>
      </c>
      <c r="AK869" s="10" t="s">
        <v>105</v>
      </c>
      <c r="AL869" s="10"/>
      <c r="AM869" s="10"/>
      <c r="AN869" s="11" t="s">
        <v>390</v>
      </c>
      <c r="AO869" s="10" t="s">
        <v>398</v>
      </c>
      <c r="AP869" s="10" t="s">
        <v>6370</v>
      </c>
      <c r="AQ869" s="10" t="s">
        <v>6364</v>
      </c>
      <c r="AR869" s="2">
        <v>45487</v>
      </c>
      <c r="AS869" s="10">
        <v>18800</v>
      </c>
      <c r="AT869" s="10" t="s">
        <v>688</v>
      </c>
      <c r="AU869" s="10" t="s">
        <v>5730</v>
      </c>
      <c r="AV869" s="36" t="s">
        <v>6112</v>
      </c>
      <c r="AW869" s="1">
        <v>46212</v>
      </c>
    </row>
    <row r="870" spans="1:49" x14ac:dyDescent="0.25">
      <c r="A870" s="9" t="s">
        <v>5761</v>
      </c>
      <c r="B870" s="10" t="s">
        <v>5830</v>
      </c>
      <c r="C870" s="10">
        <v>0</v>
      </c>
      <c r="D870" s="10" t="s">
        <v>91</v>
      </c>
      <c r="E870" s="10"/>
      <c r="F870" s="10"/>
      <c r="G870" s="10"/>
      <c r="H870" s="10" t="s">
        <v>52</v>
      </c>
      <c r="I870" s="10">
        <v>21</v>
      </c>
      <c r="J870" s="10" t="s">
        <v>5900</v>
      </c>
      <c r="K870" s="10" t="s">
        <v>42</v>
      </c>
      <c r="L870" s="10">
        <f>Table1[[#This Row],[ENR]]-Table1[[#This Row],[CREDIT]]</f>
        <v>-147689.4</v>
      </c>
      <c r="M870" s="36">
        <v>250000</v>
      </c>
      <c r="N870" s="26">
        <v>102310.6</v>
      </c>
      <c r="O870" s="38" t="s">
        <v>43</v>
      </c>
      <c r="P870" s="25">
        <v>102310.6</v>
      </c>
      <c r="Q870" s="25">
        <v>86295.97</v>
      </c>
      <c r="R870" s="10">
        <v>39120</v>
      </c>
      <c r="S870" s="39">
        <v>21800</v>
      </c>
      <c r="T870" s="10" t="s">
        <v>44</v>
      </c>
      <c r="U870" s="10" t="s">
        <v>45</v>
      </c>
      <c r="V870" s="10">
        <v>0</v>
      </c>
      <c r="W870" s="25">
        <f>Table1[[#This Row],[STAB]]-Table1[[#This Row],[AMOUNT]]</f>
        <v>21800</v>
      </c>
      <c r="X870" s="10">
        <v>0</v>
      </c>
      <c r="Y870" s="10" t="s">
        <v>79</v>
      </c>
      <c r="Z870" s="10">
        <v>0</v>
      </c>
      <c r="AA870" s="10" t="s">
        <v>162</v>
      </c>
      <c r="AB870" s="36" t="s">
        <v>6383</v>
      </c>
      <c r="AC870" s="10"/>
      <c r="AD870" s="9" t="s">
        <v>5971</v>
      </c>
      <c r="AE870" s="10" t="s">
        <v>6042</v>
      </c>
      <c r="AF870" s="10" t="s">
        <v>287</v>
      </c>
      <c r="AG870" s="10" t="s">
        <v>324</v>
      </c>
      <c r="AH870" s="10" t="s">
        <v>56</v>
      </c>
      <c r="AI870" s="10" t="s">
        <v>370</v>
      </c>
      <c r="AJ870" s="10">
        <v>801448854</v>
      </c>
      <c r="AK870" s="10" t="s">
        <v>105</v>
      </c>
      <c r="AL870" s="10"/>
      <c r="AM870" s="10"/>
      <c r="AN870" s="11" t="s">
        <v>390</v>
      </c>
      <c r="AO870" s="10" t="s">
        <v>392</v>
      </c>
      <c r="AP870" s="10" t="s">
        <v>6368</v>
      </c>
      <c r="AQ870" s="10" t="s">
        <v>6364</v>
      </c>
      <c r="AR870" s="2">
        <v>45636</v>
      </c>
      <c r="AS870" s="10">
        <v>1420</v>
      </c>
      <c r="AT870" s="10" t="s">
        <v>688</v>
      </c>
      <c r="AU870" s="10" t="s">
        <v>5730</v>
      </c>
      <c r="AV870" s="36" t="s">
        <v>6113</v>
      </c>
      <c r="AW870" s="1">
        <v>46212</v>
      </c>
    </row>
    <row r="871" spans="1:49" x14ac:dyDescent="0.25">
      <c r="A871" s="9" t="s">
        <v>5762</v>
      </c>
      <c r="B871" s="10" t="s">
        <v>5831</v>
      </c>
      <c r="C871" s="10">
        <v>0</v>
      </c>
      <c r="D871" s="10" t="s">
        <v>95</v>
      </c>
      <c r="E871" s="10">
        <v>1</v>
      </c>
      <c r="F871" s="10"/>
      <c r="G871" s="10"/>
      <c r="H871" s="10" t="s">
        <v>52</v>
      </c>
      <c r="I871" s="10">
        <v>21</v>
      </c>
      <c r="J871" s="10" t="s">
        <v>5901</v>
      </c>
      <c r="K871" s="10" t="s">
        <v>42</v>
      </c>
      <c r="L871" s="10">
        <f>Table1[[#This Row],[ENR]]-Table1[[#This Row],[CREDIT]]</f>
        <v>20837.299999999988</v>
      </c>
      <c r="M871" s="36">
        <v>160000</v>
      </c>
      <c r="N871" s="26">
        <v>180837.3</v>
      </c>
      <c r="O871" s="38" t="s">
        <v>43</v>
      </c>
      <c r="P871" s="25">
        <v>180837.3</v>
      </c>
      <c r="Q871" s="25">
        <v>158033.45000000001</v>
      </c>
      <c r="R871" s="10">
        <v>57460</v>
      </c>
      <c r="S871" s="39">
        <v>32680</v>
      </c>
      <c r="T871" s="10" t="s">
        <v>44</v>
      </c>
      <c r="U871" s="10" t="s">
        <v>45</v>
      </c>
      <c r="V871" s="10">
        <v>0</v>
      </c>
      <c r="W871" s="25">
        <f>Table1[[#This Row],[STAB]]-Table1[[#This Row],[AMOUNT]]</f>
        <v>32680</v>
      </c>
      <c r="X871" s="10">
        <v>0</v>
      </c>
      <c r="Y871" s="10" t="s">
        <v>79</v>
      </c>
      <c r="Z871" s="10">
        <v>0</v>
      </c>
      <c r="AA871" s="10" t="s">
        <v>162</v>
      </c>
      <c r="AB871" s="36" t="s">
        <v>737</v>
      </c>
      <c r="AC871" s="10"/>
      <c r="AD871" s="9" t="s">
        <v>5972</v>
      </c>
      <c r="AE871" s="10" t="s">
        <v>6043</v>
      </c>
      <c r="AF871" s="10" t="s">
        <v>685</v>
      </c>
      <c r="AG871" s="10" t="s">
        <v>54</v>
      </c>
      <c r="AH871" s="10" t="s">
        <v>1398</v>
      </c>
      <c r="AI871" s="10" t="s">
        <v>162</v>
      </c>
      <c r="AJ871" s="10">
        <v>801772794</v>
      </c>
      <c r="AK871" s="10" t="s">
        <v>361</v>
      </c>
      <c r="AL871" s="10"/>
      <c r="AM871" s="10"/>
      <c r="AN871" s="11" t="s">
        <v>46</v>
      </c>
      <c r="AO871" s="10"/>
      <c r="AP871" s="10"/>
      <c r="AQ871" s="10"/>
      <c r="AR871" s="2">
        <v>45864</v>
      </c>
      <c r="AS871" s="10">
        <v>151200</v>
      </c>
      <c r="AT871" s="10" t="s">
        <v>289</v>
      </c>
      <c r="AU871" s="10" t="s">
        <v>5730</v>
      </c>
      <c r="AV871" s="36" t="s">
        <v>6114</v>
      </c>
      <c r="AW871" s="1">
        <v>46212</v>
      </c>
    </row>
    <row r="872" spans="1:49" x14ac:dyDescent="0.25">
      <c r="A872" s="9" t="s">
        <v>5763</v>
      </c>
      <c r="B872" s="10" t="s">
        <v>5832</v>
      </c>
      <c r="C872" s="10">
        <v>0</v>
      </c>
      <c r="D872" s="10" t="s">
        <v>91</v>
      </c>
      <c r="E872" s="10"/>
      <c r="F872" s="10"/>
      <c r="G872" s="10"/>
      <c r="H872" s="10" t="s">
        <v>52</v>
      </c>
      <c r="I872" s="10">
        <v>21</v>
      </c>
      <c r="J872" s="10" t="s">
        <v>5902</v>
      </c>
      <c r="K872" s="10" t="s">
        <v>42</v>
      </c>
      <c r="L872" s="10">
        <f>Table1[[#This Row],[ENR]]-Table1[[#This Row],[CREDIT]]</f>
        <v>3066.8899999999994</v>
      </c>
      <c r="M872" s="36">
        <v>100000</v>
      </c>
      <c r="N872" s="26">
        <v>103066.89</v>
      </c>
      <c r="O872" s="38">
        <v>68443.42</v>
      </c>
      <c r="P872" s="25">
        <v>34623.47</v>
      </c>
      <c r="Q872" s="25">
        <v>27398.31</v>
      </c>
      <c r="R872" s="10">
        <v>23790</v>
      </c>
      <c r="S872" s="39">
        <v>11350</v>
      </c>
      <c r="T872" s="10" t="s">
        <v>57</v>
      </c>
      <c r="U872" s="10" t="s">
        <v>13</v>
      </c>
      <c r="V872" s="10">
        <v>23790</v>
      </c>
      <c r="W872" s="25">
        <f>Table1[[#This Row],[STAB]]-Table1[[#This Row],[AMOUNT]]</f>
        <v>-12440</v>
      </c>
      <c r="X872" s="10" t="s">
        <v>6364</v>
      </c>
      <c r="Y872" s="10" t="s">
        <v>402</v>
      </c>
      <c r="Z872" s="10" t="s">
        <v>403</v>
      </c>
      <c r="AA872" s="10" t="s">
        <v>162</v>
      </c>
      <c r="AB872" s="36" t="s">
        <v>733</v>
      </c>
      <c r="AC872" s="10"/>
      <c r="AD872" s="9" t="s">
        <v>5973</v>
      </c>
      <c r="AE872" s="10" t="s">
        <v>6044</v>
      </c>
      <c r="AF872" s="10" t="s">
        <v>275</v>
      </c>
      <c r="AG872" s="10" t="s">
        <v>80</v>
      </c>
      <c r="AH872" s="10" t="s">
        <v>1999</v>
      </c>
      <c r="AI872" s="10" t="s">
        <v>368</v>
      </c>
      <c r="AJ872" s="10">
        <v>802823175</v>
      </c>
      <c r="AK872" s="10" t="s">
        <v>105</v>
      </c>
      <c r="AL872" s="10"/>
      <c r="AM872" s="10"/>
      <c r="AN872" s="11" t="s">
        <v>390</v>
      </c>
      <c r="AO872" s="10" t="s">
        <v>392</v>
      </c>
      <c r="AP872" s="10" t="s">
        <v>6377</v>
      </c>
      <c r="AQ872" s="10" t="s">
        <v>6364</v>
      </c>
      <c r="AR872" s="2">
        <v>45539</v>
      </c>
      <c r="AS872" s="10">
        <v>12780</v>
      </c>
      <c r="AT872" s="10" t="s">
        <v>289</v>
      </c>
      <c r="AU872" s="10" t="s">
        <v>5730</v>
      </c>
      <c r="AV872" s="36" t="s">
        <v>6115</v>
      </c>
      <c r="AW872" s="1">
        <v>46212</v>
      </c>
    </row>
    <row r="873" spans="1:49" x14ac:dyDescent="0.25">
      <c r="A873" s="9" t="s">
        <v>5764</v>
      </c>
      <c r="B873" s="10" t="s">
        <v>5833</v>
      </c>
      <c r="C873" s="10">
        <v>0</v>
      </c>
      <c r="D873" s="10" t="s">
        <v>91</v>
      </c>
      <c r="E873" s="10"/>
      <c r="F873" s="10"/>
      <c r="G873" s="10"/>
      <c r="H873" s="10" t="s">
        <v>52</v>
      </c>
      <c r="I873" s="10">
        <v>21</v>
      </c>
      <c r="J873" s="10" t="s">
        <v>5903</v>
      </c>
      <c r="K873" s="10" t="s">
        <v>42</v>
      </c>
      <c r="L873" s="10">
        <f>Table1[[#This Row],[ENR]]-Table1[[#This Row],[CREDIT]]</f>
        <v>359.52999999999884</v>
      </c>
      <c r="M873" s="36">
        <v>60000</v>
      </c>
      <c r="N873" s="26">
        <v>60359.53</v>
      </c>
      <c r="O873" s="38" t="s">
        <v>43</v>
      </c>
      <c r="P873" s="25">
        <v>60359.53</v>
      </c>
      <c r="Q873" s="25">
        <v>53406.63</v>
      </c>
      <c r="R873" s="10">
        <v>10300</v>
      </c>
      <c r="S873" s="39">
        <v>3240</v>
      </c>
      <c r="T873" s="10" t="s">
        <v>44</v>
      </c>
      <c r="U873" s="10" t="s">
        <v>45</v>
      </c>
      <c r="V873" s="10">
        <v>0</v>
      </c>
      <c r="W873" s="25">
        <f>Table1[[#This Row],[STAB]]-Table1[[#This Row],[AMOUNT]]</f>
        <v>3240</v>
      </c>
      <c r="X873" s="10">
        <v>0</v>
      </c>
      <c r="Y873" s="10" t="s">
        <v>79</v>
      </c>
      <c r="Z873" s="10">
        <v>0</v>
      </c>
      <c r="AA873" s="10" t="s">
        <v>162</v>
      </c>
      <c r="AB873" s="36" t="s">
        <v>6383</v>
      </c>
      <c r="AC873" s="10"/>
      <c r="AD873" s="9" t="s">
        <v>5974</v>
      </c>
      <c r="AE873" s="10" t="s">
        <v>6045</v>
      </c>
      <c r="AF873" s="10" t="s">
        <v>272</v>
      </c>
      <c r="AG873" s="10" t="s">
        <v>54</v>
      </c>
      <c r="AH873" s="10" t="s">
        <v>114</v>
      </c>
      <c r="AI873" s="10" t="s">
        <v>726</v>
      </c>
      <c r="AJ873" s="10">
        <v>801772792</v>
      </c>
      <c r="AK873" s="10" t="s">
        <v>105</v>
      </c>
      <c r="AL873" s="10"/>
      <c r="AM873" s="10"/>
      <c r="AN873" s="11" t="s">
        <v>46</v>
      </c>
      <c r="AO873" s="10"/>
      <c r="AP873" s="10"/>
      <c r="AQ873" s="10"/>
      <c r="AR873" s="2">
        <v>45482</v>
      </c>
      <c r="AS873" s="10">
        <v>890</v>
      </c>
      <c r="AT873" s="10" t="s">
        <v>289</v>
      </c>
      <c r="AU873" s="10" t="s">
        <v>5730</v>
      </c>
      <c r="AV873" s="36" t="s">
        <v>6116</v>
      </c>
      <c r="AW873" s="1">
        <v>46212</v>
      </c>
    </row>
    <row r="874" spans="1:49" x14ac:dyDescent="0.25">
      <c r="A874" s="9" t="s">
        <v>5765</v>
      </c>
      <c r="B874" s="10" t="s">
        <v>5834</v>
      </c>
      <c r="C874" s="10">
        <v>0</v>
      </c>
      <c r="D874" s="10" t="s">
        <v>91</v>
      </c>
      <c r="E874" s="10"/>
      <c r="F874" s="10"/>
      <c r="G874" s="10"/>
      <c r="H874" s="10" t="s">
        <v>52</v>
      </c>
      <c r="I874" s="10">
        <v>21</v>
      </c>
      <c r="J874" s="10" t="s">
        <v>5904</v>
      </c>
      <c r="K874" s="10" t="s">
        <v>42</v>
      </c>
      <c r="L874" s="10">
        <f>Table1[[#This Row],[ENR]]-Table1[[#This Row],[CREDIT]]</f>
        <v>-164607.60999999999</v>
      </c>
      <c r="M874" s="36">
        <v>290000</v>
      </c>
      <c r="N874" s="26">
        <v>125392.39</v>
      </c>
      <c r="O874" s="38" t="s">
        <v>43</v>
      </c>
      <c r="P874" s="25">
        <v>125392.39</v>
      </c>
      <c r="Q874" s="25">
        <v>110255</v>
      </c>
      <c r="R874" s="10">
        <v>25890</v>
      </c>
      <c r="S874" s="39">
        <v>13820</v>
      </c>
      <c r="T874" s="10" t="s">
        <v>44</v>
      </c>
      <c r="U874" s="10" t="s">
        <v>45</v>
      </c>
      <c r="V874" s="10">
        <v>0</v>
      </c>
      <c r="W874" s="25">
        <f>Table1[[#This Row],[STAB]]-Table1[[#This Row],[AMOUNT]]</f>
        <v>13820</v>
      </c>
      <c r="X874" s="10">
        <v>0</v>
      </c>
      <c r="Y874" s="10" t="s">
        <v>79</v>
      </c>
      <c r="Z874" s="10">
        <v>0</v>
      </c>
      <c r="AA874" s="10" t="s">
        <v>162</v>
      </c>
      <c r="AB874" s="36" t="s">
        <v>733</v>
      </c>
      <c r="AC874" s="10"/>
      <c r="AD874" s="9" t="s">
        <v>5975</v>
      </c>
      <c r="AE874" s="10" t="s">
        <v>6046</v>
      </c>
      <c r="AF874" s="10" t="s">
        <v>275</v>
      </c>
      <c r="AG874" s="10" t="s">
        <v>80</v>
      </c>
      <c r="AH874" s="10" t="s">
        <v>1999</v>
      </c>
      <c r="AI874" s="10" t="s">
        <v>368</v>
      </c>
      <c r="AJ874" s="10">
        <v>802823175</v>
      </c>
      <c r="AK874" s="10" t="s">
        <v>105</v>
      </c>
      <c r="AL874" s="10"/>
      <c r="AM874" s="10"/>
      <c r="AN874" s="11" t="s">
        <v>46</v>
      </c>
      <c r="AO874" s="10"/>
      <c r="AP874" s="10"/>
      <c r="AQ874" s="10"/>
      <c r="AR874" s="2">
        <v>45540</v>
      </c>
      <c r="AS874" s="10">
        <v>130</v>
      </c>
      <c r="AT874" s="10" t="s">
        <v>289</v>
      </c>
      <c r="AU874" s="10" t="s">
        <v>5730</v>
      </c>
      <c r="AV874" s="36" t="s">
        <v>6117</v>
      </c>
      <c r="AW874" s="1">
        <v>46212</v>
      </c>
    </row>
    <row r="875" spans="1:49" x14ac:dyDescent="0.25">
      <c r="A875" s="9" t="s">
        <v>5766</v>
      </c>
      <c r="B875" s="10" t="s">
        <v>5835</v>
      </c>
      <c r="C875" s="10">
        <v>0</v>
      </c>
      <c r="D875" s="10" t="s">
        <v>91</v>
      </c>
      <c r="E875" s="10"/>
      <c r="F875" s="10"/>
      <c r="G875" s="10"/>
      <c r="H875" s="10" t="s">
        <v>52</v>
      </c>
      <c r="I875" s="10">
        <v>21</v>
      </c>
      <c r="J875" s="10" t="s">
        <v>5905</v>
      </c>
      <c r="K875" s="10" t="s">
        <v>42</v>
      </c>
      <c r="L875" s="10">
        <f>Table1[[#This Row],[ENR]]-Table1[[#This Row],[CREDIT]]</f>
        <v>3942.489999999998</v>
      </c>
      <c r="M875" s="36">
        <v>50000</v>
      </c>
      <c r="N875" s="26">
        <v>53942.49</v>
      </c>
      <c r="O875" s="38">
        <v>41429</v>
      </c>
      <c r="P875" s="25">
        <v>12513.49</v>
      </c>
      <c r="Q875" s="25">
        <v>7571</v>
      </c>
      <c r="R875" s="10">
        <v>12513.49</v>
      </c>
      <c r="S875" s="39">
        <v>6686</v>
      </c>
      <c r="T875" s="10" t="s">
        <v>44</v>
      </c>
      <c r="U875" s="10" t="s">
        <v>45</v>
      </c>
      <c r="V875" s="10">
        <v>0</v>
      </c>
      <c r="W875" s="25">
        <f>Table1[[#This Row],[STAB]]-Table1[[#This Row],[AMOUNT]]</f>
        <v>6686</v>
      </c>
      <c r="X875" s="10">
        <v>0</v>
      </c>
      <c r="Y875" s="10" t="s">
        <v>79</v>
      </c>
      <c r="Z875" s="10">
        <v>0</v>
      </c>
      <c r="AA875" s="10" t="s">
        <v>162</v>
      </c>
      <c r="AB875" s="36" t="s">
        <v>6383</v>
      </c>
      <c r="AC875" s="10"/>
      <c r="AD875" s="9" t="s">
        <v>5976</v>
      </c>
      <c r="AE875" s="10" t="s">
        <v>6047</v>
      </c>
      <c r="AF875" s="10" t="s">
        <v>272</v>
      </c>
      <c r="AG875" s="10" t="s">
        <v>54</v>
      </c>
      <c r="AH875" s="10" t="s">
        <v>114</v>
      </c>
      <c r="AI875" s="10" t="s">
        <v>726</v>
      </c>
      <c r="AJ875" s="10">
        <v>801772792</v>
      </c>
      <c r="AK875" s="10" t="s">
        <v>105</v>
      </c>
      <c r="AL875" s="10"/>
      <c r="AM875" s="10"/>
      <c r="AN875" s="11" t="s">
        <v>46</v>
      </c>
      <c r="AO875" s="10"/>
      <c r="AP875" s="10"/>
      <c r="AQ875" s="10"/>
      <c r="AR875" s="2">
        <v>45828</v>
      </c>
      <c r="AS875" s="10">
        <v>4000</v>
      </c>
      <c r="AT875" s="10" t="s">
        <v>289</v>
      </c>
      <c r="AU875" s="10" t="s">
        <v>5730</v>
      </c>
      <c r="AV875" s="36" t="s">
        <v>6118</v>
      </c>
      <c r="AW875" s="1">
        <v>46212</v>
      </c>
    </row>
    <row r="876" spans="1:49" x14ac:dyDescent="0.25">
      <c r="A876" s="9" t="s">
        <v>5767</v>
      </c>
      <c r="B876" s="10" t="s">
        <v>5836</v>
      </c>
      <c r="C876" s="10">
        <v>0</v>
      </c>
      <c r="D876" s="10" t="s">
        <v>91</v>
      </c>
      <c r="E876" s="10"/>
      <c r="F876" s="10"/>
      <c r="G876" s="10"/>
      <c r="H876" s="10" t="s">
        <v>52</v>
      </c>
      <c r="I876" s="10">
        <v>21</v>
      </c>
      <c r="J876" s="10" t="s">
        <v>5906</v>
      </c>
      <c r="K876" s="10" t="s">
        <v>42</v>
      </c>
      <c r="L876" s="10">
        <f>Table1[[#This Row],[ENR]]-Table1[[#This Row],[CREDIT]]</f>
        <v>-38706.959999999999</v>
      </c>
      <c r="M876" s="36">
        <v>100000</v>
      </c>
      <c r="N876" s="26">
        <v>61293.04</v>
      </c>
      <c r="O876" s="38">
        <v>17465.3</v>
      </c>
      <c r="P876" s="25">
        <v>43827.74</v>
      </c>
      <c r="Q876" s="25">
        <v>39548.92</v>
      </c>
      <c r="R876" s="10">
        <v>31430</v>
      </c>
      <c r="S876" s="39">
        <v>14150</v>
      </c>
      <c r="T876" s="10" t="s">
        <v>57</v>
      </c>
      <c r="U876" s="10" t="s">
        <v>13</v>
      </c>
      <c r="V876" s="10">
        <v>0</v>
      </c>
      <c r="W876" s="25">
        <f>Table1[[#This Row],[STAB]]-Table1[[#This Row],[AMOUNT]]</f>
        <v>14150</v>
      </c>
      <c r="X876" s="10">
        <v>0</v>
      </c>
      <c r="Y876" s="10" t="s">
        <v>79</v>
      </c>
      <c r="Z876" s="10" t="s">
        <v>403</v>
      </c>
      <c r="AA876" s="10" t="s">
        <v>162</v>
      </c>
      <c r="AB876" s="36" t="s">
        <v>6383</v>
      </c>
      <c r="AC876" s="10"/>
      <c r="AD876" s="9" t="s">
        <v>5977</v>
      </c>
      <c r="AE876" s="10" t="s">
        <v>6048</v>
      </c>
      <c r="AF876" s="10" t="s">
        <v>275</v>
      </c>
      <c r="AG876" s="10" t="s">
        <v>80</v>
      </c>
      <c r="AH876" s="10" t="s">
        <v>1999</v>
      </c>
      <c r="AI876" s="10" t="s">
        <v>368</v>
      </c>
      <c r="AJ876" s="10">
        <v>802823175</v>
      </c>
      <c r="AK876" s="10" t="s">
        <v>105</v>
      </c>
      <c r="AL876" s="10"/>
      <c r="AM876" s="10"/>
      <c r="AN876" s="11" t="s">
        <v>390</v>
      </c>
      <c r="AO876" s="10" t="s">
        <v>392</v>
      </c>
      <c r="AP876" s="10" t="s">
        <v>6388</v>
      </c>
      <c r="AQ876" s="10" t="s">
        <v>6364</v>
      </c>
      <c r="AR876" s="2">
        <v>46056</v>
      </c>
      <c r="AS876" s="10">
        <v>12672.82</v>
      </c>
      <c r="AT876" s="10" t="s">
        <v>289</v>
      </c>
      <c r="AU876" s="10" t="s">
        <v>5730</v>
      </c>
      <c r="AV876" s="36" t="s">
        <v>6119</v>
      </c>
      <c r="AW876" s="1">
        <v>46212</v>
      </c>
    </row>
    <row r="877" spans="1:49" x14ac:dyDescent="0.25">
      <c r="A877" s="9" t="s">
        <v>5768</v>
      </c>
      <c r="B877" s="10" t="s">
        <v>5837</v>
      </c>
      <c r="C877" s="10">
        <v>0</v>
      </c>
      <c r="D877" s="10" t="s">
        <v>91</v>
      </c>
      <c r="E877" s="10"/>
      <c r="F877" s="10"/>
      <c r="G877" s="10"/>
      <c r="H877" s="10" t="s">
        <v>52</v>
      </c>
      <c r="I877" s="10">
        <v>21</v>
      </c>
      <c r="J877" s="10" t="s">
        <v>5907</v>
      </c>
      <c r="K877" s="10" t="s">
        <v>42</v>
      </c>
      <c r="L877" s="10">
        <f>Table1[[#This Row],[ENR]]-Table1[[#This Row],[CREDIT]]</f>
        <v>6880.2599999999948</v>
      </c>
      <c r="M877" s="36">
        <v>60000</v>
      </c>
      <c r="N877" s="26">
        <v>66880.259999999995</v>
      </c>
      <c r="O877" s="38" t="s">
        <v>43</v>
      </c>
      <c r="P877" s="25">
        <v>66880.259999999995</v>
      </c>
      <c r="Q877" s="25">
        <v>59931.57</v>
      </c>
      <c r="R877" s="10">
        <v>17220</v>
      </c>
      <c r="S877" s="39">
        <v>5920</v>
      </c>
      <c r="T877" s="10" t="s">
        <v>57</v>
      </c>
      <c r="U877" s="10" t="s">
        <v>14</v>
      </c>
      <c r="V877" s="10">
        <v>8500</v>
      </c>
      <c r="W877" s="25">
        <f>Table1[[#This Row],[STAB]]-Table1[[#This Row],[AMOUNT]]</f>
        <v>-2580</v>
      </c>
      <c r="X877" s="10" t="s">
        <v>6364</v>
      </c>
      <c r="Y877" s="10" t="s">
        <v>396</v>
      </c>
      <c r="Z877" s="10" t="s">
        <v>403</v>
      </c>
      <c r="AA877" s="10" t="s">
        <v>162</v>
      </c>
      <c r="AB877" s="36" t="s">
        <v>6383</v>
      </c>
      <c r="AC877" s="10"/>
      <c r="AD877" s="9" t="s">
        <v>5978</v>
      </c>
      <c r="AE877" s="10" t="s">
        <v>6049</v>
      </c>
      <c r="AF877" s="10" t="s">
        <v>1319</v>
      </c>
      <c r="AG877" s="10" t="s">
        <v>54</v>
      </c>
      <c r="AH877" s="10" t="s">
        <v>93</v>
      </c>
      <c r="AI877" s="10" t="s">
        <v>364</v>
      </c>
      <c r="AJ877" s="10">
        <v>802663344</v>
      </c>
      <c r="AK877" s="10" t="s">
        <v>105</v>
      </c>
      <c r="AL877" s="10"/>
      <c r="AM877" s="10"/>
      <c r="AN877" s="11" t="s">
        <v>390</v>
      </c>
      <c r="AO877" s="10" t="s">
        <v>392</v>
      </c>
      <c r="AP877" s="10" t="s">
        <v>6333</v>
      </c>
      <c r="AQ877" s="10" t="s">
        <v>4976</v>
      </c>
      <c r="AR877" s="2">
        <v>45633</v>
      </c>
      <c r="AS877" s="10">
        <v>3040</v>
      </c>
      <c r="AT877" s="10" t="s">
        <v>289</v>
      </c>
      <c r="AU877" s="10" t="s">
        <v>5730</v>
      </c>
      <c r="AV877" s="36" t="s">
        <v>6120</v>
      </c>
      <c r="AW877" s="1">
        <v>46212</v>
      </c>
    </row>
    <row r="878" spans="1:49" x14ac:dyDescent="0.25">
      <c r="A878" s="9" t="s">
        <v>5769</v>
      </c>
      <c r="B878" s="10" t="s">
        <v>5838</v>
      </c>
      <c r="C878" s="10">
        <v>0</v>
      </c>
      <c r="D878" s="10" t="s">
        <v>91</v>
      </c>
      <c r="E878" s="10"/>
      <c r="F878" s="10"/>
      <c r="G878" s="10"/>
      <c r="H878" s="10" t="s">
        <v>52</v>
      </c>
      <c r="I878" s="10">
        <v>21</v>
      </c>
      <c r="J878" s="10" t="s">
        <v>5908</v>
      </c>
      <c r="K878" s="10" t="s">
        <v>42</v>
      </c>
      <c r="L878" s="10">
        <f>Table1[[#This Row],[ENR]]-Table1[[#This Row],[CREDIT]]</f>
        <v>45364.380000000005</v>
      </c>
      <c r="M878" s="36">
        <v>200000</v>
      </c>
      <c r="N878" s="26">
        <v>245364.38</v>
      </c>
      <c r="O878" s="38">
        <v>187341.79</v>
      </c>
      <c r="P878" s="25">
        <v>58022.59</v>
      </c>
      <c r="Q878" s="25">
        <v>46297.81</v>
      </c>
      <c r="R878" s="10">
        <v>48900</v>
      </c>
      <c r="S878" s="39">
        <v>24559.94</v>
      </c>
      <c r="T878" s="10" t="s">
        <v>57</v>
      </c>
      <c r="U878" s="10" t="s">
        <v>14</v>
      </c>
      <c r="V878" s="10">
        <v>25000</v>
      </c>
      <c r="W878" s="25">
        <f>Table1[[#This Row],[STAB]]-Table1[[#This Row],[AMOUNT]]</f>
        <v>-440.06000000000131</v>
      </c>
      <c r="X878" s="10" t="s">
        <v>4937</v>
      </c>
      <c r="Y878" s="10" t="s">
        <v>402</v>
      </c>
      <c r="Z878" s="10">
        <v>0</v>
      </c>
      <c r="AA878" s="10" t="s">
        <v>162</v>
      </c>
      <c r="AB878" s="36" t="s">
        <v>733</v>
      </c>
      <c r="AC878" s="10"/>
      <c r="AD878" s="9" t="s">
        <v>5979</v>
      </c>
      <c r="AE878" s="10" t="s">
        <v>6050</v>
      </c>
      <c r="AF878" s="10" t="s">
        <v>272</v>
      </c>
      <c r="AG878" s="10" t="s">
        <v>54</v>
      </c>
      <c r="AH878" s="10" t="s">
        <v>58</v>
      </c>
      <c r="AI878" s="10" t="s">
        <v>133</v>
      </c>
      <c r="AJ878" s="10">
        <v>802555024</v>
      </c>
      <c r="AK878" s="10" t="s">
        <v>362</v>
      </c>
      <c r="AL878" s="10"/>
      <c r="AM878" s="10"/>
      <c r="AN878" s="11" t="s">
        <v>390</v>
      </c>
      <c r="AO878" s="10"/>
      <c r="AP878" s="10"/>
      <c r="AQ878" s="10"/>
      <c r="AR878" s="2">
        <v>45602</v>
      </c>
      <c r="AS878" s="10">
        <v>2500</v>
      </c>
      <c r="AT878" s="10" t="s">
        <v>289</v>
      </c>
      <c r="AU878" s="10" t="s">
        <v>5730</v>
      </c>
      <c r="AV878" s="36" t="s">
        <v>6121</v>
      </c>
      <c r="AW878" s="1">
        <v>46212</v>
      </c>
    </row>
    <row r="879" spans="1:49" x14ac:dyDescent="0.25">
      <c r="A879" s="9" t="s">
        <v>5770</v>
      </c>
      <c r="B879" s="10" t="s">
        <v>5839</v>
      </c>
      <c r="C879" s="10">
        <v>0</v>
      </c>
      <c r="D879" s="10" t="s">
        <v>91</v>
      </c>
      <c r="E879" s="10"/>
      <c r="F879" s="10"/>
      <c r="G879" s="10"/>
      <c r="H879" s="10" t="s">
        <v>52</v>
      </c>
      <c r="I879" s="10">
        <v>21</v>
      </c>
      <c r="J879" s="10" t="s">
        <v>5909</v>
      </c>
      <c r="K879" s="10" t="s">
        <v>42</v>
      </c>
      <c r="L879" s="10">
        <f>Table1[[#This Row],[ENR]]-Table1[[#This Row],[CREDIT]]</f>
        <v>-19087.97</v>
      </c>
      <c r="M879" s="36">
        <v>100000</v>
      </c>
      <c r="N879" s="26">
        <v>80912.03</v>
      </c>
      <c r="O879" s="38" t="s">
        <v>43</v>
      </c>
      <c r="P879" s="25">
        <v>80912.03</v>
      </c>
      <c r="Q879" s="25">
        <v>70966.97</v>
      </c>
      <c r="R879" s="10">
        <v>14170</v>
      </c>
      <c r="S879" s="39">
        <v>5780</v>
      </c>
      <c r="T879" s="10" t="s">
        <v>57</v>
      </c>
      <c r="U879" s="10" t="s">
        <v>13</v>
      </c>
      <c r="V879" s="10">
        <v>14170</v>
      </c>
      <c r="W879" s="25">
        <f>Table1[[#This Row],[STAB]]-Table1[[#This Row],[AMOUNT]]</f>
        <v>-8390</v>
      </c>
      <c r="X879" s="10" t="s">
        <v>6364</v>
      </c>
      <c r="Y879" s="10" t="s">
        <v>402</v>
      </c>
      <c r="Z879" s="10" t="s">
        <v>1968</v>
      </c>
      <c r="AA879" s="10" t="s">
        <v>162</v>
      </c>
      <c r="AB879" s="36" t="s">
        <v>6383</v>
      </c>
      <c r="AC879" s="10"/>
      <c r="AD879" s="9" t="s">
        <v>5980</v>
      </c>
      <c r="AE879" s="10" t="s">
        <v>6051</v>
      </c>
      <c r="AF879" s="10" t="s">
        <v>281</v>
      </c>
      <c r="AG879" s="10" t="s">
        <v>54</v>
      </c>
      <c r="AH879" s="10" t="s">
        <v>99</v>
      </c>
      <c r="AI879" s="10" t="s">
        <v>363</v>
      </c>
      <c r="AJ879" s="10">
        <v>802913252</v>
      </c>
      <c r="AK879" s="10" t="s">
        <v>104</v>
      </c>
      <c r="AL879" s="10"/>
      <c r="AM879" s="10"/>
      <c r="AN879" s="11" t="s">
        <v>390</v>
      </c>
      <c r="AO879" s="10" t="s">
        <v>392</v>
      </c>
      <c r="AP879" s="10" t="s">
        <v>6329</v>
      </c>
      <c r="AQ879" s="10" t="s">
        <v>4976</v>
      </c>
      <c r="AR879" s="2">
        <v>46162</v>
      </c>
      <c r="AS879" s="10">
        <v>13251</v>
      </c>
      <c r="AT879" s="10" t="s">
        <v>289</v>
      </c>
      <c r="AU879" s="10" t="s">
        <v>5730</v>
      </c>
      <c r="AV879" s="36" t="s">
        <v>6122</v>
      </c>
      <c r="AW879" s="1">
        <v>46212</v>
      </c>
    </row>
    <row r="880" spans="1:49" x14ac:dyDescent="0.25">
      <c r="A880" s="9" t="s">
        <v>5771</v>
      </c>
      <c r="B880" s="10" t="s">
        <v>5840</v>
      </c>
      <c r="C880" s="10">
        <v>0</v>
      </c>
      <c r="D880" s="10" t="s">
        <v>91</v>
      </c>
      <c r="E880" s="10"/>
      <c r="F880" s="10"/>
      <c r="G880" s="10"/>
      <c r="H880" s="10" t="s">
        <v>52</v>
      </c>
      <c r="I880" s="10">
        <v>21</v>
      </c>
      <c r="J880" s="10" t="s">
        <v>5910</v>
      </c>
      <c r="K880" s="10" t="s">
        <v>42</v>
      </c>
      <c r="L880" s="10">
        <f>Table1[[#This Row],[ENR]]-Table1[[#This Row],[CREDIT]]</f>
        <v>4107.68</v>
      </c>
      <c r="M880" s="36">
        <v>50000</v>
      </c>
      <c r="N880" s="26">
        <v>54107.68</v>
      </c>
      <c r="O880" s="38" t="s">
        <v>43</v>
      </c>
      <c r="P880" s="25">
        <v>54107.68</v>
      </c>
      <c r="Q880" s="25">
        <v>49666.91</v>
      </c>
      <c r="R880" s="10">
        <v>10420</v>
      </c>
      <c r="S880" s="39">
        <v>2260</v>
      </c>
      <c r="T880" s="10" t="s">
        <v>44</v>
      </c>
      <c r="U880" s="10" t="s">
        <v>45</v>
      </c>
      <c r="V880" s="10">
        <v>0</v>
      </c>
      <c r="W880" s="25">
        <f>Table1[[#This Row],[STAB]]-Table1[[#This Row],[AMOUNT]]</f>
        <v>2260</v>
      </c>
      <c r="X880" s="10">
        <v>0</v>
      </c>
      <c r="Y880" s="10" t="s">
        <v>79</v>
      </c>
      <c r="Z880" s="10">
        <v>0</v>
      </c>
      <c r="AA880" s="10" t="s">
        <v>162</v>
      </c>
      <c r="AB880" s="36" t="s">
        <v>6383</v>
      </c>
      <c r="AC880" s="10"/>
      <c r="AD880" s="9" t="s">
        <v>5981</v>
      </c>
      <c r="AE880" s="10" t="s">
        <v>6052</v>
      </c>
      <c r="AF880" s="10" t="s">
        <v>272</v>
      </c>
      <c r="AG880" s="10" t="s">
        <v>54</v>
      </c>
      <c r="AH880" s="10" t="s">
        <v>114</v>
      </c>
      <c r="AI880" s="10" t="s">
        <v>726</v>
      </c>
      <c r="AJ880" s="10">
        <v>801772792</v>
      </c>
      <c r="AK880" s="10" t="s">
        <v>105</v>
      </c>
      <c r="AL880" s="10"/>
      <c r="AM880" s="10"/>
      <c r="AN880" s="11" t="s">
        <v>46</v>
      </c>
      <c r="AO880" s="10"/>
      <c r="AP880" s="10"/>
      <c r="AQ880" s="10"/>
      <c r="AR880" s="2">
        <v>45411</v>
      </c>
      <c r="AS880" s="10">
        <v>3000</v>
      </c>
      <c r="AT880" s="10" t="s">
        <v>289</v>
      </c>
      <c r="AU880" s="10" t="s">
        <v>5730</v>
      </c>
      <c r="AV880" s="36" t="s">
        <v>6123</v>
      </c>
      <c r="AW880" s="1">
        <v>46212</v>
      </c>
    </row>
    <row r="881" spans="1:49" x14ac:dyDescent="0.25">
      <c r="A881" s="9" t="s">
        <v>5772</v>
      </c>
      <c r="B881" s="10" t="s">
        <v>5841</v>
      </c>
      <c r="C881" s="10">
        <v>0</v>
      </c>
      <c r="D881" s="10" t="s">
        <v>91</v>
      </c>
      <c r="E881" s="10"/>
      <c r="F881" s="10"/>
      <c r="G881" s="10"/>
      <c r="H881" s="10" t="s">
        <v>52</v>
      </c>
      <c r="I881" s="10">
        <v>21</v>
      </c>
      <c r="J881" s="10" t="s">
        <v>5911</v>
      </c>
      <c r="K881" s="10" t="s">
        <v>42</v>
      </c>
      <c r="L881" s="10">
        <f>Table1[[#This Row],[ENR]]-Table1[[#This Row],[CREDIT]]</f>
        <v>12540.080000000002</v>
      </c>
      <c r="M881" s="36">
        <v>100000</v>
      </c>
      <c r="N881" s="26">
        <v>112540.08</v>
      </c>
      <c r="O881" s="38" t="s">
        <v>43</v>
      </c>
      <c r="P881" s="25">
        <v>112540.08</v>
      </c>
      <c r="Q881" s="25">
        <v>98397.91</v>
      </c>
      <c r="R881" s="10">
        <v>35350</v>
      </c>
      <c r="S881" s="39">
        <v>18840</v>
      </c>
      <c r="T881" s="10" t="s">
        <v>44</v>
      </c>
      <c r="U881" s="10" t="s">
        <v>45</v>
      </c>
      <c r="V881" s="10">
        <v>0</v>
      </c>
      <c r="W881" s="25">
        <f>Table1[[#This Row],[STAB]]-Table1[[#This Row],[AMOUNT]]</f>
        <v>18840</v>
      </c>
      <c r="X881" s="10">
        <v>0</v>
      </c>
      <c r="Y881" s="10" t="s">
        <v>79</v>
      </c>
      <c r="Z881" s="10" t="s">
        <v>403</v>
      </c>
      <c r="AA881" s="10" t="s">
        <v>162</v>
      </c>
      <c r="AB881" s="36" t="s">
        <v>736</v>
      </c>
      <c r="AC881" s="10"/>
      <c r="AD881" s="9" t="s">
        <v>5982</v>
      </c>
      <c r="AE881" s="10" t="s">
        <v>6053</v>
      </c>
      <c r="AF881" s="10" t="s">
        <v>281</v>
      </c>
      <c r="AG881" s="10" t="s">
        <v>54</v>
      </c>
      <c r="AH881" s="10" t="s">
        <v>99</v>
      </c>
      <c r="AI881" s="10" t="s">
        <v>363</v>
      </c>
      <c r="AJ881" s="10">
        <v>802913252</v>
      </c>
      <c r="AK881" s="10" t="s">
        <v>104</v>
      </c>
      <c r="AL881" s="10"/>
      <c r="AM881" s="10"/>
      <c r="AN881" s="11" t="s">
        <v>46</v>
      </c>
      <c r="AO881" s="10"/>
      <c r="AP881" s="10"/>
      <c r="AQ881" s="10"/>
      <c r="AR881" s="2">
        <v>45483</v>
      </c>
      <c r="AS881" s="10">
        <v>21471</v>
      </c>
      <c r="AT881" s="10" t="s">
        <v>289</v>
      </c>
      <c r="AU881" s="10" t="s">
        <v>5730</v>
      </c>
      <c r="AV881" s="36" t="s">
        <v>6124</v>
      </c>
      <c r="AW881" s="1">
        <v>46212</v>
      </c>
    </row>
    <row r="882" spans="1:49" x14ac:dyDescent="0.25">
      <c r="A882" s="9" t="s">
        <v>5773</v>
      </c>
      <c r="B882" s="10" t="s">
        <v>5842</v>
      </c>
      <c r="C882" s="10">
        <v>0</v>
      </c>
      <c r="D882" s="10" t="s">
        <v>91</v>
      </c>
      <c r="E882" s="10"/>
      <c r="F882" s="10"/>
      <c r="G882" s="10"/>
      <c r="H882" s="10" t="s">
        <v>52</v>
      </c>
      <c r="I882" s="10">
        <v>21</v>
      </c>
      <c r="J882" s="10" t="s">
        <v>5912</v>
      </c>
      <c r="K882" s="10" t="s">
        <v>42</v>
      </c>
      <c r="L882" s="10">
        <f>Table1[[#This Row],[ENR]]-Table1[[#This Row],[CREDIT]]</f>
        <v>2994.0800000000017</v>
      </c>
      <c r="M882" s="36">
        <v>90000</v>
      </c>
      <c r="N882" s="26">
        <v>92994.08</v>
      </c>
      <c r="O882" s="38" t="s">
        <v>43</v>
      </c>
      <c r="P882" s="25">
        <v>92994.08</v>
      </c>
      <c r="Q882" s="25">
        <v>85000</v>
      </c>
      <c r="R882" s="10">
        <v>15090</v>
      </c>
      <c r="S882" s="39">
        <v>4947.3900000000003</v>
      </c>
      <c r="T882" s="10" t="s">
        <v>44</v>
      </c>
      <c r="U882" s="10" t="s">
        <v>45</v>
      </c>
      <c r="V882" s="10">
        <v>0</v>
      </c>
      <c r="W882" s="25">
        <f>Table1[[#This Row],[STAB]]-Table1[[#This Row],[AMOUNT]]</f>
        <v>4947.3900000000003</v>
      </c>
      <c r="X882" s="10">
        <v>0</v>
      </c>
      <c r="Y882" s="10" t="s">
        <v>79</v>
      </c>
      <c r="Z882" s="10">
        <v>0</v>
      </c>
      <c r="AA882" s="10" t="s">
        <v>162</v>
      </c>
      <c r="AB882" s="36" t="s">
        <v>6383</v>
      </c>
      <c r="AC882" s="10"/>
      <c r="AD882" s="9" t="s">
        <v>5983</v>
      </c>
      <c r="AE882" s="10" t="s">
        <v>6054</v>
      </c>
      <c r="AF882" s="10" t="s">
        <v>499</v>
      </c>
      <c r="AG882" s="10" t="s">
        <v>53</v>
      </c>
      <c r="AH882" s="10" t="s">
        <v>55</v>
      </c>
      <c r="AI882" s="10" t="s">
        <v>365</v>
      </c>
      <c r="AJ882" s="10">
        <v>802824019</v>
      </c>
      <c r="AK882" s="10" t="s">
        <v>360</v>
      </c>
      <c r="AL882" s="10"/>
      <c r="AM882" s="10"/>
      <c r="AN882" s="11" t="s">
        <v>46</v>
      </c>
      <c r="AO882" s="10"/>
      <c r="AP882" s="10"/>
      <c r="AQ882" s="10"/>
      <c r="AR882" s="2">
        <v>45586</v>
      </c>
      <c r="AS882" s="10">
        <v>830</v>
      </c>
      <c r="AT882" s="10" t="s">
        <v>289</v>
      </c>
      <c r="AU882" s="10" t="s">
        <v>5730</v>
      </c>
      <c r="AV882" s="36" t="s">
        <v>6125</v>
      </c>
      <c r="AW882" s="1">
        <v>46212</v>
      </c>
    </row>
    <row r="883" spans="1:49" x14ac:dyDescent="0.25">
      <c r="A883" s="9" t="s">
        <v>5774</v>
      </c>
      <c r="B883" s="10" t="s">
        <v>5843</v>
      </c>
      <c r="C883" s="10">
        <v>0</v>
      </c>
      <c r="D883" s="10" t="s">
        <v>95</v>
      </c>
      <c r="E883" s="10">
        <v>1</v>
      </c>
      <c r="F883" s="10"/>
      <c r="G883" s="10"/>
      <c r="H883" s="10" t="s">
        <v>52</v>
      </c>
      <c r="I883" s="10">
        <v>21</v>
      </c>
      <c r="J883" s="10" t="s">
        <v>5913</v>
      </c>
      <c r="K883" s="10" t="s">
        <v>42</v>
      </c>
      <c r="L883" s="10">
        <f>Table1[[#This Row],[ENR]]-Table1[[#This Row],[CREDIT]]</f>
        <v>30733.039999999979</v>
      </c>
      <c r="M883" s="36">
        <v>320000</v>
      </c>
      <c r="N883" s="26">
        <v>350733.04</v>
      </c>
      <c r="O883" s="38" t="s">
        <v>43</v>
      </c>
      <c r="P883" s="25">
        <v>350733.04</v>
      </c>
      <c r="Q883" s="25">
        <v>319068.65999999997</v>
      </c>
      <c r="R883" s="10">
        <v>80110</v>
      </c>
      <c r="S883" s="39">
        <v>32860</v>
      </c>
      <c r="T883" s="10" t="s">
        <v>44</v>
      </c>
      <c r="U883" s="10" t="s">
        <v>45</v>
      </c>
      <c r="V883" s="10">
        <v>0</v>
      </c>
      <c r="W883" s="25">
        <f>Table1[[#This Row],[STAB]]-Table1[[#This Row],[AMOUNT]]</f>
        <v>32860</v>
      </c>
      <c r="X883" s="10">
        <v>0</v>
      </c>
      <c r="Y883" s="10" t="s">
        <v>79</v>
      </c>
      <c r="Z883" s="10">
        <v>0</v>
      </c>
      <c r="AA883" s="10" t="s">
        <v>162</v>
      </c>
      <c r="AB883" s="36" t="s">
        <v>737</v>
      </c>
      <c r="AC883" s="10"/>
      <c r="AD883" s="9" t="s">
        <v>5984</v>
      </c>
      <c r="AE883" s="10" t="s">
        <v>6055</v>
      </c>
      <c r="AF883" s="10" t="s">
        <v>284</v>
      </c>
      <c r="AG883" s="10" t="s">
        <v>324</v>
      </c>
      <c r="AH883" s="10" t="s">
        <v>355</v>
      </c>
      <c r="AI883" s="10" t="s">
        <v>372</v>
      </c>
      <c r="AJ883" s="10">
        <v>801597759</v>
      </c>
      <c r="AK883" s="10" t="s">
        <v>362</v>
      </c>
      <c r="AL883" s="10"/>
      <c r="AM883" s="10"/>
      <c r="AN883" s="11" t="s">
        <v>46</v>
      </c>
      <c r="AO883" s="10"/>
      <c r="AP883" s="10"/>
      <c r="AQ883" s="10"/>
      <c r="AR883" s="2">
        <v>45488</v>
      </c>
      <c r="AS883" s="10">
        <v>15000</v>
      </c>
      <c r="AT883" s="10" t="s">
        <v>690</v>
      </c>
      <c r="AU883" s="10" t="s">
        <v>5730</v>
      </c>
      <c r="AV883" s="36" t="s">
        <v>6126</v>
      </c>
      <c r="AW883" s="1">
        <v>46212</v>
      </c>
    </row>
    <row r="884" spans="1:49" x14ac:dyDescent="0.25">
      <c r="A884" s="9" t="s">
        <v>5775</v>
      </c>
      <c r="B884" s="10" t="s">
        <v>5844</v>
      </c>
      <c r="C884" s="10">
        <v>0</v>
      </c>
      <c r="D884" s="10" t="s">
        <v>95</v>
      </c>
      <c r="E884" s="10"/>
      <c r="F884" s="10"/>
      <c r="G884" s="10"/>
      <c r="H884" s="10" t="s">
        <v>52</v>
      </c>
      <c r="I884" s="10">
        <v>21</v>
      </c>
      <c r="J884" s="10" t="s">
        <v>5914</v>
      </c>
      <c r="K884" s="10" t="s">
        <v>42</v>
      </c>
      <c r="L884" s="10">
        <f>Table1[[#This Row],[ENR]]-Table1[[#This Row],[CREDIT]]</f>
        <v>19314.51999999999</v>
      </c>
      <c r="M884" s="36">
        <v>220000</v>
      </c>
      <c r="N884" s="26">
        <v>239314.52</v>
      </c>
      <c r="O884" s="38" t="s">
        <v>43</v>
      </c>
      <c r="P884" s="25">
        <v>239314.52</v>
      </c>
      <c r="Q884" s="25">
        <v>212710</v>
      </c>
      <c r="R884" s="10">
        <v>65330</v>
      </c>
      <c r="S884" s="39">
        <v>32860</v>
      </c>
      <c r="T884" s="10" t="s">
        <v>44</v>
      </c>
      <c r="U884" s="10" t="s">
        <v>45</v>
      </c>
      <c r="V884" s="10">
        <v>0</v>
      </c>
      <c r="W884" s="25">
        <f>Table1[[#This Row],[STAB]]-Table1[[#This Row],[AMOUNT]]</f>
        <v>32860</v>
      </c>
      <c r="X884" s="10">
        <v>0</v>
      </c>
      <c r="Y884" s="10" t="s">
        <v>79</v>
      </c>
      <c r="Z884" s="10">
        <v>0</v>
      </c>
      <c r="AA884" s="10" t="s">
        <v>162</v>
      </c>
      <c r="AB884" s="36" t="s">
        <v>737</v>
      </c>
      <c r="AC884" s="10"/>
      <c r="AD884" s="9" t="s">
        <v>5985</v>
      </c>
      <c r="AE884" s="10" t="s">
        <v>6056</v>
      </c>
      <c r="AF884" s="10" t="s">
        <v>272</v>
      </c>
      <c r="AG884" s="10" t="s">
        <v>54</v>
      </c>
      <c r="AH884" s="10" t="s">
        <v>114</v>
      </c>
      <c r="AI884" s="10" t="s">
        <v>726</v>
      </c>
      <c r="AJ884" s="10">
        <v>801772792</v>
      </c>
      <c r="AK884" s="10" t="s">
        <v>105</v>
      </c>
      <c r="AL884" s="10"/>
      <c r="AM884" s="10"/>
      <c r="AN884" s="11" t="s">
        <v>46</v>
      </c>
      <c r="AO884" s="10"/>
      <c r="AP884" s="10"/>
      <c r="AQ884" s="10"/>
      <c r="AR884" s="2">
        <v>45885</v>
      </c>
      <c r="AS884" s="10">
        <v>9200</v>
      </c>
      <c r="AT884" s="10" t="s">
        <v>690</v>
      </c>
      <c r="AU884" s="10" t="s">
        <v>5730</v>
      </c>
      <c r="AV884" s="36" t="s">
        <v>6127</v>
      </c>
      <c r="AW884" s="1">
        <v>46212</v>
      </c>
    </row>
    <row r="885" spans="1:49" x14ac:dyDescent="0.25">
      <c r="A885" s="9" t="s">
        <v>5776</v>
      </c>
      <c r="B885" s="10" t="s">
        <v>5845</v>
      </c>
      <c r="C885" s="10">
        <v>0</v>
      </c>
      <c r="D885" s="10" t="s">
        <v>95</v>
      </c>
      <c r="E885" s="10"/>
      <c r="F885" s="10"/>
      <c r="G885" s="10"/>
      <c r="H885" s="10" t="s">
        <v>52</v>
      </c>
      <c r="I885" s="10">
        <v>21</v>
      </c>
      <c r="J885" s="10" t="s">
        <v>5915</v>
      </c>
      <c r="K885" s="10" t="s">
        <v>42</v>
      </c>
      <c r="L885" s="10">
        <f>Table1[[#This Row],[ENR]]-Table1[[#This Row],[CREDIT]]</f>
        <v>18225.5</v>
      </c>
      <c r="M885" s="36">
        <v>220000</v>
      </c>
      <c r="N885" s="26">
        <v>238225.5</v>
      </c>
      <c r="O885" s="38" t="s">
        <v>43</v>
      </c>
      <c r="P885" s="25">
        <v>238225.5</v>
      </c>
      <c r="Q885" s="25">
        <v>219948.79999999999</v>
      </c>
      <c r="R885" s="10">
        <v>57040</v>
      </c>
      <c r="S885" s="39">
        <v>11180</v>
      </c>
      <c r="T885" s="10" t="s">
        <v>44</v>
      </c>
      <c r="U885" s="10" t="s">
        <v>45</v>
      </c>
      <c r="V885" s="10">
        <v>0</v>
      </c>
      <c r="W885" s="25">
        <f>Table1[[#This Row],[STAB]]-Table1[[#This Row],[AMOUNT]]</f>
        <v>11180</v>
      </c>
      <c r="X885" s="10">
        <v>0</v>
      </c>
      <c r="Y885" s="10" t="s">
        <v>79</v>
      </c>
      <c r="Z885" s="10">
        <v>0</v>
      </c>
      <c r="AA885" s="10" t="s">
        <v>162</v>
      </c>
      <c r="AB885" s="36" t="s">
        <v>737</v>
      </c>
      <c r="AC885" s="10"/>
      <c r="AD885" s="9" t="s">
        <v>5986</v>
      </c>
      <c r="AE885" s="10" t="s">
        <v>6057</v>
      </c>
      <c r="AF885" s="10" t="s">
        <v>272</v>
      </c>
      <c r="AG885" s="10" t="s">
        <v>54</v>
      </c>
      <c r="AH885" s="10" t="s">
        <v>114</v>
      </c>
      <c r="AI885" s="10" t="s">
        <v>726</v>
      </c>
      <c r="AJ885" s="10">
        <v>801772792</v>
      </c>
      <c r="AK885" s="10" t="s">
        <v>105</v>
      </c>
      <c r="AL885" s="10"/>
      <c r="AM885" s="10"/>
      <c r="AN885" s="11" t="s">
        <v>46</v>
      </c>
      <c r="AO885" s="10"/>
      <c r="AP885" s="10"/>
      <c r="AQ885" s="10"/>
      <c r="AR885" s="2">
        <v>46057</v>
      </c>
      <c r="AS885" s="10">
        <v>10</v>
      </c>
      <c r="AT885" s="10" t="s">
        <v>690</v>
      </c>
      <c r="AU885" s="10" t="s">
        <v>5730</v>
      </c>
      <c r="AV885" s="36" t="s">
        <v>6128</v>
      </c>
      <c r="AW885" s="1">
        <v>46212</v>
      </c>
    </row>
    <row r="886" spans="1:49" x14ac:dyDescent="0.25">
      <c r="A886" s="9" t="s">
        <v>5777</v>
      </c>
      <c r="B886" s="10" t="s">
        <v>5846</v>
      </c>
      <c r="C886" s="10">
        <v>0</v>
      </c>
      <c r="D886" s="10" t="s">
        <v>91</v>
      </c>
      <c r="E886" s="10"/>
      <c r="F886" s="10"/>
      <c r="G886" s="10"/>
      <c r="H886" s="10" t="s">
        <v>52</v>
      </c>
      <c r="I886" s="10">
        <v>21</v>
      </c>
      <c r="J886" s="10" t="s">
        <v>5916</v>
      </c>
      <c r="K886" s="10" t="s">
        <v>42</v>
      </c>
      <c r="L886" s="10">
        <f>Table1[[#This Row],[ENR]]-Table1[[#This Row],[CREDIT]]</f>
        <v>8614.2600000000093</v>
      </c>
      <c r="M886" s="36">
        <v>150000</v>
      </c>
      <c r="N886" s="26">
        <v>158614.26</v>
      </c>
      <c r="O886" s="38">
        <v>136598.59</v>
      </c>
      <c r="P886" s="25">
        <v>22015.67</v>
      </c>
      <c r="Q886" s="25">
        <v>10359.719999999999</v>
      </c>
      <c r="R886" s="10">
        <v>22010</v>
      </c>
      <c r="S886" s="39">
        <v>12470</v>
      </c>
      <c r="T886" s="10" t="s">
        <v>44</v>
      </c>
      <c r="U886" s="10" t="s">
        <v>45</v>
      </c>
      <c r="V886" s="10">
        <v>0</v>
      </c>
      <c r="W886" s="25">
        <f>Table1[[#This Row],[STAB]]-Table1[[#This Row],[AMOUNT]]</f>
        <v>12470</v>
      </c>
      <c r="X886" s="10">
        <v>0</v>
      </c>
      <c r="Y886" s="10" t="s">
        <v>79</v>
      </c>
      <c r="Z886" s="10">
        <v>0</v>
      </c>
      <c r="AA886" s="10" t="s">
        <v>162</v>
      </c>
      <c r="AB886" s="10" t="s">
        <v>735</v>
      </c>
      <c r="AC886" s="10"/>
      <c r="AD886" s="9" t="s">
        <v>5987</v>
      </c>
      <c r="AE886" s="10" t="s">
        <v>6058</v>
      </c>
      <c r="AF886" s="10" t="s">
        <v>85</v>
      </c>
      <c r="AG886" s="10" t="s">
        <v>54</v>
      </c>
      <c r="AH886" s="10" t="s">
        <v>89</v>
      </c>
      <c r="AI886" s="10" t="s">
        <v>106</v>
      </c>
      <c r="AJ886" s="10">
        <v>802370852</v>
      </c>
      <c r="AK886" s="10" t="s">
        <v>105</v>
      </c>
      <c r="AL886" s="10"/>
      <c r="AM886" s="10"/>
      <c r="AN886" s="11" t="s">
        <v>46</v>
      </c>
      <c r="AO886" s="10"/>
      <c r="AP886" s="10"/>
      <c r="AQ886" s="10"/>
      <c r="AR886" s="2">
        <v>46035</v>
      </c>
      <c r="AS886" s="10">
        <v>21200</v>
      </c>
      <c r="AT886" s="10" t="s">
        <v>690</v>
      </c>
      <c r="AU886" s="10" t="s">
        <v>5730</v>
      </c>
      <c r="AV886" s="36" t="s">
        <v>6129</v>
      </c>
      <c r="AW886" s="1">
        <v>46212</v>
      </c>
    </row>
    <row r="887" spans="1:49" x14ac:dyDescent="0.25">
      <c r="A887" s="9" t="s">
        <v>5778</v>
      </c>
      <c r="B887" s="10" t="s">
        <v>5847</v>
      </c>
      <c r="C887" s="10">
        <v>0</v>
      </c>
      <c r="D887" s="10" t="s">
        <v>91</v>
      </c>
      <c r="E887" s="10"/>
      <c r="F887" s="10"/>
      <c r="G887" s="10"/>
      <c r="H887" s="10" t="s">
        <v>52</v>
      </c>
      <c r="I887" s="10">
        <v>21</v>
      </c>
      <c r="J887" s="10" t="s">
        <v>5917</v>
      </c>
      <c r="K887" s="10" t="s">
        <v>42</v>
      </c>
      <c r="L887" s="10">
        <f>Table1[[#This Row],[ENR]]-Table1[[#This Row],[CREDIT]]</f>
        <v>-28222.22</v>
      </c>
      <c r="M887" s="36">
        <v>100000</v>
      </c>
      <c r="N887" s="26">
        <v>71777.78</v>
      </c>
      <c r="O887" s="38">
        <v>52381.440000000002</v>
      </c>
      <c r="P887" s="25">
        <v>19396.34</v>
      </c>
      <c r="Q887" s="25">
        <v>16518.240000000002</v>
      </c>
      <c r="R887" s="10">
        <v>13610</v>
      </c>
      <c r="S887" s="39">
        <v>6800</v>
      </c>
      <c r="T887" s="10" t="s">
        <v>44</v>
      </c>
      <c r="U887" s="10" t="s">
        <v>45</v>
      </c>
      <c r="V887" s="10">
        <v>0</v>
      </c>
      <c r="W887" s="25">
        <f>Table1[[#This Row],[STAB]]-Table1[[#This Row],[AMOUNT]]</f>
        <v>6800</v>
      </c>
      <c r="X887" s="10">
        <v>0</v>
      </c>
      <c r="Y887" s="10" t="s">
        <v>79</v>
      </c>
      <c r="Z887" s="10">
        <v>0</v>
      </c>
      <c r="AA887" s="10" t="s">
        <v>162</v>
      </c>
      <c r="AB887" s="36" t="s">
        <v>6383</v>
      </c>
      <c r="AC887" s="10"/>
      <c r="AD887" s="9" t="s">
        <v>5988</v>
      </c>
      <c r="AE887" s="10" t="s">
        <v>6059</v>
      </c>
      <c r="AF887" s="10" t="s">
        <v>272</v>
      </c>
      <c r="AG887" s="10" t="s">
        <v>54</v>
      </c>
      <c r="AH887" s="10" t="s">
        <v>114</v>
      </c>
      <c r="AI887" s="10" t="s">
        <v>726</v>
      </c>
      <c r="AJ887" s="10">
        <v>801772792</v>
      </c>
      <c r="AK887" s="10" t="s">
        <v>105</v>
      </c>
      <c r="AL887" s="10"/>
      <c r="AM887" s="10"/>
      <c r="AN887" s="11" t="s">
        <v>46</v>
      </c>
      <c r="AO887" s="10"/>
      <c r="AP887" s="10"/>
      <c r="AQ887" s="10"/>
      <c r="AR887" s="2">
        <v>46181</v>
      </c>
      <c r="AS887" s="10">
        <v>6000</v>
      </c>
      <c r="AT887" s="10" t="s">
        <v>690</v>
      </c>
      <c r="AU887" s="10" t="s">
        <v>5730</v>
      </c>
      <c r="AV887" s="36" t="s">
        <v>6130</v>
      </c>
      <c r="AW887" s="1">
        <v>46212</v>
      </c>
    </row>
    <row r="888" spans="1:49" x14ac:dyDescent="0.25">
      <c r="A888" s="9" t="s">
        <v>5779</v>
      </c>
      <c r="B888" s="10" t="s">
        <v>5848</v>
      </c>
      <c r="C888" s="10">
        <v>0</v>
      </c>
      <c r="D888" s="10" t="s">
        <v>91</v>
      </c>
      <c r="E888" s="10"/>
      <c r="F888" s="10"/>
      <c r="G888" s="10"/>
      <c r="H888" s="10" t="s">
        <v>52</v>
      </c>
      <c r="I888" s="10">
        <v>21</v>
      </c>
      <c r="J888" s="10" t="s">
        <v>5918</v>
      </c>
      <c r="K888" s="10" t="s">
        <v>42</v>
      </c>
      <c r="L888" s="10">
        <f>Table1[[#This Row],[ENR]]-Table1[[#This Row],[CREDIT]]</f>
        <v>44503.839999999997</v>
      </c>
      <c r="M888" s="36">
        <v>20000</v>
      </c>
      <c r="N888" s="26">
        <v>64503.839999999997</v>
      </c>
      <c r="O888" s="38">
        <v>26781.09</v>
      </c>
      <c r="P888" s="25">
        <v>37722.75</v>
      </c>
      <c r="Q888" s="25">
        <v>33357.32</v>
      </c>
      <c r="R888" s="10">
        <v>37722.75</v>
      </c>
      <c r="S888" s="39">
        <v>14880</v>
      </c>
      <c r="T888" s="10" t="s">
        <v>44</v>
      </c>
      <c r="U888" s="10" t="s">
        <v>45</v>
      </c>
      <c r="V888" s="10">
        <v>0</v>
      </c>
      <c r="W888" s="25">
        <f>Table1[[#This Row],[STAB]]-Table1[[#This Row],[AMOUNT]]</f>
        <v>14880</v>
      </c>
      <c r="X888" s="10">
        <v>0</v>
      </c>
      <c r="Y888" s="10" t="s">
        <v>79</v>
      </c>
      <c r="Z888" s="10">
        <v>0</v>
      </c>
      <c r="AA888" s="10" t="s">
        <v>162</v>
      </c>
      <c r="AB888" s="36" t="s">
        <v>6383</v>
      </c>
      <c r="AC888" s="10"/>
      <c r="AD888" s="9" t="s">
        <v>5989</v>
      </c>
      <c r="AE888" s="10" t="s">
        <v>6060</v>
      </c>
      <c r="AF888" s="10" t="s">
        <v>281</v>
      </c>
      <c r="AG888" s="10" t="s">
        <v>54</v>
      </c>
      <c r="AH888" s="10" t="s">
        <v>58</v>
      </c>
      <c r="AI888" s="10" t="s">
        <v>133</v>
      </c>
      <c r="AJ888" s="10">
        <v>802555024</v>
      </c>
      <c r="AK888" s="10" t="s">
        <v>362</v>
      </c>
      <c r="AL888" s="10"/>
      <c r="AM888" s="10"/>
      <c r="AN888" s="11" t="s">
        <v>390</v>
      </c>
      <c r="AO888" s="10" t="s">
        <v>394</v>
      </c>
      <c r="AP888" s="10" t="s">
        <v>6395</v>
      </c>
      <c r="AQ888" s="10" t="s">
        <v>6364</v>
      </c>
      <c r="AR888" s="2">
        <v>45541</v>
      </c>
      <c r="AS888" s="10">
        <v>10000</v>
      </c>
      <c r="AT888" s="10" t="s">
        <v>690</v>
      </c>
      <c r="AU888" s="10" t="s">
        <v>5730</v>
      </c>
      <c r="AV888" s="36" t="s">
        <v>6131</v>
      </c>
      <c r="AW888" s="1">
        <v>46212</v>
      </c>
    </row>
    <row r="889" spans="1:49" x14ac:dyDescent="0.25">
      <c r="A889" s="9" t="s">
        <v>5780</v>
      </c>
      <c r="B889" s="10" t="s">
        <v>5849</v>
      </c>
      <c r="C889" s="10">
        <v>0</v>
      </c>
      <c r="D889" s="10" t="s">
        <v>91</v>
      </c>
      <c r="E889" s="10"/>
      <c r="F889" s="10"/>
      <c r="G889" s="10"/>
      <c r="H889" s="10" t="s">
        <v>84</v>
      </c>
      <c r="I889" s="10">
        <v>21</v>
      </c>
      <c r="J889" s="10" t="s">
        <v>5919</v>
      </c>
      <c r="K889" s="10" t="s">
        <v>42</v>
      </c>
      <c r="L889" s="10">
        <f>Table1[[#This Row],[ENR]]-Table1[[#This Row],[CREDIT]]</f>
        <v>25334.210000000006</v>
      </c>
      <c r="M889" s="36">
        <v>60000</v>
      </c>
      <c r="N889" s="26">
        <v>85334.21</v>
      </c>
      <c r="O889" s="38">
        <v>31265.1</v>
      </c>
      <c r="P889" s="25">
        <v>54069.11</v>
      </c>
      <c r="Q889" s="25">
        <v>49767.14</v>
      </c>
      <c r="R889" s="10">
        <v>41230</v>
      </c>
      <c r="S889" s="39">
        <v>20530</v>
      </c>
      <c r="T889" s="10" t="s">
        <v>44</v>
      </c>
      <c r="U889" s="10" t="s">
        <v>45</v>
      </c>
      <c r="V889" s="10">
        <v>0</v>
      </c>
      <c r="W889" s="25">
        <f>Table1[[#This Row],[STAB]]-Table1[[#This Row],[AMOUNT]]</f>
        <v>20530</v>
      </c>
      <c r="X889" s="10">
        <v>0</v>
      </c>
      <c r="Y889" s="10" t="s">
        <v>79</v>
      </c>
      <c r="Z889" s="10" t="s">
        <v>403</v>
      </c>
      <c r="AA889" s="10" t="s">
        <v>162</v>
      </c>
      <c r="AB889" s="36" t="s">
        <v>6383</v>
      </c>
      <c r="AC889" s="10"/>
      <c r="AD889" s="9" t="s">
        <v>5990</v>
      </c>
      <c r="AE889" s="10" t="s">
        <v>6061</v>
      </c>
      <c r="AF889" s="10" t="s">
        <v>272</v>
      </c>
      <c r="AG889" s="10" t="s">
        <v>54</v>
      </c>
      <c r="AH889" s="10" t="s">
        <v>523</v>
      </c>
      <c r="AI889" s="10" t="s">
        <v>371</v>
      </c>
      <c r="AJ889" s="10">
        <v>802835406</v>
      </c>
      <c r="AK889" s="10" t="s">
        <v>362</v>
      </c>
      <c r="AL889" s="10"/>
      <c r="AM889" s="10"/>
      <c r="AN889" s="11" t="s">
        <v>390</v>
      </c>
      <c r="AO889" s="10" t="s">
        <v>394</v>
      </c>
      <c r="AP889" s="10" t="s">
        <v>6392</v>
      </c>
      <c r="AQ889" s="10" t="s">
        <v>6364</v>
      </c>
      <c r="AR889" s="2">
        <v>45762</v>
      </c>
      <c r="AS889" s="10">
        <v>13000</v>
      </c>
      <c r="AT889" s="10" t="s">
        <v>690</v>
      </c>
      <c r="AU889" s="10" t="s">
        <v>5730</v>
      </c>
      <c r="AV889" s="36" t="s">
        <v>6132</v>
      </c>
      <c r="AW889" s="1">
        <v>46212</v>
      </c>
    </row>
    <row r="890" spans="1:49" x14ac:dyDescent="0.25">
      <c r="A890" s="9" t="s">
        <v>5781</v>
      </c>
      <c r="B890" s="10" t="s">
        <v>5850</v>
      </c>
      <c r="C890" s="10">
        <v>0</v>
      </c>
      <c r="D890" s="10" t="s">
        <v>91</v>
      </c>
      <c r="E890" s="10"/>
      <c r="F890" s="10"/>
      <c r="G890" s="10"/>
      <c r="H890" s="10" t="s">
        <v>52</v>
      </c>
      <c r="I890" s="10">
        <v>21</v>
      </c>
      <c r="J890" s="10" t="s">
        <v>5920</v>
      </c>
      <c r="K890" s="10" t="s">
        <v>42</v>
      </c>
      <c r="L890" s="10">
        <f>Table1[[#This Row],[ENR]]-Table1[[#This Row],[CREDIT]]</f>
        <v>8535.4400000000023</v>
      </c>
      <c r="M890" s="36">
        <v>60000</v>
      </c>
      <c r="N890" s="26">
        <v>68535.44</v>
      </c>
      <c r="O890" s="38" t="s">
        <v>43</v>
      </c>
      <c r="P890" s="25">
        <v>68535.44</v>
      </c>
      <c r="Q890" s="25">
        <v>59988.02</v>
      </c>
      <c r="R890" s="10">
        <v>22320</v>
      </c>
      <c r="S890" s="39">
        <v>11090</v>
      </c>
      <c r="T890" s="10" t="s">
        <v>44</v>
      </c>
      <c r="U890" s="10" t="s">
        <v>45</v>
      </c>
      <c r="V890" s="10">
        <v>0</v>
      </c>
      <c r="W890" s="25">
        <f>Table1[[#This Row],[STAB]]-Table1[[#This Row],[AMOUNT]]</f>
        <v>11090</v>
      </c>
      <c r="X890" s="10">
        <v>0</v>
      </c>
      <c r="Y890" s="10" t="s">
        <v>79</v>
      </c>
      <c r="Z890" s="10">
        <v>0</v>
      </c>
      <c r="AA890" s="10" t="s">
        <v>162</v>
      </c>
      <c r="AB890" s="36" t="s">
        <v>6383</v>
      </c>
      <c r="AC890" s="10"/>
      <c r="AD890" s="9" t="s">
        <v>5991</v>
      </c>
      <c r="AE890" s="10" t="s">
        <v>6062</v>
      </c>
      <c r="AF890" s="10" t="s">
        <v>1102</v>
      </c>
      <c r="AG890" s="10" t="s">
        <v>324</v>
      </c>
      <c r="AH890" s="10" t="s">
        <v>1956</v>
      </c>
      <c r="AI890" s="10" t="s">
        <v>1403</v>
      </c>
      <c r="AJ890" s="10">
        <v>802631601</v>
      </c>
      <c r="AK890" s="10" t="s">
        <v>362</v>
      </c>
      <c r="AL890" s="10"/>
      <c r="AM890" s="10"/>
      <c r="AN890" s="11" t="s">
        <v>46</v>
      </c>
      <c r="AO890" s="10"/>
      <c r="AP890" s="10"/>
      <c r="AQ890" s="10"/>
      <c r="AR890" s="2">
        <v>45487</v>
      </c>
      <c r="AS890" s="10">
        <v>34517.74</v>
      </c>
      <c r="AT890" s="10" t="s">
        <v>690</v>
      </c>
      <c r="AU890" s="10" t="s">
        <v>5730</v>
      </c>
      <c r="AV890" s="36" t="s">
        <v>6133</v>
      </c>
      <c r="AW890" s="1">
        <v>46212</v>
      </c>
    </row>
    <row r="891" spans="1:49" x14ac:dyDescent="0.25">
      <c r="A891" s="9" t="s">
        <v>5782</v>
      </c>
      <c r="B891" s="10" t="s">
        <v>5851</v>
      </c>
      <c r="C891" s="10">
        <v>0</v>
      </c>
      <c r="D891" s="10" t="s">
        <v>91</v>
      </c>
      <c r="E891" s="10"/>
      <c r="F891" s="10"/>
      <c r="G891" s="10"/>
      <c r="H891" s="10" t="s">
        <v>52</v>
      </c>
      <c r="I891" s="10">
        <v>21</v>
      </c>
      <c r="J891" s="10" t="s">
        <v>5921</v>
      </c>
      <c r="K891" s="10" t="s">
        <v>42</v>
      </c>
      <c r="L891" s="10">
        <f>Table1[[#This Row],[ENR]]-Table1[[#This Row],[CREDIT]]</f>
        <v>7032.679999999993</v>
      </c>
      <c r="M891" s="36">
        <v>90000</v>
      </c>
      <c r="N891" s="26">
        <v>97032.68</v>
      </c>
      <c r="O891" s="38" t="s">
        <v>43</v>
      </c>
      <c r="P891" s="25">
        <v>97032.68</v>
      </c>
      <c r="Q891" s="25">
        <v>85467.65</v>
      </c>
      <c r="R891" s="10">
        <v>26520</v>
      </c>
      <c r="S891" s="39">
        <v>11560</v>
      </c>
      <c r="T891" s="10" t="s">
        <v>44</v>
      </c>
      <c r="U891" s="10" t="s">
        <v>45</v>
      </c>
      <c r="V891" s="10">
        <v>0</v>
      </c>
      <c r="W891" s="25">
        <f>Table1[[#This Row],[STAB]]-Table1[[#This Row],[AMOUNT]]</f>
        <v>11560</v>
      </c>
      <c r="X891" s="10">
        <v>0</v>
      </c>
      <c r="Y891" s="10" t="s">
        <v>79</v>
      </c>
      <c r="Z891" s="10">
        <v>0</v>
      </c>
      <c r="AA891" s="10" t="s">
        <v>162</v>
      </c>
      <c r="AB891" s="36" t="s">
        <v>6383</v>
      </c>
      <c r="AC891" s="10"/>
      <c r="AD891" s="9" t="s">
        <v>5992</v>
      </c>
      <c r="AE891" s="10" t="s">
        <v>6063</v>
      </c>
      <c r="AF891" s="10" t="s">
        <v>272</v>
      </c>
      <c r="AG891" s="10" t="s">
        <v>54</v>
      </c>
      <c r="AH891" s="10" t="s">
        <v>114</v>
      </c>
      <c r="AI891" s="10" t="s">
        <v>726</v>
      </c>
      <c r="AJ891" s="10">
        <v>801772792</v>
      </c>
      <c r="AK891" s="10" t="s">
        <v>105</v>
      </c>
      <c r="AL891" s="10"/>
      <c r="AM891" s="10"/>
      <c r="AN891" s="11" t="s">
        <v>46</v>
      </c>
      <c r="AO891" s="10"/>
      <c r="AP891" s="10"/>
      <c r="AQ891" s="10"/>
      <c r="AR891" s="2">
        <v>46152</v>
      </c>
      <c r="AS891" s="10">
        <v>4500</v>
      </c>
      <c r="AT891" s="10" t="s">
        <v>690</v>
      </c>
      <c r="AU891" s="10" t="s">
        <v>5730</v>
      </c>
      <c r="AV891" s="36" t="s">
        <v>6134</v>
      </c>
      <c r="AW891" s="1">
        <v>46212</v>
      </c>
    </row>
    <row r="892" spans="1:49" x14ac:dyDescent="0.25">
      <c r="A892" s="9" t="s">
        <v>5783</v>
      </c>
      <c r="B892" s="10" t="s">
        <v>5852</v>
      </c>
      <c r="C892" s="10">
        <v>0</v>
      </c>
      <c r="D892" s="10" t="s">
        <v>95</v>
      </c>
      <c r="E892" s="10"/>
      <c r="F892" s="10"/>
      <c r="G892" s="10"/>
      <c r="H892" s="10" t="s">
        <v>52</v>
      </c>
      <c r="I892" s="10">
        <v>21</v>
      </c>
      <c r="J892" s="10" t="s">
        <v>5922</v>
      </c>
      <c r="K892" s="10" t="s">
        <v>42</v>
      </c>
      <c r="L892" s="10">
        <f>Table1[[#This Row],[ENR]]-Table1[[#This Row],[CREDIT]]</f>
        <v>11522.029999999999</v>
      </c>
      <c r="M892" s="36">
        <v>230000</v>
      </c>
      <c r="N892" s="26">
        <v>241522.03</v>
      </c>
      <c r="O892" s="38">
        <v>134706.15</v>
      </c>
      <c r="P892" s="25">
        <v>106815.88</v>
      </c>
      <c r="Q892" s="25">
        <v>90997.91</v>
      </c>
      <c r="R892" s="10">
        <v>39870</v>
      </c>
      <c r="S892" s="39">
        <v>18800</v>
      </c>
      <c r="T892" s="10" t="s">
        <v>44</v>
      </c>
      <c r="U892" s="10" t="s">
        <v>45</v>
      </c>
      <c r="V892" s="10">
        <v>0</v>
      </c>
      <c r="W892" s="25">
        <f>Table1[[#This Row],[STAB]]-Table1[[#This Row],[AMOUNT]]</f>
        <v>18800</v>
      </c>
      <c r="X892" s="10">
        <v>0</v>
      </c>
      <c r="Y892" s="10" t="s">
        <v>79</v>
      </c>
      <c r="Z892" s="10">
        <v>0</v>
      </c>
      <c r="AA892" s="10" t="s">
        <v>162</v>
      </c>
      <c r="AB892" s="36" t="s">
        <v>737</v>
      </c>
      <c r="AC892" s="10"/>
      <c r="AD892" s="9" t="s">
        <v>5993</v>
      </c>
      <c r="AE892" s="10" t="s">
        <v>6064</v>
      </c>
      <c r="AF892" s="10" t="s">
        <v>85</v>
      </c>
      <c r="AG892" s="10" t="s">
        <v>54</v>
      </c>
      <c r="AH892" s="10" t="s">
        <v>89</v>
      </c>
      <c r="AI892" s="10" t="s">
        <v>106</v>
      </c>
      <c r="AJ892" s="10">
        <v>802370852</v>
      </c>
      <c r="AK892" s="10" t="s">
        <v>105</v>
      </c>
      <c r="AL892" s="10"/>
      <c r="AM892" s="10"/>
      <c r="AN892" s="11" t="s">
        <v>46</v>
      </c>
      <c r="AO892" s="10"/>
      <c r="AP892" s="10"/>
      <c r="AQ892" s="10"/>
      <c r="AR892" s="2">
        <v>45668</v>
      </c>
      <c r="AS892" s="10">
        <v>129200</v>
      </c>
      <c r="AT892" s="10" t="s">
        <v>48</v>
      </c>
      <c r="AU892" s="10" t="s">
        <v>5730</v>
      </c>
      <c r="AV892" s="36" t="s">
        <v>6135</v>
      </c>
      <c r="AW892" s="1">
        <v>46212</v>
      </c>
    </row>
    <row r="893" spans="1:49" x14ac:dyDescent="0.25">
      <c r="A893" s="9" t="s">
        <v>5784</v>
      </c>
      <c r="B893" s="10" t="s">
        <v>5853</v>
      </c>
      <c r="C893" s="10">
        <v>0</v>
      </c>
      <c r="D893" s="10" t="s">
        <v>91</v>
      </c>
      <c r="E893" s="10"/>
      <c r="F893" s="10"/>
      <c r="G893" s="10"/>
      <c r="H893" s="10" t="s">
        <v>52</v>
      </c>
      <c r="I893" s="10">
        <v>21</v>
      </c>
      <c r="J893" s="10" t="s">
        <v>5923</v>
      </c>
      <c r="K893" s="10" t="s">
        <v>42</v>
      </c>
      <c r="L893" s="10">
        <f>Table1[[#This Row],[ENR]]-Table1[[#This Row],[CREDIT]]</f>
        <v>5738.5200000000041</v>
      </c>
      <c r="M893" s="36">
        <v>100000</v>
      </c>
      <c r="N893" s="26">
        <v>105738.52</v>
      </c>
      <c r="O893" s="38" t="s">
        <v>43</v>
      </c>
      <c r="P893" s="25">
        <v>105738.52</v>
      </c>
      <c r="Q893" s="25">
        <v>91707.23</v>
      </c>
      <c r="R893" s="10">
        <v>28240</v>
      </c>
      <c r="S893" s="39">
        <v>12500</v>
      </c>
      <c r="T893" s="10" t="s">
        <v>57</v>
      </c>
      <c r="U893" s="10" t="s">
        <v>14</v>
      </c>
      <c r="V893" s="10">
        <v>13000</v>
      </c>
      <c r="W893" s="25">
        <f>Table1[[#This Row],[STAB]]-Table1[[#This Row],[AMOUNT]]</f>
        <v>-500</v>
      </c>
      <c r="X893" s="10" t="s">
        <v>6364</v>
      </c>
      <c r="Y893" s="10" t="s">
        <v>396</v>
      </c>
      <c r="Z893" s="10" t="s">
        <v>403</v>
      </c>
      <c r="AA893" s="10" t="s">
        <v>162</v>
      </c>
      <c r="AB893" s="36" t="s">
        <v>734</v>
      </c>
      <c r="AC893" s="10"/>
      <c r="AD893" s="9" t="s">
        <v>5994</v>
      </c>
      <c r="AE893" s="10" t="s">
        <v>6065</v>
      </c>
      <c r="AF893" s="10" t="s">
        <v>280</v>
      </c>
      <c r="AG893" s="10" t="s">
        <v>54</v>
      </c>
      <c r="AH893" s="10" t="s">
        <v>523</v>
      </c>
      <c r="AI893" s="10" t="s">
        <v>371</v>
      </c>
      <c r="AJ893" s="10">
        <v>802835406</v>
      </c>
      <c r="AK893" s="10" t="s">
        <v>362</v>
      </c>
      <c r="AL893" s="10"/>
      <c r="AM893" s="10"/>
      <c r="AN893" s="11" t="s">
        <v>390</v>
      </c>
      <c r="AO893" s="10"/>
      <c r="AP893" s="10"/>
      <c r="AQ893" s="10"/>
      <c r="AR893" s="2">
        <v>45482</v>
      </c>
      <c r="AS893" s="10">
        <v>23000</v>
      </c>
      <c r="AT893" s="10" t="s">
        <v>690</v>
      </c>
      <c r="AU893" s="10" t="s">
        <v>5730</v>
      </c>
      <c r="AV893" s="36" t="s">
        <v>6136</v>
      </c>
      <c r="AW893" s="1">
        <v>46212</v>
      </c>
    </row>
    <row r="894" spans="1:49" x14ac:dyDescent="0.25">
      <c r="A894" s="9" t="s">
        <v>5785</v>
      </c>
      <c r="B894" s="10" t="s">
        <v>5854</v>
      </c>
      <c r="C894" s="10">
        <v>0</v>
      </c>
      <c r="D894" s="10" t="s">
        <v>91</v>
      </c>
      <c r="E894" s="10"/>
      <c r="F894" s="10"/>
      <c r="G894" s="10"/>
      <c r="H894" s="10" t="s">
        <v>52</v>
      </c>
      <c r="I894" s="10">
        <v>21</v>
      </c>
      <c r="J894" s="10" t="s">
        <v>5924</v>
      </c>
      <c r="K894" s="10" t="s">
        <v>42</v>
      </c>
      <c r="L894" s="10">
        <f>Table1[[#This Row],[ENR]]-Table1[[#This Row],[CREDIT]]</f>
        <v>2827.3399999999965</v>
      </c>
      <c r="M894" s="36">
        <v>190000</v>
      </c>
      <c r="N894" s="26">
        <v>192827.34</v>
      </c>
      <c r="O894" s="38">
        <v>154580.82999999999</v>
      </c>
      <c r="P894" s="25">
        <v>38246.51</v>
      </c>
      <c r="Q894" s="25">
        <v>32422.25</v>
      </c>
      <c r="R894" s="10">
        <v>26810</v>
      </c>
      <c r="S894" s="39">
        <v>13390</v>
      </c>
      <c r="T894" s="10" t="s">
        <v>44</v>
      </c>
      <c r="U894" s="10" t="s">
        <v>45</v>
      </c>
      <c r="V894" s="10">
        <v>0</v>
      </c>
      <c r="W894" s="25">
        <f>Table1[[#This Row],[STAB]]-Table1[[#This Row],[AMOUNT]]</f>
        <v>13390</v>
      </c>
      <c r="X894" s="10">
        <v>0</v>
      </c>
      <c r="Y894" s="10" t="s">
        <v>79</v>
      </c>
      <c r="Z894" s="10">
        <v>0</v>
      </c>
      <c r="AA894" s="10" t="s">
        <v>162</v>
      </c>
      <c r="AB894" s="10" t="s">
        <v>735</v>
      </c>
      <c r="AC894" s="10"/>
      <c r="AD894" s="9" t="s">
        <v>5995</v>
      </c>
      <c r="AE894" s="10" t="s">
        <v>6066</v>
      </c>
      <c r="AF894" s="10" t="s">
        <v>85</v>
      </c>
      <c r="AG894" s="10" t="s">
        <v>54</v>
      </c>
      <c r="AH894" s="10" t="s">
        <v>89</v>
      </c>
      <c r="AI894" s="10" t="s">
        <v>106</v>
      </c>
      <c r="AJ894" s="10">
        <v>802370852</v>
      </c>
      <c r="AK894" s="10" t="s">
        <v>105</v>
      </c>
      <c r="AL894" s="10"/>
      <c r="AM894" s="10"/>
      <c r="AN894" s="11" t="s">
        <v>46</v>
      </c>
      <c r="AO894" s="10"/>
      <c r="AP894" s="10"/>
      <c r="AQ894" s="10"/>
      <c r="AR894" s="2">
        <v>45482</v>
      </c>
      <c r="AS894" s="10">
        <v>73395.48</v>
      </c>
      <c r="AT894" s="10" t="s">
        <v>96</v>
      </c>
      <c r="AU894" s="10" t="s">
        <v>5730</v>
      </c>
      <c r="AV894" s="36" t="s">
        <v>6137</v>
      </c>
      <c r="AW894" s="1">
        <v>46212</v>
      </c>
    </row>
    <row r="895" spans="1:49" x14ac:dyDescent="0.25">
      <c r="A895" s="9" t="s">
        <v>5786</v>
      </c>
      <c r="B895" s="10" t="s">
        <v>5855</v>
      </c>
      <c r="C895" s="10">
        <v>0</v>
      </c>
      <c r="D895" s="10" t="s">
        <v>91</v>
      </c>
      <c r="E895" s="10"/>
      <c r="F895" s="10"/>
      <c r="G895" s="10"/>
      <c r="H895" s="10" t="s">
        <v>52</v>
      </c>
      <c r="I895" s="10">
        <v>21</v>
      </c>
      <c r="J895" s="10" t="s">
        <v>5925</v>
      </c>
      <c r="K895" s="10" t="s">
        <v>42</v>
      </c>
      <c r="L895" s="10">
        <f>Table1[[#This Row],[ENR]]-Table1[[#This Row],[CREDIT]]</f>
        <v>6997.4499999999971</v>
      </c>
      <c r="M895" s="36">
        <v>60000</v>
      </c>
      <c r="N895" s="26">
        <v>66997.45</v>
      </c>
      <c r="O895" s="38" t="s">
        <v>43</v>
      </c>
      <c r="P895" s="25">
        <v>66997.45</v>
      </c>
      <c r="Q895" s="25">
        <v>59995.14</v>
      </c>
      <c r="R895" s="10">
        <v>17350</v>
      </c>
      <c r="S895" s="39">
        <v>6040</v>
      </c>
      <c r="T895" s="10" t="s">
        <v>44</v>
      </c>
      <c r="U895" s="10" t="s">
        <v>45</v>
      </c>
      <c r="V895" s="10">
        <v>0</v>
      </c>
      <c r="W895" s="25">
        <f>Table1[[#This Row],[STAB]]-Table1[[#This Row],[AMOUNT]]</f>
        <v>6040</v>
      </c>
      <c r="X895" s="10">
        <v>0</v>
      </c>
      <c r="Y895" s="10" t="s">
        <v>79</v>
      </c>
      <c r="Z895" s="10">
        <v>0</v>
      </c>
      <c r="AA895" s="10" t="s">
        <v>162</v>
      </c>
      <c r="AB895" s="36" t="s">
        <v>6383</v>
      </c>
      <c r="AC895" s="10"/>
      <c r="AD895" s="9" t="s">
        <v>5996</v>
      </c>
      <c r="AE895" s="10" t="s">
        <v>6067</v>
      </c>
      <c r="AF895" s="10" t="s">
        <v>272</v>
      </c>
      <c r="AG895" s="10" t="s">
        <v>54</v>
      </c>
      <c r="AH895" s="10" t="s">
        <v>114</v>
      </c>
      <c r="AI895" s="10" t="s">
        <v>726</v>
      </c>
      <c r="AJ895" s="10">
        <v>801772792</v>
      </c>
      <c r="AK895" s="10" t="s">
        <v>105</v>
      </c>
      <c r="AL895" s="10"/>
      <c r="AM895" s="10"/>
      <c r="AN895" s="11" t="s">
        <v>390</v>
      </c>
      <c r="AO895" s="10" t="s">
        <v>398</v>
      </c>
      <c r="AP895" s="10" t="s">
        <v>6404</v>
      </c>
      <c r="AQ895" s="10" t="s">
        <v>6399</v>
      </c>
      <c r="AR895" s="2">
        <v>46122</v>
      </c>
      <c r="AS895" s="10">
        <v>24740</v>
      </c>
      <c r="AT895" s="10" t="s">
        <v>690</v>
      </c>
      <c r="AU895" s="10" t="s">
        <v>5730</v>
      </c>
      <c r="AV895" s="36" t="s">
        <v>6138</v>
      </c>
      <c r="AW895" s="1">
        <v>46212</v>
      </c>
    </row>
    <row r="896" spans="1:49" x14ac:dyDescent="0.25">
      <c r="A896" s="9" t="s">
        <v>5787</v>
      </c>
      <c r="B896" s="10" t="s">
        <v>5856</v>
      </c>
      <c r="C896" s="10">
        <v>0</v>
      </c>
      <c r="D896" s="10" t="s">
        <v>91</v>
      </c>
      <c r="E896" s="10"/>
      <c r="F896" s="10"/>
      <c r="G896" s="10"/>
      <c r="H896" s="10" t="s">
        <v>52</v>
      </c>
      <c r="I896" s="10">
        <v>21</v>
      </c>
      <c r="J896" s="10" t="s">
        <v>5926</v>
      </c>
      <c r="K896" s="10" t="s">
        <v>42</v>
      </c>
      <c r="L896" s="10">
        <f>Table1[[#This Row],[ENR]]-Table1[[#This Row],[CREDIT]]</f>
        <v>99157.37</v>
      </c>
      <c r="M896" s="36">
        <v>210000</v>
      </c>
      <c r="N896" s="26">
        <v>309157.37</v>
      </c>
      <c r="O896" s="38">
        <v>80002.13</v>
      </c>
      <c r="P896" s="25">
        <v>229155.24</v>
      </c>
      <c r="Q896" s="25">
        <v>217458.55</v>
      </c>
      <c r="R896" s="10">
        <v>60720</v>
      </c>
      <c r="S896" s="39">
        <v>42310</v>
      </c>
      <c r="T896" s="10" t="s">
        <v>44</v>
      </c>
      <c r="U896" s="10" t="s">
        <v>45</v>
      </c>
      <c r="V896" s="10">
        <v>0</v>
      </c>
      <c r="W896" s="25">
        <f>Table1[[#This Row],[STAB]]-Table1[[#This Row],[AMOUNT]]</f>
        <v>42310</v>
      </c>
      <c r="X896" s="10">
        <v>0</v>
      </c>
      <c r="Y896" s="10" t="s">
        <v>79</v>
      </c>
      <c r="Z896" s="10">
        <v>0</v>
      </c>
      <c r="AA896" s="10" t="s">
        <v>162</v>
      </c>
      <c r="AB896" s="36" t="s">
        <v>734</v>
      </c>
      <c r="AC896" s="10"/>
      <c r="AD896" s="9" t="s">
        <v>5997</v>
      </c>
      <c r="AE896" s="10" t="s">
        <v>6068</v>
      </c>
      <c r="AF896" s="10" t="s">
        <v>284</v>
      </c>
      <c r="AG896" s="10" t="s">
        <v>324</v>
      </c>
      <c r="AH896" s="10" t="s">
        <v>355</v>
      </c>
      <c r="AI896" s="10" t="s">
        <v>372</v>
      </c>
      <c r="AJ896" s="10">
        <v>801597759</v>
      </c>
      <c r="AK896" s="10" t="s">
        <v>362</v>
      </c>
      <c r="AL896" s="10"/>
      <c r="AM896" s="10"/>
      <c r="AN896" s="11" t="s">
        <v>46</v>
      </c>
      <c r="AO896" s="10"/>
      <c r="AP896" s="10"/>
      <c r="AQ896" s="10"/>
      <c r="AR896" s="2">
        <v>45939</v>
      </c>
      <c r="AS896" s="10">
        <v>60000</v>
      </c>
      <c r="AT896" s="10" t="s">
        <v>48</v>
      </c>
      <c r="AU896" s="10" t="s">
        <v>5730</v>
      </c>
      <c r="AV896" s="36" t="s">
        <v>6139</v>
      </c>
      <c r="AW896" s="1">
        <v>46212</v>
      </c>
    </row>
    <row r="897" spans="1:49" x14ac:dyDescent="0.25">
      <c r="A897" s="9" t="s">
        <v>5788</v>
      </c>
      <c r="B897" s="10" t="s">
        <v>5857</v>
      </c>
      <c r="C897" s="10">
        <v>0</v>
      </c>
      <c r="D897" s="10" t="s">
        <v>95</v>
      </c>
      <c r="E897" s="10"/>
      <c r="F897" s="10"/>
      <c r="G897" s="10"/>
      <c r="H897" s="10" t="s">
        <v>52</v>
      </c>
      <c r="I897" s="10">
        <v>21</v>
      </c>
      <c r="J897" s="10" t="s">
        <v>5927</v>
      </c>
      <c r="K897" s="10" t="s">
        <v>42</v>
      </c>
      <c r="L897" s="10">
        <f>Table1[[#This Row],[ENR]]-Table1[[#This Row],[CREDIT]]</f>
        <v>65122.95</v>
      </c>
      <c r="M897" s="36">
        <v>32000</v>
      </c>
      <c r="N897" s="26">
        <v>97122.95</v>
      </c>
      <c r="O897" s="38">
        <v>26808.6</v>
      </c>
      <c r="P897" s="25">
        <v>70314.350000000006</v>
      </c>
      <c r="Q897" s="25">
        <v>60510.400000000001</v>
      </c>
      <c r="R897" s="10">
        <v>53260</v>
      </c>
      <c r="S897" s="39">
        <v>38400</v>
      </c>
      <c r="T897" s="10" t="s">
        <v>44</v>
      </c>
      <c r="U897" s="10" t="s">
        <v>45</v>
      </c>
      <c r="V897" s="10">
        <v>0</v>
      </c>
      <c r="W897" s="25">
        <f>Table1[[#This Row],[STAB]]-Table1[[#This Row],[AMOUNT]]</f>
        <v>38400</v>
      </c>
      <c r="X897" s="10">
        <v>0</v>
      </c>
      <c r="Y897" s="10" t="s">
        <v>79</v>
      </c>
      <c r="Z897" s="10">
        <v>0</v>
      </c>
      <c r="AA897" s="10" t="s">
        <v>162</v>
      </c>
      <c r="AB897" s="36" t="s">
        <v>737</v>
      </c>
      <c r="AC897" s="10"/>
      <c r="AD897" s="9" t="s">
        <v>5998</v>
      </c>
      <c r="AE897" s="10" t="s">
        <v>6069</v>
      </c>
      <c r="AF897" s="10" t="s">
        <v>272</v>
      </c>
      <c r="AG897" s="10" t="s">
        <v>54</v>
      </c>
      <c r="AH897" s="10" t="s">
        <v>58</v>
      </c>
      <c r="AI897" s="10" t="s">
        <v>133</v>
      </c>
      <c r="AJ897" s="10">
        <v>802555024</v>
      </c>
      <c r="AK897" s="10" t="s">
        <v>362</v>
      </c>
      <c r="AL897" s="10"/>
      <c r="AM897" s="10"/>
      <c r="AN897" s="11" t="s">
        <v>46</v>
      </c>
      <c r="AO897" s="10"/>
      <c r="AP897" s="10"/>
      <c r="AQ897" s="10"/>
      <c r="AR897" s="2">
        <v>45784</v>
      </c>
      <c r="AS897" s="10">
        <v>16000</v>
      </c>
      <c r="AT897" s="10" t="s">
        <v>690</v>
      </c>
      <c r="AU897" s="10" t="s">
        <v>5730</v>
      </c>
      <c r="AV897" s="36" t="s">
        <v>6140</v>
      </c>
      <c r="AW897" s="1">
        <v>46212</v>
      </c>
    </row>
    <row r="898" spans="1:49" x14ac:dyDescent="0.25">
      <c r="A898" s="9" t="s">
        <v>5789</v>
      </c>
      <c r="B898" s="10" t="s">
        <v>5858</v>
      </c>
      <c r="C898" s="10" t="s">
        <v>97</v>
      </c>
      <c r="D898" s="10" t="s">
        <v>91</v>
      </c>
      <c r="E898" s="10"/>
      <c r="F898" s="10"/>
      <c r="G898" s="10"/>
      <c r="H898" s="10" t="s">
        <v>52</v>
      </c>
      <c r="I898" s="10">
        <v>21</v>
      </c>
      <c r="J898" s="10" t="s">
        <v>5928</v>
      </c>
      <c r="K898" s="10" t="s">
        <v>42</v>
      </c>
      <c r="L898" s="10">
        <f>Table1[[#This Row],[ENR]]-Table1[[#This Row],[CREDIT]]</f>
        <v>16998.75</v>
      </c>
      <c r="M898" s="36">
        <v>220000</v>
      </c>
      <c r="N898" s="26">
        <v>236998.75</v>
      </c>
      <c r="O898" s="38">
        <v>188733.15</v>
      </c>
      <c r="P898" s="25">
        <v>48265.599999999999</v>
      </c>
      <c r="Q898" s="25">
        <v>31713.85</v>
      </c>
      <c r="R898" s="10">
        <v>48265.599999999999</v>
      </c>
      <c r="S898" s="39">
        <v>19045.93</v>
      </c>
      <c r="T898" s="10" t="s">
        <v>44</v>
      </c>
      <c r="U898" s="10" t="s">
        <v>45</v>
      </c>
      <c r="V898" s="10">
        <v>0</v>
      </c>
      <c r="W898" s="25">
        <f>Table1[[#This Row],[STAB]]-Table1[[#This Row],[AMOUNT]]</f>
        <v>19045.93</v>
      </c>
      <c r="X898" s="10">
        <v>0</v>
      </c>
      <c r="Y898" s="10" t="s">
        <v>79</v>
      </c>
      <c r="Z898" s="10">
        <v>0</v>
      </c>
      <c r="AA898" s="10" t="s">
        <v>162</v>
      </c>
      <c r="AB898" s="36" t="s">
        <v>734</v>
      </c>
      <c r="AC898" s="10"/>
      <c r="AD898" s="9" t="s">
        <v>5999</v>
      </c>
      <c r="AE898" s="10" t="s">
        <v>6070</v>
      </c>
      <c r="AF898" s="10" t="s">
        <v>85</v>
      </c>
      <c r="AG898" s="10" t="s">
        <v>54</v>
      </c>
      <c r="AH898" s="10" t="s">
        <v>93</v>
      </c>
      <c r="AI898" s="10" t="s">
        <v>364</v>
      </c>
      <c r="AJ898" s="10">
        <v>802663344</v>
      </c>
      <c r="AK898" s="10" t="s">
        <v>105</v>
      </c>
      <c r="AL898" s="10"/>
      <c r="AM898" s="10"/>
      <c r="AN898" s="11" t="s">
        <v>390</v>
      </c>
      <c r="AO898" s="10" t="s">
        <v>392</v>
      </c>
      <c r="AP898" s="10" t="s">
        <v>6343</v>
      </c>
      <c r="AQ898" s="10" t="s">
        <v>4976</v>
      </c>
      <c r="AR898" s="2">
        <v>46126</v>
      </c>
      <c r="AS898" s="10">
        <v>19000</v>
      </c>
      <c r="AT898" s="10" t="s">
        <v>690</v>
      </c>
      <c r="AU898" s="10" t="s">
        <v>5730</v>
      </c>
      <c r="AV898" s="36" t="s">
        <v>6141</v>
      </c>
      <c r="AW898" s="1">
        <v>46212</v>
      </c>
    </row>
    <row r="899" spans="1:49" x14ac:dyDescent="0.25">
      <c r="A899" s="9" t="s">
        <v>5790</v>
      </c>
      <c r="B899" s="10" t="s">
        <v>5859</v>
      </c>
      <c r="C899" s="10">
        <v>0</v>
      </c>
      <c r="D899" s="10" t="s">
        <v>91</v>
      </c>
      <c r="E899" s="10">
        <v>1</v>
      </c>
      <c r="F899" s="10"/>
      <c r="G899" s="10"/>
      <c r="H899" s="10" t="s">
        <v>52</v>
      </c>
      <c r="I899" s="10">
        <v>21</v>
      </c>
      <c r="J899" s="10" t="s">
        <v>5929</v>
      </c>
      <c r="K899" s="10" t="s">
        <v>42</v>
      </c>
      <c r="L899" s="10">
        <f>Table1[[#This Row],[ENR]]-Table1[[#This Row],[CREDIT]]</f>
        <v>58073.91</v>
      </c>
      <c r="M899" s="36">
        <v>190000</v>
      </c>
      <c r="N899" s="26">
        <v>248073.91</v>
      </c>
      <c r="O899" s="38">
        <v>38054.76</v>
      </c>
      <c r="P899" s="25">
        <v>210019.15</v>
      </c>
      <c r="Q899" s="25">
        <v>198324.52</v>
      </c>
      <c r="R899" s="10">
        <v>63810</v>
      </c>
      <c r="S899" s="39">
        <v>45810</v>
      </c>
      <c r="T899" s="10" t="s">
        <v>44</v>
      </c>
      <c r="U899" s="10" t="s">
        <v>45</v>
      </c>
      <c r="V899" s="10">
        <v>0</v>
      </c>
      <c r="W899" s="25">
        <f>Table1[[#This Row],[STAB]]-Table1[[#This Row],[AMOUNT]]</f>
        <v>45810</v>
      </c>
      <c r="X899" s="10">
        <v>0</v>
      </c>
      <c r="Y899" s="10" t="s">
        <v>79</v>
      </c>
      <c r="Z899" s="10">
        <v>0</v>
      </c>
      <c r="AA899" s="10" t="s">
        <v>162</v>
      </c>
      <c r="AB899" s="36" t="s">
        <v>734</v>
      </c>
      <c r="AC899" s="10"/>
      <c r="AD899" s="9" t="s">
        <v>6000</v>
      </c>
      <c r="AE899" s="10" t="s">
        <v>6071</v>
      </c>
      <c r="AF899" s="10" t="s">
        <v>272</v>
      </c>
      <c r="AG899" s="10" t="s">
        <v>54</v>
      </c>
      <c r="AH899" s="10" t="s">
        <v>114</v>
      </c>
      <c r="AI899" s="10" t="s">
        <v>726</v>
      </c>
      <c r="AJ899" s="10">
        <v>801772792</v>
      </c>
      <c r="AK899" s="10" t="s">
        <v>105</v>
      </c>
      <c r="AL899" s="10"/>
      <c r="AM899" s="10"/>
      <c r="AN899" s="11" t="s">
        <v>390</v>
      </c>
      <c r="AO899" s="10" t="s">
        <v>392</v>
      </c>
      <c r="AP899" s="10" t="s">
        <v>6347</v>
      </c>
      <c r="AQ899" s="10" t="s">
        <v>4976</v>
      </c>
      <c r="AR899" s="2">
        <v>45939</v>
      </c>
      <c r="AS899" s="10">
        <v>191500</v>
      </c>
      <c r="AT899" s="10" t="s">
        <v>690</v>
      </c>
      <c r="AU899" s="10" t="s">
        <v>5730</v>
      </c>
      <c r="AV899" s="36" t="s">
        <v>6142</v>
      </c>
      <c r="AW899" s="1">
        <v>46212</v>
      </c>
    </row>
    <row r="900" spans="1:49" x14ac:dyDescent="0.25">
      <c r="A900" s="9" t="s">
        <v>5791</v>
      </c>
      <c r="B900" s="10" t="s">
        <v>5860</v>
      </c>
      <c r="C900" s="10">
        <v>0</v>
      </c>
      <c r="D900" s="10" t="s">
        <v>91</v>
      </c>
      <c r="E900" s="10"/>
      <c r="F900" s="10"/>
      <c r="G900" s="10"/>
      <c r="H900" s="10" t="s">
        <v>52</v>
      </c>
      <c r="I900" s="10">
        <v>21</v>
      </c>
      <c r="J900" s="10" t="s">
        <v>5930</v>
      </c>
      <c r="K900" s="10" t="s">
        <v>42</v>
      </c>
      <c r="L900" s="10">
        <f>Table1[[#This Row],[ENR]]-Table1[[#This Row],[CREDIT]]</f>
        <v>4946.8300000000017</v>
      </c>
      <c r="M900" s="36">
        <v>80000</v>
      </c>
      <c r="N900" s="26">
        <v>84946.83</v>
      </c>
      <c r="O900" s="38">
        <v>39609.410000000003</v>
      </c>
      <c r="P900" s="25">
        <v>45337.42</v>
      </c>
      <c r="Q900" s="25">
        <v>38365.53</v>
      </c>
      <c r="R900" s="10">
        <v>22810</v>
      </c>
      <c r="S900" s="39">
        <v>11410</v>
      </c>
      <c r="T900" s="10" t="s">
        <v>44</v>
      </c>
      <c r="U900" s="10" t="s">
        <v>45</v>
      </c>
      <c r="V900" s="10">
        <v>0</v>
      </c>
      <c r="W900" s="25">
        <f>Table1[[#This Row],[STAB]]-Table1[[#This Row],[AMOUNT]]</f>
        <v>11410</v>
      </c>
      <c r="X900" s="10">
        <v>0</v>
      </c>
      <c r="Y900" s="10" t="s">
        <v>79</v>
      </c>
      <c r="Z900" s="10">
        <v>0</v>
      </c>
      <c r="AA900" s="10" t="s">
        <v>162</v>
      </c>
      <c r="AB900" s="36" t="s">
        <v>6383</v>
      </c>
      <c r="AC900" s="10"/>
      <c r="AD900" s="9" t="s">
        <v>6001</v>
      </c>
      <c r="AE900" s="10" t="s">
        <v>6072</v>
      </c>
      <c r="AF900" s="10" t="s">
        <v>1102</v>
      </c>
      <c r="AG900" s="10" t="s">
        <v>54</v>
      </c>
      <c r="AH900" s="10" t="s">
        <v>99</v>
      </c>
      <c r="AI900" s="10" t="s">
        <v>363</v>
      </c>
      <c r="AJ900" s="10">
        <v>802913252</v>
      </c>
      <c r="AK900" s="10" t="s">
        <v>104</v>
      </c>
      <c r="AL900" s="10"/>
      <c r="AM900" s="10"/>
      <c r="AN900" s="11" t="s">
        <v>46</v>
      </c>
      <c r="AO900" s="10"/>
      <c r="AP900" s="10"/>
      <c r="AQ900" s="10"/>
      <c r="AR900" s="2">
        <v>45454</v>
      </c>
      <c r="AS900" s="10">
        <v>5610</v>
      </c>
      <c r="AT900" s="10" t="s">
        <v>48</v>
      </c>
      <c r="AU900" s="10" t="s">
        <v>5730</v>
      </c>
      <c r="AV900" s="36" t="s">
        <v>6143</v>
      </c>
      <c r="AW900" s="1">
        <v>46212</v>
      </c>
    </row>
    <row r="901" spans="1:49" x14ac:dyDescent="0.25">
      <c r="A901" s="9" t="s">
        <v>5792</v>
      </c>
      <c r="B901" s="10" t="s">
        <v>5861</v>
      </c>
      <c r="C901" s="10">
        <v>0</v>
      </c>
      <c r="D901" s="10" t="s">
        <v>91</v>
      </c>
      <c r="E901" s="10"/>
      <c r="F901" s="10"/>
      <c r="G901" s="10"/>
      <c r="H901" s="10" t="s">
        <v>52</v>
      </c>
      <c r="I901" s="10">
        <v>21</v>
      </c>
      <c r="J901" s="10" t="s">
        <v>5931</v>
      </c>
      <c r="K901" s="10" t="s">
        <v>42</v>
      </c>
      <c r="L901" s="10">
        <f>Table1[[#This Row],[ENR]]-Table1[[#This Row],[CREDIT]]</f>
        <v>10354.100000000006</v>
      </c>
      <c r="M901" s="36">
        <v>70000</v>
      </c>
      <c r="N901" s="26">
        <v>80354.100000000006</v>
      </c>
      <c r="O901" s="38" t="s">
        <v>43</v>
      </c>
      <c r="P901" s="25">
        <v>80354.100000000006</v>
      </c>
      <c r="Q901" s="25">
        <v>70038.8</v>
      </c>
      <c r="R901" s="10">
        <v>26750</v>
      </c>
      <c r="S901" s="39">
        <v>12980</v>
      </c>
      <c r="T901" s="10" t="s">
        <v>44</v>
      </c>
      <c r="U901" s="10" t="s">
        <v>45</v>
      </c>
      <c r="V901" s="10">
        <v>0</v>
      </c>
      <c r="W901" s="25">
        <f>Table1[[#This Row],[STAB]]-Table1[[#This Row],[AMOUNT]]</f>
        <v>12980</v>
      </c>
      <c r="X901" s="10">
        <v>0</v>
      </c>
      <c r="Y901" s="10" t="s">
        <v>79</v>
      </c>
      <c r="Z901" s="10">
        <v>0</v>
      </c>
      <c r="AA901" s="10" t="s">
        <v>162</v>
      </c>
      <c r="AB901" s="36" t="s">
        <v>6383</v>
      </c>
      <c r="AC901" s="10"/>
      <c r="AD901" s="9" t="s">
        <v>6002</v>
      </c>
      <c r="AE901" s="10" t="s">
        <v>6073</v>
      </c>
      <c r="AF901" s="10" t="s">
        <v>147</v>
      </c>
      <c r="AG901" s="10" t="s">
        <v>148</v>
      </c>
      <c r="AH901" s="10" t="s">
        <v>60</v>
      </c>
      <c r="AI901" s="10" t="s">
        <v>366</v>
      </c>
      <c r="AJ901" s="10">
        <v>802789320</v>
      </c>
      <c r="AK901" s="10" t="s">
        <v>104</v>
      </c>
      <c r="AL901" s="10"/>
      <c r="AM901" s="10"/>
      <c r="AN901" s="11" t="s">
        <v>46</v>
      </c>
      <c r="AO901" s="10"/>
      <c r="AP901" s="10"/>
      <c r="AQ901" s="10"/>
      <c r="AR901" s="2">
        <v>45503</v>
      </c>
      <c r="AS901" s="10">
        <v>3400</v>
      </c>
      <c r="AT901" s="10" t="s">
        <v>292</v>
      </c>
      <c r="AU901" s="10" t="s">
        <v>5730</v>
      </c>
      <c r="AV901" s="36" t="s">
        <v>6144</v>
      </c>
      <c r="AW901" s="1">
        <v>46212</v>
      </c>
    </row>
    <row r="902" spans="1:49" x14ac:dyDescent="0.25">
      <c r="A902" s="9" t="s">
        <v>5793</v>
      </c>
      <c r="B902" s="10" t="s">
        <v>5862</v>
      </c>
      <c r="C902" s="10">
        <v>0</v>
      </c>
      <c r="D902" s="10" t="s">
        <v>91</v>
      </c>
      <c r="E902" s="10"/>
      <c r="F902" s="10"/>
      <c r="G902" s="10"/>
      <c r="H902" s="10" t="s">
        <v>52</v>
      </c>
      <c r="I902" s="10">
        <v>21</v>
      </c>
      <c r="J902" s="10" t="s">
        <v>5932</v>
      </c>
      <c r="K902" s="10" t="s">
        <v>42</v>
      </c>
      <c r="L902" s="10">
        <f>Table1[[#This Row],[ENR]]-Table1[[#This Row],[CREDIT]]</f>
        <v>10227.339999999997</v>
      </c>
      <c r="M902" s="36">
        <v>80000</v>
      </c>
      <c r="N902" s="26">
        <v>90227.34</v>
      </c>
      <c r="O902" s="38" t="s">
        <v>43</v>
      </c>
      <c r="P902" s="25">
        <v>90227.34</v>
      </c>
      <c r="Q902" s="25">
        <v>79866.09</v>
      </c>
      <c r="R902" s="10">
        <v>28940</v>
      </c>
      <c r="S902" s="39">
        <v>13640</v>
      </c>
      <c r="T902" s="10" t="s">
        <v>44</v>
      </c>
      <c r="U902" s="10" t="s">
        <v>45</v>
      </c>
      <c r="V902" s="10">
        <v>0</v>
      </c>
      <c r="W902" s="25">
        <f>Table1[[#This Row],[STAB]]-Table1[[#This Row],[AMOUNT]]</f>
        <v>13640</v>
      </c>
      <c r="X902" s="10">
        <v>0</v>
      </c>
      <c r="Y902" s="10" t="s">
        <v>79</v>
      </c>
      <c r="Z902" s="10">
        <v>0</v>
      </c>
      <c r="AA902" s="10" t="s">
        <v>162</v>
      </c>
      <c r="AB902" s="36" t="s">
        <v>6383</v>
      </c>
      <c r="AC902" s="10"/>
      <c r="AD902" s="9" t="s">
        <v>6003</v>
      </c>
      <c r="AE902" s="10" t="s">
        <v>6074</v>
      </c>
      <c r="AF902" s="10" t="s">
        <v>287</v>
      </c>
      <c r="AG902" s="10" t="s">
        <v>324</v>
      </c>
      <c r="AH902" s="10" t="s">
        <v>56</v>
      </c>
      <c r="AI902" s="10" t="s">
        <v>370</v>
      </c>
      <c r="AJ902" s="10">
        <v>801448854</v>
      </c>
      <c r="AK902" s="10" t="s">
        <v>105</v>
      </c>
      <c r="AL902" s="10"/>
      <c r="AM902" s="10"/>
      <c r="AN902" s="11" t="s">
        <v>46</v>
      </c>
      <c r="AO902" s="10"/>
      <c r="AP902" s="10"/>
      <c r="AQ902" s="10"/>
      <c r="AR902" s="2">
        <v>45475</v>
      </c>
      <c r="AS902" s="10">
        <v>5100</v>
      </c>
      <c r="AT902" s="10" t="s">
        <v>690</v>
      </c>
      <c r="AU902" s="10" t="s">
        <v>5730</v>
      </c>
      <c r="AV902" s="36" t="s">
        <v>6145</v>
      </c>
      <c r="AW902" s="1">
        <v>46212</v>
      </c>
    </row>
    <row r="903" spans="1:49" x14ac:dyDescent="0.25">
      <c r="A903" s="9" t="s">
        <v>5794</v>
      </c>
      <c r="B903" s="10" t="s">
        <v>5863</v>
      </c>
      <c r="C903" s="10">
        <v>0</v>
      </c>
      <c r="D903" s="10" t="s">
        <v>91</v>
      </c>
      <c r="E903" s="10"/>
      <c r="F903" s="10"/>
      <c r="G903" s="10"/>
      <c r="H903" s="10" t="s">
        <v>52</v>
      </c>
      <c r="I903" s="10">
        <v>21</v>
      </c>
      <c r="J903" s="10" t="s">
        <v>5933</v>
      </c>
      <c r="K903" s="10" t="s">
        <v>42</v>
      </c>
      <c r="L903" s="10">
        <f>Table1[[#This Row],[ENR]]-Table1[[#This Row],[CREDIT]]</f>
        <v>12534.580000000002</v>
      </c>
      <c r="M903" s="36">
        <v>110000</v>
      </c>
      <c r="N903" s="26">
        <v>122534.58</v>
      </c>
      <c r="O903" s="38" t="s">
        <v>43</v>
      </c>
      <c r="P903" s="25">
        <v>122534.58</v>
      </c>
      <c r="Q903" s="25">
        <v>108410</v>
      </c>
      <c r="R903" s="10">
        <v>32540</v>
      </c>
      <c r="S903" s="39">
        <v>14560</v>
      </c>
      <c r="T903" s="10" t="s">
        <v>57</v>
      </c>
      <c r="U903" s="10" t="s">
        <v>14</v>
      </c>
      <c r="V903" s="10">
        <v>14560</v>
      </c>
      <c r="W903" s="25">
        <f>Table1[[#This Row],[STAB]]-Table1[[#This Row],[AMOUNT]]</f>
        <v>0</v>
      </c>
      <c r="X903" s="10" t="s">
        <v>6364</v>
      </c>
      <c r="Y903" s="10" t="s">
        <v>402</v>
      </c>
      <c r="Z903" s="10" t="s">
        <v>403</v>
      </c>
      <c r="AA903" s="10" t="s">
        <v>162</v>
      </c>
      <c r="AB903" s="36" t="s">
        <v>734</v>
      </c>
      <c r="AC903" s="10"/>
      <c r="AD903" s="9" t="s">
        <v>6004</v>
      </c>
      <c r="AE903" s="10" t="s">
        <v>6075</v>
      </c>
      <c r="AF903" s="10" t="s">
        <v>274</v>
      </c>
      <c r="AG903" s="10" t="s">
        <v>53</v>
      </c>
      <c r="AH903" s="10" t="s">
        <v>55</v>
      </c>
      <c r="AI903" s="10" t="s">
        <v>365</v>
      </c>
      <c r="AJ903" s="10">
        <v>802824019</v>
      </c>
      <c r="AK903" s="10" t="s">
        <v>360</v>
      </c>
      <c r="AL903" s="10"/>
      <c r="AM903" s="10"/>
      <c r="AN903" s="11" t="s">
        <v>390</v>
      </c>
      <c r="AO903" s="10"/>
      <c r="AP903" s="10"/>
      <c r="AQ903" s="10"/>
      <c r="AR903" s="2">
        <v>46073</v>
      </c>
      <c r="AS903" s="10">
        <v>13451</v>
      </c>
      <c r="AT903" s="10" t="s">
        <v>690</v>
      </c>
      <c r="AU903" s="10" t="s">
        <v>5730</v>
      </c>
      <c r="AV903" s="36" t="s">
        <v>6146</v>
      </c>
      <c r="AW903" s="1">
        <v>46212</v>
      </c>
    </row>
    <row r="904" spans="1:49" x14ac:dyDescent="0.25">
      <c r="A904" s="9" t="s">
        <v>5795</v>
      </c>
      <c r="B904" s="10" t="s">
        <v>5864</v>
      </c>
      <c r="C904" s="10">
        <v>0</v>
      </c>
      <c r="D904" s="10" t="s">
        <v>95</v>
      </c>
      <c r="E904" s="10">
        <v>1</v>
      </c>
      <c r="F904" s="10"/>
      <c r="G904" s="10"/>
      <c r="H904" s="10" t="s">
        <v>52</v>
      </c>
      <c r="I904" s="10">
        <v>21</v>
      </c>
      <c r="J904" s="10" t="s">
        <v>5934</v>
      </c>
      <c r="K904" s="10" t="s">
        <v>42</v>
      </c>
      <c r="L904" s="10">
        <f>Table1[[#This Row],[ENR]]-Table1[[#This Row],[CREDIT]]</f>
        <v>161103.78000000003</v>
      </c>
      <c r="M904" s="36">
        <v>230000</v>
      </c>
      <c r="N904" s="26">
        <v>391103.78</v>
      </c>
      <c r="O904" s="38">
        <v>157560.35</v>
      </c>
      <c r="P904" s="25">
        <v>233543.43</v>
      </c>
      <c r="Q904" s="25">
        <v>214859.68</v>
      </c>
      <c r="R904" s="10">
        <v>80520</v>
      </c>
      <c r="S904" s="39">
        <v>31240</v>
      </c>
      <c r="T904" s="10" t="s">
        <v>44</v>
      </c>
      <c r="U904" s="10" t="s">
        <v>45</v>
      </c>
      <c r="V904" s="10">
        <v>0</v>
      </c>
      <c r="W904" s="25">
        <f>Table1[[#This Row],[STAB]]-Table1[[#This Row],[AMOUNT]]</f>
        <v>31240</v>
      </c>
      <c r="X904" s="10">
        <v>0</v>
      </c>
      <c r="Y904" s="10" t="s">
        <v>79</v>
      </c>
      <c r="Z904" s="10">
        <v>0</v>
      </c>
      <c r="AA904" s="10" t="s">
        <v>162</v>
      </c>
      <c r="AB904" s="36" t="s">
        <v>737</v>
      </c>
      <c r="AC904" s="10"/>
      <c r="AD904" s="9" t="s">
        <v>6005</v>
      </c>
      <c r="AE904" s="10" t="s">
        <v>6076</v>
      </c>
      <c r="AF904" s="10" t="s">
        <v>276</v>
      </c>
      <c r="AG904" s="10" t="s">
        <v>324</v>
      </c>
      <c r="AH904" s="10" t="s">
        <v>354</v>
      </c>
      <c r="AI904" s="10" t="s">
        <v>367</v>
      </c>
      <c r="AJ904" s="10">
        <v>801436997</v>
      </c>
      <c r="AK904" s="10" t="s">
        <v>104</v>
      </c>
      <c r="AL904" s="10"/>
      <c r="AM904" s="10"/>
      <c r="AN904" s="11" t="s">
        <v>46</v>
      </c>
      <c r="AO904" s="10"/>
      <c r="AP904" s="10"/>
      <c r="AQ904" s="10"/>
      <c r="AR904" s="2">
        <v>45906</v>
      </c>
      <c r="AS904" s="10">
        <v>10000</v>
      </c>
      <c r="AT904" s="10" t="s">
        <v>690</v>
      </c>
      <c r="AU904" s="10" t="s">
        <v>5730</v>
      </c>
      <c r="AV904" s="36" t="s">
        <v>6147</v>
      </c>
      <c r="AW904" s="1">
        <v>46212</v>
      </c>
    </row>
    <row r="905" spans="1:49" x14ac:dyDescent="0.25">
      <c r="A905" s="9" t="s">
        <v>5796</v>
      </c>
      <c r="B905" s="10" t="s">
        <v>5865</v>
      </c>
      <c r="C905" s="10">
        <v>0</v>
      </c>
      <c r="D905" s="10" t="s">
        <v>95</v>
      </c>
      <c r="E905" s="10">
        <v>1</v>
      </c>
      <c r="F905" s="10"/>
      <c r="G905" s="10"/>
      <c r="H905" s="10" t="s">
        <v>52</v>
      </c>
      <c r="I905" s="10">
        <v>21</v>
      </c>
      <c r="J905" s="10" t="s">
        <v>5935</v>
      </c>
      <c r="K905" s="10" t="s">
        <v>42</v>
      </c>
      <c r="L905" s="10">
        <f>Table1[[#This Row],[ENR]]-Table1[[#This Row],[CREDIT]]</f>
        <v>269778.25</v>
      </c>
      <c r="M905" s="36">
        <v>150000</v>
      </c>
      <c r="N905" s="26">
        <v>419778.25</v>
      </c>
      <c r="O905" s="38">
        <v>361366.1</v>
      </c>
      <c r="P905" s="25">
        <v>58412.15</v>
      </c>
      <c r="Q905" s="25">
        <v>46279.82</v>
      </c>
      <c r="R905" s="10">
        <v>58412.15</v>
      </c>
      <c r="S905" s="39">
        <v>27955.45</v>
      </c>
      <c r="T905" s="10" t="s">
        <v>44</v>
      </c>
      <c r="U905" s="10" t="s">
        <v>45</v>
      </c>
      <c r="V905" s="10">
        <v>0</v>
      </c>
      <c r="W905" s="25">
        <f>Table1[[#This Row],[STAB]]-Table1[[#This Row],[AMOUNT]]</f>
        <v>27955.45</v>
      </c>
      <c r="X905" s="10">
        <v>0</v>
      </c>
      <c r="Y905" s="10" t="s">
        <v>79</v>
      </c>
      <c r="Z905" s="10">
        <v>0</v>
      </c>
      <c r="AA905" s="10" t="s">
        <v>162</v>
      </c>
      <c r="AB905" s="36" t="s">
        <v>737</v>
      </c>
      <c r="AC905" s="10"/>
      <c r="AD905" s="9" t="s">
        <v>6006</v>
      </c>
      <c r="AE905" s="10" t="s">
        <v>6077</v>
      </c>
      <c r="AF905" s="10" t="s">
        <v>276</v>
      </c>
      <c r="AG905" s="10" t="s">
        <v>324</v>
      </c>
      <c r="AH905" s="10" t="s">
        <v>354</v>
      </c>
      <c r="AI905" s="10" t="s">
        <v>367</v>
      </c>
      <c r="AJ905" s="10">
        <v>801436997</v>
      </c>
      <c r="AK905" s="10" t="s">
        <v>104</v>
      </c>
      <c r="AL905" s="10"/>
      <c r="AM905" s="10"/>
      <c r="AN905" s="11" t="s">
        <v>46</v>
      </c>
      <c r="AO905" s="10"/>
      <c r="AP905" s="10"/>
      <c r="AQ905" s="10"/>
      <c r="AR905" s="2">
        <v>45443</v>
      </c>
      <c r="AS905" s="10">
        <v>13000</v>
      </c>
      <c r="AT905" s="10" t="s">
        <v>690</v>
      </c>
      <c r="AU905" s="10" t="s">
        <v>5730</v>
      </c>
      <c r="AV905" s="36" t="s">
        <v>6148</v>
      </c>
      <c r="AW905" s="1">
        <v>46212</v>
      </c>
    </row>
    <row r="906" spans="1:49" x14ac:dyDescent="0.25">
      <c r="A906" s="9" t="s">
        <v>5797</v>
      </c>
      <c r="B906" s="10" t="s">
        <v>5866</v>
      </c>
      <c r="C906" s="10">
        <v>0</v>
      </c>
      <c r="D906" s="10" t="s">
        <v>91</v>
      </c>
      <c r="E906" s="10"/>
      <c r="F906" s="10"/>
      <c r="G906" s="10"/>
      <c r="H906" s="10" t="s">
        <v>52</v>
      </c>
      <c r="I906" s="10">
        <v>21</v>
      </c>
      <c r="J906" s="10" t="s">
        <v>5936</v>
      </c>
      <c r="K906" s="10" t="s">
        <v>42</v>
      </c>
      <c r="L906" s="10">
        <f>Table1[[#This Row],[ENR]]-Table1[[#This Row],[CREDIT]]</f>
        <v>323472.55</v>
      </c>
      <c r="M906" s="36">
        <v>150000</v>
      </c>
      <c r="N906" s="26">
        <v>473472.55</v>
      </c>
      <c r="O906" s="38">
        <v>297746.14</v>
      </c>
      <c r="P906" s="25">
        <v>175726.41</v>
      </c>
      <c r="Q906" s="25">
        <v>160528.98000000001</v>
      </c>
      <c r="R906" s="10">
        <v>81850</v>
      </c>
      <c r="S906" s="39">
        <v>24880</v>
      </c>
      <c r="T906" s="10" t="s">
        <v>57</v>
      </c>
      <c r="U906" s="10" t="s">
        <v>14</v>
      </c>
      <c r="V906" s="10">
        <v>24880</v>
      </c>
      <c r="W906" s="25">
        <f>Table1[[#This Row],[STAB]]-Table1[[#This Row],[AMOUNT]]</f>
        <v>0</v>
      </c>
      <c r="X906" s="10" t="s">
        <v>6399</v>
      </c>
      <c r="Y906" s="10" t="s">
        <v>402</v>
      </c>
      <c r="Z906" s="10" t="s">
        <v>403</v>
      </c>
      <c r="AA906" s="10" t="s">
        <v>162</v>
      </c>
      <c r="AB906" s="36" t="s">
        <v>736</v>
      </c>
      <c r="AC906" s="10"/>
      <c r="AD906" s="9" t="s">
        <v>6007</v>
      </c>
      <c r="AE906" s="10" t="s">
        <v>6078</v>
      </c>
      <c r="AF906" s="10" t="s">
        <v>278</v>
      </c>
      <c r="AG906" s="10" t="s">
        <v>54</v>
      </c>
      <c r="AH906" s="10" t="s">
        <v>278</v>
      </c>
      <c r="AI906" s="10" t="s">
        <v>365</v>
      </c>
      <c r="AJ906" s="10">
        <v>802824019</v>
      </c>
      <c r="AK906" s="10" t="s">
        <v>360</v>
      </c>
      <c r="AL906" s="10"/>
      <c r="AM906" s="10"/>
      <c r="AN906" s="11" t="s">
        <v>46</v>
      </c>
      <c r="AO906" s="10"/>
      <c r="AP906" s="10"/>
      <c r="AQ906" s="10"/>
      <c r="AR906" s="2">
        <v>45529</v>
      </c>
      <c r="AS906" s="10">
        <v>1700</v>
      </c>
      <c r="AT906" s="10" t="s">
        <v>690</v>
      </c>
      <c r="AU906" s="10" t="s">
        <v>5730</v>
      </c>
      <c r="AV906" s="36" t="s">
        <v>6149</v>
      </c>
      <c r="AW906" s="1">
        <v>46212</v>
      </c>
    </row>
    <row r="907" spans="1:49" x14ac:dyDescent="0.25">
      <c r="A907" s="9" t="s">
        <v>5798</v>
      </c>
      <c r="B907" s="10" t="s">
        <v>5867</v>
      </c>
      <c r="C907" s="10">
        <v>0</v>
      </c>
      <c r="D907" s="10" t="s">
        <v>91</v>
      </c>
      <c r="E907" s="10">
        <v>1</v>
      </c>
      <c r="F907" s="10"/>
      <c r="G907" s="10"/>
      <c r="H907" s="10" t="s">
        <v>52</v>
      </c>
      <c r="I907" s="10">
        <v>21</v>
      </c>
      <c r="J907" s="10" t="s">
        <v>5937</v>
      </c>
      <c r="K907" s="10" t="s">
        <v>42</v>
      </c>
      <c r="L907" s="10">
        <f>Table1[[#This Row],[ENR]]-Table1[[#This Row],[CREDIT]]</f>
        <v>89762.890000000014</v>
      </c>
      <c r="M907" s="36">
        <v>210000</v>
      </c>
      <c r="N907" s="26">
        <v>299762.89</v>
      </c>
      <c r="O907" s="38">
        <v>142160.31</v>
      </c>
      <c r="P907" s="25">
        <v>157602.57999999999</v>
      </c>
      <c r="Q907" s="25">
        <v>139291.96</v>
      </c>
      <c r="R907" s="10">
        <v>54660</v>
      </c>
      <c r="S907" s="39">
        <v>23160</v>
      </c>
      <c r="T907" s="10" t="s">
        <v>57</v>
      </c>
      <c r="U907" s="10" t="s">
        <v>14</v>
      </c>
      <c r="V907" s="10">
        <v>23200</v>
      </c>
      <c r="W907" s="25">
        <f>Table1[[#This Row],[STAB]]-Table1[[#This Row],[AMOUNT]]</f>
        <v>-40</v>
      </c>
      <c r="X907" s="10" t="s">
        <v>6364</v>
      </c>
      <c r="Y907" s="10" t="s">
        <v>402</v>
      </c>
      <c r="Z907" s="10" t="s">
        <v>403</v>
      </c>
      <c r="AA907" s="10" t="s">
        <v>162</v>
      </c>
      <c r="AB907" s="36" t="s">
        <v>736</v>
      </c>
      <c r="AC907" s="10"/>
      <c r="AD907" s="9" t="s">
        <v>6008</v>
      </c>
      <c r="AE907" s="10" t="s">
        <v>6079</v>
      </c>
      <c r="AF907" s="10" t="s">
        <v>287</v>
      </c>
      <c r="AG907" s="10" t="s">
        <v>324</v>
      </c>
      <c r="AH907" s="10" t="s">
        <v>56</v>
      </c>
      <c r="AI907" s="10" t="s">
        <v>370</v>
      </c>
      <c r="AJ907" s="10">
        <v>801448854</v>
      </c>
      <c r="AK907" s="10" t="s">
        <v>105</v>
      </c>
      <c r="AL907" s="10"/>
      <c r="AM907" s="10"/>
      <c r="AN907" s="11" t="s">
        <v>390</v>
      </c>
      <c r="AO907" s="10"/>
      <c r="AP907" s="10"/>
      <c r="AQ907" s="10"/>
      <c r="AR907" s="2">
        <v>45500</v>
      </c>
      <c r="AS907" s="10">
        <v>100</v>
      </c>
      <c r="AT907" s="10" t="s">
        <v>690</v>
      </c>
      <c r="AU907" s="10" t="s">
        <v>5730</v>
      </c>
      <c r="AV907" s="36" t="s">
        <v>6150</v>
      </c>
      <c r="AW907" s="1">
        <v>46212</v>
      </c>
    </row>
    <row r="908" spans="1:49" x14ac:dyDescent="0.25">
      <c r="A908" s="9" t="s">
        <v>5799</v>
      </c>
      <c r="B908" s="10" t="s">
        <v>5868</v>
      </c>
      <c r="C908" s="10">
        <v>0</v>
      </c>
      <c r="D908" s="10" t="s">
        <v>91</v>
      </c>
      <c r="E908" s="10"/>
      <c r="F908" s="10"/>
      <c r="G908" s="10"/>
      <c r="H908" s="10" t="s">
        <v>52</v>
      </c>
      <c r="I908" s="10">
        <v>21</v>
      </c>
      <c r="J908" s="10" t="s">
        <v>5938</v>
      </c>
      <c r="K908" s="10" t="s">
        <v>42</v>
      </c>
      <c r="L908" s="10">
        <f>Table1[[#This Row],[ENR]]-Table1[[#This Row],[CREDIT]]</f>
        <v>15556.229999999981</v>
      </c>
      <c r="M908" s="36">
        <v>330000</v>
      </c>
      <c r="N908" s="26">
        <v>345556.23</v>
      </c>
      <c r="O908" s="38">
        <v>2661.95</v>
      </c>
      <c r="P908" s="25">
        <v>342894.28</v>
      </c>
      <c r="Q908" s="25">
        <v>310609.65999999997</v>
      </c>
      <c r="R908" s="10">
        <v>66440</v>
      </c>
      <c r="S908" s="39">
        <v>21060</v>
      </c>
      <c r="T908" s="10" t="s">
        <v>44</v>
      </c>
      <c r="U908" s="10" t="s">
        <v>45</v>
      </c>
      <c r="V908" s="10">
        <v>0</v>
      </c>
      <c r="W908" s="25">
        <f>Table1[[#This Row],[STAB]]-Table1[[#This Row],[AMOUNT]]</f>
        <v>21060</v>
      </c>
      <c r="X908" s="10">
        <v>0</v>
      </c>
      <c r="Y908" s="10" t="s">
        <v>79</v>
      </c>
      <c r="Z908" s="10">
        <v>0</v>
      </c>
      <c r="AA908" s="10" t="s">
        <v>162</v>
      </c>
      <c r="AB908" s="36" t="s">
        <v>733</v>
      </c>
      <c r="AC908" s="10"/>
      <c r="AD908" s="9" t="s">
        <v>6009</v>
      </c>
      <c r="AE908" s="10" t="s">
        <v>6080</v>
      </c>
      <c r="AF908" s="10" t="s">
        <v>1321</v>
      </c>
      <c r="AG908" s="10" t="s">
        <v>324</v>
      </c>
      <c r="AH908" s="10" t="s">
        <v>1361</v>
      </c>
      <c r="AI908" s="10" t="s">
        <v>1404</v>
      </c>
      <c r="AJ908" s="10">
        <v>802852449</v>
      </c>
      <c r="AK908" s="10" t="s">
        <v>104</v>
      </c>
      <c r="AL908" s="10"/>
      <c r="AM908" s="10"/>
      <c r="AN908" s="11" t="s">
        <v>390</v>
      </c>
      <c r="AO908" s="10" t="s">
        <v>394</v>
      </c>
      <c r="AP908" s="10" t="s">
        <v>6354</v>
      </c>
      <c r="AQ908" s="10" t="s">
        <v>4976</v>
      </c>
      <c r="AR908" s="2">
        <v>45482</v>
      </c>
      <c r="AS908" s="10">
        <v>150532.43</v>
      </c>
      <c r="AT908" s="10" t="s">
        <v>690</v>
      </c>
      <c r="AU908" s="10" t="s">
        <v>5730</v>
      </c>
      <c r="AV908" s="36" t="s">
        <v>6151</v>
      </c>
      <c r="AW908" s="1">
        <v>46212</v>
      </c>
    </row>
    <row r="909" spans="1:49" x14ac:dyDescent="0.25">
      <c r="A909" s="9" t="s">
        <v>5800</v>
      </c>
      <c r="B909" s="10" t="s">
        <v>5869</v>
      </c>
      <c r="C909" s="10" t="s">
        <v>97</v>
      </c>
      <c r="D909" s="10" t="s">
        <v>91</v>
      </c>
      <c r="E909" s="10"/>
      <c r="F909" s="10"/>
      <c r="G909" s="10"/>
      <c r="H909" s="10" t="s">
        <v>52</v>
      </c>
      <c r="I909" s="10">
        <v>21</v>
      </c>
      <c r="J909" s="10" t="s">
        <v>5939</v>
      </c>
      <c r="K909" s="10" t="s">
        <v>42</v>
      </c>
      <c r="L909" s="10">
        <f>Table1[[#This Row],[ENR]]-Table1[[#This Row],[CREDIT]]</f>
        <v>11237.48000000001</v>
      </c>
      <c r="M909" s="36">
        <v>120000</v>
      </c>
      <c r="N909" s="26">
        <v>131237.48000000001</v>
      </c>
      <c r="O909" s="38" t="s">
        <v>43</v>
      </c>
      <c r="P909" s="25">
        <v>131237.48000000001</v>
      </c>
      <c r="Q909" s="25">
        <v>117228.22</v>
      </c>
      <c r="R909" s="10">
        <v>31090</v>
      </c>
      <c r="S909" s="39">
        <v>11670</v>
      </c>
      <c r="T909" s="10" t="s">
        <v>44</v>
      </c>
      <c r="U909" s="10" t="s">
        <v>45</v>
      </c>
      <c r="V909" s="10">
        <v>0</v>
      </c>
      <c r="W909" s="25">
        <f>Table1[[#This Row],[STAB]]-Table1[[#This Row],[AMOUNT]]</f>
        <v>11670</v>
      </c>
      <c r="X909" s="10">
        <v>0</v>
      </c>
      <c r="Y909" s="10" t="s">
        <v>79</v>
      </c>
      <c r="Z909" s="10">
        <v>0</v>
      </c>
      <c r="AA909" s="10" t="s">
        <v>162</v>
      </c>
      <c r="AB909" s="36" t="s">
        <v>736</v>
      </c>
      <c r="AC909" s="10"/>
      <c r="AD909" s="9" t="s">
        <v>6010</v>
      </c>
      <c r="AE909" s="10" t="s">
        <v>6081</v>
      </c>
      <c r="AF909" s="10" t="s">
        <v>272</v>
      </c>
      <c r="AG909" s="10" t="s">
        <v>54</v>
      </c>
      <c r="AH909" s="10" t="s">
        <v>114</v>
      </c>
      <c r="AI909" s="10" t="s">
        <v>726</v>
      </c>
      <c r="AJ909" s="10">
        <v>801772792</v>
      </c>
      <c r="AK909" s="10" t="s">
        <v>105</v>
      </c>
      <c r="AL909" s="10"/>
      <c r="AM909" s="10"/>
      <c r="AN909" s="11" t="s">
        <v>46</v>
      </c>
      <c r="AO909" s="10"/>
      <c r="AP909" s="10"/>
      <c r="AQ909" s="10"/>
      <c r="AR909" s="2">
        <v>45525</v>
      </c>
      <c r="AS909" s="10">
        <v>14040</v>
      </c>
      <c r="AT909" s="10" t="s">
        <v>48</v>
      </c>
      <c r="AU909" s="10" t="s">
        <v>5730</v>
      </c>
      <c r="AV909" s="36" t="s">
        <v>6152</v>
      </c>
      <c r="AW909" s="1">
        <v>46212</v>
      </c>
    </row>
    <row r="910" spans="1:49" x14ac:dyDescent="0.25">
      <c r="A910" s="9" t="s">
        <v>5801</v>
      </c>
      <c r="B910" s="10" t="s">
        <v>5870</v>
      </c>
      <c r="C910" s="10">
        <v>0</v>
      </c>
      <c r="D910" s="10" t="s">
        <v>91</v>
      </c>
      <c r="E910" s="10"/>
      <c r="F910" s="10"/>
      <c r="G910" s="10"/>
      <c r="H910" s="10" t="s">
        <v>52</v>
      </c>
      <c r="I910" s="10">
        <v>21</v>
      </c>
      <c r="J910" s="10" t="s">
        <v>5940</v>
      </c>
      <c r="K910" s="10" t="s">
        <v>42</v>
      </c>
      <c r="L910" s="10">
        <f>Table1[[#This Row],[ENR]]-Table1[[#This Row],[CREDIT]]</f>
        <v>11313.26999999999</v>
      </c>
      <c r="M910" s="36">
        <v>140000</v>
      </c>
      <c r="N910" s="26">
        <v>151313.26999999999</v>
      </c>
      <c r="O910" s="38">
        <v>13854.61</v>
      </c>
      <c r="P910" s="25">
        <v>137458.66</v>
      </c>
      <c r="Q910" s="25">
        <v>127076.39</v>
      </c>
      <c r="R910" s="10">
        <v>28760</v>
      </c>
      <c r="S910" s="39">
        <v>10280</v>
      </c>
      <c r="T910" s="10" t="s">
        <v>44</v>
      </c>
      <c r="U910" s="10" t="s">
        <v>45</v>
      </c>
      <c r="V910" s="10">
        <v>0</v>
      </c>
      <c r="W910" s="25">
        <f>Table1[[#This Row],[STAB]]-Table1[[#This Row],[AMOUNT]]</f>
        <v>10280</v>
      </c>
      <c r="X910" s="10">
        <v>0</v>
      </c>
      <c r="Y910" s="10" t="s">
        <v>79</v>
      </c>
      <c r="Z910" s="10">
        <v>0</v>
      </c>
      <c r="AA910" s="10" t="s">
        <v>162</v>
      </c>
      <c r="AB910" s="36" t="s">
        <v>734</v>
      </c>
      <c r="AC910" s="10"/>
      <c r="AD910" s="9" t="s">
        <v>6011</v>
      </c>
      <c r="AE910" s="10" t="s">
        <v>6082</v>
      </c>
      <c r="AF910" s="10" t="s">
        <v>286</v>
      </c>
      <c r="AG910" s="10" t="s">
        <v>54</v>
      </c>
      <c r="AH910" s="10" t="s">
        <v>286</v>
      </c>
      <c r="AI910" s="10" t="s">
        <v>365</v>
      </c>
      <c r="AJ910" s="10">
        <v>802824019</v>
      </c>
      <c r="AK910" s="10" t="s">
        <v>360</v>
      </c>
      <c r="AL910" s="10"/>
      <c r="AM910" s="10"/>
      <c r="AN910" s="11" t="s">
        <v>46</v>
      </c>
      <c r="AO910" s="10"/>
      <c r="AP910" s="10"/>
      <c r="AQ910" s="10"/>
      <c r="AR910" s="2">
        <v>45763</v>
      </c>
      <c r="AS910" s="10">
        <v>100</v>
      </c>
      <c r="AT910" s="10" t="s">
        <v>690</v>
      </c>
      <c r="AU910" s="10" t="s">
        <v>5730</v>
      </c>
      <c r="AV910" s="36" t="s">
        <v>6153</v>
      </c>
      <c r="AW910" s="1">
        <v>46212</v>
      </c>
    </row>
    <row r="911" spans="1:49" x14ac:dyDescent="0.25">
      <c r="A911" s="9" t="s">
        <v>5802</v>
      </c>
      <c r="B911" s="10" t="s">
        <v>5871</v>
      </c>
      <c r="C911" s="10">
        <v>0</v>
      </c>
      <c r="D911" s="10" t="s">
        <v>91</v>
      </c>
      <c r="E911" s="10"/>
      <c r="F911" s="10"/>
      <c r="G911" s="10"/>
      <c r="H911" s="10" t="s">
        <v>52</v>
      </c>
      <c r="I911" s="10">
        <v>21</v>
      </c>
      <c r="J911" s="10" t="s">
        <v>5941</v>
      </c>
      <c r="K911" s="10" t="s">
        <v>42</v>
      </c>
      <c r="L911" s="10">
        <f>Table1[[#This Row],[ENR]]-Table1[[#This Row],[CREDIT]]</f>
        <v>6820.4100000000035</v>
      </c>
      <c r="M911" s="36">
        <v>60000</v>
      </c>
      <c r="N911" s="26">
        <v>66820.41</v>
      </c>
      <c r="O911" s="38" t="s">
        <v>43</v>
      </c>
      <c r="P911" s="25">
        <v>66820.41</v>
      </c>
      <c r="Q911" s="25">
        <v>59749.43</v>
      </c>
      <c r="R911" s="10">
        <v>17310</v>
      </c>
      <c r="S911" s="39">
        <v>6040</v>
      </c>
      <c r="T911" s="10" t="s">
        <v>57</v>
      </c>
      <c r="U911" s="10" t="s">
        <v>14</v>
      </c>
      <c r="V911" s="10">
        <v>6050</v>
      </c>
      <c r="W911" s="25">
        <f>Table1[[#This Row],[STAB]]-Table1[[#This Row],[AMOUNT]]</f>
        <v>-10</v>
      </c>
      <c r="X911" s="10" t="s">
        <v>6364</v>
      </c>
      <c r="Y911" s="10" t="s">
        <v>396</v>
      </c>
      <c r="Z911" s="10" t="s">
        <v>403</v>
      </c>
      <c r="AA911" s="10" t="s">
        <v>162</v>
      </c>
      <c r="AB911" s="36" t="s">
        <v>6383</v>
      </c>
      <c r="AC911" s="10"/>
      <c r="AD911" s="9" t="s">
        <v>6012</v>
      </c>
      <c r="AE911" s="10" t="s">
        <v>6083</v>
      </c>
      <c r="AF911" s="10" t="s">
        <v>275</v>
      </c>
      <c r="AG911" s="10" t="s">
        <v>80</v>
      </c>
      <c r="AH911" s="10" t="s">
        <v>1999</v>
      </c>
      <c r="AI911" s="10" t="s">
        <v>368</v>
      </c>
      <c r="AJ911" s="10">
        <v>802823175</v>
      </c>
      <c r="AK911" s="10" t="s">
        <v>105</v>
      </c>
      <c r="AL911" s="10"/>
      <c r="AM911" s="10"/>
      <c r="AN911" s="11" t="s">
        <v>390</v>
      </c>
      <c r="AO911" s="10" t="s">
        <v>392</v>
      </c>
      <c r="AP911" s="10" t="s">
        <v>6375</v>
      </c>
      <c r="AQ911" s="10" t="s">
        <v>6364</v>
      </c>
      <c r="AR911" s="2">
        <v>45361</v>
      </c>
      <c r="AS911" s="10">
        <v>5380</v>
      </c>
      <c r="AT911" s="10" t="s">
        <v>690</v>
      </c>
      <c r="AU911" s="10" t="s">
        <v>5730</v>
      </c>
      <c r="AV911" s="36" t="s">
        <v>6154</v>
      </c>
      <c r="AW911" s="1">
        <v>46212</v>
      </c>
    </row>
    <row r="912" spans="1:49" x14ac:dyDescent="0.25">
      <c r="A912" s="9" t="s">
        <v>5803</v>
      </c>
      <c r="B912" s="10" t="s">
        <v>5872</v>
      </c>
      <c r="C912" s="10">
        <v>0</v>
      </c>
      <c r="D912" s="10" t="s">
        <v>91</v>
      </c>
      <c r="E912" s="10"/>
      <c r="F912" s="10"/>
      <c r="G912" s="10"/>
      <c r="H912" s="10" t="s">
        <v>52</v>
      </c>
      <c r="I912" s="10">
        <v>21</v>
      </c>
      <c r="J912" s="10" t="s">
        <v>5942</v>
      </c>
      <c r="K912" s="10" t="s">
        <v>42</v>
      </c>
      <c r="L912" s="10">
        <f>Table1[[#This Row],[ENR]]-Table1[[#This Row],[CREDIT]]</f>
        <v>111879.85</v>
      </c>
      <c r="M912" s="36">
        <v>108000</v>
      </c>
      <c r="N912" s="26">
        <v>219879.85</v>
      </c>
      <c r="O912" s="38">
        <v>171147.6</v>
      </c>
      <c r="P912" s="25">
        <v>48732.25</v>
      </c>
      <c r="Q912" s="25">
        <v>40886.51</v>
      </c>
      <c r="R912" s="10">
        <v>27350</v>
      </c>
      <c r="S912" s="39">
        <v>13720</v>
      </c>
      <c r="T912" s="10" t="s">
        <v>57</v>
      </c>
      <c r="U912" s="10" t="s">
        <v>13</v>
      </c>
      <c r="V912" s="10">
        <v>48732.25</v>
      </c>
      <c r="W912" s="25">
        <f>Table1[[#This Row],[STAB]]-Table1[[#This Row],[AMOUNT]]</f>
        <v>-35012.25</v>
      </c>
      <c r="X912" s="10" t="s">
        <v>6364</v>
      </c>
      <c r="Y912" s="10" t="s">
        <v>402</v>
      </c>
      <c r="Z912" s="10" t="s">
        <v>403</v>
      </c>
      <c r="AA912" s="10" t="s">
        <v>162</v>
      </c>
      <c r="AB912" s="10" t="s">
        <v>735</v>
      </c>
      <c r="AC912" s="10"/>
      <c r="AD912" s="9" t="s">
        <v>6013</v>
      </c>
      <c r="AE912" s="10" t="s">
        <v>6084</v>
      </c>
      <c r="AF912" s="10" t="s">
        <v>1102</v>
      </c>
      <c r="AG912" s="10" t="s">
        <v>324</v>
      </c>
      <c r="AH912" s="10" t="s">
        <v>99</v>
      </c>
      <c r="AI912" s="10" t="s">
        <v>363</v>
      </c>
      <c r="AJ912" s="10">
        <v>802913252</v>
      </c>
      <c r="AK912" s="10" t="s">
        <v>104</v>
      </c>
      <c r="AL912" s="10"/>
      <c r="AM912" s="10"/>
      <c r="AN912" s="11" t="s">
        <v>390</v>
      </c>
      <c r="AO912" s="10"/>
      <c r="AP912" s="10"/>
      <c r="AQ912" s="10"/>
      <c r="AR912" s="2" t="s">
        <v>43</v>
      </c>
      <c r="AS912" s="10">
        <v>0</v>
      </c>
      <c r="AT912" s="10" t="s">
        <v>157</v>
      </c>
      <c r="AU912" s="10" t="s">
        <v>5730</v>
      </c>
      <c r="AV912" s="36" t="s">
        <v>6155</v>
      </c>
      <c r="AW912" s="1">
        <v>46212</v>
      </c>
    </row>
    <row r="913" spans="1:49" x14ac:dyDescent="0.25">
      <c r="A913" s="9" t="s">
        <v>5804</v>
      </c>
      <c r="B913" s="10" t="s">
        <v>5873</v>
      </c>
      <c r="C913" s="10">
        <v>0</v>
      </c>
      <c r="D913" s="10" t="s">
        <v>91</v>
      </c>
      <c r="E913" s="10"/>
      <c r="F913" s="10"/>
      <c r="G913" s="10"/>
      <c r="H913" s="10" t="s">
        <v>52</v>
      </c>
      <c r="I913" s="10">
        <v>21</v>
      </c>
      <c r="J913" s="10" t="s">
        <v>5943</v>
      </c>
      <c r="K913" s="10" t="s">
        <v>42</v>
      </c>
      <c r="L913" s="10">
        <f>Table1[[#This Row],[ENR]]-Table1[[#This Row],[CREDIT]]</f>
        <v>30793.260000000009</v>
      </c>
      <c r="M913" s="36">
        <v>990000</v>
      </c>
      <c r="N913" s="26">
        <v>1020793.26</v>
      </c>
      <c r="O913" s="38">
        <v>516082.11</v>
      </c>
      <c r="P913" s="25">
        <v>504711.15</v>
      </c>
      <c r="Q913" s="25">
        <v>443996.29</v>
      </c>
      <c r="R913" s="10">
        <v>176280</v>
      </c>
      <c r="S913" s="39">
        <v>79470</v>
      </c>
      <c r="T913" s="10" t="s">
        <v>57</v>
      </c>
      <c r="U913" s="10" t="s">
        <v>14</v>
      </c>
      <c r="V913" s="10">
        <v>100000</v>
      </c>
      <c r="W913" s="25">
        <f>Table1[[#This Row],[STAB]]-Table1[[#This Row],[AMOUNT]]</f>
        <v>-20530</v>
      </c>
      <c r="X913" s="10" t="s">
        <v>6399</v>
      </c>
      <c r="Y913" s="10" t="s">
        <v>402</v>
      </c>
      <c r="Z913" s="10">
        <v>0</v>
      </c>
      <c r="AA913" s="10" t="s">
        <v>162</v>
      </c>
      <c r="AB913" s="10" t="s">
        <v>735</v>
      </c>
      <c r="AC913" s="10"/>
      <c r="AD913" s="9" t="s">
        <v>6014</v>
      </c>
      <c r="AE913" s="10" t="s">
        <v>6085</v>
      </c>
      <c r="AF913" s="10" t="s">
        <v>287</v>
      </c>
      <c r="AG913" s="10" t="s">
        <v>324</v>
      </c>
      <c r="AH913" s="10" t="s">
        <v>56</v>
      </c>
      <c r="AI913" s="10" t="s">
        <v>370</v>
      </c>
      <c r="AJ913" s="10">
        <v>801448854</v>
      </c>
      <c r="AK913" s="10" t="s">
        <v>105</v>
      </c>
      <c r="AL913" s="10"/>
      <c r="AM913" s="10"/>
      <c r="AN913" s="11" t="s">
        <v>390</v>
      </c>
      <c r="AO913" s="10" t="s">
        <v>398</v>
      </c>
      <c r="AP913" s="10" t="s">
        <v>6321</v>
      </c>
      <c r="AQ913" s="10" t="s">
        <v>4937</v>
      </c>
      <c r="AR913" s="2">
        <v>46025</v>
      </c>
      <c r="AS913" s="10">
        <v>110000</v>
      </c>
      <c r="AT913" s="10" t="s">
        <v>290</v>
      </c>
      <c r="AU913" s="10" t="s">
        <v>5730</v>
      </c>
      <c r="AV913" s="36" t="s">
        <v>6156</v>
      </c>
      <c r="AW913" s="1">
        <v>46212</v>
      </c>
    </row>
    <row r="914" spans="1:49" x14ac:dyDescent="0.25">
      <c r="A914" s="9" t="s">
        <v>5805</v>
      </c>
      <c r="B914" s="10" t="s">
        <v>5874</v>
      </c>
      <c r="C914" s="10">
        <v>0</v>
      </c>
      <c r="D914" s="10" t="s">
        <v>91</v>
      </c>
      <c r="E914" s="10"/>
      <c r="F914" s="10"/>
      <c r="G914" s="10"/>
      <c r="H914" s="10" t="s">
        <v>52</v>
      </c>
      <c r="I914" s="10">
        <v>21</v>
      </c>
      <c r="J914" s="10" t="s">
        <v>5944</v>
      </c>
      <c r="K914" s="10" t="s">
        <v>42</v>
      </c>
      <c r="L914" s="10">
        <f>Table1[[#This Row],[ENR]]-Table1[[#This Row],[CREDIT]]</f>
        <v>-357293.53</v>
      </c>
      <c r="M914" s="36">
        <v>490000</v>
      </c>
      <c r="N914" s="26">
        <v>132706.47</v>
      </c>
      <c r="O914" s="38">
        <v>16088.87</v>
      </c>
      <c r="P914" s="25">
        <v>116617.60000000001</v>
      </c>
      <c r="Q914" s="25">
        <v>103352.17</v>
      </c>
      <c r="R914" s="10">
        <v>48510</v>
      </c>
      <c r="S914" s="39">
        <v>22380</v>
      </c>
      <c r="T914" s="10" t="s">
        <v>57</v>
      </c>
      <c r="U914" s="10" t="s">
        <v>13</v>
      </c>
      <c r="V914" s="10">
        <v>48510</v>
      </c>
      <c r="W914" s="25">
        <f>Table1[[#This Row],[STAB]]-Table1[[#This Row],[AMOUNT]]</f>
        <v>-26130</v>
      </c>
      <c r="X914" s="10" t="s">
        <v>6364</v>
      </c>
      <c r="Y914" s="10" t="s">
        <v>402</v>
      </c>
      <c r="Z914" s="10" t="s">
        <v>403</v>
      </c>
      <c r="AA914" s="10" t="s">
        <v>162</v>
      </c>
      <c r="AB914" s="36" t="s">
        <v>736</v>
      </c>
      <c r="AC914" s="10"/>
      <c r="AD914" s="9" t="s">
        <v>6015</v>
      </c>
      <c r="AE914" s="10" t="s">
        <v>6086</v>
      </c>
      <c r="AF914" s="10" t="s">
        <v>274</v>
      </c>
      <c r="AG914" s="10" t="s">
        <v>53</v>
      </c>
      <c r="AH914" s="10" t="s">
        <v>55</v>
      </c>
      <c r="AI914" s="10" t="s">
        <v>365</v>
      </c>
      <c r="AJ914" s="10">
        <v>802824019</v>
      </c>
      <c r="AK914" s="10" t="s">
        <v>360</v>
      </c>
      <c r="AL914" s="10"/>
      <c r="AM914" s="10"/>
      <c r="AN914" s="11" t="s">
        <v>390</v>
      </c>
      <c r="AO914" s="10"/>
      <c r="AP914" s="10"/>
      <c r="AQ914" s="10"/>
      <c r="AR914" s="2">
        <v>46001</v>
      </c>
      <c r="AS914" s="10">
        <v>21480</v>
      </c>
      <c r="AT914" s="10" t="s">
        <v>290</v>
      </c>
      <c r="AU914" s="10" t="s">
        <v>5730</v>
      </c>
      <c r="AV914" s="36" t="s">
        <v>6157</v>
      </c>
      <c r="AW914" s="1">
        <v>46212</v>
      </c>
    </row>
    <row r="915" spans="1:49" x14ac:dyDescent="0.25">
      <c r="A915" s="9" t="s">
        <v>5806</v>
      </c>
      <c r="B915" s="10" t="s">
        <v>5875</v>
      </c>
      <c r="C915" s="10">
        <v>0</v>
      </c>
      <c r="D915" s="10" t="s">
        <v>91</v>
      </c>
      <c r="E915" s="10"/>
      <c r="F915" s="10"/>
      <c r="G915" s="10"/>
      <c r="H915" s="10" t="s">
        <v>52</v>
      </c>
      <c r="I915" s="10">
        <v>21</v>
      </c>
      <c r="J915" s="10" t="s">
        <v>5945</v>
      </c>
      <c r="K915" s="10" t="s">
        <v>42</v>
      </c>
      <c r="L915" s="10">
        <f>Table1[[#This Row],[ENR]]-Table1[[#This Row],[CREDIT]]</f>
        <v>3560.9899999999907</v>
      </c>
      <c r="M915" s="36">
        <v>150000</v>
      </c>
      <c r="N915" s="26">
        <v>153560.99</v>
      </c>
      <c r="O915" s="38">
        <v>31204.34</v>
      </c>
      <c r="P915" s="25">
        <v>122356.65</v>
      </c>
      <c r="Q915" s="25">
        <v>114791.7</v>
      </c>
      <c r="R915" s="10">
        <v>35750</v>
      </c>
      <c r="S915" s="39">
        <v>20640</v>
      </c>
      <c r="T915" s="10" t="s">
        <v>57</v>
      </c>
      <c r="U915" s="10" t="s">
        <v>14</v>
      </c>
      <c r="V915" s="10">
        <v>0</v>
      </c>
      <c r="W915" s="25">
        <f>Table1[[#This Row],[STAB]]-Table1[[#This Row],[AMOUNT]]</f>
        <v>20640</v>
      </c>
      <c r="X915" s="10">
        <v>0</v>
      </c>
      <c r="Y915" s="10" t="s">
        <v>79</v>
      </c>
      <c r="Z915" s="10" t="s">
        <v>403</v>
      </c>
      <c r="AA915" s="10" t="s">
        <v>162</v>
      </c>
      <c r="AB915" s="10" t="s">
        <v>735</v>
      </c>
      <c r="AC915" s="10"/>
      <c r="AD915" s="9" t="s">
        <v>6016</v>
      </c>
      <c r="AE915" s="10" t="s">
        <v>6087</v>
      </c>
      <c r="AF915" s="10" t="s">
        <v>687</v>
      </c>
      <c r="AG915" s="10" t="s">
        <v>53</v>
      </c>
      <c r="AH915" s="10" t="s">
        <v>83</v>
      </c>
      <c r="AI915" s="10" t="s">
        <v>728</v>
      </c>
      <c r="AJ915" s="10">
        <v>802349062</v>
      </c>
      <c r="AK915" s="10" t="s">
        <v>104</v>
      </c>
      <c r="AL915" s="10"/>
      <c r="AM915" s="10"/>
      <c r="AN915" s="11" t="s">
        <v>46</v>
      </c>
      <c r="AO915" s="10"/>
      <c r="AP915" s="10"/>
      <c r="AQ915" s="10"/>
      <c r="AR915" s="2">
        <v>45623</v>
      </c>
      <c r="AS915" s="10">
        <v>100.46</v>
      </c>
      <c r="AT915" s="10" t="s">
        <v>290</v>
      </c>
      <c r="AU915" s="10" t="s">
        <v>5730</v>
      </c>
      <c r="AV915" s="36" t="s">
        <v>6158</v>
      </c>
      <c r="AW915" s="1">
        <v>46212</v>
      </c>
    </row>
    <row r="916" spans="1:49" x14ac:dyDescent="0.25">
      <c r="A916" s="9" t="s">
        <v>5807</v>
      </c>
      <c r="B916" s="10" t="s">
        <v>5876</v>
      </c>
      <c r="C916" s="10">
        <v>0</v>
      </c>
      <c r="D916" s="10" t="s">
        <v>91</v>
      </c>
      <c r="E916" s="10"/>
      <c r="F916" s="10"/>
      <c r="G916" s="10"/>
      <c r="H916" s="10" t="s">
        <v>52</v>
      </c>
      <c r="I916" s="10">
        <v>21</v>
      </c>
      <c r="J916" s="10" t="s">
        <v>5946</v>
      </c>
      <c r="K916" s="10" t="s">
        <v>42</v>
      </c>
      <c r="L916" s="10">
        <f>Table1[[#This Row],[ENR]]-Table1[[#This Row],[CREDIT]]</f>
        <v>12235.440000000002</v>
      </c>
      <c r="M916" s="36">
        <v>200000</v>
      </c>
      <c r="N916" s="26">
        <v>212235.44</v>
      </c>
      <c r="O916" s="38">
        <v>100612.44</v>
      </c>
      <c r="P916" s="25">
        <v>111623</v>
      </c>
      <c r="Q916" s="25">
        <v>97207.87</v>
      </c>
      <c r="R916" s="10">
        <v>37750</v>
      </c>
      <c r="S916" s="39">
        <v>16979</v>
      </c>
      <c r="T916" s="10" t="s">
        <v>44</v>
      </c>
      <c r="U916" s="10" t="s">
        <v>45</v>
      </c>
      <c r="V916" s="10">
        <v>0</v>
      </c>
      <c r="W916" s="25">
        <f>Table1[[#This Row],[STAB]]-Table1[[#This Row],[AMOUNT]]</f>
        <v>16979</v>
      </c>
      <c r="X916" s="10">
        <v>0</v>
      </c>
      <c r="Y916" s="10" t="s">
        <v>79</v>
      </c>
      <c r="Z916" s="10">
        <v>0</v>
      </c>
      <c r="AA916" s="10" t="s">
        <v>162</v>
      </c>
      <c r="AB916" s="36" t="s">
        <v>734</v>
      </c>
      <c r="AC916" s="10"/>
      <c r="AD916" s="9" t="s">
        <v>6017</v>
      </c>
      <c r="AE916" s="10" t="s">
        <v>6088</v>
      </c>
      <c r="AF916" s="10" t="s">
        <v>687</v>
      </c>
      <c r="AG916" s="10" t="s">
        <v>53</v>
      </c>
      <c r="AH916" s="10" t="s">
        <v>83</v>
      </c>
      <c r="AI916" s="10" t="s">
        <v>728</v>
      </c>
      <c r="AJ916" s="10">
        <v>802349062</v>
      </c>
      <c r="AK916" s="10" t="s">
        <v>104</v>
      </c>
      <c r="AL916" s="10"/>
      <c r="AM916" s="10"/>
      <c r="AN916" s="11" t="s">
        <v>46</v>
      </c>
      <c r="AO916" s="10"/>
      <c r="AP916" s="10"/>
      <c r="AQ916" s="10"/>
      <c r="AR916" s="2">
        <v>46134</v>
      </c>
      <c r="AS916" s="10">
        <v>100000</v>
      </c>
      <c r="AT916" s="10" t="s">
        <v>290</v>
      </c>
      <c r="AU916" s="10" t="s">
        <v>5730</v>
      </c>
      <c r="AV916" s="36" t="s">
        <v>6159</v>
      </c>
      <c r="AW916" s="1">
        <v>46212</v>
      </c>
    </row>
    <row r="917" spans="1:49" x14ac:dyDescent="0.25">
      <c r="A917" s="9" t="s">
        <v>5808</v>
      </c>
      <c r="B917" s="10" t="s">
        <v>5877</v>
      </c>
      <c r="C917" s="10">
        <v>0</v>
      </c>
      <c r="D917" s="10" t="s">
        <v>91</v>
      </c>
      <c r="E917" s="10"/>
      <c r="F917" s="10"/>
      <c r="G917" s="10"/>
      <c r="H917" s="10" t="s">
        <v>52</v>
      </c>
      <c r="I917" s="10">
        <v>21</v>
      </c>
      <c r="J917" s="10" t="s">
        <v>5947</v>
      </c>
      <c r="K917" s="10" t="s">
        <v>42</v>
      </c>
      <c r="L917" s="10">
        <f>Table1[[#This Row],[ENR]]-Table1[[#This Row],[CREDIT]]</f>
        <v>-117.08999999999651</v>
      </c>
      <c r="M917" s="36">
        <v>200000</v>
      </c>
      <c r="N917" s="26">
        <v>199882.91</v>
      </c>
      <c r="O917" s="38">
        <v>59166.69</v>
      </c>
      <c r="P917" s="25">
        <v>140716.22</v>
      </c>
      <c r="Q917" s="25">
        <v>126925.68</v>
      </c>
      <c r="R917" s="10">
        <v>49770</v>
      </c>
      <c r="S917" s="39">
        <v>24370</v>
      </c>
      <c r="T917" s="10" t="s">
        <v>44</v>
      </c>
      <c r="U917" s="10" t="s">
        <v>45</v>
      </c>
      <c r="V917" s="10">
        <v>10000</v>
      </c>
      <c r="W917" s="25">
        <f>Table1[[#This Row],[STAB]]-Table1[[#This Row],[AMOUNT]]</f>
        <v>14370</v>
      </c>
      <c r="X917" s="10">
        <v>0</v>
      </c>
      <c r="Y917" s="10" t="s">
        <v>79</v>
      </c>
      <c r="Z917" s="10" t="s">
        <v>403</v>
      </c>
      <c r="AA917" s="10" t="s">
        <v>162</v>
      </c>
      <c r="AB917" s="36" t="s">
        <v>736</v>
      </c>
      <c r="AC917" s="10"/>
      <c r="AD917" s="9" t="s">
        <v>6018</v>
      </c>
      <c r="AE917" s="10" t="s">
        <v>6089</v>
      </c>
      <c r="AF917" s="10" t="s">
        <v>285</v>
      </c>
      <c r="AG917" s="10" t="s">
        <v>54</v>
      </c>
      <c r="AH917" s="10" t="s">
        <v>94</v>
      </c>
      <c r="AI917" s="10" t="s">
        <v>725</v>
      </c>
      <c r="AJ917" s="10">
        <v>802794852</v>
      </c>
      <c r="AK917" s="10" t="s">
        <v>104</v>
      </c>
      <c r="AL917" s="10"/>
      <c r="AM917" s="10"/>
      <c r="AN917" s="11" t="s">
        <v>390</v>
      </c>
      <c r="AO917" s="10" t="s">
        <v>398</v>
      </c>
      <c r="AP917" s="10" t="s">
        <v>6328</v>
      </c>
      <c r="AQ917" s="10" t="s">
        <v>4937</v>
      </c>
      <c r="AR917" s="2">
        <v>45814</v>
      </c>
      <c r="AS917" s="10">
        <v>16530</v>
      </c>
      <c r="AT917" s="10" t="s">
        <v>48</v>
      </c>
      <c r="AU917" s="10" t="s">
        <v>5730</v>
      </c>
      <c r="AV917" s="36" t="s">
        <v>6160</v>
      </c>
      <c r="AW917" s="1">
        <v>46212</v>
      </c>
    </row>
    <row r="918" spans="1:49" x14ac:dyDescent="0.25">
      <c r="A918" s="9" t="s">
        <v>5809</v>
      </c>
      <c r="B918" s="10" t="s">
        <v>5878</v>
      </c>
      <c r="C918" s="10">
        <v>0</v>
      </c>
      <c r="D918" s="10" t="s">
        <v>91</v>
      </c>
      <c r="E918" s="10"/>
      <c r="F918" s="10"/>
      <c r="G918" s="10"/>
      <c r="H918" s="10" t="s">
        <v>52</v>
      </c>
      <c r="I918" s="10">
        <v>21</v>
      </c>
      <c r="J918" s="10" t="s">
        <v>5948</v>
      </c>
      <c r="K918" s="10" t="s">
        <v>42</v>
      </c>
      <c r="L918" s="10">
        <f>Table1[[#This Row],[ENR]]-Table1[[#This Row],[CREDIT]]</f>
        <v>5863.1100000000006</v>
      </c>
      <c r="M918" s="36">
        <v>50000</v>
      </c>
      <c r="N918" s="26">
        <v>55863.11</v>
      </c>
      <c r="O918" s="38" t="s">
        <v>43</v>
      </c>
      <c r="P918" s="25">
        <v>55863.11</v>
      </c>
      <c r="Q918" s="25">
        <v>48394.28</v>
      </c>
      <c r="R918" s="10">
        <v>17040</v>
      </c>
      <c r="S918" s="39">
        <v>6320</v>
      </c>
      <c r="T918" s="10" t="s">
        <v>44</v>
      </c>
      <c r="U918" s="10" t="s">
        <v>45</v>
      </c>
      <c r="V918" s="10">
        <v>0</v>
      </c>
      <c r="W918" s="25">
        <f>Table1[[#This Row],[STAB]]-Table1[[#This Row],[AMOUNT]]</f>
        <v>6320</v>
      </c>
      <c r="X918" s="10">
        <v>0</v>
      </c>
      <c r="Y918" s="10" t="s">
        <v>79</v>
      </c>
      <c r="Z918" s="10">
        <v>0</v>
      </c>
      <c r="AA918" s="10" t="s">
        <v>162</v>
      </c>
      <c r="AB918" s="36" t="s">
        <v>6383</v>
      </c>
      <c r="AC918" s="10"/>
      <c r="AD918" s="9" t="s">
        <v>6019</v>
      </c>
      <c r="AE918" s="10" t="s">
        <v>6090</v>
      </c>
      <c r="AF918" s="10" t="s">
        <v>499</v>
      </c>
      <c r="AG918" s="10" t="s">
        <v>53</v>
      </c>
      <c r="AH918" s="10" t="s">
        <v>55</v>
      </c>
      <c r="AI918" s="10" t="s">
        <v>365</v>
      </c>
      <c r="AJ918" s="10">
        <v>802824019</v>
      </c>
      <c r="AK918" s="10" t="s">
        <v>360</v>
      </c>
      <c r="AL918" s="10"/>
      <c r="AM918" s="10"/>
      <c r="AN918" s="11" t="s">
        <v>46</v>
      </c>
      <c r="AO918" s="10"/>
      <c r="AP918" s="10"/>
      <c r="AQ918" s="10"/>
      <c r="AR918" s="2">
        <v>46156</v>
      </c>
      <c r="AS918" s="10">
        <v>12960</v>
      </c>
      <c r="AT918" s="10" t="s">
        <v>290</v>
      </c>
      <c r="AU918" s="10" t="s">
        <v>5730</v>
      </c>
      <c r="AV918" s="36" t="s">
        <v>6161</v>
      </c>
      <c r="AW918" s="1">
        <v>46212</v>
      </c>
    </row>
    <row r="919" spans="1:49" x14ac:dyDescent="0.25">
      <c r="A919" s="9" t="s">
        <v>5810</v>
      </c>
      <c r="B919" s="10" t="s">
        <v>5879</v>
      </c>
      <c r="C919" s="10">
        <v>0</v>
      </c>
      <c r="D919" s="10" t="s">
        <v>91</v>
      </c>
      <c r="E919" s="10"/>
      <c r="F919" s="10"/>
      <c r="G919" s="10"/>
      <c r="H919" s="10" t="s">
        <v>52</v>
      </c>
      <c r="I919" s="10">
        <v>21</v>
      </c>
      <c r="J919" s="10" t="s">
        <v>5949</v>
      </c>
      <c r="K919" s="10" t="s">
        <v>42</v>
      </c>
      <c r="L919" s="10">
        <f>Table1[[#This Row],[ENR]]-Table1[[#This Row],[CREDIT]]</f>
        <v>-23027.160000000003</v>
      </c>
      <c r="M919" s="36">
        <v>100000</v>
      </c>
      <c r="N919" s="26">
        <v>76972.84</v>
      </c>
      <c r="O919" s="38" t="s">
        <v>43</v>
      </c>
      <c r="P919" s="25">
        <v>76972.84</v>
      </c>
      <c r="Q919" s="25">
        <v>68861.81</v>
      </c>
      <c r="R919" s="10">
        <v>12280</v>
      </c>
      <c r="S919" s="39">
        <v>4100</v>
      </c>
      <c r="T919" s="10" t="s">
        <v>44</v>
      </c>
      <c r="U919" s="10" t="s">
        <v>45</v>
      </c>
      <c r="V919" s="10">
        <v>0</v>
      </c>
      <c r="W919" s="25">
        <f>Table1[[#This Row],[STAB]]-Table1[[#This Row],[AMOUNT]]</f>
        <v>4100</v>
      </c>
      <c r="X919" s="10">
        <v>0</v>
      </c>
      <c r="Y919" s="10" t="s">
        <v>79</v>
      </c>
      <c r="Z919" s="10">
        <v>0</v>
      </c>
      <c r="AA919" s="10" t="s">
        <v>162</v>
      </c>
      <c r="AB919" s="36" t="s">
        <v>6383</v>
      </c>
      <c r="AC919" s="10"/>
      <c r="AD919" s="9" t="s">
        <v>6020</v>
      </c>
      <c r="AE919" s="10" t="s">
        <v>6091</v>
      </c>
      <c r="AF919" s="10" t="s">
        <v>283</v>
      </c>
      <c r="AG919" s="10" t="s">
        <v>53</v>
      </c>
      <c r="AH919" s="10" t="s">
        <v>116</v>
      </c>
      <c r="AI919" s="10" t="s">
        <v>2961</v>
      </c>
      <c r="AJ919" s="10">
        <v>845041675</v>
      </c>
      <c r="AK919" s="10" t="s">
        <v>104</v>
      </c>
      <c r="AL919" s="10"/>
      <c r="AM919" s="10"/>
      <c r="AN919" s="11" t="s">
        <v>46</v>
      </c>
      <c r="AO919" s="10"/>
      <c r="AP919" s="10"/>
      <c r="AQ919" s="10"/>
      <c r="AR919" s="2">
        <v>46039</v>
      </c>
      <c r="AS919" s="10">
        <v>8540</v>
      </c>
      <c r="AT919" s="10" t="s">
        <v>290</v>
      </c>
      <c r="AU919" s="10" t="s">
        <v>5730</v>
      </c>
      <c r="AV919" s="36" t="s">
        <v>6162</v>
      </c>
      <c r="AW919" s="1">
        <v>46212</v>
      </c>
    </row>
    <row r="920" spans="1:49" x14ac:dyDescent="0.25">
      <c r="A920" s="9" t="s">
        <v>5811</v>
      </c>
      <c r="B920" s="10" t="s">
        <v>5880</v>
      </c>
      <c r="C920" s="10">
        <v>0</v>
      </c>
      <c r="D920" s="10" t="s">
        <v>91</v>
      </c>
      <c r="E920" s="10"/>
      <c r="F920" s="10"/>
      <c r="G920" s="10"/>
      <c r="H920" s="10" t="s">
        <v>52</v>
      </c>
      <c r="I920" s="10">
        <v>21</v>
      </c>
      <c r="J920" s="10" t="s">
        <v>5950</v>
      </c>
      <c r="K920" s="10" t="s">
        <v>42</v>
      </c>
      <c r="L920" s="10">
        <f>Table1[[#This Row],[ENR]]-Table1[[#This Row],[CREDIT]]</f>
        <v>3406.7100000000064</v>
      </c>
      <c r="M920" s="36">
        <v>80000</v>
      </c>
      <c r="N920" s="26">
        <v>83406.710000000006</v>
      </c>
      <c r="O920" s="38" t="s">
        <v>43</v>
      </c>
      <c r="P920" s="25">
        <v>83406.710000000006</v>
      </c>
      <c r="Q920" s="25">
        <v>74887.679999999993</v>
      </c>
      <c r="R920" s="10">
        <v>15500</v>
      </c>
      <c r="S920" s="39">
        <v>4753.37</v>
      </c>
      <c r="T920" s="10" t="s">
        <v>44</v>
      </c>
      <c r="U920" s="10" t="s">
        <v>45</v>
      </c>
      <c r="V920" s="10">
        <v>0</v>
      </c>
      <c r="W920" s="25">
        <f>Table1[[#This Row],[STAB]]-Table1[[#This Row],[AMOUNT]]</f>
        <v>4753.37</v>
      </c>
      <c r="X920" s="10">
        <v>0</v>
      </c>
      <c r="Y920" s="10" t="s">
        <v>79</v>
      </c>
      <c r="Z920" s="10">
        <v>0</v>
      </c>
      <c r="AA920" s="10" t="s">
        <v>162</v>
      </c>
      <c r="AB920" s="36" t="s">
        <v>6383</v>
      </c>
      <c r="AC920" s="10"/>
      <c r="AD920" s="9" t="s">
        <v>6021</v>
      </c>
      <c r="AE920" s="10" t="s">
        <v>6092</v>
      </c>
      <c r="AF920" s="10" t="s">
        <v>383</v>
      </c>
      <c r="AG920" s="10" t="s">
        <v>53</v>
      </c>
      <c r="AH920" s="10" t="s">
        <v>55</v>
      </c>
      <c r="AI920" s="10" t="s">
        <v>365</v>
      </c>
      <c r="AJ920" s="10">
        <v>802824019</v>
      </c>
      <c r="AK920" s="10" t="s">
        <v>360</v>
      </c>
      <c r="AL920" s="10"/>
      <c r="AM920" s="10"/>
      <c r="AN920" s="11" t="s">
        <v>46</v>
      </c>
      <c r="AO920" s="10"/>
      <c r="AP920" s="10"/>
      <c r="AQ920" s="10"/>
      <c r="AR920" s="2">
        <v>45846</v>
      </c>
      <c r="AS920" s="10">
        <v>15000</v>
      </c>
      <c r="AT920" s="10" t="s">
        <v>290</v>
      </c>
      <c r="AU920" s="10" t="s">
        <v>5730</v>
      </c>
      <c r="AV920" s="36" t="s">
        <v>6163</v>
      </c>
      <c r="AW920" s="1">
        <v>46212</v>
      </c>
    </row>
    <row r="921" spans="1:49" x14ac:dyDescent="0.25">
      <c r="A921" s="9" t="s">
        <v>5812</v>
      </c>
      <c r="B921" s="10" t="s">
        <v>5881</v>
      </c>
      <c r="C921" s="10">
        <v>0</v>
      </c>
      <c r="D921" s="10" t="s">
        <v>91</v>
      </c>
      <c r="E921" s="10"/>
      <c r="F921" s="10"/>
      <c r="G921" s="10"/>
      <c r="H921" s="10" t="s">
        <v>52</v>
      </c>
      <c r="I921" s="10">
        <v>21</v>
      </c>
      <c r="J921" s="10" t="s">
        <v>5951</v>
      </c>
      <c r="K921" s="10" t="s">
        <v>42</v>
      </c>
      <c r="L921" s="10">
        <f>Table1[[#This Row],[ENR]]-Table1[[#This Row],[CREDIT]]</f>
        <v>3220</v>
      </c>
      <c r="M921" s="36">
        <v>90000</v>
      </c>
      <c r="N921" s="26">
        <v>93220</v>
      </c>
      <c r="O921" s="38">
        <v>70480.850000000006</v>
      </c>
      <c r="P921" s="25">
        <v>22739.15</v>
      </c>
      <c r="Q921" s="25">
        <v>18761.61</v>
      </c>
      <c r="R921" s="10">
        <v>16560</v>
      </c>
      <c r="S921" s="39">
        <v>5820</v>
      </c>
      <c r="T921" s="10" t="s">
        <v>44</v>
      </c>
      <c r="U921" s="10" t="s">
        <v>45</v>
      </c>
      <c r="V921" s="10">
        <v>0</v>
      </c>
      <c r="W921" s="25">
        <f>Table1[[#This Row],[STAB]]-Table1[[#This Row],[AMOUNT]]</f>
        <v>5820</v>
      </c>
      <c r="X921" s="10">
        <v>0</v>
      </c>
      <c r="Y921" s="10" t="s">
        <v>79</v>
      </c>
      <c r="Z921" s="10">
        <v>0</v>
      </c>
      <c r="AA921" s="10" t="s">
        <v>162</v>
      </c>
      <c r="AB921" s="36" t="s">
        <v>6383</v>
      </c>
      <c r="AC921" s="10"/>
      <c r="AD921" s="9" t="s">
        <v>6022</v>
      </c>
      <c r="AE921" s="10" t="s">
        <v>6093</v>
      </c>
      <c r="AF921" s="10" t="s">
        <v>281</v>
      </c>
      <c r="AG921" s="10" t="s">
        <v>54</v>
      </c>
      <c r="AH921" s="10" t="s">
        <v>99</v>
      </c>
      <c r="AI921" s="10" t="s">
        <v>363</v>
      </c>
      <c r="AJ921" s="10">
        <v>802913252</v>
      </c>
      <c r="AK921" s="10" t="s">
        <v>104</v>
      </c>
      <c r="AL921" s="10"/>
      <c r="AM921" s="10"/>
      <c r="AN921" s="11" t="s">
        <v>46</v>
      </c>
      <c r="AO921" s="10"/>
      <c r="AP921" s="10"/>
      <c r="AQ921" s="10"/>
      <c r="AR921" s="2">
        <v>46144</v>
      </c>
      <c r="AS921" s="10">
        <v>9640.93</v>
      </c>
      <c r="AT921" s="10" t="s">
        <v>290</v>
      </c>
      <c r="AU921" s="10" t="s">
        <v>5730</v>
      </c>
      <c r="AV921" s="36" t="s">
        <v>6164</v>
      </c>
      <c r="AW921" s="1">
        <v>46212</v>
      </c>
    </row>
    <row r="922" spans="1:49" x14ac:dyDescent="0.25">
      <c r="A922" s="9" t="s">
        <v>5813</v>
      </c>
      <c r="B922" s="10" t="s">
        <v>5882</v>
      </c>
      <c r="C922" s="10">
        <v>0</v>
      </c>
      <c r="D922" s="10" t="s">
        <v>91</v>
      </c>
      <c r="E922" s="10"/>
      <c r="F922" s="10"/>
      <c r="G922" s="10"/>
      <c r="H922" s="10" t="s">
        <v>52</v>
      </c>
      <c r="I922" s="10">
        <v>21</v>
      </c>
      <c r="J922" s="10" t="s">
        <v>5952</v>
      </c>
      <c r="K922" s="10" t="s">
        <v>42</v>
      </c>
      <c r="L922" s="10">
        <f>Table1[[#This Row],[ENR]]-Table1[[#This Row],[CREDIT]]</f>
        <v>4874.8800000000047</v>
      </c>
      <c r="M922" s="36">
        <v>90000</v>
      </c>
      <c r="N922" s="26">
        <v>94874.880000000005</v>
      </c>
      <c r="O922" s="38">
        <v>59170.15</v>
      </c>
      <c r="P922" s="25">
        <v>35704.730000000003</v>
      </c>
      <c r="Q922" s="25">
        <v>28571.64</v>
      </c>
      <c r="R922" s="10">
        <v>16430</v>
      </c>
      <c r="S922" s="39">
        <v>8570</v>
      </c>
      <c r="T922" s="10" t="s">
        <v>44</v>
      </c>
      <c r="U922" s="10" t="s">
        <v>45</v>
      </c>
      <c r="V922" s="10">
        <v>0</v>
      </c>
      <c r="W922" s="25">
        <f>Table1[[#This Row],[STAB]]-Table1[[#This Row],[AMOUNT]]</f>
        <v>8570</v>
      </c>
      <c r="X922" s="10">
        <v>0</v>
      </c>
      <c r="Y922" s="10" t="s">
        <v>79</v>
      </c>
      <c r="Z922" s="10">
        <v>0</v>
      </c>
      <c r="AA922" s="10" t="s">
        <v>162</v>
      </c>
      <c r="AB922" s="36" t="s">
        <v>6383</v>
      </c>
      <c r="AC922" s="10"/>
      <c r="AD922" s="9" t="s">
        <v>6023</v>
      </c>
      <c r="AE922" s="10" t="s">
        <v>6094</v>
      </c>
      <c r="AF922" s="10" t="s">
        <v>285</v>
      </c>
      <c r="AG922" s="10" t="s">
        <v>54</v>
      </c>
      <c r="AH922" s="10" t="s">
        <v>94</v>
      </c>
      <c r="AI922" s="10" t="s">
        <v>725</v>
      </c>
      <c r="AJ922" s="10">
        <v>802794852</v>
      </c>
      <c r="AK922" s="10" t="s">
        <v>104</v>
      </c>
      <c r="AL922" s="10"/>
      <c r="AM922" s="10"/>
      <c r="AN922" s="11" t="s">
        <v>390</v>
      </c>
      <c r="AO922" s="10" t="s">
        <v>392</v>
      </c>
      <c r="AP922" s="10" t="s">
        <v>6326</v>
      </c>
      <c r="AQ922" s="10" t="s">
        <v>4937</v>
      </c>
      <c r="AR922" s="2">
        <v>45951</v>
      </c>
      <c r="AS922" s="10">
        <v>11582</v>
      </c>
      <c r="AT922" s="10" t="s">
        <v>290</v>
      </c>
      <c r="AU922" s="10" t="s">
        <v>5730</v>
      </c>
      <c r="AV922" s="36" t="s">
        <v>6165</v>
      </c>
      <c r="AW922" s="1">
        <v>46212</v>
      </c>
    </row>
    <row r="923" spans="1:49" x14ac:dyDescent="0.25">
      <c r="A923" s="9" t="s">
        <v>5814</v>
      </c>
      <c r="B923" s="10" t="s">
        <v>5883</v>
      </c>
      <c r="C923" s="10">
        <v>0</v>
      </c>
      <c r="D923" s="10" t="s">
        <v>91</v>
      </c>
      <c r="E923" s="10"/>
      <c r="F923" s="10"/>
      <c r="G923" s="10"/>
      <c r="H923" s="10" t="s">
        <v>52</v>
      </c>
      <c r="I923" s="10">
        <v>21</v>
      </c>
      <c r="J923" s="10" t="s">
        <v>5953</v>
      </c>
      <c r="K923" s="10" t="s">
        <v>460</v>
      </c>
      <c r="L923" s="10">
        <f>Table1[[#This Row],[ENR]]-Table1[[#This Row],[CREDIT]]</f>
        <v>-143173.78</v>
      </c>
      <c r="M923" s="36">
        <v>200000</v>
      </c>
      <c r="N923" s="26">
        <v>56826.22</v>
      </c>
      <c r="O923" s="38" t="s">
        <v>43</v>
      </c>
      <c r="P923" s="25">
        <v>56826.22</v>
      </c>
      <c r="Q923" s="25">
        <v>56670.23</v>
      </c>
      <c r="R923" s="10">
        <v>5570</v>
      </c>
      <c r="S923" s="39">
        <v>2870</v>
      </c>
      <c r="T923" s="10" t="s">
        <v>44</v>
      </c>
      <c r="U923" s="10" t="s">
        <v>45</v>
      </c>
      <c r="V923" s="10">
        <v>0</v>
      </c>
      <c r="W923" s="25">
        <f>Table1[[#This Row],[STAB]]-Table1[[#This Row],[AMOUNT]]</f>
        <v>2870</v>
      </c>
      <c r="X923" s="10">
        <v>0</v>
      </c>
      <c r="Y923" s="10" t="s">
        <v>79</v>
      </c>
      <c r="Z923" s="10">
        <v>0</v>
      </c>
      <c r="AA923" s="10" t="s">
        <v>162</v>
      </c>
      <c r="AB923" s="36" t="s">
        <v>6383</v>
      </c>
      <c r="AC923" s="10"/>
      <c r="AD923" s="9" t="s">
        <v>6024</v>
      </c>
      <c r="AE923" s="10" t="s">
        <v>6095</v>
      </c>
      <c r="AF923" s="10" t="s">
        <v>283</v>
      </c>
      <c r="AG923" s="10" t="s">
        <v>53</v>
      </c>
      <c r="AH923" s="10" t="s">
        <v>5582</v>
      </c>
      <c r="AI923" s="10" t="s">
        <v>2962</v>
      </c>
      <c r="AJ923" s="10">
        <v>801601134</v>
      </c>
      <c r="AK923" s="10" t="s">
        <v>104</v>
      </c>
      <c r="AL923" s="10"/>
      <c r="AM923" s="10"/>
      <c r="AN923" s="11" t="s">
        <v>46</v>
      </c>
      <c r="AO923" s="10"/>
      <c r="AP923" s="10"/>
      <c r="AQ923" s="10"/>
      <c r="AR923" s="2">
        <v>45489</v>
      </c>
      <c r="AS923" s="10">
        <v>25560</v>
      </c>
      <c r="AT923" s="10" t="s">
        <v>290</v>
      </c>
      <c r="AU923" s="10" t="s">
        <v>5730</v>
      </c>
      <c r="AV923" s="36" t="s">
        <v>6166</v>
      </c>
      <c r="AW923" s="1">
        <v>46212</v>
      </c>
    </row>
    <row r="924" spans="1:49" x14ac:dyDescent="0.25">
      <c r="A924" s="9" t="s">
        <v>5815</v>
      </c>
      <c r="B924" s="10" t="s">
        <v>5884</v>
      </c>
      <c r="C924" s="10">
        <v>0</v>
      </c>
      <c r="D924" s="10" t="s">
        <v>91</v>
      </c>
      <c r="E924" s="10"/>
      <c r="F924" s="10"/>
      <c r="G924" s="10"/>
      <c r="H924" s="10" t="s">
        <v>52</v>
      </c>
      <c r="I924" s="10">
        <v>21</v>
      </c>
      <c r="J924" s="10" t="s">
        <v>5954</v>
      </c>
      <c r="K924" s="10" t="s">
        <v>42</v>
      </c>
      <c r="L924" s="10">
        <f>Table1[[#This Row],[ENR]]-Table1[[#This Row],[CREDIT]]</f>
        <v>181.50999999999476</v>
      </c>
      <c r="M924" s="36">
        <v>80000</v>
      </c>
      <c r="N924" s="26">
        <v>80181.509999999995</v>
      </c>
      <c r="O924" s="38" t="s">
        <v>43</v>
      </c>
      <c r="P924" s="25">
        <v>80181.509999999995</v>
      </c>
      <c r="Q924" s="25">
        <v>70905.070000000007</v>
      </c>
      <c r="R924" s="10">
        <v>15420</v>
      </c>
      <c r="S924" s="39">
        <v>7260</v>
      </c>
      <c r="T924" s="10" t="s">
        <v>57</v>
      </c>
      <c r="U924" s="10" t="s">
        <v>14</v>
      </c>
      <c r="V924" s="10">
        <v>8000</v>
      </c>
      <c r="W924" s="25">
        <f>Table1[[#This Row],[STAB]]-Table1[[#This Row],[AMOUNT]]</f>
        <v>-740</v>
      </c>
      <c r="X924" s="10" t="s">
        <v>4937</v>
      </c>
      <c r="Y924" s="10" t="s">
        <v>402</v>
      </c>
      <c r="Z924" s="10" t="s">
        <v>403</v>
      </c>
      <c r="AA924" s="10" t="s">
        <v>162</v>
      </c>
      <c r="AB924" s="36" t="s">
        <v>6383</v>
      </c>
      <c r="AC924" s="10"/>
      <c r="AD924" s="9" t="s">
        <v>6025</v>
      </c>
      <c r="AE924" s="10" t="s">
        <v>6096</v>
      </c>
      <c r="AF924" s="10" t="s">
        <v>383</v>
      </c>
      <c r="AG924" s="10" t="s">
        <v>53</v>
      </c>
      <c r="AH924" s="10" t="s">
        <v>55</v>
      </c>
      <c r="AI924" s="10" t="s">
        <v>365</v>
      </c>
      <c r="AJ924" s="10">
        <v>802824019</v>
      </c>
      <c r="AK924" s="10" t="s">
        <v>360</v>
      </c>
      <c r="AL924" s="10"/>
      <c r="AM924" s="10"/>
      <c r="AN924" s="11" t="s">
        <v>390</v>
      </c>
      <c r="AO924" s="10"/>
      <c r="AP924" s="10"/>
      <c r="AQ924" s="10"/>
      <c r="AR924" s="2">
        <v>46156</v>
      </c>
      <c r="AS924" s="10">
        <v>20870</v>
      </c>
      <c r="AT924" s="10" t="s">
        <v>290</v>
      </c>
      <c r="AU924" s="10" t="s">
        <v>5730</v>
      </c>
      <c r="AV924" s="36" t="s">
        <v>6167</v>
      </c>
      <c r="AW924" s="1">
        <v>46212</v>
      </c>
    </row>
    <row r="925" spans="1:49" x14ac:dyDescent="0.25">
      <c r="A925" s="9" t="s">
        <v>5816</v>
      </c>
      <c r="B925" s="10" t="s">
        <v>5885</v>
      </c>
      <c r="C925" s="10">
        <v>0</v>
      </c>
      <c r="D925" s="10" t="s">
        <v>91</v>
      </c>
      <c r="E925" s="10"/>
      <c r="F925" s="10"/>
      <c r="G925" s="10"/>
      <c r="H925" s="10" t="s">
        <v>52</v>
      </c>
      <c r="I925" s="10">
        <v>21</v>
      </c>
      <c r="J925" s="10" t="s">
        <v>5955</v>
      </c>
      <c r="K925" s="10" t="s">
        <v>42</v>
      </c>
      <c r="L925" s="10">
        <f>Table1[[#This Row],[ENR]]-Table1[[#This Row],[CREDIT]]</f>
        <v>10416.179999999993</v>
      </c>
      <c r="M925" s="36">
        <v>200000</v>
      </c>
      <c r="N925" s="26">
        <v>210416.18</v>
      </c>
      <c r="O925" s="38" t="s">
        <v>43</v>
      </c>
      <c r="P925" s="25">
        <v>210416.18</v>
      </c>
      <c r="Q925" s="25">
        <v>187579.49</v>
      </c>
      <c r="R925" s="10">
        <v>53750</v>
      </c>
      <c r="S925" s="39">
        <v>24600</v>
      </c>
      <c r="T925" s="10" t="s">
        <v>44</v>
      </c>
      <c r="U925" s="10" t="s">
        <v>45</v>
      </c>
      <c r="V925" s="10">
        <v>0</v>
      </c>
      <c r="W925" s="25">
        <f>Table1[[#This Row],[STAB]]-Table1[[#This Row],[AMOUNT]]</f>
        <v>24600</v>
      </c>
      <c r="X925" s="10">
        <v>0</v>
      </c>
      <c r="Y925" s="10" t="s">
        <v>79</v>
      </c>
      <c r="Z925" s="10">
        <v>0</v>
      </c>
      <c r="AA925" s="10" t="s">
        <v>162</v>
      </c>
      <c r="AB925" s="36" t="s">
        <v>733</v>
      </c>
      <c r="AC925" s="10"/>
      <c r="AD925" s="9" t="s">
        <v>6026</v>
      </c>
      <c r="AE925" s="10" t="s">
        <v>6097</v>
      </c>
      <c r="AF925" s="10" t="s">
        <v>2918</v>
      </c>
      <c r="AG925" s="10" t="s">
        <v>53</v>
      </c>
      <c r="AH925" s="10" t="s">
        <v>116</v>
      </c>
      <c r="AI925" s="10" t="s">
        <v>2961</v>
      </c>
      <c r="AJ925" s="10">
        <v>845041675</v>
      </c>
      <c r="AK925" s="10" t="s">
        <v>104</v>
      </c>
      <c r="AL925" s="10"/>
      <c r="AM925" s="10"/>
      <c r="AN925" s="11" t="s">
        <v>46</v>
      </c>
      <c r="AO925" s="10"/>
      <c r="AP925" s="10"/>
      <c r="AQ925" s="10"/>
      <c r="AR925" s="2">
        <v>45719</v>
      </c>
      <c r="AS925" s="10">
        <v>33000</v>
      </c>
      <c r="AT925" s="10" t="s">
        <v>290</v>
      </c>
      <c r="AU925" s="10" t="s">
        <v>5730</v>
      </c>
      <c r="AV925" s="36" t="s">
        <v>6168</v>
      </c>
      <c r="AW925" s="1">
        <v>46212</v>
      </c>
    </row>
    <row r="926" spans="1:49" x14ac:dyDescent="0.25">
      <c r="A926" s="9" t="s">
        <v>5817</v>
      </c>
      <c r="B926" s="10" t="s">
        <v>5886</v>
      </c>
      <c r="C926" s="10">
        <v>0</v>
      </c>
      <c r="D926" s="10" t="s">
        <v>91</v>
      </c>
      <c r="E926" s="10"/>
      <c r="F926" s="10"/>
      <c r="G926" s="10"/>
      <c r="H926" s="10" t="s">
        <v>52</v>
      </c>
      <c r="I926" s="10">
        <v>21</v>
      </c>
      <c r="J926" s="10" t="s">
        <v>5956</v>
      </c>
      <c r="K926" s="10" t="s">
        <v>42</v>
      </c>
      <c r="L926" s="10">
        <f>Table1[[#This Row],[ENR]]-Table1[[#This Row],[CREDIT]]</f>
        <v>45224.089999999967</v>
      </c>
      <c r="M926" s="36">
        <v>500000</v>
      </c>
      <c r="N926" s="26">
        <v>545224.09</v>
      </c>
      <c r="O926" s="38" t="s">
        <v>43</v>
      </c>
      <c r="P926" s="25">
        <v>545224.09</v>
      </c>
      <c r="Q926" s="25">
        <v>497819.37</v>
      </c>
      <c r="R926" s="10">
        <v>140240</v>
      </c>
      <c r="S926" s="39">
        <v>93210</v>
      </c>
      <c r="T926" s="10" t="s">
        <v>44</v>
      </c>
      <c r="U926" s="10" t="s">
        <v>45</v>
      </c>
      <c r="V926" s="10">
        <v>0</v>
      </c>
      <c r="W926" s="25">
        <f>Table1[[#This Row],[STAB]]-Table1[[#This Row],[AMOUNT]]</f>
        <v>93210</v>
      </c>
      <c r="X926" s="10">
        <v>0</v>
      </c>
      <c r="Y926" s="10" t="s">
        <v>79</v>
      </c>
      <c r="Z926" s="10">
        <v>0</v>
      </c>
      <c r="AA926" s="10" t="s">
        <v>162</v>
      </c>
      <c r="AB926" s="36" t="s">
        <v>733</v>
      </c>
      <c r="AC926" s="10"/>
      <c r="AD926" s="9" t="s">
        <v>6027</v>
      </c>
      <c r="AE926" s="10" t="s">
        <v>6098</v>
      </c>
      <c r="AF926" s="10" t="s">
        <v>276</v>
      </c>
      <c r="AG926" s="10" t="s">
        <v>324</v>
      </c>
      <c r="AH926" s="10" t="s">
        <v>56</v>
      </c>
      <c r="AI926" s="10" t="s">
        <v>370</v>
      </c>
      <c r="AJ926" s="10">
        <v>801448854</v>
      </c>
      <c r="AK926" s="10" t="s">
        <v>105</v>
      </c>
      <c r="AL926" s="10"/>
      <c r="AM926" s="10"/>
      <c r="AN926" s="11" t="s">
        <v>46</v>
      </c>
      <c r="AO926" s="10"/>
      <c r="AP926" s="10"/>
      <c r="AQ926" s="10"/>
      <c r="AR926" s="2">
        <v>45643</v>
      </c>
      <c r="AS926" s="10">
        <v>49000</v>
      </c>
      <c r="AT926" s="10" t="s">
        <v>290</v>
      </c>
      <c r="AU926" s="10" t="s">
        <v>5730</v>
      </c>
      <c r="AV926" s="36" t="s">
        <v>6169</v>
      </c>
      <c r="AW926" s="1">
        <v>46212</v>
      </c>
    </row>
    <row r="927" spans="1:49" x14ac:dyDescent="0.25">
      <c r="A927" s="9" t="s">
        <v>5818</v>
      </c>
      <c r="B927" s="10" t="s">
        <v>5887</v>
      </c>
      <c r="C927" s="10">
        <v>0</v>
      </c>
      <c r="D927" s="10" t="s">
        <v>91</v>
      </c>
      <c r="E927" s="10"/>
      <c r="F927" s="10"/>
      <c r="G927" s="10"/>
      <c r="H927" s="10" t="s">
        <v>52</v>
      </c>
      <c r="I927" s="10">
        <v>21</v>
      </c>
      <c r="J927" s="10" t="s">
        <v>5957</v>
      </c>
      <c r="K927" s="10" t="s">
        <v>42</v>
      </c>
      <c r="L927" s="10">
        <f>Table1[[#This Row],[ENR]]-Table1[[#This Row],[CREDIT]]</f>
        <v>15500.210000000021</v>
      </c>
      <c r="M927" s="36">
        <v>409000</v>
      </c>
      <c r="N927" s="26">
        <v>424500.21</v>
      </c>
      <c r="O927" s="38" t="s">
        <v>43</v>
      </c>
      <c r="P927" s="25">
        <v>424500.21</v>
      </c>
      <c r="Q927" s="25">
        <v>384510.95</v>
      </c>
      <c r="R927" s="10">
        <v>79840</v>
      </c>
      <c r="S927" s="39">
        <v>26680</v>
      </c>
      <c r="T927" s="10" t="s">
        <v>44</v>
      </c>
      <c r="U927" s="10" t="s">
        <v>45</v>
      </c>
      <c r="V927" s="10">
        <v>0</v>
      </c>
      <c r="W927" s="25">
        <f>Table1[[#This Row],[STAB]]-Table1[[#This Row],[AMOUNT]]</f>
        <v>26680</v>
      </c>
      <c r="X927" s="10">
        <v>0</v>
      </c>
      <c r="Y927" s="10" t="s">
        <v>79</v>
      </c>
      <c r="Z927" s="10">
        <v>0</v>
      </c>
      <c r="AA927" s="10" t="s">
        <v>162</v>
      </c>
      <c r="AB927" s="36" t="s">
        <v>734</v>
      </c>
      <c r="AC927" s="10"/>
      <c r="AD927" s="9" t="s">
        <v>6028</v>
      </c>
      <c r="AE927" s="10" t="s">
        <v>6099</v>
      </c>
      <c r="AF927" s="10" t="s">
        <v>285</v>
      </c>
      <c r="AG927" s="10" t="s">
        <v>54</v>
      </c>
      <c r="AH927" s="10" t="s">
        <v>94</v>
      </c>
      <c r="AI927" s="10" t="s">
        <v>725</v>
      </c>
      <c r="AJ927" s="10">
        <v>802794852</v>
      </c>
      <c r="AK927" s="10" t="s">
        <v>104</v>
      </c>
      <c r="AL927" s="10"/>
      <c r="AM927" s="10"/>
      <c r="AN927" s="11" t="s">
        <v>390</v>
      </c>
      <c r="AO927" s="10" t="s">
        <v>398</v>
      </c>
      <c r="AP927" s="10" t="s">
        <v>6337</v>
      </c>
      <c r="AQ927" s="10" t="s">
        <v>4976</v>
      </c>
      <c r="AR927" s="2">
        <v>46086</v>
      </c>
      <c r="AS927" s="10">
        <v>42880</v>
      </c>
      <c r="AT927" s="10" t="s">
        <v>96</v>
      </c>
      <c r="AU927" s="10" t="s">
        <v>5730</v>
      </c>
      <c r="AV927" s="36" t="s">
        <v>6170</v>
      </c>
      <c r="AW927" s="1">
        <v>46212</v>
      </c>
    </row>
    <row r="928" spans="1:49" x14ac:dyDescent="0.25">
      <c r="A928" s="9" t="s">
        <v>5819</v>
      </c>
      <c r="B928" s="10" t="s">
        <v>5888</v>
      </c>
      <c r="C928" s="10">
        <v>0</v>
      </c>
      <c r="D928" s="10" t="s">
        <v>91</v>
      </c>
      <c r="E928" s="10"/>
      <c r="F928" s="10"/>
      <c r="G928" s="10"/>
      <c r="H928" s="10" t="s">
        <v>52</v>
      </c>
      <c r="I928" s="10">
        <v>21</v>
      </c>
      <c r="J928" s="10" t="s">
        <v>5958</v>
      </c>
      <c r="K928" s="10" t="s">
        <v>42</v>
      </c>
      <c r="L928" s="10">
        <f>Table1[[#This Row],[ENR]]-Table1[[#This Row],[CREDIT]]</f>
        <v>5493.4200000000128</v>
      </c>
      <c r="M928" s="36">
        <v>160000</v>
      </c>
      <c r="N928" s="26">
        <v>165493.42000000001</v>
      </c>
      <c r="O928" s="38">
        <v>49020.54</v>
      </c>
      <c r="P928" s="25">
        <v>116472.88</v>
      </c>
      <c r="Q928" s="25">
        <v>105756.35</v>
      </c>
      <c r="R928" s="10">
        <v>47370</v>
      </c>
      <c r="S928" s="39">
        <v>22740</v>
      </c>
      <c r="T928" s="10" t="s">
        <v>57</v>
      </c>
      <c r="U928" s="10" t="s">
        <v>13</v>
      </c>
      <c r="V928" s="10">
        <v>47370</v>
      </c>
      <c r="W928" s="25">
        <f>Table1[[#This Row],[STAB]]-Table1[[#This Row],[AMOUNT]]</f>
        <v>-24630</v>
      </c>
      <c r="X928" s="10" t="s">
        <v>6364</v>
      </c>
      <c r="Y928" s="10" t="s">
        <v>396</v>
      </c>
      <c r="Z928" s="10" t="s">
        <v>963</v>
      </c>
      <c r="AA928" s="10" t="s">
        <v>162</v>
      </c>
      <c r="AB928" s="36" t="s">
        <v>736</v>
      </c>
      <c r="AC928" s="10"/>
      <c r="AD928" s="9" t="s">
        <v>6029</v>
      </c>
      <c r="AE928" s="10" t="s">
        <v>6100</v>
      </c>
      <c r="AF928" s="10" t="s">
        <v>275</v>
      </c>
      <c r="AG928" s="10" t="s">
        <v>80</v>
      </c>
      <c r="AH928" s="10" t="s">
        <v>1999</v>
      </c>
      <c r="AI928" s="10" t="s">
        <v>368</v>
      </c>
      <c r="AJ928" s="10">
        <v>802823175</v>
      </c>
      <c r="AK928" s="10" t="s">
        <v>105</v>
      </c>
      <c r="AL928" s="10"/>
      <c r="AM928" s="10"/>
      <c r="AN928" s="11" t="s">
        <v>390</v>
      </c>
      <c r="AO928" s="10"/>
      <c r="AP928" s="10"/>
      <c r="AQ928" s="10"/>
      <c r="AR928" s="2">
        <v>46142</v>
      </c>
      <c r="AS928" s="10">
        <v>88021.759999999995</v>
      </c>
      <c r="AT928" s="10" t="s">
        <v>290</v>
      </c>
      <c r="AU928" s="10" t="s">
        <v>5730</v>
      </c>
      <c r="AV928" s="36" t="s">
        <v>6171</v>
      </c>
      <c r="AW928" s="1">
        <v>46212</v>
      </c>
    </row>
    <row r="929" spans="1:49" x14ac:dyDescent="0.25">
      <c r="A929" s="9" t="s">
        <v>5820</v>
      </c>
      <c r="B929" s="10" t="s">
        <v>5889</v>
      </c>
      <c r="C929" s="10">
        <v>0</v>
      </c>
      <c r="D929" s="10" t="s">
        <v>91</v>
      </c>
      <c r="E929" s="10"/>
      <c r="F929" s="10"/>
      <c r="G929" s="10"/>
      <c r="H929" s="10" t="s">
        <v>52</v>
      </c>
      <c r="I929" s="10">
        <v>21</v>
      </c>
      <c r="J929" s="10" t="s">
        <v>5959</v>
      </c>
      <c r="K929" s="10" t="s">
        <v>42</v>
      </c>
      <c r="L929" s="10">
        <f>Table1[[#This Row],[ENR]]-Table1[[#This Row],[CREDIT]]</f>
        <v>9427.5899999999965</v>
      </c>
      <c r="M929" s="36">
        <v>190000</v>
      </c>
      <c r="N929" s="26">
        <v>199427.59</v>
      </c>
      <c r="O929" s="38">
        <v>118660.84</v>
      </c>
      <c r="P929" s="25">
        <v>80766.75</v>
      </c>
      <c r="Q929" s="25">
        <v>69637.509999999995</v>
      </c>
      <c r="R929" s="10">
        <v>52150</v>
      </c>
      <c r="S929" s="39">
        <v>23180</v>
      </c>
      <c r="T929" s="10" t="s">
        <v>44</v>
      </c>
      <c r="U929" s="10" t="s">
        <v>45</v>
      </c>
      <c r="V929" s="10">
        <v>0</v>
      </c>
      <c r="W929" s="25">
        <f>Table1[[#This Row],[STAB]]-Table1[[#This Row],[AMOUNT]]</f>
        <v>23180</v>
      </c>
      <c r="X929" s="10">
        <v>0</v>
      </c>
      <c r="Y929" s="10" t="s">
        <v>79</v>
      </c>
      <c r="Z929" s="10">
        <v>0</v>
      </c>
      <c r="AA929" s="10" t="s">
        <v>162</v>
      </c>
      <c r="AB929" s="36" t="s">
        <v>733</v>
      </c>
      <c r="AC929" s="10"/>
      <c r="AD929" s="9" t="s">
        <v>6030</v>
      </c>
      <c r="AE929" s="10" t="s">
        <v>6101</v>
      </c>
      <c r="AF929" s="10" t="s">
        <v>1102</v>
      </c>
      <c r="AG929" s="10" t="s">
        <v>324</v>
      </c>
      <c r="AH929" s="10" t="s">
        <v>1956</v>
      </c>
      <c r="AI929" s="10" t="s">
        <v>1403</v>
      </c>
      <c r="AJ929" s="10">
        <v>802631601</v>
      </c>
      <c r="AK929" s="10" t="s">
        <v>362</v>
      </c>
      <c r="AL929" s="10"/>
      <c r="AM929" s="10"/>
      <c r="AN929" s="11" t="s">
        <v>46</v>
      </c>
      <c r="AO929" s="10"/>
      <c r="AP929" s="10"/>
      <c r="AQ929" s="10"/>
      <c r="AR929" s="2">
        <v>45626</v>
      </c>
      <c r="AS929" s="10">
        <v>12142.57</v>
      </c>
      <c r="AT929" s="10" t="s">
        <v>292</v>
      </c>
      <c r="AU929" s="10" t="s">
        <v>5730</v>
      </c>
      <c r="AV929" s="36" t="s">
        <v>6172</v>
      </c>
      <c r="AW929" s="1">
        <v>46212</v>
      </c>
    </row>
    <row r="930" spans="1:49" x14ac:dyDescent="0.25">
      <c r="A930" s="9" t="s">
        <v>5821</v>
      </c>
      <c r="B930" s="10" t="s">
        <v>5890</v>
      </c>
      <c r="C930" s="10">
        <v>0</v>
      </c>
      <c r="D930" s="10" t="s">
        <v>91</v>
      </c>
      <c r="E930" s="10"/>
      <c r="F930" s="10"/>
      <c r="G930" s="10"/>
      <c r="H930" s="10" t="s">
        <v>52</v>
      </c>
      <c r="I930" s="10">
        <v>21</v>
      </c>
      <c r="J930" s="10" t="s">
        <v>5960</v>
      </c>
      <c r="K930" s="10" t="s">
        <v>42</v>
      </c>
      <c r="L930" s="10">
        <f>Table1[[#This Row],[ENR]]-Table1[[#This Row],[CREDIT]]</f>
        <v>20019.75</v>
      </c>
      <c r="M930" s="36">
        <v>200000</v>
      </c>
      <c r="N930" s="26">
        <v>220019.75</v>
      </c>
      <c r="O930" s="38" t="s">
        <v>43</v>
      </c>
      <c r="P930" s="25">
        <v>220019.75</v>
      </c>
      <c r="Q930" s="25">
        <v>196979.21</v>
      </c>
      <c r="R930" s="10">
        <v>53980</v>
      </c>
      <c r="S930" s="39">
        <v>23510</v>
      </c>
      <c r="T930" s="10" t="s">
        <v>44</v>
      </c>
      <c r="U930" s="10" t="s">
        <v>45</v>
      </c>
      <c r="V930" s="10">
        <v>0</v>
      </c>
      <c r="W930" s="25">
        <f>Table1[[#This Row],[STAB]]-Table1[[#This Row],[AMOUNT]]</f>
        <v>23510</v>
      </c>
      <c r="X930" s="10">
        <v>0</v>
      </c>
      <c r="Y930" s="10" t="s">
        <v>79</v>
      </c>
      <c r="Z930" s="10">
        <v>0</v>
      </c>
      <c r="AA930" s="10" t="s">
        <v>162</v>
      </c>
      <c r="AB930" s="36" t="s">
        <v>736</v>
      </c>
      <c r="AC930" s="10"/>
      <c r="AD930" s="9" t="s">
        <v>6031</v>
      </c>
      <c r="AE930" s="10" t="s">
        <v>6102</v>
      </c>
      <c r="AF930" s="10" t="s">
        <v>272</v>
      </c>
      <c r="AG930" s="10" t="s">
        <v>54</v>
      </c>
      <c r="AH930" s="10" t="s">
        <v>114</v>
      </c>
      <c r="AI930" s="10" t="s">
        <v>726</v>
      </c>
      <c r="AJ930" s="10">
        <v>801772792</v>
      </c>
      <c r="AK930" s="10" t="s">
        <v>105</v>
      </c>
      <c r="AL930" s="10"/>
      <c r="AM930" s="10"/>
      <c r="AN930" s="11" t="s">
        <v>46</v>
      </c>
      <c r="AO930" s="10"/>
      <c r="AP930" s="10"/>
      <c r="AQ930" s="10"/>
      <c r="AR930" s="2">
        <v>45510</v>
      </c>
      <c r="AS930" s="10">
        <v>180055</v>
      </c>
      <c r="AT930" s="10" t="s">
        <v>292</v>
      </c>
      <c r="AU930" s="10" t="s">
        <v>5730</v>
      </c>
      <c r="AV930" s="36" t="s">
        <v>6173</v>
      </c>
      <c r="AW930" s="1">
        <v>46212</v>
      </c>
    </row>
    <row r="931" spans="1:49" x14ac:dyDescent="0.25">
      <c r="A931" s="9" t="s">
        <v>5822</v>
      </c>
      <c r="B931" s="10" t="s">
        <v>5891</v>
      </c>
      <c r="C931" s="10">
        <v>0</v>
      </c>
      <c r="D931" s="10" t="s">
        <v>91</v>
      </c>
      <c r="E931" s="10"/>
      <c r="F931" s="10"/>
      <c r="G931" s="10"/>
      <c r="H931" s="10" t="s">
        <v>52</v>
      </c>
      <c r="I931" s="10">
        <v>21</v>
      </c>
      <c r="J931" s="10" t="s">
        <v>5961</v>
      </c>
      <c r="K931" s="10" t="s">
        <v>42</v>
      </c>
      <c r="L931" s="10">
        <f>Table1[[#This Row],[ENR]]-Table1[[#This Row],[CREDIT]]</f>
        <v>20394.840000000026</v>
      </c>
      <c r="M931" s="36">
        <v>250000</v>
      </c>
      <c r="N931" s="26">
        <v>270394.84000000003</v>
      </c>
      <c r="O931" s="38" t="s">
        <v>43</v>
      </c>
      <c r="P931" s="25">
        <v>270394.84000000003</v>
      </c>
      <c r="Q931" s="25">
        <v>245062.51</v>
      </c>
      <c r="R931" s="10">
        <v>60610</v>
      </c>
      <c r="S931" s="39">
        <v>23600</v>
      </c>
      <c r="T931" s="10" t="s">
        <v>44</v>
      </c>
      <c r="U931" s="10" t="s">
        <v>45</v>
      </c>
      <c r="V931" s="10">
        <v>0</v>
      </c>
      <c r="W931" s="25">
        <f>Table1[[#This Row],[STAB]]-Table1[[#This Row],[AMOUNT]]</f>
        <v>23600</v>
      </c>
      <c r="X931" s="10">
        <v>0</v>
      </c>
      <c r="Y931" s="10" t="s">
        <v>79</v>
      </c>
      <c r="Z931" s="10">
        <v>0</v>
      </c>
      <c r="AA931" s="10" t="s">
        <v>162</v>
      </c>
      <c r="AB931" s="36" t="s">
        <v>733</v>
      </c>
      <c r="AC931" s="10"/>
      <c r="AD931" s="9" t="s">
        <v>6032</v>
      </c>
      <c r="AE931" s="10" t="s">
        <v>6103</v>
      </c>
      <c r="AF931" s="10" t="s">
        <v>283</v>
      </c>
      <c r="AG931" s="10" t="s">
        <v>53</v>
      </c>
      <c r="AH931" s="10" t="s">
        <v>116</v>
      </c>
      <c r="AI931" s="10" t="s">
        <v>2961</v>
      </c>
      <c r="AJ931" s="10">
        <v>845041675</v>
      </c>
      <c r="AK931" s="10" t="s">
        <v>104</v>
      </c>
      <c r="AL931" s="10"/>
      <c r="AM931" s="10"/>
      <c r="AN931" s="11" t="s">
        <v>46</v>
      </c>
      <c r="AO931" s="10"/>
      <c r="AP931" s="10"/>
      <c r="AQ931" s="10"/>
      <c r="AR931" s="2">
        <v>45816</v>
      </c>
      <c r="AS931" s="10">
        <v>40000</v>
      </c>
      <c r="AT931" s="10" t="s">
        <v>292</v>
      </c>
      <c r="AU931" s="10" t="s">
        <v>5730</v>
      </c>
      <c r="AV931" s="36" t="s">
        <v>6174</v>
      </c>
      <c r="AW931" s="1">
        <v>46212</v>
      </c>
    </row>
    <row r="932" spans="1:49" x14ac:dyDescent="0.25">
      <c r="A932" s="9" t="s">
        <v>5823</v>
      </c>
      <c r="B932" s="10" t="s">
        <v>5892</v>
      </c>
      <c r="C932" s="10">
        <v>0</v>
      </c>
      <c r="D932" s="10" t="s">
        <v>91</v>
      </c>
      <c r="E932" s="10"/>
      <c r="F932" s="10"/>
      <c r="G932" s="10"/>
      <c r="H932" s="10" t="s">
        <v>52</v>
      </c>
      <c r="I932" s="10">
        <v>21</v>
      </c>
      <c r="J932" s="10" t="s">
        <v>5962</v>
      </c>
      <c r="K932" s="10" t="s">
        <v>42</v>
      </c>
      <c r="L932" s="10">
        <f>Table1[[#This Row],[ENR]]-Table1[[#This Row],[CREDIT]]</f>
        <v>-247845.31</v>
      </c>
      <c r="M932" s="36">
        <v>300000</v>
      </c>
      <c r="N932" s="26">
        <v>52154.69</v>
      </c>
      <c r="O932" s="38" t="s">
        <v>43</v>
      </c>
      <c r="P932" s="25">
        <v>52154.69</v>
      </c>
      <c r="Q932" s="25">
        <v>45932.88</v>
      </c>
      <c r="R932" s="10">
        <v>8610</v>
      </c>
      <c r="S932" s="39">
        <v>2840</v>
      </c>
      <c r="T932" s="10" t="s">
        <v>44</v>
      </c>
      <c r="U932" s="10" t="s">
        <v>45</v>
      </c>
      <c r="V932" s="10">
        <v>0</v>
      </c>
      <c r="W932" s="25">
        <f>Table1[[#This Row],[STAB]]-Table1[[#This Row],[AMOUNT]]</f>
        <v>2840</v>
      </c>
      <c r="X932" s="10">
        <v>0</v>
      </c>
      <c r="Y932" s="10" t="s">
        <v>79</v>
      </c>
      <c r="Z932" s="10">
        <v>0</v>
      </c>
      <c r="AA932" s="10" t="s">
        <v>162</v>
      </c>
      <c r="AB932" s="36" t="s">
        <v>6383</v>
      </c>
      <c r="AC932" s="10"/>
      <c r="AD932" s="9" t="s">
        <v>6033</v>
      </c>
      <c r="AE932" s="10" t="s">
        <v>6104</v>
      </c>
      <c r="AF932" s="10" t="s">
        <v>283</v>
      </c>
      <c r="AG932" s="10" t="s">
        <v>53</v>
      </c>
      <c r="AH932" s="10" t="s">
        <v>5582</v>
      </c>
      <c r="AI932" s="10" t="s">
        <v>2962</v>
      </c>
      <c r="AJ932" s="10">
        <v>801601134</v>
      </c>
      <c r="AK932" s="10" t="s">
        <v>104</v>
      </c>
      <c r="AL932" s="10"/>
      <c r="AM932" s="10"/>
      <c r="AN932" s="11" t="s">
        <v>46</v>
      </c>
      <c r="AO932" s="10"/>
      <c r="AP932" s="10"/>
      <c r="AQ932" s="10"/>
      <c r="AR932" s="2">
        <v>46145</v>
      </c>
      <c r="AS932" s="10">
        <v>1</v>
      </c>
      <c r="AT932" s="10" t="s">
        <v>292</v>
      </c>
      <c r="AU932" s="10" t="s">
        <v>5730</v>
      </c>
      <c r="AV932" s="36" t="s">
        <v>6175</v>
      </c>
      <c r="AW932" s="1">
        <v>46212</v>
      </c>
    </row>
    <row r="933" spans="1:49" x14ac:dyDescent="0.25">
      <c r="A933" s="9" t="s">
        <v>5824</v>
      </c>
      <c r="B933" s="10" t="s">
        <v>5893</v>
      </c>
      <c r="C933" s="10">
        <v>0</v>
      </c>
      <c r="D933" s="10" t="s">
        <v>91</v>
      </c>
      <c r="E933" s="10"/>
      <c r="F933" s="10"/>
      <c r="G933" s="10"/>
      <c r="H933" s="10" t="s">
        <v>52</v>
      </c>
      <c r="I933" s="10">
        <v>21</v>
      </c>
      <c r="J933" s="10" t="s">
        <v>5963</v>
      </c>
      <c r="K933" s="10" t="s">
        <v>42</v>
      </c>
      <c r="L933" s="10">
        <f>Table1[[#This Row],[ENR]]-Table1[[#This Row],[CREDIT]]</f>
        <v>-1395.6499999999942</v>
      </c>
      <c r="M933" s="36">
        <v>230000</v>
      </c>
      <c r="N933" s="26">
        <v>228604.35</v>
      </c>
      <c r="O933" s="38">
        <v>194801.05</v>
      </c>
      <c r="P933" s="25">
        <v>33803.300000000003</v>
      </c>
      <c r="Q933" s="25">
        <v>16983.759999999998</v>
      </c>
      <c r="R933" s="10">
        <v>33803.300000000003</v>
      </c>
      <c r="S933" s="39">
        <v>19794.13</v>
      </c>
      <c r="T933" s="10" t="s">
        <v>44</v>
      </c>
      <c r="U933" s="10" t="s">
        <v>45</v>
      </c>
      <c r="V933" s="10">
        <v>0</v>
      </c>
      <c r="W933" s="25">
        <f>Table1[[#This Row],[STAB]]-Table1[[#This Row],[AMOUNT]]</f>
        <v>19794.13</v>
      </c>
      <c r="X933" s="10">
        <v>0</v>
      </c>
      <c r="Y933" s="10" t="s">
        <v>79</v>
      </c>
      <c r="Z933" s="10">
        <v>0</v>
      </c>
      <c r="AA933" s="10" t="s">
        <v>162</v>
      </c>
      <c r="AB933" s="10" t="s">
        <v>735</v>
      </c>
      <c r="AC933" s="10"/>
      <c r="AD933" s="9" t="s">
        <v>6034</v>
      </c>
      <c r="AE933" s="10" t="s">
        <v>6105</v>
      </c>
      <c r="AF933" s="10" t="s">
        <v>272</v>
      </c>
      <c r="AG933" s="10" t="s">
        <v>54</v>
      </c>
      <c r="AH933" s="10" t="s">
        <v>114</v>
      </c>
      <c r="AI933" s="10" t="s">
        <v>726</v>
      </c>
      <c r="AJ933" s="10">
        <v>801772792</v>
      </c>
      <c r="AK933" s="10" t="s">
        <v>105</v>
      </c>
      <c r="AL933" s="10"/>
      <c r="AM933" s="10"/>
      <c r="AN933" s="11" t="s">
        <v>46</v>
      </c>
      <c r="AO933" s="10"/>
      <c r="AP933" s="10"/>
      <c r="AQ933" s="10"/>
      <c r="AR933" s="2" t="s">
        <v>43</v>
      </c>
      <c r="AS933" s="10">
        <v>0</v>
      </c>
      <c r="AT933" s="10" t="s">
        <v>48</v>
      </c>
      <c r="AU933" s="10" t="s">
        <v>5730</v>
      </c>
      <c r="AV933" s="36" t="s">
        <v>6176</v>
      </c>
      <c r="AW933" s="1">
        <v>46212</v>
      </c>
    </row>
    <row r="934" spans="1:49" x14ac:dyDescent="0.25">
      <c r="A934" s="9" t="s">
        <v>5825</v>
      </c>
      <c r="B934" s="10" t="s">
        <v>5894</v>
      </c>
      <c r="C934" s="10">
        <v>0</v>
      </c>
      <c r="D934" s="10" t="s">
        <v>91</v>
      </c>
      <c r="E934" s="10"/>
      <c r="F934" s="10"/>
      <c r="G934" s="10"/>
      <c r="H934" s="10" t="s">
        <v>52</v>
      </c>
      <c r="I934" s="10">
        <v>21</v>
      </c>
      <c r="J934" s="10" t="s">
        <v>5964</v>
      </c>
      <c r="K934" s="10" t="s">
        <v>42</v>
      </c>
      <c r="L934" s="10">
        <f>Table1[[#This Row],[ENR]]-Table1[[#This Row],[CREDIT]]</f>
        <v>14824.770000000004</v>
      </c>
      <c r="M934" s="36">
        <v>77000</v>
      </c>
      <c r="N934" s="26">
        <v>91824.77</v>
      </c>
      <c r="O934" s="38" t="s">
        <v>43</v>
      </c>
      <c r="P934" s="25">
        <v>91824.77</v>
      </c>
      <c r="Q934" s="25">
        <v>80937.2</v>
      </c>
      <c r="R934" s="10">
        <v>32420</v>
      </c>
      <c r="S934" s="39">
        <v>18490</v>
      </c>
      <c r="T934" s="10" t="s">
        <v>44</v>
      </c>
      <c r="U934" s="10" t="s">
        <v>45</v>
      </c>
      <c r="V934" s="10">
        <v>0</v>
      </c>
      <c r="W934" s="25">
        <f>Table1[[#This Row],[STAB]]-Table1[[#This Row],[AMOUNT]]</f>
        <v>18490</v>
      </c>
      <c r="X934" s="10">
        <v>0</v>
      </c>
      <c r="Y934" s="10" t="s">
        <v>79</v>
      </c>
      <c r="Z934" s="10">
        <v>0</v>
      </c>
      <c r="AA934" s="10" t="s">
        <v>162</v>
      </c>
      <c r="AB934" s="36" t="s">
        <v>6383</v>
      </c>
      <c r="AC934" s="10"/>
      <c r="AD934" s="9" t="s">
        <v>6035</v>
      </c>
      <c r="AE934" s="10" t="s">
        <v>6106</v>
      </c>
      <c r="AF934" s="10" t="s">
        <v>278</v>
      </c>
      <c r="AG934" s="10" t="s">
        <v>54</v>
      </c>
      <c r="AH934" s="10" t="s">
        <v>86</v>
      </c>
      <c r="AI934" s="10" t="s">
        <v>369</v>
      </c>
      <c r="AJ934" s="10">
        <v>802823180</v>
      </c>
      <c r="AK934" s="10" t="s">
        <v>105</v>
      </c>
      <c r="AL934" s="10"/>
      <c r="AM934" s="10"/>
      <c r="AN934" s="11" t="s">
        <v>390</v>
      </c>
      <c r="AO934" s="10" t="s">
        <v>392</v>
      </c>
      <c r="AP934" s="10" t="s">
        <v>6360</v>
      </c>
      <c r="AQ934" s="10" t="s">
        <v>4976</v>
      </c>
      <c r="AR934" s="2">
        <v>46137</v>
      </c>
      <c r="AS934" s="10">
        <v>500</v>
      </c>
      <c r="AT934" s="10" t="s">
        <v>48</v>
      </c>
      <c r="AU934" s="10" t="s">
        <v>5730</v>
      </c>
      <c r="AV934" s="36" t="s">
        <v>6177</v>
      </c>
      <c r="AW934" s="1">
        <v>46212</v>
      </c>
    </row>
    <row r="935" spans="1:49" x14ac:dyDescent="0.25">
      <c r="A935" s="40" t="s">
        <v>5826</v>
      </c>
      <c r="B935" s="11" t="s">
        <v>5895</v>
      </c>
      <c r="C935" s="10">
        <v>0</v>
      </c>
      <c r="D935" s="10" t="s">
        <v>91</v>
      </c>
      <c r="E935" s="11"/>
      <c r="F935" s="11"/>
      <c r="G935" s="11"/>
      <c r="H935" s="10" t="s">
        <v>52</v>
      </c>
      <c r="I935" s="11">
        <v>21</v>
      </c>
      <c r="J935" s="11" t="s">
        <v>5965</v>
      </c>
      <c r="K935" s="11" t="s">
        <v>42</v>
      </c>
      <c r="L935" s="11">
        <f>Table1[[#This Row],[ENR]]-Table1[[#This Row],[CREDIT]]</f>
        <v>9401.8699999999953</v>
      </c>
      <c r="M935" s="41">
        <v>100000</v>
      </c>
      <c r="N935" s="42">
        <v>109401.87</v>
      </c>
      <c r="O935" s="43">
        <v>24383.93</v>
      </c>
      <c r="P935" s="44">
        <v>85017.94</v>
      </c>
      <c r="Q935" s="44">
        <v>72450.429999999993</v>
      </c>
      <c r="R935" s="11">
        <v>28730</v>
      </c>
      <c r="S935" s="45">
        <v>18140</v>
      </c>
      <c r="T935" s="10" t="s">
        <v>57</v>
      </c>
      <c r="U935" s="10" t="s">
        <v>13</v>
      </c>
      <c r="V935" s="10">
        <v>30000</v>
      </c>
      <c r="W935" s="44">
        <f>Table1[[#This Row],[STAB]]-Table1[[#This Row],[AMOUNT]]</f>
        <v>-11860</v>
      </c>
      <c r="X935" s="10" t="s">
        <v>6364</v>
      </c>
      <c r="Y935" s="10" t="s">
        <v>396</v>
      </c>
      <c r="Z935" s="10" t="s">
        <v>403</v>
      </c>
      <c r="AA935" s="10" t="s">
        <v>162</v>
      </c>
      <c r="AB935" s="10" t="s">
        <v>735</v>
      </c>
      <c r="AC935" s="11"/>
      <c r="AD935" s="40" t="s">
        <v>6036</v>
      </c>
      <c r="AE935" s="11" t="s">
        <v>6107</v>
      </c>
      <c r="AF935" s="11" t="s">
        <v>275</v>
      </c>
      <c r="AG935" s="10" t="s">
        <v>80</v>
      </c>
      <c r="AH935" s="11" t="s">
        <v>1999</v>
      </c>
      <c r="AI935" s="10" t="s">
        <v>368</v>
      </c>
      <c r="AJ935" s="11">
        <v>802823175</v>
      </c>
      <c r="AK935" s="11" t="s">
        <v>105</v>
      </c>
      <c r="AL935" s="11"/>
      <c r="AM935" s="11"/>
      <c r="AN935" s="11" t="s">
        <v>390</v>
      </c>
      <c r="AO935" s="11" t="s">
        <v>394</v>
      </c>
      <c r="AP935" s="11" t="s">
        <v>6386</v>
      </c>
      <c r="AQ935" s="11" t="s">
        <v>6364</v>
      </c>
      <c r="AR935" s="46">
        <v>46027</v>
      </c>
      <c r="AS935" s="11">
        <v>9570</v>
      </c>
      <c r="AT935" s="11" t="s">
        <v>292</v>
      </c>
      <c r="AU935" s="10" t="s">
        <v>5730</v>
      </c>
      <c r="AV935" s="41" t="s">
        <v>6178</v>
      </c>
      <c r="AW935" s="47">
        <v>46212</v>
      </c>
    </row>
    <row r="936" spans="1:49" x14ac:dyDescent="0.25">
      <c r="A936" s="40" t="s">
        <v>6181</v>
      </c>
      <c r="B936" s="11" t="s">
        <v>6188</v>
      </c>
      <c r="C936" s="10">
        <v>0</v>
      </c>
      <c r="D936" s="10" t="s">
        <v>91</v>
      </c>
      <c r="E936" s="11"/>
      <c r="F936" s="11"/>
      <c r="G936" s="11"/>
      <c r="H936" s="10" t="s">
        <v>52</v>
      </c>
      <c r="I936" s="11">
        <v>25</v>
      </c>
      <c r="J936" s="11" t="s">
        <v>6195</v>
      </c>
      <c r="K936" s="11" t="s">
        <v>42</v>
      </c>
      <c r="L936" s="11">
        <f>Table1[[#This Row],[ENR]]-Table1[[#This Row],[CREDIT]]</f>
        <v>8235.1199999999953</v>
      </c>
      <c r="M936" s="41">
        <v>290000</v>
      </c>
      <c r="N936" s="42">
        <v>298235.12</v>
      </c>
      <c r="O936" s="43">
        <v>201287.82</v>
      </c>
      <c r="P936" s="44">
        <v>96947.3</v>
      </c>
      <c r="Q936" s="44">
        <v>80301.05</v>
      </c>
      <c r="R936" s="11">
        <v>68490</v>
      </c>
      <c r="S936" s="45">
        <v>33015.79</v>
      </c>
      <c r="T936" s="10" t="s">
        <v>44</v>
      </c>
      <c r="U936" s="10" t="s">
        <v>45</v>
      </c>
      <c r="V936" s="10">
        <v>0</v>
      </c>
      <c r="W936" s="44">
        <f>Table1[[#This Row],[STAB]]-Table1[[#This Row],[AMOUNT]]</f>
        <v>33015.79</v>
      </c>
      <c r="X936" s="10">
        <v>0</v>
      </c>
      <c r="Y936" s="10" t="s">
        <v>79</v>
      </c>
      <c r="Z936" s="10">
        <v>0</v>
      </c>
      <c r="AA936" s="10" t="s">
        <v>162</v>
      </c>
      <c r="AB936" s="36" t="s">
        <v>736</v>
      </c>
      <c r="AC936" s="11"/>
      <c r="AD936" s="40" t="s">
        <v>6202</v>
      </c>
      <c r="AE936" s="11" t="s">
        <v>6209</v>
      </c>
      <c r="AF936" s="11" t="s">
        <v>497</v>
      </c>
      <c r="AG936" s="11" t="s">
        <v>148</v>
      </c>
      <c r="AH936" s="11" t="s">
        <v>60</v>
      </c>
      <c r="AI936" s="10" t="s">
        <v>366</v>
      </c>
      <c r="AJ936" s="10">
        <v>802789320</v>
      </c>
      <c r="AK936" s="10" t="s">
        <v>104</v>
      </c>
      <c r="AL936" s="11"/>
      <c r="AM936" s="11"/>
      <c r="AN936" s="11" t="s">
        <v>46</v>
      </c>
      <c r="AO936" s="11"/>
      <c r="AP936" s="11"/>
      <c r="AQ936" s="11"/>
      <c r="AR936" s="46">
        <v>46166</v>
      </c>
      <c r="AS936" s="11">
        <v>28277.88</v>
      </c>
      <c r="AT936" s="11" t="s">
        <v>291</v>
      </c>
      <c r="AU936" s="11" t="s">
        <v>6217</v>
      </c>
      <c r="AV936" s="41" t="s">
        <v>6218</v>
      </c>
      <c r="AW936" s="47">
        <v>46216</v>
      </c>
    </row>
    <row r="937" spans="1:49" x14ac:dyDescent="0.25">
      <c r="A937" s="40" t="s">
        <v>6182</v>
      </c>
      <c r="B937" s="11" t="s">
        <v>6189</v>
      </c>
      <c r="C937" s="10">
        <v>0</v>
      </c>
      <c r="D937" s="10" t="s">
        <v>91</v>
      </c>
      <c r="E937" s="11"/>
      <c r="F937" s="11"/>
      <c r="G937" s="11"/>
      <c r="H937" s="10" t="s">
        <v>52</v>
      </c>
      <c r="I937" s="11">
        <v>25</v>
      </c>
      <c r="J937" s="11" t="s">
        <v>6196</v>
      </c>
      <c r="K937" s="11" t="s">
        <v>42</v>
      </c>
      <c r="L937" s="11">
        <f>Table1[[#This Row],[ENR]]-Table1[[#This Row],[CREDIT]]</f>
        <v>-19924.97</v>
      </c>
      <c r="M937" s="41">
        <v>121000</v>
      </c>
      <c r="N937" s="42">
        <v>101075.03</v>
      </c>
      <c r="O937" s="43" t="s">
        <v>43</v>
      </c>
      <c r="P937" s="44">
        <v>101075.03</v>
      </c>
      <c r="Q937" s="44">
        <v>90515.59</v>
      </c>
      <c r="R937" s="11">
        <v>20280</v>
      </c>
      <c r="S937" s="45">
        <v>10130</v>
      </c>
      <c r="T937" s="10" t="s">
        <v>44</v>
      </c>
      <c r="U937" s="10" t="s">
        <v>45</v>
      </c>
      <c r="V937" s="10">
        <v>0</v>
      </c>
      <c r="W937" s="44">
        <f>Table1[[#This Row],[STAB]]-Table1[[#This Row],[AMOUNT]]</f>
        <v>10130</v>
      </c>
      <c r="X937" s="10">
        <v>0</v>
      </c>
      <c r="Y937" s="10" t="s">
        <v>79</v>
      </c>
      <c r="Z937" s="10">
        <v>0</v>
      </c>
      <c r="AA937" s="10" t="s">
        <v>162</v>
      </c>
      <c r="AB937" s="36" t="s">
        <v>733</v>
      </c>
      <c r="AC937" s="11"/>
      <c r="AD937" s="40" t="s">
        <v>6203</v>
      </c>
      <c r="AE937" s="11" t="s">
        <v>6210</v>
      </c>
      <c r="AF937" s="11" t="s">
        <v>686</v>
      </c>
      <c r="AG937" s="11" t="s">
        <v>324</v>
      </c>
      <c r="AH937" s="11" t="s">
        <v>722</v>
      </c>
      <c r="AI937" s="10" t="s">
        <v>370</v>
      </c>
      <c r="AJ937" s="10">
        <v>801448854</v>
      </c>
      <c r="AK937" s="10" t="s">
        <v>105</v>
      </c>
      <c r="AL937" s="11"/>
      <c r="AM937" s="11"/>
      <c r="AN937" s="11" t="s">
        <v>46</v>
      </c>
      <c r="AO937" s="11"/>
      <c r="AP937" s="11"/>
      <c r="AQ937" s="11"/>
      <c r="AR937" s="46">
        <v>45811</v>
      </c>
      <c r="AS937" s="11">
        <v>7552.26</v>
      </c>
      <c r="AT937" s="11" t="s">
        <v>688</v>
      </c>
      <c r="AU937" s="11" t="s">
        <v>6217</v>
      </c>
      <c r="AV937" s="41" t="s">
        <v>6219</v>
      </c>
      <c r="AW937" s="47">
        <v>46216</v>
      </c>
    </row>
    <row r="938" spans="1:49" x14ac:dyDescent="0.25">
      <c r="A938" s="40" t="s">
        <v>6183</v>
      </c>
      <c r="B938" s="11" t="s">
        <v>6190</v>
      </c>
      <c r="C938" s="10">
        <v>0</v>
      </c>
      <c r="D938" s="10" t="s">
        <v>91</v>
      </c>
      <c r="E938" s="11"/>
      <c r="F938" s="11"/>
      <c r="G938" s="11"/>
      <c r="H938" s="10" t="s">
        <v>52</v>
      </c>
      <c r="I938" s="11">
        <v>25</v>
      </c>
      <c r="J938" s="11" t="s">
        <v>6197</v>
      </c>
      <c r="K938" s="11" t="s">
        <v>42</v>
      </c>
      <c r="L938" s="11">
        <f>Table1[[#This Row],[ENR]]-Table1[[#This Row],[CREDIT]]</f>
        <v>7850.6199999999953</v>
      </c>
      <c r="M938" s="41">
        <v>100000</v>
      </c>
      <c r="N938" s="42">
        <v>107850.62</v>
      </c>
      <c r="O938" s="43">
        <v>47765.3</v>
      </c>
      <c r="P938" s="44">
        <v>60085.32</v>
      </c>
      <c r="Q938" s="44">
        <v>51427.48</v>
      </c>
      <c r="R938" s="11">
        <v>20790</v>
      </c>
      <c r="S938" s="45">
        <v>7370</v>
      </c>
      <c r="T938" s="10" t="s">
        <v>44</v>
      </c>
      <c r="U938" s="10" t="s">
        <v>45</v>
      </c>
      <c r="V938" s="10">
        <v>0</v>
      </c>
      <c r="W938" s="44">
        <f>Table1[[#This Row],[STAB]]-Table1[[#This Row],[AMOUNT]]</f>
        <v>7370</v>
      </c>
      <c r="X938" s="10">
        <v>0</v>
      </c>
      <c r="Y938" s="10" t="s">
        <v>79</v>
      </c>
      <c r="Z938" s="10">
        <v>0</v>
      </c>
      <c r="AA938" s="10" t="s">
        <v>162</v>
      </c>
      <c r="AB938" s="36" t="s">
        <v>734</v>
      </c>
      <c r="AC938" s="11"/>
      <c r="AD938" s="40" t="s">
        <v>6204</v>
      </c>
      <c r="AE938" s="11" t="s">
        <v>6211</v>
      </c>
      <c r="AF938" s="11" t="s">
        <v>275</v>
      </c>
      <c r="AG938" s="11" t="s">
        <v>80</v>
      </c>
      <c r="AH938" s="11" t="s">
        <v>524</v>
      </c>
      <c r="AI938" s="10" t="s">
        <v>82</v>
      </c>
      <c r="AJ938" s="10">
        <v>801723195</v>
      </c>
      <c r="AK938" s="10" t="s">
        <v>105</v>
      </c>
      <c r="AL938" s="11"/>
      <c r="AM938" s="11"/>
      <c r="AN938" s="11" t="s">
        <v>46</v>
      </c>
      <c r="AO938" s="11"/>
      <c r="AP938" s="11"/>
      <c r="AQ938" s="11"/>
      <c r="AR938" s="46">
        <v>45467</v>
      </c>
      <c r="AS938" s="11">
        <v>6000</v>
      </c>
      <c r="AT938" s="11" t="s">
        <v>291</v>
      </c>
      <c r="AU938" s="11" t="s">
        <v>6217</v>
      </c>
      <c r="AV938" s="41" t="s">
        <v>6220</v>
      </c>
      <c r="AW938" s="47">
        <v>46216</v>
      </c>
    </row>
    <row r="939" spans="1:49" x14ac:dyDescent="0.25">
      <c r="A939" s="9" t="s">
        <v>6184</v>
      </c>
      <c r="B939" s="10" t="s">
        <v>6191</v>
      </c>
      <c r="C939" s="10">
        <v>0</v>
      </c>
      <c r="D939" s="10" t="s">
        <v>91</v>
      </c>
      <c r="E939" s="10"/>
      <c r="F939" s="10"/>
      <c r="G939" s="10"/>
      <c r="H939" s="10" t="s">
        <v>52</v>
      </c>
      <c r="I939" s="10">
        <v>26</v>
      </c>
      <c r="J939" s="10" t="s">
        <v>6198</v>
      </c>
      <c r="K939" s="10" t="s">
        <v>42</v>
      </c>
      <c r="L939" s="10">
        <f>Table1[[#This Row],[ENR]]-Table1[[#This Row],[CREDIT]]</f>
        <v>9473.3099999999977</v>
      </c>
      <c r="M939" s="36">
        <v>110000</v>
      </c>
      <c r="N939" s="26">
        <v>119473.31</v>
      </c>
      <c r="O939" s="38">
        <v>77842.17</v>
      </c>
      <c r="P939" s="25">
        <v>41631.14</v>
      </c>
      <c r="Q939" s="25">
        <v>31849.81</v>
      </c>
      <c r="R939" s="10">
        <v>29800</v>
      </c>
      <c r="S939" s="39">
        <v>14780</v>
      </c>
      <c r="T939" s="10" t="s">
        <v>44</v>
      </c>
      <c r="U939" s="10" t="s">
        <v>45</v>
      </c>
      <c r="V939" s="10">
        <v>19</v>
      </c>
      <c r="W939" s="25">
        <f>Table1[[#This Row],[STAB]]-Table1[[#This Row],[AMOUNT]]</f>
        <v>14761</v>
      </c>
      <c r="X939" s="10">
        <v>0</v>
      </c>
      <c r="Y939" s="10" t="s">
        <v>79</v>
      </c>
      <c r="Z939" s="10" t="s">
        <v>963</v>
      </c>
      <c r="AA939" s="10" t="s">
        <v>162</v>
      </c>
      <c r="AB939" s="36" t="s">
        <v>736</v>
      </c>
      <c r="AC939" s="10"/>
      <c r="AD939" s="9" t="s">
        <v>6205</v>
      </c>
      <c r="AE939" s="10" t="s">
        <v>6212</v>
      </c>
      <c r="AF939" s="10" t="s">
        <v>276</v>
      </c>
      <c r="AG939" s="10" t="s">
        <v>324</v>
      </c>
      <c r="AH939" s="10" t="s">
        <v>354</v>
      </c>
      <c r="AI939" s="10" t="s">
        <v>367</v>
      </c>
      <c r="AJ939" s="10">
        <v>801436997</v>
      </c>
      <c r="AK939" s="10" t="s">
        <v>104</v>
      </c>
      <c r="AL939" s="10"/>
      <c r="AM939" s="10"/>
      <c r="AN939" s="11" t="s">
        <v>46</v>
      </c>
      <c r="AO939" s="10"/>
      <c r="AP939" s="10"/>
      <c r="AQ939" s="10"/>
      <c r="AR939" s="2">
        <v>46144</v>
      </c>
      <c r="AS939" s="10">
        <v>36230</v>
      </c>
      <c r="AT939" s="10" t="s">
        <v>503</v>
      </c>
      <c r="AU939" s="11" t="s">
        <v>6217</v>
      </c>
      <c r="AV939" s="36" t="s">
        <v>6221</v>
      </c>
      <c r="AW939" s="1">
        <v>46217</v>
      </c>
    </row>
    <row r="940" spans="1:49" x14ac:dyDescent="0.25">
      <c r="A940" s="9" t="s">
        <v>6185</v>
      </c>
      <c r="B940" s="10" t="s">
        <v>6192</v>
      </c>
      <c r="C940" s="10">
        <v>0</v>
      </c>
      <c r="D940" s="10" t="s">
        <v>91</v>
      </c>
      <c r="E940" s="10"/>
      <c r="F940" s="10"/>
      <c r="G940" s="10"/>
      <c r="H940" s="10" t="s">
        <v>52</v>
      </c>
      <c r="I940" s="10">
        <v>26</v>
      </c>
      <c r="J940" s="10" t="s">
        <v>6199</v>
      </c>
      <c r="K940" s="10" t="s">
        <v>244</v>
      </c>
      <c r="L940" s="10">
        <f>Table1[[#This Row],[ENR]]-Table1[[#This Row],[CREDIT]]</f>
        <v>-80688.92</v>
      </c>
      <c r="M940" s="36">
        <v>150000</v>
      </c>
      <c r="N940" s="26">
        <v>69311.08</v>
      </c>
      <c r="O940" s="38">
        <v>50424.08</v>
      </c>
      <c r="P940" s="25">
        <v>18887</v>
      </c>
      <c r="Q940" s="25">
        <v>15613.46</v>
      </c>
      <c r="R940" s="10">
        <v>18887</v>
      </c>
      <c r="S940" s="39">
        <v>9642.5499999999993</v>
      </c>
      <c r="T940" s="10" t="s">
        <v>44</v>
      </c>
      <c r="U940" s="10" t="s">
        <v>45</v>
      </c>
      <c r="V940" s="10">
        <v>0</v>
      </c>
      <c r="W940" s="25">
        <f>Table1[[#This Row],[STAB]]-Table1[[#This Row],[AMOUNT]]</f>
        <v>9642.5499999999993</v>
      </c>
      <c r="X940" s="10">
        <v>0</v>
      </c>
      <c r="Y940" s="10" t="s">
        <v>79</v>
      </c>
      <c r="Z940" s="10">
        <v>0</v>
      </c>
      <c r="AA940" s="10" t="s">
        <v>162</v>
      </c>
      <c r="AB940" s="36" t="s">
        <v>736</v>
      </c>
      <c r="AC940" s="10"/>
      <c r="AD940" s="9" t="s">
        <v>6206</v>
      </c>
      <c r="AE940" s="10" t="s">
        <v>6213</v>
      </c>
      <c r="AF940" s="10" t="s">
        <v>276</v>
      </c>
      <c r="AG940" s="10" t="s">
        <v>324</v>
      </c>
      <c r="AH940" s="10" t="s">
        <v>56</v>
      </c>
      <c r="AI940" s="10" t="s">
        <v>370</v>
      </c>
      <c r="AJ940" s="10">
        <v>801448854</v>
      </c>
      <c r="AK940" s="10" t="s">
        <v>105</v>
      </c>
      <c r="AL940" s="10"/>
      <c r="AM940" s="10"/>
      <c r="AN940" s="11" t="s">
        <v>46</v>
      </c>
      <c r="AO940" s="10"/>
      <c r="AP940" s="10"/>
      <c r="AQ940" s="10"/>
      <c r="AR940" s="2">
        <v>45901</v>
      </c>
      <c r="AS940" s="10">
        <v>200</v>
      </c>
      <c r="AT940" s="10" t="s">
        <v>47</v>
      </c>
      <c r="AU940" s="11" t="s">
        <v>6217</v>
      </c>
      <c r="AV940" s="36" t="s">
        <v>6222</v>
      </c>
      <c r="AW940" s="1">
        <v>46217</v>
      </c>
    </row>
    <row r="941" spans="1:49" x14ac:dyDescent="0.25">
      <c r="A941" s="9" t="s">
        <v>6186</v>
      </c>
      <c r="B941" s="10" t="s">
        <v>6193</v>
      </c>
      <c r="C941" s="10">
        <v>0</v>
      </c>
      <c r="D941" s="10" t="s">
        <v>91</v>
      </c>
      <c r="E941" s="10"/>
      <c r="F941" s="10"/>
      <c r="G941" s="10"/>
      <c r="H941" s="10" t="s">
        <v>52</v>
      </c>
      <c r="I941" s="10">
        <v>26</v>
      </c>
      <c r="J941" s="10" t="s">
        <v>6200</v>
      </c>
      <c r="K941" s="10" t="s">
        <v>42</v>
      </c>
      <c r="L941" s="10">
        <f>Table1[[#This Row],[ENR]]-Table1[[#This Row],[CREDIT]]</f>
        <v>23425.300000000003</v>
      </c>
      <c r="M941" s="36">
        <v>50000</v>
      </c>
      <c r="N941" s="26">
        <v>73425.3</v>
      </c>
      <c r="O941" s="38">
        <v>44249.59</v>
      </c>
      <c r="P941" s="25">
        <v>29175.71</v>
      </c>
      <c r="Q941" s="25">
        <v>25404.04</v>
      </c>
      <c r="R941" s="10">
        <v>28870</v>
      </c>
      <c r="S941" s="39">
        <v>13312.82</v>
      </c>
      <c r="T941" s="10" t="s">
        <v>44</v>
      </c>
      <c r="U941" s="10" t="s">
        <v>45</v>
      </c>
      <c r="V941" s="10">
        <v>0</v>
      </c>
      <c r="W941" s="25">
        <f>Table1[[#This Row],[STAB]]-Table1[[#This Row],[AMOUNT]]</f>
        <v>13312.82</v>
      </c>
      <c r="X941" s="10">
        <v>0</v>
      </c>
      <c r="Y941" s="10" t="s">
        <v>79</v>
      </c>
      <c r="Z941" s="10">
        <v>0</v>
      </c>
      <c r="AA941" s="10" t="s">
        <v>162</v>
      </c>
      <c r="AB941" s="36" t="s">
        <v>736</v>
      </c>
      <c r="AC941" s="10"/>
      <c r="AD941" s="9" t="s">
        <v>6207</v>
      </c>
      <c r="AE941" s="10" t="s">
        <v>6214</v>
      </c>
      <c r="AF941" s="10" t="s">
        <v>281</v>
      </c>
      <c r="AG941" s="10" t="s">
        <v>54</v>
      </c>
      <c r="AH941" s="10" t="s">
        <v>58</v>
      </c>
      <c r="AI941" s="10" t="s">
        <v>133</v>
      </c>
      <c r="AJ941" s="10">
        <v>802555024</v>
      </c>
      <c r="AK941" s="10" t="s">
        <v>362</v>
      </c>
      <c r="AL941" s="10"/>
      <c r="AM941" s="10"/>
      <c r="AN941" s="11" t="s">
        <v>390</v>
      </c>
      <c r="AO941" s="10" t="s">
        <v>394</v>
      </c>
      <c r="AP941" s="10" t="s">
        <v>6394</v>
      </c>
      <c r="AQ941" s="10" t="s">
        <v>6364</v>
      </c>
      <c r="AR941" s="2">
        <v>45813</v>
      </c>
      <c r="AS941" s="10">
        <v>12000</v>
      </c>
      <c r="AT941" s="10" t="s">
        <v>47</v>
      </c>
      <c r="AU941" s="11" t="s">
        <v>6217</v>
      </c>
      <c r="AV941" s="36" t="s">
        <v>6223</v>
      </c>
      <c r="AW941" s="1">
        <v>46217</v>
      </c>
    </row>
    <row r="942" spans="1:49" x14ac:dyDescent="0.25">
      <c r="A942" s="40" t="s">
        <v>6187</v>
      </c>
      <c r="B942" s="11" t="s">
        <v>6194</v>
      </c>
      <c r="C942" s="10">
        <v>0</v>
      </c>
      <c r="D942" s="10" t="s">
        <v>91</v>
      </c>
      <c r="E942" s="11"/>
      <c r="F942" s="11"/>
      <c r="G942" s="11"/>
      <c r="H942" s="10" t="s">
        <v>52</v>
      </c>
      <c r="I942" s="11">
        <v>27</v>
      </c>
      <c r="J942" s="11" t="s">
        <v>6201</v>
      </c>
      <c r="K942" s="11" t="s">
        <v>42</v>
      </c>
      <c r="L942" s="11">
        <f>Table1[[#This Row],[ENR]]-Table1[[#This Row],[CREDIT]]</f>
        <v>79892.040000000037</v>
      </c>
      <c r="M942" s="41">
        <v>1000000</v>
      </c>
      <c r="N942" s="42">
        <v>1079892.04</v>
      </c>
      <c r="O942" s="43" t="s">
        <v>43</v>
      </c>
      <c r="P942" s="44">
        <v>1079892.04</v>
      </c>
      <c r="Q942" s="44">
        <v>980647.24</v>
      </c>
      <c r="R942" s="11">
        <v>235730</v>
      </c>
      <c r="S942" s="45">
        <v>96949.94</v>
      </c>
      <c r="T942" s="10" t="s">
        <v>44</v>
      </c>
      <c r="U942" s="10" t="s">
        <v>45</v>
      </c>
      <c r="V942" s="10">
        <v>0</v>
      </c>
      <c r="W942" s="44">
        <f>Table1[[#This Row],[STAB]]-Table1[[#This Row],[AMOUNT]]</f>
        <v>96949.94</v>
      </c>
      <c r="X942" s="10">
        <v>0</v>
      </c>
      <c r="Y942" s="10" t="s">
        <v>79</v>
      </c>
      <c r="Z942" s="10">
        <v>0</v>
      </c>
      <c r="AA942" s="10" t="s">
        <v>162</v>
      </c>
      <c r="AB942" s="10" t="s">
        <v>735</v>
      </c>
      <c r="AC942" s="11"/>
      <c r="AD942" s="40" t="s">
        <v>6208</v>
      </c>
      <c r="AE942" s="11" t="s">
        <v>6215</v>
      </c>
      <c r="AF942" s="11" t="s">
        <v>685</v>
      </c>
      <c r="AG942" s="11" t="s">
        <v>54</v>
      </c>
      <c r="AH942" s="11" t="s">
        <v>1398</v>
      </c>
      <c r="AI942" s="10" t="s">
        <v>162</v>
      </c>
      <c r="AJ942" s="10">
        <v>801772794</v>
      </c>
      <c r="AK942" s="10" t="s">
        <v>361</v>
      </c>
      <c r="AL942" s="11"/>
      <c r="AM942" s="11"/>
      <c r="AN942" s="11" t="s">
        <v>46</v>
      </c>
      <c r="AO942" s="11"/>
      <c r="AP942" s="11"/>
      <c r="AQ942" s="11"/>
      <c r="AR942" s="46">
        <v>46158</v>
      </c>
      <c r="AS942" s="11">
        <v>320000</v>
      </c>
      <c r="AT942" s="11" t="s">
        <v>6216</v>
      </c>
      <c r="AU942" s="11" t="s">
        <v>6217</v>
      </c>
      <c r="AV942" s="41" t="s">
        <v>6224</v>
      </c>
      <c r="AW942" s="47">
        <v>46218</v>
      </c>
    </row>
    <row r="943" spans="1:49" x14ac:dyDescent="0.25">
      <c r="A943" s="9" t="s">
        <v>6242</v>
      </c>
      <c r="B943" s="10" t="s">
        <v>6254</v>
      </c>
      <c r="C943" s="10">
        <v>0</v>
      </c>
      <c r="D943" s="10" t="s">
        <v>91</v>
      </c>
      <c r="E943" s="10"/>
      <c r="F943" s="10"/>
      <c r="G943" s="10"/>
      <c r="H943" s="10" t="s">
        <v>52</v>
      </c>
      <c r="I943" s="10">
        <v>21</v>
      </c>
      <c r="J943" s="10" t="s">
        <v>6266</v>
      </c>
      <c r="K943" s="10" t="s">
        <v>42</v>
      </c>
      <c r="L943" s="10">
        <f>Table1[[#This Row],[ENR]]-Table1[[#This Row],[CREDIT]]</f>
        <v>12252.169999999984</v>
      </c>
      <c r="M943" s="36">
        <v>250000</v>
      </c>
      <c r="N943" s="26">
        <v>262252.17</v>
      </c>
      <c r="O943" s="38">
        <v>146608.43</v>
      </c>
      <c r="P943" s="25">
        <v>115643.74</v>
      </c>
      <c r="Q943" s="25">
        <v>100326.82</v>
      </c>
      <c r="R943" s="10">
        <v>37670</v>
      </c>
      <c r="S943" s="39">
        <v>16150</v>
      </c>
      <c r="T943" s="10" t="s">
        <v>57</v>
      </c>
      <c r="U943" s="10" t="s">
        <v>13</v>
      </c>
      <c r="V943" s="10">
        <v>37670</v>
      </c>
      <c r="W943" s="25">
        <f>Table1[[#This Row],[STAB]]-Table1[[#This Row],[AMOUNT]]</f>
        <v>-21520</v>
      </c>
      <c r="X943" s="10" t="s">
        <v>4976</v>
      </c>
      <c r="Y943" s="10" t="s">
        <v>402</v>
      </c>
      <c r="Z943" s="10" t="s">
        <v>403</v>
      </c>
      <c r="AA943" s="10" t="s">
        <v>162</v>
      </c>
      <c r="AB943" s="36" t="s">
        <v>736</v>
      </c>
      <c r="AC943" s="10"/>
      <c r="AD943" s="9" t="s">
        <v>6278</v>
      </c>
      <c r="AE943" s="10" t="s">
        <v>6290</v>
      </c>
      <c r="AF943" s="10" t="s">
        <v>2619</v>
      </c>
      <c r="AG943" s="10" t="s">
        <v>53</v>
      </c>
      <c r="AH943" s="10" t="s">
        <v>55</v>
      </c>
      <c r="AI943" s="10" t="s">
        <v>365</v>
      </c>
      <c r="AJ943" s="10">
        <v>802824019</v>
      </c>
      <c r="AK943" s="10" t="s">
        <v>360</v>
      </c>
      <c r="AL943" s="10"/>
      <c r="AM943" s="10"/>
      <c r="AN943" s="11" t="s">
        <v>390</v>
      </c>
      <c r="AO943" s="10"/>
      <c r="AP943" s="10"/>
      <c r="AQ943" s="10"/>
      <c r="AR943" s="2">
        <v>45543</v>
      </c>
      <c r="AS943" s="10">
        <v>70000</v>
      </c>
      <c r="AT943" s="10" t="s">
        <v>289</v>
      </c>
      <c r="AU943" s="11" t="s">
        <v>6217</v>
      </c>
      <c r="AV943" s="36" t="s">
        <v>6302</v>
      </c>
      <c r="AW943" s="1">
        <v>46212</v>
      </c>
    </row>
    <row r="944" spans="1:49" x14ac:dyDescent="0.25">
      <c r="A944" s="9" t="s">
        <v>6243</v>
      </c>
      <c r="B944" s="10" t="s">
        <v>6255</v>
      </c>
      <c r="C944" s="10">
        <v>0</v>
      </c>
      <c r="D944" s="10" t="s">
        <v>91</v>
      </c>
      <c r="E944" s="10"/>
      <c r="F944" s="10"/>
      <c r="G944" s="10"/>
      <c r="H944" s="10" t="s">
        <v>52</v>
      </c>
      <c r="I944" s="10">
        <v>21</v>
      </c>
      <c r="J944" s="10" t="s">
        <v>6267</v>
      </c>
      <c r="K944" s="10" t="s">
        <v>42</v>
      </c>
      <c r="L944" s="10">
        <f>Table1[[#This Row],[ENR]]-Table1[[#This Row],[CREDIT]]</f>
        <v>1574.5599999999977</v>
      </c>
      <c r="M944" s="36">
        <v>200000</v>
      </c>
      <c r="N944" s="26">
        <v>201574.56</v>
      </c>
      <c r="O944" s="38">
        <v>128179.92</v>
      </c>
      <c r="P944" s="25">
        <v>73394.64</v>
      </c>
      <c r="Q944" s="25">
        <v>62059.67</v>
      </c>
      <c r="R944" s="10">
        <v>36980</v>
      </c>
      <c r="S944" s="39">
        <v>19730</v>
      </c>
      <c r="T944" s="10" t="s">
        <v>44</v>
      </c>
      <c r="U944" s="10" t="s">
        <v>45</v>
      </c>
      <c r="V944" s="10">
        <v>0</v>
      </c>
      <c r="W944" s="25">
        <f>Table1[[#This Row],[STAB]]-Table1[[#This Row],[AMOUNT]]</f>
        <v>19730</v>
      </c>
      <c r="X944" s="10">
        <v>0</v>
      </c>
      <c r="Y944" s="10" t="s">
        <v>79</v>
      </c>
      <c r="Z944" s="10">
        <v>0</v>
      </c>
      <c r="AA944" s="10" t="s">
        <v>162</v>
      </c>
      <c r="AB944" s="36" t="s">
        <v>733</v>
      </c>
      <c r="AC944" s="10"/>
      <c r="AD944" s="9" t="s">
        <v>6279</v>
      </c>
      <c r="AE944" s="10" t="s">
        <v>6291</v>
      </c>
      <c r="AF944" s="10" t="s">
        <v>864</v>
      </c>
      <c r="AG944" s="10" t="s">
        <v>54</v>
      </c>
      <c r="AH944" s="10" t="s">
        <v>1398</v>
      </c>
      <c r="AI944" s="10" t="s">
        <v>162</v>
      </c>
      <c r="AJ944" s="10">
        <v>801772794</v>
      </c>
      <c r="AK944" s="10" t="s">
        <v>361</v>
      </c>
      <c r="AL944" s="10"/>
      <c r="AM944" s="10"/>
      <c r="AN944" s="11" t="s">
        <v>46</v>
      </c>
      <c r="AO944" s="10"/>
      <c r="AP944" s="10"/>
      <c r="AQ944" s="10"/>
      <c r="AR944" s="2">
        <v>45538</v>
      </c>
      <c r="AS944" s="10">
        <v>15000</v>
      </c>
      <c r="AT944" s="10" t="s">
        <v>289</v>
      </c>
      <c r="AU944" s="11" t="s">
        <v>6217</v>
      </c>
      <c r="AV944" s="36" t="s">
        <v>6303</v>
      </c>
      <c r="AW944" s="1">
        <v>46212</v>
      </c>
    </row>
    <row r="945" spans="1:49" x14ac:dyDescent="0.25">
      <c r="A945" s="40" t="s">
        <v>6244</v>
      </c>
      <c r="B945" s="11" t="s">
        <v>6256</v>
      </c>
      <c r="C945" s="10">
        <v>0</v>
      </c>
      <c r="D945" s="10" t="s">
        <v>91</v>
      </c>
      <c r="E945" s="11"/>
      <c r="F945" s="11"/>
      <c r="G945" s="11"/>
      <c r="H945" s="10" t="s">
        <v>52</v>
      </c>
      <c r="I945" s="11">
        <v>21</v>
      </c>
      <c r="J945" s="11" t="s">
        <v>6268</v>
      </c>
      <c r="K945" s="11" t="s">
        <v>42</v>
      </c>
      <c r="L945" s="11">
        <f>Table1[[#This Row],[ENR]]-Table1[[#This Row],[CREDIT]]</f>
        <v>-29673.619999999995</v>
      </c>
      <c r="M945" s="41">
        <v>130000</v>
      </c>
      <c r="N945" s="42">
        <v>100326.38</v>
      </c>
      <c r="O945" s="43" t="s">
        <v>43</v>
      </c>
      <c r="P945" s="44">
        <v>100326.38</v>
      </c>
      <c r="Q945" s="44">
        <v>27484.93</v>
      </c>
      <c r="R945" s="11">
        <v>75530</v>
      </c>
      <c r="S945" s="45">
        <v>68030</v>
      </c>
      <c r="T945" s="10" t="s">
        <v>44</v>
      </c>
      <c r="U945" s="10" t="s">
        <v>45</v>
      </c>
      <c r="V945" s="10">
        <v>0</v>
      </c>
      <c r="W945" s="44">
        <f>Table1[[#This Row],[STAB]]-Table1[[#This Row],[AMOUNT]]</f>
        <v>68030</v>
      </c>
      <c r="X945" s="10">
        <v>0</v>
      </c>
      <c r="Y945" s="10" t="s">
        <v>79</v>
      </c>
      <c r="Z945" s="10">
        <v>0</v>
      </c>
      <c r="AA945" s="10" t="s">
        <v>162</v>
      </c>
      <c r="AB945" s="36" t="s">
        <v>734</v>
      </c>
      <c r="AC945" s="11"/>
      <c r="AD945" s="40" t="s">
        <v>6280</v>
      </c>
      <c r="AE945" s="11" t="s">
        <v>6292</v>
      </c>
      <c r="AF945" s="11" t="s">
        <v>278</v>
      </c>
      <c r="AG945" s="11" t="s">
        <v>54</v>
      </c>
      <c r="AH945" s="11" t="s">
        <v>723</v>
      </c>
      <c r="AI945" s="10" t="s">
        <v>369</v>
      </c>
      <c r="AJ945" s="10">
        <v>802823180</v>
      </c>
      <c r="AK945" s="10" t="s">
        <v>105</v>
      </c>
      <c r="AL945" s="11"/>
      <c r="AM945" s="11"/>
      <c r="AN945" s="11" t="s">
        <v>46</v>
      </c>
      <c r="AO945" s="11"/>
      <c r="AP945" s="11"/>
      <c r="AQ945" s="11"/>
      <c r="AR945" s="46">
        <v>45544</v>
      </c>
      <c r="AS945" s="11">
        <v>14640.82</v>
      </c>
      <c r="AT945" s="11" t="s">
        <v>690</v>
      </c>
      <c r="AU945" s="11" t="s">
        <v>6217</v>
      </c>
      <c r="AV945" s="41" t="s">
        <v>6304</v>
      </c>
      <c r="AW945" s="47">
        <v>46212</v>
      </c>
    </row>
    <row r="946" spans="1:49" x14ac:dyDescent="0.25">
      <c r="A946" s="9" t="s">
        <v>6245</v>
      </c>
      <c r="B946" s="10" t="s">
        <v>6257</v>
      </c>
      <c r="C946" s="10">
        <v>0</v>
      </c>
      <c r="D946" s="10" t="s">
        <v>91</v>
      </c>
      <c r="E946" s="10"/>
      <c r="F946" s="10"/>
      <c r="G946" s="10"/>
      <c r="H946" s="10" t="s">
        <v>52</v>
      </c>
      <c r="I946" s="10">
        <v>21</v>
      </c>
      <c r="J946" s="10" t="s">
        <v>6269</v>
      </c>
      <c r="K946" s="10" t="s">
        <v>42</v>
      </c>
      <c r="L946" s="10">
        <f>Table1[[#This Row],[ENR]]-Table1[[#This Row],[CREDIT]]</f>
        <v>271400.56</v>
      </c>
      <c r="M946" s="36">
        <v>80000</v>
      </c>
      <c r="N946" s="26">
        <v>351400.56</v>
      </c>
      <c r="O946" s="38">
        <v>313715.31</v>
      </c>
      <c r="P946" s="25">
        <v>37685.25</v>
      </c>
      <c r="Q946" s="25">
        <v>31559.18</v>
      </c>
      <c r="R946" s="10">
        <v>37685.25</v>
      </c>
      <c r="S946" s="39">
        <v>15194.37</v>
      </c>
      <c r="T946" s="10" t="s">
        <v>44</v>
      </c>
      <c r="U946" s="10" t="s">
        <v>45</v>
      </c>
      <c r="V946" s="10">
        <v>0</v>
      </c>
      <c r="W946" s="25">
        <f>Table1[[#This Row],[STAB]]-Table1[[#This Row],[AMOUNT]]</f>
        <v>15194.37</v>
      </c>
      <c r="X946" s="10">
        <v>0</v>
      </c>
      <c r="Y946" s="10" t="s">
        <v>79</v>
      </c>
      <c r="Z946" s="10">
        <v>0</v>
      </c>
      <c r="AA946" s="10" t="s">
        <v>162</v>
      </c>
      <c r="AB946" s="10" t="s">
        <v>735</v>
      </c>
      <c r="AC946" s="10"/>
      <c r="AD946" s="9" t="s">
        <v>6281</v>
      </c>
      <c r="AE946" s="10" t="s">
        <v>6293</v>
      </c>
      <c r="AF946" s="10" t="s">
        <v>275</v>
      </c>
      <c r="AG946" s="10" t="s">
        <v>80</v>
      </c>
      <c r="AH946" s="10" t="s">
        <v>115</v>
      </c>
      <c r="AI946" s="10" t="s">
        <v>368</v>
      </c>
      <c r="AJ946" s="10">
        <v>802823175</v>
      </c>
      <c r="AK946" s="10" t="s">
        <v>105</v>
      </c>
      <c r="AL946" s="10"/>
      <c r="AM946" s="10"/>
      <c r="AN946" s="11" t="s">
        <v>46</v>
      </c>
      <c r="AO946" s="10"/>
      <c r="AP946" s="10"/>
      <c r="AQ946" s="10"/>
      <c r="AR946" s="2">
        <v>45815</v>
      </c>
      <c r="AS946" s="10">
        <v>77141</v>
      </c>
      <c r="AT946" s="10" t="s">
        <v>48</v>
      </c>
      <c r="AU946" s="11" t="s">
        <v>6217</v>
      </c>
      <c r="AV946" s="36" t="s">
        <v>6305</v>
      </c>
      <c r="AW946" s="1">
        <v>46212</v>
      </c>
    </row>
    <row r="947" spans="1:49" x14ac:dyDescent="0.25">
      <c r="A947" s="9" t="s">
        <v>6246</v>
      </c>
      <c r="B947" s="10" t="s">
        <v>6258</v>
      </c>
      <c r="C947" s="10">
        <v>0</v>
      </c>
      <c r="D947" s="10" t="s">
        <v>91</v>
      </c>
      <c r="E947" s="10"/>
      <c r="F947" s="10"/>
      <c r="G947" s="10"/>
      <c r="H947" s="10" t="s">
        <v>52</v>
      </c>
      <c r="I947" s="10">
        <v>21</v>
      </c>
      <c r="J947" s="10" t="s">
        <v>6270</v>
      </c>
      <c r="K947" s="10" t="s">
        <v>42</v>
      </c>
      <c r="L947" s="10">
        <f>Table1[[#This Row],[ENR]]-Table1[[#This Row],[CREDIT]]</f>
        <v>4176.5500000000029</v>
      </c>
      <c r="M947" s="36">
        <v>100000</v>
      </c>
      <c r="N947" s="26">
        <v>104176.55</v>
      </c>
      <c r="O947" s="38">
        <v>72560.73</v>
      </c>
      <c r="P947" s="25">
        <v>31615.82</v>
      </c>
      <c r="Q947" s="25">
        <v>24435.67</v>
      </c>
      <c r="R947" s="10">
        <v>15440</v>
      </c>
      <c r="S947" s="39">
        <v>7210</v>
      </c>
      <c r="T947" s="10" t="s">
        <v>44</v>
      </c>
      <c r="U947" s="10" t="s">
        <v>45</v>
      </c>
      <c r="V947" s="10">
        <v>0</v>
      </c>
      <c r="W947" s="25">
        <f>Table1[[#This Row],[STAB]]-Table1[[#This Row],[AMOUNT]]</f>
        <v>7210</v>
      </c>
      <c r="X947" s="10">
        <v>0</v>
      </c>
      <c r="Y947" s="10" t="s">
        <v>79</v>
      </c>
      <c r="Z947" s="10">
        <v>0</v>
      </c>
      <c r="AA947" s="10" t="s">
        <v>162</v>
      </c>
      <c r="AB947" s="10" t="s">
        <v>735</v>
      </c>
      <c r="AC947" s="10"/>
      <c r="AD947" s="9" t="s">
        <v>6282</v>
      </c>
      <c r="AE947" s="10" t="s">
        <v>6294</v>
      </c>
      <c r="AF947" s="10" t="s">
        <v>276</v>
      </c>
      <c r="AG947" s="10" t="s">
        <v>324</v>
      </c>
      <c r="AH947" s="10" t="s">
        <v>354</v>
      </c>
      <c r="AI947" s="10" t="s">
        <v>367</v>
      </c>
      <c r="AJ947" s="10">
        <v>801436997</v>
      </c>
      <c r="AK947" s="10" t="s">
        <v>104</v>
      </c>
      <c r="AL947" s="10"/>
      <c r="AM947" s="10"/>
      <c r="AN947" s="11" t="s">
        <v>46</v>
      </c>
      <c r="AO947" s="10"/>
      <c r="AP947" s="10"/>
      <c r="AQ947" s="10"/>
      <c r="AR947" s="2">
        <v>45951</v>
      </c>
      <c r="AS947" s="10">
        <v>12000</v>
      </c>
      <c r="AT947" s="10" t="s">
        <v>690</v>
      </c>
      <c r="AU947" s="11" t="s">
        <v>6217</v>
      </c>
      <c r="AV947" s="36" t="s">
        <v>6306</v>
      </c>
      <c r="AW947" s="1">
        <v>46212</v>
      </c>
    </row>
    <row r="948" spans="1:49" x14ac:dyDescent="0.25">
      <c r="A948" s="9" t="s">
        <v>6247</v>
      </c>
      <c r="B948" s="10" t="s">
        <v>6259</v>
      </c>
      <c r="C948" s="10">
        <v>0</v>
      </c>
      <c r="D948" s="10" t="s">
        <v>91</v>
      </c>
      <c r="E948" s="10"/>
      <c r="F948" s="10"/>
      <c r="G948" s="10"/>
      <c r="H948" s="10" t="s">
        <v>52</v>
      </c>
      <c r="I948" s="10">
        <v>21</v>
      </c>
      <c r="J948" s="10" t="s">
        <v>6271</v>
      </c>
      <c r="K948" s="10" t="s">
        <v>42</v>
      </c>
      <c r="L948" s="10">
        <f>Table1[[#This Row],[ENR]]-Table1[[#This Row],[CREDIT]]</f>
        <v>6646.1499999999942</v>
      </c>
      <c r="M948" s="36">
        <v>120000</v>
      </c>
      <c r="N948" s="26">
        <v>126646.15</v>
      </c>
      <c r="O948" s="38" t="s">
        <v>43</v>
      </c>
      <c r="P948" s="25">
        <v>126646.15</v>
      </c>
      <c r="Q948" s="25">
        <v>113611.89</v>
      </c>
      <c r="R948" s="10">
        <v>52720</v>
      </c>
      <c r="S948" s="39">
        <v>35410</v>
      </c>
      <c r="T948" s="10" t="s">
        <v>44</v>
      </c>
      <c r="U948" s="10" t="s">
        <v>45</v>
      </c>
      <c r="V948" s="10">
        <v>0</v>
      </c>
      <c r="W948" s="25">
        <f>Table1[[#This Row],[STAB]]-Table1[[#This Row],[AMOUNT]]</f>
        <v>35410</v>
      </c>
      <c r="X948" s="10">
        <v>0</v>
      </c>
      <c r="Y948" s="10" t="s">
        <v>79</v>
      </c>
      <c r="Z948" s="10">
        <v>0</v>
      </c>
      <c r="AA948" s="10" t="s">
        <v>162</v>
      </c>
      <c r="AB948" s="36" t="s">
        <v>734</v>
      </c>
      <c r="AC948" s="10"/>
      <c r="AD948" s="9" t="s">
        <v>6283</v>
      </c>
      <c r="AE948" s="10" t="s">
        <v>6295</v>
      </c>
      <c r="AF948" s="10" t="s">
        <v>276</v>
      </c>
      <c r="AG948" s="10" t="s">
        <v>324</v>
      </c>
      <c r="AH948" s="10" t="s">
        <v>354</v>
      </c>
      <c r="AI948" s="10" t="s">
        <v>367</v>
      </c>
      <c r="AJ948" s="10">
        <v>801436997</v>
      </c>
      <c r="AK948" s="10" t="s">
        <v>104</v>
      </c>
      <c r="AL948" s="10"/>
      <c r="AM948" s="10"/>
      <c r="AN948" s="11" t="s">
        <v>46</v>
      </c>
      <c r="AO948" s="10"/>
      <c r="AP948" s="10"/>
      <c r="AQ948" s="10"/>
      <c r="AR948" s="2">
        <v>46158</v>
      </c>
      <c r="AS948" s="10">
        <v>44720</v>
      </c>
      <c r="AT948" s="10" t="s">
        <v>690</v>
      </c>
      <c r="AU948" s="11" t="s">
        <v>6217</v>
      </c>
      <c r="AV948" s="36" t="s">
        <v>6307</v>
      </c>
      <c r="AW948" s="1">
        <v>46212</v>
      </c>
    </row>
    <row r="949" spans="1:49" x14ac:dyDescent="0.25">
      <c r="A949" s="40" t="s">
        <v>6248</v>
      </c>
      <c r="B949" s="11" t="s">
        <v>6260</v>
      </c>
      <c r="C949" s="10">
        <v>0</v>
      </c>
      <c r="D949" s="10" t="s">
        <v>91</v>
      </c>
      <c r="E949" s="11"/>
      <c r="F949" s="11"/>
      <c r="G949" s="11"/>
      <c r="H949" s="10" t="s">
        <v>52</v>
      </c>
      <c r="I949" s="11">
        <v>21</v>
      </c>
      <c r="J949" s="11" t="s">
        <v>6272</v>
      </c>
      <c r="K949" s="11" t="s">
        <v>42</v>
      </c>
      <c r="L949" s="11">
        <f>Table1[[#This Row],[ENR]]-Table1[[#This Row],[CREDIT]]</f>
        <v>13246.009999999995</v>
      </c>
      <c r="M949" s="41">
        <v>100000</v>
      </c>
      <c r="N949" s="42">
        <v>113246.01</v>
      </c>
      <c r="O949" s="43" t="s">
        <v>43</v>
      </c>
      <c r="P949" s="44">
        <v>113246.01</v>
      </c>
      <c r="Q949" s="44">
        <v>99456.9</v>
      </c>
      <c r="R949" s="11">
        <v>35750</v>
      </c>
      <c r="S949" s="45">
        <v>19090</v>
      </c>
      <c r="T949" s="10" t="s">
        <v>44</v>
      </c>
      <c r="U949" s="10" t="s">
        <v>45</v>
      </c>
      <c r="V949" s="10">
        <v>0</v>
      </c>
      <c r="W949" s="44">
        <f>Table1[[#This Row],[STAB]]-Table1[[#This Row],[AMOUNT]]</f>
        <v>19090</v>
      </c>
      <c r="X949" s="10">
        <v>0</v>
      </c>
      <c r="Y949" s="10" t="s">
        <v>79</v>
      </c>
      <c r="Z949" s="10">
        <v>0</v>
      </c>
      <c r="AA949" s="10" t="s">
        <v>162</v>
      </c>
      <c r="AB949" s="36" t="s">
        <v>733</v>
      </c>
      <c r="AC949" s="11"/>
      <c r="AD949" s="40" t="s">
        <v>6284</v>
      </c>
      <c r="AE949" s="11" t="s">
        <v>6296</v>
      </c>
      <c r="AF949" s="11" t="s">
        <v>278</v>
      </c>
      <c r="AG949" s="11" t="s">
        <v>54</v>
      </c>
      <c r="AH949" s="11" t="s">
        <v>86</v>
      </c>
      <c r="AI949" s="10" t="s">
        <v>369</v>
      </c>
      <c r="AJ949" s="10">
        <v>802823180</v>
      </c>
      <c r="AK949" s="10" t="s">
        <v>105</v>
      </c>
      <c r="AL949" s="11"/>
      <c r="AM949" s="11"/>
      <c r="AN949" s="11" t="s">
        <v>390</v>
      </c>
      <c r="AO949" s="11" t="s">
        <v>392</v>
      </c>
      <c r="AP949" s="11" t="s">
        <v>6344</v>
      </c>
      <c r="AQ949" s="11" t="s">
        <v>4976</v>
      </c>
      <c r="AR949" s="46">
        <v>45627</v>
      </c>
      <c r="AS949" s="11">
        <v>31082.82</v>
      </c>
      <c r="AT949" s="11" t="s">
        <v>690</v>
      </c>
      <c r="AU949" s="11" t="s">
        <v>6217</v>
      </c>
      <c r="AV949" s="41" t="s">
        <v>6308</v>
      </c>
      <c r="AW949" s="47">
        <v>46212</v>
      </c>
    </row>
    <row r="950" spans="1:49" x14ac:dyDescent="0.25">
      <c r="A950" s="9" t="s">
        <v>6249</v>
      </c>
      <c r="B950" s="10" t="s">
        <v>6261</v>
      </c>
      <c r="C950" s="10">
        <v>0</v>
      </c>
      <c r="D950" s="10" t="s">
        <v>91</v>
      </c>
      <c r="E950" s="10"/>
      <c r="F950" s="10"/>
      <c r="G950" s="10"/>
      <c r="H950" s="10" t="s">
        <v>52</v>
      </c>
      <c r="I950" s="10">
        <v>21</v>
      </c>
      <c r="J950" s="10" t="s">
        <v>6273</v>
      </c>
      <c r="K950" s="10" t="s">
        <v>42</v>
      </c>
      <c r="L950" s="10">
        <f>Table1[[#This Row],[ENR]]-Table1[[#This Row],[CREDIT]]</f>
        <v>15433.98000000001</v>
      </c>
      <c r="M950" s="36">
        <v>140000</v>
      </c>
      <c r="N950" s="26">
        <v>155433.98000000001</v>
      </c>
      <c r="O950" s="38" t="s">
        <v>43</v>
      </c>
      <c r="P950" s="25">
        <v>155433.98000000001</v>
      </c>
      <c r="Q950" s="25">
        <v>139448.29</v>
      </c>
      <c r="R950" s="10">
        <v>39100</v>
      </c>
      <c r="S950" s="39">
        <v>16830</v>
      </c>
      <c r="T950" s="10" t="s">
        <v>44</v>
      </c>
      <c r="U950" s="10" t="s">
        <v>45</v>
      </c>
      <c r="V950" s="10">
        <v>0</v>
      </c>
      <c r="W950" s="25">
        <f>Table1[[#This Row],[STAB]]-Table1[[#This Row],[AMOUNT]]</f>
        <v>16830</v>
      </c>
      <c r="X950" s="10">
        <v>0</v>
      </c>
      <c r="Y950" s="10" t="s">
        <v>79</v>
      </c>
      <c r="Z950" s="10">
        <v>0</v>
      </c>
      <c r="AA950" s="10" t="s">
        <v>162</v>
      </c>
      <c r="AB950" s="36" t="s">
        <v>736</v>
      </c>
      <c r="AC950" s="10"/>
      <c r="AD950" s="9" t="s">
        <v>6285</v>
      </c>
      <c r="AE950" s="10" t="s">
        <v>6297</v>
      </c>
      <c r="AF950" s="10" t="s">
        <v>1737</v>
      </c>
      <c r="AG950" s="10" t="s">
        <v>324</v>
      </c>
      <c r="AH950" s="10" t="s">
        <v>722</v>
      </c>
      <c r="AI950" s="10" t="s">
        <v>370</v>
      </c>
      <c r="AJ950" s="10">
        <v>801448854</v>
      </c>
      <c r="AK950" s="10" t="s">
        <v>105</v>
      </c>
      <c r="AL950" s="10"/>
      <c r="AM950" s="10"/>
      <c r="AN950" s="11" t="s">
        <v>46</v>
      </c>
      <c r="AO950" s="10"/>
      <c r="AP950" s="10"/>
      <c r="AQ950" s="10"/>
      <c r="AR950" s="2">
        <v>45489</v>
      </c>
      <c r="AS950" s="10">
        <v>7760</v>
      </c>
      <c r="AT950" s="10" t="s">
        <v>290</v>
      </c>
      <c r="AU950" s="11" t="s">
        <v>6217</v>
      </c>
      <c r="AV950" s="36" t="s">
        <v>6309</v>
      </c>
      <c r="AW950" s="1">
        <v>46212</v>
      </c>
    </row>
    <row r="951" spans="1:49" x14ac:dyDescent="0.25">
      <c r="A951" s="9" t="s">
        <v>6250</v>
      </c>
      <c r="B951" s="10" t="s">
        <v>6262</v>
      </c>
      <c r="C951" s="10">
        <v>0</v>
      </c>
      <c r="D951" s="10" t="s">
        <v>91</v>
      </c>
      <c r="E951" s="10"/>
      <c r="F951" s="10"/>
      <c r="G951" s="10"/>
      <c r="H951" s="10" t="s">
        <v>52</v>
      </c>
      <c r="I951" s="10">
        <v>21</v>
      </c>
      <c r="J951" s="10" t="s">
        <v>6274</v>
      </c>
      <c r="K951" s="10" t="s">
        <v>42</v>
      </c>
      <c r="L951" s="10">
        <f>Table1[[#This Row],[ENR]]-Table1[[#This Row],[CREDIT]]</f>
        <v>9243.6600000000035</v>
      </c>
      <c r="M951" s="36">
        <v>180000</v>
      </c>
      <c r="N951" s="26">
        <v>189243.66</v>
      </c>
      <c r="O951" s="38">
        <v>12771.01</v>
      </c>
      <c r="P951" s="25">
        <v>176472.65</v>
      </c>
      <c r="Q951" s="25">
        <v>158379.66</v>
      </c>
      <c r="R951" s="10">
        <v>39380</v>
      </c>
      <c r="S951" s="39">
        <v>16800</v>
      </c>
      <c r="T951" s="10" t="s">
        <v>57</v>
      </c>
      <c r="U951" s="10" t="s">
        <v>13</v>
      </c>
      <c r="V951" s="10">
        <v>176472.65</v>
      </c>
      <c r="W951" s="25">
        <f>Table1[[#This Row],[STAB]]-Table1[[#This Row],[AMOUNT]]</f>
        <v>-159672.65</v>
      </c>
      <c r="X951" s="10" t="s">
        <v>6399</v>
      </c>
      <c r="Y951" s="10" t="s">
        <v>396</v>
      </c>
      <c r="Z951" s="10">
        <v>0</v>
      </c>
      <c r="AA951" s="10" t="s">
        <v>162</v>
      </c>
      <c r="AB951" s="36" t="s">
        <v>734</v>
      </c>
      <c r="AC951" s="10"/>
      <c r="AD951" s="9" t="s">
        <v>6286</v>
      </c>
      <c r="AE951" s="10" t="s">
        <v>6298</v>
      </c>
      <c r="AF951" s="10" t="s">
        <v>275</v>
      </c>
      <c r="AG951" s="10" t="s">
        <v>80</v>
      </c>
      <c r="AH951" s="10" t="s">
        <v>1999</v>
      </c>
      <c r="AI951" s="10" t="s">
        <v>368</v>
      </c>
      <c r="AJ951" s="10">
        <v>802823175</v>
      </c>
      <c r="AK951" s="10" t="s">
        <v>105</v>
      </c>
      <c r="AL951" s="10"/>
      <c r="AM951" s="10"/>
      <c r="AN951" s="11" t="s">
        <v>390</v>
      </c>
      <c r="AO951" s="10" t="s">
        <v>392</v>
      </c>
      <c r="AP951" s="10" t="s">
        <v>6387</v>
      </c>
      <c r="AQ951" s="10" t="s">
        <v>6364</v>
      </c>
      <c r="AR951" s="2">
        <v>45709</v>
      </c>
      <c r="AS951" s="10">
        <v>4000</v>
      </c>
      <c r="AT951" s="10" t="s">
        <v>290</v>
      </c>
      <c r="AU951" s="11" t="s">
        <v>6217</v>
      </c>
      <c r="AV951" s="36" t="s">
        <v>6310</v>
      </c>
      <c r="AW951" s="1">
        <v>46212</v>
      </c>
    </row>
    <row r="952" spans="1:49" x14ac:dyDescent="0.25">
      <c r="A952" s="9" t="s">
        <v>6251</v>
      </c>
      <c r="B952" s="10" t="s">
        <v>6263</v>
      </c>
      <c r="C952" s="10">
        <v>0</v>
      </c>
      <c r="D952" s="10" t="s">
        <v>91</v>
      </c>
      <c r="E952" s="10"/>
      <c r="F952" s="10"/>
      <c r="G952" s="10"/>
      <c r="H952" s="10" t="s">
        <v>52</v>
      </c>
      <c r="I952" s="10">
        <v>21</v>
      </c>
      <c r="J952" s="10" t="s">
        <v>6275</v>
      </c>
      <c r="K952" s="10" t="s">
        <v>42</v>
      </c>
      <c r="L952" s="10">
        <f>Table1[[#This Row],[ENR]]-Table1[[#This Row],[CREDIT]]</f>
        <v>-142596.45000000001</v>
      </c>
      <c r="M952" s="36">
        <v>390000</v>
      </c>
      <c r="N952" s="26">
        <v>247403.55</v>
      </c>
      <c r="O952" s="38" t="s">
        <v>43</v>
      </c>
      <c r="P952" s="25">
        <v>247403.55</v>
      </c>
      <c r="Q952" s="25">
        <v>216803.68</v>
      </c>
      <c r="R952" s="10">
        <v>55290</v>
      </c>
      <c r="S952" s="39">
        <v>27368</v>
      </c>
      <c r="T952" s="10" t="s">
        <v>57</v>
      </c>
      <c r="U952" s="10" t="s">
        <v>14</v>
      </c>
      <c r="V952" s="10">
        <v>27400</v>
      </c>
      <c r="W952" s="25">
        <f>Table1[[#This Row],[STAB]]-Table1[[#This Row],[AMOUNT]]</f>
        <v>-32</v>
      </c>
      <c r="X952" s="10" t="s">
        <v>6364</v>
      </c>
      <c r="Y952" s="10" t="s">
        <v>402</v>
      </c>
      <c r="Z952" s="10" t="s">
        <v>1968</v>
      </c>
      <c r="AA952" s="10" t="s">
        <v>162</v>
      </c>
      <c r="AB952" s="36" t="s">
        <v>734</v>
      </c>
      <c r="AC952" s="10"/>
      <c r="AD952" s="9" t="s">
        <v>6287</v>
      </c>
      <c r="AE952" s="10" t="s">
        <v>6299</v>
      </c>
      <c r="AF952" s="10" t="s">
        <v>498</v>
      </c>
      <c r="AG952" s="10" t="s">
        <v>53</v>
      </c>
      <c r="AH952" s="10" t="s">
        <v>90</v>
      </c>
      <c r="AI952" s="10" t="s">
        <v>162</v>
      </c>
      <c r="AJ952" s="10">
        <v>801772794</v>
      </c>
      <c r="AK952" s="10" t="s">
        <v>361</v>
      </c>
      <c r="AL952" s="10"/>
      <c r="AM952" s="10"/>
      <c r="AN952" s="11" t="s">
        <v>390</v>
      </c>
      <c r="AO952" s="10" t="s">
        <v>392</v>
      </c>
      <c r="AP952" s="10" t="s">
        <v>6380</v>
      </c>
      <c r="AQ952" s="10" t="s">
        <v>6364</v>
      </c>
      <c r="AR952" s="2">
        <v>46193</v>
      </c>
      <c r="AS952" s="10">
        <v>15272</v>
      </c>
      <c r="AT952" s="10" t="s">
        <v>290</v>
      </c>
      <c r="AU952" s="11" t="s">
        <v>6217</v>
      </c>
      <c r="AV952" s="36" t="s">
        <v>6311</v>
      </c>
      <c r="AW952" s="1">
        <v>46212</v>
      </c>
    </row>
    <row r="953" spans="1:49" x14ac:dyDescent="0.25">
      <c r="A953" s="9" t="s">
        <v>6252</v>
      </c>
      <c r="B953" s="10" t="s">
        <v>6264</v>
      </c>
      <c r="C953" s="10">
        <v>0</v>
      </c>
      <c r="D953" s="10" t="s">
        <v>91</v>
      </c>
      <c r="E953" s="10"/>
      <c r="F953" s="10"/>
      <c r="G953" s="10"/>
      <c r="H953" s="10" t="s">
        <v>52</v>
      </c>
      <c r="I953" s="10">
        <v>21</v>
      </c>
      <c r="J953" s="10" t="s">
        <v>6276</v>
      </c>
      <c r="K953" s="10" t="s">
        <v>42</v>
      </c>
      <c r="L953" s="10">
        <f>Table1[[#This Row],[ENR]]-Table1[[#This Row],[CREDIT]]</f>
        <v>-1089.6499999999942</v>
      </c>
      <c r="M953" s="36">
        <v>170000</v>
      </c>
      <c r="N953" s="26">
        <v>168910.35</v>
      </c>
      <c r="O953" s="38">
        <v>22492.82</v>
      </c>
      <c r="P953" s="25">
        <v>146417.53</v>
      </c>
      <c r="Q953" s="25">
        <v>127404.56</v>
      </c>
      <c r="R953" s="10">
        <v>41390</v>
      </c>
      <c r="S953" s="39">
        <v>17250</v>
      </c>
      <c r="T953" s="10" t="s">
        <v>44</v>
      </c>
      <c r="U953" s="10" t="s">
        <v>45</v>
      </c>
      <c r="V953" s="10">
        <v>0</v>
      </c>
      <c r="W953" s="25">
        <f>Table1[[#This Row],[STAB]]-Table1[[#This Row],[AMOUNT]]</f>
        <v>17250</v>
      </c>
      <c r="X953" s="10">
        <v>0</v>
      </c>
      <c r="Y953" s="10" t="s">
        <v>79</v>
      </c>
      <c r="Z953" s="10" t="s">
        <v>403</v>
      </c>
      <c r="AA953" s="10" t="s">
        <v>162</v>
      </c>
      <c r="AB953" s="36" t="s">
        <v>733</v>
      </c>
      <c r="AC953" s="10"/>
      <c r="AD953" s="9" t="s">
        <v>6288</v>
      </c>
      <c r="AE953" s="10" t="s">
        <v>6300</v>
      </c>
      <c r="AF953" s="10" t="s">
        <v>286</v>
      </c>
      <c r="AG953" s="10" t="s">
        <v>54</v>
      </c>
      <c r="AH953" s="10" t="s">
        <v>358</v>
      </c>
      <c r="AI953" s="10" t="s">
        <v>365</v>
      </c>
      <c r="AJ953" s="10">
        <v>802824019</v>
      </c>
      <c r="AK953" s="10" t="s">
        <v>360</v>
      </c>
      <c r="AL953" s="10"/>
      <c r="AM953" s="10"/>
      <c r="AN953" s="11" t="s">
        <v>46</v>
      </c>
      <c r="AO953" s="10"/>
      <c r="AP953" s="10"/>
      <c r="AQ953" s="10"/>
      <c r="AR953" s="2" t="s">
        <v>43</v>
      </c>
      <c r="AS953" s="10">
        <v>0</v>
      </c>
      <c r="AT953" s="10" t="s">
        <v>292</v>
      </c>
      <c r="AU953" s="11" t="s">
        <v>6217</v>
      </c>
      <c r="AV953" s="36" t="s">
        <v>6312</v>
      </c>
      <c r="AW953" s="1">
        <v>46212</v>
      </c>
    </row>
    <row r="954" spans="1:49" x14ac:dyDescent="0.25">
      <c r="A954" s="40" t="s">
        <v>6253</v>
      </c>
      <c r="B954" s="11" t="s">
        <v>6265</v>
      </c>
      <c r="C954" s="10">
        <v>0</v>
      </c>
      <c r="D954" s="10" t="s">
        <v>91</v>
      </c>
      <c r="E954" s="11"/>
      <c r="F954" s="11"/>
      <c r="G954" s="11"/>
      <c r="H954" s="10" t="s">
        <v>52</v>
      </c>
      <c r="I954" s="11">
        <v>21</v>
      </c>
      <c r="J954" s="11" t="s">
        <v>6277</v>
      </c>
      <c r="K954" s="11" t="s">
        <v>42</v>
      </c>
      <c r="L954" s="11">
        <f>Table1[[#This Row],[ENR]]-Table1[[#This Row],[CREDIT]]</f>
        <v>15812.410000000003</v>
      </c>
      <c r="M954" s="41">
        <v>160000</v>
      </c>
      <c r="N954" s="42">
        <v>175812.41</v>
      </c>
      <c r="O954" s="43" t="s">
        <v>43</v>
      </c>
      <c r="P954" s="44">
        <v>175812.41</v>
      </c>
      <c r="Q954" s="44">
        <v>159147.94</v>
      </c>
      <c r="R954" s="11">
        <v>41550</v>
      </c>
      <c r="S954" s="45">
        <v>16500</v>
      </c>
      <c r="T954" s="10" t="s">
        <v>57</v>
      </c>
      <c r="U954" s="10" t="s">
        <v>13</v>
      </c>
      <c r="V954" s="10">
        <v>18000</v>
      </c>
      <c r="W954" s="44">
        <f>Table1[[#This Row],[STAB]]-Table1[[#This Row],[AMOUNT]]</f>
        <v>-1500</v>
      </c>
      <c r="X954" s="10" t="s">
        <v>4937</v>
      </c>
      <c r="Y954" s="10" t="s">
        <v>402</v>
      </c>
      <c r="Z954" s="10" t="s">
        <v>962</v>
      </c>
      <c r="AA954" s="10" t="s">
        <v>162</v>
      </c>
      <c r="AB954" s="10" t="s">
        <v>735</v>
      </c>
      <c r="AC954" s="11"/>
      <c r="AD954" s="40" t="s">
        <v>6289</v>
      </c>
      <c r="AE954" s="11" t="s">
        <v>6301</v>
      </c>
      <c r="AF954" s="11" t="s">
        <v>1103</v>
      </c>
      <c r="AG954" s="11" t="s">
        <v>1362</v>
      </c>
      <c r="AH954" s="11" t="s">
        <v>524</v>
      </c>
      <c r="AI954" s="10" t="s">
        <v>82</v>
      </c>
      <c r="AJ954" s="10">
        <v>801723195</v>
      </c>
      <c r="AK954" s="10" t="s">
        <v>105</v>
      </c>
      <c r="AL954" s="11"/>
      <c r="AM954" s="11"/>
      <c r="AN954" s="11" t="s">
        <v>390</v>
      </c>
      <c r="AO954" s="11"/>
      <c r="AP954" s="11"/>
      <c r="AQ954" s="11"/>
      <c r="AR954" s="46" t="s">
        <v>43</v>
      </c>
      <c r="AS954" s="11">
        <v>0</v>
      </c>
      <c r="AT954" s="11" t="s">
        <v>292</v>
      </c>
      <c r="AU954" s="11" t="s">
        <v>6217</v>
      </c>
      <c r="AV954" s="41" t="s">
        <v>6313</v>
      </c>
      <c r="AW954" s="47">
        <v>46212</v>
      </c>
    </row>
    <row r="955" spans="1:49" x14ac:dyDescent="0.25">
      <c r="A955" s="9" t="s">
        <v>6415</v>
      </c>
      <c r="B955" s="10" t="s">
        <v>6455</v>
      </c>
      <c r="C955" s="10">
        <v>0</v>
      </c>
      <c r="D955" s="10" t="s">
        <v>91</v>
      </c>
      <c r="E955" s="10"/>
      <c r="F955" s="10"/>
      <c r="G955" s="63"/>
      <c r="H955" s="10" t="s">
        <v>52</v>
      </c>
      <c r="I955" s="10">
        <v>28</v>
      </c>
      <c r="J955" s="10" t="s">
        <v>6492</v>
      </c>
      <c r="K955" s="10" t="s">
        <v>42</v>
      </c>
      <c r="L955" s="63">
        <f>Table1[[#This Row],[ENR]]-Table1[[#This Row],[CREDIT]]</f>
        <v>30469.530000000028</v>
      </c>
      <c r="M955" s="36">
        <v>480000</v>
      </c>
      <c r="N955" s="26">
        <v>510469.53</v>
      </c>
      <c r="O955" s="38">
        <v>349907.72</v>
      </c>
      <c r="P955" s="25">
        <v>160561.81</v>
      </c>
      <c r="Q955" s="25">
        <v>128054.87</v>
      </c>
      <c r="R955" s="10">
        <v>108750</v>
      </c>
      <c r="S955" s="39">
        <v>54150</v>
      </c>
      <c r="T955" s="10" t="s">
        <v>44</v>
      </c>
      <c r="U955" s="10" t="s">
        <v>45</v>
      </c>
      <c r="V955" s="10">
        <v>0</v>
      </c>
      <c r="W955" s="25">
        <f>Table1[[#This Row],[STAB]]-Table1[[#This Row],[AMOUNT]]</f>
        <v>54150</v>
      </c>
      <c r="X955" s="10">
        <v>0</v>
      </c>
      <c r="Y955" s="10" t="s">
        <v>79</v>
      </c>
      <c r="Z955" s="10">
        <v>0</v>
      </c>
      <c r="AA955" s="10" t="s">
        <v>162</v>
      </c>
      <c r="AB955" s="36"/>
      <c r="AC955" s="63"/>
      <c r="AD955" s="9" t="s">
        <v>6528</v>
      </c>
      <c r="AE955" s="10" t="s">
        <v>6566</v>
      </c>
      <c r="AF955" s="10" t="s">
        <v>285</v>
      </c>
      <c r="AG955" s="10" t="s">
        <v>54</v>
      </c>
      <c r="AH955" s="10"/>
      <c r="AI955" s="63"/>
      <c r="AJ955" s="10"/>
      <c r="AK955" s="10"/>
      <c r="AL955" s="63"/>
      <c r="AM955" s="10"/>
      <c r="AN955" s="11" t="s">
        <v>46</v>
      </c>
      <c r="AO955" s="10"/>
      <c r="AP955" s="10"/>
      <c r="AQ955" s="10"/>
      <c r="AR955" s="2">
        <v>46108</v>
      </c>
      <c r="AS955" s="10">
        <v>94.46</v>
      </c>
      <c r="AT955" s="10" t="s">
        <v>503</v>
      </c>
      <c r="AU955" s="10" t="s">
        <v>6606</v>
      </c>
      <c r="AV955" s="36" t="s">
        <v>6607</v>
      </c>
      <c r="AW955" s="1">
        <v>46219</v>
      </c>
    </row>
    <row r="956" spans="1:49" x14ac:dyDescent="0.25">
      <c r="A956" s="9" t="s">
        <v>6416</v>
      </c>
      <c r="B956" s="10" t="s">
        <v>6456</v>
      </c>
      <c r="C956" s="10">
        <v>0</v>
      </c>
      <c r="D956" s="10" t="s">
        <v>91</v>
      </c>
      <c r="E956" s="10"/>
      <c r="F956" s="10"/>
      <c r="G956" s="63"/>
      <c r="H956" s="10" t="s">
        <v>52</v>
      </c>
      <c r="I956" s="10">
        <v>28</v>
      </c>
      <c r="J956" s="10" t="s">
        <v>6493</v>
      </c>
      <c r="K956" s="10" t="s">
        <v>42</v>
      </c>
      <c r="L956" s="63">
        <f>Table1[[#This Row],[ENR]]-Table1[[#This Row],[CREDIT]]</f>
        <v>12473.399999999994</v>
      </c>
      <c r="M956" s="36">
        <v>100000</v>
      </c>
      <c r="N956" s="26">
        <v>112473.4</v>
      </c>
      <c r="O956" s="38" t="s">
        <v>43</v>
      </c>
      <c r="P956" s="25">
        <v>112473.4</v>
      </c>
      <c r="Q956" s="25">
        <v>98397</v>
      </c>
      <c r="R956" s="10">
        <v>35230</v>
      </c>
      <c r="S956" s="39">
        <v>18720</v>
      </c>
      <c r="T956" s="10" t="s">
        <v>44</v>
      </c>
      <c r="U956" s="10" t="s">
        <v>45</v>
      </c>
      <c r="V956" s="10">
        <v>0</v>
      </c>
      <c r="W956" s="25">
        <f>Table1[[#This Row],[STAB]]-Table1[[#This Row],[AMOUNT]]</f>
        <v>18720</v>
      </c>
      <c r="X956" s="10">
        <v>0</v>
      </c>
      <c r="Y956" s="10" t="s">
        <v>79</v>
      </c>
      <c r="Z956" s="10">
        <v>0</v>
      </c>
      <c r="AA956" s="10" t="s">
        <v>162</v>
      </c>
      <c r="AB956" s="36"/>
      <c r="AC956" s="63"/>
      <c r="AD956" s="9" t="s">
        <v>6529</v>
      </c>
      <c r="AE956" s="10" t="s">
        <v>6567</v>
      </c>
      <c r="AF956" s="10" t="s">
        <v>501</v>
      </c>
      <c r="AG956" s="10" t="s">
        <v>53</v>
      </c>
      <c r="AH956" s="10" t="s">
        <v>116</v>
      </c>
      <c r="AI956" s="63"/>
      <c r="AJ956" s="10"/>
      <c r="AK956" s="10"/>
      <c r="AL956" s="63"/>
      <c r="AM956" s="10"/>
      <c r="AN956" s="11" t="s">
        <v>46</v>
      </c>
      <c r="AO956" s="10"/>
      <c r="AP956" s="10"/>
      <c r="AQ956" s="10"/>
      <c r="AR956" s="2">
        <v>45483</v>
      </c>
      <c r="AS956" s="10">
        <v>94260.05</v>
      </c>
      <c r="AT956" s="10" t="s">
        <v>503</v>
      </c>
      <c r="AU956" s="10" t="s">
        <v>6606</v>
      </c>
      <c r="AV956" s="36" t="s">
        <v>6608</v>
      </c>
      <c r="AW956" s="1">
        <v>46219</v>
      </c>
    </row>
    <row r="957" spans="1:49" x14ac:dyDescent="0.25">
      <c r="A957" s="9" t="s">
        <v>6417</v>
      </c>
      <c r="B957" s="10" t="s">
        <v>6457</v>
      </c>
      <c r="C957" s="10">
        <v>0</v>
      </c>
      <c r="D957" s="10" t="s">
        <v>91</v>
      </c>
      <c r="E957" s="10"/>
      <c r="F957" s="10"/>
      <c r="G957" s="63"/>
      <c r="H957" s="10" t="s">
        <v>52</v>
      </c>
      <c r="I957" s="10">
        <v>28</v>
      </c>
      <c r="J957" s="10" t="s">
        <v>6494</v>
      </c>
      <c r="K957" s="10" t="s">
        <v>42</v>
      </c>
      <c r="L957" s="63">
        <f>Table1[[#This Row],[ENR]]-Table1[[#This Row],[CREDIT]]</f>
        <v>6179.3099999999977</v>
      </c>
      <c r="M957" s="36">
        <v>130000</v>
      </c>
      <c r="N957" s="26">
        <v>136179.31</v>
      </c>
      <c r="O957" s="38" t="s">
        <v>43</v>
      </c>
      <c r="P957" s="25">
        <v>136179.31</v>
      </c>
      <c r="Q957" s="25">
        <v>122498.09</v>
      </c>
      <c r="R957" s="10">
        <v>38280</v>
      </c>
      <c r="S957" s="39">
        <v>19470</v>
      </c>
      <c r="T957" s="10" t="s">
        <v>44</v>
      </c>
      <c r="U957" s="10" t="s">
        <v>45</v>
      </c>
      <c r="V957" s="10">
        <v>0</v>
      </c>
      <c r="W957" s="25">
        <f>Table1[[#This Row],[STAB]]-Table1[[#This Row],[AMOUNT]]</f>
        <v>19470</v>
      </c>
      <c r="X957" s="10">
        <v>0</v>
      </c>
      <c r="Y957" s="10" t="s">
        <v>79</v>
      </c>
      <c r="Z957" s="10">
        <v>0</v>
      </c>
      <c r="AA957" s="10" t="s">
        <v>162</v>
      </c>
      <c r="AB957" s="36"/>
      <c r="AC957" s="63"/>
      <c r="AD957" s="9" t="s">
        <v>6530</v>
      </c>
      <c r="AE957" s="10" t="s">
        <v>6568</v>
      </c>
      <c r="AF957" s="10" t="s">
        <v>286</v>
      </c>
      <c r="AG957" s="10" t="s">
        <v>54</v>
      </c>
      <c r="AH957" s="10"/>
      <c r="AI957" s="63"/>
      <c r="AJ957" s="10"/>
      <c r="AK957" s="10"/>
      <c r="AL957" s="63"/>
      <c r="AM957" s="10"/>
      <c r="AN957" s="11" t="s">
        <v>46</v>
      </c>
      <c r="AO957" s="10"/>
      <c r="AP957" s="10"/>
      <c r="AQ957" s="10"/>
      <c r="AR957" s="2">
        <v>45785</v>
      </c>
      <c r="AS957" s="10">
        <v>500</v>
      </c>
      <c r="AT957" s="10" t="s">
        <v>503</v>
      </c>
      <c r="AU957" s="10" t="s">
        <v>6606</v>
      </c>
      <c r="AV957" s="36" t="s">
        <v>6609</v>
      </c>
      <c r="AW957" s="1">
        <v>46219</v>
      </c>
    </row>
    <row r="958" spans="1:49" x14ac:dyDescent="0.25">
      <c r="A958" s="9" t="s">
        <v>6418</v>
      </c>
      <c r="B958" s="10" t="s">
        <v>6458</v>
      </c>
      <c r="C958" s="10">
        <v>0</v>
      </c>
      <c r="D958" s="10" t="s">
        <v>91</v>
      </c>
      <c r="E958" s="10"/>
      <c r="F958" s="10"/>
      <c r="G958" s="63"/>
      <c r="H958" s="10" t="s">
        <v>52</v>
      </c>
      <c r="I958" s="10">
        <v>28</v>
      </c>
      <c r="J958" s="10" t="s">
        <v>6495</v>
      </c>
      <c r="K958" s="10" t="s">
        <v>42</v>
      </c>
      <c r="L958" s="63">
        <f>Table1[[#This Row],[ENR]]-Table1[[#This Row],[CREDIT]]</f>
        <v>-164995.60999999999</v>
      </c>
      <c r="M958" s="36">
        <v>230000</v>
      </c>
      <c r="N958" s="26">
        <v>65004.39</v>
      </c>
      <c r="O958" s="38">
        <v>53800.38</v>
      </c>
      <c r="P958" s="25">
        <v>11204.01</v>
      </c>
      <c r="Q958" s="25">
        <v>6318.05</v>
      </c>
      <c r="R958" s="10">
        <v>11204.01</v>
      </c>
      <c r="S958" s="39">
        <v>5085.53</v>
      </c>
      <c r="T958" s="10" t="s">
        <v>44</v>
      </c>
      <c r="U958" s="10" t="s">
        <v>45</v>
      </c>
      <c r="V958" s="10">
        <v>0</v>
      </c>
      <c r="W958" s="25">
        <f>Table1[[#This Row],[STAB]]-Table1[[#This Row],[AMOUNT]]</f>
        <v>5085.53</v>
      </c>
      <c r="X958" s="10">
        <v>0</v>
      </c>
      <c r="Y958" s="10" t="s">
        <v>79</v>
      </c>
      <c r="Z958" s="10">
        <v>0</v>
      </c>
      <c r="AA958" s="10" t="s">
        <v>162</v>
      </c>
      <c r="AB958" s="36"/>
      <c r="AC958" s="63"/>
      <c r="AD958" s="9" t="s">
        <v>6531</v>
      </c>
      <c r="AE958" s="10" t="s">
        <v>6569</v>
      </c>
      <c r="AF958" s="10" t="s">
        <v>85</v>
      </c>
      <c r="AG958" s="10" t="s">
        <v>54</v>
      </c>
      <c r="AH958" s="10"/>
      <c r="AI958" s="63"/>
      <c r="AJ958" s="10"/>
      <c r="AK958" s="10"/>
      <c r="AL958" s="63"/>
      <c r="AM958" s="10"/>
      <c r="AN958" s="11" t="s">
        <v>46</v>
      </c>
      <c r="AO958" s="10"/>
      <c r="AP958" s="10"/>
      <c r="AQ958" s="10"/>
      <c r="AR958" s="2">
        <v>46099</v>
      </c>
      <c r="AS958" s="10">
        <v>3194</v>
      </c>
      <c r="AT958" s="10" t="s">
        <v>688</v>
      </c>
      <c r="AU958" s="10" t="s">
        <v>6606</v>
      </c>
      <c r="AV958" s="36" t="s">
        <v>6610</v>
      </c>
      <c r="AW958" s="1">
        <v>46219</v>
      </c>
    </row>
    <row r="959" spans="1:49" x14ac:dyDescent="0.25">
      <c r="A959" s="9" t="s">
        <v>6419</v>
      </c>
      <c r="B959" s="10" t="s">
        <v>6459</v>
      </c>
      <c r="C959" s="10">
        <v>0</v>
      </c>
      <c r="D959" s="10" t="s">
        <v>91</v>
      </c>
      <c r="E959" s="10"/>
      <c r="F959" s="10"/>
      <c r="G959" s="63"/>
      <c r="H959" s="10" t="s">
        <v>52</v>
      </c>
      <c r="I959" s="10">
        <v>28</v>
      </c>
      <c r="J959" s="10" t="s">
        <v>6496</v>
      </c>
      <c r="K959" s="10" t="s">
        <v>42</v>
      </c>
      <c r="L959" s="63">
        <f>Table1[[#This Row],[ENR]]-Table1[[#This Row],[CREDIT]]</f>
        <v>71474.48000000001</v>
      </c>
      <c r="M959" s="36">
        <v>120000</v>
      </c>
      <c r="N959" s="26">
        <v>191474.48</v>
      </c>
      <c r="O959" s="38">
        <v>154413.78</v>
      </c>
      <c r="P959" s="25">
        <v>37060.699999999997</v>
      </c>
      <c r="Q959" s="25">
        <v>31105.24</v>
      </c>
      <c r="R959" s="10">
        <v>37060.699999999997</v>
      </c>
      <c r="S959" s="39">
        <v>18468.810000000001</v>
      </c>
      <c r="T959" s="10" t="s">
        <v>44</v>
      </c>
      <c r="U959" s="10" t="s">
        <v>45</v>
      </c>
      <c r="V959" s="10">
        <v>0</v>
      </c>
      <c r="W959" s="25">
        <f>Table1[[#This Row],[STAB]]-Table1[[#This Row],[AMOUNT]]</f>
        <v>18468.810000000001</v>
      </c>
      <c r="X959" s="10">
        <v>0</v>
      </c>
      <c r="Y959" s="10" t="s">
        <v>79</v>
      </c>
      <c r="Z959" s="10">
        <v>0</v>
      </c>
      <c r="AA959" s="10" t="s">
        <v>162</v>
      </c>
      <c r="AB959" s="36"/>
      <c r="AC959" s="63"/>
      <c r="AD959" s="9" t="s">
        <v>6532</v>
      </c>
      <c r="AE959" s="10" t="s">
        <v>6570</v>
      </c>
      <c r="AF959" s="10" t="s">
        <v>383</v>
      </c>
      <c r="AG959" s="10" t="s">
        <v>53</v>
      </c>
      <c r="AH959" s="10" t="s">
        <v>55</v>
      </c>
      <c r="AI959" s="63"/>
      <c r="AJ959" s="10"/>
      <c r="AK959" s="10"/>
      <c r="AL959" s="63"/>
      <c r="AM959" s="10"/>
      <c r="AN959" s="11" t="s">
        <v>46</v>
      </c>
      <c r="AO959" s="10"/>
      <c r="AP959" s="10"/>
      <c r="AQ959" s="10"/>
      <c r="AR959" s="2">
        <v>45444</v>
      </c>
      <c r="AS959" s="10">
        <v>49532.58</v>
      </c>
      <c r="AT959" s="10" t="s">
        <v>688</v>
      </c>
      <c r="AU959" s="10" t="s">
        <v>6606</v>
      </c>
      <c r="AV959" s="36" t="s">
        <v>6611</v>
      </c>
      <c r="AW959" s="1">
        <v>46219</v>
      </c>
    </row>
    <row r="960" spans="1:49" x14ac:dyDescent="0.25">
      <c r="A960" s="9" t="s">
        <v>6420</v>
      </c>
      <c r="B960" s="10" t="s">
        <v>6460</v>
      </c>
      <c r="C960" s="10">
        <v>0</v>
      </c>
      <c r="D960" s="10" t="s">
        <v>91</v>
      </c>
      <c r="E960" s="10"/>
      <c r="F960" s="10"/>
      <c r="G960" s="63"/>
      <c r="H960" s="10" t="s">
        <v>52</v>
      </c>
      <c r="I960" s="10">
        <v>28</v>
      </c>
      <c r="J960" s="10" t="s">
        <v>6497</v>
      </c>
      <c r="K960" s="10" t="s">
        <v>42</v>
      </c>
      <c r="L960" s="63">
        <f>Table1[[#This Row],[ENR]]-Table1[[#This Row],[CREDIT]]</f>
        <v>-534.7899999999936</v>
      </c>
      <c r="M960" s="36">
        <v>80000</v>
      </c>
      <c r="N960" s="26">
        <v>79465.210000000006</v>
      </c>
      <c r="O960" s="38" t="s">
        <v>43</v>
      </c>
      <c r="P960" s="25">
        <v>79465.210000000006</v>
      </c>
      <c r="Q960" s="25">
        <v>69649.399999999994</v>
      </c>
      <c r="R960" s="10">
        <v>20520</v>
      </c>
      <c r="S960" s="39">
        <v>12600</v>
      </c>
      <c r="T960" s="10" t="s">
        <v>44</v>
      </c>
      <c r="U960" s="10" t="s">
        <v>45</v>
      </c>
      <c r="V960" s="10">
        <v>0</v>
      </c>
      <c r="W960" s="25">
        <f>Table1[[#This Row],[STAB]]-Table1[[#This Row],[AMOUNT]]</f>
        <v>12600</v>
      </c>
      <c r="X960" s="10">
        <v>0</v>
      </c>
      <c r="Y960" s="10" t="s">
        <v>79</v>
      </c>
      <c r="Z960" s="10">
        <v>0</v>
      </c>
      <c r="AA960" s="10" t="s">
        <v>162</v>
      </c>
      <c r="AB960" s="36"/>
      <c r="AC960" s="63"/>
      <c r="AD960" s="9" t="s">
        <v>6533</v>
      </c>
      <c r="AE960" s="10" t="s">
        <v>6571</v>
      </c>
      <c r="AF960" s="10" t="s">
        <v>283</v>
      </c>
      <c r="AG960" s="10" t="s">
        <v>53</v>
      </c>
      <c r="AH960" s="10" t="s">
        <v>5582</v>
      </c>
      <c r="AI960" s="63"/>
      <c r="AJ960" s="10"/>
      <c r="AK960" s="10"/>
      <c r="AL960" s="63"/>
      <c r="AM960" s="10"/>
      <c r="AN960" s="11" t="s">
        <v>46</v>
      </c>
      <c r="AO960" s="10"/>
      <c r="AP960" s="10"/>
      <c r="AQ960" s="10"/>
      <c r="AR960" s="2">
        <v>45487</v>
      </c>
      <c r="AS960" s="10">
        <v>10813.43</v>
      </c>
      <c r="AT960" s="10" t="s">
        <v>47</v>
      </c>
      <c r="AU960" s="10" t="s">
        <v>6606</v>
      </c>
      <c r="AV960" s="36" t="s">
        <v>6612</v>
      </c>
      <c r="AW960" s="1">
        <v>46219</v>
      </c>
    </row>
    <row r="961" spans="1:49" x14ac:dyDescent="0.25">
      <c r="A961" s="9" t="s">
        <v>6421</v>
      </c>
      <c r="B961" s="10" t="s">
        <v>6461</v>
      </c>
      <c r="C961" s="10">
        <v>0</v>
      </c>
      <c r="D961" s="10" t="s">
        <v>91</v>
      </c>
      <c r="E961" s="10"/>
      <c r="F961" s="10"/>
      <c r="G961" s="63"/>
      <c r="H961" s="10" t="s">
        <v>52</v>
      </c>
      <c r="I961" s="10">
        <v>28</v>
      </c>
      <c r="J961" s="10" t="s">
        <v>6498</v>
      </c>
      <c r="K961" s="10" t="s">
        <v>42</v>
      </c>
      <c r="L961" s="63">
        <f>Table1[[#This Row],[ENR]]-Table1[[#This Row],[CREDIT]]</f>
        <v>-21525.919999999998</v>
      </c>
      <c r="M961" s="36">
        <v>99000</v>
      </c>
      <c r="N961" s="26">
        <v>77474.080000000002</v>
      </c>
      <c r="O961" s="38" t="s">
        <v>43</v>
      </c>
      <c r="P961" s="25">
        <v>77474.080000000002</v>
      </c>
      <c r="Q961" s="25">
        <v>68857.009999999995</v>
      </c>
      <c r="R961" s="10">
        <v>16160</v>
      </c>
      <c r="S961" s="39">
        <v>8060</v>
      </c>
      <c r="T961" s="10" t="s">
        <v>44</v>
      </c>
      <c r="U961" s="10" t="s">
        <v>45</v>
      </c>
      <c r="V961" s="10">
        <v>0</v>
      </c>
      <c r="W961" s="25">
        <f>Table1[[#This Row],[STAB]]-Table1[[#This Row],[AMOUNT]]</f>
        <v>8060</v>
      </c>
      <c r="X961" s="10">
        <v>0</v>
      </c>
      <c r="Y961" s="10" t="s">
        <v>79</v>
      </c>
      <c r="Z961" s="10">
        <v>0</v>
      </c>
      <c r="AA961" s="10" t="s">
        <v>162</v>
      </c>
      <c r="AB961" s="36"/>
      <c r="AC961" s="63"/>
      <c r="AD961" s="9" t="s">
        <v>6534</v>
      </c>
      <c r="AE961" s="10" t="s">
        <v>6572</v>
      </c>
      <c r="AF961" s="10" t="s">
        <v>273</v>
      </c>
      <c r="AG961" s="10" t="s">
        <v>323</v>
      </c>
      <c r="AH961" s="10" t="s">
        <v>4528</v>
      </c>
      <c r="AI961" s="63"/>
      <c r="AJ961" s="10"/>
      <c r="AK961" s="10"/>
      <c r="AL961" s="63"/>
      <c r="AM961" s="10"/>
      <c r="AN961" s="11" t="s">
        <v>46</v>
      </c>
      <c r="AO961" s="10"/>
      <c r="AP961" s="10"/>
      <c r="AQ961" s="10"/>
      <c r="AR961" s="2">
        <v>46195</v>
      </c>
      <c r="AS961" s="10">
        <v>4060</v>
      </c>
      <c r="AT961" s="10" t="s">
        <v>47</v>
      </c>
      <c r="AU961" s="10" t="s">
        <v>6606</v>
      </c>
      <c r="AV961" s="36" t="s">
        <v>6613</v>
      </c>
      <c r="AW961" s="1">
        <v>46219</v>
      </c>
    </row>
    <row r="962" spans="1:49" x14ac:dyDescent="0.25">
      <c r="A962" s="9" t="s">
        <v>6422</v>
      </c>
      <c r="B962" s="10" t="s">
        <v>2241</v>
      </c>
      <c r="C962" s="10">
        <v>0</v>
      </c>
      <c r="D962" s="10" t="s">
        <v>91</v>
      </c>
      <c r="E962" s="10"/>
      <c r="F962" s="10"/>
      <c r="G962" s="63"/>
      <c r="H962" s="10" t="s">
        <v>52</v>
      </c>
      <c r="I962" s="10">
        <v>28</v>
      </c>
      <c r="J962" s="10" t="s">
        <v>2363</v>
      </c>
      <c r="K962" s="10" t="s">
        <v>42</v>
      </c>
      <c r="L962" s="63">
        <f>Table1[[#This Row],[ENR]]-Table1[[#This Row],[CREDIT]]</f>
        <v>-117897.56</v>
      </c>
      <c r="M962" s="36">
        <v>230000</v>
      </c>
      <c r="N962" s="26">
        <v>112102.44</v>
      </c>
      <c r="O962" s="38" t="s">
        <v>43</v>
      </c>
      <c r="P962" s="25">
        <v>112102.44</v>
      </c>
      <c r="Q962" s="25">
        <v>100198.04</v>
      </c>
      <c r="R962" s="10">
        <v>21680</v>
      </c>
      <c r="S962" s="39">
        <v>5010</v>
      </c>
      <c r="T962" s="10" t="s">
        <v>44</v>
      </c>
      <c r="U962" s="10" t="s">
        <v>45</v>
      </c>
      <c r="V962" s="10">
        <v>0</v>
      </c>
      <c r="W962" s="25">
        <f>Table1[[#This Row],[STAB]]-Table1[[#This Row],[AMOUNT]]</f>
        <v>5010</v>
      </c>
      <c r="X962" s="10">
        <v>0</v>
      </c>
      <c r="Y962" s="10" t="s">
        <v>79</v>
      </c>
      <c r="Z962" s="10">
        <v>0</v>
      </c>
      <c r="AA962" s="10" t="s">
        <v>162</v>
      </c>
      <c r="AB962" s="36"/>
      <c r="AC962" s="63"/>
      <c r="AD962" s="9" t="s">
        <v>6535</v>
      </c>
      <c r="AE962" s="10" t="s">
        <v>6573</v>
      </c>
      <c r="AF962" s="10" t="s">
        <v>281</v>
      </c>
      <c r="AG962" s="10" t="s">
        <v>54</v>
      </c>
      <c r="AH962" s="10"/>
      <c r="AI962" s="63"/>
      <c r="AJ962" s="10"/>
      <c r="AK962" s="10"/>
      <c r="AL962" s="63"/>
      <c r="AM962" s="10"/>
      <c r="AN962" s="11" t="s">
        <v>46</v>
      </c>
      <c r="AO962" s="10"/>
      <c r="AP962" s="10"/>
      <c r="AQ962" s="10"/>
      <c r="AR962" s="2">
        <v>46158</v>
      </c>
      <c r="AS962" s="10">
        <v>47478</v>
      </c>
      <c r="AT962" s="10" t="s">
        <v>47</v>
      </c>
      <c r="AU962" s="10" t="s">
        <v>6606</v>
      </c>
      <c r="AV962" s="36" t="s">
        <v>6614</v>
      </c>
      <c r="AW962" s="1">
        <v>46219</v>
      </c>
    </row>
    <row r="963" spans="1:49" x14ac:dyDescent="0.25">
      <c r="A963" s="9" t="s">
        <v>6423</v>
      </c>
      <c r="B963" s="10" t="s">
        <v>6462</v>
      </c>
      <c r="C963" s="10">
        <v>0</v>
      </c>
      <c r="D963" s="10" t="s">
        <v>91</v>
      </c>
      <c r="E963" s="10"/>
      <c r="F963" s="10"/>
      <c r="G963" s="63"/>
      <c r="H963" s="10" t="s">
        <v>52</v>
      </c>
      <c r="I963" s="10">
        <v>28</v>
      </c>
      <c r="J963" s="10" t="s">
        <v>6499</v>
      </c>
      <c r="K963" s="10" t="s">
        <v>42</v>
      </c>
      <c r="L963" s="63">
        <f>Table1[[#This Row],[ENR]]-Table1[[#This Row],[CREDIT]]</f>
        <v>-3422.0800000000017</v>
      </c>
      <c r="M963" s="36">
        <v>110000</v>
      </c>
      <c r="N963" s="26">
        <v>106577.92</v>
      </c>
      <c r="O963" s="38" t="s">
        <v>43</v>
      </c>
      <c r="P963" s="25">
        <v>106577.92</v>
      </c>
      <c r="Q963" s="25">
        <v>96005.91</v>
      </c>
      <c r="R963" s="10">
        <v>16480</v>
      </c>
      <c r="S963" s="39">
        <v>5690</v>
      </c>
      <c r="T963" s="10" t="s">
        <v>44</v>
      </c>
      <c r="U963" s="10" t="s">
        <v>45</v>
      </c>
      <c r="V963" s="10">
        <v>0</v>
      </c>
      <c r="W963" s="25">
        <f>Table1[[#This Row],[STAB]]-Table1[[#This Row],[AMOUNT]]</f>
        <v>5690</v>
      </c>
      <c r="X963" s="10">
        <v>0</v>
      </c>
      <c r="Y963" s="10" t="s">
        <v>79</v>
      </c>
      <c r="Z963" s="10">
        <v>0</v>
      </c>
      <c r="AA963" s="10" t="s">
        <v>162</v>
      </c>
      <c r="AB963" s="36"/>
      <c r="AC963" s="63"/>
      <c r="AD963" s="9" t="s">
        <v>6536</v>
      </c>
      <c r="AE963" s="10" t="s">
        <v>6574</v>
      </c>
      <c r="AF963" s="10" t="s">
        <v>273</v>
      </c>
      <c r="AG963" s="10" t="s">
        <v>323</v>
      </c>
      <c r="AH963" s="10" t="s">
        <v>4528</v>
      </c>
      <c r="AI963" s="63"/>
      <c r="AJ963" s="10"/>
      <c r="AK963" s="10"/>
      <c r="AL963" s="63"/>
      <c r="AM963" s="10"/>
      <c r="AN963" s="11" t="s">
        <v>46</v>
      </c>
      <c r="AO963" s="10"/>
      <c r="AP963" s="10"/>
      <c r="AQ963" s="10"/>
      <c r="AR963" s="2">
        <v>45505</v>
      </c>
      <c r="AS963" s="10">
        <v>97000</v>
      </c>
      <c r="AT963" s="10" t="s">
        <v>47</v>
      </c>
      <c r="AU963" s="10" t="s">
        <v>6606</v>
      </c>
      <c r="AV963" s="36" t="s">
        <v>6615</v>
      </c>
      <c r="AW963" s="1">
        <v>46219</v>
      </c>
    </row>
    <row r="964" spans="1:49" x14ac:dyDescent="0.25">
      <c r="A964" s="9" t="s">
        <v>6424</v>
      </c>
      <c r="B964" s="10" t="s">
        <v>6463</v>
      </c>
      <c r="C964" s="10">
        <v>0</v>
      </c>
      <c r="D964" s="10" t="s">
        <v>91</v>
      </c>
      <c r="E964" s="10"/>
      <c r="F964" s="10"/>
      <c r="G964" s="63"/>
      <c r="H964" s="10" t="s">
        <v>52</v>
      </c>
      <c r="I964" s="10">
        <v>28</v>
      </c>
      <c r="J964" s="10" t="s">
        <v>6500</v>
      </c>
      <c r="K964" s="10" t="s">
        <v>42</v>
      </c>
      <c r="L964" s="63">
        <f>Table1[[#This Row],[ENR]]-Table1[[#This Row],[CREDIT]]</f>
        <v>-459935.33999999997</v>
      </c>
      <c r="M964" s="36">
        <v>620000</v>
      </c>
      <c r="N964" s="26">
        <v>160064.66</v>
      </c>
      <c r="O964" s="38">
        <v>112216.95</v>
      </c>
      <c r="P964" s="25">
        <v>47847.71</v>
      </c>
      <c r="Q964" s="25">
        <v>40380.26</v>
      </c>
      <c r="R964" s="10">
        <v>47847.71</v>
      </c>
      <c r="S964" s="39">
        <v>22457.24</v>
      </c>
      <c r="T964" s="10" t="s">
        <v>44</v>
      </c>
      <c r="U964" s="10" t="s">
        <v>45</v>
      </c>
      <c r="V964" s="10">
        <v>0</v>
      </c>
      <c r="W964" s="25">
        <f>Table1[[#This Row],[STAB]]-Table1[[#This Row],[AMOUNT]]</f>
        <v>22457.24</v>
      </c>
      <c r="X964" s="10">
        <v>0</v>
      </c>
      <c r="Y964" s="10" t="s">
        <v>79</v>
      </c>
      <c r="Z964" s="10">
        <v>0</v>
      </c>
      <c r="AA964" s="10" t="s">
        <v>162</v>
      </c>
      <c r="AB964" s="36"/>
      <c r="AC964" s="63"/>
      <c r="AD964" s="9" t="s">
        <v>6537</v>
      </c>
      <c r="AE964" s="10" t="s">
        <v>6575</v>
      </c>
      <c r="AF964" s="10" t="s">
        <v>272</v>
      </c>
      <c r="AG964" s="10" t="s">
        <v>54</v>
      </c>
      <c r="AH964" s="10"/>
      <c r="AI964" s="63"/>
      <c r="AJ964" s="10"/>
      <c r="AK964" s="10"/>
      <c r="AL964" s="63"/>
      <c r="AM964" s="10"/>
      <c r="AN964" s="11" t="s">
        <v>46</v>
      </c>
      <c r="AO964" s="10"/>
      <c r="AP964" s="10"/>
      <c r="AQ964" s="10"/>
      <c r="AR964" s="2">
        <v>45487</v>
      </c>
      <c r="AS964" s="10">
        <v>8653.2900000000009</v>
      </c>
      <c r="AT964" s="10" t="s">
        <v>47</v>
      </c>
      <c r="AU964" s="10" t="s">
        <v>6606</v>
      </c>
      <c r="AV964" s="36" t="s">
        <v>6616</v>
      </c>
      <c r="AW964" s="1">
        <v>46219</v>
      </c>
    </row>
    <row r="965" spans="1:49" x14ac:dyDescent="0.25">
      <c r="A965" s="9" t="s">
        <v>6425</v>
      </c>
      <c r="B965" s="10" t="s">
        <v>6464</v>
      </c>
      <c r="C965" s="10">
        <v>0</v>
      </c>
      <c r="D965" s="10" t="s">
        <v>91</v>
      </c>
      <c r="E965" s="10"/>
      <c r="F965" s="10"/>
      <c r="G965" s="63"/>
      <c r="H965" s="10" t="s">
        <v>52</v>
      </c>
      <c r="I965" s="10">
        <v>28</v>
      </c>
      <c r="J965" s="10" t="s">
        <v>6501</v>
      </c>
      <c r="K965" s="10" t="s">
        <v>42</v>
      </c>
      <c r="L965" s="63">
        <f>Table1[[#This Row],[ENR]]-Table1[[#This Row],[CREDIT]]</f>
        <v>-38664.01999999999</v>
      </c>
      <c r="M965" s="36">
        <v>260000</v>
      </c>
      <c r="N965" s="26">
        <v>221335.98</v>
      </c>
      <c r="O965" s="38" t="s">
        <v>43</v>
      </c>
      <c r="P965" s="25">
        <v>221335.98</v>
      </c>
      <c r="Q965" s="25">
        <v>201068.63</v>
      </c>
      <c r="R965" s="10">
        <v>32760</v>
      </c>
      <c r="S965" s="39">
        <v>11860</v>
      </c>
      <c r="T965" s="10" t="s">
        <v>44</v>
      </c>
      <c r="U965" s="10" t="s">
        <v>45</v>
      </c>
      <c r="V965" s="10">
        <v>0</v>
      </c>
      <c r="W965" s="25">
        <f>Table1[[#This Row],[STAB]]-Table1[[#This Row],[AMOUNT]]</f>
        <v>11860</v>
      </c>
      <c r="X965" s="10">
        <v>0</v>
      </c>
      <c r="Y965" s="10" t="s">
        <v>79</v>
      </c>
      <c r="Z965" s="10">
        <v>0</v>
      </c>
      <c r="AA965" s="10" t="s">
        <v>162</v>
      </c>
      <c r="AB965" s="36"/>
      <c r="AC965" s="63"/>
      <c r="AD965" s="9" t="s">
        <v>6538</v>
      </c>
      <c r="AE965" s="10" t="s">
        <v>6576</v>
      </c>
      <c r="AF965" s="10" t="s">
        <v>111</v>
      </c>
      <c r="AG965" s="10" t="s">
        <v>53</v>
      </c>
      <c r="AH965" s="10" t="s">
        <v>92</v>
      </c>
      <c r="AI965" s="63"/>
      <c r="AJ965" s="10"/>
      <c r="AK965" s="10"/>
      <c r="AL965" s="63"/>
      <c r="AM965" s="10"/>
      <c r="AN965" s="11" t="s">
        <v>46</v>
      </c>
      <c r="AO965" s="10"/>
      <c r="AP965" s="10"/>
      <c r="AQ965" s="10"/>
      <c r="AR965" s="2">
        <v>45477</v>
      </c>
      <c r="AS965" s="10">
        <v>2</v>
      </c>
      <c r="AT965" s="10" t="s">
        <v>47</v>
      </c>
      <c r="AU965" s="10" t="s">
        <v>6606</v>
      </c>
      <c r="AV965" s="36" t="s">
        <v>6617</v>
      </c>
      <c r="AW965" s="1">
        <v>46219</v>
      </c>
    </row>
    <row r="966" spans="1:49" x14ac:dyDescent="0.25">
      <c r="A966" s="9" t="s">
        <v>6426</v>
      </c>
      <c r="B966" s="10" t="s">
        <v>6465</v>
      </c>
      <c r="C966" s="10">
        <v>0</v>
      </c>
      <c r="D966" s="10" t="s">
        <v>91</v>
      </c>
      <c r="E966" s="10"/>
      <c r="F966" s="10"/>
      <c r="G966" s="63"/>
      <c r="H966" s="10" t="s">
        <v>52</v>
      </c>
      <c r="I966" s="10">
        <v>28</v>
      </c>
      <c r="J966" s="10" t="s">
        <v>6502</v>
      </c>
      <c r="K966" s="10" t="s">
        <v>42</v>
      </c>
      <c r="L966" s="63">
        <f>Table1[[#This Row],[ENR]]-Table1[[#This Row],[CREDIT]]</f>
        <v>2200.7900000000009</v>
      </c>
      <c r="M966" s="36">
        <v>55000</v>
      </c>
      <c r="N966" s="26">
        <v>57200.79</v>
      </c>
      <c r="O966" s="38">
        <v>20394.7</v>
      </c>
      <c r="P966" s="25">
        <v>36806.089999999997</v>
      </c>
      <c r="Q966" s="25">
        <v>34025.870000000003</v>
      </c>
      <c r="R966" s="10">
        <v>28260</v>
      </c>
      <c r="S966" s="39">
        <v>10849.94</v>
      </c>
      <c r="T966" s="10" t="s">
        <v>44</v>
      </c>
      <c r="U966" s="10" t="s">
        <v>45</v>
      </c>
      <c r="V966" s="10">
        <v>0</v>
      </c>
      <c r="W966" s="25">
        <f>Table1[[#This Row],[STAB]]-Table1[[#This Row],[AMOUNT]]</f>
        <v>10849.94</v>
      </c>
      <c r="X966" s="10">
        <v>0</v>
      </c>
      <c r="Y966" s="10" t="s">
        <v>79</v>
      </c>
      <c r="Z966" s="10">
        <v>0</v>
      </c>
      <c r="AA966" s="10" t="s">
        <v>162</v>
      </c>
      <c r="AB966" s="36"/>
      <c r="AC966" s="63"/>
      <c r="AD966" s="9" t="s">
        <v>6539</v>
      </c>
      <c r="AE966" s="10" t="s">
        <v>6577</v>
      </c>
      <c r="AF966" s="10" t="s">
        <v>272</v>
      </c>
      <c r="AG966" s="10" t="s">
        <v>54</v>
      </c>
      <c r="AH966" s="10"/>
      <c r="AI966" s="63"/>
      <c r="AJ966" s="10"/>
      <c r="AK966" s="10"/>
      <c r="AL966" s="63"/>
      <c r="AM966" s="10"/>
      <c r="AN966" s="11" t="s">
        <v>46</v>
      </c>
      <c r="AO966" s="10"/>
      <c r="AP966" s="10"/>
      <c r="AQ966" s="10"/>
      <c r="AR966" s="2">
        <v>46151</v>
      </c>
      <c r="AS966" s="10">
        <v>8267.5400000000009</v>
      </c>
      <c r="AT966" s="10" t="s">
        <v>47</v>
      </c>
      <c r="AU966" s="10" t="s">
        <v>6606</v>
      </c>
      <c r="AV966" s="36" t="s">
        <v>6618</v>
      </c>
      <c r="AW966" s="1">
        <v>46219</v>
      </c>
    </row>
    <row r="967" spans="1:49" x14ac:dyDescent="0.25">
      <c r="A967" s="9" t="s">
        <v>6427</v>
      </c>
      <c r="B967" s="10" t="s">
        <v>6466</v>
      </c>
      <c r="C967" s="10">
        <v>0</v>
      </c>
      <c r="D967" s="10" t="s">
        <v>91</v>
      </c>
      <c r="E967" s="10"/>
      <c r="F967" s="10"/>
      <c r="G967" s="63"/>
      <c r="H967" s="10" t="s">
        <v>52</v>
      </c>
      <c r="I967" s="10">
        <v>28</v>
      </c>
      <c r="J967" s="10" t="s">
        <v>6503</v>
      </c>
      <c r="K967" s="10" t="s">
        <v>42</v>
      </c>
      <c r="L967" s="63">
        <f>Table1[[#This Row],[ENR]]-Table1[[#This Row],[CREDIT]]</f>
        <v>-100945.24</v>
      </c>
      <c r="M967" s="36">
        <v>210000</v>
      </c>
      <c r="N967" s="26">
        <v>109054.76</v>
      </c>
      <c r="O967" s="38">
        <v>90500.95</v>
      </c>
      <c r="P967" s="25">
        <v>18553.810000000001</v>
      </c>
      <c r="Q967" s="25">
        <v>13446.09</v>
      </c>
      <c r="R967" s="10">
        <v>18553.810000000001</v>
      </c>
      <c r="S967" s="39">
        <v>8312.9599999999991</v>
      </c>
      <c r="T967" s="10" t="s">
        <v>44</v>
      </c>
      <c r="U967" s="10" t="s">
        <v>45</v>
      </c>
      <c r="V967" s="10">
        <v>0</v>
      </c>
      <c r="W967" s="25">
        <f>Table1[[#This Row],[STAB]]-Table1[[#This Row],[AMOUNT]]</f>
        <v>8312.9599999999991</v>
      </c>
      <c r="X967" s="10">
        <v>0</v>
      </c>
      <c r="Y967" s="10" t="s">
        <v>79</v>
      </c>
      <c r="Z967" s="10">
        <v>0</v>
      </c>
      <c r="AA967" s="10" t="s">
        <v>162</v>
      </c>
      <c r="AB967" s="36"/>
      <c r="AC967" s="63"/>
      <c r="AD967" s="9" t="s">
        <v>6540</v>
      </c>
      <c r="AE967" s="10" t="s">
        <v>6578</v>
      </c>
      <c r="AF967" s="10" t="s">
        <v>2619</v>
      </c>
      <c r="AG967" s="10" t="s">
        <v>53</v>
      </c>
      <c r="AH967" s="10" t="s">
        <v>55</v>
      </c>
      <c r="AI967" s="63"/>
      <c r="AJ967" s="10"/>
      <c r="AK967" s="10"/>
      <c r="AL967" s="63"/>
      <c r="AM967" s="10"/>
      <c r="AN967" s="11" t="s">
        <v>46</v>
      </c>
      <c r="AO967" s="10"/>
      <c r="AP967" s="10"/>
      <c r="AQ967" s="10"/>
      <c r="AR967" s="2">
        <v>46151</v>
      </c>
      <c r="AS967" s="10">
        <v>8328.77</v>
      </c>
      <c r="AT967" s="10" t="s">
        <v>47</v>
      </c>
      <c r="AU967" s="10" t="s">
        <v>6606</v>
      </c>
      <c r="AV967" s="36" t="s">
        <v>6619</v>
      </c>
      <c r="AW967" s="1">
        <v>46219</v>
      </c>
    </row>
    <row r="968" spans="1:49" x14ac:dyDescent="0.25">
      <c r="A968" s="9" t="s">
        <v>6428</v>
      </c>
      <c r="B968" s="10" t="s">
        <v>6467</v>
      </c>
      <c r="C968" s="10">
        <v>0</v>
      </c>
      <c r="D968" s="10" t="s">
        <v>91</v>
      </c>
      <c r="E968" s="10"/>
      <c r="F968" s="10"/>
      <c r="G968" s="63"/>
      <c r="H968" s="10" t="s">
        <v>52</v>
      </c>
      <c r="I968" s="10">
        <v>28</v>
      </c>
      <c r="J968" s="10" t="s">
        <v>6504</v>
      </c>
      <c r="K968" s="10" t="s">
        <v>42</v>
      </c>
      <c r="L968" s="63">
        <f>Table1[[#This Row],[ENR]]-Table1[[#This Row],[CREDIT]]</f>
        <v>2791.2299999999959</v>
      </c>
      <c r="M968" s="36">
        <v>120000</v>
      </c>
      <c r="N968" s="26">
        <v>122791.23</v>
      </c>
      <c r="O968" s="38" t="s">
        <v>43</v>
      </c>
      <c r="P968" s="25">
        <v>122791.23</v>
      </c>
      <c r="Q968" s="25">
        <v>113829.79</v>
      </c>
      <c r="R968" s="10">
        <v>14640</v>
      </c>
      <c r="S968" s="39">
        <v>4932.51</v>
      </c>
      <c r="T968" s="10" t="s">
        <v>44</v>
      </c>
      <c r="U968" s="10" t="s">
        <v>45</v>
      </c>
      <c r="V968" s="10">
        <v>0</v>
      </c>
      <c r="W968" s="25">
        <f>Table1[[#This Row],[STAB]]-Table1[[#This Row],[AMOUNT]]</f>
        <v>4932.51</v>
      </c>
      <c r="X968" s="10">
        <v>0</v>
      </c>
      <c r="Y968" s="10" t="s">
        <v>79</v>
      </c>
      <c r="Z968" s="10">
        <v>0</v>
      </c>
      <c r="AA968" s="10" t="s">
        <v>162</v>
      </c>
      <c r="AB968" s="36"/>
      <c r="AC968" s="63"/>
      <c r="AD968" s="9" t="s">
        <v>6541</v>
      </c>
      <c r="AE968" s="10" t="s">
        <v>6579</v>
      </c>
      <c r="AF968" s="10" t="s">
        <v>273</v>
      </c>
      <c r="AG968" s="10" t="s">
        <v>323</v>
      </c>
      <c r="AH968" s="10" t="s">
        <v>525</v>
      </c>
      <c r="AI968" s="63"/>
      <c r="AJ968" s="10"/>
      <c r="AK968" s="10"/>
      <c r="AL968" s="63"/>
      <c r="AM968" s="10"/>
      <c r="AN968" s="11" t="s">
        <v>46</v>
      </c>
      <c r="AO968" s="10"/>
      <c r="AP968" s="10"/>
      <c r="AQ968" s="10"/>
      <c r="AR968" s="2">
        <v>46131</v>
      </c>
      <c r="AS968" s="10">
        <v>3324.2</v>
      </c>
      <c r="AT968" s="10" t="s">
        <v>47</v>
      </c>
      <c r="AU968" s="10" t="s">
        <v>6606</v>
      </c>
      <c r="AV968" s="36" t="s">
        <v>6620</v>
      </c>
      <c r="AW968" s="1">
        <v>46219</v>
      </c>
    </row>
    <row r="969" spans="1:49" x14ac:dyDescent="0.25">
      <c r="A969" s="9" t="s">
        <v>6429</v>
      </c>
      <c r="B969" s="10" t="s">
        <v>6468</v>
      </c>
      <c r="C969" s="10">
        <v>0</v>
      </c>
      <c r="D969" s="10" t="s">
        <v>91</v>
      </c>
      <c r="E969" s="10"/>
      <c r="F969" s="10"/>
      <c r="G969" s="63"/>
      <c r="H969" s="10" t="s">
        <v>52</v>
      </c>
      <c r="I969" s="10">
        <v>28</v>
      </c>
      <c r="J969" s="10" t="s">
        <v>6505</v>
      </c>
      <c r="K969" s="10" t="s">
        <v>42</v>
      </c>
      <c r="L969" s="63">
        <f>Table1[[#This Row],[ENR]]-Table1[[#This Row],[CREDIT]]</f>
        <v>27213.890000000014</v>
      </c>
      <c r="M969" s="36">
        <v>158000</v>
      </c>
      <c r="N969" s="26">
        <v>185213.89</v>
      </c>
      <c r="O969" s="38">
        <v>136568.85999999999</v>
      </c>
      <c r="P969" s="25">
        <v>48645.03</v>
      </c>
      <c r="Q969" s="25">
        <v>29475.77</v>
      </c>
      <c r="R969" s="10">
        <v>31390</v>
      </c>
      <c r="S969" s="39">
        <v>19780</v>
      </c>
      <c r="T969" s="10" t="s">
        <v>44</v>
      </c>
      <c r="U969" s="10" t="s">
        <v>45</v>
      </c>
      <c r="V969" s="10">
        <v>0</v>
      </c>
      <c r="W969" s="25">
        <f>Table1[[#This Row],[STAB]]-Table1[[#This Row],[AMOUNT]]</f>
        <v>19780</v>
      </c>
      <c r="X969" s="10">
        <v>0</v>
      </c>
      <c r="Y969" s="10" t="s">
        <v>79</v>
      </c>
      <c r="Z969" s="10">
        <v>0</v>
      </c>
      <c r="AA969" s="10" t="s">
        <v>162</v>
      </c>
      <c r="AB969" s="36"/>
      <c r="AC969" s="63"/>
      <c r="AD969" s="9" t="s">
        <v>6542</v>
      </c>
      <c r="AE969" s="10" t="s">
        <v>6580</v>
      </c>
      <c r="AF969" s="10" t="s">
        <v>275</v>
      </c>
      <c r="AG969" s="10" t="s">
        <v>80</v>
      </c>
      <c r="AH969" s="10" t="s">
        <v>1407</v>
      </c>
      <c r="AI969" s="63"/>
      <c r="AJ969" s="10"/>
      <c r="AK969" s="10"/>
      <c r="AL969" s="63"/>
      <c r="AM969" s="10"/>
      <c r="AN969" s="11" t="s">
        <v>46</v>
      </c>
      <c r="AO969" s="10"/>
      <c r="AP969" s="10"/>
      <c r="AQ969" s="10"/>
      <c r="AR969" s="2">
        <v>45453</v>
      </c>
      <c r="AS969" s="10">
        <v>145457</v>
      </c>
      <c r="AT969" s="10" t="s">
        <v>47</v>
      </c>
      <c r="AU969" s="10" t="s">
        <v>6606</v>
      </c>
      <c r="AV969" s="36" t="s">
        <v>6621</v>
      </c>
      <c r="AW969" s="1">
        <v>46219</v>
      </c>
    </row>
    <row r="970" spans="1:49" x14ac:dyDescent="0.25">
      <c r="A970" s="9" t="s">
        <v>6430</v>
      </c>
      <c r="B970" s="10" t="s">
        <v>6469</v>
      </c>
      <c r="C970" s="10">
        <v>0</v>
      </c>
      <c r="D970" s="10" t="s">
        <v>91</v>
      </c>
      <c r="E970" s="10"/>
      <c r="F970" s="10"/>
      <c r="G970" s="63"/>
      <c r="H970" s="10" t="s">
        <v>52</v>
      </c>
      <c r="I970" s="10">
        <v>28</v>
      </c>
      <c r="J970" s="10" t="s">
        <v>6506</v>
      </c>
      <c r="K970" s="10" t="s">
        <v>42</v>
      </c>
      <c r="L970" s="63">
        <f>Table1[[#This Row],[ENR]]-Table1[[#This Row],[CREDIT]]</f>
        <v>-22095.429999999993</v>
      </c>
      <c r="M970" s="36">
        <v>100000</v>
      </c>
      <c r="N970" s="26">
        <v>77904.570000000007</v>
      </c>
      <c r="O970" s="38" t="s">
        <v>43</v>
      </c>
      <c r="P970" s="25">
        <v>77904.570000000007</v>
      </c>
      <c r="Q970" s="25">
        <v>69590.89</v>
      </c>
      <c r="R970" s="10">
        <v>12430</v>
      </c>
      <c r="S970" s="39">
        <v>4170</v>
      </c>
      <c r="T970" s="10" t="s">
        <v>44</v>
      </c>
      <c r="U970" s="10" t="s">
        <v>45</v>
      </c>
      <c r="V970" s="10">
        <v>0</v>
      </c>
      <c r="W970" s="25">
        <f>Table1[[#This Row],[STAB]]-Table1[[#This Row],[AMOUNT]]</f>
        <v>4170</v>
      </c>
      <c r="X970" s="10">
        <v>0</v>
      </c>
      <c r="Y970" s="10" t="s">
        <v>79</v>
      </c>
      <c r="Z970" s="10">
        <v>0</v>
      </c>
      <c r="AA970" s="10" t="s">
        <v>162</v>
      </c>
      <c r="AB970" s="36"/>
      <c r="AC970" s="63"/>
      <c r="AD970" s="9" t="s">
        <v>6543</v>
      </c>
      <c r="AE970" s="10" t="s">
        <v>6581</v>
      </c>
      <c r="AF970" s="10" t="s">
        <v>85</v>
      </c>
      <c r="AG970" s="10" t="s">
        <v>54</v>
      </c>
      <c r="AH970" s="10"/>
      <c r="AI970" s="63"/>
      <c r="AJ970" s="10"/>
      <c r="AK970" s="10"/>
      <c r="AL970" s="63"/>
      <c r="AM970" s="10"/>
      <c r="AN970" s="11" t="s">
        <v>46</v>
      </c>
      <c r="AO970" s="10"/>
      <c r="AP970" s="10"/>
      <c r="AQ970" s="10"/>
      <c r="AR970" s="2">
        <v>45468</v>
      </c>
      <c r="AS970" s="10">
        <v>800</v>
      </c>
      <c r="AT970" s="10" t="s">
        <v>47</v>
      </c>
      <c r="AU970" s="10" t="s">
        <v>6606</v>
      </c>
      <c r="AV970" s="36" t="s">
        <v>6622</v>
      </c>
      <c r="AW970" s="1">
        <v>46219</v>
      </c>
    </row>
    <row r="971" spans="1:49" x14ac:dyDescent="0.25">
      <c r="A971" s="9" t="s">
        <v>6431</v>
      </c>
      <c r="B971" s="10" t="s">
        <v>6470</v>
      </c>
      <c r="C971" s="10">
        <v>0</v>
      </c>
      <c r="D971" s="10" t="s">
        <v>91</v>
      </c>
      <c r="E971" s="10"/>
      <c r="F971" s="10"/>
      <c r="G971" s="63"/>
      <c r="H971" s="10" t="s">
        <v>52</v>
      </c>
      <c r="I971" s="10">
        <v>28</v>
      </c>
      <c r="J971" s="10" t="s">
        <v>6507</v>
      </c>
      <c r="K971" s="10" t="s">
        <v>42</v>
      </c>
      <c r="L971" s="63">
        <f>Table1[[#This Row],[ENR]]-Table1[[#This Row],[CREDIT]]</f>
        <v>-15762.61</v>
      </c>
      <c r="M971" s="36">
        <v>130000</v>
      </c>
      <c r="N971" s="26">
        <v>114237.39</v>
      </c>
      <c r="O971" s="38">
        <v>89307.57</v>
      </c>
      <c r="P971" s="25">
        <v>24929.82</v>
      </c>
      <c r="Q971" s="25">
        <v>21158.51</v>
      </c>
      <c r="R971" s="10">
        <v>24929.82</v>
      </c>
      <c r="S971" s="39">
        <v>9705.5300000000007</v>
      </c>
      <c r="T971" s="10" t="s">
        <v>44</v>
      </c>
      <c r="U971" s="10" t="s">
        <v>45</v>
      </c>
      <c r="V971" s="10">
        <v>0</v>
      </c>
      <c r="W971" s="25">
        <f>Table1[[#This Row],[STAB]]-Table1[[#This Row],[AMOUNT]]</f>
        <v>9705.5300000000007</v>
      </c>
      <c r="X971" s="10">
        <v>0</v>
      </c>
      <c r="Y971" s="10" t="s">
        <v>79</v>
      </c>
      <c r="Z971" s="10">
        <v>0</v>
      </c>
      <c r="AA971" s="10" t="s">
        <v>162</v>
      </c>
      <c r="AB971" s="36"/>
      <c r="AC971" s="63"/>
      <c r="AD971" s="9" t="s">
        <v>6544</v>
      </c>
      <c r="AE971" s="10" t="s">
        <v>6582</v>
      </c>
      <c r="AF971" s="10" t="s">
        <v>147</v>
      </c>
      <c r="AG971" s="10" t="s">
        <v>148</v>
      </c>
      <c r="AH971" s="10" t="s">
        <v>60</v>
      </c>
      <c r="AI971" s="63"/>
      <c r="AJ971" s="10"/>
      <c r="AK971" s="10"/>
      <c r="AL971" s="63"/>
      <c r="AM971" s="10"/>
      <c r="AN971" s="11" t="s">
        <v>46</v>
      </c>
      <c r="AO971" s="10"/>
      <c r="AP971" s="10"/>
      <c r="AQ971" s="10"/>
      <c r="AR971" s="2">
        <v>46184</v>
      </c>
      <c r="AS971" s="10">
        <v>22004.01</v>
      </c>
      <c r="AT971" s="10" t="s">
        <v>47</v>
      </c>
      <c r="AU971" s="10" t="s">
        <v>6606</v>
      </c>
      <c r="AV971" s="36" t="s">
        <v>6623</v>
      </c>
      <c r="AW971" s="1">
        <v>46219</v>
      </c>
    </row>
    <row r="972" spans="1:49" x14ac:dyDescent="0.25">
      <c r="A972" s="9" t="s">
        <v>6432</v>
      </c>
      <c r="B972" s="10" t="s">
        <v>6471</v>
      </c>
      <c r="C972" s="10">
        <v>0</v>
      </c>
      <c r="D972" s="10" t="s">
        <v>91</v>
      </c>
      <c r="E972" s="10"/>
      <c r="F972" s="10"/>
      <c r="G972" s="63"/>
      <c r="H972" s="10" t="s">
        <v>52</v>
      </c>
      <c r="I972" s="10">
        <v>28</v>
      </c>
      <c r="J972" s="10" t="s">
        <v>6508</v>
      </c>
      <c r="K972" s="10" t="s">
        <v>42</v>
      </c>
      <c r="L972" s="63">
        <f>Table1[[#This Row],[ENR]]-Table1[[#This Row],[CREDIT]]</f>
        <v>-111358.42000000001</v>
      </c>
      <c r="M972" s="36">
        <v>250000</v>
      </c>
      <c r="N972" s="26">
        <v>138641.57999999999</v>
      </c>
      <c r="O972" s="38">
        <v>111122.59</v>
      </c>
      <c r="P972" s="25">
        <v>27518.99</v>
      </c>
      <c r="Q972" s="25">
        <v>20289.62</v>
      </c>
      <c r="R972" s="10">
        <v>27020</v>
      </c>
      <c r="S972" s="39">
        <v>12140</v>
      </c>
      <c r="T972" s="10" t="s">
        <v>44</v>
      </c>
      <c r="U972" s="10" t="s">
        <v>45</v>
      </c>
      <c r="V972" s="10">
        <v>0</v>
      </c>
      <c r="W972" s="25">
        <f>Table1[[#This Row],[STAB]]-Table1[[#This Row],[AMOUNT]]</f>
        <v>12140</v>
      </c>
      <c r="X972" s="10">
        <v>0</v>
      </c>
      <c r="Y972" s="10" t="s">
        <v>79</v>
      </c>
      <c r="Z972" s="10">
        <v>0</v>
      </c>
      <c r="AA972" s="10" t="s">
        <v>162</v>
      </c>
      <c r="AB972" s="36"/>
      <c r="AC972" s="63"/>
      <c r="AD972" s="9" t="s">
        <v>6545</v>
      </c>
      <c r="AE972" s="10" t="s">
        <v>6583</v>
      </c>
      <c r="AF972" s="10" t="s">
        <v>275</v>
      </c>
      <c r="AG972" s="10" t="s">
        <v>80</v>
      </c>
      <c r="AH972" s="10" t="s">
        <v>1999</v>
      </c>
      <c r="AI972" s="63"/>
      <c r="AJ972" s="10"/>
      <c r="AK972" s="10"/>
      <c r="AL972" s="63"/>
      <c r="AM972" s="10"/>
      <c r="AN972" s="11" t="s">
        <v>46</v>
      </c>
      <c r="AO972" s="10"/>
      <c r="AP972" s="10"/>
      <c r="AQ972" s="10"/>
      <c r="AR972" s="2">
        <v>46150</v>
      </c>
      <c r="AS972" s="10">
        <v>26560.47</v>
      </c>
      <c r="AT972" s="10" t="s">
        <v>47</v>
      </c>
      <c r="AU972" s="10" t="s">
        <v>6606</v>
      </c>
      <c r="AV972" s="36" t="s">
        <v>6624</v>
      </c>
      <c r="AW972" s="1">
        <v>46219</v>
      </c>
    </row>
    <row r="973" spans="1:49" x14ac:dyDescent="0.25">
      <c r="A973" s="9" t="s">
        <v>6433</v>
      </c>
      <c r="B973" s="10" t="s">
        <v>6472</v>
      </c>
      <c r="C973" s="10">
        <v>0</v>
      </c>
      <c r="D973" s="10" t="s">
        <v>91</v>
      </c>
      <c r="E973" s="10"/>
      <c r="F973" s="10"/>
      <c r="G973" s="63"/>
      <c r="H973" s="10" t="s">
        <v>52</v>
      </c>
      <c r="I973" s="10">
        <v>28</v>
      </c>
      <c r="J973" s="10" t="s">
        <v>6509</v>
      </c>
      <c r="K973" s="10" t="s">
        <v>42</v>
      </c>
      <c r="L973" s="63">
        <f>Table1[[#This Row],[ENR]]-Table1[[#This Row],[CREDIT]]</f>
        <v>150285.46000000002</v>
      </c>
      <c r="M973" s="36">
        <v>150000</v>
      </c>
      <c r="N973" s="26">
        <v>300285.46000000002</v>
      </c>
      <c r="O973" s="38">
        <v>214364.26</v>
      </c>
      <c r="P973" s="25">
        <v>85921.2</v>
      </c>
      <c r="Q973" s="25">
        <v>75976.429999999993</v>
      </c>
      <c r="R973" s="10">
        <v>35490</v>
      </c>
      <c r="S973" s="39">
        <v>13980</v>
      </c>
      <c r="T973" s="10" t="s">
        <v>44</v>
      </c>
      <c r="U973" s="10" t="s">
        <v>45</v>
      </c>
      <c r="V973" s="10">
        <v>0</v>
      </c>
      <c r="W973" s="25">
        <f>Table1[[#This Row],[STAB]]-Table1[[#This Row],[AMOUNT]]</f>
        <v>13980</v>
      </c>
      <c r="X973" s="10">
        <v>0</v>
      </c>
      <c r="Y973" s="10" t="s">
        <v>79</v>
      </c>
      <c r="Z973" s="10">
        <v>0</v>
      </c>
      <c r="AA973" s="10" t="s">
        <v>162</v>
      </c>
      <c r="AB973" s="36"/>
      <c r="AC973" s="63"/>
      <c r="AD973" s="9" t="s">
        <v>6546</v>
      </c>
      <c r="AE973" s="10" t="s">
        <v>6584</v>
      </c>
      <c r="AF973" s="10" t="s">
        <v>1102</v>
      </c>
      <c r="AG973" s="10" t="s">
        <v>324</v>
      </c>
      <c r="AH973" s="10" t="s">
        <v>1956</v>
      </c>
      <c r="AI973" s="63"/>
      <c r="AJ973" s="10"/>
      <c r="AK973" s="10"/>
      <c r="AL973" s="63"/>
      <c r="AM973" s="10"/>
      <c r="AN973" s="11" t="s">
        <v>46</v>
      </c>
      <c r="AO973" s="10"/>
      <c r="AP973" s="10"/>
      <c r="AQ973" s="10"/>
      <c r="AR973" s="2">
        <v>45881</v>
      </c>
      <c r="AS973" s="10">
        <v>12047.56</v>
      </c>
      <c r="AT973" s="10" t="s">
        <v>47</v>
      </c>
      <c r="AU973" s="10" t="s">
        <v>6606</v>
      </c>
      <c r="AV973" s="36" t="s">
        <v>6625</v>
      </c>
      <c r="AW973" s="1">
        <v>46219</v>
      </c>
    </row>
    <row r="974" spans="1:49" x14ac:dyDescent="0.25">
      <c r="A974" s="9" t="s">
        <v>6434</v>
      </c>
      <c r="B974" s="10" t="s">
        <v>6473</v>
      </c>
      <c r="C974" s="10">
        <v>0</v>
      </c>
      <c r="D974" s="10" t="s">
        <v>91</v>
      </c>
      <c r="E974" s="10"/>
      <c r="F974" s="10"/>
      <c r="G974" s="63"/>
      <c r="H974" s="10" t="s">
        <v>52</v>
      </c>
      <c r="I974" s="10">
        <v>28</v>
      </c>
      <c r="J974" s="10" t="s">
        <v>6510</v>
      </c>
      <c r="K974" s="10" t="s">
        <v>42</v>
      </c>
      <c r="L974" s="63">
        <f>Table1[[#This Row],[ENR]]-Table1[[#This Row],[CREDIT]]</f>
        <v>-130573.41</v>
      </c>
      <c r="M974" s="36">
        <v>260000</v>
      </c>
      <c r="N974" s="26">
        <v>129426.59</v>
      </c>
      <c r="O974" s="38" t="s">
        <v>43</v>
      </c>
      <c r="P974" s="25">
        <v>129426.59</v>
      </c>
      <c r="Q974" s="25">
        <v>115172.2</v>
      </c>
      <c r="R974" s="10">
        <v>21080</v>
      </c>
      <c r="S974" s="39">
        <v>8420</v>
      </c>
      <c r="T974" s="10" t="s">
        <v>44</v>
      </c>
      <c r="U974" s="10" t="s">
        <v>45</v>
      </c>
      <c r="V974" s="10">
        <v>0</v>
      </c>
      <c r="W974" s="25">
        <f>Table1[[#This Row],[STAB]]-Table1[[#This Row],[AMOUNT]]</f>
        <v>8420</v>
      </c>
      <c r="X974" s="10">
        <v>0</v>
      </c>
      <c r="Y974" s="10" t="s">
        <v>79</v>
      </c>
      <c r="Z974" s="10">
        <v>0</v>
      </c>
      <c r="AA974" s="10" t="s">
        <v>162</v>
      </c>
      <c r="AB974" s="36"/>
      <c r="AC974" s="63"/>
      <c r="AD974" s="9" t="s">
        <v>6547</v>
      </c>
      <c r="AE974" s="10" t="s">
        <v>6585</v>
      </c>
      <c r="AF974" s="10" t="s">
        <v>1739</v>
      </c>
      <c r="AG974" s="10" t="s">
        <v>53</v>
      </c>
      <c r="AH974" s="10" t="s">
        <v>116</v>
      </c>
      <c r="AI974" s="63"/>
      <c r="AJ974" s="10"/>
      <c r="AK974" s="10"/>
      <c r="AL974" s="63"/>
      <c r="AM974" s="10"/>
      <c r="AN974" s="11" t="s">
        <v>46</v>
      </c>
      <c r="AO974" s="10"/>
      <c r="AP974" s="10"/>
      <c r="AQ974" s="10"/>
      <c r="AR974" s="2">
        <v>45458</v>
      </c>
      <c r="AS974" s="10">
        <v>10980</v>
      </c>
      <c r="AT974" s="10" t="s">
        <v>47</v>
      </c>
      <c r="AU974" s="10" t="s">
        <v>6606</v>
      </c>
      <c r="AV974" s="36" t="s">
        <v>6626</v>
      </c>
      <c r="AW974" s="1">
        <v>46219</v>
      </c>
    </row>
    <row r="975" spans="1:49" x14ac:dyDescent="0.25">
      <c r="A975" s="9" t="s">
        <v>6435</v>
      </c>
      <c r="B975" s="10" t="s">
        <v>6474</v>
      </c>
      <c r="C975" s="10">
        <v>0</v>
      </c>
      <c r="D975" s="10" t="s">
        <v>91</v>
      </c>
      <c r="E975" s="10"/>
      <c r="F975" s="10"/>
      <c r="G975" s="63"/>
      <c r="H975" s="10" t="s">
        <v>52</v>
      </c>
      <c r="I975" s="10">
        <v>28</v>
      </c>
      <c r="J975" s="10" t="s">
        <v>6511</v>
      </c>
      <c r="K975" s="10" t="s">
        <v>42</v>
      </c>
      <c r="L975" s="63">
        <f>Table1[[#This Row],[ENR]]-Table1[[#This Row],[CREDIT]]</f>
        <v>2903.6999999999971</v>
      </c>
      <c r="M975" s="36">
        <v>50000</v>
      </c>
      <c r="N975" s="26">
        <v>52903.7</v>
      </c>
      <c r="O975" s="38" t="s">
        <v>43</v>
      </c>
      <c r="P975" s="25">
        <v>52903.7</v>
      </c>
      <c r="Q975" s="25">
        <v>49018.47</v>
      </c>
      <c r="R975" s="10">
        <v>14880</v>
      </c>
      <c r="S975" s="39">
        <v>8326.8799999999992</v>
      </c>
      <c r="T975" s="10" t="s">
        <v>44</v>
      </c>
      <c r="U975" s="10" t="s">
        <v>45</v>
      </c>
      <c r="V975" s="10">
        <v>0</v>
      </c>
      <c r="W975" s="25">
        <f>Table1[[#This Row],[STAB]]-Table1[[#This Row],[AMOUNT]]</f>
        <v>8326.8799999999992</v>
      </c>
      <c r="X975" s="10">
        <v>0</v>
      </c>
      <c r="Y975" s="10" t="s">
        <v>79</v>
      </c>
      <c r="Z975" s="10">
        <v>0</v>
      </c>
      <c r="AA975" s="10" t="s">
        <v>162</v>
      </c>
      <c r="AB975" s="36"/>
      <c r="AC975" s="63"/>
      <c r="AD975" s="9" t="s">
        <v>6548</v>
      </c>
      <c r="AE975" s="10" t="s">
        <v>6586</v>
      </c>
      <c r="AF975" s="10" t="s">
        <v>283</v>
      </c>
      <c r="AG975" s="10" t="s">
        <v>53</v>
      </c>
      <c r="AH975" s="10" t="s">
        <v>5582</v>
      </c>
      <c r="AI975" s="63"/>
      <c r="AJ975" s="10"/>
      <c r="AK975" s="10"/>
      <c r="AL975" s="63"/>
      <c r="AM975" s="10"/>
      <c r="AN975" s="11" t="s">
        <v>46</v>
      </c>
      <c r="AO975" s="10"/>
      <c r="AP975" s="10"/>
      <c r="AQ975" s="10"/>
      <c r="AR975" s="2">
        <v>46183</v>
      </c>
      <c r="AS975" s="10">
        <v>4163.12</v>
      </c>
      <c r="AT975" s="10" t="s">
        <v>47</v>
      </c>
      <c r="AU975" s="10" t="s">
        <v>6606</v>
      </c>
      <c r="AV975" s="36" t="s">
        <v>6627</v>
      </c>
      <c r="AW975" s="1">
        <v>46219</v>
      </c>
    </row>
    <row r="976" spans="1:49" x14ac:dyDescent="0.25">
      <c r="A976" s="9" t="s">
        <v>6436</v>
      </c>
      <c r="B976" s="10" t="s">
        <v>6475</v>
      </c>
      <c r="C976" s="10">
        <v>0</v>
      </c>
      <c r="D976" s="10" t="s">
        <v>91</v>
      </c>
      <c r="E976" s="10"/>
      <c r="F976" s="10"/>
      <c r="G976" s="63"/>
      <c r="H976" s="10" t="s">
        <v>52</v>
      </c>
      <c r="I976" s="10">
        <v>28</v>
      </c>
      <c r="J976" s="10" t="s">
        <v>6512</v>
      </c>
      <c r="K976" s="10" t="s">
        <v>42</v>
      </c>
      <c r="L976" s="63">
        <f>Table1[[#This Row],[ENR]]-Table1[[#This Row],[CREDIT]]</f>
        <v>28320.650000000023</v>
      </c>
      <c r="M976" s="36">
        <v>360000</v>
      </c>
      <c r="N976" s="26">
        <v>388320.65</v>
      </c>
      <c r="O976" s="38">
        <v>330452.59999999998</v>
      </c>
      <c r="P976" s="25">
        <v>57868.05</v>
      </c>
      <c r="Q976" s="25">
        <v>14129.58</v>
      </c>
      <c r="R976" s="10">
        <v>55910</v>
      </c>
      <c r="S976" s="39">
        <v>19140</v>
      </c>
      <c r="T976" s="10" t="s">
        <v>44</v>
      </c>
      <c r="U976" s="10" t="s">
        <v>45</v>
      </c>
      <c r="V976" s="10">
        <v>0</v>
      </c>
      <c r="W976" s="25">
        <f>Table1[[#This Row],[STAB]]-Table1[[#This Row],[AMOUNT]]</f>
        <v>19140</v>
      </c>
      <c r="X976" s="10">
        <v>0</v>
      </c>
      <c r="Y976" s="10" t="s">
        <v>79</v>
      </c>
      <c r="Z976" s="10">
        <v>0</v>
      </c>
      <c r="AA976" s="10" t="s">
        <v>162</v>
      </c>
      <c r="AB976" s="36"/>
      <c r="AC976" s="63"/>
      <c r="AD976" s="9" t="s">
        <v>6549</v>
      </c>
      <c r="AE976" s="10" t="s">
        <v>6587</v>
      </c>
      <c r="AF976" s="10" t="s">
        <v>85</v>
      </c>
      <c r="AG976" s="10" t="s">
        <v>54</v>
      </c>
      <c r="AH976" s="10"/>
      <c r="AI976" s="63"/>
      <c r="AJ976" s="10"/>
      <c r="AK976" s="10"/>
      <c r="AL976" s="63"/>
      <c r="AM976" s="10"/>
      <c r="AN976" s="11" t="s">
        <v>46</v>
      </c>
      <c r="AO976" s="10"/>
      <c r="AP976" s="10"/>
      <c r="AQ976" s="10"/>
      <c r="AR976" s="2">
        <v>45768</v>
      </c>
      <c r="AS976" s="10">
        <v>44587.58</v>
      </c>
      <c r="AT976" s="10" t="s">
        <v>47</v>
      </c>
      <c r="AU976" s="10" t="s">
        <v>6606</v>
      </c>
      <c r="AV976" s="36" t="s">
        <v>6628</v>
      </c>
      <c r="AW976" s="1">
        <v>46219</v>
      </c>
    </row>
    <row r="977" spans="1:49" x14ac:dyDescent="0.25">
      <c r="A977" s="9" t="s">
        <v>6437</v>
      </c>
      <c r="B977" s="10" t="s">
        <v>6476</v>
      </c>
      <c r="C977" s="10">
        <v>0</v>
      </c>
      <c r="D977" s="10" t="s">
        <v>91</v>
      </c>
      <c r="E977" s="10"/>
      <c r="F977" s="10"/>
      <c r="G977" s="63"/>
      <c r="H977" s="10" t="s">
        <v>52</v>
      </c>
      <c r="I977" s="10">
        <v>28</v>
      </c>
      <c r="J977" s="10" t="s">
        <v>6513</v>
      </c>
      <c r="K977" s="10" t="s">
        <v>42</v>
      </c>
      <c r="L977" s="63">
        <f>Table1[[#This Row],[ENR]]-Table1[[#This Row],[CREDIT]]</f>
        <v>-3666.140000000014</v>
      </c>
      <c r="M977" s="36">
        <v>152000</v>
      </c>
      <c r="N977" s="26">
        <v>148333.85999999999</v>
      </c>
      <c r="O977" s="38">
        <v>85136.67</v>
      </c>
      <c r="P977" s="25">
        <v>63197.19</v>
      </c>
      <c r="Q977" s="25">
        <v>53383.8</v>
      </c>
      <c r="R977" s="10">
        <v>37630</v>
      </c>
      <c r="S977" s="39">
        <v>18110</v>
      </c>
      <c r="T977" s="10" t="s">
        <v>44</v>
      </c>
      <c r="U977" s="10" t="s">
        <v>45</v>
      </c>
      <c r="V977" s="10">
        <v>0</v>
      </c>
      <c r="W977" s="25">
        <f>Table1[[#This Row],[STAB]]-Table1[[#This Row],[AMOUNT]]</f>
        <v>18110</v>
      </c>
      <c r="X977" s="10">
        <v>0</v>
      </c>
      <c r="Y977" s="10" t="s">
        <v>79</v>
      </c>
      <c r="Z977" s="10">
        <v>0</v>
      </c>
      <c r="AA977" s="10" t="s">
        <v>162</v>
      </c>
      <c r="AB977" s="36"/>
      <c r="AC977" s="63"/>
      <c r="AD977" s="9" t="s">
        <v>6550</v>
      </c>
      <c r="AE977" s="10" t="s">
        <v>6588</v>
      </c>
      <c r="AF977" s="10" t="s">
        <v>85</v>
      </c>
      <c r="AG977" s="10" t="s">
        <v>54</v>
      </c>
      <c r="AH977" s="10"/>
      <c r="AI977" s="63"/>
      <c r="AJ977" s="10"/>
      <c r="AK977" s="10"/>
      <c r="AL977" s="63"/>
      <c r="AM977" s="10"/>
      <c r="AN977" s="11" t="s">
        <v>46</v>
      </c>
      <c r="AO977" s="10"/>
      <c r="AP977" s="10"/>
      <c r="AQ977" s="10"/>
      <c r="AR977" s="2">
        <v>45892</v>
      </c>
      <c r="AS977" s="10">
        <v>3341</v>
      </c>
      <c r="AT977" s="10" t="s">
        <v>47</v>
      </c>
      <c r="AU977" s="10" t="s">
        <v>6606</v>
      </c>
      <c r="AV977" s="36" t="s">
        <v>6629</v>
      </c>
      <c r="AW977" s="1">
        <v>46219</v>
      </c>
    </row>
    <row r="978" spans="1:49" x14ac:dyDescent="0.25">
      <c r="A978" s="9" t="s">
        <v>6438</v>
      </c>
      <c r="B978" s="10" t="s">
        <v>6477</v>
      </c>
      <c r="C978" s="10">
        <v>0</v>
      </c>
      <c r="D978" s="10" t="s">
        <v>91</v>
      </c>
      <c r="E978" s="10"/>
      <c r="F978" s="10"/>
      <c r="G978" s="63"/>
      <c r="H978" s="10" t="s">
        <v>52</v>
      </c>
      <c r="I978" s="10">
        <v>28</v>
      </c>
      <c r="J978" s="10" t="s">
        <v>6514</v>
      </c>
      <c r="K978" s="10" t="s">
        <v>42</v>
      </c>
      <c r="L978" s="63">
        <f>Table1[[#This Row],[ENR]]-Table1[[#This Row],[CREDIT]]</f>
        <v>24104.799999999988</v>
      </c>
      <c r="M978" s="36">
        <v>500000</v>
      </c>
      <c r="N978" s="26">
        <v>524104.8</v>
      </c>
      <c r="O978" s="38">
        <v>426117.66</v>
      </c>
      <c r="P978" s="25">
        <v>97987.14</v>
      </c>
      <c r="Q978" s="25">
        <v>50589.25</v>
      </c>
      <c r="R978" s="10">
        <v>81450</v>
      </c>
      <c r="S978" s="39">
        <v>52400</v>
      </c>
      <c r="T978" s="10" t="s">
        <v>44</v>
      </c>
      <c r="U978" s="10" t="s">
        <v>45</v>
      </c>
      <c r="V978" s="10">
        <v>0</v>
      </c>
      <c r="W978" s="25">
        <f>Table1[[#This Row],[STAB]]-Table1[[#This Row],[AMOUNT]]</f>
        <v>52400</v>
      </c>
      <c r="X978" s="10">
        <v>0</v>
      </c>
      <c r="Y978" s="10" t="s">
        <v>79</v>
      </c>
      <c r="Z978" s="10">
        <v>0</v>
      </c>
      <c r="AA978" s="10" t="s">
        <v>162</v>
      </c>
      <c r="AB978" s="36"/>
      <c r="AC978" s="63"/>
      <c r="AD978" s="9" t="s">
        <v>6551</v>
      </c>
      <c r="AE978" s="10" t="s">
        <v>6589</v>
      </c>
      <c r="AF978" s="10" t="s">
        <v>498</v>
      </c>
      <c r="AG978" s="10" t="s">
        <v>53</v>
      </c>
      <c r="AH978" s="10" t="s">
        <v>90</v>
      </c>
      <c r="AI978" s="63"/>
      <c r="AJ978" s="10"/>
      <c r="AK978" s="10"/>
      <c r="AL978" s="63"/>
      <c r="AM978" s="10"/>
      <c r="AN978" s="11" t="s">
        <v>46</v>
      </c>
      <c r="AO978" s="10"/>
      <c r="AP978" s="10"/>
      <c r="AQ978" s="10"/>
      <c r="AR978" s="2">
        <v>45489</v>
      </c>
      <c r="AS978" s="10">
        <v>10000</v>
      </c>
      <c r="AT978" s="10" t="s">
        <v>47</v>
      </c>
      <c r="AU978" s="10" t="s">
        <v>6606</v>
      </c>
      <c r="AV978" s="36" t="s">
        <v>6630</v>
      </c>
      <c r="AW978" s="1">
        <v>46219</v>
      </c>
    </row>
    <row r="979" spans="1:49" x14ac:dyDescent="0.25">
      <c r="A979" s="9" t="s">
        <v>6439</v>
      </c>
      <c r="B979" s="10" t="s">
        <v>6478</v>
      </c>
      <c r="C979" s="10">
        <v>0</v>
      </c>
      <c r="D979" s="10" t="s">
        <v>91</v>
      </c>
      <c r="E979" s="10"/>
      <c r="F979" s="10"/>
      <c r="G979" s="63"/>
      <c r="H979" s="10" t="s">
        <v>52</v>
      </c>
      <c r="I979" s="10">
        <v>28</v>
      </c>
      <c r="J979" s="10" t="s">
        <v>6515</v>
      </c>
      <c r="K979" s="10" t="s">
        <v>42</v>
      </c>
      <c r="L979" s="63">
        <f>Table1[[#This Row],[ENR]]-Table1[[#This Row],[CREDIT]]</f>
        <v>-127319.47999999998</v>
      </c>
      <c r="M979" s="36">
        <v>420000</v>
      </c>
      <c r="N979" s="26">
        <v>292680.52</v>
      </c>
      <c r="O979" s="38">
        <v>251891.86</v>
      </c>
      <c r="P979" s="25">
        <v>40788.660000000003</v>
      </c>
      <c r="Q979" s="25">
        <v>31909.45</v>
      </c>
      <c r="R979" s="10">
        <v>40350</v>
      </c>
      <c r="S979" s="39">
        <v>18880</v>
      </c>
      <c r="T979" s="10" t="s">
        <v>44</v>
      </c>
      <c r="U979" s="10" t="s">
        <v>45</v>
      </c>
      <c r="V979" s="10">
        <v>0</v>
      </c>
      <c r="W979" s="25">
        <f>Table1[[#This Row],[STAB]]-Table1[[#This Row],[AMOUNT]]</f>
        <v>18880</v>
      </c>
      <c r="X979" s="10">
        <v>0</v>
      </c>
      <c r="Y979" s="10" t="s">
        <v>79</v>
      </c>
      <c r="Z979" s="10">
        <v>0</v>
      </c>
      <c r="AA979" s="10" t="s">
        <v>162</v>
      </c>
      <c r="AB979" s="36"/>
      <c r="AC979" s="63"/>
      <c r="AD979" s="9" t="s">
        <v>6552</v>
      </c>
      <c r="AE979" s="10" t="s">
        <v>6590</v>
      </c>
      <c r="AF979" s="10" t="s">
        <v>276</v>
      </c>
      <c r="AG979" s="10" t="s">
        <v>324</v>
      </c>
      <c r="AH979" s="10" t="s">
        <v>354</v>
      </c>
      <c r="AI979" s="63"/>
      <c r="AJ979" s="10"/>
      <c r="AK979" s="10"/>
      <c r="AL979" s="63"/>
      <c r="AM979" s="10"/>
      <c r="AN979" s="11" t="s">
        <v>46</v>
      </c>
      <c r="AO979" s="10"/>
      <c r="AP979" s="10"/>
      <c r="AQ979" s="10"/>
      <c r="AR979" s="2">
        <v>45609</v>
      </c>
      <c r="AS979" s="10">
        <v>10000</v>
      </c>
      <c r="AT979" s="10" t="s">
        <v>47</v>
      </c>
      <c r="AU979" s="10" t="s">
        <v>6606</v>
      </c>
      <c r="AV979" s="36" t="s">
        <v>6631</v>
      </c>
      <c r="AW979" s="1">
        <v>46219</v>
      </c>
    </row>
    <row r="980" spans="1:49" x14ac:dyDescent="0.25">
      <c r="A980" s="9" t="s">
        <v>6440</v>
      </c>
      <c r="B980" s="10" t="s">
        <v>6479</v>
      </c>
      <c r="C980" s="10">
        <v>0</v>
      </c>
      <c r="D980" s="10" t="s">
        <v>91</v>
      </c>
      <c r="E980" s="10"/>
      <c r="F980" s="10"/>
      <c r="G980" s="63"/>
      <c r="H980" s="10" t="s">
        <v>52</v>
      </c>
      <c r="I980" s="10">
        <v>28</v>
      </c>
      <c r="J980" s="10" t="s">
        <v>6516</v>
      </c>
      <c r="K980" s="10" t="s">
        <v>42</v>
      </c>
      <c r="L980" s="63">
        <f>Table1[[#This Row],[ENR]]-Table1[[#This Row],[CREDIT]]</f>
        <v>-317403.56</v>
      </c>
      <c r="M980" s="36">
        <v>510000</v>
      </c>
      <c r="N980" s="26">
        <v>192596.44</v>
      </c>
      <c r="O980" s="38">
        <v>18656.509999999998</v>
      </c>
      <c r="P980" s="25">
        <v>173939.93</v>
      </c>
      <c r="Q980" s="25">
        <v>157152.99</v>
      </c>
      <c r="R980" s="10">
        <v>34720</v>
      </c>
      <c r="S980" s="39">
        <v>13710</v>
      </c>
      <c r="T980" s="10" t="s">
        <v>44</v>
      </c>
      <c r="U980" s="10" t="s">
        <v>45</v>
      </c>
      <c r="V980" s="10">
        <v>0</v>
      </c>
      <c r="W980" s="25">
        <f>Table1[[#This Row],[STAB]]-Table1[[#This Row],[AMOUNT]]</f>
        <v>13710</v>
      </c>
      <c r="X980" s="10">
        <v>0</v>
      </c>
      <c r="Y980" s="10" t="s">
        <v>79</v>
      </c>
      <c r="Z980" s="10">
        <v>0</v>
      </c>
      <c r="AA980" s="10" t="s">
        <v>162</v>
      </c>
      <c r="AB980" s="36"/>
      <c r="AC980" s="63"/>
      <c r="AD980" s="9" t="s">
        <v>6553</v>
      </c>
      <c r="AE980" s="10" t="s">
        <v>6591</v>
      </c>
      <c r="AF980" s="10" t="s">
        <v>275</v>
      </c>
      <c r="AG980" s="10" t="s">
        <v>80</v>
      </c>
      <c r="AH980" s="10" t="s">
        <v>1999</v>
      </c>
      <c r="AI980" s="63"/>
      <c r="AJ980" s="10"/>
      <c r="AK980" s="10"/>
      <c r="AL980" s="63"/>
      <c r="AM980" s="10"/>
      <c r="AN980" s="11" t="s">
        <v>46</v>
      </c>
      <c r="AO980" s="10"/>
      <c r="AP980" s="10"/>
      <c r="AQ980" s="10"/>
      <c r="AR980" s="2">
        <v>46153</v>
      </c>
      <c r="AS980" s="10">
        <v>39500</v>
      </c>
      <c r="AT980" s="10" t="s">
        <v>47</v>
      </c>
      <c r="AU980" s="10" t="s">
        <v>6606</v>
      </c>
      <c r="AV980" s="36" t="s">
        <v>6632</v>
      </c>
      <c r="AW980" s="1">
        <v>46219</v>
      </c>
    </row>
    <row r="981" spans="1:49" x14ac:dyDescent="0.25">
      <c r="A981" s="9" t="s">
        <v>6441</v>
      </c>
      <c r="B981" s="10" t="s">
        <v>6480</v>
      </c>
      <c r="C981" s="10">
        <v>0</v>
      </c>
      <c r="D981" s="10" t="s">
        <v>91</v>
      </c>
      <c r="E981" s="10"/>
      <c r="F981" s="10"/>
      <c r="G981" s="63"/>
      <c r="H981" s="10" t="s">
        <v>84</v>
      </c>
      <c r="I981" s="10">
        <v>28</v>
      </c>
      <c r="J981" s="10" t="s">
        <v>3114</v>
      </c>
      <c r="K981" s="10" t="s">
        <v>42</v>
      </c>
      <c r="L981" s="63">
        <f>Table1[[#This Row],[ENR]]-Table1[[#This Row],[CREDIT]]</f>
        <v>-331769.92000000004</v>
      </c>
      <c r="M981" s="36">
        <v>490000</v>
      </c>
      <c r="N981" s="26">
        <v>158230.07999999999</v>
      </c>
      <c r="O981" s="38">
        <v>10563.94</v>
      </c>
      <c r="P981" s="25">
        <v>147666.14000000001</v>
      </c>
      <c r="Q981" s="25">
        <v>137562.29999999999</v>
      </c>
      <c r="R981" s="10">
        <v>38280</v>
      </c>
      <c r="S981" s="39">
        <v>18980</v>
      </c>
      <c r="T981" s="10" t="s">
        <v>44</v>
      </c>
      <c r="U981" s="10" t="s">
        <v>45</v>
      </c>
      <c r="V981" s="10">
        <v>0</v>
      </c>
      <c r="W981" s="25">
        <f>Table1[[#This Row],[STAB]]-Table1[[#This Row],[AMOUNT]]</f>
        <v>18980</v>
      </c>
      <c r="X981" s="10">
        <v>0</v>
      </c>
      <c r="Y981" s="10" t="s">
        <v>79</v>
      </c>
      <c r="Z981" s="10">
        <v>0</v>
      </c>
      <c r="AA981" s="10" t="s">
        <v>162</v>
      </c>
      <c r="AB981" s="36"/>
      <c r="AC981" s="63"/>
      <c r="AD981" s="9" t="s">
        <v>6554</v>
      </c>
      <c r="AE981" s="10" t="s">
        <v>6592</v>
      </c>
      <c r="AF981" s="10" t="s">
        <v>272</v>
      </c>
      <c r="AG981" s="10" t="s">
        <v>54</v>
      </c>
      <c r="AH981" s="10"/>
      <c r="AI981" s="63"/>
      <c r="AJ981" s="10"/>
      <c r="AK981" s="10"/>
      <c r="AL981" s="63"/>
      <c r="AM981" s="10"/>
      <c r="AN981" s="11" t="s">
        <v>46</v>
      </c>
      <c r="AO981" s="10"/>
      <c r="AP981" s="10"/>
      <c r="AQ981" s="10"/>
      <c r="AR981" s="2" t="s">
        <v>43</v>
      </c>
      <c r="AS981" s="10">
        <v>0</v>
      </c>
      <c r="AT981" s="10" t="s">
        <v>47</v>
      </c>
      <c r="AU981" s="10" t="s">
        <v>6606</v>
      </c>
      <c r="AV981" s="36" t="s">
        <v>6633</v>
      </c>
      <c r="AW981" s="1">
        <v>46219</v>
      </c>
    </row>
    <row r="982" spans="1:49" x14ac:dyDescent="0.25">
      <c r="A982" s="9" t="s">
        <v>6442</v>
      </c>
      <c r="B982" s="10" t="s">
        <v>6481</v>
      </c>
      <c r="C982" s="10">
        <v>0</v>
      </c>
      <c r="D982" s="10" t="s">
        <v>91</v>
      </c>
      <c r="E982" s="10"/>
      <c r="F982" s="10"/>
      <c r="G982" s="63"/>
      <c r="H982" s="10" t="s">
        <v>52</v>
      </c>
      <c r="I982" s="10">
        <v>28</v>
      </c>
      <c r="J982" s="10" t="s">
        <v>6517</v>
      </c>
      <c r="K982" s="10" t="s">
        <v>42</v>
      </c>
      <c r="L982" s="63">
        <f>Table1[[#This Row],[ENR]]-Table1[[#This Row],[CREDIT]]</f>
        <v>78421.760000000009</v>
      </c>
      <c r="M982" s="36">
        <v>210000</v>
      </c>
      <c r="N982" s="26">
        <v>288421.76000000001</v>
      </c>
      <c r="O982" s="38">
        <v>38402.25</v>
      </c>
      <c r="P982" s="25">
        <v>250019.51</v>
      </c>
      <c r="Q982" s="25">
        <v>217517.33</v>
      </c>
      <c r="R982" s="10">
        <v>108840</v>
      </c>
      <c r="S982" s="39">
        <v>47830</v>
      </c>
      <c r="T982" s="10" t="s">
        <v>44</v>
      </c>
      <c r="U982" s="10" t="s">
        <v>45</v>
      </c>
      <c r="V982" s="10">
        <v>0</v>
      </c>
      <c r="W982" s="25">
        <f>Table1[[#This Row],[STAB]]-Table1[[#This Row],[AMOUNT]]</f>
        <v>47830</v>
      </c>
      <c r="X982" s="10">
        <v>0</v>
      </c>
      <c r="Y982" s="10" t="s">
        <v>79</v>
      </c>
      <c r="Z982" s="10">
        <v>0</v>
      </c>
      <c r="AA982" s="10" t="s">
        <v>162</v>
      </c>
      <c r="AB982" s="36"/>
      <c r="AC982" s="63"/>
      <c r="AD982" s="9" t="s">
        <v>6555</v>
      </c>
      <c r="AE982" s="10" t="s">
        <v>6593</v>
      </c>
      <c r="AF982" s="10" t="s">
        <v>272</v>
      </c>
      <c r="AG982" s="10" t="s">
        <v>54</v>
      </c>
      <c r="AH982" s="10"/>
      <c r="AI982" s="63"/>
      <c r="AJ982" s="10"/>
      <c r="AK982" s="10"/>
      <c r="AL982" s="63"/>
      <c r="AM982" s="10"/>
      <c r="AN982" s="11" t="s">
        <v>46</v>
      </c>
      <c r="AO982" s="10"/>
      <c r="AP982" s="10"/>
      <c r="AQ982" s="10"/>
      <c r="AR982" s="2">
        <v>45654</v>
      </c>
      <c r="AS982" s="10">
        <v>18000</v>
      </c>
      <c r="AT982" s="10" t="s">
        <v>47</v>
      </c>
      <c r="AU982" s="10" t="s">
        <v>6606</v>
      </c>
      <c r="AV982" s="36" t="s">
        <v>6634</v>
      </c>
      <c r="AW982" s="1">
        <v>46219</v>
      </c>
    </row>
    <row r="983" spans="1:49" x14ac:dyDescent="0.25">
      <c r="A983" s="9" t="s">
        <v>6443</v>
      </c>
      <c r="B983" s="10" t="s">
        <v>6482</v>
      </c>
      <c r="C983" s="10">
        <v>0</v>
      </c>
      <c r="D983" s="10" t="s">
        <v>91</v>
      </c>
      <c r="E983" s="10"/>
      <c r="F983" s="10"/>
      <c r="G983" s="63"/>
      <c r="H983" s="10" t="s">
        <v>52</v>
      </c>
      <c r="I983" s="10">
        <v>28</v>
      </c>
      <c r="J983" s="10" t="s">
        <v>6518</v>
      </c>
      <c r="K983" s="10" t="s">
        <v>42</v>
      </c>
      <c r="L983" s="63">
        <f>Table1[[#This Row],[ENR]]-Table1[[#This Row],[CREDIT]]</f>
        <v>-123136.85999999999</v>
      </c>
      <c r="M983" s="36">
        <v>380000</v>
      </c>
      <c r="N983" s="26">
        <v>256863.14</v>
      </c>
      <c r="O983" s="38">
        <v>89564.73</v>
      </c>
      <c r="P983" s="25">
        <v>167298.41</v>
      </c>
      <c r="Q983" s="25">
        <v>149341.68</v>
      </c>
      <c r="R983" s="10">
        <v>46550</v>
      </c>
      <c r="S983" s="39">
        <v>19820</v>
      </c>
      <c r="T983" s="10" t="s">
        <v>44</v>
      </c>
      <c r="U983" s="10" t="s">
        <v>45</v>
      </c>
      <c r="V983" s="10">
        <v>0</v>
      </c>
      <c r="W983" s="25">
        <f>Table1[[#This Row],[STAB]]-Table1[[#This Row],[AMOUNT]]</f>
        <v>19820</v>
      </c>
      <c r="X983" s="10">
        <v>0</v>
      </c>
      <c r="Y983" s="10" t="s">
        <v>79</v>
      </c>
      <c r="Z983" s="10">
        <v>0</v>
      </c>
      <c r="AA983" s="10" t="s">
        <v>162</v>
      </c>
      <c r="AB983" s="36"/>
      <c r="AC983" s="63"/>
      <c r="AD983" s="9" t="s">
        <v>6556</v>
      </c>
      <c r="AE983" s="10" t="s">
        <v>6594</v>
      </c>
      <c r="AF983" s="10" t="s">
        <v>687</v>
      </c>
      <c r="AG983" s="10" t="s">
        <v>53</v>
      </c>
      <c r="AH983" s="10" t="s">
        <v>83</v>
      </c>
      <c r="AI983" s="63"/>
      <c r="AJ983" s="10"/>
      <c r="AK983" s="10"/>
      <c r="AL983" s="63"/>
      <c r="AM983" s="10"/>
      <c r="AN983" s="11" t="s">
        <v>46</v>
      </c>
      <c r="AO983" s="10"/>
      <c r="AP983" s="10"/>
      <c r="AQ983" s="10"/>
      <c r="AR983" s="2">
        <v>45629</v>
      </c>
      <c r="AS983" s="10">
        <v>3112.05</v>
      </c>
      <c r="AT983" s="10" t="s">
        <v>47</v>
      </c>
      <c r="AU983" s="10" t="s">
        <v>6606</v>
      </c>
      <c r="AV983" s="36" t="s">
        <v>6635</v>
      </c>
      <c r="AW983" s="1">
        <v>46219</v>
      </c>
    </row>
    <row r="984" spans="1:49" x14ac:dyDescent="0.25">
      <c r="A984" s="9" t="s">
        <v>6444</v>
      </c>
      <c r="B984" s="10" t="s">
        <v>194</v>
      </c>
      <c r="C984" s="10">
        <v>0</v>
      </c>
      <c r="D984" s="10" t="s">
        <v>91</v>
      </c>
      <c r="E984" s="10"/>
      <c r="F984" s="10"/>
      <c r="G984" s="63"/>
      <c r="H984" s="10" t="s">
        <v>52</v>
      </c>
      <c r="I984" s="10">
        <v>28</v>
      </c>
      <c r="J984" s="10" t="s">
        <v>221</v>
      </c>
      <c r="K984" s="10" t="s">
        <v>42</v>
      </c>
      <c r="L984" s="63">
        <f>Table1[[#This Row],[ENR]]-Table1[[#This Row],[CREDIT]]</f>
        <v>-259102.78999999998</v>
      </c>
      <c r="M984" s="36">
        <v>360000</v>
      </c>
      <c r="N984" s="26">
        <v>100897.21</v>
      </c>
      <c r="O984" s="38">
        <v>62084.92</v>
      </c>
      <c r="P984" s="25">
        <v>38812.29</v>
      </c>
      <c r="Q984" s="25">
        <v>33292.69</v>
      </c>
      <c r="R984" s="10">
        <v>25510</v>
      </c>
      <c r="S984" s="39">
        <v>15885.85</v>
      </c>
      <c r="T984" s="10" t="s">
        <v>44</v>
      </c>
      <c r="U984" s="10" t="s">
        <v>45</v>
      </c>
      <c r="V984" s="10">
        <v>0</v>
      </c>
      <c r="W984" s="25">
        <f>Table1[[#This Row],[STAB]]-Table1[[#This Row],[AMOUNT]]</f>
        <v>15885.85</v>
      </c>
      <c r="X984" s="10">
        <v>0</v>
      </c>
      <c r="Y984" s="10" t="s">
        <v>79</v>
      </c>
      <c r="Z984" s="10">
        <v>0</v>
      </c>
      <c r="AA984" s="10" t="s">
        <v>162</v>
      </c>
      <c r="AB984" s="36"/>
      <c r="AC984" s="63"/>
      <c r="AD984" s="9" t="s">
        <v>328</v>
      </c>
      <c r="AE984" s="10" t="s">
        <v>6595</v>
      </c>
      <c r="AF984" s="10" t="s">
        <v>276</v>
      </c>
      <c r="AG984" s="10" t="s">
        <v>324</v>
      </c>
      <c r="AH984" s="10" t="s">
        <v>353</v>
      </c>
      <c r="AI984" s="63"/>
      <c r="AJ984" s="10"/>
      <c r="AK984" s="10"/>
      <c r="AL984" s="63"/>
      <c r="AM984" s="10"/>
      <c r="AN984" s="11" t="s">
        <v>46</v>
      </c>
      <c r="AO984" s="10"/>
      <c r="AP984" s="10"/>
      <c r="AQ984" s="10"/>
      <c r="AR984" s="2">
        <v>46155</v>
      </c>
      <c r="AS984" s="10">
        <v>57109</v>
      </c>
      <c r="AT984" s="10" t="s">
        <v>47</v>
      </c>
      <c r="AU984" s="10" t="s">
        <v>6606</v>
      </c>
      <c r="AV984" s="36" t="s">
        <v>6636</v>
      </c>
      <c r="AW984" s="1">
        <v>46219</v>
      </c>
    </row>
    <row r="985" spans="1:49" x14ac:dyDescent="0.25">
      <c r="A985" s="9" t="s">
        <v>6445</v>
      </c>
      <c r="B985" s="10" t="s">
        <v>5044</v>
      </c>
      <c r="C985" s="10">
        <v>0</v>
      </c>
      <c r="D985" s="10" t="s">
        <v>91</v>
      </c>
      <c r="E985" s="10"/>
      <c r="F985" s="10"/>
      <c r="G985" s="63"/>
      <c r="H985" s="10" t="s">
        <v>52</v>
      </c>
      <c r="I985" s="10">
        <v>28</v>
      </c>
      <c r="J985" s="10" t="s">
        <v>5059</v>
      </c>
      <c r="K985" s="10" t="s">
        <v>42</v>
      </c>
      <c r="L985" s="63">
        <f>Table1[[#This Row],[ENR]]-Table1[[#This Row],[CREDIT]]</f>
        <v>-76741.409999999974</v>
      </c>
      <c r="M985" s="36">
        <v>360000</v>
      </c>
      <c r="N985" s="26">
        <v>283258.59000000003</v>
      </c>
      <c r="O985" s="38">
        <v>97001.74</v>
      </c>
      <c r="P985" s="25">
        <v>186256.85</v>
      </c>
      <c r="Q985" s="25">
        <v>153205.13</v>
      </c>
      <c r="R985" s="10">
        <v>120420</v>
      </c>
      <c r="S985" s="39">
        <v>65070</v>
      </c>
      <c r="T985" s="10" t="s">
        <v>44</v>
      </c>
      <c r="U985" s="10" t="s">
        <v>45</v>
      </c>
      <c r="V985" s="10">
        <v>0</v>
      </c>
      <c r="W985" s="25">
        <f>Table1[[#This Row],[STAB]]-Table1[[#This Row],[AMOUNT]]</f>
        <v>65070</v>
      </c>
      <c r="X985" s="10">
        <v>0</v>
      </c>
      <c r="Y985" s="10" t="s">
        <v>79</v>
      </c>
      <c r="Z985" s="10">
        <v>0</v>
      </c>
      <c r="AA985" s="10" t="s">
        <v>162</v>
      </c>
      <c r="AB985" s="36"/>
      <c r="AC985" s="63"/>
      <c r="AD985" s="9" t="s">
        <v>5074</v>
      </c>
      <c r="AE985" s="10" t="s">
        <v>6596</v>
      </c>
      <c r="AF985" s="10" t="s">
        <v>287</v>
      </c>
      <c r="AG985" s="10" t="s">
        <v>324</v>
      </c>
      <c r="AH985" s="10" t="s">
        <v>56</v>
      </c>
      <c r="AI985" s="63"/>
      <c r="AJ985" s="10"/>
      <c r="AK985" s="10"/>
      <c r="AL985" s="63"/>
      <c r="AM985" s="10"/>
      <c r="AN985" s="11" t="s">
        <v>46</v>
      </c>
      <c r="AO985" s="10"/>
      <c r="AP985" s="10"/>
      <c r="AQ985" s="10"/>
      <c r="AR985" s="2">
        <v>46083</v>
      </c>
      <c r="AS985" s="10">
        <v>59987.58</v>
      </c>
      <c r="AT985" s="10" t="s">
        <v>47</v>
      </c>
      <c r="AU985" s="10" t="s">
        <v>6606</v>
      </c>
      <c r="AV985" s="36" t="s">
        <v>6637</v>
      </c>
      <c r="AW985" s="1">
        <v>46219</v>
      </c>
    </row>
    <row r="986" spans="1:49" x14ac:dyDescent="0.25">
      <c r="A986" s="9" t="s">
        <v>6446</v>
      </c>
      <c r="B986" s="10" t="s">
        <v>6483</v>
      </c>
      <c r="C986" s="10">
        <v>0</v>
      </c>
      <c r="D986" s="10" t="s">
        <v>91</v>
      </c>
      <c r="E986" s="10"/>
      <c r="F986" s="10"/>
      <c r="G986" s="63"/>
      <c r="H986" s="10" t="s">
        <v>52</v>
      </c>
      <c r="I986" s="10">
        <v>28</v>
      </c>
      <c r="J986" s="10" t="s">
        <v>6519</v>
      </c>
      <c r="K986" s="10" t="s">
        <v>42</v>
      </c>
      <c r="L986" s="63">
        <f>Table1[[#This Row],[ENR]]-Table1[[#This Row],[CREDIT]]</f>
        <v>240594.99</v>
      </c>
      <c r="M986" s="36">
        <v>100000</v>
      </c>
      <c r="N986" s="26">
        <v>340594.99</v>
      </c>
      <c r="O986" s="38">
        <v>221812.64</v>
      </c>
      <c r="P986" s="25">
        <v>118782.35</v>
      </c>
      <c r="Q986" s="25">
        <v>109671.99</v>
      </c>
      <c r="R986" s="10">
        <v>56320</v>
      </c>
      <c r="S986" s="39">
        <v>15190</v>
      </c>
      <c r="T986" s="10" t="s">
        <v>44</v>
      </c>
      <c r="U986" s="10" t="s">
        <v>45</v>
      </c>
      <c r="V986" s="10">
        <v>0</v>
      </c>
      <c r="W986" s="25">
        <f>Table1[[#This Row],[STAB]]-Table1[[#This Row],[AMOUNT]]</f>
        <v>15190</v>
      </c>
      <c r="X986" s="10">
        <v>0</v>
      </c>
      <c r="Y986" s="10" t="s">
        <v>79</v>
      </c>
      <c r="Z986" s="10">
        <v>0</v>
      </c>
      <c r="AA986" s="10" t="s">
        <v>162</v>
      </c>
      <c r="AB986" s="36"/>
      <c r="AC986" s="63"/>
      <c r="AD986" s="9" t="s">
        <v>6557</v>
      </c>
      <c r="AE986" s="10" t="s">
        <v>6597</v>
      </c>
      <c r="AF986" s="10" t="s">
        <v>686</v>
      </c>
      <c r="AG986" s="10" t="s">
        <v>324</v>
      </c>
      <c r="AH986" s="10" t="s">
        <v>1361</v>
      </c>
      <c r="AI986" s="63"/>
      <c r="AJ986" s="10"/>
      <c r="AK986" s="10"/>
      <c r="AL986" s="63"/>
      <c r="AM986" s="10"/>
      <c r="AN986" s="11" t="s">
        <v>46</v>
      </c>
      <c r="AO986" s="10"/>
      <c r="AP986" s="10"/>
      <c r="AQ986" s="10"/>
      <c r="AR986" s="2">
        <v>45488</v>
      </c>
      <c r="AS986" s="10">
        <v>99579</v>
      </c>
      <c r="AT986" s="10" t="s">
        <v>47</v>
      </c>
      <c r="AU986" s="10" t="s">
        <v>6606</v>
      </c>
      <c r="AV986" s="36" t="s">
        <v>6638</v>
      </c>
      <c r="AW986" s="1">
        <v>46219</v>
      </c>
    </row>
    <row r="987" spans="1:49" x14ac:dyDescent="0.25">
      <c r="A987" s="9" t="s">
        <v>6447</v>
      </c>
      <c r="B987" s="10" t="s">
        <v>6484</v>
      </c>
      <c r="C987" s="10">
        <v>0</v>
      </c>
      <c r="D987" s="10" t="s">
        <v>91</v>
      </c>
      <c r="E987" s="10"/>
      <c r="F987" s="10"/>
      <c r="G987" s="63"/>
      <c r="H987" s="10" t="s">
        <v>52</v>
      </c>
      <c r="I987" s="10">
        <v>28</v>
      </c>
      <c r="J987" s="10" t="s">
        <v>6520</v>
      </c>
      <c r="K987" s="10" t="s">
        <v>42</v>
      </c>
      <c r="L987" s="63">
        <f>Table1[[#This Row],[ENR]]-Table1[[#This Row],[CREDIT]]</f>
        <v>7186.4100000000035</v>
      </c>
      <c r="M987" s="36">
        <v>100000</v>
      </c>
      <c r="N987" s="26">
        <v>107186.41</v>
      </c>
      <c r="O987" s="38">
        <v>92942.35</v>
      </c>
      <c r="P987" s="25">
        <v>14244.06</v>
      </c>
      <c r="Q987" s="25">
        <v>7035.65</v>
      </c>
      <c r="R987" s="10">
        <v>14244.06</v>
      </c>
      <c r="S987" s="39">
        <v>7620.73</v>
      </c>
      <c r="T987" s="10" t="s">
        <v>44</v>
      </c>
      <c r="U987" s="10" t="s">
        <v>45</v>
      </c>
      <c r="V987" s="10">
        <v>0</v>
      </c>
      <c r="W987" s="25">
        <f>Table1[[#This Row],[STAB]]-Table1[[#This Row],[AMOUNT]]</f>
        <v>7620.73</v>
      </c>
      <c r="X987" s="10">
        <v>0</v>
      </c>
      <c r="Y987" s="10" t="s">
        <v>79</v>
      </c>
      <c r="Z987" s="10">
        <v>0</v>
      </c>
      <c r="AA987" s="10" t="s">
        <v>162</v>
      </c>
      <c r="AB987" s="36"/>
      <c r="AC987" s="63"/>
      <c r="AD987" s="9" t="s">
        <v>6558</v>
      </c>
      <c r="AE987" s="10" t="s">
        <v>6598</v>
      </c>
      <c r="AF987" s="10" t="s">
        <v>1321</v>
      </c>
      <c r="AG987" s="10" t="s">
        <v>324</v>
      </c>
      <c r="AH987" s="10" t="s">
        <v>1361</v>
      </c>
      <c r="AI987" s="63"/>
      <c r="AJ987" s="10"/>
      <c r="AK987" s="10"/>
      <c r="AL987" s="63"/>
      <c r="AM987" s="10"/>
      <c r="AN987" s="11" t="s">
        <v>46</v>
      </c>
      <c r="AO987" s="10"/>
      <c r="AP987" s="10"/>
      <c r="AQ987" s="10"/>
      <c r="AR987" s="2" t="s">
        <v>43</v>
      </c>
      <c r="AS987" s="10">
        <v>0</v>
      </c>
      <c r="AT987" s="10" t="s">
        <v>47</v>
      </c>
      <c r="AU987" s="10" t="s">
        <v>6606</v>
      </c>
      <c r="AV987" s="36" t="s">
        <v>6639</v>
      </c>
      <c r="AW987" s="1">
        <v>46219</v>
      </c>
    </row>
    <row r="988" spans="1:49" x14ac:dyDescent="0.25">
      <c r="A988" s="9" t="s">
        <v>6448</v>
      </c>
      <c r="B988" s="10" t="s">
        <v>6485</v>
      </c>
      <c r="C988" s="10">
        <v>0</v>
      </c>
      <c r="D988" s="10" t="s">
        <v>91</v>
      </c>
      <c r="E988" s="10"/>
      <c r="F988" s="10"/>
      <c r="G988" s="63"/>
      <c r="H988" s="10" t="s">
        <v>52</v>
      </c>
      <c r="I988" s="10">
        <v>28</v>
      </c>
      <c r="J988" s="10" t="s">
        <v>6521</v>
      </c>
      <c r="K988" s="10" t="s">
        <v>42</v>
      </c>
      <c r="L988" s="63">
        <f>Table1[[#This Row],[ENR]]-Table1[[#This Row],[CREDIT]]</f>
        <v>6260.2099999999919</v>
      </c>
      <c r="M988" s="36">
        <v>140000</v>
      </c>
      <c r="N988" s="26">
        <v>146260.21</v>
      </c>
      <c r="O988" s="38">
        <v>66023.91</v>
      </c>
      <c r="P988" s="25">
        <v>80236.3</v>
      </c>
      <c r="Q988" s="25">
        <v>72961.78</v>
      </c>
      <c r="R988" s="10">
        <v>43940</v>
      </c>
      <c r="S988" s="39">
        <v>21053</v>
      </c>
      <c r="T988" s="10" t="s">
        <v>44</v>
      </c>
      <c r="U988" s="10" t="s">
        <v>45</v>
      </c>
      <c r="V988" s="10">
        <v>0</v>
      </c>
      <c r="W988" s="25">
        <f>Table1[[#This Row],[STAB]]-Table1[[#This Row],[AMOUNT]]</f>
        <v>21053</v>
      </c>
      <c r="X988" s="10">
        <v>0</v>
      </c>
      <c r="Y988" s="10" t="s">
        <v>79</v>
      </c>
      <c r="Z988" s="10">
        <v>0</v>
      </c>
      <c r="AA988" s="10" t="s">
        <v>162</v>
      </c>
      <c r="AB988" s="36"/>
      <c r="AC988" s="63"/>
      <c r="AD988" s="9" t="s">
        <v>6559</v>
      </c>
      <c r="AE988" s="10" t="s">
        <v>6599</v>
      </c>
      <c r="AF988" s="10" t="s">
        <v>111</v>
      </c>
      <c r="AG988" s="10" t="s">
        <v>53</v>
      </c>
      <c r="AH988" s="10" t="s">
        <v>92</v>
      </c>
      <c r="AI988" s="63"/>
      <c r="AJ988" s="10"/>
      <c r="AK988" s="10"/>
      <c r="AL988" s="63"/>
      <c r="AM988" s="10"/>
      <c r="AN988" s="11" t="s">
        <v>46</v>
      </c>
      <c r="AO988" s="10"/>
      <c r="AP988" s="10"/>
      <c r="AQ988" s="10"/>
      <c r="AR988" s="2">
        <v>45731</v>
      </c>
      <c r="AS988" s="10">
        <v>8350</v>
      </c>
      <c r="AT988" s="10" t="s">
        <v>288</v>
      </c>
      <c r="AU988" s="10" t="s">
        <v>6606</v>
      </c>
      <c r="AV988" s="36" t="s">
        <v>6640</v>
      </c>
      <c r="AW988" s="1">
        <v>46219</v>
      </c>
    </row>
    <row r="989" spans="1:49" x14ac:dyDescent="0.25">
      <c r="A989" s="9" t="s">
        <v>6449</v>
      </c>
      <c r="B989" s="10" t="s">
        <v>6486</v>
      </c>
      <c r="C989" s="10">
        <v>0</v>
      </c>
      <c r="D989" s="10" t="s">
        <v>91</v>
      </c>
      <c r="E989" s="10"/>
      <c r="F989" s="10"/>
      <c r="G989" s="63"/>
      <c r="H989" s="10" t="s">
        <v>52</v>
      </c>
      <c r="I989" s="10">
        <v>28</v>
      </c>
      <c r="J989" s="10" t="s">
        <v>6522</v>
      </c>
      <c r="K989" s="10" t="s">
        <v>42</v>
      </c>
      <c r="L989" s="63">
        <f>Table1[[#This Row],[ENR]]-Table1[[#This Row],[CREDIT]]</f>
        <v>-64088.380000000005</v>
      </c>
      <c r="M989" s="36">
        <v>200000</v>
      </c>
      <c r="N989" s="26">
        <v>135911.62</v>
      </c>
      <c r="O989" s="38">
        <v>91562.26</v>
      </c>
      <c r="P989" s="25">
        <v>44349.36</v>
      </c>
      <c r="Q989" s="25">
        <v>39117.33</v>
      </c>
      <c r="R989" s="10">
        <v>25830</v>
      </c>
      <c r="S989" s="39">
        <v>12840</v>
      </c>
      <c r="T989" s="10" t="s">
        <v>44</v>
      </c>
      <c r="U989" s="10" t="s">
        <v>45</v>
      </c>
      <c r="V989" s="10">
        <v>0</v>
      </c>
      <c r="W989" s="25">
        <f>Table1[[#This Row],[STAB]]-Table1[[#This Row],[AMOUNT]]</f>
        <v>12840</v>
      </c>
      <c r="X989" s="10">
        <v>0</v>
      </c>
      <c r="Y989" s="10" t="s">
        <v>79</v>
      </c>
      <c r="Z989" s="10">
        <v>0</v>
      </c>
      <c r="AA989" s="10" t="s">
        <v>162</v>
      </c>
      <c r="AB989" s="36"/>
      <c r="AC989" s="63"/>
      <c r="AD989" s="9" t="s">
        <v>6560</v>
      </c>
      <c r="AE989" s="10" t="s">
        <v>6600</v>
      </c>
      <c r="AF989" s="10" t="s">
        <v>1739</v>
      </c>
      <c r="AG989" s="10" t="s">
        <v>53</v>
      </c>
      <c r="AH989" s="10" t="s">
        <v>116</v>
      </c>
      <c r="AI989" s="63"/>
      <c r="AJ989" s="10"/>
      <c r="AK989" s="10"/>
      <c r="AL989" s="63"/>
      <c r="AM989" s="10"/>
      <c r="AN989" s="11" t="s">
        <v>46</v>
      </c>
      <c r="AO989" s="10"/>
      <c r="AP989" s="10"/>
      <c r="AQ989" s="10"/>
      <c r="AR989" s="2">
        <v>46198</v>
      </c>
      <c r="AS989" s="10">
        <v>13000</v>
      </c>
      <c r="AT989" s="10" t="s">
        <v>289</v>
      </c>
      <c r="AU989" s="10" t="s">
        <v>6606</v>
      </c>
      <c r="AV989" s="36" t="s">
        <v>6641</v>
      </c>
      <c r="AW989" s="1">
        <v>46219</v>
      </c>
    </row>
    <row r="990" spans="1:49" x14ac:dyDescent="0.25">
      <c r="A990" s="9" t="s">
        <v>6450</v>
      </c>
      <c r="B990" s="10" t="s">
        <v>6487</v>
      </c>
      <c r="C990" s="10">
        <v>0</v>
      </c>
      <c r="D990" s="10" t="s">
        <v>91</v>
      </c>
      <c r="E990" s="10"/>
      <c r="F990" s="10"/>
      <c r="G990" s="63"/>
      <c r="H990" s="10" t="s">
        <v>52</v>
      </c>
      <c r="I990" s="10">
        <v>28</v>
      </c>
      <c r="J990" s="10" t="s">
        <v>6523</v>
      </c>
      <c r="K990" s="10" t="s">
        <v>42</v>
      </c>
      <c r="L990" s="63">
        <f>Table1[[#This Row],[ENR]]-Table1[[#This Row],[CREDIT]]</f>
        <v>-1811.6199999999953</v>
      </c>
      <c r="M990" s="36">
        <v>80000</v>
      </c>
      <c r="N990" s="26">
        <v>78188.38</v>
      </c>
      <c r="O990" s="38" t="s">
        <v>43</v>
      </c>
      <c r="P990" s="25">
        <v>78188.38</v>
      </c>
      <c r="Q990" s="25">
        <v>73010.740000000005</v>
      </c>
      <c r="R990" s="10">
        <v>15080</v>
      </c>
      <c r="S990" s="39">
        <v>9660</v>
      </c>
      <c r="T990" s="10" t="s">
        <v>44</v>
      </c>
      <c r="U990" s="10" t="s">
        <v>45</v>
      </c>
      <c r="V990" s="10">
        <v>0</v>
      </c>
      <c r="W990" s="25">
        <f>Table1[[#This Row],[STAB]]-Table1[[#This Row],[AMOUNT]]</f>
        <v>9660</v>
      </c>
      <c r="X990" s="10">
        <v>0</v>
      </c>
      <c r="Y990" s="10" t="s">
        <v>79</v>
      </c>
      <c r="Z990" s="10">
        <v>0</v>
      </c>
      <c r="AA990" s="10" t="s">
        <v>162</v>
      </c>
      <c r="AB990" s="36"/>
      <c r="AC990" s="63"/>
      <c r="AD990" s="9" t="s">
        <v>6561</v>
      </c>
      <c r="AE990" s="10" t="s">
        <v>6601</v>
      </c>
      <c r="AF990" s="10" t="s">
        <v>1739</v>
      </c>
      <c r="AG990" s="10" t="s">
        <v>53</v>
      </c>
      <c r="AH990" s="10" t="s">
        <v>116</v>
      </c>
      <c r="AI990" s="63"/>
      <c r="AJ990" s="10"/>
      <c r="AK990" s="10"/>
      <c r="AL990" s="63"/>
      <c r="AM990" s="10"/>
      <c r="AN990" s="11" t="s">
        <v>46</v>
      </c>
      <c r="AO990" s="10"/>
      <c r="AP990" s="10"/>
      <c r="AQ990" s="10"/>
      <c r="AR990" s="2">
        <v>45568</v>
      </c>
      <c r="AS990" s="10">
        <v>30000</v>
      </c>
      <c r="AT990" s="10" t="s">
        <v>688</v>
      </c>
      <c r="AU990" s="10" t="s">
        <v>6606</v>
      </c>
      <c r="AV990" s="36" t="s">
        <v>6642</v>
      </c>
      <c r="AW990" s="1">
        <v>46219</v>
      </c>
    </row>
    <row r="991" spans="1:49" x14ac:dyDescent="0.25">
      <c r="A991" s="9" t="s">
        <v>6451</v>
      </c>
      <c r="B991" s="10" t="s">
        <v>6488</v>
      </c>
      <c r="C991" s="10">
        <v>0</v>
      </c>
      <c r="D991" s="10" t="s">
        <v>91</v>
      </c>
      <c r="E991" s="10"/>
      <c r="F991" s="10"/>
      <c r="G991" s="63"/>
      <c r="H991" s="10" t="s">
        <v>52</v>
      </c>
      <c r="I991" s="10">
        <v>28</v>
      </c>
      <c r="J991" s="10" t="s">
        <v>6524</v>
      </c>
      <c r="K991" s="10" t="s">
        <v>42</v>
      </c>
      <c r="L991" s="63">
        <f>Table1[[#This Row],[ENR]]-Table1[[#This Row],[CREDIT]]</f>
        <v>-9635.2299999999814</v>
      </c>
      <c r="M991" s="36">
        <v>380000</v>
      </c>
      <c r="N991" s="26">
        <v>370364.77</v>
      </c>
      <c r="O991" s="38">
        <v>307480.43</v>
      </c>
      <c r="P991" s="25">
        <v>62884.34</v>
      </c>
      <c r="Q991" s="25">
        <v>46051.39</v>
      </c>
      <c r="R991" s="10">
        <v>62884.34</v>
      </c>
      <c r="S991" s="39">
        <v>30038.22</v>
      </c>
      <c r="T991" s="10" t="s">
        <v>44</v>
      </c>
      <c r="U991" s="10" t="s">
        <v>45</v>
      </c>
      <c r="V991" s="10">
        <v>0</v>
      </c>
      <c r="W991" s="25">
        <f>Table1[[#This Row],[STAB]]-Table1[[#This Row],[AMOUNT]]</f>
        <v>30038.22</v>
      </c>
      <c r="X991" s="10">
        <v>0</v>
      </c>
      <c r="Y991" s="10" t="s">
        <v>79</v>
      </c>
      <c r="Z991" s="10">
        <v>0</v>
      </c>
      <c r="AA991" s="10" t="s">
        <v>162</v>
      </c>
      <c r="AB991" s="36"/>
      <c r="AC991" s="63"/>
      <c r="AD991" s="9" t="s">
        <v>6562</v>
      </c>
      <c r="AE991" s="10" t="s">
        <v>6602</v>
      </c>
      <c r="AF991" s="10" t="s">
        <v>283</v>
      </c>
      <c r="AG991" s="10" t="s">
        <v>53</v>
      </c>
      <c r="AH991" s="10" t="s">
        <v>5582</v>
      </c>
      <c r="AI991" s="63"/>
      <c r="AJ991" s="10"/>
      <c r="AK991" s="10"/>
      <c r="AL991" s="63"/>
      <c r="AM991" s="10"/>
      <c r="AN991" s="11" t="s">
        <v>46</v>
      </c>
      <c r="AO991" s="10"/>
      <c r="AP991" s="10"/>
      <c r="AQ991" s="10"/>
      <c r="AR991" s="2">
        <v>45804</v>
      </c>
      <c r="AS991" s="10">
        <v>20000</v>
      </c>
      <c r="AT991" s="10" t="s">
        <v>289</v>
      </c>
      <c r="AU991" s="10" t="s">
        <v>6606</v>
      </c>
      <c r="AV991" s="36" t="s">
        <v>6643</v>
      </c>
      <c r="AW991" s="1">
        <v>46219</v>
      </c>
    </row>
    <row r="992" spans="1:49" x14ac:dyDescent="0.25">
      <c r="A992" s="9" t="s">
        <v>6452</v>
      </c>
      <c r="B992" s="10" t="s">
        <v>6489</v>
      </c>
      <c r="C992" s="10">
        <v>0</v>
      </c>
      <c r="D992" s="10" t="s">
        <v>91</v>
      </c>
      <c r="E992" s="10"/>
      <c r="F992" s="10"/>
      <c r="G992" s="63"/>
      <c r="H992" s="10" t="s">
        <v>52</v>
      </c>
      <c r="I992" s="10">
        <v>28</v>
      </c>
      <c r="J992" s="10" t="s">
        <v>6525</v>
      </c>
      <c r="K992" s="10" t="s">
        <v>460</v>
      </c>
      <c r="L992" s="63">
        <f>Table1[[#This Row],[ENR]]-Table1[[#This Row],[CREDIT]]</f>
        <v>-116439.48999999999</v>
      </c>
      <c r="M992" s="36">
        <v>370000</v>
      </c>
      <c r="N992" s="26">
        <v>253560.51</v>
      </c>
      <c r="O992" s="38" t="s">
        <v>43</v>
      </c>
      <c r="P992" s="25">
        <v>253560.51</v>
      </c>
      <c r="Q992" s="25">
        <v>228913.04</v>
      </c>
      <c r="R992" s="10">
        <v>36440</v>
      </c>
      <c r="S992" s="39">
        <v>14140</v>
      </c>
      <c r="T992" s="10" t="s">
        <v>44</v>
      </c>
      <c r="U992" s="10" t="s">
        <v>45</v>
      </c>
      <c r="V992" s="10">
        <v>0</v>
      </c>
      <c r="W992" s="25">
        <f>Table1[[#This Row],[STAB]]-Table1[[#This Row],[AMOUNT]]</f>
        <v>14140</v>
      </c>
      <c r="X992" s="10">
        <v>0</v>
      </c>
      <c r="Y992" s="10" t="s">
        <v>79</v>
      </c>
      <c r="Z992" s="10">
        <v>0</v>
      </c>
      <c r="AA992" s="10" t="s">
        <v>162</v>
      </c>
      <c r="AB992" s="36"/>
      <c r="AC992" s="63"/>
      <c r="AD992" s="9" t="s">
        <v>6563</v>
      </c>
      <c r="AE992" s="10" t="s">
        <v>6603</v>
      </c>
      <c r="AF992" s="10" t="s">
        <v>2619</v>
      </c>
      <c r="AG992" s="10" t="s">
        <v>53</v>
      </c>
      <c r="AH992" s="10" t="s">
        <v>55</v>
      </c>
      <c r="AI992" s="63"/>
      <c r="AJ992" s="10"/>
      <c r="AK992" s="10"/>
      <c r="AL992" s="63"/>
      <c r="AM992" s="10"/>
      <c r="AN992" s="11" t="s">
        <v>46</v>
      </c>
      <c r="AO992" s="10"/>
      <c r="AP992" s="10"/>
      <c r="AQ992" s="10"/>
      <c r="AR992" s="2">
        <v>46157</v>
      </c>
      <c r="AS992" s="10">
        <v>80000</v>
      </c>
      <c r="AT992" s="10" t="s">
        <v>157</v>
      </c>
      <c r="AU992" s="10" t="s">
        <v>6606</v>
      </c>
      <c r="AV992" s="36" t="s">
        <v>6644</v>
      </c>
      <c r="AW992" s="1">
        <v>46219</v>
      </c>
    </row>
    <row r="993" spans="1:49" x14ac:dyDescent="0.25">
      <c r="A993" s="9" t="s">
        <v>6453</v>
      </c>
      <c r="B993" s="10" t="s">
        <v>6490</v>
      </c>
      <c r="C993" s="10">
        <v>0</v>
      </c>
      <c r="D993" s="10" t="s">
        <v>91</v>
      </c>
      <c r="E993" s="10"/>
      <c r="F993" s="10"/>
      <c r="G993" s="63"/>
      <c r="H993" s="10" t="s">
        <v>52</v>
      </c>
      <c r="I993" s="10">
        <v>28</v>
      </c>
      <c r="J993" s="10" t="s">
        <v>6526</v>
      </c>
      <c r="K993" s="10" t="s">
        <v>42</v>
      </c>
      <c r="L993" s="63">
        <f>Table1[[#This Row],[ENR]]-Table1[[#This Row],[CREDIT]]</f>
        <v>13294.890000000014</v>
      </c>
      <c r="M993" s="36">
        <v>430000</v>
      </c>
      <c r="N993" s="26">
        <v>443294.89</v>
      </c>
      <c r="O993" s="38">
        <v>285859.24</v>
      </c>
      <c r="P993" s="25">
        <v>157435.65</v>
      </c>
      <c r="Q993" s="25">
        <v>130117.22</v>
      </c>
      <c r="R993" s="10">
        <v>84580</v>
      </c>
      <c r="S993" s="39">
        <v>41540</v>
      </c>
      <c r="T993" s="10" t="s">
        <v>44</v>
      </c>
      <c r="U993" s="10" t="s">
        <v>45</v>
      </c>
      <c r="V993" s="10">
        <v>0</v>
      </c>
      <c r="W993" s="25">
        <f>Table1[[#This Row],[STAB]]-Table1[[#This Row],[AMOUNT]]</f>
        <v>41540</v>
      </c>
      <c r="X993" s="10">
        <v>0</v>
      </c>
      <c r="Y993" s="10" t="s">
        <v>79</v>
      </c>
      <c r="Z993" s="10">
        <v>0</v>
      </c>
      <c r="AA993" s="10" t="s">
        <v>162</v>
      </c>
      <c r="AB993" s="36"/>
      <c r="AC993" s="63"/>
      <c r="AD993" s="9" t="s">
        <v>6564</v>
      </c>
      <c r="AE993" s="10" t="s">
        <v>6604</v>
      </c>
      <c r="AF993" s="10" t="s">
        <v>286</v>
      </c>
      <c r="AG993" s="10" t="s">
        <v>54</v>
      </c>
      <c r="AH993" s="10"/>
      <c r="AI993" s="63"/>
      <c r="AJ993" s="10"/>
      <c r="AK993" s="10"/>
      <c r="AL993" s="63"/>
      <c r="AM993" s="10"/>
      <c r="AN993" s="11" t="s">
        <v>46</v>
      </c>
      <c r="AO993" s="10"/>
      <c r="AP993" s="10"/>
      <c r="AQ993" s="10"/>
      <c r="AR993" s="2">
        <v>46121</v>
      </c>
      <c r="AS993" s="10">
        <v>45000</v>
      </c>
      <c r="AT993" s="10" t="s">
        <v>1930</v>
      </c>
      <c r="AU993" s="10" t="s">
        <v>6606</v>
      </c>
      <c r="AV993" s="36" t="s">
        <v>6645</v>
      </c>
      <c r="AW993" s="1">
        <v>46219</v>
      </c>
    </row>
    <row r="994" spans="1:49" x14ac:dyDescent="0.25">
      <c r="A994" s="40" t="s">
        <v>6454</v>
      </c>
      <c r="B994" s="11" t="s">
        <v>6491</v>
      </c>
      <c r="C994" s="10">
        <v>0</v>
      </c>
      <c r="D994" s="10" t="s">
        <v>91</v>
      </c>
      <c r="E994" s="11"/>
      <c r="F994" s="11"/>
      <c r="G994" s="64"/>
      <c r="H994" s="10" t="s">
        <v>52</v>
      </c>
      <c r="I994" s="11">
        <v>28</v>
      </c>
      <c r="J994" s="11" t="s">
        <v>6527</v>
      </c>
      <c r="K994" s="11" t="s">
        <v>42</v>
      </c>
      <c r="L994" s="64">
        <f>Table1[[#This Row],[ENR]]-Table1[[#This Row],[CREDIT]]</f>
        <v>6301.4600000000064</v>
      </c>
      <c r="M994" s="41">
        <v>100000</v>
      </c>
      <c r="N994" s="42">
        <v>106301.46</v>
      </c>
      <c r="O994" s="43" t="s">
        <v>43</v>
      </c>
      <c r="P994" s="44">
        <v>106301.46</v>
      </c>
      <c r="Q994" s="44">
        <v>99923</v>
      </c>
      <c r="R994" s="11">
        <v>18220</v>
      </c>
      <c r="S994" s="45">
        <v>5000</v>
      </c>
      <c r="T994" s="10" t="s">
        <v>44</v>
      </c>
      <c r="U994" s="10" t="s">
        <v>45</v>
      </c>
      <c r="V994" s="10">
        <v>0</v>
      </c>
      <c r="W994" s="44">
        <f>Table1[[#This Row],[STAB]]-Table1[[#This Row],[AMOUNT]]</f>
        <v>5000</v>
      </c>
      <c r="X994" s="10">
        <v>0</v>
      </c>
      <c r="Y994" s="10" t="s">
        <v>79</v>
      </c>
      <c r="Z994" s="10">
        <v>0</v>
      </c>
      <c r="AA994" s="10" t="s">
        <v>162</v>
      </c>
      <c r="AB994" s="41"/>
      <c r="AC994" s="64"/>
      <c r="AD994" s="40" t="s">
        <v>6565</v>
      </c>
      <c r="AE994" s="11" t="s">
        <v>6605</v>
      </c>
      <c r="AF994" s="11" t="s">
        <v>275</v>
      </c>
      <c r="AG994" s="11" t="s">
        <v>80</v>
      </c>
      <c r="AH994" s="11" t="s">
        <v>1999</v>
      </c>
      <c r="AI994" s="64"/>
      <c r="AJ994" s="11"/>
      <c r="AK994" s="11"/>
      <c r="AL994" s="64"/>
      <c r="AM994" s="11"/>
      <c r="AN994" s="11" t="s">
        <v>46</v>
      </c>
      <c r="AO994" s="11"/>
      <c r="AP994" s="11"/>
      <c r="AQ994" s="11"/>
      <c r="AR994" s="46" t="s">
        <v>43</v>
      </c>
      <c r="AS994" s="11">
        <v>0</v>
      </c>
      <c r="AT994" s="11" t="s">
        <v>48</v>
      </c>
      <c r="AU994" s="10" t="s">
        <v>6606</v>
      </c>
      <c r="AV994" s="41" t="s">
        <v>6646</v>
      </c>
      <c r="AW994" s="47">
        <v>46219</v>
      </c>
    </row>
  </sheetData>
  <phoneticPr fontId="4" type="noConversion"/>
  <conditionalFormatting sqref="A1:A1048576">
    <cfRule type="duplicateValues" dxfId="334" priority="4555"/>
  </conditionalFormatting>
  <conditionalFormatting sqref="A2:A994">
    <cfRule type="duplicateValues" dxfId="333" priority="1"/>
    <cfRule type="duplicateValues" dxfId="332" priority="4568"/>
  </conditionalFormatting>
  <conditionalFormatting sqref="L2:L994">
    <cfRule type="colorScale" priority="4569">
      <colorScale>
        <cfvo type="min"/>
        <cfvo type="percentile" val="50"/>
        <cfvo type="max"/>
        <color rgb="FFF8696B"/>
        <color rgb="FFFFEB84"/>
        <color rgb="FF63BE7B"/>
      </colorScale>
    </cfRule>
  </conditionalFormatting>
  <hyperlinks>
    <hyperlink ref="A277" r:id="rId1" display="https://neocaps.icici.bank.in/collection-webapp/app/dashboard?_cid=sNM58PjebqouBUk&amp;_hkstd=43497a6dac8b6480da1e3d108d6a46e3d8f639b54e85a38d76075db8994197d9a35e50139f8c8563e72b1a4765a0b186MTc4Mjk5MTE1ODY3Nw==&amp;SECURE_REDIRECT_HKSTD=redirect" xr:uid="{4E476617-5DCC-4959-89A7-F5C74B0EC7DA}"/>
  </hyperlink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V2"/>
  <sheetViews>
    <sheetView workbookViewId="0"/>
  </sheetViews>
  <sheetFormatPr defaultRowHeight="15" x14ac:dyDescent="0.25"/>
  <cols>
    <col min="1" max="1" width="17.28515625" style="27" bestFit="1" customWidth="1"/>
    <col min="2" max="2" width="31.28515625" style="27" bestFit="1" customWidth="1"/>
    <col min="3" max="4" width="4.28515625" style="27" bestFit="1" customWidth="1"/>
    <col min="5" max="5" width="3.140625" style="27" bestFit="1" customWidth="1"/>
    <col min="6" max="6" width="3.28515625" style="27" bestFit="1" customWidth="1"/>
    <col min="7" max="7" width="4.7109375" style="27" bestFit="1" customWidth="1"/>
    <col min="8" max="8" width="4.28515625" style="27" bestFit="1" customWidth="1"/>
    <col min="9" max="9" width="11" style="27" bestFit="1" customWidth="1"/>
    <col min="10" max="10" width="6.7109375" style="27" bestFit="1" customWidth="1"/>
    <col min="11" max="11" width="12.42578125" style="27" bestFit="1" customWidth="1"/>
    <col min="12" max="12" width="7.140625" style="27" bestFit="1" customWidth="1"/>
    <col min="13" max="13" width="7" style="27" bestFit="1" customWidth="1"/>
    <col min="14" max="14" width="7.5703125" style="27" bestFit="1" customWidth="1"/>
    <col min="15" max="15" width="10" style="27" bestFit="1" customWidth="1"/>
    <col min="16" max="16" width="7" style="27" bestFit="1" customWidth="1"/>
    <col min="17" max="17" width="10" style="27" bestFit="1" customWidth="1"/>
    <col min="18" max="18" width="6" style="27" bestFit="1" customWidth="1"/>
    <col min="19" max="19" width="13.28515625" style="27" bestFit="1" customWidth="1"/>
    <col min="20" max="20" width="7.5703125" style="27" bestFit="1" customWidth="1"/>
    <col min="21" max="21" width="10" style="27" bestFit="1" customWidth="1"/>
    <col min="22" max="22" width="9.140625" style="27"/>
    <col min="23" max="23" width="5.5703125" style="27" bestFit="1" customWidth="1"/>
    <col min="24" max="24" width="8.7109375" style="27" bestFit="1" customWidth="1"/>
    <col min="25" max="25" width="6.42578125" style="27" bestFit="1" customWidth="1"/>
    <col min="26" max="27" width="9" style="27" bestFit="1" customWidth="1"/>
    <col min="28" max="28" width="9.28515625" style="27" bestFit="1" customWidth="1"/>
    <col min="29" max="29" width="112.7109375" style="27" bestFit="1" customWidth="1"/>
    <col min="30" max="30" width="176.42578125" style="27" bestFit="1" customWidth="1"/>
    <col min="31" max="31" width="11.42578125" style="27" bestFit="1" customWidth="1"/>
    <col min="32" max="32" width="5.7109375" style="27" bestFit="1" customWidth="1"/>
    <col min="33" max="33" width="10.28515625" style="27" bestFit="1" customWidth="1"/>
    <col min="34" max="34" width="11.140625" style="27" bestFit="1" customWidth="1"/>
    <col min="35" max="35" width="10" style="27" bestFit="1" customWidth="1"/>
    <col min="36" max="36" width="12.140625" style="27" bestFit="1" customWidth="1"/>
    <col min="37" max="37" width="9" style="27" bestFit="1" customWidth="1"/>
    <col min="38" max="38" width="11" style="27" bestFit="1" customWidth="1"/>
    <col min="39" max="39" width="7.7109375" style="27" bestFit="1" customWidth="1"/>
    <col min="40" max="40" width="10.28515625" style="27" bestFit="1" customWidth="1"/>
    <col min="41" max="41" width="9.42578125" style="27" bestFit="1" customWidth="1"/>
    <col min="42" max="42" width="7.28515625" style="27" bestFit="1" customWidth="1"/>
    <col min="43" max="43" width="19.42578125" style="27" bestFit="1" customWidth="1"/>
    <col min="44" max="44" width="23.140625" style="27" bestFit="1" customWidth="1"/>
    <col min="45" max="45" width="44.140625" style="27" bestFit="1" customWidth="1"/>
    <col min="46" max="46" width="11.5703125" style="27" bestFit="1" customWidth="1"/>
    <col min="47" max="47" width="17.28515625" style="27" bestFit="1" customWidth="1"/>
    <col min="48" max="48" width="10.42578125" style="27" bestFit="1" customWidth="1"/>
    <col min="49" max="16384" width="9.140625" style="27"/>
  </cols>
  <sheetData>
    <row r="1" spans="1:48" x14ac:dyDescent="0.25">
      <c r="A1" s="48" t="s">
        <v>0</v>
      </c>
      <c r="B1" s="48" t="s">
        <v>1</v>
      </c>
      <c r="C1" s="48" t="s">
        <v>97</v>
      </c>
      <c r="D1" s="48" t="s">
        <v>2</v>
      </c>
      <c r="E1" s="48" t="s">
        <v>95</v>
      </c>
      <c r="F1" s="48" t="s">
        <v>112</v>
      </c>
      <c r="G1" s="48" t="s">
        <v>3</v>
      </c>
      <c r="H1" s="48" t="s">
        <v>4</v>
      </c>
      <c r="I1" s="48" t="s">
        <v>5</v>
      </c>
      <c r="J1" s="48" t="s">
        <v>6</v>
      </c>
      <c r="K1" s="48" t="s">
        <v>7</v>
      </c>
      <c r="L1" s="48" t="s">
        <v>8</v>
      </c>
      <c r="M1" s="49" t="s">
        <v>9</v>
      </c>
      <c r="N1" s="48" t="s">
        <v>10</v>
      </c>
      <c r="O1" s="48" t="s">
        <v>11</v>
      </c>
      <c r="P1" s="48" t="s">
        <v>12</v>
      </c>
      <c r="Q1" s="48" t="s">
        <v>13</v>
      </c>
      <c r="R1" s="48" t="s">
        <v>14</v>
      </c>
      <c r="S1" s="48" t="s">
        <v>15</v>
      </c>
      <c r="T1" s="48" t="s">
        <v>16</v>
      </c>
      <c r="U1" s="48" t="s">
        <v>17</v>
      </c>
      <c r="V1" s="50" t="s">
        <v>18</v>
      </c>
      <c r="W1" s="48" t="s">
        <v>19</v>
      </c>
      <c r="X1" s="48" t="s">
        <v>20</v>
      </c>
      <c r="Y1" s="48" t="s">
        <v>21</v>
      </c>
      <c r="Z1" s="48" t="s">
        <v>81</v>
      </c>
      <c r="AA1" s="48" t="s">
        <v>22</v>
      </c>
      <c r="AB1" s="50" t="s">
        <v>23</v>
      </c>
      <c r="AC1" s="48" t="s">
        <v>24</v>
      </c>
      <c r="AD1" s="48" t="s">
        <v>25</v>
      </c>
      <c r="AE1" s="48" t="s">
        <v>26</v>
      </c>
      <c r="AF1" s="48" t="s">
        <v>27</v>
      </c>
      <c r="AG1" s="49" t="s">
        <v>28</v>
      </c>
      <c r="AH1" s="48" t="s">
        <v>29</v>
      </c>
      <c r="AI1" s="48" t="s">
        <v>30</v>
      </c>
      <c r="AJ1" s="48" t="s">
        <v>31</v>
      </c>
      <c r="AK1" s="48" t="s">
        <v>32</v>
      </c>
      <c r="AL1" s="48" t="s">
        <v>33</v>
      </c>
      <c r="AM1" s="48" t="s">
        <v>34</v>
      </c>
      <c r="AN1" s="51" t="s">
        <v>35</v>
      </c>
      <c r="AO1" s="51" t="s">
        <v>36</v>
      </c>
      <c r="AP1" s="51" t="s">
        <v>37</v>
      </c>
      <c r="AQ1" s="48" t="s">
        <v>38</v>
      </c>
      <c r="AR1" s="48" t="s">
        <v>39</v>
      </c>
      <c r="AS1" s="48" t="s">
        <v>40</v>
      </c>
      <c r="AT1" s="48" t="s">
        <v>41</v>
      </c>
      <c r="AU1" s="52" t="s">
        <v>127</v>
      </c>
      <c r="AV1" s="48" t="s">
        <v>78</v>
      </c>
    </row>
    <row r="2" spans="1:48" x14ac:dyDescent="0.25">
      <c r="A2" s="10" t="s">
        <v>377</v>
      </c>
      <c r="B2" s="10" t="s">
        <v>378</v>
      </c>
      <c r="C2" s="10">
        <v>0</v>
      </c>
      <c r="D2" s="10" t="s">
        <v>91</v>
      </c>
      <c r="E2" s="10"/>
      <c r="F2" s="10"/>
      <c r="G2" s="10" t="s">
        <v>52</v>
      </c>
      <c r="H2" s="10">
        <v>1</v>
      </c>
      <c r="I2" s="10" t="s">
        <v>379</v>
      </c>
      <c r="J2" s="10" t="s">
        <v>42</v>
      </c>
      <c r="K2" s="10">
        <f>Table1[[#This Row],[ENR]]-Table1[[#This Row],[CREDIT]]</f>
        <v>70895.949999999953</v>
      </c>
      <c r="L2" s="10">
        <v>500000</v>
      </c>
      <c r="M2" s="26">
        <v>536072.31000000006</v>
      </c>
      <c r="N2" s="25" t="s">
        <v>43</v>
      </c>
      <c r="O2" s="25">
        <v>536072.31000000006</v>
      </c>
      <c r="P2" s="25">
        <v>499255.75</v>
      </c>
      <c r="Q2" s="10">
        <v>536072.31000000006</v>
      </c>
      <c r="R2" s="25">
        <v>74046.09</v>
      </c>
      <c r="S2" s="10" t="s">
        <v>57</v>
      </c>
      <c r="T2" s="10" t="s">
        <v>13</v>
      </c>
      <c r="U2" s="10">
        <v>536072.31000000006</v>
      </c>
      <c r="V2" s="25">
        <f>Table1[[#This Row],[STAB]]-Table1[[#This Row],[AMOUNT]]</f>
        <v>54428</v>
      </c>
      <c r="W2" s="10">
        <v>0</v>
      </c>
      <c r="X2" s="10" t="s">
        <v>388</v>
      </c>
      <c r="Y2" s="10">
        <v>0</v>
      </c>
      <c r="Z2" s="10" t="s">
        <v>380</v>
      </c>
      <c r="AA2" s="10" t="s">
        <v>380</v>
      </c>
      <c r="AB2" s="10" t="s">
        <v>527</v>
      </c>
      <c r="AC2" s="10" t="s">
        <v>381</v>
      </c>
      <c r="AD2" s="10" t="s">
        <v>382</v>
      </c>
      <c r="AE2" s="10" t="s">
        <v>383</v>
      </c>
      <c r="AF2" s="10" t="s">
        <v>53</v>
      </c>
      <c r="AG2" s="10" t="s">
        <v>384</v>
      </c>
      <c r="AH2" s="10" t="s">
        <v>365</v>
      </c>
      <c r="AI2" s="10">
        <v>802824019</v>
      </c>
      <c r="AJ2" s="10" t="s">
        <v>360</v>
      </c>
      <c r="AK2" s="10"/>
      <c r="AL2" s="10"/>
      <c r="AM2" s="11" t="s">
        <v>390</v>
      </c>
      <c r="AN2" s="10"/>
      <c r="AO2" s="10"/>
      <c r="AP2" s="10"/>
      <c r="AQ2" s="2">
        <v>46131</v>
      </c>
      <c r="AR2" s="10">
        <v>5799.48</v>
      </c>
      <c r="AS2" s="10" t="s">
        <v>385</v>
      </c>
      <c r="AT2" s="10" t="s">
        <v>386</v>
      </c>
      <c r="AU2" s="36" t="s">
        <v>387</v>
      </c>
      <c r="AV2" s="2">
        <v>46192</v>
      </c>
    </row>
  </sheetData>
  <autoFilter ref="A1:AV2" xr:uid="{00000000-0001-0000-0400-000000000000}"/>
  <conditionalFormatting sqref="A1:A2">
    <cfRule type="duplicateValues" dxfId="331" priority="1"/>
  </conditionalFormatting>
  <conditionalFormatting sqref="A2">
    <cfRule type="duplicateValues" dxfId="330" priority="2"/>
  </conditionalFormatting>
  <conditionalFormatting sqref="K2">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1FF4F-5D93-4A08-9133-9AD6FBEB68B7}">
  <sheetPr codeName="Sheet3"/>
  <dimension ref="C4:J48"/>
  <sheetViews>
    <sheetView topLeftCell="B3" workbookViewId="0">
      <selection activeCell="H3" sqref="H3:K9"/>
    </sheetView>
  </sheetViews>
  <sheetFormatPr defaultRowHeight="15" x14ac:dyDescent="0.25"/>
  <cols>
    <col min="1" max="2" width="9.140625" style="12"/>
    <col min="3" max="3" width="36.140625" style="12" bestFit="1" customWidth="1"/>
    <col min="4" max="4" width="7.7109375" style="12" bestFit="1" customWidth="1"/>
    <col min="5" max="5" width="12" style="12" bestFit="1" customWidth="1"/>
    <col min="6" max="6" width="11.140625" style="12" bestFit="1" customWidth="1"/>
    <col min="7" max="8" width="9.140625" style="12"/>
    <col min="9" max="10" width="43.28515625" style="12" customWidth="1"/>
    <col min="11" max="16384" width="9.140625" style="12"/>
  </cols>
  <sheetData>
    <row r="4" spans="3:10" ht="45" x14ac:dyDescent="0.25">
      <c r="C4" s="53" t="s">
        <v>49</v>
      </c>
      <c r="D4" s="53" t="s">
        <v>390</v>
      </c>
      <c r="E4" s="21" t="s">
        <v>46</v>
      </c>
      <c r="F4" s="21" t="s">
        <v>50</v>
      </c>
      <c r="I4" s="58" t="s">
        <v>4417</v>
      </c>
      <c r="J4" s="56" t="s">
        <v>4460</v>
      </c>
    </row>
    <row r="5" spans="3:10" ht="45" x14ac:dyDescent="0.25">
      <c r="C5" s="21" t="s">
        <v>58</v>
      </c>
      <c r="D5" s="21">
        <v>2</v>
      </c>
      <c r="E5" s="21">
        <v>9</v>
      </c>
      <c r="F5" s="21">
        <v>11</v>
      </c>
      <c r="I5" s="58" t="s">
        <v>5073</v>
      </c>
      <c r="J5" s="56" t="s">
        <v>5088</v>
      </c>
    </row>
    <row r="6" spans="3:10" ht="45" x14ac:dyDescent="0.25">
      <c r="C6" s="21" t="s">
        <v>83</v>
      </c>
      <c r="D6" s="21">
        <v>1</v>
      </c>
      <c r="E6" s="21">
        <v>9</v>
      </c>
      <c r="F6" s="21">
        <v>10</v>
      </c>
      <c r="I6" s="58" t="s">
        <v>5075</v>
      </c>
      <c r="J6" s="56" t="s">
        <v>5090</v>
      </c>
    </row>
    <row r="7" spans="3:10" ht="60" x14ac:dyDescent="0.25">
      <c r="C7" s="21" t="s">
        <v>55</v>
      </c>
      <c r="D7" s="21">
        <v>5</v>
      </c>
      <c r="E7" s="21">
        <v>9</v>
      </c>
      <c r="F7" s="21">
        <v>14</v>
      </c>
      <c r="I7" s="58" t="s">
        <v>5078</v>
      </c>
      <c r="J7" s="56" t="s">
        <v>5093</v>
      </c>
    </row>
    <row r="8" spans="3:10" ht="60" x14ac:dyDescent="0.25">
      <c r="C8" s="21" t="s">
        <v>1398</v>
      </c>
      <c r="D8" s="21">
        <v>1</v>
      </c>
      <c r="E8" s="21">
        <v>8</v>
      </c>
      <c r="F8" s="21">
        <v>9</v>
      </c>
      <c r="I8" s="58" t="s">
        <v>5079</v>
      </c>
      <c r="J8" s="56" t="s">
        <v>5094</v>
      </c>
    </row>
    <row r="9" spans="3:10" x14ac:dyDescent="0.25">
      <c r="C9" s="21" t="s">
        <v>89</v>
      </c>
      <c r="D9" s="21">
        <v>2</v>
      </c>
      <c r="E9" s="21">
        <v>7</v>
      </c>
      <c r="F9" s="21">
        <v>9</v>
      </c>
    </row>
    <row r="10" spans="3:10" x14ac:dyDescent="0.25">
      <c r="C10" s="21" t="s">
        <v>356</v>
      </c>
      <c r="D10" s="21">
        <v>1</v>
      </c>
      <c r="E10" s="21">
        <v>6</v>
      </c>
      <c r="F10" s="21">
        <v>7</v>
      </c>
    </row>
    <row r="11" spans="3:10" x14ac:dyDescent="0.25">
      <c r="C11" s="21" t="s">
        <v>114</v>
      </c>
      <c r="D11" s="21">
        <v>3</v>
      </c>
      <c r="E11" s="21">
        <v>5</v>
      </c>
      <c r="F11" s="21">
        <v>8</v>
      </c>
    </row>
    <row r="12" spans="3:10" x14ac:dyDescent="0.25">
      <c r="C12" s="21" t="s">
        <v>86</v>
      </c>
      <c r="D12" s="21">
        <v>3</v>
      </c>
      <c r="E12" s="21">
        <v>5</v>
      </c>
      <c r="F12" s="21">
        <v>8</v>
      </c>
    </row>
    <row r="13" spans="3:10" x14ac:dyDescent="0.25">
      <c r="C13" s="21" t="s">
        <v>354</v>
      </c>
      <c r="D13" s="21">
        <v>4</v>
      </c>
      <c r="E13" s="21">
        <v>5</v>
      </c>
      <c r="F13" s="21">
        <v>9</v>
      </c>
    </row>
    <row r="14" spans="3:10" x14ac:dyDescent="0.25">
      <c r="C14" s="21" t="s">
        <v>93</v>
      </c>
      <c r="D14" s="21">
        <v>6</v>
      </c>
      <c r="E14" s="21">
        <v>4</v>
      </c>
      <c r="F14" s="21">
        <v>10</v>
      </c>
    </row>
    <row r="15" spans="3:10" x14ac:dyDescent="0.25">
      <c r="C15" s="21" t="s">
        <v>280</v>
      </c>
      <c r="D15" s="21"/>
      <c r="E15" s="21">
        <v>4</v>
      </c>
      <c r="F15" s="21">
        <v>4</v>
      </c>
    </row>
    <row r="16" spans="3:10" x14ac:dyDescent="0.25">
      <c r="C16" s="21" t="s">
        <v>1361</v>
      </c>
      <c r="D16" s="21">
        <v>3</v>
      </c>
      <c r="E16" s="21">
        <v>4</v>
      </c>
      <c r="F16" s="21">
        <v>7</v>
      </c>
    </row>
    <row r="17" spans="3:6" x14ac:dyDescent="0.25">
      <c r="C17" s="21" t="s">
        <v>1400</v>
      </c>
      <c r="D17" s="21"/>
      <c r="E17" s="21">
        <v>4</v>
      </c>
      <c r="F17" s="21">
        <v>4</v>
      </c>
    </row>
    <row r="18" spans="3:6" x14ac:dyDescent="0.25">
      <c r="C18" s="21" t="s">
        <v>87</v>
      </c>
      <c r="D18" s="21">
        <v>1</v>
      </c>
      <c r="E18" s="21">
        <v>3</v>
      </c>
      <c r="F18" s="21">
        <v>4</v>
      </c>
    </row>
    <row r="19" spans="3:6" x14ac:dyDescent="0.25">
      <c r="C19" s="21" t="s">
        <v>1956</v>
      </c>
      <c r="D19" s="21"/>
      <c r="E19" s="21">
        <v>3</v>
      </c>
      <c r="F19" s="21">
        <v>3</v>
      </c>
    </row>
    <row r="20" spans="3:6" x14ac:dyDescent="0.25">
      <c r="C20" s="21" t="s">
        <v>1365</v>
      </c>
      <c r="D20" s="21"/>
      <c r="E20" s="21">
        <v>3</v>
      </c>
      <c r="F20" s="21">
        <v>3</v>
      </c>
    </row>
    <row r="21" spans="3:6" x14ac:dyDescent="0.25">
      <c r="C21" s="21" t="s">
        <v>92</v>
      </c>
      <c r="D21" s="21">
        <v>3</v>
      </c>
      <c r="E21" s="21">
        <v>3</v>
      </c>
      <c r="F21" s="21">
        <v>6</v>
      </c>
    </row>
    <row r="22" spans="3:6" x14ac:dyDescent="0.25">
      <c r="C22" s="21" t="s">
        <v>90</v>
      </c>
      <c r="D22" s="21">
        <v>2</v>
      </c>
      <c r="E22" s="21">
        <v>3</v>
      </c>
      <c r="F22" s="21">
        <v>5</v>
      </c>
    </row>
    <row r="23" spans="3:6" x14ac:dyDescent="0.25">
      <c r="C23" s="53" t="s">
        <v>1366</v>
      </c>
      <c r="D23" s="53"/>
      <c r="E23" s="21">
        <v>2</v>
      </c>
      <c r="F23" s="21">
        <v>2</v>
      </c>
    </row>
    <row r="24" spans="3:6" x14ac:dyDescent="0.25">
      <c r="C24" s="53" t="s">
        <v>115</v>
      </c>
      <c r="D24" s="53"/>
      <c r="E24" s="21">
        <v>2</v>
      </c>
      <c r="F24" s="21">
        <v>2</v>
      </c>
    </row>
    <row r="25" spans="3:6" x14ac:dyDescent="0.25">
      <c r="C25" s="21" t="s">
        <v>357</v>
      </c>
      <c r="D25" s="21">
        <v>3</v>
      </c>
      <c r="E25" s="21">
        <v>2</v>
      </c>
      <c r="F25" s="21">
        <v>5</v>
      </c>
    </row>
    <row r="26" spans="3:6" x14ac:dyDescent="0.25">
      <c r="C26" s="21" t="s">
        <v>56</v>
      </c>
      <c r="D26" s="21">
        <v>1</v>
      </c>
      <c r="E26" s="21">
        <v>2</v>
      </c>
      <c r="F26" s="21">
        <v>3</v>
      </c>
    </row>
    <row r="27" spans="3:6" x14ac:dyDescent="0.25">
      <c r="C27" s="21" t="s">
        <v>352</v>
      </c>
      <c r="D27" s="21">
        <v>3</v>
      </c>
      <c r="E27" s="21">
        <v>2</v>
      </c>
      <c r="F27" s="21">
        <v>5</v>
      </c>
    </row>
    <row r="28" spans="3:6" x14ac:dyDescent="0.25">
      <c r="C28" s="21" t="s">
        <v>1364</v>
      </c>
      <c r="D28" s="21"/>
      <c r="E28" s="21">
        <v>2</v>
      </c>
      <c r="F28" s="21">
        <v>2</v>
      </c>
    </row>
    <row r="29" spans="3:6" x14ac:dyDescent="0.25">
      <c r="C29" s="21" t="s">
        <v>146</v>
      </c>
      <c r="D29" s="21"/>
      <c r="E29" s="21">
        <v>2</v>
      </c>
      <c r="F29" s="21">
        <v>2</v>
      </c>
    </row>
    <row r="30" spans="3:6" x14ac:dyDescent="0.25">
      <c r="C30" s="21" t="s">
        <v>98</v>
      </c>
      <c r="D30" s="21">
        <v>4</v>
      </c>
      <c r="E30" s="21">
        <v>2</v>
      </c>
      <c r="F30" s="21">
        <v>6</v>
      </c>
    </row>
    <row r="31" spans="3:6" x14ac:dyDescent="0.25">
      <c r="C31" s="21" t="s">
        <v>953</v>
      </c>
      <c r="D31" s="21">
        <v>1</v>
      </c>
      <c r="E31" s="21">
        <v>2</v>
      </c>
      <c r="F31" s="21">
        <v>3</v>
      </c>
    </row>
    <row r="32" spans="3:6" x14ac:dyDescent="0.25">
      <c r="C32" s="21" t="s">
        <v>722</v>
      </c>
      <c r="D32" s="21">
        <v>5</v>
      </c>
      <c r="E32" s="21">
        <v>2</v>
      </c>
      <c r="F32" s="21">
        <v>7</v>
      </c>
    </row>
    <row r="33" spans="3:6" x14ac:dyDescent="0.25">
      <c r="C33" s="21" t="s">
        <v>99</v>
      </c>
      <c r="D33" s="21">
        <v>2</v>
      </c>
      <c r="E33" s="21">
        <v>2</v>
      </c>
      <c r="F33" s="21">
        <v>4</v>
      </c>
    </row>
    <row r="34" spans="3:6" x14ac:dyDescent="0.25">
      <c r="C34" s="21" t="s">
        <v>1957</v>
      </c>
      <c r="D34" s="21"/>
      <c r="E34" s="21">
        <v>2</v>
      </c>
      <c r="F34" s="21">
        <v>2</v>
      </c>
    </row>
    <row r="35" spans="3:6" x14ac:dyDescent="0.25">
      <c r="C35" s="21" t="s">
        <v>724</v>
      </c>
      <c r="D35" s="21">
        <v>2</v>
      </c>
      <c r="E35" s="21">
        <v>1</v>
      </c>
      <c r="F35" s="21">
        <v>3</v>
      </c>
    </row>
    <row r="36" spans="3:6" x14ac:dyDescent="0.25">
      <c r="C36" s="21" t="s">
        <v>1407</v>
      </c>
      <c r="D36" s="21"/>
      <c r="E36" s="21">
        <v>1</v>
      </c>
      <c r="F36" s="21">
        <v>1</v>
      </c>
    </row>
    <row r="37" spans="3:6" x14ac:dyDescent="0.25">
      <c r="C37" s="21" t="s">
        <v>1399</v>
      </c>
      <c r="D37" s="21"/>
      <c r="E37" s="21">
        <v>1</v>
      </c>
      <c r="F37" s="21">
        <v>1</v>
      </c>
    </row>
    <row r="38" spans="3:6" x14ac:dyDescent="0.25">
      <c r="C38" s="21" t="s">
        <v>358</v>
      </c>
      <c r="D38" s="21"/>
      <c r="E38" s="21">
        <v>1</v>
      </c>
      <c r="F38" s="21">
        <v>1</v>
      </c>
    </row>
    <row r="39" spans="3:6" x14ac:dyDescent="0.25">
      <c r="C39" s="21" t="s">
        <v>1367</v>
      </c>
      <c r="D39" s="21"/>
      <c r="E39" s="21">
        <v>1</v>
      </c>
      <c r="F39" s="21">
        <v>1</v>
      </c>
    </row>
    <row r="40" spans="3:6" x14ac:dyDescent="0.25">
      <c r="C40" s="53" t="s">
        <v>384</v>
      </c>
      <c r="D40" s="53">
        <v>1</v>
      </c>
      <c r="E40" s="21"/>
      <c r="F40" s="21">
        <v>1</v>
      </c>
    </row>
    <row r="41" spans="3:6" x14ac:dyDescent="0.25">
      <c r="C41" s="21" t="s">
        <v>525</v>
      </c>
      <c r="D41" s="21">
        <v>2</v>
      </c>
      <c r="E41" s="21"/>
      <c r="F41" s="21">
        <v>2</v>
      </c>
    </row>
    <row r="42" spans="3:6" x14ac:dyDescent="0.25">
      <c r="C42" s="21" t="s">
        <v>59</v>
      </c>
      <c r="D42" s="21">
        <v>1</v>
      </c>
      <c r="E42" s="21"/>
      <c r="F42" s="21">
        <v>1</v>
      </c>
    </row>
    <row r="43" spans="3:6" x14ac:dyDescent="0.25">
      <c r="C43" s="21" t="s">
        <v>523</v>
      </c>
      <c r="D43" s="21">
        <v>3</v>
      </c>
      <c r="E43" s="21"/>
      <c r="F43" s="21">
        <v>3</v>
      </c>
    </row>
    <row r="44" spans="3:6" x14ac:dyDescent="0.25">
      <c r="C44" s="21" t="s">
        <v>116</v>
      </c>
      <c r="D44" s="21">
        <v>2</v>
      </c>
      <c r="E44" s="21"/>
      <c r="F44" s="21">
        <v>2</v>
      </c>
    </row>
    <row r="45" spans="3:6" x14ac:dyDescent="0.25">
      <c r="C45" s="21" t="s">
        <v>524</v>
      </c>
      <c r="D45" s="21">
        <v>1</v>
      </c>
      <c r="E45" s="21"/>
      <c r="F45" s="21">
        <v>1</v>
      </c>
    </row>
    <row r="46" spans="3:6" x14ac:dyDescent="0.25">
      <c r="C46" s="21" t="s">
        <v>94</v>
      </c>
      <c r="D46" s="21">
        <v>3</v>
      </c>
      <c r="E46" s="21"/>
      <c r="F46" s="21">
        <v>3</v>
      </c>
    </row>
    <row r="47" spans="3:6" x14ac:dyDescent="0.25">
      <c r="C47" s="21" t="s">
        <v>60</v>
      </c>
      <c r="D47" s="21">
        <v>1</v>
      </c>
      <c r="E47" s="21"/>
      <c r="F47" s="21">
        <v>1</v>
      </c>
    </row>
    <row r="48" spans="3:6" x14ac:dyDescent="0.25">
      <c r="C48" s="21" t="s">
        <v>50</v>
      </c>
      <c r="D48" s="21">
        <v>72</v>
      </c>
      <c r="E48" s="21">
        <v>123</v>
      </c>
      <c r="F48" s="21">
        <v>195</v>
      </c>
    </row>
  </sheetData>
  <conditionalFormatting sqref="E5:E47">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MIS</vt:lpstr>
      <vt:lpstr>MAIN</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cp:lastPrinted>2026-07-10T12:32:01Z</cp:lastPrinted>
  <dcterms:created xsi:type="dcterms:W3CDTF">2025-11-07T11:49:26Z</dcterms:created>
  <dcterms:modified xsi:type="dcterms:W3CDTF">2026-07-18T13:09:29Z</dcterms:modified>
</cp:coreProperties>
</file>