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D:\SRAVANI OFFICE\sravani 12-08-2024\sravani updated\ICICI\CC\ICICI DR\2026\NOV''26\"/>
    </mc:Choice>
  </mc:AlternateContent>
  <xr:revisionPtr revIDLastSave="0" documentId="13_ncr:1_{FB7139DA-30C0-41E8-BEC0-6F998618F690}" xr6:coauthVersionLast="47" xr6:coauthVersionMax="47" xr10:uidLastSave="{00000000-0000-0000-0000-000000000000}"/>
  <bookViews>
    <workbookView xWindow="-120" yWindow="-120" windowWidth="20730" windowHeight="11160" xr2:uid="{00000000-000D-0000-FFFF-FFFF00000000}"/>
  </bookViews>
  <sheets>
    <sheet name="MIS" sheetId="4" r:id="rId1"/>
    <sheet name="MAIN" sheetId="1" r:id="rId2"/>
  </sheets>
  <definedNames>
    <definedName name="Slicer_AREA">#N/A</definedName>
    <definedName name="Slicer_CALLER">#N/A</definedName>
    <definedName name="Slicer_CYC">#N/A</definedName>
    <definedName name="Slicer_DATE">#N/A</definedName>
    <definedName name="Slicer_FOS_NAME">#N/A</definedName>
    <definedName name="Slicer_V_DATE">#N/A</definedName>
  </definedNames>
  <calcPr fullCalcOnLoad="1" calcId="191029" iterateCount="0" calcOnSave="0" concurrentCalc="0"/>
  <pivotCaches>
    <pivotCache cacheId="682"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0" uniqueCount="0"/>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200" formatCode="&quot;₹&quot;#,##0"/>
    <numFmt numFmtId="201" formatCode="0.0%"/>
  </numFmts>
  <fonts count="15" x14ac:knownFonts="1">
    <font>
      <sz val="11"/>
      <color theme="1"/>
      <name val="Calibri"/>
      <family val="2"/>
      <scheme val="minor"/>
    </font>
    <font>
      <b/>
      <sz val="11"/>
      <color theme="0"/>
      <name val="Calibri"/>
      <family val="2"/>
    </font>
    <font>
      <b/>
      <sz val="11"/>
      <name val="Calibri"/>
      <family val="2"/>
    </font>
    <font>
      <sz val="11"/>
      <color theme="1"/>
      <name val="Calibri"/>
      <family val="2"/>
      <scheme val="minor"/>
    </font>
    <font>
      <sz val="8"/>
      <name val="Calibri"/>
      <family val="2"/>
      <scheme val="minor"/>
    </font>
    <font>
      <sz val="11"/>
      <name val="Calibri"/>
      <family val="2"/>
      <scheme val="minor"/>
    </font>
    <font>
      <b/>
      <sz val="11"/>
      <color theme="1"/>
      <name val="Calibri"/>
      <family val="2"/>
      <scheme val="minor"/>
    </font>
    <font>
      <sz val="11"/>
      <color rgb="FF0F1B2D"/>
      <name val="Calibri"/>
      <family val="2"/>
      <scheme val="minor"/>
    </font>
    <font>
      <b/>
      <sz val="10"/>
      <color rgb="FFFFFFFF"/>
      <name val="Calibri"/>
      <family val="2"/>
    </font>
    <font>
      <b/>
      <sz val="10"/>
      <color rgb="FF0F2747"/>
      <name val="Calibri"/>
      <family val="2"/>
    </font>
    <font>
      <b/>
      <sz val="10"/>
      <color rgb="FF92400E"/>
      <name val="Calibri"/>
      <family val="2"/>
    </font>
    <font>
      <sz val="10"/>
      <color rgb="FF1F2937"/>
      <name val="Calibri"/>
      <family val="2"/>
    </font>
    <font>
      <b/>
      <sz val="11"/>
      <color rgb="FFFFFFFF"/>
      <name val="Calibri"/>
      <family val="2"/>
    </font>
    <font>
      <b/>
      <sz val="10"/>
      <color rgb="FF166534"/>
      <name val="Calibri"/>
      <family val="2"/>
    </font>
    <font>
      <b/>
      <sz val="10"/>
      <color rgb="FF991B1B"/>
      <name val="Calibri"/>
      <family val="2"/>
    </font>
  </fonts>
  <fills count="22">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5"/>
        <bgColor indexed="64"/>
      </patternFill>
    </fill>
    <fill>
      <patternFill patternType="solid">
        <fgColor theme="9"/>
        <bgColor indexed="64"/>
      </patternFill>
    </fill>
    <fill>
      <patternFill patternType="solid">
        <fgColor theme="4" tint="0.59999389629810485"/>
        <bgColor indexed="64"/>
      </patternFill>
    </fill>
    <fill>
      <patternFill patternType="solid">
        <fgColor rgb="FF002060"/>
        <bgColor indexed="64"/>
      </patternFill>
    </fill>
    <fill>
      <patternFill patternType="solid">
        <fgColor rgb="FF0F2747"/>
        <bgColor indexed="64"/>
      </patternFill>
    </fill>
    <fill>
      <patternFill patternType="solid">
        <fgColor rgb="FF1D4ED8"/>
        <bgColor indexed="64"/>
      </patternFill>
    </fill>
    <fill>
      <patternFill patternType="solid">
        <fgColor rgb="FFDCE6FA"/>
        <bgColor indexed="64"/>
      </patternFill>
    </fill>
    <fill>
      <patternFill patternType="solid">
        <fgColor rgb="FFFFF7D6"/>
        <bgColor indexed="64"/>
      </patternFill>
    </fill>
    <fill>
      <patternFill patternType="solid">
        <fgColor rgb="FF15803D"/>
        <bgColor indexed="64"/>
      </patternFill>
    </fill>
    <fill>
      <patternFill patternType="solid">
        <fgColor rgb="FFB91C1C"/>
        <bgColor indexed="64"/>
      </patternFill>
    </fill>
    <fill>
      <patternFill patternType="solid">
        <fgColor rgb="FFB45309"/>
        <bgColor indexed="64"/>
      </patternFill>
    </fill>
    <fill>
      <patternFill patternType="solid">
        <fgColor rgb="FF7C3AED"/>
        <bgColor indexed="64"/>
      </patternFill>
    </fill>
    <fill>
      <patternFill patternType="solid">
        <fgColor rgb="FF64748B"/>
        <bgColor indexed="64"/>
      </patternFill>
    </fill>
    <fill>
      <patternFill patternType="solid">
        <fgColor rgb="FF0369A1"/>
        <bgColor indexed="64"/>
      </patternFill>
    </fill>
    <fill>
      <patternFill patternType="solid">
        <fgColor rgb="FFEEF3FF"/>
        <bgColor indexed="64"/>
      </patternFill>
    </fill>
    <fill>
      <patternFill patternType="solid">
        <fgColor rgb="FFF7F9FC"/>
        <bgColor indexed="64"/>
      </patternFill>
    </fill>
    <fill>
      <patternFill patternType="solid">
        <fgColor rgb="FFDCFCE7"/>
        <bgColor indexed="64"/>
      </patternFill>
    </fill>
    <fill>
      <patternFill patternType="solid">
        <fgColor rgb="FFFEE2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6DEEA"/>
      </left>
      <right style="thin">
        <color rgb="FFD6DEEA"/>
      </right>
      <top style="thin">
        <color rgb="FFD6DEEA"/>
      </top>
      <bottom style="thin">
        <color rgb="FFD6DEEA"/>
      </bottom>
      <diagonal/>
    </border>
  </borders>
  <cellStyleXfs count="2">
    <xf numFmtId="0" fontId="0" fillId="0" borderId="0"/>
    <xf numFmtId="9" fontId="3" fillId="0" borderId="0" applyFont="0" applyFill="0" applyBorder="0" applyAlignment="0" applyProtection="0"/>
  </cellStyleXfs>
  <cellXfs count="90">
    <xf numFmtId="0" fontId="0" fillId="0" borderId="0" xfId="0"/>
    <xf numFmtId="0" fontId="0" fillId="0" borderId="1" xfId="0" applyBorder="1" applyAlignment="1">
      <alignment horizontal="left" vertical="top"/>
    </xf>
    <xf numFmtId="0" fontId="0" fillId="0" borderId="0" xfId="0" applyAlignment="1">
      <alignment horizontal="center" vertical="center"/>
    </xf>
    <xf numFmtId="0" fontId="0" fillId="0" borderId="0" xfId="0" pivotButton="1" applyAlignment="1">
      <alignment horizontal="center" vertical="center"/>
    </xf>
    <xf numFmtId="10" fontId="0" fillId="0" borderId="0" xfId="0" applyNumberFormat="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10" fontId="0" fillId="6" borderId="0" xfId="0" applyNumberFormat="1" applyFill="1" applyAlignment="1">
      <alignment horizontal="center" vertical="center"/>
    </xf>
    <xf numFmtId="0" fontId="1" fillId="7" borderId="1" xfId="0" applyFont="1" applyFill="1" applyBorder="1" applyAlignment="1">
      <alignment horizontal="center" vertical="center"/>
    </xf>
    <xf numFmtId="0" fontId="2" fillId="3" borderId="1" xfId="0" applyFont="1" applyFill="1" applyBorder="1" applyAlignment="1">
      <alignment horizontal="center" vertical="center"/>
    </xf>
    <xf numFmtId="9" fontId="0" fillId="0" borderId="0" xfId="0" applyNumberFormat="1" applyAlignment="1">
      <alignment horizontal="center" vertical="center"/>
    </xf>
    <xf numFmtId="0" fontId="0" fillId="0" borderId="1" xfId="0" applyBorder="1" applyAlignment="1">
      <alignment horizontal="center" vertical="center"/>
    </xf>
    <xf numFmtId="10" fontId="0" fillId="0" borderId="0" xfId="1" applyNumberFormat="1" applyFont="1" applyAlignment="1">
      <alignment horizontal="center" vertical="center"/>
    </xf>
    <xf numFmtId="10" fontId="2" fillId="3" borderId="1" xfId="1" applyNumberFormat="1" applyFont="1" applyFill="1" applyBorder="1" applyAlignment="1">
      <alignment horizontal="center" vertical="center"/>
    </xf>
    <xf numFmtId="10" fontId="0" fillId="0" borderId="1" xfId="1" applyNumberFormat="1" applyFont="1" applyBorder="1" applyAlignment="1">
      <alignment horizontal="center" vertical="center"/>
    </xf>
    <xf numFmtId="1" fontId="0" fillId="0" borderId="1" xfId="0" applyNumberFormat="1" applyBorder="1" applyAlignment="1">
      <alignment horizontal="left" vertical="top"/>
    </xf>
    <xf numFmtId="1" fontId="5" fillId="0" borderId="0" xfId="0" applyNumberFormat="1" applyFont="1" applyAlignment="1">
      <alignment horizontal="left" vertical="top"/>
    </xf>
    <xf numFmtId="0" fontId="0" fillId="5" borderId="1" xfId="0" applyFill="1" applyBorder="1" applyAlignment="1">
      <alignment horizontal="center" vertical="center"/>
    </xf>
    <xf numFmtId="9" fontId="0" fillId="0" borderId="0" xfId="1" applyFont="1" applyAlignment="1">
      <alignment horizontal="center" vertical="center"/>
    </xf>
    <xf numFmtId="9" fontId="0" fillId="0" borderId="0" xfId="1" applyFont="1"/>
    <xf numFmtId="0" fontId="5" fillId="0" borderId="3" xfId="0" applyFont="1" applyBorder="1" applyAlignment="1">
      <alignment horizontal="left" vertical="top"/>
    </xf>
    <xf numFmtId="0" fontId="5" fillId="0" borderId="1" xfId="0" applyFont="1" applyBorder="1" applyAlignment="1">
      <alignment horizontal="left" vertical="top"/>
    </xf>
    <xf numFmtId="1" fontId="5" fillId="0" borderId="1" xfId="0" applyNumberFormat="1" applyFont="1" applyBorder="1" applyAlignment="1">
      <alignment horizontal="left" vertical="top"/>
    </xf>
    <xf numFmtId="14" fontId="5" fillId="0" borderId="1" xfId="0" applyNumberFormat="1" applyFont="1" applyBorder="1" applyAlignment="1">
      <alignment horizontal="left" vertical="top"/>
    </xf>
    <xf numFmtId="14" fontId="5" fillId="0" borderId="2" xfId="0" applyNumberFormat="1" applyFont="1" applyBorder="1" applyAlignment="1">
      <alignment horizontal="left" vertical="top"/>
    </xf>
    <xf numFmtId="0" fontId="0" fillId="0" borderId="1" xfId="0" pivotButton="1" applyBorder="1" applyAlignment="1">
      <alignment horizontal="center" vertical="center"/>
    </xf>
    <xf numFmtId="9" fontId="1" fillId="7" borderId="1" xfId="1" applyFont="1" applyFill="1" applyBorder="1" applyAlignment="1">
      <alignment horizontal="center" vertical="center"/>
    </xf>
    <xf numFmtId="9" fontId="0" fillId="0" borderId="1" xfId="1" applyFont="1" applyBorder="1" applyAlignment="1">
      <alignment horizontal="center" vertical="center"/>
    </xf>
    <xf numFmtId="0" fontId="5" fillId="0" borderId="7" xfId="0" applyFont="1" applyBorder="1" applyAlignment="1">
      <alignment horizontal="left" vertical="top"/>
    </xf>
    <xf numFmtId="0" fontId="0" fillId="0" borderId="0" xfId="0" applyAlignment="1">
      <alignment horizontal="left" vertical="top" wrapText="1"/>
    </xf>
    <xf numFmtId="0" fontId="0" fillId="0" borderId="0" xfId="0" applyAlignment="1">
      <alignment horizontal="center" vertical="center" wrapText="1"/>
    </xf>
    <xf numFmtId="0" fontId="0" fillId="0" borderId="1" xfId="0" applyBorder="1" applyAlignment="1">
      <alignment horizontal="center" vertical="center" wrapText="1"/>
    </xf>
    <xf numFmtId="0" fontId="5" fillId="0" borderId="1" xfId="0" applyFont="1" applyBorder="1" applyAlignment="1">
      <alignment horizontal="left" vertical="top" wrapText="1"/>
    </xf>
    <xf numFmtId="0" fontId="0" fillId="0" borderId="0" xfId="0" applyAlignment="1">
      <alignment vertical="top" wrapText="1"/>
    </xf>
    <xf numFmtId="1" fontId="0" fillId="3" borderId="1" xfId="0" applyNumberFormat="1" applyFill="1" applyBorder="1" applyAlignment="1">
      <alignment horizontal="left" vertical="top"/>
    </xf>
    <xf numFmtId="1" fontId="5" fillId="3" borderId="1" xfId="0" applyNumberFormat="1" applyFont="1" applyFill="1" applyBorder="1" applyAlignment="1">
      <alignment horizontal="left" vertical="top"/>
    </xf>
    <xf numFmtId="0" fontId="5" fillId="0" borderId="2" xfId="0" applyFont="1" applyBorder="1" applyAlignment="1">
      <alignment horizontal="left" vertical="top"/>
    </xf>
    <xf numFmtId="0" fontId="0" fillId="2" borderId="1" xfId="0" applyFill="1" applyBorder="1" applyAlignment="1">
      <alignment horizontal="left" vertical="top" wrapText="1"/>
    </xf>
    <xf numFmtId="0" fontId="0" fillId="2" borderId="1" xfId="0" applyFill="1" applyBorder="1" applyAlignment="1">
      <alignment horizontal="left" vertical="top"/>
    </xf>
    <xf numFmtId="0" fontId="0" fillId="4" borderId="1" xfId="0" applyFill="1" applyBorder="1" applyAlignment="1">
      <alignment horizontal="left" vertical="top"/>
    </xf>
    <xf numFmtId="0" fontId="0" fillId="5" borderId="1" xfId="0" applyFill="1" applyBorder="1" applyAlignment="1">
      <alignment horizontal="left" vertical="top"/>
    </xf>
    <xf numFmtId="0" fontId="0" fillId="3" borderId="1" xfId="0" applyFill="1" applyBorder="1" applyAlignment="1">
      <alignment horizontal="left" vertical="top"/>
    </xf>
    <xf numFmtId="0" fontId="6" fillId="0" borderId="0" xfId="0" applyFont="1" applyAlignment="1">
      <alignment horizontal="center" vertical="center"/>
    </xf>
    <xf numFmtId="10" fontId="6" fillId="0" borderId="0" xfId="0" applyNumberFormat="1" applyFont="1" applyAlignment="1">
      <alignment horizontal="center" vertical="center"/>
    </xf>
    <xf numFmtId="0" fontId="0" fillId="2" borderId="4" xfId="0" applyFill="1" applyBorder="1" applyAlignment="1">
      <alignment horizontal="left" vertical="top"/>
    </xf>
    <xf numFmtId="0" fontId="0" fillId="2" borderId="5" xfId="0" applyFill="1" applyBorder="1" applyAlignment="1">
      <alignment horizontal="left" vertical="top"/>
    </xf>
    <xf numFmtId="1" fontId="0" fillId="3" borderId="5" xfId="0" applyNumberFormat="1" applyFill="1" applyBorder="1" applyAlignment="1">
      <alignment horizontal="left" vertical="top"/>
    </xf>
    <xf numFmtId="0" fontId="0" fillId="4" borderId="5" xfId="0" applyFill="1" applyBorder="1" applyAlignment="1">
      <alignment horizontal="left" vertical="top"/>
    </xf>
    <xf numFmtId="0" fontId="0" fillId="5" borderId="5" xfId="0" applyFill="1" applyBorder="1" applyAlignment="1">
      <alignment horizontal="left" vertical="top"/>
    </xf>
    <xf numFmtId="0" fontId="0" fillId="3" borderId="5" xfId="0" applyFill="1" applyBorder="1" applyAlignment="1">
      <alignment horizontal="left" vertical="top"/>
    </xf>
    <xf numFmtId="0" fontId="0" fillId="2" borderId="6" xfId="0" applyFill="1" applyBorder="1" applyAlignment="1">
      <alignment horizontal="left" vertical="top"/>
    </xf>
    <xf numFmtId="0" fontId="0" fillId="0" borderId="3" xfId="0" applyBorder="1" applyAlignment="1">
      <alignment horizontal="left" vertical="top"/>
    </xf>
    <xf numFmtId="14" fontId="0" fillId="0" borderId="1" xfId="0" applyNumberFormat="1" applyBorder="1" applyAlignment="1">
      <alignment horizontal="left" vertical="top"/>
    </xf>
    <xf numFmtId="14" fontId="0" fillId="0" borderId="2" xfId="0" applyNumberFormat="1" applyBorder="1" applyAlignment="1">
      <alignment horizontal="left" vertical="top"/>
    </xf>
    <xf numFmtId="0" fontId="5" fillId="0" borderId="9" xfId="0" applyFont="1" applyBorder="1" applyAlignment="1">
      <alignment horizontal="left" vertical="top"/>
    </xf>
    <xf numFmtId="1" fontId="5" fillId="0" borderId="7" xfId="0" applyNumberFormat="1" applyFont="1" applyBorder="1" applyAlignment="1">
      <alignment horizontal="left" vertical="top"/>
    </xf>
    <xf numFmtId="1" fontId="5" fillId="3" borderId="7" xfId="0" applyNumberFormat="1" applyFont="1" applyFill="1" applyBorder="1" applyAlignment="1">
      <alignment horizontal="left" vertical="top"/>
    </xf>
    <xf numFmtId="14" fontId="5" fillId="0" borderId="7" xfId="0" applyNumberFormat="1" applyFont="1" applyBorder="1" applyAlignment="1">
      <alignment horizontal="left" vertical="top"/>
    </xf>
    <xf numFmtId="14" fontId="5" fillId="0" borderId="8" xfId="0" applyNumberFormat="1" applyFont="1" applyBorder="1" applyAlignment="1">
      <alignment horizontal="left" vertical="top"/>
    </xf>
    <xf numFmtId="0" fontId="7" fillId="0" borderId="1" xfId="0" applyFont="1" applyBorder="1"/>
    <xf numFmtId="0" fontId="5" fillId="0" borderId="0" xfId="0" applyFont="1"/>
    <xf numFmtId="0" fontId="0" fillId="0" borderId="0" xfId="0" applyNumberFormat="1" applyAlignment="1">
      <alignment horizontal="center" vertical="center"/>
    </xf>
    <xf numFmtId="0" fontId="0" fillId="0" borderId="1" xfId="0" applyNumberFormat="1" applyBorder="1" applyAlignment="1">
      <alignment horizontal="center" vertical="center"/>
    </xf>
    <xf numFmtId="0" fontId="8" fillId="8" borderId="10" xfId="0" applyNumberFormat="1" applyFont="1" applyFill="1" applyBorder="1" applyAlignment="1">
      <alignment horizontal="center" vertical="center" wrapText="1"/>
    </xf>
    <xf numFmtId="0" fontId="8" fillId="9" borderId="10" xfId="0" applyNumberFormat="1" applyFont="1" applyFill="1" applyBorder="1" applyAlignment="1">
      <alignment horizontal="center" vertical="center" wrapText="1"/>
    </xf>
    <xf numFmtId="0" fontId="8" fillId="12" borderId="10" xfId="0" applyNumberFormat="1" applyFont="1" applyFill="1" applyBorder="1" applyAlignment="1">
      <alignment horizontal="center" vertical="center" wrapText="1"/>
    </xf>
    <xf numFmtId="0" fontId="8" fillId="13" borderId="10" xfId="0" applyNumberFormat="1" applyFont="1" applyFill="1" applyBorder="1" applyAlignment="1">
      <alignment horizontal="center" vertical="center" wrapText="1"/>
    </xf>
    <xf numFmtId="0" fontId="8" fillId="14" borderId="10" xfId="0" applyNumberFormat="1" applyFont="1" applyFill="1" applyBorder="1" applyAlignment="1">
      <alignment horizontal="center" vertical="center" wrapText="1"/>
    </xf>
    <xf numFmtId="0" fontId="8" fillId="16" borderId="10" xfId="0" applyNumberFormat="1" applyFont="1" applyFill="1" applyBorder="1" applyAlignment="1">
      <alignment horizontal="center" vertical="center" wrapText="1"/>
    </xf>
    <xf numFmtId="0" fontId="8" fillId="17" borderId="10" xfId="0" applyNumberFormat="1" applyFont="1" applyFill="1" applyBorder="1" applyAlignment="1">
      <alignment horizontal="center" vertical="center" wrapText="1"/>
    </xf>
    <xf numFmtId="0" fontId="12" fillId="15" borderId="10" xfId="0" applyNumberFormat="1" applyFont="1" applyFill="1" applyBorder="1" applyAlignment="1">
      <alignment horizontal="left" vertical="center"/>
    </xf>
    <xf numFmtId="0" fontId="10" fillId="11" borderId="10" xfId="0" applyNumberFormat="1" applyFont="1" applyFill="1" applyBorder="1" applyAlignment="1">
      <alignment horizontal="center" vertical="center"/>
    </xf>
    <xf numFmtId="0" fontId="11" fillId="0" borderId="10" xfId="0" applyNumberFormat="1" applyFont="1" applyFill="1" applyBorder="1" applyAlignment="1">
      <alignment horizontal="left" vertical="center"/>
    </xf>
    <xf numFmtId="3" fontId="11" fillId="0" borderId="10" xfId="0" applyNumberFormat="1" applyFont="1" applyFill="1" applyBorder="1" applyAlignment="1">
      <alignment horizontal="center" vertical="center"/>
    </xf>
    <xf numFmtId="200" fontId="11" fillId="0" borderId="10" xfId="0" applyNumberFormat="1" applyFont="1" applyFill="1" applyBorder="1" applyAlignment="1">
      <alignment horizontal="center" vertical="center"/>
    </xf>
    <xf numFmtId="201" fontId="11" fillId="0" borderId="10" xfId="0" applyNumberFormat="1" applyFont="1" applyFill="1" applyBorder="1" applyAlignment="1">
      <alignment horizontal="center" vertical="center"/>
    </xf>
    <xf numFmtId="9" fontId="10" fillId="11" borderId="10" xfId="0" applyNumberFormat="1" applyFont="1" applyFill="1" applyBorder="1" applyAlignment="1">
      <alignment horizontal="center" vertical="center"/>
    </xf>
    <xf numFmtId="0" fontId="9" fillId="10" borderId="10" xfId="0" applyNumberFormat="1" applyFont="1" applyFill="1" applyBorder="1" applyAlignment="1">
      <alignment horizontal="left" vertical="center"/>
    </xf>
    <xf numFmtId="3" fontId="9" fillId="10" borderId="10" xfId="0" applyNumberFormat="1" applyFont="1" applyFill="1" applyBorder="1" applyAlignment="1">
      <alignment horizontal="center" vertical="center"/>
    </xf>
    <xf numFmtId="200" fontId="9" fillId="10" borderId="10" xfId="0" applyNumberFormat="1" applyFont="1" applyFill="1" applyBorder="1" applyAlignment="1">
      <alignment horizontal="center" vertical="center"/>
    </xf>
    <xf numFmtId="201" fontId="9" fillId="10" borderId="10" xfId="0" applyNumberFormat="1" applyFont="1" applyFill="1" applyBorder="1" applyAlignment="1">
      <alignment horizontal="center" vertical="center"/>
    </xf>
    <xf numFmtId="9" fontId="9" fillId="10" borderId="10" xfId="0" applyNumberFormat="1" applyFont="1" applyFill="1" applyBorder="1" applyAlignment="1">
      <alignment horizontal="center" vertical="center"/>
    </xf>
    <xf numFmtId="0" fontId="11" fillId="0" borderId="10" xfId="0" applyNumberFormat="1" applyFont="1" applyFill="1" applyBorder="1" applyAlignment="1">
      <alignment horizontal="left" vertical="center"/>
    </xf>
    <xf numFmtId="0" fontId="11" fillId="19" borderId="10" xfId="0" applyNumberFormat="1" applyFont="1" applyFill="1" applyBorder="1" applyAlignment="1">
      <alignment horizontal="left" vertical="center"/>
    </xf>
    <xf numFmtId="0" fontId="11" fillId="0" borderId="10" xfId="0" applyNumberFormat="1" applyFont="1" applyFill="1" applyBorder="1" applyAlignment="1">
      <alignment horizontal="center" vertical="center"/>
    </xf>
    <xf numFmtId="0" fontId="11" fillId="19" borderId="10" xfId="0" applyNumberFormat="1" applyFont="1" applyFill="1" applyBorder="1" applyAlignment="1">
      <alignment horizontal="center" vertical="center"/>
    </xf>
    <xf numFmtId="200" fontId="11" fillId="0" borderId="10" xfId="0" applyNumberFormat="1" applyFont="1" applyFill="1" applyBorder="1" applyAlignment="1">
      <alignment horizontal="center" vertical="center"/>
    </xf>
    <xf numFmtId="200" fontId="11" fillId="19" borderId="10" xfId="0" applyNumberFormat="1" applyFont="1" applyFill="1" applyBorder="1" applyAlignment="1">
      <alignment horizontal="center" vertical="center"/>
    </xf>
    <xf numFmtId="0" fontId="13" fillId="20" borderId="10" xfId="0" applyNumberFormat="1" applyFont="1" applyFill="1" applyBorder="1" applyAlignment="1">
      <alignment horizontal="center" vertical="center"/>
    </xf>
    <xf numFmtId="0" fontId="14" fillId="21" borderId="10" xfId="0" applyNumberFormat="1" applyFont="1" applyFill="1" applyBorder="1" applyAlignment="1">
      <alignment horizontal="center" vertical="center"/>
    </xf>
  </cellXfs>
  <cellStyles count="2">
    <cellStyle name="Normal" xfId="0" builtinId="0"/>
    <cellStyle name="Percent" xfId="1" builtinId="5"/>
  </cellStyles>
  <dxfs count="181">
    <dxf>
      <alignment vertical="center" indent="0" readingOrder="0"/>
    </dxf>
    <dxf>
      <alignment horizontal="center" readingOrder="0"/>
    </dxf>
    <dxf>
      <alignment vertic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patternFill>
      </fill>
    </dxf>
    <dxf>
      <fill>
        <patternFill patternType="solid">
          <bgColor theme="9"/>
        </patternFill>
      </fill>
    </dxf>
    <dxf>
      <alignment vertical="center" indent="0" readingOrder="0"/>
    </dxf>
    <dxf>
      <alignment horizontal="center" readingOrder="0"/>
    </dxf>
    <dxf>
      <alignment vertical="center" readingOrder="0"/>
    </dxf>
    <dxf>
      <alignment horizontal="center" readingOrder="0"/>
    </dxf>
    <dxf>
      <alignment vertical="center" indent="0" readingOrder="0"/>
    </dxf>
    <dxf>
      <alignment horizontal="center" readingOrder="0"/>
    </dxf>
    <dxf>
      <alignment vertical="center" readingOrder="0"/>
    </dxf>
    <dxf>
      <alignment horizontal="center" readingOrder="0"/>
    </dxf>
    <dxf>
      <fill>
        <patternFill patternType="solid">
          <bgColor theme="9"/>
        </patternFill>
      </fill>
    </dxf>
    <dxf>
      <numFmt numFmtId="164" formatCode="0.00,,"/>
    </dxf>
    <dxf>
      <numFmt numFmtId="0" formatCode="General"/>
    </dxf>
    <dxf>
      <alignment vertical="center" indent="0" readingOrder="0"/>
    </dxf>
    <dxf>
      <alignment horizontal="center" readingOrder="0"/>
    </dxf>
    <dxf>
      <fill>
        <patternFill patternType="solid">
          <bgColor theme="4" tint="0.59999389629810485"/>
        </patternFill>
      </fill>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fill>
        <patternFill patternType="solid">
          <bgColor theme="4" tint="0.59999389629810485"/>
        </patternFill>
      </fill>
    </dxf>
    <dxf>
      <alignment vertical="center" readingOrder="0"/>
    </dxf>
    <dxf>
      <alignment horizontal="center" readingOrder="0"/>
    </dxf>
    <dxf>
      <alignment vertical="center" indent="0" readingOrder="0"/>
    </dxf>
    <dxf>
      <alignment horizontal="center" readingOrder="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numFmt numFmtId="14" formatCode="0.00%"/>
    </dxf>
    <dxf>
      <fill>
        <patternFill patternType="solid">
          <bgColor theme="9"/>
        </patternFill>
      </fill>
    </dxf>
    <dxf>
      <alignment vertical="center" readingOrder="0"/>
    </dxf>
    <dxf>
      <alignment horizontal="center" readingOrder="0"/>
    </dxf>
    <dxf>
      <alignment vertical="center" indent="0" readingOrder="0"/>
    </dxf>
    <dxf>
      <alignment horizontal="center" readingOrder="0"/>
    </dxf>
    <dxf>
      <alignment vertical="center" readingOrder="0"/>
    </dxf>
    <dxf>
      <alignment horizontal="center" readingOrder="0"/>
    </dxf>
    <dxf>
      <numFmt numFmtId="14" formatCode="0.00%"/>
    </dxf>
    <dxf>
      <fill>
        <patternFill patternType="solid">
          <bgColor theme="9"/>
        </patternFill>
      </fill>
    </dxf>
    <dxf>
      <font>
        <b/>
      </font>
    </dxf>
    <dxf>
      <alignment vertical="center" indent="0" readingOrder="0"/>
    </dxf>
    <dxf>
      <alignment horizontal="center" readingOrder="0"/>
    </dxf>
    <dxf>
      <fill>
        <patternFill patternType="solid">
          <bgColor theme="4" tint="0.59999389629810485"/>
        </patternFill>
      </fill>
    </dxf>
    <dxf>
      <fill>
        <patternFill patternType="solid">
          <bgColor theme="9"/>
        </patternFill>
      </fill>
    </dxf>
    <dxf>
      <alignment vertical="center" readingOrder="0"/>
    </dxf>
    <dxf>
      <alignment horizontal="center" readingOrder="0"/>
    </dxf>
    <dxf>
      <font>
        <strike val="0"/>
        <outline val="0"/>
        <shadow val="0"/>
        <u val="none"/>
        <vertAlign val="baseline"/>
        <sz val="11"/>
        <name val="Calibri"/>
        <family val="2"/>
        <scheme val="minor"/>
      </font>
      <numFmt numFmtId="19" formatCode="dd/mm/yyyy"/>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9" formatCode="dd/mm/yyyy"/>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numFmt numFmtId="0" formatCode="Genera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1"/>
        <color rgb="FF0F1B2D"/>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fill>
        <patternFill patternType="solid">
          <fgColor indexed="64"/>
          <bgColor rgb="FFFFFF0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1" formatCode="0"/>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left" vertical="top" textRotation="0" wrapText="0" indent="0" justifyLastLine="0" shrinkToFit="0" readingOrder="0"/>
    </dxf>
    <dxf>
      <border>
        <bottom style="thin">
          <color indexed="64"/>
        </bottom>
      </border>
    </dxf>
    <dxf>
      <font>
        <strike val="0"/>
        <outline val="0"/>
        <shadow val="0"/>
        <u val="none"/>
        <vertAlign val="baseline"/>
        <sz val="11"/>
        <name val="Calibri"/>
        <family val="2"/>
        <scheme val="minor"/>
      </font>
      <fill>
        <patternFill patternType="solid">
          <fgColor indexed="64"/>
          <bgColor rgb="FF92D050"/>
        </patternFill>
      </fill>
      <alignment horizontal="left" vertical="top" textRotation="0" wrapText="0" indent="0" justifyLastLine="0" shrinkToFit="0" readingOrder="0"/>
      <border diagonalUp="0" diagonalDown="0" outline="0">
        <left style="thin">
          <color indexed="64"/>
        </left>
        <right style="thin">
          <color indexed="64"/>
        </right>
        <top/>
        <bottom/>
      </border>
    </dxf>
    <dxf>
      <alignment horizontal="center" readingOrder="0"/>
    </dxf>
    <dxf>
      <alignment vertical="center" readingOrder="0"/>
    </dxf>
    <dxf>
      <fill>
        <patternFill patternType="solid">
          <bgColor theme="9"/>
        </patternFill>
      </fill>
    </dxf>
    <dxf>
      <fill>
        <patternFill patternType="solid">
          <bgColor theme="4" tint="0.59999389629810485"/>
        </patternFill>
      </fill>
    </dxf>
    <dxf>
      <alignment horizontal="center" readingOrder="0"/>
    </dxf>
    <dxf>
      <alignment vertical="center" indent="0" readingOrder="0"/>
    </dxf>
    <dxf>
      <font>
        <b/>
      </font>
    </dxf>
    <dxf>
      <fill>
        <patternFill patternType="solid">
          <bgColor theme="9"/>
        </patternFill>
      </fill>
    </dxf>
    <dxf>
      <numFmt numFmtId="14" formatCode="0.00%"/>
    </dxf>
    <dxf>
      <alignment horizontal="center" readingOrder="0"/>
    </dxf>
    <dxf>
      <alignment vertical="center" readingOrder="0"/>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numFmt numFmtId="14" formatCode="0.00%"/>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alignment horizontal="center" readingOrder="0"/>
    </dxf>
    <dxf>
      <alignment vertical="center" indent="0" readingOrder="0"/>
    </dxf>
    <dxf>
      <alignment horizontal="center" readingOrder="0"/>
    </dxf>
    <dxf>
      <alignment vertical="center" readingOrder="0"/>
    </dxf>
    <dxf>
      <fill>
        <patternFill patternType="solid">
          <bgColor theme="4" tint="0.59999389629810485"/>
        </patternFill>
      </fill>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alignment horizontal="center" readingOrder="0"/>
    </dxf>
    <dxf>
      <alignment vertical="center" indent="0" readingOrder="0"/>
    </dxf>
    <dxf>
      <alignment horizontal="center" readingOrder="0"/>
    </dxf>
    <dxf>
      <alignment vertical="center" readingOrder="0"/>
    </dxf>
    <dxf>
      <fill>
        <patternFill patternType="solid">
          <bgColor theme="9"/>
        </patternFill>
      </fill>
    </dxf>
    <dxf>
      <fill>
        <patternFill patternType="solid">
          <bgColor theme="4" tint="0.59999389629810485"/>
        </patternFill>
      </fill>
    </dxf>
    <dxf>
      <alignment horizontal="center" readingOrder="0"/>
    </dxf>
    <dxf>
      <alignment vertical="center" indent="0" readingOrder="0"/>
    </dxf>
    <dxf>
      <numFmt numFmtId="0" formatCode="General"/>
    </dxf>
    <dxf>
      <numFmt numFmtId="164" formatCode="0.00,,"/>
    </dxf>
    <dxf>
      <fill>
        <patternFill patternType="solid">
          <bgColor theme="9"/>
        </patternFill>
      </fill>
    </dxf>
    <dxf>
      <alignment horizontal="center" readingOrder="0"/>
    </dxf>
    <dxf>
      <alignment vertical="center" readingOrder="0"/>
    </dxf>
    <dxf>
      <alignment horizontal="center" readingOrder="0"/>
    </dxf>
    <dxf>
      <alignment vertical="center" indent="0" readingOrder="0"/>
    </dxf>
    <dxf>
      <alignment horizontal="center" readingOrder="0"/>
    </dxf>
    <dxf>
      <alignment vertical="center" readingOrder="0"/>
    </dxf>
    <dxf>
      <alignment horizontal="center" readingOrder="0"/>
    </dxf>
    <dxf>
      <alignment vertical="center" indent="0" readingOrder="0"/>
    </dxf>
    <dxf>
      <fill>
        <patternFill patternType="solid">
          <bgColor theme="9"/>
        </patternFill>
      </fill>
    </dxf>
    <dxf>
      <fill>
        <patternFill patternType="solid">
          <bgColor theme="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vertical="center" readingOrder="0"/>
    </dxf>
    <dxf>
      <alignment horizontal="center" readingOrder="0"/>
    </dxf>
    <dxf>
      <alignment vertical="center" indent="0" readingOrder="0"/>
    </dxf>
    <dxf>
      <font>
        <color rgb="FF1F2937"/>
      </font>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FFFFFF"/>
      </font>
      <fill>
        <patternFill patternType="solid">
          <bgColor rgb="FF0F2747"/>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FFFFFF"/>
      </font>
      <fill>
        <patternFill patternType="solid">
          <bgColor rgb="FF0F2747"/>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0F2747"/>
      </font>
      <fill>
        <patternFill patternType="solid">
          <bgColor rgb="FFDCE6FA"/>
        </patternFill>
      </fill>
      <border>
        <left style="thin">
          <color rgb="FFD6DEEA"/>
        </left>
        <right style="thin">
          <color rgb="FFD6DEEA"/>
        </right>
        <top style="medium">
          <color rgb="FF0F2747"/>
        </top>
        <bottom style="thin">
          <color rgb="FFD6DEEA"/>
        </bottom>
        <vertical style="thin">
          <color rgb="FFD6DEEA"/>
        </vertical>
        <horizontal style="thin">
          <color rgb="FFD6DEEA"/>
        </horizontal>
      </border>
    </dxf>
    <dxf>
      <font>
        <b/>
        <color rgb="FF0F2747"/>
      </font>
      <fill>
        <patternFill patternType="solid">
          <bgColor rgb="FFEEF3FF"/>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0F2747"/>
      </font>
      <border>
        <left style="thin">
          <color rgb="FFD6DEEA"/>
        </left>
        <right style="thin">
          <color rgb="FFD6DEEA"/>
        </right>
        <top style="thin">
          <color rgb="FFD6DEEA"/>
        </top>
        <bottom style="thin">
          <color rgb="FFD6DEEA"/>
        </bottom>
        <vertical style="thin">
          <color rgb="FFD6DEEA"/>
        </vertical>
        <horizontal style="thin">
          <color rgb="FFD6DEEA"/>
        </horizontal>
      </border>
    </dxf>
    <dxf>
      <fill>
        <patternFill patternType="solid">
          <bgColor rgb="FFF7F9FC"/>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FFFFFF"/>
      </font>
      <fill>
        <patternFill patternType="solid">
          <bgColor rgb="FF1D4ED8"/>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FFFFFF"/>
      </font>
      <fill>
        <patternFill patternType="solid">
          <bgColor rgb="FF3B82F6"/>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0F2747"/>
      </font>
      <fill>
        <patternFill patternType="solid">
          <bgColor rgb="FFEEF3FF"/>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0F2747"/>
      </font>
      <fill>
        <patternFill patternType="solid">
          <bgColor rgb="FFEEF3FF"/>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0F2747"/>
      </font>
      <fill>
        <patternFill patternType="solid">
          <bgColor rgb="FFEEF3FF"/>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0F2747"/>
      </font>
      <fill>
        <patternFill patternType="solid">
          <bgColor rgb="FFEEF3FF"/>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
      <font>
        <b/>
        <color rgb="FF92400E"/>
      </font>
      <fill>
        <patternFill patternType="solid">
          <bgColor rgb="FFFFF7D6"/>
        </patternFill>
      </fill>
      <border>
        <left style="thin">
          <color rgb="FFD6DEEA"/>
        </left>
        <right style="thin">
          <color rgb="FFD6DEEA"/>
        </right>
        <top style="thin">
          <color rgb="FFD6DEEA"/>
        </top>
        <bottom style="thin">
          <color rgb="FFD6DEEA"/>
        </bottom>
        <vertical style="thin">
          <color rgb="FFD6DEEA"/>
        </vertical>
        <horizontal style="thin">
          <color rgb="FFD6DEEA"/>
        </horizontal>
      </border>
    </dxf>
  </dxfs>
  <tableStyles count="1" defaultTableStyle="TableStyleMedium2" defaultPivotStyle="PivotStyleLight16">
    <tableStyle name="RecoverIQ Pivot" table="0" count="14">
      <tableStyleElement type="wholeTable" dxfId="167"/>
      <tableStyleElement type="headerRow" dxfId="168"/>
      <tableStyleElement type="firstHeaderCell" dxfId="169"/>
      <tableStyleElement type="totalRow" dxfId="170"/>
      <tableStyleElement type="lastColumn" dxfId="171"/>
      <tableStyleElement type="firstColumn" dxfId="172"/>
      <tableStyleElement type="firstRowStripe" dxfId="173"/>
      <tableStyleElement type="firstColumnSubheading" dxfId="174"/>
      <tableStyleElement type="secondColumnSubheading" dxfId="175"/>
      <tableStyleElement type="firstSubtotalColumn" dxfId="176"/>
      <tableStyleElement type="firstRowSubheading" dxfId="177"/>
      <tableStyleElement type="firstSubtotalRow" dxfId="178"/>
      <tableStyleElement type="pageFieldLabels" dxfId="179"/>
      <tableStyleElement type="pageFieldValues" dxfId="18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11" Type="http://schemas.microsoft.com/office/2007/relationships/slicerCache" Target="slicerCaches/slicerCache4.xml"/><Relationship Id="rId15" Type="http://schemas.openxmlformats.org/officeDocument/2006/relationships/styles" Target="styles.xml"/><Relationship Id="rId10" Type="http://schemas.microsoft.com/office/2007/relationships/slicerCache" Target="slicerCaches/slicerCache3.xml"/><Relationship Id="rId9" Type="http://schemas.microsoft.com/office/2007/relationships/slicerCache" Target="slicerCaches/slicerCache2.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7</xdr:col>
      <xdr:colOff>217954</xdr:colOff>
      <xdr:row>0</xdr:row>
      <xdr:rowOff>0</xdr:rowOff>
    </xdr:from>
    <xdr:to>
      <xdr:col>8</xdr:col>
      <xdr:colOff>156882</xdr:colOff>
      <xdr:row>19</xdr:row>
      <xdr:rowOff>33618</xdr:rowOff>
    </xdr:to>
    <mc:AlternateContent xmlns:mc="http://schemas.openxmlformats.org/markup-compatibility/2006" xmlns:a14="http://schemas.microsoft.com/office/drawing/2010/main">
      <mc:Choice Requires="a14">
        <xdr:graphicFrame macro="">
          <xdr:nvGraphicFramePr>
            <xdr:cNvPr id="2" name="CYC">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CYC"/>
            </a:graphicData>
          </a:graphic>
        </xdr:graphicFrame>
      </mc:Choice>
      <mc:Fallback xmlns="">
        <xdr:sp macro="" textlink="">
          <xdr:nvSpPr>
            <xdr:cNvPr id="0" name=""/>
            <xdr:cNvSpPr>
              <a:spLocks noTextEdit="1"/>
            </xdr:cNvSpPr>
          </xdr:nvSpPr>
          <xdr:spPr>
            <a:xfrm>
              <a:off x="5641601" y="0"/>
              <a:ext cx="958663" cy="3653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289810</xdr:colOff>
      <xdr:row>20</xdr:row>
      <xdr:rowOff>35158</xdr:rowOff>
    </xdr:from>
    <xdr:to>
      <xdr:col>7</xdr:col>
      <xdr:colOff>896608</xdr:colOff>
      <xdr:row>29</xdr:row>
      <xdr:rowOff>6583</xdr:rowOff>
    </xdr:to>
    <mc:AlternateContent xmlns:mc="http://schemas.openxmlformats.org/markup-compatibility/2006" xmlns:a14="http://schemas.microsoft.com/office/drawing/2010/main">
      <mc:Choice Requires="a14">
        <xdr:graphicFrame macro="">
          <xdr:nvGraphicFramePr>
            <xdr:cNvPr id="4" name="CALLER">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CALLER"/>
            </a:graphicData>
          </a:graphic>
        </xdr:graphicFrame>
      </mc:Choice>
      <mc:Fallback xmlns="">
        <xdr:sp macro="" textlink="">
          <xdr:nvSpPr>
            <xdr:cNvPr id="0" name=""/>
            <xdr:cNvSpPr>
              <a:spLocks noTextEdit="1"/>
            </xdr:cNvSpPr>
          </xdr:nvSpPr>
          <xdr:spPr>
            <a:xfrm>
              <a:off x="5242810" y="3845158"/>
              <a:ext cx="1010210" cy="1685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245269</xdr:colOff>
      <xdr:row>13</xdr:row>
      <xdr:rowOff>157163</xdr:rowOff>
    </xdr:from>
    <xdr:to>
      <xdr:col>8</xdr:col>
      <xdr:colOff>1257300</xdr:colOff>
      <xdr:row>25</xdr:row>
      <xdr:rowOff>40481</xdr:rowOff>
    </xdr:to>
    <mc:AlternateContent xmlns:mc="http://schemas.openxmlformats.org/markup-compatibility/2006" xmlns:a14="http://schemas.microsoft.com/office/drawing/2010/main">
      <mc:Choice Requires="a14">
        <xdr:graphicFrame macro="">
          <xdr:nvGraphicFramePr>
            <xdr:cNvPr id="5" name="AREA">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6893719" y="2633663"/>
              <a:ext cx="1012031" cy="2169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382681</xdr:colOff>
      <xdr:row>27</xdr:row>
      <xdr:rowOff>35859</xdr:rowOff>
    </xdr:from>
    <xdr:to>
      <xdr:col>9</xdr:col>
      <xdr:colOff>1865</xdr:colOff>
      <xdr:row>40</xdr:row>
      <xdr:rowOff>100947</xdr:rowOff>
    </xdr:to>
    <mc:AlternateContent xmlns:mc="http://schemas.openxmlformats.org/markup-compatibility/2006" xmlns:a14="http://schemas.microsoft.com/office/drawing/2010/main">
      <mc:Choice Requires="a14">
        <xdr:graphicFrame macro="">
          <xdr:nvGraphicFramePr>
            <xdr:cNvPr id="6" name="FOS NAM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FOS NAME"/>
            </a:graphicData>
          </a:graphic>
        </xdr:graphicFrame>
      </mc:Choice>
      <mc:Fallback xmlns="">
        <xdr:sp macro="" textlink="">
          <xdr:nvSpPr>
            <xdr:cNvPr id="0" name=""/>
            <xdr:cNvSpPr>
              <a:spLocks noTextEdit="1"/>
            </xdr:cNvSpPr>
          </xdr:nvSpPr>
          <xdr:spPr>
            <a:xfrm>
              <a:off x="7285505" y="5179359"/>
              <a:ext cx="1101771" cy="2541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73</xdr:col>
      <xdr:colOff>609600</xdr:colOff>
      <xdr:row>16</xdr:row>
      <xdr:rowOff>133350</xdr:rowOff>
    </xdr:from>
    <xdr:to>
      <xdr:col>76</xdr:col>
      <xdr:colOff>438150</xdr:colOff>
      <xdr:row>29</xdr:row>
      <xdr:rowOff>180975</xdr:rowOff>
    </xdr:to>
    <mc:AlternateContent xmlns:mc="http://schemas.openxmlformats.org/markup-compatibility/2006" xmlns:a14="http://schemas.microsoft.com/office/drawing/2010/main">
      <mc:Choice Requires="a14">
        <xdr:graphicFrame macro="">
          <xdr:nvGraphicFramePr>
            <xdr:cNvPr id="7" name="DATE">
              <a:extLst>
                <a:ext uri="{FF2B5EF4-FFF2-40B4-BE49-F238E27FC236}">
                  <a16:creationId xmlns:a16="http://schemas.microsoft.com/office/drawing/2014/main" id="{1B880778-CF6B-0B32-6FA8-1088AA93468D}"/>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4579500" y="3181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73</xdr:col>
      <xdr:colOff>447675</xdr:colOff>
      <xdr:row>2</xdr:row>
      <xdr:rowOff>180975</xdr:rowOff>
    </xdr:from>
    <xdr:to>
      <xdr:col>76</xdr:col>
      <xdr:colOff>276225</xdr:colOff>
      <xdr:row>16</xdr:row>
      <xdr:rowOff>38100</xdr:rowOff>
    </xdr:to>
    <mc:AlternateContent xmlns:mc="http://schemas.openxmlformats.org/markup-compatibility/2006" xmlns:a14="http://schemas.microsoft.com/office/drawing/2010/main">
      <mc:Choice Requires="a14">
        <xdr:graphicFrame macro="">
          <xdr:nvGraphicFramePr>
            <xdr:cNvPr id="8" name="V DATE">
              <a:extLst>
                <a:ext uri="{FF2B5EF4-FFF2-40B4-BE49-F238E27FC236}">
                  <a16:creationId xmlns:a16="http://schemas.microsoft.com/office/drawing/2014/main" id="{8EF68625-C7DE-71C3-CA0B-0B38E2231DF8}"/>
                </a:ext>
              </a:extLst>
            </xdr:cNvPr>
            <xdr:cNvGraphicFramePr/>
          </xdr:nvGraphicFramePr>
          <xdr:xfrm>
            <a:off x="0" y="0"/>
            <a:ext cx="0" cy="0"/>
          </xdr:xfrm>
          <a:graphic>
            <a:graphicData uri="http://schemas.microsoft.com/office/drawing/2010/slicer">
              <sle:slicer xmlns:sle="http://schemas.microsoft.com/office/drawing/2010/slicer" name="V DATE"/>
            </a:graphicData>
          </a:graphic>
        </xdr:graphicFrame>
      </mc:Choice>
      <mc:Fallback xmlns="">
        <xdr:sp macro="" textlink="">
          <xdr:nvSpPr>
            <xdr:cNvPr id="0" name=""/>
            <xdr:cNvSpPr>
              <a:spLocks noTextEdit="1"/>
            </xdr:cNvSpPr>
          </xdr:nvSpPr>
          <xdr:spPr>
            <a:xfrm>
              <a:off x="64274700" y="561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refreshOnLoad="1" mc:Ignorable="xr" r:id="rId1" refreshedBy="RecoverIQ" refreshedDate="46326.536486" createdVersion="4" refreshedVersion="8" minRefreshableVersion="3" recordCount="0" xr:uid="{00000000-000A-0000-FFFF-FFFF18000000}">
  <cacheSource type="worksheet">
    <worksheetSource name="Table1"/>
  </cacheSource>
  <cacheFields count="46">
    <cacheField name="ACC.NO" numFmtId="0">
      <sharedItems/>
    </cacheField>
    <cacheField name="NAMES" numFmtId="0">
      <sharedItems/>
    </cacheField>
    <cacheField name="O/N" numFmtId="0">
      <sharedItems/>
    </cacheField>
    <cacheField name="CYC" numFmtId="0">
      <sharedItems count="0"/>
    </cacheField>
    <cacheField name="MOBILE" numFmtId="0">
      <sharedItems/>
    </cacheField>
    <cacheField name="BLOCK" numFmtId="0">
      <sharedItems/>
    </cacheField>
    <cacheField name="EXCESS LIMIT" numFmtId="0">
      <sharedItems/>
    </cacheField>
    <cacheField name="CREDIT" numFmtId="0">
      <sharedItems/>
    </cacheField>
    <cacheField name="ENR" numFmtId="0">
      <sharedItems/>
    </cacheField>
    <cacheField name="EMI 0/S" numFmtId="0">
      <sharedItems/>
    </cacheField>
    <cacheField name="CURR_BAL" numFmtId="0">
      <sharedItems/>
    </cacheField>
    <cacheField name="PRI" numFmtId="0">
      <sharedItems/>
    </cacheField>
    <cacheField name="NORM" numFmtId="0">
      <sharedItems/>
    </cacheField>
    <cacheField name="STAB" numFmtId="0">
      <sharedItems/>
    </cacheField>
    <cacheField name="PAID/UNPAID" numFmtId="0">
      <sharedItems count="0"/>
    </cacheField>
    <cacheField name="STATUS" numFmtId="0">
      <sharedItems count="0"/>
    </cacheField>
    <cacheField name="AMOUNT" numFmtId="0">
      <sharedItems/>
    </cacheField>
    <cacheField name="PENDING" numFmtId="0">
      <sharedItems/>
    </cacheField>
    <cacheField name="DATE" numFmtId="0">
      <sharedItems count="0"/>
    </cacheField>
    <cacheField name="DONE BY" numFmtId="0">
      <sharedItems/>
    </cacheField>
    <cacheField name="MODE" numFmtId="0">
      <sharedItems/>
    </cacheField>
    <cacheField name="TL ID" numFmtId="0">
      <sharedItems/>
    </cacheField>
    <cacheField name="CALLER" numFmtId="0">
      <sharedItems count="0"/>
    </cacheField>
    <cacheField name="CALLER ID" numFmtId="0">
      <sharedItems/>
    </cacheField>
    <cacheField name="CAT ALLO" numFmtId="0">
      <sharedItems count="0"/>
    </cacheField>
    <cacheField name="ADD 1" numFmtId="0">
      <sharedItems/>
    </cacheField>
    <cacheField name="ADD 2" numFmtId="0">
      <sharedItems/>
    </cacheField>
    <cacheField name="LOCATION" numFmtId="0">
      <sharedItems/>
    </cacheField>
    <cacheField name="AREA" numFmtId="0">
      <sharedItems count="0"/>
    </cacheField>
    <cacheField name="FOS NAME" numFmtId="0">
      <sharedItems count="0"/>
    </cacheField>
    <cacheField name="FOS ID" numFmtId="0">
      <sharedItems/>
    </cacheField>
    <cacheField name="MARC" numFmtId="0">
      <sharedItems/>
    </cacheField>
    <cacheField name="MARC ID" numFmtId="0">
      <sharedItems/>
    </cacheField>
    <cacheField name="MARC PW" numFmtId="0">
      <sharedItems/>
    </cacheField>
    <cacheField name="IQ UPLOAD" numFmtId="0">
      <sharedItems/>
    </cacheField>
    <cacheField name="TC REMARK" numFmtId="0">
      <sharedItems/>
    </cacheField>
    <cacheField name="VISITS" numFmtId="0">
      <sharedItems count="0"/>
    </cacheField>
    <cacheField name="FOS DISPO" numFmtId="0">
      <sharedItems/>
    </cacheField>
    <cacheField name="REMARKS" numFmtId="0">
      <sharedItems/>
    </cacheField>
    <cacheField name="V DATE" numFmtId="0">
      <sharedItems count="0"/>
    </cacheField>
    <cacheField name="LAST PAYMENT DATE" numFmtId="0">
      <sharedItems/>
    </cacheField>
    <cacheField name="LAST PAYMENT AMOUNT" numFmtId="0">
      <sharedItems/>
    </cacheField>
    <cacheField name="UCIC DODE" numFmtId="0">
      <sharedItems/>
    </cacheField>
    <cacheField name="CARD TYPE" numFmtId="0">
      <sharedItems/>
    </cacheField>
    <cacheField name="ALLOC DATE" numFmtId="0">
      <sharedItems/>
    </cacheField>
    <cacheField name="DueDate"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0"/>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8" cacheId="682" dataOnRows="1"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BF3:BK44" firstHeaderRow="1" firstDataRow="3" firstDataCol="1"/>
  <pivotFields count="46">
    <pivotField showAll="0"/>
    <pivotField showAll="0"/>
    <pivotField showAll="0"/>
    <pivotField showAll="0">
      <items count="1">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1">
        <item t="default"/>
      </items>
    </pivotField>
    <pivotField axis="axisCol" showAll="0">
      <items count="1">
        <item t="default"/>
      </items>
    </pivotField>
    <pivotField dataField="1" showAll="0"/>
    <pivotField showAll="0"/>
    <pivotField showAll="0"/>
    <pivotField showAll="0"/>
    <pivotField showAll="0"/>
    <pivotField showAll="0"/>
    <pivotField showAll="0">
      <items count="1">
        <item t="default"/>
      </items>
    </pivotField>
    <pivotField showAll="0"/>
    <pivotField showAll="0"/>
    <pivotField showAll="0"/>
    <pivotField showAll="0"/>
    <pivotField showAll="0"/>
    <pivotField axis="axisRow" showAll="0" sortType="ascending">
      <items count="1">
        <item t="default"/>
      </items>
    </pivotField>
    <pivotField showAll="0">
      <items count="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2">
    <field x="28"/>
    <field x="-2"/>
  </rowFields>
  <colFields count="2">
    <field x="14"/>
    <field x="15"/>
  </colFields>
  <dataFields count="4">
    <dataField numFmtId="3" name="COUNT." fld="8" subtotal="count" baseField="4" baseItem="0"/>
    <dataField numFmtId="201" name="%" fld="8" showDataAs="percentOfRow" baseField="4" baseItem="0"/>
    <dataField numFmtId="200" name="ENR." fld="8" baseField="0" baseItem="0"/>
    <dataField numFmtId="200" name="AMT." fld="16" baseField="0" baseItem="0"/>
  </dataFields>
  <conditionalFormats count="1">
    <conditionalFormat priority="40">
      <pivotAreas count="1">
        <pivotArea type="data" outline="0" collapsedLevelsAreSubtotals="1" fieldPosition="0">
          <references count="2">
            <reference field="4294967294" count="1" selected="0">
              <x v="1"/>
            </reference>
            <reference field="14" count="1" selected="0" defaultSubtotal="1">
              <x v="0"/>
            </reference>
          </references>
        </pivotArea>
      </pivotAreas>
    </conditionalFormat>
  </conditionalFormat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1" cacheId="682" dataOnRows="1" applyNumberFormats="1" applyBorderFormats="0" applyFontFormats="0" applyPatternFormats="0" applyAlignmentFormats="0" applyWidthHeightFormats="1" dataCaption="Values" updatedVersion="8" minRefreshableVersion="3" itemPrintTitles="1" createdVersion="4" indent="0" outline="1" outlineData="1" multipleFieldFilters="0" colHeaderCaption="MIS">
  <location ref="A1:F12" firstHeaderRow="1" firstDataRow="3" firstDataCol="1"/>
  <pivotFields count="46">
    <pivotField showAll="0"/>
    <pivotField showAll="0"/>
    <pivotField showAll="0"/>
    <pivotField axis="axisRow" showAll="0" sortType="ascending">
      <items count="1">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1">
        <item t="default"/>
      </items>
    </pivotField>
    <pivotField axis="axisCol" showAll="0">
      <items count="1">
        <item t="default"/>
      </items>
    </pivotField>
    <pivotField dataField="1" showAll="0"/>
    <pivotField showAll="0"/>
    <pivotField showAll="0"/>
    <pivotField showAll="0"/>
    <pivotField showAll="0"/>
    <pivotField showAll="0"/>
    <pivotField showAll="0">
      <items count="1">
        <item t="default"/>
      </items>
    </pivotField>
    <pivotField showAll="0"/>
    <pivotField showAll="0"/>
    <pivotField showAll="0"/>
    <pivotField showAll="0"/>
    <pivotField showAll="0"/>
    <pivotField showAll="0">
      <items count="1">
        <item t="default"/>
      </items>
    </pivotField>
    <pivotField showAll="0">
      <items count="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2">
    <field x="3"/>
    <field x="-2"/>
  </rowFields>
  <colFields count="2">
    <field x="14"/>
    <field x="15"/>
  </colFields>
  <dataFields count="4">
    <dataField numFmtId="3" name="Count of ENR" fld="8" subtotal="count" baseField="3" baseItem="0"/>
    <dataField numFmtId="201" name="Sum of ENR2" fld="8" showDataAs="percentOfRow" baseField="3" baseItem="0"/>
    <dataField numFmtId="200" name="Sum of ENR" fld="8" baseField="0" baseItem="0"/>
    <dataField numFmtId="200" name="Sum of AMOUNT" fld="16" baseField="0" baseItem="0"/>
  </dataFields>
  <conditionalFormats count="1">
    <conditionalFormat priority="7">
      <pivotAreas count="1">
        <pivotArea type="data" outline="0" collapsedLevelsAreSubtotals="1" fieldPosition="0">
          <references count="2">
            <reference field="4294967294" count="1" selected="0">
              <x v="1"/>
            </reference>
            <reference field="14" count="1" selected="0" defaultSubtotal="1">
              <x v="0"/>
            </reference>
          </references>
        </pivotArea>
      </pivotAreas>
    </conditionalFormat>
  </conditionalFormat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682"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K1:T46" firstHeaderRow="1" firstDataRow="3" firstDataCol="1"/>
  <pivotFields count="46">
    <pivotField showAll="0"/>
    <pivotField showAll="0"/>
    <pivotField showAll="0"/>
    <pivotField showAll="0">
      <items count="1">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1">
        <item t="default"/>
      </items>
    </pivotField>
    <pivotField showAll="0"/>
    <pivotField showAll="0"/>
    <pivotField showAll="0"/>
    <pivotField showAll="0"/>
    <pivotField showAll="0"/>
    <pivotField showAll="0"/>
    <pivotField showAll="0"/>
    <pivotField showAll="0">
      <items count="1">
        <item t="default"/>
      </items>
    </pivotField>
    <pivotField showAll="0"/>
    <pivotField showAll="0"/>
    <pivotField showAll="0"/>
    <pivotField showAll="0"/>
    <pivotField showAll="0"/>
    <pivotField showAll="0">
      <items count="1">
        <item t="default"/>
      </items>
    </pivotField>
    <pivotField axis="axisRow" showAll="0" sortType="ascending">
      <items count="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29"/>
  </rowFields>
  <colFields count="2">
    <field x="14"/>
    <field x="-2"/>
  </colFields>
  <dataFields count="3">
    <dataField numFmtId="3" name="COUNT." fld="8" subtotal="count" baseField="22" baseItem="1"/>
    <dataField numFmtId="201" name="%" fld="8" showDataAs="percentOfRow" baseField="22" baseItem="1"/>
    <dataField numFmtId="200" name="ENR." fld="8" baseField="0" baseItem="0"/>
  </dataFields>
  <conditionalFormats count="1">
    <conditionalFormat priority="44">
      <pivotAreas count="1">
        <pivotArea type="data" outline="0" collapsedLevelsAreSubtotals="1" fieldPosition="0">
          <references count="2">
            <reference field="4294967294" count="1" selected="0">
              <x v="1"/>
            </reference>
            <reference field="14" count="1" selected="0">
              <x v="0"/>
            </reference>
          </references>
        </pivotArea>
      </pivotAreas>
    </conditionalFormat>
  </conditionalFormat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7" cacheId="682" dataOnRows="1"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AC3:AD46" firstHeaderRow="1" firstDataRow="1" firstDataCol="1"/>
  <pivotFields count="46">
    <pivotField showAll="0"/>
    <pivotField showAll="0"/>
    <pivotField showAll="0"/>
    <pivotField showAll="0">
      <items count="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
        <item t="default"/>
      </items>
    </pivotField>
    <pivotField showAll="0"/>
    <pivotField showAll="0"/>
    <pivotField showAll="0"/>
    <pivotField showAll="0"/>
    <pivotField showAll="0"/>
    <pivotField showAll="0">
      <items count="1">
        <item t="default"/>
      </items>
    </pivotField>
    <pivotField axis="axisRow" showAll="0" sortType="ascending">
      <items count="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29"/>
  </rowFields>
  <dataFields count="1">
    <dataField numFmtId="200" name="Sum of AMOUNT" fld="16" baseField="0" baseItem="0"/>
  </dataField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6" cacheId="682" dataOnRows="1"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A135:F147" firstHeaderRow="1" firstDataRow="3" firstDataCol="1"/>
  <pivotFields count="46">
    <pivotField showAll="0"/>
    <pivotField showAll="0"/>
    <pivotField showAll="0"/>
    <pivotField showAll="0">
      <items count="1">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1">
        <item t="default"/>
      </items>
    </pivotField>
    <pivotField axis="axisCol" showAll="0">
      <items count="1">
        <item t="default"/>
      </items>
    </pivotField>
    <pivotField dataField="1" showAll="0"/>
    <pivotField showAll="0"/>
    <pivotField showAll="0"/>
    <pivotField showAll="0"/>
    <pivotField showAll="0"/>
    <pivotField showAll="0"/>
    <pivotField showAll="0">
      <items count="1">
        <item t="default"/>
      </items>
    </pivotField>
    <pivotField showAll="0"/>
    <pivotField axis="axisRow" showAll="0">
      <items count="1">
        <item t="default"/>
      </items>
    </pivotField>
    <pivotField showAll="0"/>
    <pivotField showAll="0"/>
    <pivotField showAll="0"/>
    <pivotField showAll="0">
      <items count="1">
        <item t="default"/>
      </items>
    </pivotField>
    <pivotField showAll="0">
      <items count="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2">
    <field x="24"/>
    <field x="-2"/>
  </rowFields>
  <colFields count="2">
    <field x="14"/>
    <field x="15"/>
  </colFields>
  <dataFields count="4">
    <dataField numFmtId="3" name="COUNT." fld="8" subtotal="count" baseField="4" baseItem="0"/>
    <dataField numFmtId="201" name="%" fld="8" showDataAs="percentOfRow" baseField="4" baseItem="0"/>
    <dataField numFmtId="200" name="ENR." fld="8" baseField="0" baseItem="0"/>
    <dataField numFmtId="200" name="AMT." fld="16" baseField="0" baseItem="0"/>
  </dataFields>
  <conditionalFormats count="1">
    <conditionalFormat priority="42">
      <pivotAreas count="1">
        <pivotArea type="data" outline="0" collapsedLevelsAreSubtotals="1" fieldPosition="0">
          <references count="2">
            <reference field="4294967294" count="1" selected="0">
              <x v="1"/>
            </reference>
            <reference field="14" count="1" selected="0" defaultSubtotal="1">
              <x v="0"/>
            </reference>
          </references>
        </pivotArea>
      </pivotAreas>
    </conditionalFormat>
  </conditionalFormat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5" cacheId="682" dataOnRows="1"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V2:Y46" firstHeaderRow="1" firstDataRow="2" firstDataCol="1"/>
  <pivotFields count="46">
    <pivotField showAll="0"/>
    <pivotField showAll="0"/>
    <pivotField showAll="0"/>
    <pivotField showAll="0">
      <items count="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
        <item t="default"/>
      </items>
    </pivotField>
    <pivotField showAll="0"/>
    <pivotField showAll="0"/>
    <pivotField showAll="0"/>
    <pivotField showAll="0"/>
    <pivotField showAll="0"/>
    <pivotField showAll="0">
      <items count="1">
        <item t="default"/>
      </items>
    </pivotField>
    <pivotField axis="axisRow" showAll="0" sortType="ascending">
      <items count="1">
        <item t="default"/>
      </items>
    </pivotField>
    <pivotField showAll="0"/>
    <pivotField showAll="0"/>
    <pivotField showAll="0"/>
    <pivotField showAll="0"/>
    <pivotField showAll="0"/>
    <pivotField showAll="0"/>
    <pivotField axis="axisCol" showAll="0">
      <items count="1">
        <item t="default"/>
      </items>
    </pivotField>
    <pivotField showAll="0"/>
    <pivotField showAll="0"/>
    <pivotField showAll="0"/>
    <pivotField showAll="0"/>
    <pivotField showAll="0"/>
    <pivotField showAll="0"/>
    <pivotField showAll="0"/>
    <pivotField showAll="0"/>
    <pivotField showAll="0" defaultSubtotal="0"/>
  </pivotFields>
  <rowFields count="1">
    <field x="29"/>
  </rowFields>
  <colFields count="1">
    <field x="36"/>
  </colFields>
  <dataFields count="1">
    <dataField numFmtId="3" name="COUNT." fld="8" subtotal="count" baseField="4" baseItem="0"/>
  </dataFields>
  <conditionalFormats count="12">
    <conditionalFormat priority="18">
      <pivotAreas count="1">
        <pivotArea type="data" collapsedLevelsAreSubtotals="1" fieldPosition="0">
          <references count="3">
            <reference field="4294967294" count="1" selected="0">
              <x v="0"/>
            </reference>
            <reference field="29" count="41">
              <x v="3"/>
              <x v="9"/>
              <x v="11"/>
              <x v="18"/>
              <x v="24"/>
              <x v="32"/>
              <x v="34"/>
              <x v="35"/>
              <x v="37"/>
              <x v="43"/>
              <x v="49"/>
              <x v="50"/>
              <x v="54"/>
              <x v="56"/>
              <x v="57"/>
              <x v="62"/>
              <x v="69"/>
              <x v="80"/>
              <x v="81"/>
              <x v="84"/>
              <x v="86"/>
              <x v="88"/>
              <x v="91"/>
              <x v="92"/>
              <x v="95"/>
              <x v="99"/>
              <x v="102"/>
              <x v="104"/>
              <x v="105"/>
              <x v="108"/>
              <x v="111"/>
              <x v="114"/>
              <x v="120"/>
              <x v="122"/>
              <x v="123"/>
              <x v="127"/>
              <x v="131"/>
              <x v="132"/>
              <x v="133"/>
              <x v="134"/>
              <x v="137"/>
            </reference>
            <reference field="36" count="1" selected="0">
              <x v="1"/>
            </reference>
          </references>
        </pivotArea>
      </pivotAreas>
    </conditionalFormat>
    <conditionalFormat priority="16">
      <pivotAreas count="1">
        <pivotArea type="data" collapsedLevelsAreSubtotals="1" fieldPosition="0">
          <references count="3">
            <reference field="4294967294" count="1" selected="0">
              <x v="0"/>
            </reference>
            <reference field="29" count="43">
              <x v="3"/>
              <x v="9"/>
              <x v="11"/>
              <x v="18"/>
              <x v="24"/>
              <x v="32"/>
              <x v="34"/>
              <x v="35"/>
              <x v="37"/>
              <x v="42"/>
              <x v="43"/>
              <x v="45"/>
              <x v="49"/>
              <x v="50"/>
              <x v="54"/>
              <x v="55"/>
              <x v="56"/>
              <x v="57"/>
              <x v="62"/>
              <x v="69"/>
              <x v="76"/>
              <x v="80"/>
              <x v="81"/>
              <x v="84"/>
              <x v="86"/>
              <x v="88"/>
              <x v="91"/>
              <x v="92"/>
              <x v="95"/>
              <x v="99"/>
              <x v="104"/>
              <x v="108"/>
              <x v="111"/>
              <x v="114"/>
              <x v="120"/>
              <x v="122"/>
              <x v="123"/>
              <x v="127"/>
              <x v="131"/>
              <x v="132"/>
              <x v="133"/>
              <x v="134"/>
              <x v="137"/>
            </reference>
            <reference field="36" count="1" selected="0">
              <x v="1"/>
            </reference>
          </references>
        </pivotArea>
      </pivotAreas>
    </conditionalFormat>
    <conditionalFormat priority="14">
      <pivotAreas count="1">
        <pivotArea type="data" collapsedLevelsAreSubtotals="1" fieldPosition="0">
          <references count="3">
            <reference field="4294967294" count="1" selected="0">
              <x v="0"/>
            </reference>
            <reference field="29" count="39">
              <x v="3"/>
              <x v="9"/>
              <x v="18"/>
              <x v="24"/>
              <x v="27"/>
              <x v="34"/>
              <x v="35"/>
              <x v="37"/>
              <x v="42"/>
              <x v="43"/>
              <x v="45"/>
              <x v="49"/>
              <x v="54"/>
              <x v="55"/>
              <x v="57"/>
              <x v="62"/>
              <x v="69"/>
              <x v="76"/>
              <x v="80"/>
              <x v="81"/>
              <x v="84"/>
              <x v="86"/>
              <x v="88"/>
              <x v="91"/>
              <x v="92"/>
              <x v="95"/>
              <x v="99"/>
              <x v="104"/>
              <x v="108"/>
              <x v="111"/>
              <x v="114"/>
              <x v="120"/>
              <x v="122"/>
              <x v="123"/>
              <x v="127"/>
              <x v="131"/>
              <x v="132"/>
              <x v="134"/>
              <x v="137"/>
            </reference>
            <reference field="36" count="1" selected="0">
              <x v="1"/>
            </reference>
          </references>
        </pivotArea>
      </pivotAreas>
    </conditionalFormat>
    <conditionalFormat priority="13">
      <pivotAreas count="1">
        <pivotArea type="data" collapsedLevelsAreSubtotals="1" fieldPosition="0">
          <references count="3">
            <reference field="4294967294" count="1" selected="0">
              <x v="0"/>
            </reference>
            <reference field="29" count="19">
              <x v="9"/>
              <x v="43"/>
              <x v="49"/>
              <x v="55"/>
              <x v="62"/>
              <x v="80"/>
              <x v="81"/>
              <x v="91"/>
              <x v="92"/>
              <x v="95"/>
              <x v="99"/>
              <x v="104"/>
              <x v="111"/>
              <x v="114"/>
              <x v="123"/>
              <x v="127"/>
              <x v="132"/>
              <x v="134"/>
              <x v="138"/>
            </reference>
            <reference field="36" count="1" selected="0">
              <x v="1"/>
            </reference>
          </references>
        </pivotArea>
      </pivotAreas>
    </conditionalFormat>
    <conditionalFormat priority="12">
      <pivotAreas count="1">
        <pivotArea type="data" collapsedLevelsAreSubtotals="1" fieldPosition="0">
          <references count="3">
            <reference field="4294967294" count="1" selected="0">
              <x v="0"/>
            </reference>
            <reference field="29" count="29">
              <x v="9"/>
              <x v="19"/>
              <x v="32"/>
              <x v="34"/>
              <x v="37"/>
              <x v="41"/>
              <x v="42"/>
              <x v="43"/>
              <x v="49"/>
              <x v="55"/>
              <x v="62"/>
              <x v="69"/>
              <x v="70"/>
              <x v="80"/>
              <x v="81"/>
              <x v="86"/>
              <x v="91"/>
              <x v="92"/>
              <x v="95"/>
              <x v="99"/>
              <x v="104"/>
              <x v="111"/>
              <x v="114"/>
              <x v="116"/>
              <x v="123"/>
              <x v="127"/>
              <x v="132"/>
              <x v="134"/>
              <x v="138"/>
            </reference>
            <reference field="36" count="1" selected="0">
              <x v="1"/>
            </reference>
          </references>
        </pivotArea>
      </pivotAreas>
    </conditionalFormat>
    <conditionalFormat priority="11">
      <pivotAreas count="1">
        <pivotArea type="data" collapsedLevelsAreSubtotals="1" fieldPosition="0">
          <references count="3">
            <reference field="4294967294" count="1" selected="0">
              <x v="0"/>
            </reference>
            <reference field="29" count="30">
              <x v="9"/>
              <x v="19"/>
              <x v="32"/>
              <x v="34"/>
              <x v="37"/>
              <x v="41"/>
              <x v="42"/>
              <x v="43"/>
              <x v="49"/>
              <x v="56"/>
              <x v="62"/>
              <x v="69"/>
              <x v="70"/>
              <x v="80"/>
              <x v="81"/>
              <x v="86"/>
              <x v="91"/>
              <x v="92"/>
              <x v="95"/>
              <x v="97"/>
              <x v="99"/>
              <x v="104"/>
              <x v="111"/>
              <x v="114"/>
              <x v="123"/>
              <x v="127"/>
              <x v="132"/>
              <x v="134"/>
              <x v="138"/>
              <x v="142"/>
            </reference>
            <reference field="36" count="1" selected="0">
              <x v="1"/>
            </reference>
          </references>
        </pivotArea>
      </pivotAreas>
    </conditionalFormat>
    <conditionalFormat priority="10">
      <pivotAreas count="1">
        <pivotArea type="data" collapsedLevelsAreSubtotals="1" fieldPosition="0">
          <references count="3">
            <reference field="4294967294" count="1" selected="0">
              <x v="0"/>
            </reference>
            <reference field="29" count="39">
              <x v="3"/>
              <x v="9"/>
              <x v="19"/>
              <x v="27"/>
              <x v="32"/>
              <x v="37"/>
              <x v="41"/>
              <x v="42"/>
              <x v="43"/>
              <x v="45"/>
              <x v="49"/>
              <x v="56"/>
              <x v="57"/>
              <x v="58"/>
              <x v="62"/>
              <x v="69"/>
              <x v="70"/>
              <x v="80"/>
              <x v="81"/>
              <x v="86"/>
              <x v="88"/>
              <x v="91"/>
              <x v="92"/>
              <x v="95"/>
              <x v="97"/>
              <x v="99"/>
              <x v="104"/>
              <x v="111"/>
              <x v="113"/>
              <x v="114"/>
              <x v="115"/>
              <x v="122"/>
              <x v="123"/>
              <x v="127"/>
              <x v="132"/>
              <x v="134"/>
              <x v="136"/>
              <x v="138"/>
              <x v="142"/>
            </reference>
            <reference field="36" count="1" selected="0">
              <x v="1"/>
            </reference>
          </references>
        </pivotArea>
      </pivotAreas>
    </conditionalFormat>
    <conditionalFormat priority="9">
      <pivotAreas count="1">
        <pivotArea type="data" collapsedLevelsAreSubtotals="1" fieldPosition="0">
          <references count="3">
            <reference field="4294967294" count="1" selected="0">
              <x v="0"/>
            </reference>
            <reference field="29" count="40">
              <x v="3"/>
              <x v="9"/>
              <x v="19"/>
              <x v="27"/>
              <x v="32"/>
              <x v="37"/>
              <x v="41"/>
              <x v="42"/>
              <x v="43"/>
              <x v="45"/>
              <x v="49"/>
              <x v="54"/>
              <x v="56"/>
              <x v="57"/>
              <x v="58"/>
              <x v="62"/>
              <x v="69"/>
              <x v="70"/>
              <x v="79"/>
              <x v="80"/>
              <x v="81"/>
              <x v="86"/>
              <x v="88"/>
              <x v="91"/>
              <x v="92"/>
              <x v="95"/>
              <x v="97"/>
              <x v="99"/>
              <x v="104"/>
              <x v="111"/>
              <x v="113"/>
              <x v="114"/>
              <x v="115"/>
              <x v="122"/>
              <x v="123"/>
              <x v="127"/>
              <x v="132"/>
              <x v="134"/>
              <x v="136"/>
              <x v="138"/>
            </reference>
            <reference field="36" count="1" selected="0">
              <x v="1"/>
            </reference>
          </references>
        </pivotArea>
      </pivotAreas>
    </conditionalFormat>
    <conditionalFormat priority="8">
      <pivotAreas count="1">
        <pivotArea type="data" collapsedLevelsAreSubtotals="1" fieldPosition="0">
          <references count="3">
            <reference field="4294967294" count="1" selected="0">
              <x v="0"/>
            </reference>
            <reference field="29" count="36">
              <x v="3"/>
              <x v="9"/>
              <x v="13"/>
              <x v="27"/>
              <x v="37"/>
              <x v="41"/>
              <x v="43"/>
              <x v="45"/>
              <x v="49"/>
              <x v="54"/>
              <x v="57"/>
              <x v="58"/>
              <x v="62"/>
              <x v="69"/>
              <x v="70"/>
              <x v="79"/>
              <x v="80"/>
              <x v="81"/>
              <x v="86"/>
              <x v="88"/>
              <x v="91"/>
              <x v="92"/>
              <x v="95"/>
              <x v="97"/>
              <x v="99"/>
              <x v="104"/>
              <x v="111"/>
              <x v="113"/>
              <x v="114"/>
              <x v="115"/>
              <x v="123"/>
              <x v="127"/>
              <x v="132"/>
              <x v="134"/>
              <x v="136"/>
              <x v="138"/>
            </reference>
            <reference field="36" count="1" selected="0">
              <x v="1"/>
            </reference>
          </references>
        </pivotArea>
      </pivotAreas>
    </conditionalFormat>
    <conditionalFormat priority="5">
      <pivotAreas count="1">
        <pivotArea type="data" collapsedLevelsAreSubtotals="1" fieldPosition="0">
          <references count="3">
            <reference field="4294967294" count="1" selected="0">
              <x v="0"/>
            </reference>
            <reference field="29" count="34">
              <x v="13"/>
              <x v="34"/>
              <x v="37"/>
              <x v="41"/>
              <x v="42"/>
              <x v="43"/>
              <x v="45"/>
              <x v="54"/>
              <x v="57"/>
              <x v="58"/>
              <x v="62"/>
              <x v="69"/>
              <x v="70"/>
              <x v="79"/>
              <x v="80"/>
              <x v="81"/>
              <x v="82"/>
              <x v="86"/>
              <x v="91"/>
              <x v="92"/>
              <x v="95"/>
              <x v="97"/>
              <x v="99"/>
              <x v="104"/>
              <x v="111"/>
              <x v="113"/>
              <x v="114"/>
              <x v="120"/>
              <x v="122"/>
              <x v="123"/>
              <x v="127"/>
              <x v="132"/>
              <x v="134"/>
              <x v="138"/>
            </reference>
            <reference field="36" count="1" selected="0">
              <x v="1"/>
            </reference>
          </references>
        </pivotArea>
      </pivotAreas>
    </conditionalFormat>
    <conditionalFormat priority="3">
      <pivotAreas count="1">
        <pivotArea type="data" collapsedLevelsAreSubtotals="1" fieldPosition="0">
          <references count="3">
            <reference field="4294967294" count="1" selected="0">
              <x v="0"/>
            </reference>
            <reference field="29" count="48">
              <x v="3"/>
              <x v="9"/>
              <x v="13"/>
              <x v="15"/>
              <x v="31"/>
              <x v="32"/>
              <x v="34"/>
              <x v="37"/>
              <x v="41"/>
              <x v="42"/>
              <x v="43"/>
              <x v="45"/>
              <x v="47"/>
              <x v="54"/>
              <x v="57"/>
              <x v="58"/>
              <x v="62"/>
              <x v="65"/>
              <x v="69"/>
              <x v="70"/>
              <x v="79"/>
              <x v="80"/>
              <x v="81"/>
              <x v="82"/>
              <x v="84"/>
              <x v="86"/>
              <x v="88"/>
              <x v="91"/>
              <x v="92"/>
              <x v="95"/>
              <x v="97"/>
              <x v="99"/>
              <x v="101"/>
              <x v="104"/>
              <x v="111"/>
              <x v="113"/>
              <x v="114"/>
              <x v="117"/>
              <x v="120"/>
              <x v="122"/>
              <x v="123"/>
              <x v="127"/>
              <x v="129"/>
              <x v="132"/>
              <x v="133"/>
              <x v="134"/>
              <x v="136"/>
              <x v="138"/>
            </reference>
            <reference field="36" count="1" selected="0">
              <x v="1"/>
            </reference>
          </references>
        </pivotArea>
      </pivotAreas>
    </conditionalFormat>
    <conditionalFormat priority="1">
      <pivotAreas count="1">
        <pivotArea type="data" collapsedLevelsAreSubtotals="1" fieldPosition="0">
          <references count="3">
            <reference field="4294967294" count="1" selected="0">
              <x v="0"/>
            </reference>
            <reference field="29" count="23">
              <x v="11"/>
              <x v="34"/>
              <x v="38"/>
              <x v="42"/>
              <x v="49"/>
              <x v="53"/>
              <x v="65"/>
              <x v="80"/>
              <x v="81"/>
              <x v="95"/>
              <x v="101"/>
              <x v="104"/>
              <x v="110"/>
              <x v="113"/>
              <x v="114"/>
              <x v="117"/>
              <x v="120"/>
              <x v="124"/>
              <x v="129"/>
              <x v="132"/>
              <x v="134"/>
              <x v="136"/>
              <x v="138"/>
            </reference>
            <reference field="36" count="1" selected="0">
              <x v="1"/>
            </reference>
          </references>
        </pivotArea>
      </pivotAreas>
    </conditionalFormat>
  </conditionalFormat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9" cacheId="682" dataOnRows="1"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BM3:BR29" firstHeaderRow="1" firstDataRow="3" firstDataCol="1"/>
  <pivotFields count="46">
    <pivotField showAll="0"/>
    <pivotField showAll="0"/>
    <pivotField showAll="0"/>
    <pivotField showAll="0">
      <items count="1">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1">
        <item t="default"/>
      </items>
    </pivotField>
    <pivotField axis="axisCol" showAll="0">
      <items count="1">
        <item t="default"/>
      </items>
    </pivotField>
    <pivotField dataField="1" showAll="0"/>
    <pivotField showAll="0"/>
    <pivotField showAll="0"/>
    <pivotField showAll="0"/>
    <pivotField showAll="0"/>
    <pivotField showAll="0"/>
    <pivotField axis="axisRow" showAll="0" sortType="ascending">
      <items count="1">
        <item t="default"/>
      </items>
    </pivotField>
    <pivotField showAll="0"/>
    <pivotField showAll="0"/>
    <pivotField showAll="0"/>
    <pivotField showAll="0"/>
    <pivotField showAll="0"/>
    <pivotField showAll="0">
      <items count="1">
        <item t="default"/>
      </items>
    </pivotField>
    <pivotField showAll="0">
      <items count="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2">
    <field x="22"/>
    <field x="-2"/>
  </rowFields>
  <colFields count="2">
    <field x="14"/>
    <field x="15"/>
  </colFields>
  <dataFields count="4">
    <dataField numFmtId="3" name="COUNT." fld="8" subtotal="count" baseField="4" baseItem="0"/>
    <dataField numFmtId="201" name="%" fld="8" showDataAs="percentOfRow" baseField="4" baseItem="0"/>
    <dataField numFmtId="200" name="ENR." fld="8" baseField="0" baseItem="0"/>
    <dataField numFmtId="200" name="AMT." fld="16" baseField="0" baseItem="0"/>
  </dataFields>
  <conditionalFormats count="1">
    <conditionalFormat priority="39">
      <pivotAreas count="1">
        <pivotArea type="data" outline="0" collapsedLevelsAreSubtotals="1" fieldPosition="0">
          <references count="2">
            <reference field="4294967294" count="1" selected="0">
              <x v="1"/>
            </reference>
            <reference field="14" count="1" selected="0" defaultSubtotal="1">
              <x v="0"/>
            </reference>
          </references>
        </pivotArea>
      </pivotAreas>
    </conditionalFormat>
  </conditionalFormat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682"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BT3:BU46" firstHeaderRow="1" firstDataRow="1" firstDataCol="1" rowPageCount="1" colPageCount="1"/>
  <pivotFields count="46">
    <pivotField showAll="0"/>
    <pivotField showAll="0"/>
    <pivotField showAll="0"/>
    <pivotField showAll="0">
      <items count="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Page" showAll="0">
      <items count="1">
        <item t="default"/>
      </items>
    </pivotField>
    <pivotField showAll="0"/>
    <pivotField showAll="0"/>
    <pivotField showAll="0"/>
    <pivotField showAll="0">
      <items count="1">
        <item t="default"/>
      </items>
    </pivotField>
    <pivotField showAll="0"/>
    <pivotField showAll="0"/>
    <pivotField showAll="0"/>
    <pivotField showAll="0"/>
    <pivotField showAll="0"/>
    <pivotField showAll="0">
      <items count="1">
        <item t="default"/>
      </items>
    </pivotField>
    <pivotField axis="axisRow" showAll="0">
      <items count="1">
        <item t="default"/>
      </items>
    </pivotField>
    <pivotField showAll="0"/>
    <pivotField showAll="0"/>
    <pivotField showAll="0"/>
    <pivotField showAll="0"/>
    <pivotField showAll="0"/>
    <pivotField showAll="0"/>
    <pivotField showAll="0"/>
    <pivotField showAll="0"/>
    <pivotField showAll="0"/>
    <pivotField showAll="0">
      <items count="1">
        <item t="default"/>
      </items>
    </pivotField>
    <pivotField showAll="0"/>
    <pivotField showAll="0"/>
    <pivotField showAll="0"/>
    <pivotField showAll="0"/>
    <pivotField showAll="0"/>
    <pivotField showAll="0" defaultSubtotal="0"/>
  </pivotFields>
  <rowFields count="1">
    <field x="29"/>
  </rowFields>
  <pageFields count="1">
    <pageField fld="18" hier="-1"/>
  </pageFields>
  <dataFields count="1">
    <dataField numFmtId="3" name="Count of ENR" fld="8" subtotal="count" baseField="28" baseItem="37"/>
  </dataField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D3F57F-F7B5-47B7-9477-BE1305BA3833}" name="PivotTable4" cacheId="682" dataOnRows="1" applyNumberFormats="1" applyBorderFormats="0" applyFontFormats="0" applyPatternFormats="0" applyAlignmentFormats="0" applyWidthHeightFormats="1" dataCaption="Values" updatedVersion="8" minRefreshableVersion="3" itemPrintTitles="1" createdVersion="4" indent="0" outline="1" outlineData="1" multipleFieldFilters="0" colHeaderCaption="MIS">
  <location ref="A115:B117" firstHeaderRow="1" firstDataRow="1" firstDataCol="1" rowPageCount="1" colPageCount="1"/>
  <pivotFields count="46">
    <pivotField showAll="0"/>
    <pivotField showAll="0"/>
    <pivotField showAll="0"/>
    <pivotField axis="axisRow" showAll="0" sortType="ascending">
      <items count="1">
        <item t="default"/>
      </items>
    </pivotField>
    <pivotField showAll="0"/>
    <pivotField showAll="0"/>
    <pivotField showAll="0"/>
    <pivotField showAll="0"/>
    <pivotField dataField="1" showAll="0"/>
    <pivotField showAll="0"/>
    <pivotField showAll="0"/>
    <pivotField showAll="0"/>
    <pivotField showAll="0"/>
    <pivotField showAll="0"/>
    <pivotField axis="axisPage" showAll="0">
      <items count="1">
        <item t="default"/>
      </items>
    </pivotField>
    <pivotField showAll="0"/>
    <pivotField showAll="0"/>
    <pivotField showAll="0"/>
    <pivotField showAll="0"/>
    <pivotField showAll="0"/>
    <pivotField showAll="0"/>
    <pivotField showAll="0"/>
    <pivotField showAll="0">
      <items count="1">
        <item t="default"/>
      </items>
    </pivotField>
    <pivotField showAll="0"/>
    <pivotField showAll="0"/>
    <pivotField showAll="0"/>
    <pivotField showAll="0"/>
    <pivotField showAll="0"/>
    <pivotField showAll="0">
      <items count="1">
        <item t="default"/>
      </items>
    </pivotField>
    <pivotField showAll="0">
      <items count="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Fields count="1">
    <field x="3"/>
  </rowFields>
  <pageFields count="1">
    <pageField fld="14" hier="-1"/>
  </pageFields>
  <dataFields count="1">
    <dataField numFmtId="3" name="Count of ENR" fld="8" subtotal="count" baseField="3" baseItem="0"/>
  </dataField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2BBC3B-6F7D-4D43-B553-6C301E199482}" name="PivotTable11" cacheId="682" applyNumberFormats="1" applyBorderFormats="0" applyFontFormats="0" applyPatternFormats="0" applyAlignmentFormats="0" applyWidthHeightFormats="1" dataCaption="Values" updatedVersion="8" minRefreshableVersion="3" useAutoFormatting="1" itemPrintTitles="1" createdVersion="4" indent="0" outline="1" outlineData="1" multipleFieldFilters="0" colHeaderCaption="MIS">
  <location ref="CA3:CF48" firstHeaderRow="1" firstDataRow="3" firstDataCol="1"/>
  <pivotFields count="46">
    <pivotField showAll="0"/>
    <pivotField showAll="0"/>
    <pivotField showAll="0"/>
    <pivotField showAll="0">
      <items count="1">
        <item t="default"/>
      </items>
    </pivotField>
    <pivotField showAll="0"/>
    <pivotField showAll="0"/>
    <pivotField showAll="0"/>
    <pivotField showAll="0"/>
    <pivotField dataField="1" showAll="0"/>
    <pivotField showAll="0"/>
    <pivotField showAll="0"/>
    <pivotField showAll="0"/>
    <pivotField showAll="0"/>
    <pivotField showAll="0"/>
    <pivotField axis="axisCol" showAll="0">
      <items count="1">
        <item t="default"/>
      </items>
    </pivotField>
    <pivotField showAll="0"/>
    <pivotField showAll="0"/>
    <pivotField showAll="0"/>
    <pivotField showAll="0"/>
    <pivotField showAll="0"/>
    <pivotField showAll="0"/>
    <pivotField showAll="0"/>
    <pivotField showAll="0">
      <items count="1">
        <item t="default"/>
      </items>
    </pivotField>
    <pivotField showAll="0"/>
    <pivotField showAll="0"/>
    <pivotField showAll="0"/>
    <pivotField showAll="0"/>
    <pivotField showAll="0"/>
    <pivotField showAll="0">
      <items count="1">
        <item t="default"/>
      </items>
    </pivotField>
    <pivotField axis="axisRow" showAll="0" sortType="ascending">
      <items count="1">
        <item t="default"/>
      </items>
    </pivotField>
    <pivotField showAll="0"/>
    <pivotField showAll="0"/>
    <pivotField showAll="0"/>
    <pivotField showAll="0"/>
    <pivotField showAll="0"/>
    <pivotField showAll="0"/>
    <pivotField axis="axisCol" showAll="0">
      <items count="1">
        <item t="default"/>
      </items>
    </pivotField>
    <pivotField showAll="0"/>
    <pivotField showAll="0"/>
    <pivotField showAll="0"/>
    <pivotField showAll="0"/>
    <pivotField showAll="0"/>
    <pivotField showAll="0"/>
    <pivotField showAll="0"/>
    <pivotField showAll="0"/>
    <pivotField showAll="0" defaultSubtotal="0"/>
  </pivotFields>
  <rowFields count="1">
    <field x="29"/>
  </rowFields>
  <colFields count="2">
    <field x="14"/>
    <field x="36"/>
  </colFields>
  <dataFields count="1">
    <dataField numFmtId="3" name="COUNT." fld="8" subtotal="count" baseField="4" baseItem="0"/>
  </dataFields>
  <pivotTableStyleInfo name="RecoverIQ Pivot"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YC" xr10:uid="{00000000-0013-0000-FFFF-FFFF01000000}" sourceName="CYC">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11"/>
    <pivotTable tabId="4" name="PivotTable4"/>
  </pivotTables>
  <data>
    <tabular pivotCacheId="1">
      <items count="0"/>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LER" xr10:uid="{00000000-0013-0000-FFFF-FFFF03000000}" sourceName="CALLER">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11"/>
    <pivotTable tabId="4" name="PivotTable4"/>
  </pivotTables>
  <data>
    <tabular pivotCacheId="1">
      <items count="0"/>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00000000-0013-0000-FFFF-FFFF04000000}" sourceName="AREA">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11"/>
    <pivotTable tabId="4" name="PivotTable4"/>
  </pivotTables>
  <data>
    <tabular pivotCacheId="1">
      <items count="0"/>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S_NAME" xr10:uid="{00000000-0013-0000-FFFF-FFFF05000000}" sourceName="FOS NAME">
  <pivotTables>
    <pivotTable tabId="4" name="PivotTable1"/>
    <pivotTable tabId="4" name="PivotTable3"/>
    <pivotTable tabId="4" name="PivotTable5"/>
    <pivotTable tabId="4" name="PivotTable6"/>
    <pivotTable tabId="4" name="PivotTable7"/>
    <pivotTable tabId="4" name="PivotTable8"/>
    <pivotTable tabId="4" name="PivotTable9"/>
    <pivotTable tabId="4" name="PivotTable2"/>
    <pivotTable tabId="4" name="PivotTable11"/>
    <pivotTable tabId="4" name="PivotTable4"/>
  </pivotTables>
  <data>
    <tabular pivotCacheId="1">
      <items count="0"/>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7BF2CC79-A71C-47DE-B516-E9CCF4E1CEE7}" sourceName="DATE">
  <pivotTables>
    <pivotTable tabId="4" name="PivotTable2"/>
  </pivotTables>
  <data>
    <tabular pivotCacheId="1">
      <items count="0"/>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_DATE" xr10:uid="{0AB42155-286B-457B-8413-208830D26E59}" sourceName="V DATE">
  <pivotTables>
    <pivotTable tabId="4" name="PivotTable2"/>
  </pivotTables>
  <data>
    <tabular pivotCacheId="1">
      <items count="0"/>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style="SlicerStyleDark1" name="CYC" xr10:uid="{00000000-0014-0000-FFFF-FFFF01000000}" cache="Slicer_CYC" caption="CYC" rowHeight="241300"/>
  <slicer style="SlicerStyleDark1" name="CALLER" xr10:uid="{00000000-0014-0000-FFFF-FFFF03000000}" cache="Slicer_CALLER" caption="CALLER" rowHeight="241300"/>
  <slicer style="SlicerStyleDark1" name="AREA" xr10:uid="{00000000-0014-0000-FFFF-FFFF04000000}" cache="Slicer_AREA" caption="AREA" rowHeight="241300"/>
  <slicer style="SlicerStyleDark1" name="FOS NAME" xr10:uid="{00000000-0014-0000-FFFF-FFFF05000000}" cache="Slicer_FOS_NAME" caption="FOS NAME" rowHeight="241300"/>
  <slicer style="SlicerStyleDark1" name="DATE" xr10:uid="{475F0CEC-303E-47FD-84D9-443ECB511E4A}" cache="Slicer_DATE" caption="DATE" rowHeight="241300"/>
  <slicer style="SlicerStyleDark1" name="V DATE" xr10:uid="{6A7B8A1D-7FB1-4B84-A7F9-8EB42A2175EB}" cache="Slicer_V_DATE" caption="V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T2" totalsRowShown="0" headerRowDxfId="108" dataDxfId="106" headerRowBorderDxfId="107" tableBorderDxfId="105" totalsRowBorderDxfId="104">
  <autoFilter ref="A1:AT2" xr:uid="{00000000-000C-0000-FFFF-FFFF00000000}"/>
  <sortState xmlns:xlrd2="http://schemas.microsoft.com/office/spreadsheetml/2017/richdata2" ref="A2:AT86">
    <sortCondition ref="D1:D86"/>
  </sortState>
  <tableColumns count="46">
    <tableColumn id="1" xr3:uid="{00000000-0010-0000-0000-000001000000}" name="ACC.NO" dataDxfId="103"/>
    <tableColumn id="2" xr3:uid="{00000000-0010-0000-0000-000002000000}" name="NAMES" dataDxfId="102"/>
    <tableColumn id="4" xr3:uid="{00000000-0010-0000-0000-000004000000}" name="O/N" dataDxfId="101">
      <calculatedColumnFormula>VLOOKUP(Table1[[#This Row],[ACC.NO]],[1]!Table1[ACC.NO],1,0)</calculatedColumnFormula>
    </tableColumn>
    <tableColumn id="5" xr3:uid="{00000000-0010-0000-0000-000005000000}" name="CYC" dataDxfId="100"/>
    <tableColumn id="6" xr3:uid="{00000000-0010-0000-0000-000006000000}" name="MOBILE" dataDxfId="99"/>
    <tableColumn id="7" xr3:uid="{00000000-0010-0000-0000-000007000000}" name="BLOCK" dataDxfId="98"/>
    <tableColumn id="8" xr3:uid="{00000000-0010-0000-0000-000008000000}" name="EXCESS LIMIT" dataDxfId="97">
      <calculatedColumnFormula>Table1[[#This Row],[ENR]]-Table1[[#This Row],[CREDIT]]</calculatedColumnFormula>
    </tableColumn>
    <tableColumn id="9" xr3:uid="{00000000-0010-0000-0000-000009000000}" name="CREDIT" dataDxfId="96"/>
    <tableColumn id="10" xr3:uid="{00000000-0010-0000-0000-00000A000000}" name="ENR" dataDxfId="95"/>
    <tableColumn id="11" xr3:uid="{00000000-0010-0000-0000-00000B000000}" name="EMI 0/S" dataDxfId="94"/>
    <tableColumn id="12" xr3:uid="{00000000-0010-0000-0000-00000C000000}" name="CURR_BAL" dataDxfId="93"/>
    <tableColumn id="13" xr3:uid="{00000000-0010-0000-0000-00000D000000}" name="PRI" dataDxfId="92"/>
    <tableColumn id="14" xr3:uid="{00000000-0010-0000-0000-00000E000000}" name="NORM" dataDxfId="91"/>
    <tableColumn id="15" xr3:uid="{00000000-0010-0000-0000-00000F000000}" name="STAB" dataDxfId="90"/>
    <tableColumn id="16" xr3:uid="{00000000-0010-0000-0000-000010000000}" name="PAID/UNPAID" dataDxfId="89"/>
    <tableColumn id="17" xr3:uid="{00000000-0010-0000-0000-000011000000}" name="STATUS" dataDxfId="88"/>
    <tableColumn id="18" xr3:uid="{00000000-0010-0000-0000-000012000000}" name="AMOUNT" dataDxfId="87"/>
    <tableColumn id="19" xr3:uid="{00000000-0010-0000-0000-000013000000}" name="PENDING" dataDxfId="86">
      <calculatedColumnFormula>Table1[[#This Row],[STAB]]-Table1[[#This Row],[AMOUNT]]</calculatedColumnFormula>
    </tableColumn>
    <tableColumn id="20" xr3:uid="{00000000-0010-0000-0000-000014000000}" name="DATE" dataDxfId="85"/>
    <tableColumn id="21" xr3:uid="{00000000-0010-0000-0000-000015000000}" name="DONE BY" dataDxfId="84"/>
    <tableColumn id="22" xr3:uid="{00000000-0010-0000-0000-000016000000}" name="MODE" dataDxfId="83"/>
    <tableColumn id="48" xr3:uid="{629C18F3-9367-47D6-9486-6C5EC4ACAE55}" name="TL ID" dataDxfId="82"/>
    <tableColumn id="23" xr3:uid="{00000000-0010-0000-0000-000017000000}" name="CALLER" dataDxfId="81"/>
    <tableColumn id="47" xr3:uid="{A7B57646-0EA3-4BDE-BCDD-4E3E1432CF94}" name="CALLER ID" dataDxfId="80"/>
    <tableColumn id="24" xr3:uid="{00000000-0010-0000-0000-000018000000}" name="CAT ALLO" dataDxfId="79"/>
    <tableColumn id="25" xr3:uid="{00000000-0010-0000-0000-000019000000}" name="ADD 1" dataDxfId="78"/>
    <tableColumn id="26" xr3:uid="{00000000-0010-0000-0000-00001A000000}" name="ADD 2" dataDxfId="77"/>
    <tableColumn id="27" xr3:uid="{00000000-0010-0000-0000-00001B000000}" name="LOCATION" dataDxfId="76"/>
    <tableColumn id="28" xr3:uid="{00000000-0010-0000-0000-00001C000000}" name="AREA" dataDxfId="75"/>
    <tableColumn id="29" xr3:uid="{00000000-0010-0000-0000-00001D000000}" name="FOS NAME" dataDxfId="74"/>
    <tableColumn id="49" xr3:uid="{B29312A6-783F-4663-AEF3-22A2B5AA768B}" name="FOS ID" dataDxfId="73"/>
    <tableColumn id="30" xr3:uid="{00000000-0010-0000-0000-00001E000000}" name="MARC" dataDxfId="72"/>
    <tableColumn id="31" xr3:uid="{00000000-0010-0000-0000-00001F000000}" name="MARC ID" dataDxfId="71"/>
    <tableColumn id="32" xr3:uid="{00000000-0010-0000-0000-000020000000}" name="MARC PW" dataDxfId="70"/>
    <tableColumn id="33" xr3:uid="{00000000-0010-0000-0000-000021000000}" name="IQ UPLOAD" dataDxfId="69"/>
    <tableColumn id="34" xr3:uid="{00000000-0010-0000-0000-000022000000}" name="TC REMARK" dataDxfId="68"/>
    <tableColumn id="35" xr3:uid="{00000000-0010-0000-0000-000023000000}" name="VISITS" dataDxfId="67"/>
    <tableColumn id="36" xr3:uid="{00000000-0010-0000-0000-000024000000}" name="FOS DISPO" dataDxfId="66"/>
    <tableColumn id="37" xr3:uid="{00000000-0010-0000-0000-000025000000}" name="REMARKS" dataDxfId="65"/>
    <tableColumn id="38" xr3:uid="{00000000-0010-0000-0000-000026000000}" name="V DATE" dataDxfId="64"/>
    <tableColumn id="39" xr3:uid="{00000000-0010-0000-0000-000027000000}" name="LAST PAYMENT DATE" dataDxfId="63"/>
    <tableColumn id="40" xr3:uid="{00000000-0010-0000-0000-000028000000}" name="LAST PAYMENT AMOUNT" dataDxfId="62"/>
    <tableColumn id="44" xr3:uid="{DAEFEEE4-0D58-4723-9961-D8D8386AF190}" name="UCIC DODE" dataDxfId="61"/>
    <tableColumn id="41" xr3:uid="{00000000-0010-0000-0000-000029000000}" name="CARD TYPE" dataDxfId="60"/>
    <tableColumn id="42" xr3:uid="{00000000-0010-0000-0000-00002A000000}" name="ALLOC DATE" dataDxfId="59"/>
    <tableColumn id="43" xr3:uid="{00000000-0010-0000-0000-00002B000000}" name="DueDate" dataDxfId="58"/>
  </tableColumns>
  <tableStyleInfo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R147"/>
  <sheetViews>
    <sheetView showGridLines="0" tabSelected="1" zoomScale="85" zoomScaleNormal="85" workbookViewId="0">
      <selection activeCell="D91" sqref="D91"/>
    </sheetView>
  </sheetViews>
  <sheetFormatPr defaultRowHeight="15" x14ac:dyDescent="0.25"/>
  <cols>
    <col min="1" max="1" width="16" style="2" bestFit="1" customWidth="1"/>
    <col min="2" max="3" width="11.28515625" style="2" bestFit="1" customWidth="1"/>
    <col min="4" max="6" width="12.28515625" style="2" bestFit="1" customWidth="1"/>
    <col min="7" max="7" width="6" style="2" customWidth="1"/>
    <col min="8" max="8" width="15.28515625" style="2" customWidth="1"/>
    <col min="9" max="9" width="22.28515625" style="2" customWidth="1"/>
    <col min="10" max="10" width="5.7109375" style="2" customWidth="1"/>
    <col min="11" max="11" width="43.7109375" style="2" bestFit="1" customWidth="1"/>
    <col min="12" max="12" width="9.7109375" style="2" bestFit="1" customWidth="1"/>
    <col min="13" max="13" width="8.140625" style="2" bestFit="1" customWidth="1"/>
    <col min="14" max="14" width="11.28515625" style="2" bestFit="1" customWidth="1"/>
    <col min="15" max="16" width="8.140625" style="2" bestFit="1" customWidth="1"/>
    <col min="17" max="17" width="12.28515625" style="2" bestFit="1" customWidth="1"/>
    <col min="18" max="18" width="12.85546875" style="2" bestFit="1" customWidth="1"/>
    <col min="19" max="19" width="8.140625" style="2" bestFit="1" customWidth="1"/>
    <col min="20" max="20" width="12.28515625" style="2" bestFit="1" customWidth="1"/>
    <col min="21" max="21" width="6.140625" style="2" customWidth="1"/>
    <col min="22" max="22" width="43.7109375" style="2" bestFit="1" customWidth="1"/>
    <col min="23" max="23" width="9.7109375" style="2" bestFit="1" customWidth="1"/>
    <col min="24" max="24" width="12" style="2" bestFit="1" customWidth="1"/>
    <col min="25" max="25" width="11.28515625" style="2" bestFit="1" customWidth="1"/>
    <col min="26" max="26" width="11.28515625" style="18" customWidth="1"/>
    <col min="27" max="27" width="11.28515625" style="2" customWidth="1"/>
    <col min="28" max="28" width="5.42578125" style="2" customWidth="1"/>
    <col min="29" max="29" width="43.7109375" style="2" bestFit="1" customWidth="1"/>
    <col min="30" max="30" width="16.140625" style="2" bestFit="1" customWidth="1"/>
    <col min="31" max="31" width="6.42578125" style="2" customWidth="1"/>
    <col min="32" max="32" width="6" style="2" customWidth="1"/>
    <col min="33" max="33" width="38.28515625" style="2" bestFit="1" customWidth="1"/>
    <col min="34" max="34" width="7.42578125" style="2" bestFit="1" customWidth="1"/>
    <col min="35" max="35" width="8.140625" style="2" bestFit="1" customWidth="1"/>
    <col min="36" max="36" width="5.28515625" style="2" bestFit="1" customWidth="1"/>
    <col min="37" max="37" width="13.28515625" style="2" bestFit="1" customWidth="1"/>
    <col min="38" max="38" width="9.85546875" style="2" bestFit="1" customWidth="1"/>
    <col min="39" max="39" width="13.28515625" style="2" bestFit="1" customWidth="1"/>
    <col min="40" max="40" width="11.85546875" style="2" bestFit="1" customWidth="1"/>
    <col min="41" max="41" width="14" style="2" bestFit="1" customWidth="1"/>
    <col min="42" max="42" width="14.28515625" style="2" bestFit="1" customWidth="1"/>
    <col min="43" max="43" width="12.140625" style="2" bestFit="1" customWidth="1"/>
    <col min="44" max="45" width="5.7109375" style="2" customWidth="1"/>
    <col min="46" max="46" width="36.85546875" style="2" bestFit="1" customWidth="1"/>
    <col min="47" max="47" width="7.42578125" style="2" bestFit="1" customWidth="1"/>
    <col min="48" max="48" width="8.140625" style="2" bestFit="1" customWidth="1"/>
    <col min="49" max="49" width="5.28515625" style="2" bestFit="1" customWidth="1"/>
    <col min="50" max="50" width="12.140625" style="2" bestFit="1" customWidth="1"/>
    <col min="51" max="51" width="9.85546875" style="18" bestFit="1" customWidth="1"/>
    <col min="52" max="52" width="13.28515625" style="2" bestFit="1" customWidth="1"/>
    <col min="53" max="53" width="11.85546875" style="12" bestFit="1" customWidth="1"/>
    <col min="54" max="54" width="14" style="2" bestFit="1" customWidth="1"/>
    <col min="55" max="55" width="14.28515625" style="2" customWidth="1"/>
    <col min="56" max="56" width="10.5703125" style="2" bestFit="1" customWidth="1"/>
    <col min="57" max="57" width="9.140625" style="2"/>
    <col min="58" max="58" width="16" style="2" bestFit="1" customWidth="1"/>
    <col min="59" max="61" width="11.28515625" style="2" bestFit="1" customWidth="1"/>
    <col min="62" max="63" width="12.28515625" style="2" bestFit="1" customWidth="1"/>
    <col min="64" max="64" width="12" style="2" bestFit="1" customWidth="1"/>
    <col min="65" max="65" width="16" style="2" bestFit="1" customWidth="1"/>
    <col min="66" max="68" width="11.28515625" style="2" bestFit="1" customWidth="1"/>
    <col min="69" max="70" width="12.28515625" style="2" bestFit="1" customWidth="1"/>
    <col min="71" max="71" width="12" style="2" bestFit="1" customWidth="1"/>
    <col min="72" max="72" width="43.7109375" style="2" bestFit="1" customWidth="1"/>
    <col min="73" max="73" width="12.5703125" style="2" bestFit="1" customWidth="1"/>
    <col min="74" max="78" width="10" style="2" bestFit="1" customWidth="1"/>
    <col min="79" max="79" width="43.7109375" style="2" bestFit="1" customWidth="1"/>
    <col min="80" max="80" width="9.7109375" style="2" bestFit="1" customWidth="1"/>
    <col min="81" max="81" width="12" style="2" bestFit="1" customWidth="1"/>
    <col min="82" max="82" width="7.7109375" style="2" bestFit="1" customWidth="1"/>
    <col min="83" max="83" width="13.140625" style="2" bestFit="1" customWidth="1"/>
    <col min="84" max="85" width="11.28515625" style="2" bestFit="1" customWidth="1"/>
    <col min="86" max="86" width="37.42578125" style="2" bestFit="1" customWidth="1"/>
    <col min="87" max="87" width="9" style="2" customWidth="1"/>
    <col min="88" max="92" width="6.7109375" style="2" customWidth="1"/>
    <col min="93" max="93" width="6.42578125" style="2" customWidth="1"/>
    <col min="94" max="94" width="7.140625" style="2" customWidth="1"/>
    <col min="95" max="95" width="6.85546875" style="2" customWidth="1"/>
    <col min="96" max="100" width="6.7109375" style="2" customWidth="1"/>
    <col min="101" max="101" width="7" style="2" customWidth="1"/>
    <col min="102" max="102" width="6.7109375" style="2" customWidth="1"/>
    <col min="103" max="103" width="6.5703125" style="2" bestFit="1" customWidth="1"/>
    <col min="104" max="104" width="7.28515625" style="2" customWidth="1"/>
    <col min="105" max="105" width="11.28515625" style="2" customWidth="1"/>
    <col min="106" max="106" width="33.28515625" style="2" bestFit="1" customWidth="1"/>
    <col min="107" max="107" width="32.85546875" style="2" bestFit="1" customWidth="1"/>
    <col min="108" max="108" width="28.5703125" style="2" bestFit="1" customWidth="1"/>
    <col min="109" max="109" width="10.42578125" style="2" bestFit="1" customWidth="1"/>
    <col min="110" max="110" width="11" style="2" bestFit="1" customWidth="1"/>
    <col min="111" max="111" width="25.5703125" style="2" bestFit="1" customWidth="1"/>
    <col min="112" max="112" width="25" style="2" bestFit="1" customWidth="1"/>
    <col min="113" max="113" width="11.28515625" style="2" bestFit="1" customWidth="1"/>
    <col min="114" max="114" width="26.42578125" style="2" bestFit="1" customWidth="1"/>
    <col min="115" max="115" width="27.28515625" style="2" bestFit="1" customWidth="1"/>
    <col min="116" max="116" width="30.42578125" style="2" bestFit="1" customWidth="1"/>
    <col min="117" max="117" width="26" style="2" bestFit="1" customWidth="1"/>
    <col min="118" max="118" width="27" style="2" bestFit="1" customWidth="1"/>
    <col min="119" max="119" width="31.42578125" style="2" bestFit="1" customWidth="1"/>
    <col min="120" max="120" width="20.7109375" style="2" bestFit="1" customWidth="1"/>
    <col min="121" max="121" width="21.7109375" style="2" bestFit="1" customWidth="1"/>
    <col min="122" max="122" width="30.85546875" style="2" bestFit="1" customWidth="1"/>
    <col min="123" max="123" width="27.7109375" style="2" bestFit="1" customWidth="1"/>
    <col min="124" max="124" width="32.28515625" style="2" bestFit="1" customWidth="1"/>
    <col min="125" max="125" width="32.85546875" style="2" bestFit="1" customWidth="1"/>
    <col min="126" max="126" width="10.42578125" style="2" bestFit="1" customWidth="1"/>
    <col min="127" max="127" width="11" style="2" bestFit="1" customWidth="1"/>
    <col min="128" max="128" width="35.7109375" style="2" bestFit="1" customWidth="1"/>
    <col min="129" max="129" width="10.42578125" style="2" bestFit="1" customWidth="1"/>
    <col min="130" max="130" width="10.7109375" style="2" bestFit="1" customWidth="1"/>
    <col min="131" max="131" width="26.42578125" style="2" bestFit="1" customWidth="1"/>
    <col min="132" max="132" width="27.28515625" style="2" bestFit="1" customWidth="1"/>
    <col min="133" max="133" width="37" style="2" bestFit="1" customWidth="1"/>
    <col min="134" max="134" width="7.28515625" style="2" bestFit="1" customWidth="1"/>
    <col min="135" max="135" width="33.140625" style="2" bestFit="1" customWidth="1"/>
    <col min="136" max="136" width="33.85546875" style="2" bestFit="1" customWidth="1"/>
    <col min="137" max="137" width="26" style="2" bestFit="1" customWidth="1"/>
    <col min="138" max="138" width="27.42578125" style="2" bestFit="1" customWidth="1"/>
    <col min="139" max="139" width="30" style="2" bestFit="1" customWidth="1"/>
    <col min="140" max="140" width="27" style="2" bestFit="1" customWidth="1"/>
    <col min="141" max="141" width="29.85546875" style="2" bestFit="1" customWidth="1"/>
    <col min="142" max="142" width="31.42578125" style="2" bestFit="1" customWidth="1"/>
    <col min="143" max="143" width="32.85546875" style="2" bestFit="1" customWidth="1"/>
    <col min="144" max="144" width="23.7109375" style="2" bestFit="1" customWidth="1"/>
    <col min="145" max="145" width="26.7109375" style="2" bestFit="1" customWidth="1"/>
    <col min="146" max="146" width="31.28515625" style="2" bestFit="1" customWidth="1"/>
    <col min="147" max="147" width="25.5703125" style="2" bestFit="1" customWidth="1"/>
    <col min="148" max="148" width="21.7109375" style="2" bestFit="1" customWidth="1"/>
    <col min="149" max="149" width="30.5703125" style="2" bestFit="1" customWidth="1"/>
    <col min="150" max="150" width="23.140625" style="2" bestFit="1" customWidth="1"/>
    <col min="151" max="151" width="30.85546875" style="2" bestFit="1" customWidth="1"/>
    <col min="152" max="152" width="35.7109375" style="2" bestFit="1" customWidth="1"/>
    <col min="153" max="153" width="24.85546875" style="2" bestFit="1" customWidth="1"/>
    <col min="154" max="154" width="27.7109375" style="2" bestFit="1" customWidth="1"/>
    <col min="155" max="155" width="27.140625" style="2" bestFit="1" customWidth="1"/>
    <col min="156" max="156" width="32.28515625" style="2" bestFit="1" customWidth="1"/>
    <col min="157" max="157" width="27.7109375" style="2" bestFit="1" customWidth="1"/>
    <col min="158" max="158" width="22.140625" style="2" bestFit="1" customWidth="1"/>
    <col min="159" max="159" width="32.85546875" style="2" bestFit="1" customWidth="1"/>
    <col min="160" max="160" width="28.5703125" style="2" bestFit="1" customWidth="1"/>
    <col min="161" max="161" width="28.42578125" style="2" bestFit="1" customWidth="1"/>
    <col min="162" max="162" width="22.85546875" style="2" bestFit="1" customWidth="1"/>
    <col min="163" max="163" width="7.7109375" style="2" bestFit="1" customWidth="1"/>
    <col min="164" max="165" width="10.42578125" style="2" bestFit="1" customWidth="1"/>
    <col min="166" max="166" width="6.85546875" style="2" bestFit="1" customWidth="1"/>
    <col min="167" max="167" width="11.28515625" style="2" bestFit="1" customWidth="1"/>
    <col min="168" max="168" width="27.140625" style="2" bestFit="1" customWidth="1"/>
    <col min="169" max="169" width="34.7109375" style="2" bestFit="1" customWidth="1"/>
    <col min="170" max="170" width="6.140625" style="2" bestFit="1" customWidth="1"/>
    <col min="171" max="171" width="4.5703125" style="2" bestFit="1" customWidth="1"/>
    <col min="172" max="172" width="38" style="2" bestFit="1" customWidth="1"/>
    <col min="173" max="173" width="30.42578125" style="2" bestFit="1" customWidth="1"/>
    <col min="174" max="174" width="4.5703125" style="2" bestFit="1" customWidth="1"/>
    <col min="175" max="175" width="33.5703125" style="2" bestFit="1" customWidth="1"/>
    <col min="176" max="176" width="26.85546875" style="2" bestFit="1" customWidth="1"/>
    <col min="177" max="177" width="30.140625" style="2" bestFit="1" customWidth="1"/>
    <col min="178" max="178" width="30.28515625" style="2" bestFit="1" customWidth="1"/>
    <col min="179" max="179" width="33.42578125" style="2" bestFit="1" customWidth="1"/>
    <col min="180" max="180" width="24.7109375" style="2" bestFit="1" customWidth="1"/>
    <col min="181" max="181" width="27.85546875" style="2" bestFit="1" customWidth="1"/>
    <col min="182" max="182" width="9.5703125" style="2" bestFit="1" customWidth="1"/>
    <col min="183" max="183" width="12.5703125" style="2" bestFit="1" customWidth="1"/>
    <col min="184" max="184" width="12.28515625" style="2" bestFit="1" customWidth="1"/>
    <col min="185" max="185" width="5.85546875" style="2" bestFit="1" customWidth="1"/>
    <col min="186" max="186" width="4.5703125" style="2" bestFit="1" customWidth="1"/>
    <col min="187" max="187" width="15.42578125" style="2" bestFit="1" customWidth="1"/>
    <col min="188" max="188" width="12.28515625" style="2" bestFit="1" customWidth="1"/>
    <col min="189" max="189" width="4.5703125" style="2" bestFit="1" customWidth="1"/>
    <col min="190" max="190" width="15.42578125" style="2" bestFit="1" customWidth="1"/>
    <col min="191" max="191" width="11.28515625" style="2" bestFit="1" customWidth="1"/>
    <col min="192" max="16384" width="9.140625" style="2"/>
  </cols>
  <sheetData>
    <row r="2" ht="22" customHeight="1">
      <c r="AG2" s="70" t="inlineStr">
        <is>
          <t xml:space="preserve">FOS TARGET — ALL CYCLES (follows the slicers)</t>
        </is>
      </c>
      <c r="AH2" s="70"/>
      <c r="AI2" s="70"/>
      <c r="AJ2" s="70"/>
      <c r="AK2" s="70"/>
      <c r="AL2" s="70"/>
      <c r="AM2" s="70"/>
      <c r="AN2" s="70"/>
      <c r="AO2" s="70"/>
      <c r="AP2" s="70"/>
      <c r="AQ2" s="70"/>
      <c r="AT2" s="70" t="inlineStr">
        <is>
          <t xml:space="preserve">FOS TARGET — CYCLE ▸</t>
        </is>
      </c>
      <c r="AU2" s="70"/>
      <c r="AV2" s="70"/>
      <c r="AW2" s="71" t="inlineStr">
        <is>
          <t xml:space="preserve">ALL</t>
        </is>
      </c>
      <c r="AX2" s="70" t="inlineStr">
        <is>
          <t xml:space="preserve">◂ choose ALL or a cycle</t>
        </is>
      </c>
      <c r="AY2" s="70"/>
      <c r="AZ2" s="70"/>
      <c r="BA2" s="70"/>
      <c r="BB2" s="70"/>
      <c r="BC2" s="70"/>
      <c r="BD2" s="70"/>
    </row>
    <row r="3" ht="32" customHeight="1">
      <c r="AG3" s="63" t="inlineStr">
        <is>
          <t xml:space="preserve">EMP NAME</t>
        </is>
      </c>
      <c r="AH3" s="64" t="inlineStr">
        <is>
          <t xml:space="preserve">COUNT</t>
        </is>
      </c>
      <c r="AI3" s="66" t="inlineStr">
        <is>
          <t xml:space="preserve">UNPAID</t>
        </is>
      </c>
      <c r="AJ3" s="65" t="inlineStr">
        <is>
          <t xml:space="preserve">PAID</t>
        </is>
      </c>
      <c r="AK3" s="64" t="inlineStr">
        <is>
          <t xml:space="preserve">ENR</t>
        </is>
      </c>
      <c r="AL3" s="67" t="inlineStr">
        <is>
          <t xml:space="preserve">TARGET %</t>
        </is>
      </c>
      <c r="AM3" s="67" t="inlineStr">
        <is>
          <t xml:space="preserve">TARGET ENR</t>
        </is>
      </c>
      <c r="AN3" s="65" t="inlineStr">
        <is>
          <t xml:space="preserve">ACHIEVED %</t>
        </is>
      </c>
      <c r="AO3" s="65" t="inlineStr">
        <is>
          <t xml:space="preserve">ACHIEVED ENR</t>
        </is>
      </c>
      <c r="AP3" s="68" t="inlineStr">
        <is>
          <t xml:space="preserve">PENDING VISIT</t>
        </is>
      </c>
      <c r="AQ3" s="69" t="inlineStr">
        <is>
          <t xml:space="preserve">CASH COLL</t>
        </is>
      </c>
      <c r="AT3" s="63" t="inlineStr">
        <is>
          <t xml:space="preserve">EMP NAME</t>
        </is>
      </c>
      <c r="AU3" s="64" t="inlineStr">
        <is>
          <t xml:space="preserve">COUNT</t>
        </is>
      </c>
      <c r="AV3" s="66" t="inlineStr">
        <is>
          <t xml:space="preserve">UNPAID</t>
        </is>
      </c>
      <c r="AW3" s="65" t="inlineStr">
        <is>
          <t xml:space="preserve">PAID</t>
        </is>
      </c>
      <c r="AX3" s="64" t="inlineStr">
        <is>
          <t xml:space="preserve">ENR</t>
        </is>
      </c>
      <c r="AY3" s="67" t="inlineStr">
        <is>
          <t xml:space="preserve">TARGET %</t>
        </is>
      </c>
      <c r="AZ3" s="67" t="inlineStr">
        <is>
          <t xml:space="preserve">TARGET ENR</t>
        </is>
      </c>
      <c r="BA3" s="65" t="inlineStr">
        <is>
          <t xml:space="preserve">ACHIEVED %</t>
        </is>
      </c>
      <c r="BB3" s="65" t="inlineStr">
        <is>
          <t xml:space="preserve">ACHIEVED ENR</t>
        </is>
      </c>
      <c r="BC3" s="68" t="inlineStr">
        <is>
          <t xml:space="preserve">PENDING VISIT</t>
        </is>
      </c>
      <c r="BD3" s="69" t="inlineStr">
        <is>
          <t xml:space="preserve">CASH COLL</t>
        </is>
      </c>
      <c r="GQ3" s="63" t="inlineStr">
        <is>
          <t xml:space="preserve">FOS (target list)</t>
        </is>
      </c>
      <c r="GR3" s="67" t="inlineStr">
        <is>
          <t xml:space="preserve">TARGET %</t>
        </is>
      </c>
    </row>
    <row r="4">
      <c r="AG4" s="72">
        <f>IF(K4="","",K4)</f>
      </c>
      <c r="AH4" s="73">
        <f>IF($AG4="","",IFERROR(IF($AG4="Grand Total",GETPIVOTDATA("COUNT.",$K$1),GETPIVOTDATA("COUNT.",$K$1,"FOS NAME",$AG4)),0))</f>
      </c>
      <c r="AI4" s="73">
        <f>IF($AG4="","",IFERROR(IF($AG4="Grand Total",GETPIVOTDATA("COUNT.",$K$1,"PAID/UNPAID","UNPAID"),GETPIVOTDATA("COUNT.",$K$1,"FOS NAME",$AG4,"PAID/UNPAID","UNPAID")),0))</f>
      </c>
      <c r="AJ4" s="73">
        <f>IF($AG4="","",IFERROR(IF($AG4="Grand Total",GETPIVOTDATA("COUNT.",$K$1,"PAID/UNPAID","PAID"),GETPIVOTDATA("COUNT.",$K$1,"FOS NAME",$AG4,"PAID/UNPAID","PAID")),0))</f>
      </c>
      <c r="AK4" s="74">
        <f>IF($AG4="","",IFERROR(IF($AG4="Grand Total",GETPIVOTDATA("ENR.",$K$1),GETPIVOTDATA("ENR.",$K$1,"FOS NAME",$AG4)),0))</f>
      </c>
      <c r="AL4" s="76">
        <f>IF($AG4="","",IF($AG4="Grand Total",IFERROR(AM4/AK4,0.85),IFERROR(VLOOKUP($AG4,$GQ$4:$GR$2000,2,0),0.85)))</f>
      </c>
      <c r="AM4" s="74">
        <f>IF($AG4="","",AK4*AL4)</f>
      </c>
      <c r="AN4" s="75">
        <f>IF($AG4="","",IFERROR(AO4/AK4,0))</f>
      </c>
      <c r="AO4" s="74">
        <f>IF($AG4="","",IFERROR(IF($AG4="Grand Total",GETPIVOTDATA("ENR.",$K$1,"PAID/UNPAID","PAID"),GETPIVOTDATA("ENR.",$K$1,"FOS NAME",$AG4,"PAID/UNPAID","PAID")),0))</f>
      </c>
      <c r="AP4" s="73">
        <f>IF($AG4="","",IFERROR(IF($AG4="Grand Total",GETPIVOTDATA("COUNT.",$V$2,"VISITS","NOT VISITED"),GETPIVOTDATA("COUNT.",$V$2,"FOS NAME",$AG4,"VISITS","NOT VISITED")),0))</f>
      </c>
      <c r="AQ4" s="74">
        <f>IF($AG4="","",IFERROR(IF($AG4="Grand Total",GETPIVOTDATA("Sum of AMOUNT",$AC$3),GETPIVOTDATA("Sum of AMOUNT",$AC$3,"FOS NAME",$AG4)),0))</f>
      </c>
      <c r="AT4" s="77" t="inlineStr">
        <is>
          <t xml:space="preserve">Grand Total</t>
        </is>
      </c>
      <c r="AU4" s="78">
        <f>SUM(AU4:AU3)</f>
      </c>
      <c r="AV4" s="78">
        <f>SUM(AV4:AV3)</f>
      </c>
      <c r="AW4" s="78">
        <f>SUM(AW4:AW3)</f>
      </c>
      <c r="AX4" s="79">
        <f>SUM(AX4:AX3)</f>
      </c>
      <c r="AY4" s="81">
        <f>IFERROR(AZ4/AX4,0.85)</f>
      </c>
      <c r="AZ4" s="79">
        <f>SUM(AZ4:AZ3)</f>
      </c>
      <c r="BA4" s="80">
        <f>IFERROR(BB4/AX4,0)</f>
      </c>
      <c r="BB4" s="79">
        <f>SUM(BB4:BB3)</f>
      </c>
      <c r="BC4" s="78">
        <f>SUM(BC4:BC3)</f>
      </c>
      <c r="BD4" s="79">
        <f>SUM(BD4:BD3)</f>
      </c>
    </row>
    <row r="5">
      <c r="AG5" s="77">
        <f>IF(K5="","",K5)</f>
      </c>
      <c r="AH5" s="78">
        <f>IF($AG5="","",IFERROR(IF($AG5="Grand Total",GETPIVOTDATA("COUNT.",$K$1),GETPIVOTDATA("COUNT.",$K$1,"FOS NAME",$AG5)),0))</f>
      </c>
      <c r="AI5" s="78">
        <f>IF($AG5="","",IFERROR(IF($AG5="Grand Total",GETPIVOTDATA("COUNT.",$K$1,"PAID/UNPAID","UNPAID"),GETPIVOTDATA("COUNT.",$K$1,"FOS NAME",$AG5,"PAID/UNPAID","UNPAID")),0))</f>
      </c>
      <c r="AJ5" s="78">
        <f>IF($AG5="","",IFERROR(IF($AG5="Grand Total",GETPIVOTDATA("COUNT.",$K$1,"PAID/UNPAID","PAID"),GETPIVOTDATA("COUNT.",$K$1,"FOS NAME",$AG5,"PAID/UNPAID","PAID")),0))</f>
      </c>
      <c r="AK5" s="79">
        <f>IF($AG5="","",IFERROR(IF($AG5="Grand Total",GETPIVOTDATA("ENR.",$K$1),GETPIVOTDATA("ENR.",$K$1,"FOS NAME",$AG5)),0))</f>
      </c>
      <c r="AL5" s="81">
        <f>IF($AG5="","",IF($AG5="Grand Total",IFERROR(AM5/AK5,0.85),IFERROR(VLOOKUP($AG5,$GQ$4:$GR$2000,2,0),0.85)))</f>
      </c>
      <c r="AM5" s="79">
        <f>IF($AG5="","",IF($AG5="Grand Total",SUM(AM$4:AM4),AK5*AL5))</f>
      </c>
      <c r="AN5" s="80">
        <f>IF($AG5="","",IFERROR(AO5/AK5,0))</f>
      </c>
      <c r="AO5" s="79">
        <f>IF($AG5="","",IFERROR(IF($AG5="Grand Total",GETPIVOTDATA("ENR.",$K$1,"PAID/UNPAID","PAID"),GETPIVOTDATA("ENR.",$K$1,"FOS NAME",$AG5,"PAID/UNPAID","PAID")),0))</f>
      </c>
      <c r="AP5" s="78">
        <f>IF($AG5="","",IFERROR(IF($AG5="Grand Total",GETPIVOTDATA("COUNT.",$V$2,"VISITS","NOT VISITED"),GETPIVOTDATA("COUNT.",$V$2,"FOS NAME",$AG5,"VISITS","NOT VISITED")),0))</f>
      </c>
      <c r="AQ5" s="79">
        <f>IF($AG5="","",IFERROR(IF($AG5="Grand Total",GETPIVOTDATA("Sum of AMOUNT",$AC$3),GETPIVOTDATA("Sum of AMOUNT",$AC$3,"FOS NAME",$AG5)),0))</f>
      </c>
    </row>
  </sheetData>
  <conditionalFormatting pivot="1" sqref="M4:M46">
    <cfRule type="colorScale" priority="44">
      <colorScale>
        <cfvo type="min"/>
        <cfvo type="percentile" val="50"/>
        <cfvo type="max"/>
        <color rgb="FFF8696B"/>
        <color rgb="FFFFEB84"/>
        <color rgb="FF63BE7B"/>
      </colorScale>
    </cfRule>
  </conditionalFormatting>
  <conditionalFormatting pivot="1" sqref="D145 D140 D149">
    <cfRule type="colorScale" priority="42">
      <colorScale>
        <cfvo type="min"/>
        <cfvo type="percentile" val="50"/>
        <cfvo type="max"/>
        <color rgb="FFF8696B"/>
        <color rgb="FFFFEB84"/>
        <color rgb="FF63BE7B"/>
      </colorScale>
    </cfRule>
  </conditionalFormatting>
  <conditionalFormatting pivot="1" sqref="BI13 BI8 BI18 BI23 BI28 BI33 BI38 BI42">
    <cfRule type="colorScale" priority="40">
      <colorScale>
        <cfvo type="min"/>
        <cfvo type="percentile" val="50"/>
        <cfvo type="max"/>
        <color rgb="FFF8696B"/>
        <color rgb="FFFFEB84"/>
        <color rgb="FF63BE7B"/>
      </colorScale>
    </cfRule>
  </conditionalFormatting>
  <conditionalFormatting pivot="1" sqref="BP13 BP8 BP18 BP23 BP27">
    <cfRule type="colorScale" priority="39">
      <colorScale>
        <cfvo type="min"/>
        <cfvo type="percentile" val="50"/>
        <cfvo type="max"/>
        <color rgb="FFF8696B"/>
        <color rgb="FFFFEB84"/>
        <color rgb="FF63BE7B"/>
      </colorScale>
    </cfRule>
  </conditionalFormatting>
  <conditionalFormatting pivot="1" sqref="X4:X5 X7 X12 X14 X20:X22 X25:X27 X29:X30 X33 X35 X38 X40:X42">
    <cfRule type="colorScale" priority="18">
      <colorScale>
        <cfvo type="min"/>
        <cfvo type="percentile" val="50"/>
        <cfvo type="max"/>
        <color rgb="FF63BE7B"/>
        <color rgb="FFFFEB84"/>
        <color rgb="FFF8696B"/>
      </colorScale>
    </cfRule>
  </conditionalFormatting>
  <conditionalFormatting pivot="1" sqref="X4:X5 X7 X10 X12 X14 X20:X22 X25:X27 X29:X30 X33 X35 X38 X40:X42">
    <cfRule type="colorScale" priority="16">
      <colorScale>
        <cfvo type="min"/>
        <cfvo type="percentile" val="50"/>
        <cfvo type="max"/>
        <color rgb="FFF8696B"/>
        <color rgb="FFFFEB84"/>
        <color rgb="FF63BE7B"/>
      </colorScale>
    </cfRule>
  </conditionalFormatting>
  <conditionalFormatting pivot="1" sqref="X7 X4 X10 X12 X14 X20:X22 X25:X27 X29:X30 X33 X35 X38 X40 X42">
    <cfRule type="colorScale" priority="14">
      <colorScale>
        <cfvo type="min"/>
        <cfvo type="percentile" val="50"/>
        <cfvo type="max"/>
        <color rgb="FF63BE7B"/>
        <color rgb="FFFFEB84"/>
        <color rgb="FFF8696B"/>
      </colorScale>
    </cfRule>
  </conditionalFormatting>
  <conditionalFormatting pivot="1" sqref="X12 X4 X20:X21 X25:X27 X29:X30 X33 X38 X40 X42 X44">
    <cfRule type="colorScale" priority="13">
      <colorScale>
        <cfvo type="min"/>
        <cfvo type="percentile" val="50"/>
        <cfvo type="max"/>
        <color rgb="FF63BE7B"/>
        <color rgb="FFFFEB84"/>
        <color rgb="FFF8696B"/>
      </colorScale>
    </cfRule>
  </conditionalFormatting>
  <conditionalFormatting pivot="1" sqref="X7 X4 X9:X10 X12 X17 X20:X22 X25:X27 X29:X30 X33 X38 X40 X42 X44">
    <cfRule type="colorScale" priority="12">
      <colorScale>
        <cfvo type="min"/>
        <cfvo type="percentile" val="50"/>
        <cfvo type="max"/>
        <color rgb="FF63BE7B"/>
        <color rgb="FFFFEB84"/>
        <color rgb="FFF8696B"/>
      </colorScale>
    </cfRule>
  </conditionalFormatting>
  <conditionalFormatting pivot="1" sqref="X7 X4 X9:X10 X12 X17 X20:X22 X25:X30 X33 X38 X40 X42 X44">
    <cfRule type="colorScale" priority="11">
      <colorScale>
        <cfvo type="min"/>
        <cfvo type="percentile" val="50"/>
        <cfvo type="max"/>
        <color rgb="FF63BE7B"/>
        <color rgb="FFFFEB84"/>
        <color rgb="FFF8696B"/>
      </colorScale>
    </cfRule>
  </conditionalFormatting>
  <conditionalFormatting pivot="1" sqref="X9:X10 X4 X12 X14 X17 X20:X22 X25:X30 X32:X33 X38 X40 X42:X44">
    <cfRule type="colorScale" priority="10">
      <colorScale>
        <cfvo type="min"/>
        <cfvo type="percentile" val="50"/>
        <cfvo type="max"/>
        <color rgb="FF63BE7B"/>
        <color rgb="FFFFEB84"/>
        <color rgb="FFF8696B"/>
      </colorScale>
    </cfRule>
  </conditionalFormatting>
  <conditionalFormatting pivot="1" sqref="X9:X10 X4 X12 X14 X17 X19:X22 X25:X30 X32:X33 X38 X40 X42:X44">
    <cfRule type="colorScale" priority="9">
      <colorScale>
        <cfvo type="min"/>
        <cfvo type="percentile" val="50"/>
        <cfvo type="max"/>
        <color rgb="FF63BE7B"/>
        <color rgb="FFFFEB84"/>
        <color rgb="FFF8696B"/>
      </colorScale>
    </cfRule>
  </conditionalFormatting>
  <conditionalFormatting pivot="1" sqref="X9 X4 X12 X14 X17 X19:X22 X25:X30 X32:X33 X38 X40 X42:X44">
    <cfRule type="colorScale" priority="8">
      <colorScale>
        <cfvo type="min"/>
        <cfvo type="percentile" val="50"/>
        <cfvo type="max"/>
        <color rgb="FF63BE7B"/>
        <color rgb="FFFFEB84"/>
        <color rgb="FFF8696B"/>
      </colorScale>
    </cfRule>
  </conditionalFormatting>
  <conditionalFormatting pivot="1" sqref="D11 D6 D16 D21 D26 D31 D36 D41 D46 D51 D56 D61 D66 D71 D76 D81 D86 D90">
    <cfRule type="colorScale" priority="7">
      <colorScale>
        <cfvo type="min"/>
        <cfvo type="percentile" val="50"/>
        <cfvo type="max"/>
        <color rgb="FFF8696B"/>
        <color rgb="FFFFEB84"/>
        <color rgb="FF63BE7B"/>
      </colorScale>
    </cfRule>
  </conditionalFormatting>
  <conditionalFormatting pivot="1" sqref="X9:X10 X7 X14 X17 X19:X22 X25:X30 X32:X33 X35 X38 X40 X42 X44">
    <cfRule type="colorScale" priority="5">
      <colorScale>
        <cfvo type="min"/>
        <cfvo type="percentile" val="50"/>
        <cfvo type="max"/>
        <color rgb="FFF8696B"/>
        <color rgb="FFFFEB84"/>
        <color rgb="FF63BE7B"/>
      </colorScale>
    </cfRule>
  </conditionalFormatting>
  <conditionalFormatting pivot="1" sqref="X6:X7 X4 X9:X10 X14 X17 X19:X22 X25:X30 X32:X35 X38:X44">
    <cfRule type="colorScale" priority="3">
      <colorScale>
        <cfvo type="min"/>
        <cfvo type="percentile" val="50"/>
        <cfvo type="max"/>
        <color rgb="FF63BE7B"/>
        <color rgb="FFFFEB84"/>
        <color rgb="FFF8696B"/>
      </colorScale>
    </cfRule>
  </conditionalFormatting>
  <conditionalFormatting pivot="1" sqref="X7:X8 X5 X10 X12:X13 X20:X21 X27 X30:X36 X39:X40 X42:X44">
    <cfRule type="colorScale" priority="1">
      <colorScale>
        <cfvo type="min"/>
        <cfvo type="percentile" val="50"/>
        <cfvo type="max"/>
        <color rgb="FF63BE7B"/>
        <color rgb="FFFFEB84"/>
        <color rgb="FFF8696B"/>
      </colorScale>
    </cfRule>
  </conditionalFormatting>
  <dataValidations count="1">
    <dataValidation type="list" allowBlank="1" showInputMessage="1" promptTitle="Cycle" prompt="Pick ALL or one cycle" sqref="AW2">
      <formula1>"ALL"</formula1>
    </dataValidation>
  </dataValidations>
  <pageMargins left="0.7" right="0.7" top="0.75" bottom="0.75" header="0.3" footer="0.3"/>
  <pageSetup paperSize="9"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T2"/>
  <sheetViews>
    <sheetView workbookViewId="0">
      <pane xSplit="2" ySplit="1" topLeftCell="C2" activePane="bottomRight" state="frozen"/>
      <selection pane="bottomRight" activeCell="C2" sqref="C2"/>
    </sheetView>
  </sheetViews>
  <sheetFormatPr defaultColWidth="17" defaultRowHeight="15" x14ac:dyDescent="0.25"/>
  <cols>
    <col min="1" max="1" width="17.28515625" style="60" bestFit="1" customWidth="1"/>
    <col min="2" max="2" width="38.28515625" style="60" bestFit="1" customWidth="1"/>
    <col min="3" max="3" width="4.7109375" style="60" bestFit="1" customWidth="1"/>
    <col min="4" max="4" width="4.28515625" style="60" bestFit="1" customWidth="1"/>
    <col min="5" max="5" width="11" style="60" bestFit="1" customWidth="1"/>
    <col min="6" max="6" width="6.7109375" style="60" bestFit="1" customWidth="1"/>
    <col min="7" max="7" width="12.42578125" style="60" bestFit="1" customWidth="1"/>
    <col min="8" max="8" width="7.140625" style="60" bestFit="1" customWidth="1"/>
    <col min="9" max="9" width="8" style="60" bestFit="1" customWidth="1"/>
    <col min="10" max="10" width="8" style="16" bestFit="1" customWidth="1"/>
    <col min="11" max="11" width="10" style="60" bestFit="1" customWidth="1"/>
    <col min="12" max="12" width="7" style="60" bestFit="1" customWidth="1"/>
    <col min="13" max="13" width="8.5703125" style="60" bestFit="1" customWidth="1"/>
    <col min="14" max="14" width="7" style="60" bestFit="1" customWidth="1"/>
    <col min="15" max="15" width="13.28515625" style="60" bestFit="1" customWidth="1"/>
    <col min="16" max="16" width="7.5703125" style="60" bestFit="1" customWidth="1"/>
    <col min="17" max="18" width="9.140625" style="60" bestFit="1" customWidth="1"/>
    <col min="19" max="19" width="7.140625" style="60" bestFit="1" customWidth="1"/>
    <col min="20" max="20" width="8.7109375" style="60" bestFit="1" customWidth="1"/>
    <col min="21" max="21" width="6.42578125" style="60" bestFit="1" customWidth="1"/>
    <col min="22" max="22" width="5.85546875" style="60" bestFit="1" customWidth="1"/>
    <col min="23" max="23" width="9.42578125" style="60" bestFit="1" customWidth="1"/>
    <col min="24" max="24" width="9.5703125" style="60" bestFit="1" customWidth="1"/>
    <col min="25" max="25" width="9.28515625" style="60" bestFit="1" customWidth="1"/>
    <col min="26" max="28" width="17" style="60"/>
    <col min="29" max="29" width="7.85546875" style="60" bestFit="1" customWidth="1"/>
    <col min="30" max="30" width="42.85546875" style="60" bestFit="1" customWidth="1"/>
    <col min="31" max="31" width="10" style="60" bestFit="1" customWidth="1"/>
    <col min="32" max="32" width="15.28515625" style="60" bestFit="1" customWidth="1"/>
    <col min="33" max="33" width="10" style="60" bestFit="1" customWidth="1"/>
    <col min="34" max="34" width="11" style="60" bestFit="1" customWidth="1"/>
    <col min="35" max="35" width="10.7109375" style="60" bestFit="1" customWidth="1"/>
    <col min="36" max="36" width="11" style="60" bestFit="1" customWidth="1"/>
    <col min="37" max="37" width="12" style="60" bestFit="1" customWidth="1"/>
    <col min="38" max="38" width="10.28515625" style="60" bestFit="1" customWidth="1"/>
    <col min="39" max="39" width="17" style="60"/>
    <col min="40" max="40" width="7.5703125" style="60" bestFit="1" customWidth="1"/>
    <col min="41" max="41" width="10.42578125" style="60" bestFit="1" customWidth="1"/>
    <col min="42" max="42" width="10" style="60" bestFit="1" customWidth="1"/>
    <col min="43" max="43" width="16.140625" style="60" bestFit="1" customWidth="1"/>
    <col min="44" max="44" width="16.85546875" style="60" bestFit="1" customWidth="1"/>
    <col min="45" max="45" width="11.5703125" style="60" bestFit="1" customWidth="1"/>
    <col min="46" max="46" width="10.42578125" style="60" bestFit="1" customWidth="1"/>
    <col min="47" max="16384" width="17" style="60"/>
  </cols>
  <sheetData>
    <row r="1" ht="30" customHeight="1">
      <c r="A1" s="63" t="inlineStr">
        <is>
          <t xml:space="preserve">ACC.NO</t>
        </is>
      </c>
      <c r="B1" s="63" t="inlineStr">
        <is>
          <t xml:space="preserve">NAMES</t>
        </is>
      </c>
      <c r="C1" s="63" t="inlineStr">
        <is>
          <t xml:space="preserve">O/N</t>
        </is>
      </c>
      <c r="D1" s="63" t="inlineStr">
        <is>
          <t xml:space="preserve">CYC</t>
        </is>
      </c>
      <c r="E1" s="64" t="inlineStr">
        <is>
          <t xml:space="preserve">MOBILE</t>
        </is>
      </c>
      <c r="F1" s="64" t="inlineStr">
        <is>
          <t xml:space="preserve">BLOCK</t>
        </is>
      </c>
      <c r="G1" s="64" t="inlineStr">
        <is>
          <t xml:space="preserve">EXCESS LIMIT</t>
        </is>
      </c>
      <c r="H1" s="64" t="inlineStr">
        <is>
          <t xml:space="preserve">CREDIT</t>
        </is>
      </c>
      <c r="I1" s="64" t="inlineStr">
        <is>
          <t xml:space="preserve">ENR</t>
        </is>
      </c>
      <c r="J1" s="64" t="inlineStr">
        <is>
          <t xml:space="preserve">EMI 0/S</t>
        </is>
      </c>
      <c r="K1" s="64" t="inlineStr">
        <is>
          <t xml:space="preserve">CURR_BAL</t>
        </is>
      </c>
      <c r="L1" s="64" t="inlineStr">
        <is>
          <t xml:space="preserve">PRI</t>
        </is>
      </c>
      <c r="M1" s="64" t="inlineStr">
        <is>
          <t xml:space="preserve">NORM</t>
        </is>
      </c>
      <c r="N1" s="64" t="inlineStr">
        <is>
          <t xml:space="preserve">STAB</t>
        </is>
      </c>
      <c r="O1" s="64" t="inlineStr">
        <is>
          <t xml:space="preserve">PAID/UNPAID</t>
        </is>
      </c>
      <c r="P1" s="64" t="inlineStr">
        <is>
          <t xml:space="preserve">STATUS</t>
        </is>
      </c>
      <c r="Q1" s="64" t="inlineStr">
        <is>
          <t xml:space="preserve">AMOUNT</t>
        </is>
      </c>
      <c r="R1" s="64" t="inlineStr">
        <is>
          <t xml:space="preserve">PENDING</t>
        </is>
      </c>
      <c r="S1" s="64" t="inlineStr">
        <is>
          <t xml:space="preserve">DATE</t>
        </is>
      </c>
      <c r="T1" s="64" t="inlineStr">
        <is>
          <t xml:space="preserve">DONE BY</t>
        </is>
      </c>
      <c r="U1" s="64" t="inlineStr">
        <is>
          <t xml:space="preserve">MODE</t>
        </is>
      </c>
      <c r="V1" s="64" t="inlineStr">
        <is>
          <t xml:space="preserve">TL ID</t>
        </is>
      </c>
      <c r="W1" s="64" t="inlineStr">
        <is>
          <t xml:space="preserve">CALLER</t>
        </is>
      </c>
      <c r="X1" s="64" t="inlineStr">
        <is>
          <t xml:space="preserve">CALLER ID</t>
        </is>
      </c>
      <c r="Y1" s="64" t="inlineStr">
        <is>
          <t xml:space="preserve">CAT ALLO</t>
        </is>
      </c>
      <c r="Z1" s="64" t="inlineStr">
        <is>
          <t xml:space="preserve">ADD 1</t>
        </is>
      </c>
      <c r="AA1" s="64" t="inlineStr">
        <is>
          <t xml:space="preserve">ADD 2</t>
        </is>
      </c>
      <c r="AB1" s="64" t="inlineStr">
        <is>
          <t xml:space="preserve">LOCATION</t>
        </is>
      </c>
      <c r="AC1" s="64" t="inlineStr">
        <is>
          <t xml:space="preserve">AREA</t>
        </is>
      </c>
      <c r="AD1" s="64" t="inlineStr">
        <is>
          <t xml:space="preserve">FOS NAME</t>
        </is>
      </c>
      <c r="AE1" s="64" t="inlineStr">
        <is>
          <t xml:space="preserve">FOS ID</t>
        </is>
      </c>
      <c r="AF1" s="64" t="inlineStr">
        <is>
          <t xml:space="preserve">MARC</t>
        </is>
      </c>
      <c r="AG1" s="64" t="inlineStr">
        <is>
          <t xml:space="preserve">MARC ID</t>
        </is>
      </c>
      <c r="AH1" s="64" t="inlineStr">
        <is>
          <t xml:space="preserve">MARC PW</t>
        </is>
      </c>
      <c r="AI1" s="64" t="inlineStr">
        <is>
          <t xml:space="preserve">IQ UPLOAD</t>
        </is>
      </c>
      <c r="AJ1" s="64" t="inlineStr">
        <is>
          <t xml:space="preserve">TC REMARK</t>
        </is>
      </c>
      <c r="AK1" s="64" t="inlineStr">
        <is>
          <t xml:space="preserve">VISITS</t>
        </is>
      </c>
      <c r="AL1" s="64" t="inlineStr">
        <is>
          <t xml:space="preserve">FOS DISPO</t>
        </is>
      </c>
      <c r="AM1" s="64" t="inlineStr">
        <is>
          <t xml:space="preserve">REMARKS</t>
        </is>
      </c>
      <c r="AN1" s="64" t="inlineStr">
        <is>
          <t xml:space="preserve">V DATE</t>
        </is>
      </c>
      <c r="AO1" s="64" t="inlineStr">
        <is>
          <t xml:space="preserve">LAST PAYMENT DATE</t>
        </is>
      </c>
      <c r="AP1" s="64" t="inlineStr">
        <is>
          <t xml:space="preserve">LAST PAYMENT AMOUNT</t>
        </is>
      </c>
      <c r="AQ1" s="64" t="inlineStr">
        <is>
          <t xml:space="preserve">UCIC DODE</t>
        </is>
      </c>
      <c r="AR1" s="64" t="inlineStr">
        <is>
          <t xml:space="preserve">CARD TYPE</t>
        </is>
      </c>
      <c r="AS1" s="64" t="inlineStr">
        <is>
          <t xml:space="preserve">ALLOC DATE</t>
        </is>
      </c>
      <c r="AT1" s="64" t="inlineStr">
        <is>
          <t xml:space="preserve">DueDate</t>
        </is>
      </c>
    </row>
  </sheetData>
  <phoneticPr fontId="4"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MIS</vt:lpstr>
      <vt:lpstr>MAIN</vt:lpstr>
      <vt:lpstr>RE</vt:lpstr>
      <vt:lpstr>Sheet2</vt:lpstr>
      <vt:lpstr>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SRAVS</cp:lastModifiedBy>
  <dcterms:created xsi:type="dcterms:W3CDTF">2025-11-07T11:49:26Z</dcterms:created>
  <dcterms:modified xsi:type="dcterms:W3CDTF">2026-10-30T11:41:38Z</dcterms:modified>
</cp:coreProperties>
</file>